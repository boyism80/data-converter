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goyodo1324\ProjectM2\design\"/>
    </mc:Choice>
  </mc:AlternateContent>
  <bookViews>
    <workbookView xWindow="-28275" yWindow="1050" windowWidth="27690" windowHeight="13590" tabRatio="717" firstSheet="2" activeTab="3"/>
  </bookViews>
  <sheets>
    <sheet name="CharacterGrade" sheetId="5" r:id="rId1"/>
    <sheet name="CharacterDisassemble" sheetId="10" r:id="rId2"/>
    <sheet name="CharacterLevelUp" sheetId="1" r:id="rId3"/>
    <sheet name="CharacterTalk" sheetId="2" r:id="rId4"/>
    <sheet name="CharacterClass" sheetId="4" r:id="rId5"/>
    <sheet name="CharacterPromote" sheetId="6" r:id="rId6"/>
    <sheet name="CharacterBaseGrade" sheetId="7" r:id="rId7"/>
    <sheet name="CharacterAttribute" sheetId="8" r:id="rId8"/>
    <sheet name="CharacterSpecialization" sheetId="9" r:id="rId9"/>
    <sheet name="CharacterRecall" sheetId="11" r:id="rId10"/>
  </sheets>
  <calcPr calcId="162913"/>
</workbook>
</file>

<file path=xl/calcChain.xml><?xml version="1.0" encoding="utf-8"?>
<calcChain xmlns="http://schemas.openxmlformats.org/spreadsheetml/2006/main">
  <c r="K5" i="2" l="1"/>
  <c r="J5" i="2"/>
  <c r="I5" i="2"/>
  <c r="H5" i="2"/>
  <c r="G5" i="2"/>
  <c r="E5" i="2"/>
  <c r="C5" i="2"/>
  <c r="B5" i="2"/>
  <c r="G36" i="2" l="1"/>
  <c r="G30" i="2"/>
  <c r="D5" i="9" l="1"/>
  <c r="D6" i="9"/>
  <c r="D7" i="9"/>
  <c r="D8" i="9"/>
  <c r="D9" i="9"/>
  <c r="D10" i="9"/>
  <c r="D11" i="9"/>
  <c r="D4" i="9"/>
  <c r="B5" i="9"/>
  <c r="B6" i="9"/>
  <c r="B7" i="9"/>
  <c r="B8" i="9"/>
  <c r="B9" i="9"/>
  <c r="B10" i="9"/>
  <c r="B11" i="9"/>
  <c r="B4" i="9"/>
  <c r="E6" i="2" l="1"/>
  <c r="K52" i="2" l="1"/>
  <c r="J52" i="2"/>
  <c r="I52" i="2"/>
  <c r="H52" i="2"/>
  <c r="G52" i="2"/>
  <c r="E52" i="2"/>
  <c r="C52" i="2"/>
  <c r="B52" i="2"/>
  <c r="K51" i="2" l="1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J7" i="2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6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C16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3" i="2"/>
  <c r="G34" i="2"/>
  <c r="G35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6" i="2"/>
  <c r="C7" i="2"/>
  <c r="C8" i="2"/>
  <c r="C9" i="2"/>
  <c r="C10" i="2"/>
  <c r="C11" i="2"/>
  <c r="C12" i="2"/>
  <c r="C13" i="2"/>
  <c r="C14" i="2"/>
  <c r="C1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6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</calcChain>
</file>

<file path=xl/comments1.xml><?xml version="1.0" encoding="utf-8"?>
<comments xmlns="http://schemas.openxmlformats.org/spreadsheetml/2006/main">
  <authors>
    <author>김재송</author>
    <author>조준희</author>
  </authors>
  <commentList>
    <comment ref="G31" authorId="0" shapeId="0">
      <text>
        <r>
          <rPr>
            <b/>
            <sz val="9"/>
            <color indexed="81"/>
            <rFont val="돋움"/>
            <family val="3"/>
            <charset val="129"/>
          </rPr>
          <t>김재송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소문자입니다</t>
        </r>
        <r>
          <rPr>
            <sz val="9"/>
            <color indexed="81"/>
            <rFont val="Tahoma"/>
            <family val="2"/>
          </rPr>
          <t>.</t>
        </r>
      </text>
    </comment>
    <comment ref="A53" authorId="1" shapeId="0">
      <text>
        <r>
          <rPr>
            <b/>
            <sz val="9"/>
            <color indexed="81"/>
            <rFont val="돋움"/>
            <family val="3"/>
            <charset val="129"/>
          </rPr>
          <t>튜토리얼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캐릭터</t>
        </r>
      </text>
    </comment>
  </commentList>
</comments>
</file>

<file path=xl/sharedStrings.xml><?xml version="1.0" encoding="utf-8"?>
<sst xmlns="http://schemas.openxmlformats.org/spreadsheetml/2006/main" count="1408" uniqueCount="728">
  <si>
    <t>#레벨</t>
  </si>
  <si>
    <t>#보상</t>
  </si>
  <si>
    <t>Lv</t>
  </si>
  <si>
    <t>Reward</t>
  </si>
  <si>
    <t>*int</t>
  </si>
  <si>
    <t>int</t>
  </si>
  <si>
    <t>string</t>
  </si>
  <si>
    <t>common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</si>
  <si>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</si>
  <si>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</si>
  <si>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</si>
  <si>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</si>
  <si>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</si>
  <si>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</si>
  <si>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</si>
  <si>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</si>
  <si>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</si>
  <si>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</si>
  <si>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</si>
  <si>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</si>
  <si>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</si>
  <si>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</si>
  <si>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</si>
  <si>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</si>
  <si>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</si>
  <si>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</si>
  <si>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</si>
  <si>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</si>
  <si>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</si>
  <si>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</si>
  <si>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</si>
  <si>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</si>
  <si>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</si>
  <si>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</si>
  <si>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</si>
  <si>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</si>
  <si>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</si>
  <si>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</si>
  <si>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</si>
  <si>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</si>
  <si>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</si>
  <si>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</si>
  <si>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</si>
  <si>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</si>
  <si>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</si>
  <si>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</si>
  <si>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</si>
  <si>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</si>
  <si>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</si>
  <si>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</si>
  <si>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</si>
  <si>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</si>
  <si>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</si>
  <si>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</si>
  <si>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</si>
  <si>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</si>
  <si>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</si>
  <si>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</si>
  <si>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</si>
  <si>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</si>
  <si>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</si>
  <si>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</si>
  <si>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</si>
  <si>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</si>
  <si>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</si>
  <si>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</si>
  <si>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</si>
  <si>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</si>
  <si>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</si>
  <si>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</si>
  <si>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</si>
  <si>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</si>
  <si>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</si>
  <si>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</si>
  <si>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</si>
  <si>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</si>
  <si>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</si>
  <si>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</si>
  <si>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</si>
  <si>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</si>
  <si>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</si>
  <si>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</si>
  <si>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</si>
  <si>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</si>
  <si>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</si>
  <si>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</si>
  <si>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</si>
  <si>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#ID</t>
  </si>
  <si>
    <t>#승리 대사</t>
  </si>
  <si>
    <t>Id</t>
  </si>
  <si>
    <t>*string</t>
  </si>
  <si>
    <t>freyja</t>
  </si>
  <si>
    <t>rachel</t>
  </si>
  <si>
    <t>airen</t>
  </si>
  <si>
    <t>brynhild</t>
  </si>
  <si>
    <t>patricia</t>
  </si>
  <si>
    <t>mana</t>
  </si>
  <si>
    <t>renas</t>
  </si>
  <si>
    <t>aurora</t>
  </si>
  <si>
    <t>leila</t>
  </si>
  <si>
    <t>hellen</t>
  </si>
  <si>
    <t>shale</t>
  </si>
  <si>
    <t>angelica</t>
  </si>
  <si>
    <t>isabella</t>
  </si>
  <si>
    <t>erica</t>
  </si>
  <si>
    <t>Grade</t>
  </si>
  <si>
    <t>R</t>
  </si>
  <si>
    <t>SR</t>
  </si>
  <si>
    <t>SSR</t>
  </si>
  <si>
    <t>UR</t>
  </si>
  <si>
    <t>UR1</t>
  </si>
  <si>
    <t>MR</t>
  </si>
  <si>
    <t>#아이콘</t>
  </si>
  <si>
    <t>#이름</t>
  </si>
  <si>
    <t>Icon</t>
  </si>
  <si>
    <t>*ClassType</t>
  </si>
  <si>
    <t>client</t>
  </si>
  <si>
    <t>Attacker</t>
  </si>
  <si>
    <t>ClassName.Attacker</t>
  </si>
  <si>
    <t>Ranger</t>
  </si>
  <si>
    <t>ClassName.Ranger</t>
  </si>
  <si>
    <t>Supporter</t>
  </si>
  <si>
    <t>ClassName.Supporter</t>
  </si>
  <si>
    <t>serapulsar</t>
  </si>
  <si>
    <t>balencia</t>
  </si>
  <si>
    <t>eradica</t>
  </si>
  <si>
    <t>rayhou</t>
  </si>
  <si>
    <t>string</t>
    <phoneticPr fontId="2" type="noConversion"/>
  </si>
  <si>
    <t>#정렬 4순위 추천 Set</t>
    <phoneticPr fontId="2" type="noConversion"/>
  </si>
  <si>
    <t>AutoSet</t>
    <phoneticPr fontId="2" type="noConversion"/>
  </si>
  <si>
    <t>client</t>
    <phoneticPr fontId="2" type="noConversion"/>
  </si>
  <si>
    <t>snopril</t>
  </si>
  <si>
    <t>taina</t>
  </si>
  <si>
    <t>diana</t>
  </si>
  <si>
    <t>iras</t>
  </si>
  <si>
    <t>ambrosia</t>
  </si>
  <si>
    <t>sia</t>
  </si>
  <si>
    <t>belita</t>
  </si>
  <si>
    <t>belebeta</t>
  </si>
  <si>
    <t>yuna</t>
  </si>
  <si>
    <t>klairs</t>
  </si>
  <si>
    <t>kanata</t>
  </si>
  <si>
    <t>id</t>
  </si>
  <si>
    <t>archphase</t>
  </si>
  <si>
    <t>eiko</t>
  </si>
  <si>
    <t>ferrel</t>
  </si>
  <si>
    <t>GachaImage</t>
    <phoneticPr fontId="2" type="noConversion"/>
  </si>
  <si>
    <t>#가챠에 사용되는 이미지</t>
    <phoneticPr fontId="2" type="noConversion"/>
  </si>
  <si>
    <t>melissa</t>
  </si>
  <si>
    <t>lilian</t>
  </si>
  <si>
    <t>daria</t>
  </si>
  <si>
    <t>anne</t>
  </si>
  <si>
    <t>yurizia</t>
  </si>
  <si>
    <t>shery</t>
  </si>
  <si>
    <t>#해금 대사</t>
  </si>
  <si>
    <t>Defense</t>
    <phoneticPr fontId="2" type="noConversion"/>
  </si>
  <si>
    <t>[EquipmentSetType]</t>
    <phoneticPr fontId="2" type="noConversion"/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</si>
  <si>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</si>
  <si>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</si>
  <si>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</si>
  <si>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</si>
  <si>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</si>
  <si>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</si>
  <si>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</si>
  <si>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</si>
  <si>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</si>
  <si>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</si>
  <si>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</si>
  <si>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</si>
  <si>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</si>
  <si>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</si>
  <si>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</si>
  <si>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</si>
  <si>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</si>
  <si>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</si>
  <si>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</si>
  <si>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</si>
  <si>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</si>
  <si>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</si>
  <si>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</si>
  <si>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</si>
  <si>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</si>
  <si>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</si>
  <si>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</si>
  <si>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</si>
  <si>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</si>
  <si>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</si>
  <si>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</si>
  <si>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</si>
  <si>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</si>
  <si>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</si>
  <si>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</si>
  <si>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</si>
  <si>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</si>
  <si>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</si>
  <si>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</si>
  <si>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</si>
  <si>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</si>
  <si>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</si>
  <si>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</si>
  <si>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</si>
  <si>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</si>
  <si>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</si>
  <si>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</si>
  <si>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</si>
  <si>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</si>
  <si>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</si>
  <si>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</si>
  <si>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</si>
  <si>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</si>
  <si>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</si>
  <si>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</si>
  <si>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</si>
  <si>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</si>
  <si>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</si>
  <si>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</si>
  <si>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</si>
  <si>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</si>
  <si>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</si>
  <si>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</si>
  <si>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</si>
  <si>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</si>
  <si>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</si>
  <si>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</si>
  <si>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</si>
  <si>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</si>
  <si>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</si>
  <si>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</si>
  <si>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</si>
  <si>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</si>
  <si>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</si>
  <si>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</si>
  <si>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</si>
  <si>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</si>
  <si>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</si>
  <si>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</si>
  <si>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</si>
  <si>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</si>
  <si>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</si>
  <si>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</si>
  <si>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</si>
  <si>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</si>
  <si>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</si>
  <si>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</si>
  <si>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</si>
  <si>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</si>
  <si>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</si>
  <si>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</si>
  <si>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</si>
  <si>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</si>
  <si>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</si>
  <si>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</si>
  <si>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</si>
  <si>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</si>
  <si>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</si>
  <si>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</si>
  <si>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</si>
  <si>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</si>
  <si>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</si>
  <si>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</si>
  <si>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</si>
  <si>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</si>
  <si>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</si>
  <si>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</si>
  <si>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</si>
  <si>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</si>
  <si>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</si>
  <si>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</si>
  <si>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</si>
  <si>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</si>
  <si>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</si>
  <si>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</si>
  <si>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</si>
  <si>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</si>
  <si>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</si>
  <si>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</si>
  <si>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</si>
  <si>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</si>
  <si>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</si>
  <si>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</si>
  <si>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</si>
  <si>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</si>
  <si>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</si>
  <si>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</si>
  <si>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</si>
  <si>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</si>
  <si>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</si>
  <si>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</si>
  <si>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</si>
  <si>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</si>
  <si>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</si>
  <si>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</si>
  <si>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</si>
  <si>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</si>
  <si>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</si>
  <si>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</si>
  <si>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</si>
  <si>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</si>
  <si>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</si>
  <si>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</si>
  <si>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</si>
  <si>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</si>
  <si>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</si>
  <si>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</si>
  <si>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</si>
  <si>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</si>
  <si>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</si>
  <si>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</si>
  <si>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</si>
  <si>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</si>
  <si>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</si>
  <si>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</si>
  <si>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</si>
  <si>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</si>
  <si>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</si>
  <si>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</si>
  <si>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</si>
  <si>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</si>
  <si>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</si>
  <si>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</si>
  <si>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</si>
  <si>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</si>
  <si>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</si>
  <si>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</si>
  <si>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</si>
  <si>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</si>
  <si>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</si>
  <si>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</si>
  <si>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</si>
  <si>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</si>
  <si>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</si>
  <si>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</si>
  <si>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</si>
  <si>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</si>
  <si>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</si>
  <si>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</si>
  <si>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</si>
  <si>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</si>
  <si>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</si>
  <si>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</si>
  <si>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</si>
  <si>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</si>
  <si>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</si>
  <si>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</si>
  <si>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</si>
  <si>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</si>
  <si>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</si>
  <si>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</si>
  <si>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</si>
  <si>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</si>
  <si>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</si>
  <si>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</si>
  <si>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</si>
  <si>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</si>
  <si>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</si>
  <si>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</si>
  <si>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</si>
  <si>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</si>
  <si>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</si>
  <si>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</si>
  <si>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</si>
  <si>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</si>
  <si>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</si>
  <si>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</si>
  <si>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</si>
  <si>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</si>
  <si>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</si>
  <si>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</si>
  <si>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</si>
  <si>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</si>
  <si>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</si>
  <si>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</si>
  <si>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</si>
  <si>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</si>
  <si>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</si>
  <si>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</si>
  <si>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</si>
  <si>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mea</t>
    <phoneticPr fontId="2" type="noConversion"/>
  </si>
  <si>
    <t>crimson</t>
    <phoneticPr fontId="2" type="noConversion"/>
  </si>
  <si>
    <t>#뽑기 전용 대사(태생 UR만)</t>
    <phoneticPr fontId="2" type="noConversion"/>
  </si>
  <si>
    <t>arcels</t>
  </si>
  <si>
    <t>siege</t>
  </si>
  <si>
    <t>#다음 레벨 경험치</t>
    <phoneticPr fontId="2" type="noConversion"/>
  </si>
  <si>
    <t>#다음 레벨 필요재화 골드</t>
    <phoneticPr fontId="2" type="noConversion"/>
  </si>
  <si>
    <t>#다음 레벨 필요재화 돌파</t>
    <phoneticPr fontId="2" type="noConversion"/>
  </si>
  <si>
    <t>NeedExp</t>
    <phoneticPr fontId="2" type="noConversion"/>
  </si>
  <si>
    <t>NeedGold</t>
    <phoneticPr fontId="2" type="noConversion"/>
  </si>
  <si>
    <t>NeedAscend</t>
    <phoneticPr fontId="2" type="noConversion"/>
  </si>
  <si>
    <t>#등급</t>
    <phoneticPr fontId="2" type="noConversion"/>
  </si>
  <si>
    <t>#최대레벨</t>
    <phoneticPr fontId="2" type="noConversion"/>
  </si>
  <si>
    <t>MaxLevel</t>
    <phoneticPr fontId="2" type="noConversion"/>
  </si>
  <si>
    <t>*GradeType</t>
    <phoneticPr fontId="2" type="noConversion"/>
  </si>
  <si>
    <t>Tanker</t>
    <phoneticPr fontId="2" type="noConversion"/>
  </si>
  <si>
    <t>ClassName.Tanker</t>
    <phoneticPr fontId="2" type="noConversion"/>
  </si>
  <si>
    <t>fei</t>
    <phoneticPr fontId="2" type="noConversion"/>
  </si>
  <si>
    <t>gray</t>
    <phoneticPr fontId="2" type="noConversion"/>
  </si>
  <si>
    <t>hallona</t>
    <phoneticPr fontId="2" type="noConversion"/>
  </si>
  <si>
    <t>Attack
Critical
RecoveryEp</t>
    <phoneticPr fontId="2" type="noConversion"/>
  </si>
  <si>
    <t>Attack
Critical
RecoveryEp</t>
    <phoneticPr fontId="2" type="noConversion"/>
  </si>
  <si>
    <t>VictoryVoice</t>
    <phoneticPr fontId="2" type="noConversion"/>
  </si>
  <si>
    <t>UnlockVoice</t>
    <phoneticPr fontId="2" type="noConversion"/>
  </si>
  <si>
    <t>GachaVoice</t>
    <phoneticPr fontId="2" type="noConversion"/>
  </si>
  <si>
    <t>$Voice</t>
    <phoneticPr fontId="2" type="noConversion"/>
  </si>
  <si>
    <t>#Voice 큐시트</t>
    <phoneticPr fontId="2" type="noConversion"/>
  </si>
  <si>
    <t>VoiceCueSheet</t>
    <phoneticPr fontId="2" type="noConversion"/>
  </si>
  <si>
    <t>BattleSetting</t>
  </si>
  <si>
    <t>BattleStart</t>
    <phoneticPr fontId="2" type="noConversion"/>
  </si>
  <si>
    <t>#편성 대사</t>
    <phoneticPr fontId="2" type="noConversion"/>
  </si>
  <si>
    <t>#출력 대사</t>
    <phoneticPr fontId="2" type="noConversion"/>
  </si>
  <si>
    <t>$Text</t>
    <phoneticPr fontId="2" type="noConversion"/>
  </si>
  <si>
    <t>Name</t>
    <phoneticPr fontId="2" type="noConversion"/>
  </si>
  <si>
    <t>$Voice?</t>
    <phoneticPr fontId="2" type="noConversion"/>
  </si>
  <si>
    <t>#초기화비용</t>
    <phoneticPr fontId="2" type="noConversion"/>
  </si>
  <si>
    <t>ResetFee</t>
    <phoneticPr fontId="2" type="noConversion"/>
  </si>
  <si>
    <t>$Fee</t>
    <phoneticPr fontId="2" type="noConversion"/>
  </si>
  <si>
    <t>ResetLevelFee1</t>
  </si>
  <si>
    <t>ResetLevelFee2</t>
  </si>
  <si>
    <t>ResetLevelFee3</t>
  </si>
  <si>
    <t>ResetLevelFee4</t>
  </si>
  <si>
    <t>UltReadyVoice</t>
    <phoneticPr fontId="2" type="noConversion"/>
  </si>
  <si>
    <t>DieVoice</t>
    <phoneticPr fontId="2" type="noConversion"/>
  </si>
  <si>
    <t>#전투 중 죽을 때 대사</t>
    <phoneticPr fontId="2" type="noConversion"/>
  </si>
  <si>
    <t>#전투 중 궁극기 준비 완료시 대사</t>
    <phoneticPr fontId="2" type="noConversion"/>
  </si>
  <si>
    <t>#캐릭터 승급 시 대사</t>
    <phoneticPr fontId="2" type="noConversion"/>
  </si>
  <si>
    <t>Promote</t>
    <phoneticPr fontId="2" type="noConversion"/>
  </si>
  <si>
    <t>#캐릭터 진입 연출 대사</t>
    <phoneticPr fontId="2" type="noConversion"/>
  </si>
  <si>
    <t>BattleEnter</t>
    <phoneticPr fontId="2" type="noConversion"/>
  </si>
  <si>
    <t>ino</t>
  </si>
  <si>
    <t>mana.Victory</t>
  </si>
  <si>
    <t>mana.Unlockinfo</t>
  </si>
  <si>
    <t>mana.BattleSetting</t>
  </si>
  <si>
    <t>vo_Mana</t>
  </si>
  <si>
    <t>mana.Die</t>
  </si>
  <si>
    <t>mana.UltimateReady</t>
  </si>
  <si>
    <t>mana.Promote</t>
  </si>
  <si>
    <t>mana.BattleEnter</t>
  </si>
  <si>
    <t>airen.Victory</t>
  </si>
  <si>
    <t>airen.Unlockinfo</t>
  </si>
  <si>
    <t>airen.BattleSetting</t>
  </si>
  <si>
    <t>vo_Airen</t>
  </si>
  <si>
    <t>airen.Die</t>
  </si>
  <si>
    <t>airen.UltimateReady</t>
  </si>
  <si>
    <t>airen.Promote</t>
  </si>
  <si>
    <t>airen.BattleEnter</t>
  </si>
  <si>
    <t>aurora.Victory</t>
  </si>
  <si>
    <t>aurora.Unlockinfo</t>
  </si>
  <si>
    <t>aurora.BattleSetting</t>
  </si>
  <si>
    <t>vo_Aurora</t>
  </si>
  <si>
    <t>aurora.Die</t>
  </si>
  <si>
    <t>aurora.UltimateReady</t>
  </si>
  <si>
    <t>aurora.Promote</t>
  </si>
  <si>
    <t>aurora.BattleEnter</t>
  </si>
  <si>
    <t>RecoveryEp
Hp</t>
  </si>
  <si>
    <t>None</t>
    <phoneticPr fontId="2" type="noConversion"/>
  </si>
  <si>
    <t>ClassName.None</t>
    <phoneticPr fontId="2" type="noConversion"/>
  </si>
  <si>
    <t>Result</t>
    <phoneticPr fontId="2" type="noConversion"/>
  </si>
  <si>
    <t>common</t>
    <phoneticPr fontId="2" type="noConversion"/>
  </si>
  <si>
    <t>SR1</t>
  </si>
  <si>
    <t>SSR1</t>
  </si>
  <si>
    <t>MR1</t>
  </si>
  <si>
    <t>Main</t>
    <phoneticPr fontId="2" type="noConversion"/>
  </si>
  <si>
    <t>GradeType</t>
    <phoneticPr fontId="2" type="noConversion"/>
  </si>
  <si>
    <t>bool</t>
    <phoneticPr fontId="2" type="noConversion"/>
  </si>
  <si>
    <t>Material1</t>
    <phoneticPr fontId="2" type="noConversion"/>
  </si>
  <si>
    <t>Material2</t>
    <phoneticPr fontId="2" type="noConversion"/>
  </si>
  <si>
    <t>BaseGrade</t>
    <phoneticPr fontId="2" type="noConversion"/>
  </si>
  <si>
    <t>MaxGrade</t>
    <phoneticPr fontId="2" type="noConversion"/>
  </si>
  <si>
    <t>MaterialSame</t>
    <phoneticPr fontId="2" type="noConversion"/>
  </si>
  <si>
    <t>RewardCharacterCount</t>
    <phoneticPr fontId="2" type="noConversion"/>
  </si>
  <si>
    <t>int</t>
    <phoneticPr fontId="2" type="noConversion"/>
  </si>
  <si>
    <t>Fire</t>
    <phoneticPr fontId="2" type="noConversion"/>
  </si>
  <si>
    <t>UR1</t>
    <phoneticPr fontId="2" type="noConversion"/>
  </si>
  <si>
    <t>#해제 시 동일 캐릭 지급 수</t>
    <phoneticPr fontId="2" type="noConversion"/>
  </si>
  <si>
    <t>GradeType?</t>
    <phoneticPr fontId="2" type="noConversion"/>
  </si>
  <si>
    <t>serapulsar.Unlock</t>
  </si>
  <si>
    <t>lilian.Unlock</t>
  </si>
  <si>
    <t>daria.Unlock</t>
  </si>
  <si>
    <t>snopril.Unlock</t>
  </si>
  <si>
    <t>anne.Unlock</t>
  </si>
  <si>
    <t>taina.Unlock</t>
  </si>
  <si>
    <t>iras.Unlock</t>
  </si>
  <si>
    <t>ambrosia.Unlock</t>
  </si>
  <si>
    <t>sia.Unlock</t>
  </si>
  <si>
    <t>rachel.Unlock</t>
  </si>
  <si>
    <t>isabella.Unlock</t>
  </si>
  <si>
    <t>balencia.Unlock</t>
  </si>
  <si>
    <t>belita.Unlock</t>
  </si>
  <si>
    <t>belebeta.Unlock</t>
  </si>
  <si>
    <t>angelica.Unlock</t>
  </si>
  <si>
    <t>yuna.Unlock</t>
  </si>
  <si>
    <t>gray.Unlock</t>
  </si>
  <si>
    <t>fei.Unlock</t>
  </si>
  <si>
    <t>airen.Unlock</t>
  </si>
  <si>
    <t>freyja.Unlock</t>
  </si>
  <si>
    <t>eradica.Unlock</t>
  </si>
  <si>
    <t>kanata.Unlock</t>
  </si>
  <si>
    <t>id.Unlock</t>
  </si>
  <si>
    <t>archphase.Unlock</t>
  </si>
  <si>
    <t>patricia.Unlock</t>
  </si>
  <si>
    <t>renas.Unlock</t>
  </si>
  <si>
    <t>leila.Unlock</t>
  </si>
  <si>
    <t>erica.Unlock</t>
  </si>
  <si>
    <t>eiko.Unlock</t>
  </si>
  <si>
    <t>ferrel.Unlock</t>
  </si>
  <si>
    <t>mana.Unlock</t>
  </si>
  <si>
    <t>aurora.Unlock</t>
  </si>
  <si>
    <t>yurizia.Unlock</t>
  </si>
  <si>
    <t>shale.Unlock</t>
  </si>
  <si>
    <t>rayhou.Unlock</t>
  </si>
  <si>
    <t>hellen.Unlock</t>
  </si>
  <si>
    <t>mea.Unlock</t>
  </si>
  <si>
    <t>crimson.Unlock</t>
  </si>
  <si>
    <t>arcels.Unlock</t>
  </si>
  <si>
    <t>hallona.Unlock</t>
  </si>
  <si>
    <t>ino.Unlock</t>
  </si>
  <si>
    <t>lue</t>
    <phoneticPr fontId="2" type="noConversion"/>
  </si>
  <si>
    <t>iolet</t>
    <phoneticPr fontId="2" type="noConversion"/>
  </si>
  <si>
    <t>reen</t>
    <phoneticPr fontId="2" type="noConversion"/>
  </si>
  <si>
    <t>ermeil</t>
    <phoneticPr fontId="2" type="noConversion"/>
  </si>
  <si>
    <t>lue.Unlockinfo</t>
    <phoneticPr fontId="2" type="noConversion"/>
  </si>
  <si>
    <t>iolet.Unlockinfo</t>
    <phoneticPr fontId="2" type="noConversion"/>
  </si>
  <si>
    <t>reen.Unlockinfo</t>
    <phoneticPr fontId="2" type="noConversion"/>
  </si>
  <si>
    <t>ermeil.Unlockinfo</t>
    <phoneticPr fontId="2" type="noConversion"/>
  </si>
  <si>
    <t>lue.Victory</t>
    <phoneticPr fontId="2" type="noConversion"/>
  </si>
  <si>
    <t>iolet.Victory</t>
    <phoneticPr fontId="2" type="noConversion"/>
  </si>
  <si>
    <t>reen.Victory</t>
    <phoneticPr fontId="2" type="noConversion"/>
  </si>
  <si>
    <t>ermeil.Victory</t>
    <phoneticPr fontId="2" type="noConversion"/>
  </si>
  <si>
    <t>lue.BattleSetting</t>
  </si>
  <si>
    <t>iolet.BattleSetting</t>
  </si>
  <si>
    <t>reen.BattleSetting</t>
  </si>
  <si>
    <t>ermeil.BattleSetting</t>
  </si>
  <si>
    <t>lue.Die</t>
  </si>
  <si>
    <t>lue.Promote</t>
  </si>
  <si>
    <t>lue.BattleEnter</t>
  </si>
  <si>
    <t>iolet.Die</t>
  </si>
  <si>
    <t>iolet.Promote</t>
  </si>
  <si>
    <t>iolet.BattleEnter</t>
  </si>
  <si>
    <t>reen.Die</t>
  </si>
  <si>
    <t>reen.Promote</t>
  </si>
  <si>
    <t>reen.BattleEnter</t>
  </si>
  <si>
    <t>ermeil.Die</t>
  </si>
  <si>
    <t>ermeil.Promote</t>
  </si>
  <si>
    <t>ermeil.BattleEnter</t>
  </si>
  <si>
    <t>elina</t>
    <phoneticPr fontId="2" type="noConversion"/>
  </si>
  <si>
    <t>elina.Victory</t>
    <phoneticPr fontId="2" type="noConversion"/>
  </si>
  <si>
    <t>elina.Unlockinfo</t>
    <phoneticPr fontId="2" type="noConversion"/>
  </si>
  <si>
    <t>elina.Unlock</t>
    <phoneticPr fontId="12" type="noConversion"/>
  </si>
  <si>
    <t>elina.BattleSetting</t>
    <phoneticPr fontId="2" type="noConversion"/>
  </si>
  <si>
    <t>elina.Die</t>
    <phoneticPr fontId="2" type="noConversion"/>
  </si>
  <si>
    <t>elina.UltimateReady</t>
    <phoneticPr fontId="2" type="noConversion"/>
  </si>
  <si>
    <t>elina.Promote</t>
    <phoneticPr fontId="2" type="noConversion"/>
  </si>
  <si>
    <t>elina.BattleEnter</t>
    <phoneticPr fontId="2" type="noConversion"/>
  </si>
  <si>
    <t>Attribute</t>
    <phoneticPr fontId="2" type="noConversion"/>
  </si>
  <si>
    <t>Icon</t>
    <phoneticPr fontId="2" type="noConversion"/>
  </si>
  <si>
    <t>AttributeRed</t>
    <phoneticPr fontId="2" type="noConversion"/>
  </si>
  <si>
    <t>AttributeGreen</t>
    <phoneticPr fontId="2" type="noConversion"/>
  </si>
  <si>
    <t>AttributeBlue</t>
    <phoneticPr fontId="2" type="noConversion"/>
  </si>
  <si>
    <t>AttributeNone</t>
    <phoneticPr fontId="2" type="noConversion"/>
  </si>
  <si>
    <t>icon_attribute_none</t>
  </si>
  <si>
    <t>icon_attribute_blue</t>
  </si>
  <si>
    <t>icon_attribute_red</t>
  </si>
  <si>
    <t>LR</t>
  </si>
  <si>
    <t>LR1</t>
  </si>
  <si>
    <t>LR2</t>
  </si>
  <si>
    <t>LR3</t>
  </si>
  <si>
    <t>LR4</t>
  </si>
  <si>
    <t>LR5</t>
  </si>
  <si>
    <t>R</t>
    <phoneticPr fontId="2" type="noConversion"/>
  </si>
  <si>
    <t>R</t>
    <phoneticPr fontId="2" type="noConversion"/>
  </si>
  <si>
    <t>SR</t>
    <phoneticPr fontId="2" type="noConversion"/>
  </si>
  <si>
    <t>SSR</t>
    <phoneticPr fontId="2" type="noConversion"/>
  </si>
  <si>
    <t>LR5</t>
    <phoneticPr fontId="2" type="noConversion"/>
  </si>
  <si>
    <t>*string</t>
    <phoneticPr fontId="2" type="noConversion"/>
  </si>
  <si>
    <t>Id</t>
    <phoneticPr fontId="2" type="noConversion"/>
  </si>
  <si>
    <t>Narrow</t>
  </si>
  <si>
    <t>Wide</t>
  </si>
  <si>
    <t>Heal</t>
  </si>
  <si>
    <t>Shield</t>
  </si>
  <si>
    <t>Buff</t>
  </si>
  <si>
    <t>Debuff</t>
  </si>
  <si>
    <t>Desc</t>
    <phoneticPr fontId="2" type="noConversion"/>
  </si>
  <si>
    <t>Desc</t>
    <phoneticPr fontId="2" type="noConversion"/>
  </si>
  <si>
    <t>#설명</t>
    <phoneticPr fontId="2" type="noConversion"/>
  </si>
  <si>
    <t>Target</t>
    <phoneticPr fontId="2" type="noConversion"/>
  </si>
  <si>
    <t>Disturb</t>
    <phoneticPr fontId="2" type="noConversion"/>
  </si>
  <si>
    <t>ClassDesc.Tanker</t>
  </si>
  <si>
    <t>ClassDesc.Attacker</t>
  </si>
  <si>
    <t>ClassDesc.Ranger</t>
  </si>
  <si>
    <t>ClassDesc.Supporter</t>
  </si>
  <si>
    <t>vo_iD</t>
    <phoneticPr fontId="2" type="noConversion"/>
  </si>
  <si>
    <t>GachaVideoResource</t>
    <phoneticPr fontId="2" type="noConversion"/>
  </si>
  <si>
    <t>Video/gacha/AttributeBlue.usm</t>
    <phoneticPr fontId="2" type="noConversion"/>
  </si>
  <si>
    <t>Video/gacha/AttributeGreen.usm</t>
    <phoneticPr fontId="2" type="noConversion"/>
  </si>
  <si>
    <t>Video/gacha/AttributeRed.usm</t>
    <phoneticPr fontId="2" type="noConversion"/>
  </si>
  <si>
    <t>icon_attribute_green</t>
    <phoneticPr fontId="2" type="noConversion"/>
  </si>
  <si>
    <t>AttributeGold</t>
    <phoneticPr fontId="2" type="noConversion"/>
  </si>
  <si>
    <t>AttributePurple</t>
    <phoneticPr fontId="2" type="noConversion"/>
  </si>
  <si>
    <t>icon_attribute_purple</t>
    <phoneticPr fontId="2" type="noConversion"/>
  </si>
  <si>
    <t>icon_attribute_gold</t>
    <phoneticPr fontId="2" type="noConversion"/>
  </si>
  <si>
    <t>#아이디</t>
  </si>
  <si>
    <t>DisassembleID</t>
  </si>
  <si>
    <t>GradeType</t>
  </si>
  <si>
    <t>*!AttributeType</t>
    <phoneticPr fontId="2" type="noConversion"/>
  </si>
  <si>
    <t>Disassemble</t>
    <phoneticPr fontId="2" type="noConversion"/>
  </si>
  <si>
    <t>$CharacterDisassemble</t>
    <phoneticPr fontId="2" type="noConversion"/>
  </si>
  <si>
    <t>Disassemble.Red</t>
    <phoneticPr fontId="2" type="noConversion"/>
  </si>
  <si>
    <t>Disassemble.Blue</t>
    <phoneticPr fontId="2" type="noConversion"/>
  </si>
  <si>
    <t>Disassemble.Green</t>
    <phoneticPr fontId="2" type="noConversion"/>
  </si>
  <si>
    <t>Disassemble.Other</t>
    <phoneticPr fontId="2" type="noConversion"/>
  </si>
  <si>
    <t>Promote.Common</t>
  </si>
  <si>
    <t>Promote.Common</t>
    <phoneticPr fontId="2" type="noConversion"/>
  </si>
  <si>
    <t>Promote.Other</t>
  </si>
  <si>
    <t>PromoteID</t>
  </si>
  <si>
    <t>Grade</t>
    <phoneticPr fontId="2" type="noConversion"/>
  </si>
  <si>
    <t>#해제 비용</t>
  </si>
  <si>
    <t>#해제 시 지급 아이템</t>
  </si>
  <si>
    <t>DisassembleFee</t>
  </si>
  <si>
    <t>DisassembleResult</t>
  </si>
  <si>
    <t>$Fee?</t>
  </si>
  <si>
    <t>$Reward?</t>
  </si>
  <si>
    <t>DisassembleFee.UR</t>
  </si>
  <si>
    <t>DisassembleFee.UR1</t>
  </si>
  <si>
    <t>DisassembleFee.MR</t>
  </si>
  <si>
    <t>DisassembleFee.MR1</t>
  </si>
  <si>
    <t>DisassembleFee.MR2</t>
  </si>
  <si>
    <t>DisassembleFee.MR3</t>
  </si>
  <si>
    <t>DisassembleFee.MR4</t>
  </si>
  <si>
    <t>DisassembleFee.MR5</t>
  </si>
  <si>
    <t>Disassemble.Red</t>
  </si>
  <si>
    <t>Disassemble.Green</t>
  </si>
  <si>
    <t>Disassemble.Blue</t>
  </si>
  <si>
    <t>Disassemble.Other</t>
  </si>
  <si>
    <t>DisassemblePossibleGrade</t>
    <phoneticPr fontId="2" type="noConversion"/>
  </si>
  <si>
    <t>$CharacterPromote</t>
    <phoneticPr fontId="2" type="noConversion"/>
  </si>
  <si>
    <t>DisassembleReward.Red.LR</t>
  </si>
  <si>
    <t>DisassembleReward.Red.LR1</t>
  </si>
  <si>
    <t>DisassembleReward.Red.LR2</t>
  </si>
  <si>
    <t>DisassembleReward.Red.LR3</t>
  </si>
  <si>
    <t>DisassembleReward.Red.LR4</t>
  </si>
  <si>
    <t>DisassembleReward.Red.LR5</t>
  </si>
  <si>
    <t>DisassembleReward.Green.LR</t>
  </si>
  <si>
    <t>DisassembleReward.Green.LR1</t>
  </si>
  <si>
    <t>DisassembleReward.Green.LR2</t>
  </si>
  <si>
    <t>DisassembleReward.Green.LR3</t>
  </si>
  <si>
    <t>DisassembleReward.Green.LR4</t>
  </si>
  <si>
    <t>DisassembleReward.Green.LR5</t>
  </si>
  <si>
    <t>DisassembleReward.Blue.UR</t>
  </si>
  <si>
    <t>DisassembleReward.Blue.LR</t>
  </si>
  <si>
    <t>DisassembleReward.Blue.LR1</t>
  </si>
  <si>
    <t>DisassembleReward.Blue.LR2</t>
  </si>
  <si>
    <t>DisassembleReward.Blue.LR3</t>
  </si>
  <si>
    <t>DisassembleReward.Blue.LR4</t>
  </si>
  <si>
    <t>DisassembleReward.Blue.LR5</t>
  </si>
  <si>
    <t>DisassembleReward.Red.UR</t>
  </si>
  <si>
    <t>DisassembleReward.Red.UR1</t>
  </si>
  <si>
    <t>DisassembleReward.Red.MR</t>
  </si>
  <si>
    <t>DisassembleReward.Red.MR1</t>
  </si>
  <si>
    <t>DisassembleReward.Green.UR</t>
  </si>
  <si>
    <t>DisassembleReward.Green.UR1</t>
  </si>
  <si>
    <t>DisassembleReward.Green.MR</t>
  </si>
  <si>
    <t>DisassembleReward.Green.MR1</t>
  </si>
  <si>
    <t>DisassembleReward.Blue.UR1</t>
  </si>
  <si>
    <t>DisassembleReward.Blue.MR</t>
  </si>
  <si>
    <t>DisassembleReward.Blue.MR1</t>
  </si>
  <si>
    <t>Video/gacha/AttributeGold.usm</t>
    <phoneticPr fontId="2" type="noConversion"/>
  </si>
  <si>
    <t>Video/gacha/AttributePurple.usm</t>
    <phoneticPr fontId="2" type="noConversion"/>
  </si>
  <si>
    <t>#필터 묶음</t>
    <phoneticPr fontId="2" type="noConversion"/>
  </si>
  <si>
    <t>#필터 표시명</t>
    <phoneticPr fontId="2" type="noConversion"/>
  </si>
  <si>
    <t>client</t>
    <phoneticPr fontId="2" type="noConversion"/>
  </si>
  <si>
    <t>GradeType</t>
    <phoneticPr fontId="2" type="noConversion"/>
  </si>
  <si>
    <t>FilterGrade</t>
    <phoneticPr fontId="2" type="noConversion"/>
  </si>
  <si>
    <t>string</t>
    <phoneticPr fontId="2" type="noConversion"/>
  </si>
  <si>
    <t>FilterName</t>
    <phoneticPr fontId="2" type="noConversion"/>
  </si>
  <si>
    <t>vo_Lue</t>
    <phoneticPr fontId="2" type="noConversion"/>
  </si>
  <si>
    <t>vo_Iolet</t>
    <phoneticPr fontId="2" type="noConversion"/>
  </si>
  <si>
    <t>vo_Reen</t>
    <phoneticPr fontId="2" type="noConversion"/>
  </si>
  <si>
    <t>vo_Ermeil</t>
    <phoneticPr fontId="2" type="noConversion"/>
  </si>
  <si>
    <t>vo_Elina</t>
    <phoneticPr fontId="2" type="noConversion"/>
  </si>
  <si>
    <t>UI.CharacterFilter.Grade2</t>
  </si>
  <si>
    <t>UI.CharacterFilter.Grade3</t>
  </si>
  <si>
    <t>UI.CharacterFilter.Grade4</t>
  </si>
  <si>
    <t>UI.CharacterFilter.Grade5</t>
  </si>
  <si>
    <t>UI.CharacterFilter.Grade1</t>
  </si>
  <si>
    <t>icon_specialization_narrow</t>
    <phoneticPr fontId="2" type="noConversion"/>
  </si>
  <si>
    <t>icon_specialization_wide</t>
    <phoneticPr fontId="2" type="noConversion"/>
  </si>
  <si>
    <t>icon_specialization_heal</t>
    <phoneticPr fontId="2" type="noConversion"/>
  </si>
  <si>
    <t>icon_specialization_shield</t>
    <phoneticPr fontId="2" type="noConversion"/>
  </si>
  <si>
    <t>icon_specialization_buff</t>
    <phoneticPr fontId="2" type="noConversion"/>
  </si>
  <si>
    <t>icon_specialization_debuff</t>
    <phoneticPr fontId="2" type="noConversion"/>
  </si>
  <si>
    <t>icon_specialization_effect</t>
    <phoneticPr fontId="2" type="noConversion"/>
  </si>
  <si>
    <t>icon_specialization_cc</t>
    <phoneticPr fontId="2" type="noConversion"/>
  </si>
  <si>
    <t>icon_class_tanker</t>
    <phoneticPr fontId="2" type="noConversion"/>
  </si>
  <si>
    <t>icon_class_attacker</t>
    <phoneticPr fontId="2" type="noConversion"/>
  </si>
  <si>
    <t>icon_class_ranger</t>
    <phoneticPr fontId="2" type="noConversion"/>
  </si>
  <si>
    <t>icon_class_supporter</t>
    <phoneticPr fontId="2" type="noConversion"/>
  </si>
  <si>
    <t>icon_class_none</t>
    <phoneticPr fontId="2" type="noConversion"/>
  </si>
  <si>
    <t>Icon_Class/icon_class_defender.png</t>
    <phoneticPr fontId="2" type="noConversion"/>
  </si>
  <si>
    <t>Icon_Class/icon_class_attacker.png</t>
    <phoneticPr fontId="2" type="noConversion"/>
  </si>
  <si>
    <t>Icon_Class/icon_class_ranger.png</t>
    <phoneticPr fontId="2" type="noConversion"/>
  </si>
  <si>
    <t>Icon_Class/icon_class_supporter.png</t>
    <phoneticPr fontId="2" type="noConversion"/>
  </si>
  <si>
    <t>Icon_Class/icon_class_none.png</t>
    <phoneticPr fontId="2" type="noConversion"/>
  </si>
  <si>
    <t>itus</t>
    <phoneticPr fontId="2" type="noConversion"/>
  </si>
  <si>
    <t>itus.Unlock</t>
    <phoneticPr fontId="2" type="noConversion"/>
  </si>
  <si>
    <t>icon_attribute_red</t>
    <phoneticPr fontId="2" type="noConversion"/>
  </si>
  <si>
    <t>icon_attribute_green</t>
  </si>
  <si>
    <t>icon_attribute_gold</t>
  </si>
  <si>
    <t>icon_attribute_purple</t>
  </si>
  <si>
    <t>DisassembleFee.UR</t>
    <phoneticPr fontId="2" type="noConversion"/>
  </si>
  <si>
    <t>DisassembleFee.SSR1</t>
    <phoneticPr fontId="2" type="noConversion"/>
  </si>
  <si>
    <t>SSR1</t>
    <phoneticPr fontId="2" type="noConversion"/>
  </si>
  <si>
    <t>UR</t>
    <phoneticPr fontId="2" type="noConversion"/>
  </si>
  <si>
    <t>RecallPossibleGrade</t>
    <phoneticPr fontId="2" type="noConversion"/>
  </si>
  <si>
    <t>common</t>
    <phoneticPr fontId="2" type="noConversion"/>
  </si>
  <si>
    <t>#리콜 시 지급 아이템</t>
    <phoneticPr fontId="2" type="noConversion"/>
  </si>
  <si>
    <t>RewardResult</t>
    <phoneticPr fontId="2" type="noConversion"/>
  </si>
  <si>
    <t>#리콜 시 동일 캐릭 지급 수</t>
    <phoneticPr fontId="2" type="noConversion"/>
  </si>
  <si>
    <t>Recall</t>
    <phoneticPr fontId="2" type="noConversion"/>
  </si>
  <si>
    <t>$CharacterRecall</t>
    <phoneticPr fontId="2" type="noConversion"/>
  </si>
  <si>
    <t>common</t>
    <phoneticPr fontId="2" type="noConversion"/>
  </si>
  <si>
    <t>Recall.Red</t>
    <phoneticPr fontId="2" type="noConversion"/>
  </si>
  <si>
    <t>Recall.Blue</t>
    <phoneticPr fontId="2" type="noConversion"/>
  </si>
  <si>
    <t>Recall.Green</t>
    <phoneticPr fontId="2" type="noConversion"/>
  </si>
  <si>
    <t>Recall.Other</t>
    <phoneticPr fontId="2" type="noConversion"/>
  </si>
  <si>
    <t>RecallID</t>
    <phoneticPr fontId="2" type="noConversion"/>
  </si>
  <si>
    <t>Recall.Blue</t>
    <phoneticPr fontId="2" type="noConversion"/>
  </si>
  <si>
    <r>
      <t>vo_</t>
    </r>
    <r>
      <rPr>
        <b/>
        <sz val="18"/>
        <color rgb="FFFF0000"/>
        <rFont val="맑은 고딕"/>
        <family val="3"/>
        <charset val="129"/>
        <scheme val="minor"/>
      </rPr>
      <t>k</t>
    </r>
    <r>
      <rPr>
        <sz val="11"/>
        <rFont val="맑은 고딕"/>
        <family val="2"/>
        <scheme val="minor"/>
      </rPr>
      <t>anata</t>
    </r>
    <phoneticPr fontId="2" type="noConversion"/>
  </si>
  <si>
    <t>Kaito_aile</t>
    <phoneticPr fontId="2" type="noConversion"/>
  </si>
  <si>
    <t>vo_Kaito_aile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</si>
</sst>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rgb="FF9C0006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4">
    <xf numFmtId="0" fontId="0" fillId="0" borderId="0"/>
    <xf numFmtId="0" fontId="4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1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3" fillId="6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8" fillId="0" borderId="0" xfId="0" applyFont="1" applyAlignment="1">
      <alignment vertical="center" wrapText="1"/>
    </xf>
    <xf numFmtId="0" fontId="19" fillId="0" borderId="0" xfId="3" applyFont="1"/>
    <xf numFmtId="0" fontId="19" fillId="0" borderId="0" xfId="2" applyFont="1">
      <alignment vertical="center"/>
    </xf>
    <xf numFmtId="0" fontId="19" fillId="0" borderId="0" xfId="0" applyFont="1"/>
    <xf numFmtId="0" fontId="6" fillId="0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7" borderId="1" xfId="0" applyFont="1" applyFill="1" applyBorder="1" applyAlignment="1">
      <alignment horizontal="left" vertical="center"/>
    </xf>
  </cellXfs>
  <cellStyles count="4">
    <cellStyle name="나쁨" xfId="1" builtinId="27"/>
    <cellStyle name="표준" xfId="0" builtinId="0"/>
    <cellStyle name="표준 2 2" xfId="3"/>
    <cellStyle name="표준 4 2" xfId="2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9"/>
  <sheetViews>
    <sheetView workbookViewId="0">
      <selection activeCell="D8" sqref="D8"/>
    </sheetView>
  </sheetViews>
  <sheetFormatPr defaultRowHeight="13.5" x14ac:dyDescent="0.25"/>
  <cols>
    <col min="1" max="1" width="10.25" style="11" bestFit="1" customWidth="1"/>
    <col min="2" max="2" width="9" style="11" bestFit="1" customWidth="1"/>
    <col min="3" max="3" width="9" style="11"/>
    <col min="4" max="4" width="21" style="11" bestFit="1" customWidth="1"/>
    <col min="5" max="16384" width="9" style="11"/>
  </cols>
  <sheetData>
    <row r="1" spans="1:4" x14ac:dyDescent="0.25">
      <c r="A1" s="10" t="s">
        <v>388</v>
      </c>
      <c r="B1" s="10" t="s">
        <v>389</v>
      </c>
      <c r="C1" s="10" t="s">
        <v>666</v>
      </c>
      <c r="D1" s="10" t="s">
        <v>667</v>
      </c>
    </row>
    <row r="2" spans="1:4" x14ac:dyDescent="0.25">
      <c r="A2" s="10" t="s">
        <v>105</v>
      </c>
      <c r="B2" s="10" t="s">
        <v>390</v>
      </c>
      <c r="C2" s="10" t="s">
        <v>670</v>
      </c>
      <c r="D2" s="10" t="s">
        <v>672</v>
      </c>
    </row>
    <row r="3" spans="1:4" x14ac:dyDescent="0.25">
      <c r="A3" s="10" t="s">
        <v>391</v>
      </c>
      <c r="B3" s="10" t="s">
        <v>5</v>
      </c>
      <c r="C3" s="10" t="s">
        <v>669</v>
      </c>
      <c r="D3" s="10" t="s">
        <v>671</v>
      </c>
    </row>
    <row r="4" spans="1:4" x14ac:dyDescent="0.25">
      <c r="A4" s="10" t="s">
        <v>7</v>
      </c>
      <c r="B4" s="10" t="s">
        <v>7</v>
      </c>
      <c r="C4" s="10" t="s">
        <v>668</v>
      </c>
      <c r="D4" s="10" t="s">
        <v>668</v>
      </c>
    </row>
    <row r="5" spans="1:4" x14ac:dyDescent="0.25">
      <c r="A5" s="12" t="s">
        <v>106</v>
      </c>
      <c r="B5" s="13">
        <v>20</v>
      </c>
      <c r="C5" s="12" t="s">
        <v>107</v>
      </c>
      <c r="D5" s="12" t="s">
        <v>682</v>
      </c>
    </row>
    <row r="6" spans="1:4" x14ac:dyDescent="0.25">
      <c r="A6" s="12" t="s">
        <v>107</v>
      </c>
      <c r="B6" s="13">
        <v>40</v>
      </c>
      <c r="C6" s="12" t="s">
        <v>107</v>
      </c>
      <c r="D6" s="12" t="s">
        <v>682</v>
      </c>
    </row>
    <row r="7" spans="1:4" x14ac:dyDescent="0.25">
      <c r="A7" s="12" t="s">
        <v>457</v>
      </c>
      <c r="B7" s="13">
        <v>80</v>
      </c>
      <c r="C7" s="12" t="s">
        <v>107</v>
      </c>
      <c r="D7" s="12" t="s">
        <v>682</v>
      </c>
    </row>
    <row r="8" spans="1:4" x14ac:dyDescent="0.25">
      <c r="A8" s="12" t="s">
        <v>108</v>
      </c>
      <c r="B8" s="13">
        <v>100</v>
      </c>
      <c r="C8" s="12" t="s">
        <v>108</v>
      </c>
      <c r="D8" s="12" t="s">
        <v>678</v>
      </c>
    </row>
    <row r="9" spans="1:4" x14ac:dyDescent="0.25">
      <c r="A9" s="12" t="s">
        <v>458</v>
      </c>
      <c r="B9" s="13">
        <v>120</v>
      </c>
      <c r="C9" s="12" t="s">
        <v>108</v>
      </c>
      <c r="D9" s="12" t="s">
        <v>678</v>
      </c>
    </row>
    <row r="10" spans="1:4" x14ac:dyDescent="0.25">
      <c r="A10" s="12" t="s">
        <v>109</v>
      </c>
      <c r="B10" s="13">
        <v>140</v>
      </c>
      <c r="C10" s="12" t="s">
        <v>109</v>
      </c>
      <c r="D10" s="12" t="s">
        <v>679</v>
      </c>
    </row>
    <row r="11" spans="1:4" x14ac:dyDescent="0.25">
      <c r="A11" s="12" t="s">
        <v>110</v>
      </c>
      <c r="B11" s="13">
        <v>160</v>
      </c>
      <c r="C11" s="12" t="s">
        <v>109</v>
      </c>
      <c r="D11" s="12" t="s">
        <v>679</v>
      </c>
    </row>
    <row r="12" spans="1:4" x14ac:dyDescent="0.25">
      <c r="A12" s="12" t="s">
        <v>111</v>
      </c>
      <c r="B12" s="13">
        <v>180</v>
      </c>
      <c r="C12" s="12" t="s">
        <v>111</v>
      </c>
      <c r="D12" s="12" t="s">
        <v>680</v>
      </c>
    </row>
    <row r="13" spans="1:4" x14ac:dyDescent="0.25">
      <c r="A13" s="12" t="s">
        <v>459</v>
      </c>
      <c r="B13" s="13">
        <v>200</v>
      </c>
      <c r="C13" s="12" t="s">
        <v>111</v>
      </c>
      <c r="D13" s="12" t="s">
        <v>680</v>
      </c>
    </row>
    <row r="14" spans="1:4" x14ac:dyDescent="0.25">
      <c r="A14" s="12" t="s">
        <v>561</v>
      </c>
      <c r="B14" s="13">
        <v>240</v>
      </c>
      <c r="C14" s="12" t="s">
        <v>561</v>
      </c>
      <c r="D14" s="12" t="s">
        <v>681</v>
      </c>
    </row>
    <row r="15" spans="1:4" x14ac:dyDescent="0.25">
      <c r="A15" s="12" t="s">
        <v>562</v>
      </c>
      <c r="B15" s="13">
        <v>240</v>
      </c>
      <c r="C15" s="12" t="s">
        <v>561</v>
      </c>
      <c r="D15" s="12" t="s">
        <v>681</v>
      </c>
    </row>
    <row r="16" spans="1:4" x14ac:dyDescent="0.25">
      <c r="A16" s="12" t="s">
        <v>563</v>
      </c>
      <c r="B16" s="13">
        <v>240</v>
      </c>
      <c r="C16" s="12" t="s">
        <v>561</v>
      </c>
      <c r="D16" s="12" t="s">
        <v>681</v>
      </c>
    </row>
    <row r="17" spans="1:4" x14ac:dyDescent="0.25">
      <c r="A17" s="12" t="s">
        <v>564</v>
      </c>
      <c r="B17" s="13">
        <v>240</v>
      </c>
      <c r="C17" s="12" t="s">
        <v>561</v>
      </c>
      <c r="D17" s="12" t="s">
        <v>681</v>
      </c>
    </row>
    <row r="18" spans="1:4" x14ac:dyDescent="0.25">
      <c r="A18" s="12" t="s">
        <v>565</v>
      </c>
      <c r="B18" s="13">
        <v>240</v>
      </c>
      <c r="C18" s="12" t="s">
        <v>561</v>
      </c>
      <c r="D18" s="12" t="s">
        <v>681</v>
      </c>
    </row>
    <row r="19" spans="1:4" x14ac:dyDescent="0.25">
      <c r="A19" s="12" t="s">
        <v>566</v>
      </c>
      <c r="B19" s="13">
        <v>240</v>
      </c>
      <c r="C19" s="12" t="s">
        <v>561</v>
      </c>
      <c r="D19" s="12" t="s">
        <v>681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E12" sqref="E12"/>
    </sheetView>
  </sheetViews>
  <sheetFormatPr defaultRowHeight="13.5" x14ac:dyDescent="0.25"/>
  <cols>
    <col min="1" max="1" width="15.125" style="11" bestFit="1" customWidth="1"/>
    <col min="2" max="2" width="9.5" style="11" bestFit="1" customWidth="1"/>
    <col min="3" max="3" width="23" style="11" bestFit="1" customWidth="1"/>
    <col min="4" max="4" width="26.5" style="11" bestFit="1" customWidth="1"/>
    <col min="5" max="5" width="23.125" style="11" bestFit="1" customWidth="1"/>
    <col min="6" max="16384" width="9" style="11"/>
  </cols>
  <sheetData>
    <row r="1" spans="1:5" x14ac:dyDescent="0.25">
      <c r="A1" s="10" t="s">
        <v>599</v>
      </c>
      <c r="B1" s="10" t="s">
        <v>388</v>
      </c>
      <c r="C1" s="10" t="s">
        <v>614</v>
      </c>
      <c r="D1" s="10" t="s">
        <v>615</v>
      </c>
      <c r="E1" s="10" t="s">
        <v>472</v>
      </c>
    </row>
    <row r="2" spans="1:5" x14ac:dyDescent="0.25">
      <c r="A2" s="20" t="s">
        <v>600</v>
      </c>
      <c r="B2" s="10" t="s">
        <v>613</v>
      </c>
      <c r="C2" s="10" t="s">
        <v>616</v>
      </c>
      <c r="D2" s="10" t="s">
        <v>617</v>
      </c>
      <c r="E2" s="10" t="s">
        <v>468</v>
      </c>
    </row>
    <row r="3" spans="1:5" x14ac:dyDescent="0.25">
      <c r="A3" s="20" t="s">
        <v>90</v>
      </c>
      <c r="B3" s="10" t="s">
        <v>391</v>
      </c>
      <c r="C3" s="10" t="s">
        <v>618</v>
      </c>
      <c r="D3" s="10" t="s">
        <v>619</v>
      </c>
      <c r="E3" s="10" t="s">
        <v>469</v>
      </c>
    </row>
    <row r="4" spans="1:5" x14ac:dyDescent="0.25">
      <c r="A4" s="20" t="s">
        <v>7</v>
      </c>
      <c r="B4" s="10" t="s">
        <v>7</v>
      </c>
      <c r="C4" s="10" t="s">
        <v>7</v>
      </c>
      <c r="D4" s="10" t="s">
        <v>7</v>
      </c>
      <c r="E4" s="10" t="s">
        <v>7</v>
      </c>
    </row>
    <row r="5" spans="1:5" x14ac:dyDescent="0.25">
      <c r="A5" s="11" t="s">
        <v>628</v>
      </c>
    </row>
    <row r="6" spans="1:5" x14ac:dyDescent="0.25">
      <c r="B6" s="11" t="s">
        <v>106</v>
      </c>
      <c r="E6" s="11">
        <v>0</v>
      </c>
    </row>
    <row r="7" spans="1:5" x14ac:dyDescent="0.25">
      <c r="B7" s="11" t="s">
        <v>107</v>
      </c>
      <c r="E7" s="11">
        <v>0</v>
      </c>
    </row>
    <row r="8" spans="1:5" x14ac:dyDescent="0.25">
      <c r="B8" s="11" t="s">
        <v>457</v>
      </c>
      <c r="E8" s="11">
        <v>0</v>
      </c>
    </row>
    <row r="9" spans="1:5" x14ac:dyDescent="0.25">
      <c r="B9" s="11" t="s">
        <v>108</v>
      </c>
      <c r="E9" s="11">
        <v>0</v>
      </c>
    </row>
    <row r="10" spans="1:5" x14ac:dyDescent="0.25">
      <c r="B10" s="11" t="s">
        <v>458</v>
      </c>
      <c r="E10" s="11">
        <v>0</v>
      </c>
    </row>
    <row r="11" spans="1:5" x14ac:dyDescent="0.25">
      <c r="B11" s="11" t="s">
        <v>109</v>
      </c>
      <c r="C11" s="11" t="s">
        <v>620</v>
      </c>
      <c r="D11" s="11" t="s">
        <v>653</v>
      </c>
      <c r="E11" s="11">
        <v>2</v>
      </c>
    </row>
    <row r="12" spans="1:5" x14ac:dyDescent="0.25">
      <c r="B12" s="11" t="s">
        <v>110</v>
      </c>
      <c r="C12" s="11" t="s">
        <v>621</v>
      </c>
      <c r="D12" s="11" t="s">
        <v>654</v>
      </c>
      <c r="E12" s="11">
        <v>4</v>
      </c>
    </row>
    <row r="13" spans="1:5" x14ac:dyDescent="0.25">
      <c r="B13" s="11" t="s">
        <v>111</v>
      </c>
      <c r="C13" s="11" t="s">
        <v>622</v>
      </c>
      <c r="D13" s="11" t="s">
        <v>655</v>
      </c>
      <c r="E13" s="11">
        <v>4</v>
      </c>
    </row>
    <row r="14" spans="1:5" x14ac:dyDescent="0.25">
      <c r="B14" s="11" t="s">
        <v>459</v>
      </c>
      <c r="C14" s="11" t="s">
        <v>623</v>
      </c>
      <c r="D14" s="11" t="s">
        <v>656</v>
      </c>
      <c r="E14" s="11">
        <v>4</v>
      </c>
    </row>
    <row r="15" spans="1:5" x14ac:dyDescent="0.25">
      <c r="B15" s="11" t="s">
        <v>561</v>
      </c>
      <c r="C15" s="11" t="s">
        <v>622</v>
      </c>
      <c r="D15" s="11" t="s">
        <v>634</v>
      </c>
      <c r="E15" s="11">
        <v>8</v>
      </c>
    </row>
    <row r="16" spans="1:5" x14ac:dyDescent="0.25">
      <c r="B16" s="11" t="s">
        <v>562</v>
      </c>
      <c r="C16" s="11" t="s">
        <v>623</v>
      </c>
      <c r="D16" s="11" t="s">
        <v>635</v>
      </c>
      <c r="E16" s="11">
        <v>10</v>
      </c>
    </row>
    <row r="17" spans="1:5" x14ac:dyDescent="0.25">
      <c r="B17" s="11" t="s">
        <v>563</v>
      </c>
      <c r="C17" s="11" t="s">
        <v>624</v>
      </c>
      <c r="D17" s="11" t="s">
        <v>636</v>
      </c>
      <c r="E17" s="11">
        <v>12</v>
      </c>
    </row>
    <row r="18" spans="1:5" x14ac:dyDescent="0.25">
      <c r="B18" s="11" t="s">
        <v>564</v>
      </c>
      <c r="C18" s="11" t="s">
        <v>625</v>
      </c>
      <c r="D18" s="11" t="s">
        <v>637</v>
      </c>
      <c r="E18" s="11">
        <v>14</v>
      </c>
    </row>
    <row r="19" spans="1:5" x14ac:dyDescent="0.25">
      <c r="B19" s="11" t="s">
        <v>565</v>
      </c>
      <c r="C19" s="11" t="s">
        <v>626</v>
      </c>
      <c r="D19" s="11" t="s">
        <v>638</v>
      </c>
      <c r="E19" s="11">
        <v>16</v>
      </c>
    </row>
    <row r="20" spans="1:5" x14ac:dyDescent="0.25">
      <c r="B20" s="11" t="s">
        <v>566</v>
      </c>
      <c r="C20" s="11" t="s">
        <v>627</v>
      </c>
      <c r="D20" s="11" t="s">
        <v>639</v>
      </c>
      <c r="E20" s="11">
        <v>18</v>
      </c>
    </row>
    <row r="21" spans="1:5" x14ac:dyDescent="0.25">
      <c r="A21" s="11" t="s">
        <v>629</v>
      </c>
    </row>
    <row r="22" spans="1:5" x14ac:dyDescent="0.25">
      <c r="B22" s="11" t="s">
        <v>106</v>
      </c>
      <c r="E22" s="11">
        <v>0</v>
      </c>
    </row>
    <row r="23" spans="1:5" x14ac:dyDescent="0.25">
      <c r="B23" s="11" t="s">
        <v>107</v>
      </c>
      <c r="E23" s="11">
        <v>0</v>
      </c>
    </row>
    <row r="24" spans="1:5" x14ac:dyDescent="0.25">
      <c r="B24" s="11" t="s">
        <v>457</v>
      </c>
      <c r="E24" s="11">
        <v>0</v>
      </c>
    </row>
    <row r="25" spans="1:5" x14ac:dyDescent="0.25">
      <c r="B25" s="11" t="s">
        <v>108</v>
      </c>
      <c r="E25" s="11">
        <v>0</v>
      </c>
    </row>
    <row r="26" spans="1:5" x14ac:dyDescent="0.25">
      <c r="B26" s="11" t="s">
        <v>458</v>
      </c>
      <c r="E26" s="11">
        <v>0</v>
      </c>
    </row>
    <row r="27" spans="1:5" x14ac:dyDescent="0.25">
      <c r="B27" s="11" t="s">
        <v>109</v>
      </c>
      <c r="C27" s="11" t="s">
        <v>620</v>
      </c>
      <c r="D27" s="11" t="s">
        <v>657</v>
      </c>
      <c r="E27" s="11">
        <v>2</v>
      </c>
    </row>
    <row r="28" spans="1:5" x14ac:dyDescent="0.25">
      <c r="B28" s="11" t="s">
        <v>110</v>
      </c>
      <c r="C28" s="11" t="s">
        <v>621</v>
      </c>
      <c r="D28" s="11" t="s">
        <v>658</v>
      </c>
      <c r="E28" s="11">
        <v>4</v>
      </c>
    </row>
    <row r="29" spans="1:5" x14ac:dyDescent="0.25">
      <c r="B29" s="11" t="s">
        <v>111</v>
      </c>
      <c r="C29" s="11" t="s">
        <v>622</v>
      </c>
      <c r="D29" s="11" t="s">
        <v>659</v>
      </c>
      <c r="E29" s="11">
        <v>4</v>
      </c>
    </row>
    <row r="30" spans="1:5" x14ac:dyDescent="0.25">
      <c r="B30" s="11" t="s">
        <v>459</v>
      </c>
      <c r="C30" s="11" t="s">
        <v>623</v>
      </c>
      <c r="D30" s="11" t="s">
        <v>660</v>
      </c>
      <c r="E30" s="11">
        <v>4</v>
      </c>
    </row>
    <row r="31" spans="1:5" x14ac:dyDescent="0.25">
      <c r="B31" s="11" t="s">
        <v>561</v>
      </c>
      <c r="C31" s="11" t="s">
        <v>622</v>
      </c>
      <c r="D31" s="11" t="s">
        <v>640</v>
      </c>
      <c r="E31" s="11">
        <v>8</v>
      </c>
    </row>
    <row r="32" spans="1:5" x14ac:dyDescent="0.25">
      <c r="B32" s="11" t="s">
        <v>562</v>
      </c>
      <c r="C32" s="11" t="s">
        <v>623</v>
      </c>
      <c r="D32" s="11" t="s">
        <v>641</v>
      </c>
      <c r="E32" s="11">
        <v>10</v>
      </c>
    </row>
    <row r="33" spans="1:5" x14ac:dyDescent="0.25">
      <c r="B33" s="11" t="s">
        <v>563</v>
      </c>
      <c r="C33" s="11" t="s">
        <v>624</v>
      </c>
      <c r="D33" s="11" t="s">
        <v>642</v>
      </c>
      <c r="E33" s="11">
        <v>12</v>
      </c>
    </row>
    <row r="34" spans="1:5" x14ac:dyDescent="0.25">
      <c r="B34" s="11" t="s">
        <v>564</v>
      </c>
      <c r="C34" s="11" t="s">
        <v>625</v>
      </c>
      <c r="D34" s="11" t="s">
        <v>643</v>
      </c>
      <c r="E34" s="11">
        <v>14</v>
      </c>
    </row>
    <row r="35" spans="1:5" x14ac:dyDescent="0.25">
      <c r="B35" s="11" t="s">
        <v>565</v>
      </c>
      <c r="C35" s="11" t="s">
        <v>626</v>
      </c>
      <c r="D35" s="11" t="s">
        <v>644</v>
      </c>
      <c r="E35" s="11">
        <v>16</v>
      </c>
    </row>
    <row r="36" spans="1:5" x14ac:dyDescent="0.25">
      <c r="B36" s="11" t="s">
        <v>566</v>
      </c>
      <c r="C36" s="11" t="s">
        <v>627</v>
      </c>
      <c r="D36" s="11" t="s">
        <v>645</v>
      </c>
      <c r="E36" s="11">
        <v>18</v>
      </c>
    </row>
    <row r="37" spans="1:5" x14ac:dyDescent="0.25">
      <c r="A37" s="11" t="s">
        <v>630</v>
      </c>
    </row>
    <row r="38" spans="1:5" x14ac:dyDescent="0.25">
      <c r="B38" s="11" t="s">
        <v>106</v>
      </c>
      <c r="E38" s="11">
        <v>0</v>
      </c>
    </row>
    <row r="39" spans="1:5" x14ac:dyDescent="0.25">
      <c r="B39" s="11" t="s">
        <v>107</v>
      </c>
      <c r="E39" s="11">
        <v>0</v>
      </c>
    </row>
    <row r="40" spans="1:5" x14ac:dyDescent="0.25">
      <c r="B40" s="11" t="s">
        <v>457</v>
      </c>
      <c r="E40" s="11">
        <v>0</v>
      </c>
    </row>
    <row r="41" spans="1:5" x14ac:dyDescent="0.25">
      <c r="B41" s="11" t="s">
        <v>108</v>
      </c>
      <c r="E41" s="11">
        <v>0</v>
      </c>
    </row>
    <row r="42" spans="1:5" x14ac:dyDescent="0.25">
      <c r="B42" s="11" t="s">
        <v>458</v>
      </c>
      <c r="E42" s="11">
        <v>0</v>
      </c>
    </row>
    <row r="43" spans="1:5" x14ac:dyDescent="0.25">
      <c r="B43" s="11" t="s">
        <v>109</v>
      </c>
      <c r="C43" s="11" t="s">
        <v>620</v>
      </c>
      <c r="D43" s="11" t="s">
        <v>646</v>
      </c>
      <c r="E43" s="11">
        <v>2</v>
      </c>
    </row>
    <row r="44" spans="1:5" x14ac:dyDescent="0.25">
      <c r="B44" s="11" t="s">
        <v>110</v>
      </c>
      <c r="C44" s="11" t="s">
        <v>621</v>
      </c>
      <c r="D44" s="11" t="s">
        <v>661</v>
      </c>
      <c r="E44" s="11">
        <v>4</v>
      </c>
    </row>
    <row r="45" spans="1:5" x14ac:dyDescent="0.25">
      <c r="B45" s="11" t="s">
        <v>111</v>
      </c>
      <c r="C45" s="11" t="s">
        <v>622</v>
      </c>
      <c r="D45" s="11" t="s">
        <v>662</v>
      </c>
      <c r="E45" s="11">
        <v>4</v>
      </c>
    </row>
    <row r="46" spans="1:5" x14ac:dyDescent="0.25">
      <c r="B46" s="11" t="s">
        <v>459</v>
      </c>
      <c r="C46" s="11" t="s">
        <v>623</v>
      </c>
      <c r="D46" s="11" t="s">
        <v>663</v>
      </c>
      <c r="E46" s="11">
        <v>4</v>
      </c>
    </row>
    <row r="47" spans="1:5" x14ac:dyDescent="0.25">
      <c r="B47" s="11" t="s">
        <v>561</v>
      </c>
      <c r="C47" s="11" t="s">
        <v>622</v>
      </c>
      <c r="D47" s="11" t="s">
        <v>647</v>
      </c>
      <c r="E47" s="11">
        <v>8</v>
      </c>
    </row>
    <row r="48" spans="1:5" x14ac:dyDescent="0.25">
      <c r="B48" s="11" t="s">
        <v>562</v>
      </c>
      <c r="C48" s="11" t="s">
        <v>623</v>
      </c>
      <c r="D48" s="11" t="s">
        <v>648</v>
      </c>
      <c r="E48" s="11">
        <v>10</v>
      </c>
    </row>
    <row r="49" spans="1:5" x14ac:dyDescent="0.25">
      <c r="B49" s="11" t="s">
        <v>563</v>
      </c>
      <c r="C49" s="11" t="s">
        <v>624</v>
      </c>
      <c r="D49" s="11" t="s">
        <v>649</v>
      </c>
      <c r="E49" s="11">
        <v>12</v>
      </c>
    </row>
    <row r="50" spans="1:5" x14ac:dyDescent="0.25">
      <c r="B50" s="11" t="s">
        <v>564</v>
      </c>
      <c r="C50" s="11" t="s">
        <v>625</v>
      </c>
      <c r="D50" s="11" t="s">
        <v>650</v>
      </c>
      <c r="E50" s="11">
        <v>14</v>
      </c>
    </row>
    <row r="51" spans="1:5" x14ac:dyDescent="0.25">
      <c r="B51" s="11" t="s">
        <v>565</v>
      </c>
      <c r="C51" s="11" t="s">
        <v>626</v>
      </c>
      <c r="D51" s="11" t="s">
        <v>651</v>
      </c>
      <c r="E51" s="11">
        <v>16</v>
      </c>
    </row>
    <row r="52" spans="1:5" x14ac:dyDescent="0.25">
      <c r="B52" s="11" t="s">
        <v>566</v>
      </c>
      <c r="C52" s="11" t="s">
        <v>627</v>
      </c>
      <c r="D52" s="11" t="s">
        <v>652</v>
      </c>
      <c r="E52" s="11">
        <v>18</v>
      </c>
    </row>
    <row r="53" spans="1:5" x14ac:dyDescent="0.25">
      <c r="A53" s="11" t="s">
        <v>631</v>
      </c>
    </row>
    <row r="54" spans="1:5" x14ac:dyDescent="0.25">
      <c r="B54" s="11" t="s">
        <v>106</v>
      </c>
      <c r="E54" s="11">
        <v>0</v>
      </c>
    </row>
    <row r="55" spans="1:5" x14ac:dyDescent="0.25">
      <c r="B55" s="11" t="s">
        <v>107</v>
      </c>
      <c r="E55" s="11">
        <v>0</v>
      </c>
    </row>
    <row r="56" spans="1:5" x14ac:dyDescent="0.25">
      <c r="B56" s="11" t="s">
        <v>457</v>
      </c>
      <c r="E56" s="11">
        <v>0</v>
      </c>
    </row>
    <row r="57" spans="1:5" x14ac:dyDescent="0.25">
      <c r="B57" s="11" t="s">
        <v>108</v>
      </c>
      <c r="E57" s="11">
        <v>0</v>
      </c>
    </row>
    <row r="58" spans="1:5" x14ac:dyDescent="0.25">
      <c r="B58" s="11" t="s">
        <v>458</v>
      </c>
      <c r="C58" s="11" t="s">
        <v>708</v>
      </c>
      <c r="E58" s="11">
        <v>2</v>
      </c>
    </row>
    <row r="59" spans="1:5" x14ac:dyDescent="0.25">
      <c r="B59" s="11" t="s">
        <v>109</v>
      </c>
      <c r="C59" s="11" t="s">
        <v>707</v>
      </c>
      <c r="E59" s="11">
        <v>3</v>
      </c>
    </row>
    <row r="60" spans="1:5" x14ac:dyDescent="0.25">
      <c r="B60" s="11" t="s">
        <v>110</v>
      </c>
      <c r="C60" s="11" t="s">
        <v>621</v>
      </c>
      <c r="E60" s="11">
        <v>4</v>
      </c>
    </row>
    <row r="61" spans="1:5" x14ac:dyDescent="0.25">
      <c r="B61" s="11" t="s">
        <v>111</v>
      </c>
      <c r="C61" s="11" t="s">
        <v>622</v>
      </c>
      <c r="E61" s="11">
        <v>5</v>
      </c>
    </row>
    <row r="62" spans="1:5" x14ac:dyDescent="0.25">
      <c r="B62" s="11" t="s">
        <v>459</v>
      </c>
      <c r="C62" s="11" t="s">
        <v>623</v>
      </c>
      <c r="E62" s="11">
        <v>6</v>
      </c>
    </row>
    <row r="63" spans="1:5" x14ac:dyDescent="0.25">
      <c r="B63" s="11" t="s">
        <v>561</v>
      </c>
      <c r="C63" s="11" t="s">
        <v>622</v>
      </c>
      <c r="E63" s="11">
        <v>7</v>
      </c>
    </row>
    <row r="64" spans="1:5" x14ac:dyDescent="0.25">
      <c r="B64" s="11" t="s">
        <v>562</v>
      </c>
      <c r="C64" s="11" t="s">
        <v>623</v>
      </c>
      <c r="E64" s="11">
        <v>8</v>
      </c>
    </row>
    <row r="65" spans="2:5" x14ac:dyDescent="0.25">
      <c r="B65" s="11" t="s">
        <v>563</v>
      </c>
      <c r="C65" s="11" t="s">
        <v>624</v>
      </c>
      <c r="E65" s="11">
        <v>9</v>
      </c>
    </row>
    <row r="66" spans="2:5" x14ac:dyDescent="0.25">
      <c r="B66" s="11" t="s">
        <v>564</v>
      </c>
      <c r="C66" s="11" t="s">
        <v>625</v>
      </c>
      <c r="E66" s="11">
        <v>10</v>
      </c>
    </row>
    <row r="67" spans="2:5" x14ac:dyDescent="0.25">
      <c r="B67" s="11" t="s">
        <v>565</v>
      </c>
      <c r="C67" s="11" t="s">
        <v>626</v>
      </c>
      <c r="E67" s="11">
        <v>11</v>
      </c>
    </row>
    <row r="68" spans="2:5" x14ac:dyDescent="0.25">
      <c r="B68" s="11" t="s">
        <v>566</v>
      </c>
      <c r="C68" s="11" t="s">
        <v>627</v>
      </c>
      <c r="E68" s="11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304"/>
  <sheetViews>
    <sheetView workbookViewId="0">
      <selection activeCell="D12" sqref="D12"/>
    </sheetView>
  </sheetViews>
  <sheetFormatPr defaultColWidth="9" defaultRowHeight="16.5" x14ac:dyDescent="0.3"/>
  <cols>
    <col min="1" max="1" width="9" style="3" customWidth="1"/>
    <col min="2" max="2" width="17.75" style="3" bestFit="1" customWidth="1"/>
    <col min="3" max="3" width="16.375" style="3" customWidth="1"/>
    <col min="4" max="4" width="16" style="3" customWidth="1"/>
    <col min="5" max="5" width="9" style="3"/>
    <col min="6" max="6" width="17.75" style="3" bestFit="1" customWidth="1"/>
    <col min="7" max="16384" width="9" style="3"/>
  </cols>
  <sheetData>
    <row r="1" spans="1:6" ht="33" x14ac:dyDescent="0.3">
      <c r="A1" s="1" t="s">
        <v>0</v>
      </c>
      <c r="B1" s="1" t="s">
        <v>382</v>
      </c>
      <c r="C1" s="1" t="s">
        <v>383</v>
      </c>
      <c r="D1" s="1" t="s">
        <v>384</v>
      </c>
      <c r="E1" s="1" t="s">
        <v>1</v>
      </c>
      <c r="F1" s="1" t="s">
        <v>412</v>
      </c>
    </row>
    <row r="2" spans="1:6" x14ac:dyDescent="0.3">
      <c r="A2" s="1" t="s">
        <v>2</v>
      </c>
      <c r="B2" s="1" t="s">
        <v>385</v>
      </c>
      <c r="C2" s="1" t="s">
        <v>386</v>
      </c>
      <c r="D2" s="1" t="s">
        <v>387</v>
      </c>
      <c r="E2" s="1" t="s">
        <v>3</v>
      </c>
      <c r="F2" s="1" t="s">
        <v>413</v>
      </c>
    </row>
    <row r="3" spans="1:6" x14ac:dyDescent="0.3">
      <c r="A3" s="1" t="s">
        <v>4</v>
      </c>
      <c r="B3" s="1" t="s">
        <v>5</v>
      </c>
      <c r="C3" s="1" t="s">
        <v>5</v>
      </c>
      <c r="D3" s="1" t="s">
        <v>5</v>
      </c>
      <c r="E3" s="1" t="s">
        <v>6</v>
      </c>
      <c r="F3" s="1" t="s">
        <v>414</v>
      </c>
    </row>
    <row r="4" spans="1:6" x14ac:dyDescent="0.3">
      <c r="A4" s="1" t="s">
        <v>7</v>
      </c>
      <c r="B4" s="1" t="s">
        <v>7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 x14ac:dyDescent="0.3">
      <c r="A5" s="2" t="s">
        <v>8</v>
      </c>
      <c r="B5" s="2">
        <v>440</v>
      </c>
      <c r="C5" s="7">
        <v>160</v>
      </c>
      <c r="D5" s="8">
        <v>0</v>
      </c>
      <c r="E5" s="2"/>
      <c r="F5" s="2" t="s">
        <v>415</v>
      </c>
    </row>
    <row r="6" spans="1:6" x14ac:dyDescent="0.3">
      <c r="A6" s="2" t="s">
        <v>9</v>
      </c>
      <c r="B6" s="2">
        <v>450</v>
      </c>
      <c r="C6" s="7">
        <v>160</v>
      </c>
      <c r="D6" s="8">
        <v>0</v>
      </c>
      <c r="E6" s="2"/>
      <c r="F6" s="2" t="s">
        <v>415</v>
      </c>
    </row>
    <row r="7" spans="1:6" x14ac:dyDescent="0.3">
      <c r="A7" s="2" t="s">
        <v>10</v>
      </c>
      <c r="B7" s="2">
        <v>470</v>
      </c>
      <c r="C7" s="7">
        <v>170</v>
      </c>
      <c r="D7" s="8">
        <v>0</v>
      </c>
      <c r="E7" s="2"/>
      <c r="F7" s="2" t="s">
        <v>415</v>
      </c>
    </row>
    <row r="8" spans="1:6" x14ac:dyDescent="0.3">
      <c r="A8" s="2" t="s">
        <v>11</v>
      </c>
      <c r="B8" s="2">
        <v>490</v>
      </c>
      <c r="C8" s="7">
        <v>180</v>
      </c>
      <c r="D8" s="8">
        <v>0</v>
      </c>
      <c r="E8" s="2"/>
      <c r="F8" s="2" t="s">
        <v>415</v>
      </c>
    </row>
    <row r="9" spans="1:6" x14ac:dyDescent="0.3">
      <c r="A9" s="2" t="s">
        <v>12</v>
      </c>
      <c r="B9" s="2">
        <v>530</v>
      </c>
      <c r="C9" s="7">
        <v>190</v>
      </c>
      <c r="D9" s="8">
        <v>0</v>
      </c>
      <c r="E9" s="2"/>
      <c r="F9" s="2" t="s">
        <v>415</v>
      </c>
    </row>
    <row r="10" spans="1:6" x14ac:dyDescent="0.3">
      <c r="A10" s="2" t="s">
        <v>13</v>
      </c>
      <c r="B10" s="2">
        <v>570</v>
      </c>
      <c r="C10" s="7">
        <v>200</v>
      </c>
      <c r="D10" s="8">
        <v>0</v>
      </c>
      <c r="E10" s="2"/>
      <c r="F10" s="2" t="s">
        <v>415</v>
      </c>
    </row>
    <row r="11" spans="1:6" x14ac:dyDescent="0.3">
      <c r="A11" s="2" t="s">
        <v>14</v>
      </c>
      <c r="B11" s="2">
        <v>630</v>
      </c>
      <c r="C11" s="7">
        <v>220</v>
      </c>
      <c r="D11" s="8">
        <v>0</v>
      </c>
      <c r="E11" s="2"/>
      <c r="F11" s="2" t="s">
        <v>415</v>
      </c>
    </row>
    <row r="12" spans="1:6" x14ac:dyDescent="0.3">
      <c r="A12" s="2" t="s">
        <v>15</v>
      </c>
      <c r="B12" s="2">
        <v>700</v>
      </c>
      <c r="C12" s="7">
        <v>250</v>
      </c>
      <c r="D12" s="8">
        <v>0</v>
      </c>
      <c r="E12" s="2"/>
      <c r="F12" s="2" t="s">
        <v>415</v>
      </c>
    </row>
    <row r="13" spans="1:6" x14ac:dyDescent="0.3">
      <c r="A13" s="2" t="s">
        <v>16</v>
      </c>
      <c r="B13" s="2">
        <v>790</v>
      </c>
      <c r="C13" s="7">
        <v>280</v>
      </c>
      <c r="D13" s="8">
        <v>0</v>
      </c>
      <c r="E13" s="2"/>
      <c r="F13" s="2" t="s">
        <v>415</v>
      </c>
    </row>
    <row r="14" spans="1:6" x14ac:dyDescent="0.3">
      <c r="A14" s="2" t="s">
        <v>17</v>
      </c>
      <c r="B14" s="2">
        <v>880</v>
      </c>
      <c r="C14" s="7">
        <v>310</v>
      </c>
      <c r="D14" s="7">
        <v>50</v>
      </c>
      <c r="E14" s="2"/>
      <c r="F14" s="2" t="s">
        <v>415</v>
      </c>
    </row>
    <row r="15" spans="1:6" x14ac:dyDescent="0.3">
      <c r="A15" s="2" t="s">
        <v>18</v>
      </c>
      <c r="B15" s="2">
        <v>980</v>
      </c>
      <c r="C15" s="7">
        <v>340</v>
      </c>
      <c r="D15" s="8">
        <v>0</v>
      </c>
      <c r="E15" s="2"/>
      <c r="F15" s="2" t="s">
        <v>415</v>
      </c>
    </row>
    <row r="16" spans="1:6" x14ac:dyDescent="0.3">
      <c r="A16" s="2" t="s">
        <v>19</v>
      </c>
      <c r="B16" s="2">
        <v>1110</v>
      </c>
      <c r="C16" s="7">
        <v>540</v>
      </c>
      <c r="D16" s="8">
        <v>0</v>
      </c>
      <c r="E16" s="2"/>
      <c r="F16" s="2" t="s">
        <v>415</v>
      </c>
    </row>
    <row r="17" spans="1:6" x14ac:dyDescent="0.3">
      <c r="A17" s="2" t="s">
        <v>20</v>
      </c>
      <c r="B17" s="2">
        <v>1260</v>
      </c>
      <c r="C17" s="7">
        <v>590</v>
      </c>
      <c r="D17" s="8">
        <v>0</v>
      </c>
      <c r="E17" s="2"/>
      <c r="F17" s="2" t="s">
        <v>415</v>
      </c>
    </row>
    <row r="18" spans="1:6" x14ac:dyDescent="0.3">
      <c r="A18" s="2" t="s">
        <v>21</v>
      </c>
      <c r="B18" s="2">
        <v>1430</v>
      </c>
      <c r="C18" s="7">
        <v>650</v>
      </c>
      <c r="D18" s="8">
        <v>0</v>
      </c>
      <c r="E18" s="2"/>
      <c r="F18" s="2" t="s">
        <v>415</v>
      </c>
    </row>
    <row r="19" spans="1:6" x14ac:dyDescent="0.3">
      <c r="A19" s="2" t="s">
        <v>22</v>
      </c>
      <c r="B19" s="2">
        <v>1650</v>
      </c>
      <c r="C19" s="7">
        <v>730</v>
      </c>
      <c r="D19" s="8">
        <v>0</v>
      </c>
      <c r="E19" s="2"/>
      <c r="F19" s="2" t="s">
        <v>415</v>
      </c>
    </row>
    <row r="20" spans="1:6" x14ac:dyDescent="0.3">
      <c r="A20" s="2" t="s">
        <v>23</v>
      </c>
      <c r="B20" s="2">
        <v>1910</v>
      </c>
      <c r="C20" s="7">
        <v>810</v>
      </c>
      <c r="D20" s="8">
        <v>0</v>
      </c>
      <c r="E20" s="2"/>
      <c r="F20" s="2" t="s">
        <v>415</v>
      </c>
    </row>
    <row r="21" spans="1:6" x14ac:dyDescent="0.3">
      <c r="A21" s="2" t="s">
        <v>24</v>
      </c>
      <c r="B21" s="2">
        <v>2220</v>
      </c>
      <c r="C21" s="7">
        <v>930</v>
      </c>
      <c r="D21" s="8">
        <v>0</v>
      </c>
      <c r="E21" s="2"/>
      <c r="F21" s="2" t="s">
        <v>415</v>
      </c>
    </row>
    <row r="22" spans="1:6" x14ac:dyDescent="0.3">
      <c r="A22" s="2" t="s">
        <v>25</v>
      </c>
      <c r="B22" s="2">
        <v>2590</v>
      </c>
      <c r="C22" s="7">
        <v>1050</v>
      </c>
      <c r="D22" s="8">
        <v>0</v>
      </c>
      <c r="E22" s="2"/>
      <c r="F22" s="2" t="s">
        <v>415</v>
      </c>
    </row>
    <row r="23" spans="1:6" x14ac:dyDescent="0.3">
      <c r="A23" s="2" t="s">
        <v>26</v>
      </c>
      <c r="B23" s="2">
        <v>4230</v>
      </c>
      <c r="C23" s="7">
        <v>1430</v>
      </c>
      <c r="D23" s="8">
        <v>0</v>
      </c>
      <c r="E23" s="2"/>
      <c r="F23" s="2" t="s">
        <v>415</v>
      </c>
    </row>
    <row r="24" spans="1:6" x14ac:dyDescent="0.3">
      <c r="A24" s="2" t="s">
        <v>27</v>
      </c>
      <c r="B24" s="2">
        <v>4670</v>
      </c>
      <c r="C24" s="7">
        <v>1550</v>
      </c>
      <c r="D24" s="7">
        <v>400</v>
      </c>
      <c r="E24" s="2"/>
      <c r="F24" s="2" t="s">
        <v>415</v>
      </c>
    </row>
    <row r="25" spans="1:6" x14ac:dyDescent="0.3">
      <c r="A25" s="2" t="s">
        <v>28</v>
      </c>
      <c r="B25" s="2">
        <v>4900</v>
      </c>
      <c r="C25" s="7">
        <v>1620</v>
      </c>
      <c r="D25" s="8">
        <v>0</v>
      </c>
      <c r="E25" s="2"/>
      <c r="F25" s="2" t="s">
        <v>416</v>
      </c>
    </row>
    <row r="26" spans="1:6" x14ac:dyDescent="0.3">
      <c r="A26" s="2" t="s">
        <v>29</v>
      </c>
      <c r="B26" s="2">
        <v>5150</v>
      </c>
      <c r="C26" s="7">
        <v>1690</v>
      </c>
      <c r="D26" s="8">
        <v>0</v>
      </c>
      <c r="E26" s="2"/>
      <c r="F26" s="2" t="s">
        <v>416</v>
      </c>
    </row>
    <row r="27" spans="1:6" x14ac:dyDescent="0.3">
      <c r="A27" s="2" t="s">
        <v>30</v>
      </c>
      <c r="B27" s="2">
        <v>5370</v>
      </c>
      <c r="C27" s="7">
        <v>1760</v>
      </c>
      <c r="D27" s="8">
        <v>0</v>
      </c>
      <c r="E27" s="2"/>
      <c r="F27" s="2" t="s">
        <v>416</v>
      </c>
    </row>
    <row r="28" spans="1:6" x14ac:dyDescent="0.3">
      <c r="A28" s="2" t="s">
        <v>31</v>
      </c>
      <c r="B28" s="2">
        <v>5620</v>
      </c>
      <c r="C28" s="7">
        <v>1850</v>
      </c>
      <c r="D28" s="8">
        <v>0</v>
      </c>
      <c r="E28" s="2"/>
      <c r="F28" s="2" t="s">
        <v>416</v>
      </c>
    </row>
    <row r="29" spans="1:6" x14ac:dyDescent="0.3">
      <c r="A29" s="2" t="s">
        <v>32</v>
      </c>
      <c r="B29" s="2">
        <v>6060</v>
      </c>
      <c r="C29" s="7">
        <v>2110</v>
      </c>
      <c r="D29" s="8">
        <v>0</v>
      </c>
      <c r="E29" s="2"/>
      <c r="F29" s="2" t="s">
        <v>416</v>
      </c>
    </row>
    <row r="30" spans="1:6" x14ac:dyDescent="0.3">
      <c r="A30" s="2" t="s">
        <v>33</v>
      </c>
      <c r="B30" s="2">
        <v>6330</v>
      </c>
      <c r="C30" s="7">
        <v>2200</v>
      </c>
      <c r="D30" s="8">
        <v>0</v>
      </c>
      <c r="E30" s="2"/>
      <c r="F30" s="2" t="s">
        <v>416</v>
      </c>
    </row>
    <row r="31" spans="1:6" x14ac:dyDescent="0.3">
      <c r="A31" s="2" t="s">
        <v>34</v>
      </c>
      <c r="B31" s="2">
        <v>6610</v>
      </c>
      <c r="C31" s="7">
        <v>2140</v>
      </c>
      <c r="D31" s="8">
        <v>0</v>
      </c>
      <c r="E31" s="2"/>
      <c r="F31" s="2" t="s">
        <v>416</v>
      </c>
    </row>
    <row r="32" spans="1:6" x14ac:dyDescent="0.3">
      <c r="A32" s="2" t="s">
        <v>35</v>
      </c>
      <c r="B32" s="2">
        <v>6900</v>
      </c>
      <c r="C32" s="7">
        <v>2220</v>
      </c>
      <c r="D32" s="8">
        <v>0</v>
      </c>
      <c r="E32" s="2"/>
      <c r="F32" s="2" t="s">
        <v>416</v>
      </c>
    </row>
    <row r="33" spans="1:6" x14ac:dyDescent="0.3">
      <c r="A33" s="2" t="s">
        <v>36</v>
      </c>
      <c r="B33" s="2">
        <v>7210</v>
      </c>
      <c r="C33" s="7">
        <v>2330</v>
      </c>
      <c r="D33" s="8">
        <v>0</v>
      </c>
      <c r="E33" s="2"/>
      <c r="F33" s="2" t="s">
        <v>416</v>
      </c>
    </row>
    <row r="34" spans="1:6" x14ac:dyDescent="0.3">
      <c r="A34" s="2" t="s">
        <v>37</v>
      </c>
      <c r="B34" s="2">
        <v>7360</v>
      </c>
      <c r="C34" s="7">
        <v>2630</v>
      </c>
      <c r="D34" s="7">
        <v>1300</v>
      </c>
      <c r="E34" s="2"/>
      <c r="F34" s="2" t="s">
        <v>416</v>
      </c>
    </row>
    <row r="35" spans="1:6" x14ac:dyDescent="0.3">
      <c r="A35" s="2" t="s">
        <v>38</v>
      </c>
      <c r="B35" s="2">
        <v>7730</v>
      </c>
      <c r="C35" s="7">
        <v>2770</v>
      </c>
      <c r="D35" s="8">
        <v>0</v>
      </c>
      <c r="E35" s="2"/>
      <c r="F35" s="2" t="s">
        <v>416</v>
      </c>
    </row>
    <row r="36" spans="1:6" x14ac:dyDescent="0.3">
      <c r="A36" s="2" t="s">
        <v>39</v>
      </c>
      <c r="B36" s="2">
        <v>8060</v>
      </c>
      <c r="C36" s="7">
        <v>2720</v>
      </c>
      <c r="D36" s="8">
        <v>0</v>
      </c>
      <c r="E36" s="2"/>
      <c r="F36" s="2" t="s">
        <v>416</v>
      </c>
    </row>
    <row r="37" spans="1:6" x14ac:dyDescent="0.3">
      <c r="A37" s="2" t="s">
        <v>40</v>
      </c>
      <c r="B37" s="2">
        <v>8470</v>
      </c>
      <c r="C37" s="7">
        <v>3010</v>
      </c>
      <c r="D37" s="8">
        <v>0</v>
      </c>
      <c r="E37" s="2"/>
      <c r="F37" s="2" t="s">
        <v>416</v>
      </c>
    </row>
    <row r="38" spans="1:6" x14ac:dyDescent="0.3">
      <c r="A38" s="2" t="s">
        <v>41</v>
      </c>
      <c r="B38" s="2">
        <v>8840</v>
      </c>
      <c r="C38" s="7">
        <v>3150</v>
      </c>
      <c r="D38" s="8">
        <v>0</v>
      </c>
      <c r="E38" s="2"/>
      <c r="F38" s="2" t="s">
        <v>416</v>
      </c>
    </row>
    <row r="39" spans="1:6" x14ac:dyDescent="0.3">
      <c r="A39" s="2" t="s">
        <v>42</v>
      </c>
      <c r="B39" s="2">
        <v>9380</v>
      </c>
      <c r="C39" s="7">
        <v>3310</v>
      </c>
      <c r="D39" s="8">
        <v>0</v>
      </c>
      <c r="E39" s="2"/>
      <c r="F39" s="2" t="s">
        <v>416</v>
      </c>
    </row>
    <row r="40" spans="1:6" x14ac:dyDescent="0.3">
      <c r="A40" s="2" t="s">
        <v>43</v>
      </c>
      <c r="B40" s="2">
        <v>9800</v>
      </c>
      <c r="C40" s="7">
        <v>3460</v>
      </c>
      <c r="D40" s="8">
        <v>0</v>
      </c>
      <c r="E40" s="2"/>
      <c r="F40" s="2" t="s">
        <v>416</v>
      </c>
    </row>
    <row r="41" spans="1:6" x14ac:dyDescent="0.3">
      <c r="A41" s="2" t="s">
        <v>44</v>
      </c>
      <c r="B41" s="2">
        <v>10290</v>
      </c>
      <c r="C41" s="7">
        <v>3630</v>
      </c>
      <c r="D41" s="8">
        <v>0</v>
      </c>
      <c r="E41" s="2"/>
      <c r="F41" s="2" t="s">
        <v>416</v>
      </c>
    </row>
    <row r="42" spans="1:6" x14ac:dyDescent="0.3">
      <c r="A42" s="2" t="s">
        <v>45</v>
      </c>
      <c r="B42" s="2">
        <v>10750</v>
      </c>
      <c r="C42" s="7">
        <v>3810</v>
      </c>
      <c r="D42" s="8">
        <v>0</v>
      </c>
      <c r="E42" s="2"/>
      <c r="F42" s="2" t="s">
        <v>416</v>
      </c>
    </row>
    <row r="43" spans="1:6" x14ac:dyDescent="0.3">
      <c r="A43" s="2" t="s">
        <v>46</v>
      </c>
      <c r="B43" s="2">
        <v>11300</v>
      </c>
      <c r="C43" s="7">
        <v>3990</v>
      </c>
      <c r="D43" s="8">
        <v>0</v>
      </c>
      <c r="E43" s="2"/>
      <c r="F43" s="2" t="s">
        <v>416</v>
      </c>
    </row>
    <row r="44" spans="1:6" x14ac:dyDescent="0.3">
      <c r="A44" s="2" t="s">
        <v>47</v>
      </c>
      <c r="B44" s="2">
        <v>11770</v>
      </c>
      <c r="C44" s="7">
        <v>4150</v>
      </c>
      <c r="D44" s="7">
        <v>1700</v>
      </c>
      <c r="E44" s="2"/>
      <c r="F44" s="2" t="s">
        <v>416</v>
      </c>
    </row>
    <row r="45" spans="1:6" x14ac:dyDescent="0.3">
      <c r="A45" s="2" t="s">
        <v>48</v>
      </c>
      <c r="B45" s="2">
        <v>12240</v>
      </c>
      <c r="C45" s="7">
        <v>4310</v>
      </c>
      <c r="D45" s="8">
        <v>0</v>
      </c>
      <c r="E45" s="2"/>
      <c r="F45" s="2" t="s">
        <v>417</v>
      </c>
    </row>
    <row r="46" spans="1:6" x14ac:dyDescent="0.3">
      <c r="A46" s="2" t="s">
        <v>49</v>
      </c>
      <c r="B46" s="2">
        <v>12590</v>
      </c>
      <c r="C46" s="7">
        <v>4450</v>
      </c>
      <c r="D46" s="8">
        <v>0</v>
      </c>
      <c r="E46" s="2"/>
      <c r="F46" s="2" t="s">
        <v>417</v>
      </c>
    </row>
    <row r="47" spans="1:6" x14ac:dyDescent="0.3">
      <c r="A47" s="2" t="s">
        <v>50</v>
      </c>
      <c r="B47" s="2">
        <v>13020</v>
      </c>
      <c r="C47" s="7">
        <v>4560</v>
      </c>
      <c r="D47" s="8">
        <v>0</v>
      </c>
      <c r="E47" s="2"/>
      <c r="F47" s="2" t="s">
        <v>417</v>
      </c>
    </row>
    <row r="48" spans="1:6" x14ac:dyDescent="0.3">
      <c r="A48" s="2" t="s">
        <v>51</v>
      </c>
      <c r="B48" s="2">
        <v>13320</v>
      </c>
      <c r="C48" s="7">
        <v>4710</v>
      </c>
      <c r="D48" s="8">
        <v>0</v>
      </c>
      <c r="E48" s="2"/>
      <c r="F48" s="2" t="s">
        <v>417</v>
      </c>
    </row>
    <row r="49" spans="1:6" x14ac:dyDescent="0.3">
      <c r="A49" s="2" t="s">
        <v>52</v>
      </c>
      <c r="B49" s="2">
        <v>14020</v>
      </c>
      <c r="C49" s="7">
        <v>4890</v>
      </c>
      <c r="D49" s="8">
        <v>0</v>
      </c>
      <c r="E49" s="2"/>
      <c r="F49" s="2" t="s">
        <v>417</v>
      </c>
    </row>
    <row r="50" spans="1:6" x14ac:dyDescent="0.3">
      <c r="A50" s="2" t="s">
        <v>53</v>
      </c>
      <c r="B50" s="2">
        <v>14410</v>
      </c>
      <c r="C50" s="7">
        <v>5050</v>
      </c>
      <c r="D50" s="8">
        <v>0</v>
      </c>
      <c r="E50" s="2"/>
      <c r="F50" s="2" t="s">
        <v>417</v>
      </c>
    </row>
    <row r="51" spans="1:6" x14ac:dyDescent="0.3">
      <c r="A51" s="2" t="s">
        <v>54</v>
      </c>
      <c r="B51" s="2">
        <v>14900</v>
      </c>
      <c r="C51" s="7">
        <v>5210</v>
      </c>
      <c r="D51" s="8">
        <v>0</v>
      </c>
      <c r="E51" s="2"/>
      <c r="F51" s="2" t="s">
        <v>417</v>
      </c>
    </row>
    <row r="52" spans="1:6" x14ac:dyDescent="0.3">
      <c r="A52" s="2" t="s">
        <v>55</v>
      </c>
      <c r="B52" s="2">
        <v>15400</v>
      </c>
      <c r="C52" s="7">
        <v>5420</v>
      </c>
      <c r="D52" s="8">
        <v>0</v>
      </c>
      <c r="E52" s="2"/>
      <c r="F52" s="2" t="s">
        <v>417</v>
      </c>
    </row>
    <row r="53" spans="1:6" x14ac:dyDescent="0.3">
      <c r="A53" s="2" t="s">
        <v>56</v>
      </c>
      <c r="B53" s="2">
        <v>15950</v>
      </c>
      <c r="C53" s="7">
        <v>5570</v>
      </c>
      <c r="D53" s="8">
        <v>0</v>
      </c>
      <c r="E53" s="2"/>
      <c r="F53" s="2" t="s">
        <v>417</v>
      </c>
    </row>
    <row r="54" spans="1:6" x14ac:dyDescent="0.3">
      <c r="A54" s="2" t="s">
        <v>57</v>
      </c>
      <c r="B54" s="2">
        <v>16460</v>
      </c>
      <c r="C54" s="7">
        <v>5900</v>
      </c>
      <c r="D54" s="7">
        <v>2200</v>
      </c>
      <c r="E54" s="2"/>
      <c r="F54" s="2" t="s">
        <v>417</v>
      </c>
    </row>
    <row r="55" spans="1:6" x14ac:dyDescent="0.3">
      <c r="A55" s="2" t="s">
        <v>58</v>
      </c>
      <c r="B55" s="2">
        <v>17020</v>
      </c>
      <c r="C55" s="7">
        <v>6100</v>
      </c>
      <c r="D55" s="8">
        <v>0</v>
      </c>
      <c r="E55" s="2"/>
      <c r="F55" s="2" t="s">
        <v>417</v>
      </c>
    </row>
    <row r="56" spans="1:6" x14ac:dyDescent="0.3">
      <c r="A56" s="2" t="s">
        <v>59</v>
      </c>
      <c r="B56" s="2">
        <v>17340</v>
      </c>
      <c r="C56" s="7">
        <v>6040</v>
      </c>
      <c r="D56" s="8">
        <v>0</v>
      </c>
      <c r="E56" s="2"/>
      <c r="F56" s="2" t="s">
        <v>417</v>
      </c>
    </row>
    <row r="57" spans="1:6" x14ac:dyDescent="0.3">
      <c r="A57" s="2" t="s">
        <v>60</v>
      </c>
      <c r="B57" s="2">
        <v>17680</v>
      </c>
      <c r="C57" s="7">
        <v>6180</v>
      </c>
      <c r="D57" s="8">
        <v>0</v>
      </c>
      <c r="E57" s="2"/>
      <c r="F57" s="2" t="s">
        <v>417</v>
      </c>
    </row>
    <row r="58" spans="1:6" x14ac:dyDescent="0.3">
      <c r="A58" s="2" t="s">
        <v>61</v>
      </c>
      <c r="B58" s="2">
        <v>19580</v>
      </c>
      <c r="C58" s="7">
        <v>7930</v>
      </c>
      <c r="D58" s="8">
        <v>0</v>
      </c>
      <c r="E58" s="2"/>
      <c r="F58" s="2" t="s">
        <v>417</v>
      </c>
    </row>
    <row r="59" spans="1:6" x14ac:dyDescent="0.3">
      <c r="A59" s="2" t="s">
        <v>62</v>
      </c>
      <c r="B59" s="2">
        <v>20130</v>
      </c>
      <c r="C59" s="7">
        <v>8270</v>
      </c>
      <c r="D59" s="8">
        <v>0</v>
      </c>
      <c r="E59" s="2"/>
      <c r="F59" s="2" t="s">
        <v>417</v>
      </c>
    </row>
    <row r="60" spans="1:6" x14ac:dyDescent="0.3">
      <c r="A60" s="2" t="s">
        <v>63</v>
      </c>
      <c r="B60" s="2">
        <v>20650</v>
      </c>
      <c r="C60" s="7">
        <v>8420</v>
      </c>
      <c r="D60" s="8">
        <v>0</v>
      </c>
      <c r="E60" s="2"/>
      <c r="F60" s="2" t="s">
        <v>417</v>
      </c>
    </row>
    <row r="61" spans="1:6" x14ac:dyDescent="0.3">
      <c r="A61" s="2" t="s">
        <v>64</v>
      </c>
      <c r="B61" s="2">
        <v>21100</v>
      </c>
      <c r="C61" s="7">
        <v>8440</v>
      </c>
      <c r="D61" s="8">
        <v>0</v>
      </c>
      <c r="E61" s="2"/>
      <c r="F61" s="2" t="s">
        <v>417</v>
      </c>
    </row>
    <row r="62" spans="1:6" x14ac:dyDescent="0.3">
      <c r="A62" s="2" t="s">
        <v>65</v>
      </c>
      <c r="B62" s="2">
        <v>21560</v>
      </c>
      <c r="C62" s="7">
        <v>8760</v>
      </c>
      <c r="D62" s="8">
        <v>0</v>
      </c>
      <c r="E62" s="2"/>
      <c r="F62" s="2" t="s">
        <v>417</v>
      </c>
    </row>
    <row r="63" spans="1:6" x14ac:dyDescent="0.3">
      <c r="A63" s="2" t="s">
        <v>66</v>
      </c>
      <c r="B63" s="2">
        <v>21850</v>
      </c>
      <c r="C63" s="7">
        <v>8860</v>
      </c>
      <c r="D63" s="8">
        <v>0</v>
      </c>
      <c r="E63" s="2"/>
      <c r="F63" s="2" t="s">
        <v>417</v>
      </c>
    </row>
    <row r="64" spans="1:6" x14ac:dyDescent="0.3">
      <c r="A64" s="2" t="s">
        <v>67</v>
      </c>
      <c r="B64" s="2">
        <v>22540</v>
      </c>
      <c r="C64" s="7">
        <v>9100</v>
      </c>
      <c r="D64" s="7">
        <v>2700</v>
      </c>
      <c r="E64" s="2"/>
      <c r="F64" s="2" t="s">
        <v>417</v>
      </c>
    </row>
    <row r="65" spans="1:6" x14ac:dyDescent="0.3">
      <c r="A65" s="2" t="s">
        <v>68</v>
      </c>
      <c r="B65" s="2">
        <v>23160</v>
      </c>
      <c r="C65" s="7">
        <v>9270</v>
      </c>
      <c r="D65" s="8">
        <v>0</v>
      </c>
      <c r="E65" s="2"/>
      <c r="F65" s="2" t="s">
        <v>418</v>
      </c>
    </row>
    <row r="66" spans="1:6" x14ac:dyDescent="0.3">
      <c r="A66" s="2" t="s">
        <v>69</v>
      </c>
      <c r="B66" s="2">
        <v>23560</v>
      </c>
      <c r="C66" s="7">
        <v>9440</v>
      </c>
      <c r="D66" s="8">
        <v>0</v>
      </c>
      <c r="E66" s="2"/>
      <c r="F66" s="2" t="s">
        <v>418</v>
      </c>
    </row>
    <row r="67" spans="1:6" x14ac:dyDescent="0.3">
      <c r="A67" s="2" t="s">
        <v>70</v>
      </c>
      <c r="B67" s="2">
        <v>24160</v>
      </c>
      <c r="C67" s="7">
        <v>9650</v>
      </c>
      <c r="D67" s="8">
        <v>0</v>
      </c>
      <c r="E67" s="2"/>
      <c r="F67" s="2" t="s">
        <v>418</v>
      </c>
    </row>
    <row r="68" spans="1:6" x14ac:dyDescent="0.3">
      <c r="A68" s="2" t="s">
        <v>71</v>
      </c>
      <c r="B68" s="2">
        <v>24910</v>
      </c>
      <c r="C68" s="7">
        <v>10090</v>
      </c>
      <c r="D68" s="8">
        <v>0</v>
      </c>
      <c r="E68" s="2"/>
      <c r="F68" s="2" t="s">
        <v>418</v>
      </c>
    </row>
    <row r="69" spans="1:6" x14ac:dyDescent="0.3">
      <c r="A69" s="2" t="s">
        <v>72</v>
      </c>
      <c r="B69" s="2">
        <v>25660</v>
      </c>
      <c r="C69" s="7">
        <v>10310</v>
      </c>
      <c r="D69" s="8">
        <v>0</v>
      </c>
      <c r="E69" s="2"/>
      <c r="F69" s="2" t="s">
        <v>418</v>
      </c>
    </row>
    <row r="70" spans="1:6" x14ac:dyDescent="0.3">
      <c r="A70" s="2" t="s">
        <v>73</v>
      </c>
      <c r="B70" s="2">
        <v>26290</v>
      </c>
      <c r="C70" s="7">
        <v>10570</v>
      </c>
      <c r="D70" s="8">
        <v>0</v>
      </c>
      <c r="E70" s="2"/>
      <c r="F70" s="2" t="s">
        <v>418</v>
      </c>
    </row>
    <row r="71" spans="1:6" x14ac:dyDescent="0.3">
      <c r="A71" s="2" t="s">
        <v>74</v>
      </c>
      <c r="B71" s="2">
        <v>26830</v>
      </c>
      <c r="C71" s="7">
        <v>10720</v>
      </c>
      <c r="D71" s="8">
        <v>0</v>
      </c>
      <c r="E71" s="2"/>
      <c r="F71" s="2" t="s">
        <v>418</v>
      </c>
    </row>
    <row r="72" spans="1:6" x14ac:dyDescent="0.3">
      <c r="A72" s="2" t="s">
        <v>75</v>
      </c>
      <c r="B72" s="2">
        <v>27380</v>
      </c>
      <c r="C72" s="7">
        <v>10950</v>
      </c>
      <c r="D72" s="8">
        <v>0</v>
      </c>
      <c r="E72" s="2"/>
      <c r="F72" s="2" t="s">
        <v>418</v>
      </c>
    </row>
    <row r="73" spans="1:6" x14ac:dyDescent="0.3">
      <c r="A73" s="2" t="s">
        <v>76</v>
      </c>
      <c r="B73" s="2">
        <v>28040</v>
      </c>
      <c r="C73" s="7">
        <v>11180</v>
      </c>
      <c r="D73" s="8">
        <v>0</v>
      </c>
      <c r="E73" s="2"/>
      <c r="F73" s="2" t="s">
        <v>418</v>
      </c>
    </row>
    <row r="74" spans="1:6" x14ac:dyDescent="0.3">
      <c r="A74" s="2" t="s">
        <v>77</v>
      </c>
      <c r="B74" s="2">
        <v>28940</v>
      </c>
      <c r="C74" s="7">
        <v>11460</v>
      </c>
      <c r="D74" s="7">
        <v>3200</v>
      </c>
      <c r="E74" s="2"/>
      <c r="F74" s="2" t="s">
        <v>418</v>
      </c>
    </row>
    <row r="75" spans="1:6" x14ac:dyDescent="0.3">
      <c r="A75" s="2" t="s">
        <v>78</v>
      </c>
      <c r="B75" s="2">
        <v>29530</v>
      </c>
      <c r="C75" s="7">
        <v>11670</v>
      </c>
      <c r="D75" s="8">
        <v>0</v>
      </c>
      <c r="E75" s="2"/>
      <c r="F75" s="2" t="s">
        <v>418</v>
      </c>
    </row>
    <row r="76" spans="1:6" x14ac:dyDescent="0.3">
      <c r="A76" s="2" t="s">
        <v>79</v>
      </c>
      <c r="B76" s="2">
        <v>30130</v>
      </c>
      <c r="C76" s="7">
        <v>11920</v>
      </c>
      <c r="D76" s="8">
        <v>0</v>
      </c>
      <c r="E76" s="2"/>
      <c r="F76" s="2" t="s">
        <v>418</v>
      </c>
    </row>
    <row r="77" spans="1:6" x14ac:dyDescent="0.3">
      <c r="A77" s="2" t="s">
        <v>80</v>
      </c>
      <c r="B77" s="2">
        <v>30850</v>
      </c>
      <c r="C77" s="7">
        <v>12140</v>
      </c>
      <c r="D77" s="8">
        <v>0</v>
      </c>
      <c r="E77" s="2"/>
      <c r="F77" s="2" t="s">
        <v>418</v>
      </c>
    </row>
    <row r="78" spans="1:6" x14ac:dyDescent="0.3">
      <c r="A78" s="2" t="s">
        <v>81</v>
      </c>
      <c r="B78" s="2">
        <v>32020</v>
      </c>
      <c r="C78" s="7">
        <v>12780</v>
      </c>
      <c r="D78" s="8">
        <v>0</v>
      </c>
      <c r="E78" s="2"/>
      <c r="F78" s="2" t="s">
        <v>418</v>
      </c>
    </row>
    <row r="79" spans="1:6" x14ac:dyDescent="0.3">
      <c r="A79" s="2" t="s">
        <v>82</v>
      </c>
      <c r="B79" s="2">
        <v>32910</v>
      </c>
      <c r="C79" s="7">
        <v>13090</v>
      </c>
      <c r="D79" s="8">
        <v>0</v>
      </c>
      <c r="E79" s="2"/>
      <c r="F79" s="2" t="s">
        <v>418</v>
      </c>
    </row>
    <row r="80" spans="1:6" x14ac:dyDescent="0.3">
      <c r="A80" s="2" t="s">
        <v>83</v>
      </c>
      <c r="B80" s="2">
        <v>33780</v>
      </c>
      <c r="C80" s="7">
        <v>13370</v>
      </c>
      <c r="D80" s="8">
        <v>0</v>
      </c>
      <c r="E80" s="2"/>
      <c r="F80" s="2" t="s">
        <v>418</v>
      </c>
    </row>
    <row r="81" spans="1:6" x14ac:dyDescent="0.3">
      <c r="A81" s="2" t="s">
        <v>84</v>
      </c>
      <c r="B81" s="2">
        <v>34450</v>
      </c>
      <c r="C81" s="7">
        <v>13600</v>
      </c>
      <c r="D81" s="8">
        <v>0</v>
      </c>
      <c r="E81" s="2"/>
      <c r="F81" s="2" t="s">
        <v>418</v>
      </c>
    </row>
    <row r="82" spans="1:6" x14ac:dyDescent="0.3">
      <c r="A82" s="2" t="s">
        <v>85</v>
      </c>
      <c r="B82" s="2">
        <v>35120</v>
      </c>
      <c r="C82" s="7">
        <v>13890</v>
      </c>
      <c r="D82" s="8">
        <v>0</v>
      </c>
      <c r="E82" s="2"/>
      <c r="F82" s="2" t="s">
        <v>418</v>
      </c>
    </row>
    <row r="83" spans="1:6" x14ac:dyDescent="0.3">
      <c r="A83" s="2" t="s">
        <v>86</v>
      </c>
      <c r="B83" s="2">
        <v>35930</v>
      </c>
      <c r="C83" s="7">
        <v>14180</v>
      </c>
      <c r="D83" s="8">
        <v>0</v>
      </c>
      <c r="E83" s="2"/>
      <c r="F83" s="2" t="s">
        <v>418</v>
      </c>
    </row>
    <row r="84" spans="1:6" x14ac:dyDescent="0.3">
      <c r="A84" s="2" t="s">
        <v>157</v>
      </c>
      <c r="B84" s="2">
        <v>37000</v>
      </c>
      <c r="C84" s="7">
        <v>14520</v>
      </c>
      <c r="D84" s="7">
        <v>3800</v>
      </c>
      <c r="E84" s="2"/>
      <c r="F84" s="2" t="s">
        <v>418</v>
      </c>
    </row>
    <row r="85" spans="1:6" x14ac:dyDescent="0.3">
      <c r="A85" s="2" t="s">
        <v>158</v>
      </c>
      <c r="B85" s="2">
        <v>37830</v>
      </c>
      <c r="C85" s="7">
        <v>14830</v>
      </c>
      <c r="D85" s="8">
        <v>0</v>
      </c>
      <c r="E85" s="2"/>
      <c r="F85" s="2" t="s">
        <v>418</v>
      </c>
    </row>
    <row r="86" spans="1:6" x14ac:dyDescent="0.3">
      <c r="A86" s="2" t="s">
        <v>159</v>
      </c>
      <c r="B86" s="2">
        <v>38570</v>
      </c>
      <c r="C86" s="7">
        <v>15290</v>
      </c>
      <c r="D86" s="8">
        <v>0</v>
      </c>
      <c r="E86" s="2"/>
      <c r="F86" s="2" t="s">
        <v>418</v>
      </c>
    </row>
    <row r="87" spans="1:6" x14ac:dyDescent="0.3">
      <c r="A87" s="2" t="s">
        <v>160</v>
      </c>
      <c r="B87" s="2">
        <v>39430</v>
      </c>
      <c r="C87" s="7">
        <v>15590</v>
      </c>
      <c r="D87" s="8">
        <v>0</v>
      </c>
      <c r="E87" s="2"/>
      <c r="F87" s="2" t="s">
        <v>418</v>
      </c>
    </row>
    <row r="88" spans="1:6" x14ac:dyDescent="0.3">
      <c r="A88" s="2" t="s">
        <v>161</v>
      </c>
      <c r="B88" s="2">
        <v>40620</v>
      </c>
      <c r="C88" s="7">
        <v>16050</v>
      </c>
      <c r="D88" s="8">
        <v>0</v>
      </c>
      <c r="E88" s="2"/>
      <c r="F88" s="2" t="s">
        <v>418</v>
      </c>
    </row>
    <row r="89" spans="1:6" x14ac:dyDescent="0.3">
      <c r="A89" s="2" t="s">
        <v>162</v>
      </c>
      <c r="B89" s="2">
        <v>41960</v>
      </c>
      <c r="C89" s="7">
        <v>16490</v>
      </c>
      <c r="D89" s="8">
        <v>0</v>
      </c>
      <c r="E89" s="2"/>
      <c r="F89" s="2" t="s">
        <v>418</v>
      </c>
    </row>
    <row r="90" spans="1:6" x14ac:dyDescent="0.3">
      <c r="A90" s="2" t="s">
        <v>163</v>
      </c>
      <c r="B90" s="2">
        <v>42880</v>
      </c>
      <c r="C90" s="7">
        <v>17040</v>
      </c>
      <c r="D90" s="8">
        <v>0</v>
      </c>
      <c r="E90" s="2"/>
      <c r="F90" s="2" t="s">
        <v>418</v>
      </c>
    </row>
    <row r="91" spans="1:6" x14ac:dyDescent="0.3">
      <c r="A91" s="2" t="s">
        <v>164</v>
      </c>
      <c r="B91" s="2">
        <v>43810</v>
      </c>
      <c r="C91" s="7">
        <v>17370</v>
      </c>
      <c r="D91" s="8">
        <v>0</v>
      </c>
      <c r="E91" s="2"/>
      <c r="F91" s="2" t="s">
        <v>418</v>
      </c>
    </row>
    <row r="92" spans="1:6" x14ac:dyDescent="0.3">
      <c r="A92" s="2" t="s">
        <v>165</v>
      </c>
      <c r="B92" s="2">
        <v>44750</v>
      </c>
      <c r="C92" s="7">
        <v>17500</v>
      </c>
      <c r="D92" s="8">
        <v>0</v>
      </c>
      <c r="E92" s="2"/>
      <c r="F92" s="2" t="s">
        <v>418</v>
      </c>
    </row>
    <row r="93" spans="1:6" x14ac:dyDescent="0.3">
      <c r="A93" s="2" t="s">
        <v>166</v>
      </c>
      <c r="B93" s="2">
        <v>45910</v>
      </c>
      <c r="C93" s="7">
        <v>18150</v>
      </c>
      <c r="D93" s="8">
        <v>0</v>
      </c>
      <c r="E93" s="2"/>
      <c r="F93" s="2" t="s">
        <v>418</v>
      </c>
    </row>
    <row r="94" spans="1:6" x14ac:dyDescent="0.3">
      <c r="A94" s="2" t="s">
        <v>167</v>
      </c>
      <c r="B94" s="2">
        <v>47180</v>
      </c>
      <c r="C94" s="7">
        <v>18540</v>
      </c>
      <c r="D94" s="7">
        <v>4400</v>
      </c>
      <c r="E94" s="2"/>
      <c r="F94" s="2" t="s">
        <v>418</v>
      </c>
    </row>
    <row r="95" spans="1:6" x14ac:dyDescent="0.3">
      <c r="A95" s="2" t="s">
        <v>168</v>
      </c>
      <c r="B95" s="2">
        <v>48190</v>
      </c>
      <c r="C95" s="7">
        <v>18930</v>
      </c>
      <c r="D95" s="8">
        <v>0</v>
      </c>
      <c r="E95" s="2"/>
      <c r="F95" s="2" t="s">
        <v>418</v>
      </c>
    </row>
    <row r="96" spans="1:6" x14ac:dyDescent="0.3">
      <c r="A96" s="2" t="s">
        <v>169</v>
      </c>
      <c r="B96" s="2">
        <v>49520</v>
      </c>
      <c r="C96" s="7">
        <v>19400</v>
      </c>
      <c r="D96" s="8">
        <v>0</v>
      </c>
      <c r="E96" s="2"/>
      <c r="F96" s="2" t="s">
        <v>418</v>
      </c>
    </row>
    <row r="97" spans="1:6" x14ac:dyDescent="0.3">
      <c r="A97" s="2" t="s">
        <v>170</v>
      </c>
      <c r="B97" s="2">
        <v>50570</v>
      </c>
      <c r="C97" s="7">
        <v>19800</v>
      </c>
      <c r="D97" s="8">
        <v>0</v>
      </c>
      <c r="E97" s="2"/>
      <c r="F97" s="2" t="s">
        <v>418</v>
      </c>
    </row>
    <row r="98" spans="1:6" x14ac:dyDescent="0.3">
      <c r="A98" s="2" t="s">
        <v>171</v>
      </c>
      <c r="B98" s="2">
        <v>51960</v>
      </c>
      <c r="C98" s="7">
        <v>20540</v>
      </c>
      <c r="D98" s="8">
        <v>0</v>
      </c>
      <c r="E98" s="2"/>
      <c r="F98" s="2" t="s">
        <v>418</v>
      </c>
    </row>
    <row r="99" spans="1:6" x14ac:dyDescent="0.3">
      <c r="A99" s="2" t="s">
        <v>172</v>
      </c>
      <c r="B99" s="2">
        <v>53480</v>
      </c>
      <c r="C99" s="7">
        <v>21080</v>
      </c>
      <c r="D99" s="8">
        <v>0</v>
      </c>
      <c r="E99" s="2"/>
      <c r="F99" s="2" t="s">
        <v>418</v>
      </c>
    </row>
    <row r="100" spans="1:6" x14ac:dyDescent="0.3">
      <c r="A100" s="2" t="s">
        <v>173</v>
      </c>
      <c r="B100" s="2">
        <v>54580</v>
      </c>
      <c r="C100" s="7">
        <v>21470</v>
      </c>
      <c r="D100" s="8">
        <v>0</v>
      </c>
      <c r="E100" s="2"/>
      <c r="F100" s="2" t="s">
        <v>418</v>
      </c>
    </row>
    <row r="101" spans="1:6" x14ac:dyDescent="0.3">
      <c r="A101" s="2" t="s">
        <v>174</v>
      </c>
      <c r="B101" s="2">
        <v>55810</v>
      </c>
      <c r="C101" s="7">
        <v>21930</v>
      </c>
      <c r="D101" s="8">
        <v>0</v>
      </c>
      <c r="E101" s="2"/>
      <c r="F101" s="2" t="s">
        <v>418</v>
      </c>
    </row>
    <row r="102" spans="1:6" x14ac:dyDescent="0.3">
      <c r="A102" s="2" t="s">
        <v>175</v>
      </c>
      <c r="B102" s="2">
        <v>56950</v>
      </c>
      <c r="C102" s="7">
        <v>22350</v>
      </c>
      <c r="D102" s="8">
        <v>0</v>
      </c>
      <c r="E102" s="2"/>
      <c r="F102" s="2" t="s">
        <v>418</v>
      </c>
    </row>
    <row r="103" spans="1:6" x14ac:dyDescent="0.3">
      <c r="A103" s="2" t="s">
        <v>176</v>
      </c>
      <c r="B103" s="2">
        <v>58260</v>
      </c>
      <c r="C103" s="7">
        <v>22820</v>
      </c>
      <c r="D103" s="8">
        <v>0</v>
      </c>
      <c r="E103" s="2"/>
      <c r="F103" s="2" t="s">
        <v>418</v>
      </c>
    </row>
    <row r="104" spans="1:6" x14ac:dyDescent="0.3">
      <c r="A104" s="2" t="s">
        <v>177</v>
      </c>
      <c r="B104" s="2">
        <v>61250</v>
      </c>
      <c r="C104" s="7">
        <v>23790</v>
      </c>
      <c r="D104" s="7">
        <v>5100</v>
      </c>
      <c r="E104" s="2"/>
      <c r="F104" s="2" t="s">
        <v>418</v>
      </c>
    </row>
    <row r="105" spans="1:6" x14ac:dyDescent="0.3">
      <c r="A105" s="2" t="s">
        <v>178</v>
      </c>
      <c r="B105" s="2">
        <v>63790</v>
      </c>
      <c r="C105" s="7">
        <v>24700</v>
      </c>
      <c r="D105" s="8">
        <v>0</v>
      </c>
      <c r="E105" s="2"/>
      <c r="F105" s="2" t="s">
        <v>418</v>
      </c>
    </row>
    <row r="106" spans="1:6" x14ac:dyDescent="0.3">
      <c r="A106" s="2" t="s">
        <v>179</v>
      </c>
      <c r="B106" s="2">
        <v>66720</v>
      </c>
      <c r="C106" s="7">
        <v>25770</v>
      </c>
      <c r="D106" s="8">
        <v>0</v>
      </c>
      <c r="E106" s="2"/>
      <c r="F106" s="2" t="s">
        <v>418</v>
      </c>
    </row>
    <row r="107" spans="1:6" x14ac:dyDescent="0.3">
      <c r="A107" s="2" t="s">
        <v>180</v>
      </c>
      <c r="B107" s="2">
        <v>69500</v>
      </c>
      <c r="C107" s="7">
        <v>26740</v>
      </c>
      <c r="D107" s="8">
        <v>0</v>
      </c>
      <c r="E107" s="2"/>
      <c r="F107" s="2" t="s">
        <v>418</v>
      </c>
    </row>
    <row r="108" spans="1:6" x14ac:dyDescent="0.3">
      <c r="A108" s="2" t="s">
        <v>181</v>
      </c>
      <c r="B108" s="2">
        <v>75260</v>
      </c>
      <c r="C108" s="7">
        <v>28280</v>
      </c>
      <c r="D108" s="8">
        <v>0</v>
      </c>
      <c r="E108" s="2"/>
      <c r="F108" s="2" t="s">
        <v>418</v>
      </c>
    </row>
    <row r="109" spans="1:6" x14ac:dyDescent="0.3">
      <c r="A109" s="2" t="s">
        <v>182</v>
      </c>
      <c r="B109" s="2">
        <v>78740</v>
      </c>
      <c r="C109" s="7">
        <v>29430</v>
      </c>
      <c r="D109" s="8">
        <v>0</v>
      </c>
      <c r="E109" s="2"/>
      <c r="F109" s="2" t="s">
        <v>418</v>
      </c>
    </row>
    <row r="110" spans="1:6" x14ac:dyDescent="0.3">
      <c r="A110" s="2" t="s">
        <v>183</v>
      </c>
      <c r="B110" s="2">
        <v>82210</v>
      </c>
      <c r="C110" s="7">
        <v>30560</v>
      </c>
      <c r="D110" s="8">
        <v>0</v>
      </c>
      <c r="E110" s="2"/>
      <c r="F110" s="2" t="s">
        <v>418</v>
      </c>
    </row>
    <row r="111" spans="1:6" x14ac:dyDescent="0.3">
      <c r="A111" s="2" t="s">
        <v>184</v>
      </c>
      <c r="B111" s="2">
        <v>86060</v>
      </c>
      <c r="C111" s="7">
        <v>31900</v>
      </c>
      <c r="D111" s="8">
        <v>0</v>
      </c>
      <c r="E111" s="2"/>
      <c r="F111" s="2" t="s">
        <v>418</v>
      </c>
    </row>
    <row r="112" spans="1:6" x14ac:dyDescent="0.3">
      <c r="A112" s="2" t="s">
        <v>185</v>
      </c>
      <c r="B112" s="2">
        <v>90060</v>
      </c>
      <c r="C112" s="7">
        <v>33220</v>
      </c>
      <c r="D112" s="8">
        <v>0</v>
      </c>
      <c r="E112" s="2"/>
      <c r="F112" s="2" t="s">
        <v>418</v>
      </c>
    </row>
    <row r="113" spans="1:6" x14ac:dyDescent="0.3">
      <c r="A113" s="2" t="s">
        <v>186</v>
      </c>
      <c r="B113" s="2">
        <v>93830</v>
      </c>
      <c r="C113" s="7">
        <v>34520</v>
      </c>
      <c r="D113" s="8">
        <v>0</v>
      </c>
      <c r="E113" s="2"/>
      <c r="F113" s="2" t="s">
        <v>418</v>
      </c>
    </row>
    <row r="114" spans="1:6" x14ac:dyDescent="0.3">
      <c r="A114" s="2" t="s">
        <v>187</v>
      </c>
      <c r="B114" s="2">
        <v>98650</v>
      </c>
      <c r="C114" s="7">
        <v>36150</v>
      </c>
      <c r="D114" s="8">
        <v>6800</v>
      </c>
      <c r="E114" s="2"/>
      <c r="F114" s="2" t="s">
        <v>418</v>
      </c>
    </row>
    <row r="115" spans="1:6" x14ac:dyDescent="0.3">
      <c r="A115" s="2" t="s">
        <v>188</v>
      </c>
      <c r="B115" s="2">
        <v>102780</v>
      </c>
      <c r="C115" s="7">
        <v>37570</v>
      </c>
      <c r="D115" s="8">
        <v>0</v>
      </c>
      <c r="E115" s="2"/>
      <c r="F115" s="2" t="s">
        <v>418</v>
      </c>
    </row>
    <row r="116" spans="1:6" x14ac:dyDescent="0.3">
      <c r="A116" s="2" t="s">
        <v>189</v>
      </c>
      <c r="B116" s="2">
        <v>107320</v>
      </c>
      <c r="C116" s="7">
        <v>39160</v>
      </c>
      <c r="D116" s="8">
        <v>0</v>
      </c>
      <c r="E116" s="2"/>
      <c r="F116" s="2" t="s">
        <v>418</v>
      </c>
    </row>
    <row r="117" spans="1:6" x14ac:dyDescent="0.3">
      <c r="A117" s="2" t="s">
        <v>190</v>
      </c>
      <c r="B117" s="2">
        <v>112020</v>
      </c>
      <c r="C117" s="7">
        <v>40780</v>
      </c>
      <c r="D117" s="8">
        <v>0</v>
      </c>
      <c r="E117" s="2"/>
      <c r="F117" s="2" t="s">
        <v>418</v>
      </c>
    </row>
    <row r="118" spans="1:6" x14ac:dyDescent="0.3">
      <c r="A118" s="2" t="s">
        <v>191</v>
      </c>
      <c r="B118" s="2">
        <v>117390</v>
      </c>
      <c r="C118" s="7">
        <v>42950</v>
      </c>
      <c r="D118" s="8">
        <v>0</v>
      </c>
      <c r="E118" s="2"/>
      <c r="F118" s="2" t="s">
        <v>418</v>
      </c>
    </row>
    <row r="119" spans="1:6" x14ac:dyDescent="0.3">
      <c r="A119" s="2" t="s">
        <v>192</v>
      </c>
      <c r="B119" s="2">
        <v>122680</v>
      </c>
      <c r="C119" s="7">
        <v>44710</v>
      </c>
      <c r="D119" s="8">
        <v>0</v>
      </c>
      <c r="E119" s="2"/>
      <c r="F119" s="2" t="s">
        <v>418</v>
      </c>
    </row>
    <row r="120" spans="1:6" x14ac:dyDescent="0.3">
      <c r="A120" s="2" t="s">
        <v>193</v>
      </c>
      <c r="B120" s="2">
        <v>128090</v>
      </c>
      <c r="C120" s="7">
        <v>46600</v>
      </c>
      <c r="D120" s="8">
        <v>0</v>
      </c>
      <c r="E120" s="2"/>
      <c r="F120" s="2" t="s">
        <v>418</v>
      </c>
    </row>
    <row r="121" spans="1:6" x14ac:dyDescent="0.3">
      <c r="A121" s="2" t="s">
        <v>194</v>
      </c>
      <c r="B121" s="2">
        <v>133470</v>
      </c>
      <c r="C121" s="7">
        <v>48450</v>
      </c>
      <c r="D121" s="8">
        <v>0</v>
      </c>
      <c r="E121" s="2"/>
      <c r="F121" s="2" t="s">
        <v>418</v>
      </c>
    </row>
    <row r="122" spans="1:6" x14ac:dyDescent="0.3">
      <c r="A122" s="2" t="s">
        <v>195</v>
      </c>
      <c r="B122" s="2">
        <v>139660</v>
      </c>
      <c r="C122" s="7">
        <v>50830</v>
      </c>
      <c r="D122" s="8">
        <v>0</v>
      </c>
      <c r="E122" s="2"/>
      <c r="F122" s="2" t="s">
        <v>418</v>
      </c>
    </row>
    <row r="123" spans="1:6" x14ac:dyDescent="0.3">
      <c r="A123" s="2" t="s">
        <v>196</v>
      </c>
      <c r="B123" s="2">
        <v>145530</v>
      </c>
      <c r="C123" s="7">
        <v>52830</v>
      </c>
      <c r="D123" s="8">
        <v>0</v>
      </c>
      <c r="E123" s="2"/>
      <c r="F123" s="2" t="s">
        <v>418</v>
      </c>
    </row>
    <row r="124" spans="1:6" x14ac:dyDescent="0.3">
      <c r="A124" s="2" t="s">
        <v>197</v>
      </c>
      <c r="B124" s="2">
        <v>152660</v>
      </c>
      <c r="C124" s="7">
        <v>54840</v>
      </c>
      <c r="D124" s="7">
        <v>9700</v>
      </c>
      <c r="E124" s="2"/>
      <c r="F124" s="2" t="s">
        <v>418</v>
      </c>
    </row>
    <row r="125" spans="1:6" x14ac:dyDescent="0.3">
      <c r="A125" s="2" t="s">
        <v>198</v>
      </c>
      <c r="B125" s="2">
        <v>159090</v>
      </c>
      <c r="C125" s="7">
        <v>57040</v>
      </c>
      <c r="D125" s="8">
        <v>0</v>
      </c>
      <c r="E125" s="2"/>
      <c r="F125" s="2" t="s">
        <v>418</v>
      </c>
    </row>
    <row r="126" spans="1:6" x14ac:dyDescent="0.3">
      <c r="A126" s="2" t="s">
        <v>199</v>
      </c>
      <c r="B126" s="2">
        <v>166120</v>
      </c>
      <c r="C126" s="7">
        <v>59820</v>
      </c>
      <c r="D126" s="8">
        <v>0</v>
      </c>
      <c r="E126" s="2"/>
      <c r="F126" s="2" t="s">
        <v>418</v>
      </c>
    </row>
    <row r="127" spans="1:6" x14ac:dyDescent="0.3">
      <c r="A127" s="2" t="s">
        <v>200</v>
      </c>
      <c r="B127" s="2">
        <v>173810</v>
      </c>
      <c r="C127" s="7">
        <v>62510</v>
      </c>
      <c r="D127" s="8">
        <v>0</v>
      </c>
      <c r="E127" s="2"/>
      <c r="F127" s="2" t="s">
        <v>418</v>
      </c>
    </row>
    <row r="128" spans="1:6" x14ac:dyDescent="0.3">
      <c r="A128" s="2" t="s">
        <v>201</v>
      </c>
      <c r="B128" s="2">
        <v>181600</v>
      </c>
      <c r="C128" s="7">
        <v>65180</v>
      </c>
      <c r="D128" s="8">
        <v>0</v>
      </c>
      <c r="E128" s="2"/>
      <c r="F128" s="2" t="s">
        <v>418</v>
      </c>
    </row>
    <row r="129" spans="1:6" x14ac:dyDescent="0.3">
      <c r="A129" s="2" t="s">
        <v>202</v>
      </c>
      <c r="B129" s="2">
        <v>190020</v>
      </c>
      <c r="C129" s="7">
        <v>68400</v>
      </c>
      <c r="D129" s="8">
        <v>0</v>
      </c>
      <c r="E129" s="2"/>
      <c r="F129" s="2" t="s">
        <v>418</v>
      </c>
    </row>
    <row r="130" spans="1:6" x14ac:dyDescent="0.3">
      <c r="A130" s="2" t="s">
        <v>203</v>
      </c>
      <c r="B130" s="2">
        <v>198390</v>
      </c>
      <c r="C130" s="7">
        <v>71120</v>
      </c>
      <c r="D130" s="8">
        <v>0</v>
      </c>
      <c r="E130" s="2"/>
      <c r="F130" s="2" t="s">
        <v>418</v>
      </c>
    </row>
    <row r="131" spans="1:6" x14ac:dyDescent="0.3">
      <c r="A131" s="2" t="s">
        <v>204</v>
      </c>
      <c r="B131" s="2">
        <v>207130</v>
      </c>
      <c r="C131" s="7">
        <v>74180</v>
      </c>
      <c r="D131" s="8">
        <v>0</v>
      </c>
      <c r="E131" s="2"/>
      <c r="F131" s="2" t="s">
        <v>418</v>
      </c>
    </row>
    <row r="132" spans="1:6" x14ac:dyDescent="0.3">
      <c r="A132" s="2" t="s">
        <v>205</v>
      </c>
      <c r="B132" s="2">
        <v>216260</v>
      </c>
      <c r="C132" s="7">
        <v>77340</v>
      </c>
      <c r="D132" s="8">
        <v>0</v>
      </c>
      <c r="E132" s="2"/>
      <c r="F132" s="2" t="s">
        <v>418</v>
      </c>
    </row>
    <row r="133" spans="1:6" x14ac:dyDescent="0.3">
      <c r="A133" s="2" t="s">
        <v>206</v>
      </c>
      <c r="B133" s="2">
        <v>225790</v>
      </c>
      <c r="C133" s="7">
        <v>80680</v>
      </c>
      <c r="D133" s="8">
        <v>0</v>
      </c>
      <c r="E133" s="2"/>
      <c r="F133" s="2" t="s">
        <v>418</v>
      </c>
    </row>
    <row r="134" spans="1:6" x14ac:dyDescent="0.3">
      <c r="A134" s="2" t="s">
        <v>207</v>
      </c>
      <c r="B134" s="2">
        <v>232910</v>
      </c>
      <c r="C134" s="7">
        <v>82890</v>
      </c>
      <c r="D134" s="8">
        <v>13800</v>
      </c>
      <c r="E134" s="2"/>
      <c r="F134" s="2" t="s">
        <v>418</v>
      </c>
    </row>
    <row r="135" spans="1:6" x14ac:dyDescent="0.3">
      <c r="A135" s="2" t="s">
        <v>208</v>
      </c>
      <c r="B135" s="2">
        <v>239810</v>
      </c>
      <c r="C135" s="7">
        <v>85330</v>
      </c>
      <c r="D135" s="8">
        <v>0</v>
      </c>
      <c r="E135" s="2"/>
      <c r="F135" s="2" t="s">
        <v>418</v>
      </c>
    </row>
    <row r="136" spans="1:6" x14ac:dyDescent="0.3">
      <c r="A136" s="2" t="s">
        <v>209</v>
      </c>
      <c r="B136" s="2">
        <v>246890</v>
      </c>
      <c r="C136" s="7">
        <v>87800</v>
      </c>
      <c r="D136" s="8">
        <v>0</v>
      </c>
      <c r="E136" s="2"/>
      <c r="F136" s="2" t="s">
        <v>418</v>
      </c>
    </row>
    <row r="137" spans="1:6" x14ac:dyDescent="0.3">
      <c r="A137" s="2" t="s">
        <v>210</v>
      </c>
      <c r="B137" s="2">
        <v>254170</v>
      </c>
      <c r="C137" s="7">
        <v>90380</v>
      </c>
      <c r="D137" s="8">
        <v>0</v>
      </c>
      <c r="E137" s="2"/>
      <c r="F137" s="2" t="s">
        <v>418</v>
      </c>
    </row>
    <row r="138" spans="1:6" x14ac:dyDescent="0.3">
      <c r="A138" s="2" t="s">
        <v>211</v>
      </c>
      <c r="B138" s="2">
        <v>262650</v>
      </c>
      <c r="C138" s="7">
        <v>93530</v>
      </c>
      <c r="D138" s="8">
        <v>0</v>
      </c>
      <c r="E138" s="2"/>
      <c r="F138" s="2" t="s">
        <v>418</v>
      </c>
    </row>
    <row r="139" spans="1:6" x14ac:dyDescent="0.3">
      <c r="A139" s="2" t="s">
        <v>212</v>
      </c>
      <c r="B139" s="2">
        <v>270310</v>
      </c>
      <c r="C139" s="7">
        <v>96120</v>
      </c>
      <c r="D139" s="8">
        <v>0</v>
      </c>
      <c r="E139" s="2"/>
      <c r="F139" s="2" t="s">
        <v>418</v>
      </c>
    </row>
    <row r="140" spans="1:6" x14ac:dyDescent="0.3">
      <c r="A140" s="2" t="s">
        <v>213</v>
      </c>
      <c r="B140" s="2">
        <v>278710</v>
      </c>
      <c r="C140" s="7">
        <v>99120</v>
      </c>
      <c r="D140" s="8">
        <v>0</v>
      </c>
      <c r="E140" s="2"/>
      <c r="F140" s="2" t="s">
        <v>418</v>
      </c>
    </row>
    <row r="141" spans="1:6" x14ac:dyDescent="0.3">
      <c r="A141" s="2" t="s">
        <v>214</v>
      </c>
      <c r="B141" s="2">
        <v>286850</v>
      </c>
      <c r="C141" s="7">
        <v>101730</v>
      </c>
      <c r="D141" s="8">
        <v>0</v>
      </c>
      <c r="E141" s="2"/>
      <c r="F141" s="2" t="s">
        <v>418</v>
      </c>
    </row>
    <row r="142" spans="1:6" x14ac:dyDescent="0.3">
      <c r="A142" s="2" t="s">
        <v>215</v>
      </c>
      <c r="B142" s="2">
        <v>295220</v>
      </c>
      <c r="C142" s="7">
        <v>104680</v>
      </c>
      <c r="D142" s="8">
        <v>0</v>
      </c>
      <c r="E142" s="2"/>
      <c r="F142" s="2" t="s">
        <v>418</v>
      </c>
    </row>
    <row r="143" spans="1:6" x14ac:dyDescent="0.3">
      <c r="A143" s="2" t="s">
        <v>216</v>
      </c>
      <c r="B143" s="2">
        <v>303820</v>
      </c>
      <c r="C143" s="7">
        <v>107700</v>
      </c>
      <c r="D143" s="8">
        <v>0</v>
      </c>
      <c r="E143" s="2"/>
      <c r="F143" s="2" t="s">
        <v>418</v>
      </c>
    </row>
    <row r="144" spans="1:6" x14ac:dyDescent="0.3">
      <c r="A144" s="2" t="s">
        <v>217</v>
      </c>
      <c r="B144" s="2">
        <v>313650</v>
      </c>
      <c r="C144" s="7">
        <v>110890</v>
      </c>
      <c r="D144" s="7">
        <v>18300</v>
      </c>
      <c r="E144" s="2"/>
      <c r="F144" s="2" t="s">
        <v>418</v>
      </c>
    </row>
    <row r="145" spans="1:6" x14ac:dyDescent="0.3">
      <c r="A145" s="2" t="s">
        <v>218</v>
      </c>
      <c r="B145" s="2">
        <v>323290</v>
      </c>
      <c r="C145" s="7">
        <v>114300</v>
      </c>
      <c r="D145" s="8">
        <v>0</v>
      </c>
      <c r="E145" s="2"/>
      <c r="F145" s="2" t="s">
        <v>418</v>
      </c>
    </row>
    <row r="146" spans="1:6" x14ac:dyDescent="0.3">
      <c r="A146" s="2" t="s">
        <v>219</v>
      </c>
      <c r="B146" s="2">
        <v>332090</v>
      </c>
      <c r="C146" s="7">
        <v>117350</v>
      </c>
      <c r="D146" s="8">
        <v>0</v>
      </c>
      <c r="E146" s="2"/>
      <c r="F146" s="2" t="s">
        <v>418</v>
      </c>
    </row>
    <row r="147" spans="1:6" x14ac:dyDescent="0.3">
      <c r="A147" s="2" t="s">
        <v>220</v>
      </c>
      <c r="B147" s="2">
        <v>342260</v>
      </c>
      <c r="C147" s="7">
        <v>120720</v>
      </c>
      <c r="D147" s="8">
        <v>0</v>
      </c>
      <c r="E147" s="2"/>
      <c r="F147" s="2" t="s">
        <v>418</v>
      </c>
    </row>
    <row r="148" spans="1:6" x14ac:dyDescent="0.3">
      <c r="A148" s="2" t="s">
        <v>221</v>
      </c>
      <c r="B148" s="2">
        <v>355740</v>
      </c>
      <c r="C148" s="7">
        <v>124760</v>
      </c>
      <c r="D148" s="8">
        <v>0</v>
      </c>
      <c r="E148" s="2"/>
      <c r="F148" s="2" t="s">
        <v>418</v>
      </c>
    </row>
    <row r="149" spans="1:6" x14ac:dyDescent="0.3">
      <c r="A149" s="2" t="s">
        <v>222</v>
      </c>
      <c r="B149" s="2">
        <v>367070</v>
      </c>
      <c r="C149" s="7">
        <v>128410</v>
      </c>
      <c r="D149" s="8">
        <v>0</v>
      </c>
      <c r="E149" s="2"/>
      <c r="F149" s="2" t="s">
        <v>418</v>
      </c>
    </row>
    <row r="150" spans="1:6" x14ac:dyDescent="0.3">
      <c r="A150" s="2" t="s">
        <v>223</v>
      </c>
      <c r="B150" s="2">
        <v>376990</v>
      </c>
      <c r="C150" s="7">
        <v>132060</v>
      </c>
      <c r="D150" s="8">
        <v>0</v>
      </c>
      <c r="E150" s="2"/>
      <c r="F150" s="2" t="s">
        <v>418</v>
      </c>
    </row>
    <row r="151" spans="1:6" x14ac:dyDescent="0.3">
      <c r="A151" s="2" t="s">
        <v>224</v>
      </c>
      <c r="B151" s="2">
        <v>388420</v>
      </c>
      <c r="C151" s="7">
        <v>135820</v>
      </c>
      <c r="D151" s="8">
        <v>0</v>
      </c>
      <c r="E151" s="2"/>
      <c r="F151" s="2" t="s">
        <v>418</v>
      </c>
    </row>
    <row r="152" spans="1:6" x14ac:dyDescent="0.3">
      <c r="A152" s="2" t="s">
        <v>225</v>
      </c>
      <c r="B152" s="2">
        <v>400180</v>
      </c>
      <c r="C152" s="7">
        <v>139970</v>
      </c>
      <c r="D152" s="8">
        <v>0</v>
      </c>
      <c r="E152" s="2"/>
      <c r="F152" s="2" t="s">
        <v>418</v>
      </c>
    </row>
    <row r="153" spans="1:6" x14ac:dyDescent="0.3">
      <c r="A153" s="2" t="s">
        <v>226</v>
      </c>
      <c r="B153" s="2">
        <v>411610</v>
      </c>
      <c r="C153" s="7">
        <v>143940</v>
      </c>
      <c r="D153" s="8">
        <v>0</v>
      </c>
      <c r="E153" s="2"/>
      <c r="F153" s="2" t="s">
        <v>418</v>
      </c>
    </row>
    <row r="154" spans="1:6" x14ac:dyDescent="0.3">
      <c r="A154" s="2" t="s">
        <v>227</v>
      </c>
      <c r="B154" s="2">
        <v>424530</v>
      </c>
      <c r="C154" s="7">
        <v>148120</v>
      </c>
      <c r="D154" s="8">
        <v>23100</v>
      </c>
      <c r="E154" s="2"/>
      <c r="F154" s="2" t="s">
        <v>418</v>
      </c>
    </row>
    <row r="155" spans="1:6" x14ac:dyDescent="0.3">
      <c r="A155" s="2" t="s">
        <v>228</v>
      </c>
      <c r="B155" s="2">
        <v>436610</v>
      </c>
      <c r="C155" s="7">
        <v>152320</v>
      </c>
      <c r="D155" s="8">
        <v>0</v>
      </c>
      <c r="E155" s="2"/>
      <c r="F155" s="2" t="s">
        <v>418</v>
      </c>
    </row>
    <row r="156" spans="1:6" x14ac:dyDescent="0.3">
      <c r="A156" s="2" t="s">
        <v>229</v>
      </c>
      <c r="B156" s="2">
        <v>449720</v>
      </c>
      <c r="C156" s="7">
        <v>156640</v>
      </c>
      <c r="D156" s="8">
        <v>0</v>
      </c>
      <c r="E156" s="2"/>
      <c r="F156" s="2" t="s">
        <v>418</v>
      </c>
    </row>
    <row r="157" spans="1:6" x14ac:dyDescent="0.3">
      <c r="A157" s="2" t="s">
        <v>230</v>
      </c>
      <c r="B157" s="2">
        <v>463190</v>
      </c>
      <c r="C157" s="7">
        <v>161390</v>
      </c>
      <c r="D157" s="8">
        <v>0</v>
      </c>
      <c r="E157" s="2"/>
      <c r="F157" s="2" t="s">
        <v>418</v>
      </c>
    </row>
    <row r="158" spans="1:6" x14ac:dyDescent="0.3">
      <c r="A158" s="2" t="s">
        <v>231</v>
      </c>
      <c r="B158" s="2">
        <v>476930</v>
      </c>
      <c r="C158" s="7">
        <v>166250</v>
      </c>
      <c r="D158" s="8">
        <v>0</v>
      </c>
      <c r="E158" s="2"/>
      <c r="F158" s="2" t="s">
        <v>418</v>
      </c>
    </row>
    <row r="159" spans="1:6" x14ac:dyDescent="0.3">
      <c r="A159" s="2" t="s">
        <v>232</v>
      </c>
      <c r="B159" s="2">
        <v>491680</v>
      </c>
      <c r="C159" s="7">
        <v>171360</v>
      </c>
      <c r="D159" s="8">
        <v>0</v>
      </c>
      <c r="E159" s="2"/>
      <c r="F159" s="2" t="s">
        <v>418</v>
      </c>
    </row>
    <row r="160" spans="1:6" x14ac:dyDescent="0.3">
      <c r="A160" s="2" t="s">
        <v>233</v>
      </c>
      <c r="B160" s="2">
        <v>505550</v>
      </c>
      <c r="C160" s="7">
        <v>175830</v>
      </c>
      <c r="D160" s="8">
        <v>0</v>
      </c>
      <c r="E160" s="2"/>
      <c r="F160" s="2" t="s">
        <v>418</v>
      </c>
    </row>
    <row r="161" spans="1:6" x14ac:dyDescent="0.3">
      <c r="A161" s="2" t="s">
        <v>234</v>
      </c>
      <c r="B161" s="2">
        <v>520560</v>
      </c>
      <c r="C161" s="7">
        <v>181120</v>
      </c>
      <c r="D161" s="8">
        <v>0</v>
      </c>
      <c r="E161" s="2"/>
      <c r="F161" s="2" t="s">
        <v>418</v>
      </c>
    </row>
    <row r="162" spans="1:6" x14ac:dyDescent="0.3">
      <c r="A162" s="2" t="s">
        <v>235</v>
      </c>
      <c r="B162" s="2">
        <v>536000</v>
      </c>
      <c r="C162" s="7">
        <v>186680</v>
      </c>
      <c r="D162" s="8">
        <v>0</v>
      </c>
      <c r="E162" s="2"/>
      <c r="F162" s="2" t="s">
        <v>418</v>
      </c>
    </row>
    <row r="163" spans="1:6" x14ac:dyDescent="0.3">
      <c r="A163" s="2" t="s">
        <v>236</v>
      </c>
      <c r="B163" s="2">
        <v>551060</v>
      </c>
      <c r="C163" s="7">
        <v>192240</v>
      </c>
      <c r="D163" s="8">
        <v>0</v>
      </c>
      <c r="E163" s="2"/>
      <c r="F163" s="2" t="s">
        <v>418</v>
      </c>
    </row>
    <row r="164" spans="1:6" x14ac:dyDescent="0.3">
      <c r="A164" s="2" t="s">
        <v>237</v>
      </c>
      <c r="B164" s="2">
        <v>563560</v>
      </c>
      <c r="C164" s="7">
        <v>195790</v>
      </c>
      <c r="D164" s="7">
        <v>29300</v>
      </c>
      <c r="E164" s="2"/>
      <c r="F164" s="2" t="s">
        <v>418</v>
      </c>
    </row>
    <row r="165" spans="1:6" x14ac:dyDescent="0.3">
      <c r="A165" s="2" t="s">
        <v>238</v>
      </c>
      <c r="B165" s="2">
        <v>575740</v>
      </c>
      <c r="C165" s="7">
        <v>200140</v>
      </c>
      <c r="D165" s="8">
        <v>0</v>
      </c>
      <c r="E165" s="2"/>
      <c r="F165" s="2" t="s">
        <v>418</v>
      </c>
    </row>
    <row r="166" spans="1:6" x14ac:dyDescent="0.3">
      <c r="A166" s="2" t="s">
        <v>239</v>
      </c>
      <c r="B166" s="2">
        <v>587330</v>
      </c>
      <c r="C166" s="7">
        <v>204320</v>
      </c>
      <c r="D166" s="8">
        <v>0</v>
      </c>
      <c r="E166" s="2"/>
      <c r="F166" s="2" t="s">
        <v>418</v>
      </c>
    </row>
    <row r="167" spans="1:6" x14ac:dyDescent="0.3">
      <c r="A167" s="2" t="s">
        <v>240</v>
      </c>
      <c r="B167" s="2">
        <v>600810</v>
      </c>
      <c r="C167" s="7">
        <v>208810</v>
      </c>
      <c r="D167" s="8">
        <v>0</v>
      </c>
      <c r="E167" s="2"/>
      <c r="F167" s="2" t="s">
        <v>418</v>
      </c>
    </row>
    <row r="168" spans="1:6" x14ac:dyDescent="0.3">
      <c r="A168" s="2" t="s">
        <v>241</v>
      </c>
      <c r="B168" s="2">
        <v>613520</v>
      </c>
      <c r="C168" s="7">
        <v>213210</v>
      </c>
      <c r="D168" s="8">
        <v>0</v>
      </c>
      <c r="E168" s="2"/>
      <c r="F168" s="2" t="s">
        <v>418</v>
      </c>
    </row>
    <row r="169" spans="1:6" x14ac:dyDescent="0.3">
      <c r="A169" s="2" t="s">
        <v>242</v>
      </c>
      <c r="B169" s="2">
        <v>627210</v>
      </c>
      <c r="C169" s="7">
        <v>218120</v>
      </c>
      <c r="D169" s="8">
        <v>0</v>
      </c>
      <c r="E169" s="2"/>
      <c r="F169" s="2" t="s">
        <v>418</v>
      </c>
    </row>
    <row r="170" spans="1:6" x14ac:dyDescent="0.3">
      <c r="A170" s="2" t="s">
        <v>243</v>
      </c>
      <c r="B170" s="2">
        <v>640560</v>
      </c>
      <c r="C170" s="7">
        <v>222860</v>
      </c>
      <c r="D170" s="8">
        <v>0</v>
      </c>
      <c r="E170" s="2"/>
      <c r="F170" s="2" t="s">
        <v>418</v>
      </c>
    </row>
    <row r="171" spans="1:6" x14ac:dyDescent="0.3">
      <c r="A171" s="2" t="s">
        <v>244</v>
      </c>
      <c r="B171" s="2">
        <v>653270</v>
      </c>
      <c r="C171" s="7">
        <v>226820</v>
      </c>
      <c r="D171" s="8">
        <v>0</v>
      </c>
      <c r="E171" s="2"/>
      <c r="F171" s="2" t="s">
        <v>418</v>
      </c>
    </row>
    <row r="172" spans="1:6" x14ac:dyDescent="0.3">
      <c r="A172" s="2" t="s">
        <v>245</v>
      </c>
      <c r="B172" s="2">
        <v>667120</v>
      </c>
      <c r="C172" s="7">
        <v>232290</v>
      </c>
      <c r="D172" s="8">
        <v>0</v>
      </c>
      <c r="E172" s="2"/>
      <c r="F172" s="2" t="s">
        <v>418</v>
      </c>
    </row>
    <row r="173" spans="1:6" x14ac:dyDescent="0.3">
      <c r="A173" s="2" t="s">
        <v>246</v>
      </c>
      <c r="B173" s="2">
        <v>682140</v>
      </c>
      <c r="C173" s="7">
        <v>237290</v>
      </c>
      <c r="D173" s="8">
        <v>0</v>
      </c>
      <c r="E173" s="2"/>
      <c r="F173" s="2" t="s">
        <v>418</v>
      </c>
    </row>
    <row r="174" spans="1:6" x14ac:dyDescent="0.3">
      <c r="A174" s="2" t="s">
        <v>247</v>
      </c>
      <c r="B174" s="2">
        <v>696190</v>
      </c>
      <c r="C174" s="7">
        <v>241740</v>
      </c>
      <c r="D174" s="8">
        <v>35400</v>
      </c>
      <c r="E174" s="2"/>
      <c r="F174" s="2" t="s">
        <v>418</v>
      </c>
    </row>
    <row r="175" spans="1:6" x14ac:dyDescent="0.3">
      <c r="A175" s="2" t="s">
        <v>248</v>
      </c>
      <c r="B175" s="2">
        <v>711760</v>
      </c>
      <c r="C175" s="7">
        <v>246920</v>
      </c>
      <c r="D175" s="8">
        <v>0</v>
      </c>
      <c r="E175" s="2"/>
      <c r="F175" s="2" t="s">
        <v>418</v>
      </c>
    </row>
    <row r="176" spans="1:6" x14ac:dyDescent="0.3">
      <c r="A176" s="2" t="s">
        <v>249</v>
      </c>
      <c r="B176" s="2">
        <v>726670</v>
      </c>
      <c r="C176" s="7">
        <v>252270</v>
      </c>
      <c r="D176" s="8">
        <v>0</v>
      </c>
      <c r="E176" s="2"/>
      <c r="F176" s="2" t="s">
        <v>418</v>
      </c>
    </row>
    <row r="177" spans="1:6" x14ac:dyDescent="0.3">
      <c r="A177" s="2" t="s">
        <v>250</v>
      </c>
      <c r="B177" s="2">
        <v>740900</v>
      </c>
      <c r="C177" s="7">
        <v>257220</v>
      </c>
      <c r="D177" s="8">
        <v>0</v>
      </c>
      <c r="E177" s="2"/>
      <c r="F177" s="2" t="s">
        <v>418</v>
      </c>
    </row>
    <row r="178" spans="1:6" x14ac:dyDescent="0.3">
      <c r="A178" s="2" t="s">
        <v>251</v>
      </c>
      <c r="B178" s="2">
        <v>757120</v>
      </c>
      <c r="C178" s="7">
        <v>263520</v>
      </c>
      <c r="D178" s="8">
        <v>0</v>
      </c>
      <c r="E178" s="2"/>
      <c r="F178" s="2" t="s">
        <v>418</v>
      </c>
    </row>
    <row r="179" spans="1:6" x14ac:dyDescent="0.3">
      <c r="A179" s="2" t="s">
        <v>252</v>
      </c>
      <c r="B179" s="2">
        <v>774470</v>
      </c>
      <c r="C179" s="7">
        <v>269220</v>
      </c>
      <c r="D179" s="8">
        <v>0</v>
      </c>
      <c r="E179" s="2"/>
      <c r="F179" s="2" t="s">
        <v>418</v>
      </c>
    </row>
    <row r="180" spans="1:6" x14ac:dyDescent="0.3">
      <c r="A180" s="2" t="s">
        <v>253</v>
      </c>
      <c r="B180" s="2">
        <v>789510</v>
      </c>
      <c r="C180" s="7">
        <v>274070</v>
      </c>
      <c r="D180" s="8">
        <v>0</v>
      </c>
      <c r="E180" s="2"/>
      <c r="F180" s="2" t="s">
        <v>418</v>
      </c>
    </row>
    <row r="181" spans="1:6" x14ac:dyDescent="0.3">
      <c r="A181" s="2" t="s">
        <v>254</v>
      </c>
      <c r="B181" s="2">
        <v>806860</v>
      </c>
      <c r="C181" s="7">
        <v>279890</v>
      </c>
      <c r="D181" s="8">
        <v>0</v>
      </c>
      <c r="E181" s="2"/>
      <c r="F181" s="2" t="s">
        <v>418</v>
      </c>
    </row>
    <row r="182" spans="1:6" x14ac:dyDescent="0.3">
      <c r="A182" s="2" t="s">
        <v>255</v>
      </c>
      <c r="B182" s="2">
        <v>823500</v>
      </c>
      <c r="C182" s="7">
        <v>285790</v>
      </c>
      <c r="D182" s="8">
        <v>0</v>
      </c>
      <c r="E182" s="2"/>
      <c r="F182" s="2" t="s">
        <v>418</v>
      </c>
    </row>
    <row r="183" spans="1:6" x14ac:dyDescent="0.3">
      <c r="A183" s="2" t="s">
        <v>256</v>
      </c>
      <c r="B183" s="2">
        <v>839400</v>
      </c>
      <c r="C183" s="7">
        <v>291390</v>
      </c>
      <c r="D183" s="8">
        <v>0</v>
      </c>
      <c r="E183" s="2"/>
      <c r="F183" s="2" t="s">
        <v>418</v>
      </c>
    </row>
    <row r="184" spans="1:6" x14ac:dyDescent="0.3">
      <c r="A184" s="2" t="s">
        <v>257</v>
      </c>
      <c r="B184" s="2">
        <v>858350</v>
      </c>
      <c r="C184" s="7">
        <v>297660</v>
      </c>
      <c r="D184" s="7">
        <v>41700</v>
      </c>
      <c r="E184" s="2"/>
      <c r="F184" s="2" t="s">
        <v>418</v>
      </c>
    </row>
    <row r="185" spans="1:6" x14ac:dyDescent="0.3">
      <c r="A185" s="2" t="s">
        <v>258</v>
      </c>
      <c r="B185" s="2">
        <v>876990</v>
      </c>
      <c r="C185" s="7">
        <v>303890</v>
      </c>
      <c r="D185" s="8">
        <v>0</v>
      </c>
      <c r="E185" s="2"/>
      <c r="F185" s="2" t="s">
        <v>418</v>
      </c>
    </row>
    <row r="186" spans="1:6" x14ac:dyDescent="0.3">
      <c r="A186" s="2" t="s">
        <v>259</v>
      </c>
      <c r="B186" s="2">
        <v>893820</v>
      </c>
      <c r="C186" s="7">
        <v>309810</v>
      </c>
      <c r="D186" s="8">
        <v>0</v>
      </c>
      <c r="E186" s="2"/>
      <c r="F186" s="2" t="s">
        <v>418</v>
      </c>
    </row>
    <row r="187" spans="1:6" x14ac:dyDescent="0.3">
      <c r="A187" s="2" t="s">
        <v>260</v>
      </c>
      <c r="B187" s="2">
        <v>912040</v>
      </c>
      <c r="C187" s="7">
        <v>316300</v>
      </c>
      <c r="D187" s="8">
        <v>0</v>
      </c>
      <c r="E187" s="2"/>
      <c r="F187" s="2" t="s">
        <v>418</v>
      </c>
    </row>
    <row r="188" spans="1:6" x14ac:dyDescent="0.3">
      <c r="A188" s="2" t="s">
        <v>261</v>
      </c>
      <c r="B188" s="2">
        <v>932540</v>
      </c>
      <c r="C188" s="7">
        <v>323710</v>
      </c>
      <c r="D188" s="8">
        <v>0</v>
      </c>
      <c r="E188" s="2"/>
      <c r="F188" s="2" t="s">
        <v>418</v>
      </c>
    </row>
    <row r="189" spans="1:6" x14ac:dyDescent="0.3">
      <c r="A189" s="2" t="s">
        <v>262</v>
      </c>
      <c r="B189" s="2">
        <v>952120</v>
      </c>
      <c r="C189" s="7">
        <v>330060</v>
      </c>
      <c r="D189" s="8">
        <v>0</v>
      </c>
      <c r="E189" s="2"/>
      <c r="F189" s="2" t="s">
        <v>418</v>
      </c>
    </row>
    <row r="190" spans="1:6" x14ac:dyDescent="0.3">
      <c r="A190" s="2" t="s">
        <v>263</v>
      </c>
      <c r="B190" s="2">
        <v>972520</v>
      </c>
      <c r="C190" s="7">
        <v>336880</v>
      </c>
      <c r="D190" s="8">
        <v>0</v>
      </c>
      <c r="E190" s="2"/>
      <c r="F190" s="2" t="s">
        <v>418</v>
      </c>
    </row>
    <row r="191" spans="1:6" x14ac:dyDescent="0.3">
      <c r="A191" s="2" t="s">
        <v>264</v>
      </c>
      <c r="B191" s="2">
        <v>992130</v>
      </c>
      <c r="C191" s="7">
        <v>343900</v>
      </c>
      <c r="D191" s="8">
        <v>0</v>
      </c>
      <c r="E191" s="2"/>
      <c r="F191" s="2" t="s">
        <v>418</v>
      </c>
    </row>
    <row r="192" spans="1:6" x14ac:dyDescent="0.3">
      <c r="A192" s="2" t="s">
        <v>265</v>
      </c>
      <c r="B192" s="2">
        <v>1010930</v>
      </c>
      <c r="C192" s="7">
        <v>350480</v>
      </c>
      <c r="D192" s="8">
        <v>0</v>
      </c>
      <c r="E192" s="2"/>
      <c r="F192" s="2" t="s">
        <v>418</v>
      </c>
    </row>
    <row r="193" spans="1:6" x14ac:dyDescent="0.3">
      <c r="A193" s="2" t="s">
        <v>266</v>
      </c>
      <c r="B193" s="2">
        <v>1032430</v>
      </c>
      <c r="C193" s="7">
        <v>357710</v>
      </c>
      <c r="D193" s="8">
        <v>0</v>
      </c>
      <c r="E193" s="2"/>
      <c r="F193" s="2" t="s">
        <v>418</v>
      </c>
    </row>
    <row r="194" spans="1:6" x14ac:dyDescent="0.3">
      <c r="A194" s="2" t="s">
        <v>267</v>
      </c>
      <c r="B194" s="2">
        <v>1051020</v>
      </c>
      <c r="C194" s="7">
        <v>363840</v>
      </c>
      <c r="D194" s="8">
        <v>49000</v>
      </c>
      <c r="E194" s="2"/>
      <c r="F194" s="2" t="s">
        <v>418</v>
      </c>
    </row>
    <row r="195" spans="1:6" x14ac:dyDescent="0.3">
      <c r="A195" s="2" t="s">
        <v>268</v>
      </c>
      <c r="B195" s="2">
        <v>1066670</v>
      </c>
      <c r="C195" s="7">
        <v>369370</v>
      </c>
      <c r="D195" s="8">
        <v>0</v>
      </c>
      <c r="E195" s="2"/>
      <c r="F195" s="2" t="s">
        <v>418</v>
      </c>
    </row>
    <row r="196" spans="1:6" x14ac:dyDescent="0.3">
      <c r="A196" s="2" t="s">
        <v>269</v>
      </c>
      <c r="B196" s="2">
        <v>1084970</v>
      </c>
      <c r="C196" s="7">
        <v>376070</v>
      </c>
      <c r="D196" s="8">
        <v>0</v>
      </c>
      <c r="E196" s="2"/>
      <c r="F196" s="2" t="s">
        <v>418</v>
      </c>
    </row>
    <row r="197" spans="1:6" x14ac:dyDescent="0.3">
      <c r="A197" s="2" t="s">
        <v>270</v>
      </c>
      <c r="B197" s="2">
        <v>1103530</v>
      </c>
      <c r="C197" s="7">
        <v>382300</v>
      </c>
      <c r="D197" s="8">
        <v>0</v>
      </c>
      <c r="E197" s="2"/>
      <c r="F197" s="2" t="s">
        <v>418</v>
      </c>
    </row>
    <row r="198" spans="1:6" x14ac:dyDescent="0.3">
      <c r="A198" s="2" t="s">
        <v>271</v>
      </c>
      <c r="B198" s="2">
        <v>1122000</v>
      </c>
      <c r="C198" s="7">
        <v>388940</v>
      </c>
      <c r="D198" s="8">
        <v>0</v>
      </c>
      <c r="E198" s="2"/>
      <c r="F198" s="2" t="s">
        <v>418</v>
      </c>
    </row>
    <row r="199" spans="1:6" x14ac:dyDescent="0.3">
      <c r="A199" s="2" t="s">
        <v>272</v>
      </c>
      <c r="B199" s="2">
        <v>1140630</v>
      </c>
      <c r="C199" s="7">
        <v>395510</v>
      </c>
      <c r="D199" s="8">
        <v>0</v>
      </c>
      <c r="E199" s="2"/>
      <c r="F199" s="2" t="s">
        <v>418</v>
      </c>
    </row>
    <row r="200" spans="1:6" x14ac:dyDescent="0.3">
      <c r="A200" s="2" t="s">
        <v>273</v>
      </c>
      <c r="B200" s="2">
        <v>1159940</v>
      </c>
      <c r="C200" s="7">
        <v>402000</v>
      </c>
      <c r="D200" s="8">
        <v>0</v>
      </c>
      <c r="E200" s="2"/>
      <c r="F200" s="2" t="s">
        <v>418</v>
      </c>
    </row>
    <row r="201" spans="1:6" x14ac:dyDescent="0.3">
      <c r="A201" s="2" t="s">
        <v>274</v>
      </c>
      <c r="B201" s="2">
        <v>1179520</v>
      </c>
      <c r="C201" s="7">
        <v>408580</v>
      </c>
      <c r="D201" s="8">
        <v>0</v>
      </c>
      <c r="E201" s="2"/>
      <c r="F201" s="2" t="s">
        <v>418</v>
      </c>
    </row>
    <row r="202" spans="1:6" x14ac:dyDescent="0.3">
      <c r="A202" s="2" t="s">
        <v>275</v>
      </c>
      <c r="B202" s="2">
        <v>1198070</v>
      </c>
      <c r="C202" s="7">
        <v>414670</v>
      </c>
      <c r="D202" s="8">
        <v>0</v>
      </c>
      <c r="E202" s="2"/>
      <c r="F202" s="2" t="s">
        <v>418</v>
      </c>
    </row>
    <row r="203" spans="1:6" x14ac:dyDescent="0.3">
      <c r="A203" s="2" t="s">
        <v>276</v>
      </c>
      <c r="B203" s="2">
        <v>1216860</v>
      </c>
      <c r="C203" s="7">
        <v>421430</v>
      </c>
      <c r="D203" s="8">
        <v>0</v>
      </c>
      <c r="E203" s="2"/>
      <c r="F203" s="2" t="s">
        <v>418</v>
      </c>
    </row>
    <row r="204" spans="1:6" x14ac:dyDescent="0.3">
      <c r="A204" s="2" t="s">
        <v>277</v>
      </c>
      <c r="B204" s="2">
        <v>1236630</v>
      </c>
      <c r="C204" s="7">
        <v>428470</v>
      </c>
      <c r="D204" s="7">
        <v>56300</v>
      </c>
      <c r="E204" s="2"/>
      <c r="F204" s="2" t="s">
        <v>418</v>
      </c>
    </row>
    <row r="205" spans="1:6" x14ac:dyDescent="0.3">
      <c r="A205" s="2" t="s">
        <v>278</v>
      </c>
      <c r="B205" s="2">
        <v>1254290</v>
      </c>
      <c r="C205" s="7">
        <v>434880</v>
      </c>
      <c r="D205" s="8">
        <v>0</v>
      </c>
      <c r="E205" s="2"/>
      <c r="F205" s="2" t="s">
        <v>418</v>
      </c>
    </row>
    <row r="206" spans="1:6" x14ac:dyDescent="0.3">
      <c r="A206" s="2" t="s">
        <v>279</v>
      </c>
      <c r="B206" s="2">
        <v>1273490</v>
      </c>
      <c r="C206" s="7">
        <v>441240</v>
      </c>
      <c r="D206" s="8">
        <v>0</v>
      </c>
      <c r="E206" s="2"/>
      <c r="F206" s="2" t="s">
        <v>418</v>
      </c>
    </row>
    <row r="207" spans="1:6" x14ac:dyDescent="0.3">
      <c r="A207" s="2" t="s">
        <v>280</v>
      </c>
      <c r="B207" s="2">
        <v>1292900</v>
      </c>
      <c r="C207" s="7">
        <v>447680</v>
      </c>
      <c r="D207" s="8">
        <v>0</v>
      </c>
      <c r="E207" s="2"/>
      <c r="F207" s="2" t="s">
        <v>418</v>
      </c>
    </row>
    <row r="208" spans="1:6" x14ac:dyDescent="0.3">
      <c r="A208" s="2" t="s">
        <v>281</v>
      </c>
      <c r="B208" s="2">
        <v>1324380</v>
      </c>
      <c r="C208" s="7">
        <v>455160</v>
      </c>
      <c r="D208" s="8">
        <v>0</v>
      </c>
      <c r="E208" s="2"/>
      <c r="F208" s="2" t="s">
        <v>418</v>
      </c>
    </row>
    <row r="209" spans="1:6" x14ac:dyDescent="0.3">
      <c r="A209" s="2" t="s">
        <v>282</v>
      </c>
      <c r="B209" s="2">
        <v>1344130</v>
      </c>
      <c r="C209" s="7">
        <v>461370</v>
      </c>
      <c r="D209" s="8">
        <v>0</v>
      </c>
      <c r="E209" s="2"/>
      <c r="F209" s="2" t="s">
        <v>418</v>
      </c>
    </row>
    <row r="210" spans="1:6" x14ac:dyDescent="0.3">
      <c r="A210" s="2" t="s">
        <v>283</v>
      </c>
      <c r="B210" s="2">
        <v>1363030</v>
      </c>
      <c r="C210" s="7">
        <v>468780</v>
      </c>
      <c r="D210" s="8">
        <v>0</v>
      </c>
      <c r="E210" s="2"/>
      <c r="F210" s="2" t="s">
        <v>418</v>
      </c>
    </row>
    <row r="211" spans="1:6" x14ac:dyDescent="0.3">
      <c r="A211" s="2" t="s">
        <v>284</v>
      </c>
      <c r="B211" s="2">
        <v>1384950</v>
      </c>
      <c r="C211" s="7">
        <v>476150</v>
      </c>
      <c r="D211" s="8">
        <v>0</v>
      </c>
      <c r="E211" s="2"/>
      <c r="F211" s="2" t="s">
        <v>418</v>
      </c>
    </row>
    <row r="212" spans="1:6" x14ac:dyDescent="0.3">
      <c r="A212" s="2" t="s">
        <v>285</v>
      </c>
      <c r="B212" s="2">
        <v>1404290</v>
      </c>
      <c r="C212" s="7">
        <v>481720</v>
      </c>
      <c r="D212" s="8">
        <v>0</v>
      </c>
      <c r="E212" s="2"/>
      <c r="F212" s="2" t="s">
        <v>418</v>
      </c>
    </row>
    <row r="213" spans="1:6" x14ac:dyDescent="0.3">
      <c r="A213" s="2" t="s">
        <v>286</v>
      </c>
      <c r="B213" s="2">
        <v>1423870</v>
      </c>
      <c r="C213" s="7">
        <v>489380</v>
      </c>
      <c r="D213" s="8">
        <v>0</v>
      </c>
      <c r="E213" s="2"/>
      <c r="F213" s="2" t="s">
        <v>418</v>
      </c>
    </row>
    <row r="214" spans="1:6" x14ac:dyDescent="0.3">
      <c r="A214" s="2" t="s">
        <v>287</v>
      </c>
      <c r="B214" s="2">
        <v>1447690</v>
      </c>
      <c r="C214" s="7">
        <v>497220</v>
      </c>
      <c r="D214" s="8">
        <v>63700</v>
      </c>
      <c r="E214" s="2"/>
      <c r="F214" s="2" t="s">
        <v>418</v>
      </c>
    </row>
    <row r="215" spans="1:6" x14ac:dyDescent="0.3">
      <c r="A215" s="2" t="s">
        <v>288</v>
      </c>
      <c r="B215" s="2">
        <v>1469180</v>
      </c>
      <c r="C215" s="7">
        <v>503650</v>
      </c>
      <c r="D215" s="8">
        <v>0</v>
      </c>
      <c r="E215" s="2"/>
      <c r="F215" s="2" t="s">
        <v>418</v>
      </c>
    </row>
    <row r="216" spans="1:6" x14ac:dyDescent="0.3">
      <c r="A216" s="2" t="s">
        <v>289</v>
      </c>
      <c r="B216" s="2">
        <v>1488020</v>
      </c>
      <c r="C216" s="7">
        <v>510920</v>
      </c>
      <c r="D216" s="8">
        <v>0</v>
      </c>
      <c r="E216" s="2"/>
      <c r="F216" s="2" t="s">
        <v>418</v>
      </c>
    </row>
    <row r="217" spans="1:6" x14ac:dyDescent="0.3">
      <c r="A217" s="2" t="s">
        <v>290</v>
      </c>
      <c r="B217" s="2">
        <v>1511480</v>
      </c>
      <c r="C217" s="7">
        <v>518810</v>
      </c>
      <c r="D217" s="8">
        <v>0</v>
      </c>
      <c r="E217" s="2"/>
      <c r="F217" s="2" t="s">
        <v>418</v>
      </c>
    </row>
    <row r="218" spans="1:6" x14ac:dyDescent="0.3">
      <c r="A218" s="2" t="s">
        <v>291</v>
      </c>
      <c r="B218" s="2">
        <v>1534800</v>
      </c>
      <c r="C218" s="7">
        <v>526490</v>
      </c>
      <c r="D218" s="8">
        <v>0</v>
      </c>
      <c r="E218" s="2"/>
      <c r="F218" s="2" t="s">
        <v>418</v>
      </c>
    </row>
    <row r="219" spans="1:6" x14ac:dyDescent="0.3">
      <c r="A219" s="2" t="s">
        <v>292</v>
      </c>
      <c r="B219" s="2">
        <v>1558550</v>
      </c>
      <c r="C219" s="7">
        <v>534910</v>
      </c>
      <c r="D219" s="8">
        <v>0</v>
      </c>
      <c r="E219" s="2"/>
      <c r="F219" s="2" t="s">
        <v>418</v>
      </c>
    </row>
    <row r="220" spans="1:6" x14ac:dyDescent="0.3">
      <c r="A220" s="2" t="s">
        <v>293</v>
      </c>
      <c r="B220" s="2">
        <v>1579810</v>
      </c>
      <c r="C220" s="7">
        <v>542410</v>
      </c>
      <c r="D220" s="8">
        <v>0</v>
      </c>
      <c r="E220" s="2"/>
      <c r="F220" s="2" t="s">
        <v>418</v>
      </c>
    </row>
    <row r="221" spans="1:6" x14ac:dyDescent="0.3">
      <c r="A221" s="2" t="s">
        <v>294</v>
      </c>
      <c r="B221" s="2">
        <v>1602850</v>
      </c>
      <c r="C221" s="7">
        <v>550070</v>
      </c>
      <c r="D221" s="8">
        <v>0</v>
      </c>
      <c r="E221" s="2"/>
      <c r="F221" s="2" t="s">
        <v>418</v>
      </c>
    </row>
    <row r="222" spans="1:6" x14ac:dyDescent="0.3">
      <c r="A222" s="2" t="s">
        <v>295</v>
      </c>
      <c r="B222" s="2">
        <v>1626150</v>
      </c>
      <c r="C222" s="7">
        <v>557740</v>
      </c>
      <c r="D222" s="8">
        <v>0</v>
      </c>
      <c r="E222" s="2"/>
      <c r="F222" s="2" t="s">
        <v>418</v>
      </c>
    </row>
    <row r="223" spans="1:6" x14ac:dyDescent="0.3">
      <c r="A223" s="2" t="s">
        <v>296</v>
      </c>
      <c r="B223" s="2">
        <v>1649720</v>
      </c>
      <c r="C223" s="7">
        <v>566280</v>
      </c>
      <c r="D223" s="8">
        <v>0</v>
      </c>
      <c r="E223" s="2"/>
      <c r="F223" s="2" t="s">
        <v>418</v>
      </c>
    </row>
    <row r="224" spans="1:6" x14ac:dyDescent="0.3">
      <c r="A224" s="2" t="s">
        <v>297</v>
      </c>
      <c r="B224" s="2">
        <v>1671620</v>
      </c>
      <c r="C224" s="7">
        <v>572620</v>
      </c>
      <c r="D224" s="7">
        <v>71500</v>
      </c>
      <c r="E224" s="2"/>
      <c r="F224" s="2" t="s">
        <v>418</v>
      </c>
    </row>
    <row r="225" spans="1:6" x14ac:dyDescent="0.3">
      <c r="A225" s="2" t="s">
        <v>298</v>
      </c>
      <c r="B225" s="2">
        <v>1692400</v>
      </c>
      <c r="C225" s="7">
        <v>580130</v>
      </c>
      <c r="D225" s="8">
        <v>0</v>
      </c>
      <c r="E225" s="2"/>
      <c r="F225" s="2" t="s">
        <v>418</v>
      </c>
    </row>
    <row r="226" spans="1:6" x14ac:dyDescent="0.3">
      <c r="A226" s="2" t="s">
        <v>299</v>
      </c>
      <c r="B226" s="2">
        <v>1713370</v>
      </c>
      <c r="C226" s="7">
        <v>587100</v>
      </c>
      <c r="D226" s="8">
        <v>0</v>
      </c>
      <c r="E226" s="2"/>
      <c r="F226" s="2" t="s">
        <v>418</v>
      </c>
    </row>
    <row r="227" spans="1:6" x14ac:dyDescent="0.3">
      <c r="A227" s="2" t="s">
        <v>300</v>
      </c>
      <c r="B227" s="2">
        <v>1736110</v>
      </c>
      <c r="C227" s="7">
        <v>594750</v>
      </c>
      <c r="D227" s="8">
        <v>0</v>
      </c>
      <c r="E227" s="2"/>
      <c r="F227" s="2" t="s">
        <v>418</v>
      </c>
    </row>
    <row r="228" spans="1:6" x14ac:dyDescent="0.3">
      <c r="A228" s="2" t="s">
        <v>301</v>
      </c>
      <c r="B228" s="2">
        <v>1755500</v>
      </c>
      <c r="C228" s="7">
        <v>602210</v>
      </c>
      <c r="D228" s="8">
        <v>0</v>
      </c>
      <c r="E228" s="2"/>
      <c r="F228" s="2" t="s">
        <v>418</v>
      </c>
    </row>
    <row r="229" spans="1:6" x14ac:dyDescent="0.3">
      <c r="A229" s="2" t="s">
        <v>302</v>
      </c>
      <c r="B229" s="2">
        <v>1780030</v>
      </c>
      <c r="C229" s="7">
        <v>610300</v>
      </c>
      <c r="D229" s="8">
        <v>0</v>
      </c>
      <c r="E229" s="2"/>
      <c r="F229" s="2" t="s">
        <v>418</v>
      </c>
    </row>
    <row r="230" spans="1:6" x14ac:dyDescent="0.3">
      <c r="A230" s="2" t="s">
        <v>303</v>
      </c>
      <c r="B230" s="2">
        <v>1801770</v>
      </c>
      <c r="C230" s="7">
        <v>617440</v>
      </c>
      <c r="D230" s="8">
        <v>0</v>
      </c>
      <c r="E230" s="2"/>
      <c r="F230" s="2" t="s">
        <v>418</v>
      </c>
    </row>
    <row r="231" spans="1:6" x14ac:dyDescent="0.3">
      <c r="A231" s="2" t="s">
        <v>304</v>
      </c>
      <c r="B231" s="2">
        <v>1823720</v>
      </c>
      <c r="C231" s="7">
        <v>625450</v>
      </c>
      <c r="D231" s="8">
        <v>0</v>
      </c>
      <c r="E231" s="2"/>
      <c r="F231" s="2" t="s">
        <v>418</v>
      </c>
    </row>
    <row r="232" spans="1:6" x14ac:dyDescent="0.3">
      <c r="A232" s="2" t="s">
        <v>305</v>
      </c>
      <c r="B232" s="2">
        <v>1845860</v>
      </c>
      <c r="C232" s="7">
        <v>632030</v>
      </c>
      <c r="D232" s="8">
        <v>0</v>
      </c>
      <c r="E232" s="2"/>
      <c r="F232" s="2" t="s">
        <v>418</v>
      </c>
    </row>
    <row r="233" spans="1:6" x14ac:dyDescent="0.3">
      <c r="A233" s="2" t="s">
        <v>306</v>
      </c>
      <c r="B233" s="2">
        <v>1868210</v>
      </c>
      <c r="C233" s="7">
        <v>640100</v>
      </c>
      <c r="D233" s="8">
        <v>0</v>
      </c>
      <c r="E233" s="2"/>
      <c r="F233" s="2" t="s">
        <v>418</v>
      </c>
    </row>
    <row r="234" spans="1:6" x14ac:dyDescent="0.3">
      <c r="A234" s="2" t="s">
        <v>307</v>
      </c>
      <c r="B234" s="2">
        <v>1892230</v>
      </c>
      <c r="C234" s="7">
        <v>647850</v>
      </c>
      <c r="D234" s="8">
        <v>79200</v>
      </c>
      <c r="E234" s="2"/>
      <c r="F234" s="2" t="s">
        <v>418</v>
      </c>
    </row>
    <row r="235" spans="1:6" x14ac:dyDescent="0.3">
      <c r="A235" s="2" t="s">
        <v>308</v>
      </c>
      <c r="B235" s="2">
        <v>1916640</v>
      </c>
      <c r="C235" s="7">
        <v>656110</v>
      </c>
      <c r="D235" s="8">
        <v>0</v>
      </c>
      <c r="E235" s="2"/>
      <c r="F235" s="2" t="s">
        <v>418</v>
      </c>
    </row>
    <row r="236" spans="1:6" x14ac:dyDescent="0.3">
      <c r="A236" s="2" t="s">
        <v>309</v>
      </c>
      <c r="B236" s="2">
        <v>1939610</v>
      </c>
      <c r="C236" s="7">
        <v>664440</v>
      </c>
      <c r="D236" s="8">
        <v>0</v>
      </c>
      <c r="E236" s="2"/>
      <c r="F236" s="2" t="s">
        <v>418</v>
      </c>
    </row>
    <row r="237" spans="1:6" x14ac:dyDescent="0.3">
      <c r="A237" s="2" t="s">
        <v>310</v>
      </c>
      <c r="B237" s="2">
        <v>1962790</v>
      </c>
      <c r="C237" s="7">
        <v>671340</v>
      </c>
      <c r="D237" s="8">
        <v>0</v>
      </c>
      <c r="E237" s="2"/>
      <c r="F237" s="2" t="s">
        <v>418</v>
      </c>
    </row>
    <row r="238" spans="1:6" x14ac:dyDescent="0.3">
      <c r="A238" s="2" t="s">
        <v>311</v>
      </c>
      <c r="B238" s="2">
        <v>1987460</v>
      </c>
      <c r="C238" s="7">
        <v>680960</v>
      </c>
      <c r="D238" s="8">
        <v>0</v>
      </c>
      <c r="E238" s="2"/>
      <c r="F238" s="2" t="s">
        <v>418</v>
      </c>
    </row>
    <row r="239" spans="1:6" x14ac:dyDescent="0.3">
      <c r="A239" s="2" t="s">
        <v>312</v>
      </c>
      <c r="B239" s="2">
        <v>2012610</v>
      </c>
      <c r="C239" s="7">
        <v>689090</v>
      </c>
      <c r="D239" s="8">
        <v>0</v>
      </c>
      <c r="E239" s="2"/>
      <c r="F239" s="2" t="s">
        <v>418</v>
      </c>
    </row>
    <row r="240" spans="1:6" x14ac:dyDescent="0.3">
      <c r="A240" s="2" t="s">
        <v>313</v>
      </c>
      <c r="B240" s="2">
        <v>2038130</v>
      </c>
      <c r="C240" s="7">
        <v>697710</v>
      </c>
      <c r="D240" s="8">
        <v>0</v>
      </c>
      <c r="E240" s="2"/>
      <c r="F240" s="2" t="s">
        <v>418</v>
      </c>
    </row>
    <row r="241" spans="1:6" x14ac:dyDescent="0.3">
      <c r="A241" s="2" t="s">
        <v>314</v>
      </c>
      <c r="B241" s="2">
        <v>2060450</v>
      </c>
      <c r="C241" s="7">
        <v>705650</v>
      </c>
      <c r="D241" s="8">
        <v>0</v>
      </c>
      <c r="E241" s="2"/>
      <c r="F241" s="2" t="s">
        <v>418</v>
      </c>
    </row>
    <row r="242" spans="1:6" x14ac:dyDescent="0.3">
      <c r="A242" s="2" t="s">
        <v>315</v>
      </c>
      <c r="B242" s="2">
        <v>2086420</v>
      </c>
      <c r="C242" s="7">
        <v>713660</v>
      </c>
      <c r="D242" s="8">
        <v>0</v>
      </c>
      <c r="E242" s="2"/>
      <c r="F242" s="2" t="s">
        <v>418</v>
      </c>
    </row>
    <row r="243" spans="1:6" x14ac:dyDescent="0.3">
      <c r="A243" s="2" t="s">
        <v>316</v>
      </c>
      <c r="B243" s="2">
        <v>2110890</v>
      </c>
      <c r="C243" s="7">
        <v>722520</v>
      </c>
      <c r="D243" s="8">
        <v>0</v>
      </c>
      <c r="E243" s="2"/>
      <c r="F243" s="2" t="s">
        <v>418</v>
      </c>
    </row>
    <row r="244" spans="1:6" x14ac:dyDescent="0.3">
      <c r="A244" s="2" t="s">
        <v>317</v>
      </c>
      <c r="B244" s="2">
        <v>2157740</v>
      </c>
      <c r="C244" s="7">
        <v>738090</v>
      </c>
      <c r="D244" s="7">
        <v>87100</v>
      </c>
      <c r="E244" s="2"/>
      <c r="F244" s="2" t="s">
        <v>418</v>
      </c>
    </row>
    <row r="245" spans="1:6" x14ac:dyDescent="0.3">
      <c r="A245" s="2" t="s">
        <v>318</v>
      </c>
      <c r="B245" s="2">
        <v>2202040</v>
      </c>
      <c r="C245" s="7">
        <v>752840</v>
      </c>
      <c r="D245" s="8">
        <v>0</v>
      </c>
      <c r="E245" s="2"/>
      <c r="F245" s="2" t="s">
        <v>418</v>
      </c>
    </row>
    <row r="246" spans="1:6" x14ac:dyDescent="0.3">
      <c r="A246" s="2" t="s">
        <v>319</v>
      </c>
      <c r="B246" s="2">
        <v>2247180</v>
      </c>
      <c r="C246" s="7">
        <v>767880</v>
      </c>
      <c r="D246" s="8">
        <v>0</v>
      </c>
      <c r="E246" s="2"/>
      <c r="F246" s="2" t="s">
        <v>418</v>
      </c>
    </row>
    <row r="247" spans="1:6" x14ac:dyDescent="0.3">
      <c r="A247" s="2" t="s">
        <v>320</v>
      </c>
      <c r="B247" s="2">
        <v>2293200</v>
      </c>
      <c r="C247" s="7">
        <v>784030</v>
      </c>
      <c r="D247" s="8">
        <v>0</v>
      </c>
      <c r="E247" s="2"/>
      <c r="F247" s="2" t="s">
        <v>418</v>
      </c>
    </row>
    <row r="248" spans="1:6" x14ac:dyDescent="0.3">
      <c r="A248" s="2" t="s">
        <v>321</v>
      </c>
      <c r="B248" s="2">
        <v>2343390</v>
      </c>
      <c r="C248" s="7">
        <v>801760</v>
      </c>
      <c r="D248" s="8">
        <v>0</v>
      </c>
      <c r="E248" s="2"/>
      <c r="F248" s="2" t="s">
        <v>418</v>
      </c>
    </row>
    <row r="249" spans="1:6" x14ac:dyDescent="0.3">
      <c r="A249" s="2" t="s">
        <v>322</v>
      </c>
      <c r="B249" s="2">
        <v>2394870</v>
      </c>
      <c r="C249" s="7">
        <v>818020</v>
      </c>
      <c r="D249" s="8">
        <v>0</v>
      </c>
      <c r="E249" s="2"/>
      <c r="F249" s="2" t="s">
        <v>418</v>
      </c>
    </row>
    <row r="250" spans="1:6" x14ac:dyDescent="0.3">
      <c r="A250" s="2" t="s">
        <v>323</v>
      </c>
      <c r="B250" s="2">
        <v>2443640</v>
      </c>
      <c r="C250" s="7">
        <v>835130</v>
      </c>
      <c r="D250" s="8">
        <v>0</v>
      </c>
      <c r="E250" s="2"/>
      <c r="F250" s="2" t="s">
        <v>418</v>
      </c>
    </row>
    <row r="251" spans="1:6" x14ac:dyDescent="0.3">
      <c r="A251" s="2" t="s">
        <v>324</v>
      </c>
      <c r="B251" s="2">
        <v>2493350</v>
      </c>
      <c r="C251" s="7">
        <v>851690</v>
      </c>
      <c r="D251" s="8">
        <v>0</v>
      </c>
      <c r="E251" s="2"/>
      <c r="F251" s="2" t="s">
        <v>418</v>
      </c>
    </row>
    <row r="252" spans="1:6" x14ac:dyDescent="0.3">
      <c r="A252" s="2" t="s">
        <v>325</v>
      </c>
      <c r="B252" s="2">
        <v>2544010</v>
      </c>
      <c r="C252" s="7">
        <v>869450</v>
      </c>
      <c r="D252" s="8">
        <v>0</v>
      </c>
      <c r="E252" s="2"/>
      <c r="F252" s="2" t="s">
        <v>418</v>
      </c>
    </row>
    <row r="253" spans="1:6" x14ac:dyDescent="0.3">
      <c r="A253" s="2" t="s">
        <v>326</v>
      </c>
      <c r="B253" s="2">
        <v>2597660</v>
      </c>
      <c r="C253" s="7">
        <v>886660</v>
      </c>
      <c r="D253" s="8">
        <v>0</v>
      </c>
      <c r="E253" s="2"/>
      <c r="F253" s="2" t="s">
        <v>418</v>
      </c>
    </row>
    <row r="254" spans="1:6" x14ac:dyDescent="0.3">
      <c r="A254" s="2" t="s">
        <v>327</v>
      </c>
      <c r="B254" s="2">
        <v>2644270</v>
      </c>
      <c r="C254" s="7">
        <v>903770</v>
      </c>
      <c r="D254" s="8">
        <v>101300</v>
      </c>
      <c r="E254" s="2"/>
      <c r="F254" s="2" t="s">
        <v>418</v>
      </c>
    </row>
    <row r="255" spans="1:6" x14ac:dyDescent="0.3">
      <c r="A255" s="2" t="s">
        <v>328</v>
      </c>
      <c r="B255" s="2">
        <v>2694060</v>
      </c>
      <c r="C255" s="7">
        <v>919840</v>
      </c>
      <c r="D255" s="8">
        <v>0</v>
      </c>
      <c r="E255" s="2"/>
      <c r="F255" s="2" t="s">
        <v>418</v>
      </c>
    </row>
    <row r="256" spans="1:6" x14ac:dyDescent="0.3">
      <c r="A256" s="2" t="s">
        <v>329</v>
      </c>
      <c r="B256" s="2">
        <v>2740480</v>
      </c>
      <c r="C256" s="7">
        <v>935310</v>
      </c>
      <c r="D256" s="8">
        <v>0</v>
      </c>
      <c r="E256" s="2"/>
      <c r="F256" s="2" t="s">
        <v>418</v>
      </c>
    </row>
    <row r="257" spans="1:6" x14ac:dyDescent="0.3">
      <c r="A257" s="2" t="s">
        <v>330</v>
      </c>
      <c r="B257" s="2">
        <v>2787640</v>
      </c>
      <c r="C257" s="7">
        <v>951000</v>
      </c>
      <c r="D257" s="8">
        <v>0</v>
      </c>
      <c r="E257" s="2"/>
      <c r="F257" s="2" t="s">
        <v>418</v>
      </c>
    </row>
    <row r="258" spans="1:6" x14ac:dyDescent="0.3">
      <c r="A258" s="2" t="s">
        <v>331</v>
      </c>
      <c r="B258" s="2">
        <v>2838060</v>
      </c>
      <c r="C258" s="7">
        <v>968480</v>
      </c>
      <c r="D258" s="8">
        <v>0</v>
      </c>
      <c r="E258" s="2"/>
      <c r="F258" s="2" t="s">
        <v>418</v>
      </c>
    </row>
    <row r="259" spans="1:6" x14ac:dyDescent="0.3">
      <c r="A259" s="2" t="s">
        <v>332</v>
      </c>
      <c r="B259" s="2">
        <v>2888900</v>
      </c>
      <c r="C259" s="7">
        <v>986600</v>
      </c>
      <c r="D259" s="8">
        <v>0</v>
      </c>
      <c r="E259" s="2"/>
      <c r="F259" s="2" t="s">
        <v>418</v>
      </c>
    </row>
    <row r="260" spans="1:6" x14ac:dyDescent="0.3">
      <c r="A260" s="2" t="s">
        <v>333</v>
      </c>
      <c r="B260" s="2">
        <v>2940550</v>
      </c>
      <c r="C260" s="7">
        <v>1003990</v>
      </c>
      <c r="D260" s="8">
        <v>0</v>
      </c>
      <c r="E260" s="2"/>
      <c r="F260" s="2" t="s">
        <v>418</v>
      </c>
    </row>
    <row r="261" spans="1:6" x14ac:dyDescent="0.3">
      <c r="A261" s="2" t="s">
        <v>334</v>
      </c>
      <c r="B261" s="2">
        <v>2993020</v>
      </c>
      <c r="C261" s="7">
        <v>1020770</v>
      </c>
      <c r="D261" s="8">
        <v>0</v>
      </c>
      <c r="E261" s="2"/>
      <c r="F261" s="2" t="s">
        <v>418</v>
      </c>
    </row>
    <row r="262" spans="1:6" x14ac:dyDescent="0.3">
      <c r="A262" s="2" t="s">
        <v>335</v>
      </c>
      <c r="B262" s="2">
        <v>3041850</v>
      </c>
      <c r="C262" s="7">
        <v>1038740</v>
      </c>
      <c r="D262" s="8">
        <v>0</v>
      </c>
      <c r="E262" s="2"/>
      <c r="F262" s="2" t="s">
        <v>418</v>
      </c>
    </row>
    <row r="263" spans="1:6" x14ac:dyDescent="0.3">
      <c r="A263" s="2" t="s">
        <v>336</v>
      </c>
      <c r="B263" s="2">
        <v>3098250</v>
      </c>
      <c r="C263" s="7">
        <v>1056960</v>
      </c>
      <c r="D263" s="8">
        <v>0</v>
      </c>
      <c r="E263" s="2"/>
      <c r="F263" s="2" t="s">
        <v>418</v>
      </c>
    </row>
    <row r="264" spans="1:6" x14ac:dyDescent="0.3">
      <c r="A264" s="2" t="s">
        <v>337</v>
      </c>
      <c r="B264" s="2">
        <v>3150960</v>
      </c>
      <c r="C264" s="7">
        <v>1074580</v>
      </c>
      <c r="D264" s="7">
        <v>119000</v>
      </c>
      <c r="E264" s="2"/>
      <c r="F264" s="2" t="s">
        <v>418</v>
      </c>
    </row>
    <row r="265" spans="1:6" x14ac:dyDescent="0.3">
      <c r="A265" s="2" t="s">
        <v>338</v>
      </c>
      <c r="B265" s="2">
        <v>3206840</v>
      </c>
      <c r="C265" s="7">
        <v>1094430</v>
      </c>
      <c r="D265" s="8">
        <v>0</v>
      </c>
      <c r="E265" s="2"/>
      <c r="F265" s="2" t="s">
        <v>418</v>
      </c>
    </row>
    <row r="266" spans="1:6" x14ac:dyDescent="0.3">
      <c r="A266" s="2" t="s">
        <v>339</v>
      </c>
      <c r="B266" s="2">
        <v>3263600</v>
      </c>
      <c r="C266" s="7">
        <v>1113540</v>
      </c>
      <c r="D266" s="8">
        <v>0</v>
      </c>
      <c r="E266" s="2"/>
      <c r="F266" s="2" t="s">
        <v>418</v>
      </c>
    </row>
    <row r="267" spans="1:6" x14ac:dyDescent="0.3">
      <c r="A267" s="2" t="s">
        <v>340</v>
      </c>
      <c r="B267" s="2">
        <v>3321260</v>
      </c>
      <c r="C267" s="7">
        <v>1132050</v>
      </c>
      <c r="D267" s="8">
        <v>0</v>
      </c>
      <c r="E267" s="2"/>
      <c r="F267" s="2" t="s">
        <v>418</v>
      </c>
    </row>
    <row r="268" spans="1:6" x14ac:dyDescent="0.3">
      <c r="A268" s="2" t="s">
        <v>341</v>
      </c>
      <c r="B268" s="2">
        <v>3376710</v>
      </c>
      <c r="C268" s="7">
        <v>1152150</v>
      </c>
      <c r="D268" s="8">
        <v>0</v>
      </c>
      <c r="E268" s="2"/>
      <c r="F268" s="2" t="s">
        <v>418</v>
      </c>
    </row>
    <row r="269" spans="1:6" x14ac:dyDescent="0.3">
      <c r="A269" s="2" t="s">
        <v>342</v>
      </c>
      <c r="B269" s="2">
        <v>3438630</v>
      </c>
      <c r="C269" s="7">
        <v>1173260</v>
      </c>
      <c r="D269" s="8">
        <v>0</v>
      </c>
      <c r="E269" s="2"/>
      <c r="F269" s="2" t="s">
        <v>418</v>
      </c>
    </row>
    <row r="270" spans="1:6" x14ac:dyDescent="0.3">
      <c r="A270" s="2" t="s">
        <v>343</v>
      </c>
      <c r="B270" s="2">
        <v>3496600</v>
      </c>
      <c r="C270" s="7">
        <v>1192600</v>
      </c>
      <c r="D270" s="8">
        <v>0</v>
      </c>
      <c r="E270" s="2"/>
      <c r="F270" s="2" t="s">
        <v>418</v>
      </c>
    </row>
    <row r="271" spans="1:6" x14ac:dyDescent="0.3">
      <c r="A271" s="2" t="s">
        <v>344</v>
      </c>
      <c r="B271" s="2">
        <v>3560490</v>
      </c>
      <c r="C271" s="7">
        <v>1214380</v>
      </c>
      <c r="D271" s="8">
        <v>0</v>
      </c>
      <c r="E271" s="2"/>
      <c r="F271" s="2" t="s">
        <v>418</v>
      </c>
    </row>
    <row r="272" spans="1:6" x14ac:dyDescent="0.3">
      <c r="A272" s="2" t="s">
        <v>345</v>
      </c>
      <c r="B272" s="2">
        <v>3620340</v>
      </c>
      <c r="C272" s="7">
        <v>1234350</v>
      </c>
      <c r="D272" s="8">
        <v>0</v>
      </c>
      <c r="E272" s="2"/>
      <c r="F272" s="2" t="s">
        <v>418</v>
      </c>
    </row>
    <row r="273" spans="1:6" x14ac:dyDescent="0.3">
      <c r="A273" s="2" t="s">
        <v>346</v>
      </c>
      <c r="B273" s="2">
        <v>3686250</v>
      </c>
      <c r="C273" s="7">
        <v>1256820</v>
      </c>
      <c r="D273" s="8">
        <v>0</v>
      </c>
      <c r="E273" s="2"/>
      <c r="F273" s="2" t="s">
        <v>418</v>
      </c>
    </row>
    <row r="274" spans="1:6" x14ac:dyDescent="0.3">
      <c r="A274" s="2" t="s">
        <v>347</v>
      </c>
      <c r="B274" s="2">
        <v>3740740</v>
      </c>
      <c r="C274" s="7">
        <v>1274970</v>
      </c>
      <c r="D274" s="8">
        <v>138200</v>
      </c>
      <c r="E274" s="2"/>
      <c r="F274" s="2" t="s">
        <v>418</v>
      </c>
    </row>
    <row r="275" spans="1:6" x14ac:dyDescent="0.3">
      <c r="A275" s="2" t="s">
        <v>348</v>
      </c>
      <c r="B275" s="2">
        <v>3798570</v>
      </c>
      <c r="C275" s="7">
        <v>1294430</v>
      </c>
      <c r="D275" s="8">
        <v>0</v>
      </c>
      <c r="E275" s="2"/>
      <c r="F275" s="2" t="s">
        <v>418</v>
      </c>
    </row>
    <row r="276" spans="1:6" x14ac:dyDescent="0.3">
      <c r="A276" s="2" t="s">
        <v>349</v>
      </c>
      <c r="B276" s="2">
        <v>3854540</v>
      </c>
      <c r="C276" s="7">
        <v>1314260</v>
      </c>
      <c r="D276" s="8">
        <v>0</v>
      </c>
      <c r="E276" s="2"/>
      <c r="F276" s="2" t="s">
        <v>418</v>
      </c>
    </row>
    <row r="277" spans="1:6" x14ac:dyDescent="0.3">
      <c r="A277" s="2" t="s">
        <v>350</v>
      </c>
      <c r="B277" s="2">
        <v>3916590</v>
      </c>
      <c r="C277" s="7">
        <v>1334250</v>
      </c>
      <c r="D277" s="8">
        <v>0</v>
      </c>
      <c r="E277" s="2"/>
      <c r="F277" s="2" t="s">
        <v>418</v>
      </c>
    </row>
    <row r="278" spans="1:6" x14ac:dyDescent="0.3">
      <c r="A278" s="2" t="s">
        <v>351</v>
      </c>
      <c r="B278" s="2">
        <v>3975920</v>
      </c>
      <c r="C278" s="7">
        <v>1356210</v>
      </c>
      <c r="D278" s="8">
        <v>0</v>
      </c>
      <c r="E278" s="2"/>
      <c r="F278" s="2" t="s">
        <v>418</v>
      </c>
    </row>
    <row r="279" spans="1:6" x14ac:dyDescent="0.3">
      <c r="A279" s="2" t="s">
        <v>352</v>
      </c>
      <c r="B279" s="2">
        <v>4039650</v>
      </c>
      <c r="C279" s="7">
        <v>1376800</v>
      </c>
      <c r="D279" s="8">
        <v>0</v>
      </c>
      <c r="E279" s="2"/>
      <c r="F279" s="2" t="s">
        <v>418</v>
      </c>
    </row>
    <row r="280" spans="1:6" x14ac:dyDescent="0.3">
      <c r="A280" s="2" t="s">
        <v>353</v>
      </c>
      <c r="B280" s="2">
        <v>4101520</v>
      </c>
      <c r="C280" s="7">
        <v>1397620</v>
      </c>
      <c r="D280" s="8">
        <v>0</v>
      </c>
      <c r="E280" s="2"/>
      <c r="F280" s="2" t="s">
        <v>418</v>
      </c>
    </row>
    <row r="281" spans="1:6" x14ac:dyDescent="0.3">
      <c r="A281" s="2" t="s">
        <v>354</v>
      </c>
      <c r="B281" s="2">
        <v>4164220</v>
      </c>
      <c r="C281" s="7">
        <v>1418830</v>
      </c>
      <c r="D281" s="8">
        <v>0</v>
      </c>
      <c r="E281" s="2"/>
      <c r="F281" s="2" t="s">
        <v>418</v>
      </c>
    </row>
    <row r="282" spans="1:6" x14ac:dyDescent="0.3">
      <c r="A282" s="2" t="s">
        <v>355</v>
      </c>
      <c r="B282" s="2">
        <v>4224970</v>
      </c>
      <c r="C282" s="7">
        <v>1439010</v>
      </c>
      <c r="D282" s="8">
        <v>0</v>
      </c>
      <c r="E282" s="2"/>
      <c r="F282" s="2" t="s">
        <v>418</v>
      </c>
    </row>
    <row r="283" spans="1:6" x14ac:dyDescent="0.3">
      <c r="A283" s="2" t="s">
        <v>356</v>
      </c>
      <c r="B283" s="2">
        <v>4289350</v>
      </c>
      <c r="C283" s="7">
        <v>1461940</v>
      </c>
      <c r="D283" s="8">
        <v>0</v>
      </c>
      <c r="E283" s="2"/>
      <c r="F283" s="2" t="s">
        <v>418</v>
      </c>
    </row>
    <row r="284" spans="1:6" x14ac:dyDescent="0.3">
      <c r="A284" s="2" t="s">
        <v>357</v>
      </c>
      <c r="B284" s="2">
        <v>4354600</v>
      </c>
      <c r="C284" s="7">
        <v>1482730</v>
      </c>
      <c r="D284" s="7">
        <v>158600</v>
      </c>
      <c r="E284" s="2"/>
      <c r="F284" s="2" t="s">
        <v>418</v>
      </c>
    </row>
    <row r="285" spans="1:6" x14ac:dyDescent="0.3">
      <c r="A285" s="2" t="s">
        <v>358</v>
      </c>
      <c r="B285" s="2">
        <v>4420740</v>
      </c>
      <c r="C285" s="7">
        <v>1506340</v>
      </c>
      <c r="D285" s="8">
        <v>0</v>
      </c>
      <c r="E285" s="2"/>
      <c r="F285" s="2" t="s">
        <v>418</v>
      </c>
    </row>
    <row r="286" spans="1:6" x14ac:dyDescent="0.3">
      <c r="A286" s="2" t="s">
        <v>359</v>
      </c>
      <c r="B286" s="2">
        <v>4490690</v>
      </c>
      <c r="C286" s="7">
        <v>1528960</v>
      </c>
      <c r="D286" s="8">
        <v>0</v>
      </c>
      <c r="E286" s="2"/>
      <c r="F286" s="2" t="s">
        <v>418</v>
      </c>
    </row>
    <row r="287" spans="1:6" x14ac:dyDescent="0.3">
      <c r="A287" s="2" t="s">
        <v>360</v>
      </c>
      <c r="B287" s="2">
        <v>4558650</v>
      </c>
      <c r="C287" s="7">
        <v>1551880</v>
      </c>
      <c r="D287" s="8">
        <v>0</v>
      </c>
      <c r="E287" s="2"/>
      <c r="F287" s="2" t="s">
        <v>418</v>
      </c>
    </row>
    <row r="288" spans="1:6" x14ac:dyDescent="0.3">
      <c r="A288" s="2" t="s">
        <v>361</v>
      </c>
      <c r="B288" s="2">
        <v>4632470</v>
      </c>
      <c r="C288" s="7">
        <v>1578100</v>
      </c>
      <c r="D288" s="8">
        <v>0</v>
      </c>
      <c r="E288" s="2"/>
      <c r="F288" s="2" t="s">
        <v>418</v>
      </c>
    </row>
    <row r="289" spans="1:6" x14ac:dyDescent="0.3">
      <c r="A289" s="2" t="s">
        <v>362</v>
      </c>
      <c r="B289" s="2">
        <v>4699300</v>
      </c>
      <c r="C289" s="7">
        <v>1600360</v>
      </c>
      <c r="D289" s="8">
        <v>0</v>
      </c>
      <c r="E289" s="2"/>
      <c r="F289" s="2" t="s">
        <v>418</v>
      </c>
    </row>
    <row r="290" spans="1:6" x14ac:dyDescent="0.3">
      <c r="A290" s="2" t="s">
        <v>363</v>
      </c>
      <c r="B290" s="2">
        <v>4767000</v>
      </c>
      <c r="C290" s="7">
        <v>1624220</v>
      </c>
      <c r="D290" s="8">
        <v>0</v>
      </c>
      <c r="E290" s="2"/>
      <c r="F290" s="2" t="s">
        <v>418</v>
      </c>
    </row>
    <row r="291" spans="1:6" x14ac:dyDescent="0.3">
      <c r="A291" s="2" t="s">
        <v>364</v>
      </c>
      <c r="B291" s="2">
        <v>4841730</v>
      </c>
      <c r="C291" s="7">
        <v>1648400</v>
      </c>
      <c r="D291" s="8">
        <v>0</v>
      </c>
      <c r="E291" s="2"/>
      <c r="F291" s="2" t="s">
        <v>418</v>
      </c>
    </row>
    <row r="292" spans="1:6" x14ac:dyDescent="0.3">
      <c r="A292" s="2" t="s">
        <v>365</v>
      </c>
      <c r="B292" s="2">
        <v>4914380</v>
      </c>
      <c r="C292" s="7">
        <v>1672910</v>
      </c>
      <c r="D292" s="8">
        <v>0</v>
      </c>
      <c r="E292" s="2"/>
      <c r="F292" s="2" t="s">
        <v>418</v>
      </c>
    </row>
    <row r="293" spans="1:6" x14ac:dyDescent="0.3">
      <c r="A293" s="2" t="s">
        <v>366</v>
      </c>
      <c r="B293" s="2">
        <v>4991140</v>
      </c>
      <c r="C293" s="7">
        <v>1699140</v>
      </c>
      <c r="D293" s="8">
        <v>0</v>
      </c>
      <c r="E293" s="2"/>
      <c r="F293" s="2" t="s">
        <v>418</v>
      </c>
    </row>
    <row r="294" spans="1:6" x14ac:dyDescent="0.3">
      <c r="A294" s="2" t="s">
        <v>367</v>
      </c>
      <c r="B294" s="2">
        <v>5060820</v>
      </c>
      <c r="C294" s="7">
        <v>1722650</v>
      </c>
      <c r="D294" s="8">
        <v>180600</v>
      </c>
      <c r="E294" s="2"/>
      <c r="F294" s="2" t="s">
        <v>418</v>
      </c>
    </row>
    <row r="295" spans="1:6" x14ac:dyDescent="0.3">
      <c r="A295" s="2" t="s">
        <v>368</v>
      </c>
      <c r="B295" s="2">
        <v>5131360</v>
      </c>
      <c r="C295" s="7">
        <v>1746390</v>
      </c>
      <c r="D295" s="8">
        <v>0</v>
      </c>
      <c r="E295" s="2"/>
      <c r="F295" s="2" t="s">
        <v>418</v>
      </c>
    </row>
    <row r="296" spans="1:6" x14ac:dyDescent="0.3">
      <c r="A296" s="2" t="s">
        <v>369</v>
      </c>
      <c r="B296" s="2">
        <v>5202760</v>
      </c>
      <c r="C296" s="7">
        <v>1770520</v>
      </c>
      <c r="D296" s="8">
        <v>0</v>
      </c>
      <c r="E296" s="2"/>
      <c r="F296" s="2" t="s">
        <v>418</v>
      </c>
    </row>
    <row r="297" spans="1:6" x14ac:dyDescent="0.3">
      <c r="A297" s="2" t="s">
        <v>370</v>
      </c>
      <c r="B297" s="2">
        <v>5275030</v>
      </c>
      <c r="C297" s="7">
        <v>1794900</v>
      </c>
      <c r="D297" s="8">
        <v>0</v>
      </c>
      <c r="E297" s="2"/>
      <c r="F297" s="2" t="s">
        <v>418</v>
      </c>
    </row>
    <row r="298" spans="1:6" x14ac:dyDescent="0.3">
      <c r="A298" s="2" t="s">
        <v>371</v>
      </c>
      <c r="B298" s="2">
        <v>5353570</v>
      </c>
      <c r="C298" s="7">
        <v>1821370</v>
      </c>
      <c r="D298" s="8">
        <v>0</v>
      </c>
      <c r="E298" s="2"/>
      <c r="F298" s="2" t="s">
        <v>418</v>
      </c>
    </row>
    <row r="299" spans="1:6" x14ac:dyDescent="0.3">
      <c r="A299" s="2" t="s">
        <v>372</v>
      </c>
      <c r="B299" s="2">
        <v>5424350</v>
      </c>
      <c r="C299" s="7">
        <v>1846350</v>
      </c>
      <c r="D299" s="8">
        <v>0</v>
      </c>
      <c r="E299" s="2"/>
      <c r="F299" s="2" t="s">
        <v>418</v>
      </c>
    </row>
    <row r="300" spans="1:6" x14ac:dyDescent="0.3">
      <c r="A300" s="2" t="s">
        <v>373</v>
      </c>
      <c r="B300" s="2">
        <v>5499310</v>
      </c>
      <c r="C300" s="7">
        <v>1871630</v>
      </c>
      <c r="D300" s="8">
        <v>0</v>
      </c>
      <c r="E300" s="2"/>
      <c r="F300" s="2" t="s">
        <v>418</v>
      </c>
    </row>
    <row r="301" spans="1:6" x14ac:dyDescent="0.3">
      <c r="A301" s="2" t="s">
        <v>374</v>
      </c>
      <c r="B301" s="2">
        <v>5578540</v>
      </c>
      <c r="C301" s="7">
        <v>1897220</v>
      </c>
      <c r="D301" s="8">
        <v>0</v>
      </c>
      <c r="E301" s="2"/>
      <c r="F301" s="2" t="s">
        <v>418</v>
      </c>
    </row>
    <row r="302" spans="1:6" x14ac:dyDescent="0.3">
      <c r="A302" s="2" t="s">
        <v>375</v>
      </c>
      <c r="B302" s="2">
        <v>5655380</v>
      </c>
      <c r="C302" s="7">
        <v>1925870</v>
      </c>
      <c r="D302" s="8">
        <v>0</v>
      </c>
      <c r="E302" s="2"/>
      <c r="F302" s="2" t="s">
        <v>418</v>
      </c>
    </row>
    <row r="303" spans="1:6" x14ac:dyDescent="0.3">
      <c r="A303" s="2" t="s">
        <v>376</v>
      </c>
      <c r="B303" s="2">
        <v>5736560</v>
      </c>
      <c r="C303" s="7">
        <v>1953580</v>
      </c>
      <c r="D303" s="8">
        <v>0</v>
      </c>
      <c r="E303" s="2"/>
      <c r="F303" s="2" t="s">
        <v>418</v>
      </c>
    </row>
    <row r="304" spans="1:6" x14ac:dyDescent="0.3">
      <c r="A304" s="2">
        <v>300</v>
      </c>
      <c r="B304" s="2">
        <v>0</v>
      </c>
      <c r="C304" s="7">
        <v>0</v>
      </c>
      <c r="D304" s="8">
        <v>0</v>
      </c>
      <c r="E304" s="2"/>
      <c r="F304" s="2" t="s">
        <v>418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1"/>
  <sheetViews>
    <sheetView tabSelected="1" topLeftCell="A28" zoomScale="85" zoomScaleNormal="85" workbookViewId="0">
      <selection activeCell="K65" sqref="K65"/>
    </sheetView>
  </sheetViews>
  <sheetFormatPr defaultRowHeight="16.5" x14ac:dyDescent="0.3"/>
  <cols>
    <col min="1" max="1" width="11" bestFit="1" customWidth="1"/>
    <col min="2" max="2" width="20.375" customWidth="1"/>
    <col min="3" max="3" width="22.25" style="6" customWidth="1"/>
    <col min="4" max="6" width="25.375" style="6" customWidth="1"/>
    <col min="7" max="7" width="22.25" customWidth="1"/>
    <col min="8" max="8" width="21.25" bestFit="1" customWidth="1"/>
    <col min="9" max="10" width="32.375" bestFit="1" customWidth="1"/>
    <col min="11" max="11" width="26.5" customWidth="1"/>
  </cols>
  <sheetData>
    <row r="1" spans="1:11" ht="17.25" customHeight="1" x14ac:dyDescent="0.3">
      <c r="A1" s="1" t="s">
        <v>87</v>
      </c>
      <c r="B1" s="1" t="s">
        <v>88</v>
      </c>
      <c r="C1" s="1" t="s">
        <v>154</v>
      </c>
      <c r="D1" s="1" t="s">
        <v>379</v>
      </c>
      <c r="E1" s="1" t="s">
        <v>407</v>
      </c>
      <c r="F1" s="1" t="s">
        <v>408</v>
      </c>
      <c r="G1" s="1" t="s">
        <v>403</v>
      </c>
      <c r="H1" s="1" t="s">
        <v>421</v>
      </c>
      <c r="I1" s="1" t="s">
        <v>422</v>
      </c>
      <c r="J1" s="1" t="s">
        <v>423</v>
      </c>
      <c r="K1" s="1" t="s">
        <v>425</v>
      </c>
    </row>
    <row r="2" spans="1:11" x14ac:dyDescent="0.3">
      <c r="A2" s="1" t="s">
        <v>89</v>
      </c>
      <c r="B2" s="1" t="s">
        <v>399</v>
      </c>
      <c r="C2" s="1" t="s">
        <v>400</v>
      </c>
      <c r="D2" s="1" t="s">
        <v>401</v>
      </c>
      <c r="E2" s="1" t="s">
        <v>405</v>
      </c>
      <c r="F2" s="1" t="s">
        <v>406</v>
      </c>
      <c r="G2" s="1" t="s">
        <v>404</v>
      </c>
      <c r="H2" s="1" t="s">
        <v>420</v>
      </c>
      <c r="I2" s="1" t="s">
        <v>419</v>
      </c>
      <c r="J2" s="1" t="s">
        <v>424</v>
      </c>
      <c r="K2" s="1" t="s">
        <v>426</v>
      </c>
    </row>
    <row r="3" spans="1:11" x14ac:dyDescent="0.3">
      <c r="A3" s="1" t="s">
        <v>90</v>
      </c>
      <c r="B3" s="1" t="s">
        <v>402</v>
      </c>
      <c r="C3" s="1" t="s">
        <v>402</v>
      </c>
      <c r="D3" s="1" t="s">
        <v>411</v>
      </c>
      <c r="E3" s="1" t="s">
        <v>402</v>
      </c>
      <c r="F3" s="1" t="s">
        <v>411</v>
      </c>
      <c r="G3" s="1" t="s">
        <v>127</v>
      </c>
      <c r="H3" s="1" t="s">
        <v>411</v>
      </c>
      <c r="I3" s="1" t="s">
        <v>411</v>
      </c>
      <c r="J3" s="1" t="s">
        <v>411</v>
      </c>
      <c r="K3" s="1" t="s">
        <v>411</v>
      </c>
    </row>
    <row r="4" spans="1:11" x14ac:dyDescent="0.3">
      <c r="A4" s="1" t="s">
        <v>130</v>
      </c>
      <c r="B4" s="1" t="s">
        <v>130</v>
      </c>
      <c r="C4" s="1" t="s">
        <v>116</v>
      </c>
      <c r="D4" s="1" t="s">
        <v>116</v>
      </c>
      <c r="E4" s="1" t="s">
        <v>116</v>
      </c>
      <c r="F4" s="1" t="s">
        <v>116</v>
      </c>
      <c r="G4" s="1" t="s">
        <v>116</v>
      </c>
      <c r="H4" s="1" t="s">
        <v>116</v>
      </c>
      <c r="I4" s="1" t="s">
        <v>116</v>
      </c>
      <c r="J4" s="1" t="s">
        <v>116</v>
      </c>
      <c r="K4" s="1" t="s">
        <v>116</v>
      </c>
    </row>
    <row r="5" spans="1:11" x14ac:dyDescent="0.3">
      <c r="A5" s="14" t="s">
        <v>701</v>
      </c>
      <c r="B5" s="14" t="str">
        <f t="shared" ref="B5" si="0">A5&amp;".Victory"</f>
        <v>itus.Victory</v>
      </c>
      <c r="C5" s="14" t="str">
        <f>A5&amp;".Unlockinfo"</f>
        <v>itus.Unlockinfo</v>
      </c>
      <c r="D5" s="14" t="s">
        <v>702</v>
      </c>
      <c r="E5" s="26" t="str">
        <f>$A5 &amp; ".BattleSetting"</f>
        <v>itus.BattleSetting</v>
      </c>
      <c r="F5" s="26"/>
      <c r="G5" s="14" t="str">
        <f>"vo_"&amp;PROPER(A5)</f>
        <v>vo_Itus</v>
      </c>
      <c r="H5" s="27" t="str">
        <f>$A5 &amp; ".Die"</f>
        <v>itus.Die</v>
      </c>
      <c r="I5" s="27" t="str">
        <f>$A5 &amp; ".UltimateReady"</f>
        <v>itus.UltimateReady</v>
      </c>
      <c r="J5" s="27" t="str">
        <f>$A5 &amp; ".Promote"</f>
        <v>itus.Promote</v>
      </c>
      <c r="K5" s="27" t="str">
        <f>$A5 &amp; "."&amp;$K$2</f>
        <v>itus.BattleEnter</v>
      </c>
    </row>
    <row r="6" spans="1:11" x14ac:dyDescent="0.3">
      <c r="A6" s="14" t="s">
        <v>148</v>
      </c>
      <c r="B6" s="14" t="str">
        <f t="shared" ref="B6:B51" si="1">A6&amp;".Victory"</f>
        <v>melissa.Victory</v>
      </c>
      <c r="C6" s="14" t="str">
        <f>A6&amp;".Unlockinfo"</f>
        <v>melissa.Unlockinfo</v>
      </c>
      <c r="D6" s="15"/>
      <c r="E6" s="26" t="str">
        <f>$A6 &amp; ".BattleSetting"</f>
        <v>melissa.BattleSetting</v>
      </c>
      <c r="F6" s="26"/>
      <c r="G6" s="14" t="str">
        <f>"vo_"&amp;PROPER(A6)</f>
        <v>vo_Melissa</v>
      </c>
      <c r="H6" s="27" t="str">
        <f>$A6 &amp; ".Die"</f>
        <v>melissa.Die</v>
      </c>
      <c r="I6" s="27" t="str">
        <f>$A6 &amp; ".UltimateReady"</f>
        <v>melissa.UltimateReady</v>
      </c>
      <c r="J6" s="27" t="str">
        <f>$A6 &amp; ".Promote"</f>
        <v>melissa.Promote</v>
      </c>
      <c r="K6" s="27" t="str">
        <f>$A6 &amp; "."&amp;$K$2</f>
        <v>melissa.BattleEnter</v>
      </c>
    </row>
    <row r="7" spans="1:11" x14ac:dyDescent="0.3">
      <c r="A7" s="14" t="s">
        <v>149</v>
      </c>
      <c r="B7" s="14" t="str">
        <f t="shared" si="1"/>
        <v>lilian.Victory</v>
      </c>
      <c r="C7" s="14" t="str">
        <f t="shared" ref="C7:C51" si="2">A7&amp;".Unlockinfo"</f>
        <v>lilian.Unlockinfo</v>
      </c>
      <c r="D7" s="14" t="s">
        <v>475</v>
      </c>
      <c r="E7" s="26" t="str">
        <f t="shared" ref="E7:E52" si="3">$A7 &amp; ".BattleSetting"</f>
        <v>lilian.BattleSetting</v>
      </c>
      <c r="F7" s="26"/>
      <c r="G7" s="14" t="str">
        <f t="shared" ref="G7:G51" si="4">"vo_"&amp;PROPER(A7)</f>
        <v>vo_Lilian</v>
      </c>
      <c r="H7" s="27" t="str">
        <f t="shared" ref="H7:H52" si="5">$A7 &amp; ".Die"</f>
        <v>lilian.Die</v>
      </c>
      <c r="I7" s="27" t="str">
        <f t="shared" ref="I7:I52" si="6">$A7 &amp; ".UltimateReady"</f>
        <v>lilian.UltimateReady</v>
      </c>
      <c r="J7" s="27" t="str">
        <f t="shared" ref="J7:J52" si="7">$A7 &amp; ".Promote"</f>
        <v>lilian.Promote</v>
      </c>
      <c r="K7" s="27" t="str">
        <f t="shared" ref="K7:K52" si="8">$A7 &amp; "."&amp;$K$2</f>
        <v>lilian.BattleEnter</v>
      </c>
    </row>
    <row r="8" spans="1:11" x14ac:dyDescent="0.3">
      <c r="A8" s="14" t="s">
        <v>150</v>
      </c>
      <c r="B8" s="14" t="str">
        <f t="shared" si="1"/>
        <v>daria.Victory</v>
      </c>
      <c r="C8" s="14" t="str">
        <f t="shared" si="2"/>
        <v>daria.Unlockinfo</v>
      </c>
      <c r="D8" s="14" t="s">
        <v>476</v>
      </c>
      <c r="E8" s="26" t="str">
        <f t="shared" si="3"/>
        <v>daria.BattleSetting</v>
      </c>
      <c r="F8" s="26"/>
      <c r="G8" s="14" t="str">
        <f t="shared" si="4"/>
        <v>vo_Daria</v>
      </c>
      <c r="H8" s="27" t="str">
        <f t="shared" si="5"/>
        <v>daria.Die</v>
      </c>
      <c r="I8" s="27" t="str">
        <f t="shared" si="6"/>
        <v>daria.UltimateReady</v>
      </c>
      <c r="J8" s="27" t="str">
        <f t="shared" si="7"/>
        <v>daria.Promote</v>
      </c>
      <c r="K8" s="27" t="str">
        <f t="shared" si="8"/>
        <v>daria.BattleEnter</v>
      </c>
    </row>
    <row r="9" spans="1:11" x14ac:dyDescent="0.3">
      <c r="A9" s="14" t="s">
        <v>131</v>
      </c>
      <c r="B9" s="14" t="str">
        <f t="shared" si="1"/>
        <v>snopril.Victory</v>
      </c>
      <c r="C9" s="14" t="str">
        <f t="shared" si="2"/>
        <v>snopril.Unlockinfo</v>
      </c>
      <c r="D9" s="14" t="s">
        <v>477</v>
      </c>
      <c r="E9" s="26" t="str">
        <f t="shared" si="3"/>
        <v>snopril.BattleSetting</v>
      </c>
      <c r="F9" s="26"/>
      <c r="G9" s="14" t="str">
        <f t="shared" si="4"/>
        <v>vo_Snopril</v>
      </c>
      <c r="H9" s="27" t="str">
        <f t="shared" si="5"/>
        <v>snopril.Die</v>
      </c>
      <c r="I9" s="27" t="str">
        <f t="shared" si="6"/>
        <v>snopril.UltimateReady</v>
      </c>
      <c r="J9" s="27" t="str">
        <f t="shared" si="7"/>
        <v>snopril.Promote</v>
      </c>
      <c r="K9" s="27" t="str">
        <f t="shared" si="8"/>
        <v>snopril.BattleEnter</v>
      </c>
    </row>
    <row r="10" spans="1:11" x14ac:dyDescent="0.3">
      <c r="A10" s="14" t="s">
        <v>151</v>
      </c>
      <c r="B10" s="14" t="str">
        <f t="shared" si="1"/>
        <v>anne.Victory</v>
      </c>
      <c r="C10" s="14" t="str">
        <f t="shared" si="2"/>
        <v>anne.Unlockinfo</v>
      </c>
      <c r="D10" s="14" t="s">
        <v>478</v>
      </c>
      <c r="E10" s="26" t="str">
        <f t="shared" si="3"/>
        <v>anne.BattleSetting</v>
      </c>
      <c r="F10" s="26"/>
      <c r="G10" s="14" t="str">
        <f t="shared" si="4"/>
        <v>vo_Anne</v>
      </c>
      <c r="H10" s="27" t="str">
        <f t="shared" si="5"/>
        <v>anne.Die</v>
      </c>
      <c r="I10" s="27" t="str">
        <f t="shared" si="6"/>
        <v>anne.UltimateReady</v>
      </c>
      <c r="J10" s="27" t="str">
        <f t="shared" si="7"/>
        <v>anne.Promote</v>
      </c>
      <c r="K10" s="27" t="str">
        <f t="shared" si="8"/>
        <v>anne.BattleEnter</v>
      </c>
    </row>
    <row r="11" spans="1:11" x14ac:dyDescent="0.3">
      <c r="A11" s="14" t="s">
        <v>132</v>
      </c>
      <c r="B11" s="14" t="str">
        <f t="shared" si="1"/>
        <v>taina.Victory</v>
      </c>
      <c r="C11" s="14" t="str">
        <f t="shared" si="2"/>
        <v>taina.Unlockinfo</v>
      </c>
      <c r="D11" s="14" t="s">
        <v>479</v>
      </c>
      <c r="E11" s="26" t="str">
        <f t="shared" si="3"/>
        <v>taina.BattleSetting</v>
      </c>
      <c r="F11" s="26"/>
      <c r="G11" s="14" t="str">
        <f t="shared" si="4"/>
        <v>vo_Taina</v>
      </c>
      <c r="H11" s="27" t="str">
        <f t="shared" si="5"/>
        <v>taina.Die</v>
      </c>
      <c r="I11" s="27" t="str">
        <f t="shared" si="6"/>
        <v>taina.UltimateReady</v>
      </c>
      <c r="J11" s="27" t="str">
        <f t="shared" si="7"/>
        <v>taina.Promote</v>
      </c>
      <c r="K11" s="27" t="str">
        <f t="shared" si="8"/>
        <v>taina.BattleEnter</v>
      </c>
    </row>
    <row r="12" spans="1:11" x14ac:dyDescent="0.3">
      <c r="A12" s="14" t="s">
        <v>133</v>
      </c>
      <c r="B12" s="14" t="str">
        <f t="shared" si="1"/>
        <v>diana.Victory</v>
      </c>
      <c r="C12" s="14" t="str">
        <f t="shared" si="2"/>
        <v>diana.Unlockinfo</v>
      </c>
      <c r="D12" s="14"/>
      <c r="E12" s="26" t="str">
        <f t="shared" si="3"/>
        <v>diana.BattleSetting</v>
      </c>
      <c r="F12" s="26"/>
      <c r="G12" s="14" t="str">
        <f t="shared" si="4"/>
        <v>vo_Diana</v>
      </c>
      <c r="H12" s="27" t="str">
        <f t="shared" si="5"/>
        <v>diana.Die</v>
      </c>
      <c r="I12" s="27" t="str">
        <f t="shared" si="6"/>
        <v>diana.UltimateReady</v>
      </c>
      <c r="J12" s="27" t="str">
        <f t="shared" si="7"/>
        <v>diana.Promote</v>
      </c>
      <c r="K12" s="27" t="str">
        <f t="shared" si="8"/>
        <v>diana.BattleEnter</v>
      </c>
    </row>
    <row r="13" spans="1:11" x14ac:dyDescent="0.3">
      <c r="A13" s="14" t="s">
        <v>123</v>
      </c>
      <c r="B13" s="14" t="str">
        <f t="shared" si="1"/>
        <v>serapulsar.Victory</v>
      </c>
      <c r="C13" s="14" t="str">
        <f t="shared" si="2"/>
        <v>serapulsar.Unlockinfo</v>
      </c>
      <c r="D13" s="15" t="s">
        <v>474</v>
      </c>
      <c r="E13" s="26" t="str">
        <f t="shared" si="3"/>
        <v>serapulsar.BattleSetting</v>
      </c>
      <c r="F13" s="26"/>
      <c r="G13" s="14" t="str">
        <f t="shared" si="4"/>
        <v>vo_Serapulsar</v>
      </c>
      <c r="H13" s="27" t="str">
        <f t="shared" si="5"/>
        <v>serapulsar.Die</v>
      </c>
      <c r="I13" s="27" t="str">
        <f t="shared" si="6"/>
        <v>serapulsar.UltimateReady</v>
      </c>
      <c r="J13" s="27" t="str">
        <f t="shared" si="7"/>
        <v>serapulsar.Promote</v>
      </c>
      <c r="K13" s="27" t="str">
        <f t="shared" si="8"/>
        <v>serapulsar.BattleEnter</v>
      </c>
    </row>
    <row r="14" spans="1:11" x14ac:dyDescent="0.3">
      <c r="A14" s="14" t="s">
        <v>134</v>
      </c>
      <c r="B14" s="14" t="str">
        <f t="shared" si="1"/>
        <v>iras.Victory</v>
      </c>
      <c r="C14" s="14" t="str">
        <f t="shared" si="2"/>
        <v>iras.Unlockinfo</v>
      </c>
      <c r="D14" s="15" t="s">
        <v>480</v>
      </c>
      <c r="E14" s="26" t="str">
        <f t="shared" si="3"/>
        <v>iras.BattleSetting</v>
      </c>
      <c r="F14" s="26"/>
      <c r="G14" s="14" t="str">
        <f t="shared" si="4"/>
        <v>vo_Iras</v>
      </c>
      <c r="H14" s="27" t="str">
        <f t="shared" si="5"/>
        <v>iras.Die</v>
      </c>
      <c r="I14" s="27" t="str">
        <f t="shared" si="6"/>
        <v>iras.UltimateReady</v>
      </c>
      <c r="J14" s="27" t="str">
        <f t="shared" si="7"/>
        <v>iras.Promote</v>
      </c>
      <c r="K14" s="27" t="str">
        <f t="shared" si="8"/>
        <v>iras.BattleEnter</v>
      </c>
    </row>
    <row r="15" spans="1:11" x14ac:dyDescent="0.3">
      <c r="A15" s="14" t="s">
        <v>135</v>
      </c>
      <c r="B15" s="14" t="str">
        <f t="shared" si="1"/>
        <v>ambrosia.Victory</v>
      </c>
      <c r="C15" s="14" t="str">
        <f t="shared" si="2"/>
        <v>ambrosia.Unlockinfo</v>
      </c>
      <c r="D15" s="15" t="s">
        <v>481</v>
      </c>
      <c r="E15" s="26" t="str">
        <f t="shared" si="3"/>
        <v>ambrosia.BattleSetting</v>
      </c>
      <c r="F15" s="26"/>
      <c r="G15" s="14" t="str">
        <f t="shared" si="4"/>
        <v>vo_Ambrosia</v>
      </c>
      <c r="H15" s="27" t="str">
        <f t="shared" si="5"/>
        <v>ambrosia.Die</v>
      </c>
      <c r="I15" s="27" t="str">
        <f t="shared" si="6"/>
        <v>ambrosia.UltimateReady</v>
      </c>
      <c r="J15" s="27" t="str">
        <f t="shared" si="7"/>
        <v>ambrosia.Promote</v>
      </c>
      <c r="K15" s="27" t="str">
        <f t="shared" si="8"/>
        <v>ambrosia.BattleEnter</v>
      </c>
    </row>
    <row r="16" spans="1:11" x14ac:dyDescent="0.3">
      <c r="A16" s="14" t="s">
        <v>136</v>
      </c>
      <c r="B16" s="14" t="str">
        <f t="shared" si="1"/>
        <v>sia.Victory</v>
      </c>
      <c r="C16" s="14" t="str">
        <f t="shared" si="2"/>
        <v>sia.Unlockinfo</v>
      </c>
      <c r="D16" s="15" t="s">
        <v>482</v>
      </c>
      <c r="E16" s="26" t="str">
        <f t="shared" si="3"/>
        <v>sia.BattleSetting</v>
      </c>
      <c r="F16" s="26"/>
      <c r="G16" s="14" t="str">
        <f t="shared" si="4"/>
        <v>vo_Sia</v>
      </c>
      <c r="H16" s="27" t="str">
        <f t="shared" si="5"/>
        <v>sia.Die</v>
      </c>
      <c r="I16" s="27" t="str">
        <f t="shared" si="6"/>
        <v>sia.UltimateReady</v>
      </c>
      <c r="J16" s="27" t="str">
        <f t="shared" si="7"/>
        <v>sia.Promote</v>
      </c>
      <c r="K16" s="27" t="str">
        <f t="shared" si="8"/>
        <v>sia.BattleEnter</v>
      </c>
    </row>
    <row r="17" spans="1:11" x14ac:dyDescent="0.3">
      <c r="A17" s="14" t="s">
        <v>92</v>
      </c>
      <c r="B17" s="14" t="str">
        <f t="shared" si="1"/>
        <v>rachel.Victory</v>
      </c>
      <c r="C17" s="14" t="str">
        <f t="shared" si="2"/>
        <v>rachel.Unlockinfo</v>
      </c>
      <c r="D17" s="14" t="s">
        <v>483</v>
      </c>
      <c r="E17" s="26" t="str">
        <f t="shared" si="3"/>
        <v>rachel.BattleSetting</v>
      </c>
      <c r="F17" s="26"/>
      <c r="G17" s="14" t="str">
        <f t="shared" si="4"/>
        <v>vo_Rachel</v>
      </c>
      <c r="H17" s="27" t="str">
        <f t="shared" si="5"/>
        <v>rachel.Die</v>
      </c>
      <c r="I17" s="27" t="str">
        <f t="shared" si="6"/>
        <v>rachel.UltimateReady</v>
      </c>
      <c r="J17" s="27" t="str">
        <f t="shared" si="7"/>
        <v>rachel.Promote</v>
      </c>
      <c r="K17" s="27" t="str">
        <f t="shared" si="8"/>
        <v>rachel.BattleEnter</v>
      </c>
    </row>
    <row r="18" spans="1:11" x14ac:dyDescent="0.3">
      <c r="A18" s="14" t="s">
        <v>103</v>
      </c>
      <c r="B18" s="14" t="str">
        <f t="shared" si="1"/>
        <v>isabella.Victory</v>
      </c>
      <c r="C18" s="14" t="str">
        <f t="shared" si="2"/>
        <v>isabella.Unlockinfo</v>
      </c>
      <c r="D18" s="14" t="s">
        <v>484</v>
      </c>
      <c r="E18" s="26" t="str">
        <f t="shared" si="3"/>
        <v>isabella.BattleSetting</v>
      </c>
      <c r="F18" s="26"/>
      <c r="G18" s="14" t="str">
        <f t="shared" si="4"/>
        <v>vo_Isabella</v>
      </c>
      <c r="H18" s="27" t="str">
        <f t="shared" si="5"/>
        <v>isabella.Die</v>
      </c>
      <c r="I18" s="27" t="str">
        <f t="shared" si="6"/>
        <v>isabella.UltimateReady</v>
      </c>
      <c r="J18" s="27" t="str">
        <f t="shared" si="7"/>
        <v>isabella.Promote</v>
      </c>
      <c r="K18" s="27" t="str">
        <f t="shared" si="8"/>
        <v>isabella.BattleEnter</v>
      </c>
    </row>
    <row r="19" spans="1:11" x14ac:dyDescent="0.3">
      <c r="A19" s="14" t="s">
        <v>124</v>
      </c>
      <c r="B19" s="14" t="str">
        <f t="shared" si="1"/>
        <v>balencia.Victory</v>
      </c>
      <c r="C19" s="14" t="str">
        <f t="shared" si="2"/>
        <v>balencia.Unlockinfo</v>
      </c>
      <c r="D19" s="14" t="s">
        <v>485</v>
      </c>
      <c r="E19" s="26" t="str">
        <f t="shared" si="3"/>
        <v>balencia.BattleSetting</v>
      </c>
      <c r="F19" s="26"/>
      <c r="G19" s="14" t="str">
        <f t="shared" si="4"/>
        <v>vo_Balencia</v>
      </c>
      <c r="H19" s="27" t="str">
        <f t="shared" si="5"/>
        <v>balencia.Die</v>
      </c>
      <c r="I19" s="27" t="str">
        <f t="shared" si="6"/>
        <v>balencia.UltimateReady</v>
      </c>
      <c r="J19" s="27" t="str">
        <f t="shared" si="7"/>
        <v>balencia.Promote</v>
      </c>
      <c r="K19" s="27" t="str">
        <f t="shared" si="8"/>
        <v>balencia.BattleEnter</v>
      </c>
    </row>
    <row r="20" spans="1:11" x14ac:dyDescent="0.3">
      <c r="A20" s="14" t="s">
        <v>137</v>
      </c>
      <c r="B20" s="14" t="str">
        <f t="shared" si="1"/>
        <v>belita.Victory</v>
      </c>
      <c r="C20" s="14" t="str">
        <f t="shared" si="2"/>
        <v>belita.Unlockinfo</v>
      </c>
      <c r="D20" s="14" t="s">
        <v>486</v>
      </c>
      <c r="E20" s="26" t="str">
        <f t="shared" si="3"/>
        <v>belita.BattleSetting</v>
      </c>
      <c r="F20" s="26"/>
      <c r="G20" s="14" t="str">
        <f t="shared" si="4"/>
        <v>vo_Belita</v>
      </c>
      <c r="H20" s="27" t="str">
        <f t="shared" si="5"/>
        <v>belita.Die</v>
      </c>
      <c r="I20" s="27" t="str">
        <f t="shared" si="6"/>
        <v>belita.UltimateReady</v>
      </c>
      <c r="J20" s="27" t="str">
        <f t="shared" si="7"/>
        <v>belita.Promote</v>
      </c>
      <c r="K20" s="27" t="str">
        <f t="shared" si="8"/>
        <v>belita.BattleEnter</v>
      </c>
    </row>
    <row r="21" spans="1:11" x14ac:dyDescent="0.3">
      <c r="A21" s="14" t="s">
        <v>138</v>
      </c>
      <c r="B21" s="14" t="str">
        <f t="shared" si="1"/>
        <v>belebeta.Victory</v>
      </c>
      <c r="C21" s="14" t="str">
        <f t="shared" si="2"/>
        <v>belebeta.Unlockinfo</v>
      </c>
      <c r="D21" s="14" t="s">
        <v>487</v>
      </c>
      <c r="E21" s="26" t="str">
        <f t="shared" si="3"/>
        <v>belebeta.BattleSetting</v>
      </c>
      <c r="F21" s="26"/>
      <c r="G21" s="14" t="str">
        <f t="shared" si="4"/>
        <v>vo_Belebeta</v>
      </c>
      <c r="H21" s="27" t="str">
        <f t="shared" si="5"/>
        <v>belebeta.Die</v>
      </c>
      <c r="I21" s="27" t="str">
        <f t="shared" si="6"/>
        <v>belebeta.UltimateReady</v>
      </c>
      <c r="J21" s="27" t="str">
        <f t="shared" si="7"/>
        <v>belebeta.Promote</v>
      </c>
      <c r="K21" s="27" t="str">
        <f t="shared" si="8"/>
        <v>belebeta.BattleEnter</v>
      </c>
    </row>
    <row r="22" spans="1:11" x14ac:dyDescent="0.3">
      <c r="A22" s="14" t="s">
        <v>102</v>
      </c>
      <c r="B22" s="14" t="str">
        <f t="shared" si="1"/>
        <v>angelica.Victory</v>
      </c>
      <c r="C22" s="14" t="str">
        <f t="shared" si="2"/>
        <v>angelica.Unlockinfo</v>
      </c>
      <c r="D22" s="14" t="s">
        <v>488</v>
      </c>
      <c r="E22" s="26" t="str">
        <f t="shared" si="3"/>
        <v>angelica.BattleSetting</v>
      </c>
      <c r="F22" s="26"/>
      <c r="G22" s="14" t="str">
        <f t="shared" si="4"/>
        <v>vo_Angelica</v>
      </c>
      <c r="H22" s="27" t="str">
        <f t="shared" si="5"/>
        <v>angelica.Die</v>
      </c>
      <c r="I22" s="27" t="str">
        <f t="shared" si="6"/>
        <v>angelica.UltimateReady</v>
      </c>
      <c r="J22" s="27" t="str">
        <f t="shared" si="7"/>
        <v>angelica.Promote</v>
      </c>
      <c r="K22" s="27" t="str">
        <f t="shared" si="8"/>
        <v>angelica.BattleEnter</v>
      </c>
    </row>
    <row r="23" spans="1:11" x14ac:dyDescent="0.3">
      <c r="A23" s="14" t="s">
        <v>94</v>
      </c>
      <c r="B23" s="14" t="str">
        <f t="shared" si="1"/>
        <v>brynhild.Victory</v>
      </c>
      <c r="C23" s="14" t="str">
        <f t="shared" si="2"/>
        <v>brynhild.Unlockinfo</v>
      </c>
      <c r="D23" s="14"/>
      <c r="E23" s="26" t="str">
        <f t="shared" si="3"/>
        <v>brynhild.BattleSetting</v>
      </c>
      <c r="F23" s="26"/>
      <c r="G23" s="14" t="str">
        <f t="shared" si="4"/>
        <v>vo_Brynhild</v>
      </c>
      <c r="H23" s="27" t="str">
        <f t="shared" si="5"/>
        <v>brynhild.Die</v>
      </c>
      <c r="I23" s="27" t="str">
        <f t="shared" si="6"/>
        <v>brynhild.UltimateReady</v>
      </c>
      <c r="J23" s="27" t="str">
        <f t="shared" si="7"/>
        <v>brynhild.Promote</v>
      </c>
      <c r="K23" s="27" t="str">
        <f t="shared" si="8"/>
        <v>brynhild.BattleEnter</v>
      </c>
    </row>
    <row r="24" spans="1:11" x14ac:dyDescent="0.3">
      <c r="A24" s="14" t="s">
        <v>139</v>
      </c>
      <c r="B24" s="14" t="str">
        <f t="shared" si="1"/>
        <v>yuna.Victory</v>
      </c>
      <c r="C24" s="14" t="str">
        <f t="shared" si="2"/>
        <v>yuna.Unlockinfo</v>
      </c>
      <c r="D24" s="14" t="s">
        <v>489</v>
      </c>
      <c r="E24" s="26" t="str">
        <f t="shared" si="3"/>
        <v>yuna.BattleSetting</v>
      </c>
      <c r="F24" s="26"/>
      <c r="G24" s="14" t="str">
        <f t="shared" si="4"/>
        <v>vo_Yuna</v>
      </c>
      <c r="H24" s="27" t="str">
        <f t="shared" si="5"/>
        <v>yuna.Die</v>
      </c>
      <c r="I24" s="27" t="str">
        <f t="shared" si="6"/>
        <v>yuna.UltimateReady</v>
      </c>
      <c r="J24" s="27" t="str">
        <f t="shared" si="7"/>
        <v>yuna.Promote</v>
      </c>
      <c r="K24" s="27" t="str">
        <f t="shared" si="8"/>
        <v>yuna.BattleEnter</v>
      </c>
    </row>
    <row r="25" spans="1:11" x14ac:dyDescent="0.3">
      <c r="A25" s="14" t="s">
        <v>395</v>
      </c>
      <c r="B25" s="14" t="str">
        <f t="shared" si="1"/>
        <v>gray.Victory</v>
      </c>
      <c r="C25" s="14" t="str">
        <f t="shared" si="2"/>
        <v>gray.Unlockinfo</v>
      </c>
      <c r="D25" s="14" t="s">
        <v>490</v>
      </c>
      <c r="E25" s="26" t="str">
        <f t="shared" si="3"/>
        <v>gray.BattleSetting</v>
      </c>
      <c r="F25" s="26"/>
      <c r="G25" s="14" t="str">
        <f t="shared" si="4"/>
        <v>vo_Gray</v>
      </c>
      <c r="H25" s="27" t="str">
        <f t="shared" si="5"/>
        <v>gray.Die</v>
      </c>
      <c r="I25" s="27" t="str">
        <f t="shared" si="6"/>
        <v>gray.UltimateReady</v>
      </c>
      <c r="J25" s="27" t="str">
        <f t="shared" si="7"/>
        <v>gray.Promote</v>
      </c>
      <c r="K25" s="27" t="str">
        <f t="shared" si="8"/>
        <v>gray.BattleEnter</v>
      </c>
    </row>
    <row r="26" spans="1:11" x14ac:dyDescent="0.3">
      <c r="A26" s="14" t="s">
        <v>394</v>
      </c>
      <c r="B26" s="14" t="str">
        <f t="shared" si="1"/>
        <v>fei.Victory</v>
      </c>
      <c r="C26" s="14" t="str">
        <f t="shared" si="2"/>
        <v>fei.Unlockinfo</v>
      </c>
      <c r="D26" s="14" t="s">
        <v>491</v>
      </c>
      <c r="E26" s="26" t="str">
        <f t="shared" si="3"/>
        <v>fei.BattleSetting</v>
      </c>
      <c r="F26" s="26"/>
      <c r="G26" s="14" t="str">
        <f t="shared" si="4"/>
        <v>vo_Fei</v>
      </c>
      <c r="H26" s="27" t="str">
        <f t="shared" si="5"/>
        <v>fei.Die</v>
      </c>
      <c r="I26" s="27" t="str">
        <f t="shared" si="6"/>
        <v>fei.UltimateReady</v>
      </c>
      <c r="J26" s="27" t="str">
        <f t="shared" si="7"/>
        <v>fei.Promote</v>
      </c>
      <c r="K26" s="27" t="str">
        <f t="shared" si="8"/>
        <v>fei.BattleEnter</v>
      </c>
    </row>
    <row r="27" spans="1:11" x14ac:dyDescent="0.3">
      <c r="A27" s="14" t="s">
        <v>93</v>
      </c>
      <c r="B27" s="14" t="str">
        <f t="shared" si="1"/>
        <v>airen.Victory</v>
      </c>
      <c r="C27" s="14" t="str">
        <f t="shared" si="2"/>
        <v>airen.Unlockinfo</v>
      </c>
      <c r="D27" s="14" t="s">
        <v>492</v>
      </c>
      <c r="E27" s="26" t="str">
        <f t="shared" si="3"/>
        <v>airen.BattleSetting</v>
      </c>
      <c r="F27" s="26"/>
      <c r="G27" s="14" t="str">
        <f t="shared" si="4"/>
        <v>vo_Airen</v>
      </c>
      <c r="H27" s="27" t="str">
        <f t="shared" si="5"/>
        <v>airen.Die</v>
      </c>
      <c r="I27" s="27" t="str">
        <f t="shared" si="6"/>
        <v>airen.UltimateReady</v>
      </c>
      <c r="J27" s="27" t="str">
        <f t="shared" si="7"/>
        <v>airen.Promote</v>
      </c>
      <c r="K27" s="27" t="str">
        <f t="shared" si="8"/>
        <v>airen.BattleEnter</v>
      </c>
    </row>
    <row r="28" spans="1:11" x14ac:dyDescent="0.3">
      <c r="A28" s="14" t="s">
        <v>140</v>
      </c>
      <c r="B28" s="14" t="str">
        <f t="shared" si="1"/>
        <v>klairs.Victory</v>
      </c>
      <c r="C28" s="14" t="str">
        <f t="shared" si="2"/>
        <v>klairs.Unlockinfo</v>
      </c>
      <c r="D28" s="14"/>
      <c r="E28" s="26" t="str">
        <f t="shared" si="3"/>
        <v>klairs.BattleSetting</v>
      </c>
      <c r="F28" s="26"/>
      <c r="G28" s="14" t="str">
        <f t="shared" si="4"/>
        <v>vo_Klairs</v>
      </c>
      <c r="H28" s="27" t="str">
        <f t="shared" si="5"/>
        <v>klairs.Die</v>
      </c>
      <c r="I28" s="27" t="str">
        <f t="shared" si="6"/>
        <v>klairs.UltimateReady</v>
      </c>
      <c r="J28" s="27" t="str">
        <f t="shared" si="7"/>
        <v>klairs.Promote</v>
      </c>
      <c r="K28" s="27" t="str">
        <f t="shared" si="8"/>
        <v>klairs.BattleEnter</v>
      </c>
    </row>
    <row r="29" spans="1:11" x14ac:dyDescent="0.3">
      <c r="A29" s="14" t="s">
        <v>91</v>
      </c>
      <c r="B29" s="14" t="str">
        <f t="shared" si="1"/>
        <v>freyja.Victory</v>
      </c>
      <c r="C29" s="14" t="str">
        <f t="shared" si="2"/>
        <v>freyja.Unlockinfo</v>
      </c>
      <c r="D29" s="15" t="s">
        <v>493</v>
      </c>
      <c r="E29" s="26" t="str">
        <f t="shared" si="3"/>
        <v>freyja.BattleSetting</v>
      </c>
      <c r="F29" s="26"/>
      <c r="G29" s="14" t="str">
        <f t="shared" si="4"/>
        <v>vo_Freyja</v>
      </c>
      <c r="H29" s="27" t="str">
        <f t="shared" si="5"/>
        <v>freyja.Die</v>
      </c>
      <c r="I29" s="27" t="str">
        <f t="shared" si="6"/>
        <v>freyja.UltimateReady</v>
      </c>
      <c r="J29" s="27" t="str">
        <f t="shared" si="7"/>
        <v>freyja.Promote</v>
      </c>
      <c r="K29" s="27" t="str">
        <f t="shared" si="8"/>
        <v>freyja.BattleEnter</v>
      </c>
    </row>
    <row r="30" spans="1:11" x14ac:dyDescent="0.3">
      <c r="A30" s="14" t="s">
        <v>125</v>
      </c>
      <c r="B30" s="14" t="str">
        <f t="shared" si="1"/>
        <v>eradica.Victory</v>
      </c>
      <c r="C30" s="14" t="str">
        <f t="shared" si="2"/>
        <v>eradica.Unlockinfo</v>
      </c>
      <c r="D30" s="15" t="s">
        <v>494</v>
      </c>
      <c r="E30" s="26" t="str">
        <f t="shared" si="3"/>
        <v>eradica.BattleSetting</v>
      </c>
      <c r="F30" s="26"/>
      <c r="G30" s="14" t="str">
        <f>"vo_"&amp;PROPER(A30)</f>
        <v>vo_Eradica</v>
      </c>
      <c r="H30" s="27" t="str">
        <f t="shared" si="5"/>
        <v>eradica.Die</v>
      </c>
      <c r="I30" s="27" t="str">
        <f t="shared" si="6"/>
        <v>eradica.UltimateReady</v>
      </c>
      <c r="J30" s="27" t="str">
        <f t="shared" si="7"/>
        <v>eradica.Promote</v>
      </c>
      <c r="K30" s="27" t="str">
        <f t="shared" si="8"/>
        <v>eradica.BattleEnter</v>
      </c>
    </row>
    <row r="31" spans="1:11" ht="26.25" x14ac:dyDescent="0.3">
      <c r="A31" s="14" t="s">
        <v>141</v>
      </c>
      <c r="B31" s="14" t="str">
        <f t="shared" si="1"/>
        <v>kanata.Victory</v>
      </c>
      <c r="C31" s="14" t="str">
        <f t="shared" si="2"/>
        <v>kanata.Unlockinfo</v>
      </c>
      <c r="D31" s="15" t="s">
        <v>495</v>
      </c>
      <c r="E31" s="26" t="str">
        <f t="shared" si="3"/>
        <v>kanata.BattleSetting</v>
      </c>
      <c r="F31" s="26"/>
      <c r="G31" s="28" t="s">
        <v>725</v>
      </c>
      <c r="H31" s="27" t="str">
        <f t="shared" si="5"/>
        <v>kanata.Die</v>
      </c>
      <c r="I31" s="27" t="str">
        <f t="shared" si="6"/>
        <v>kanata.UltimateReady</v>
      </c>
      <c r="J31" s="27" t="str">
        <f t="shared" si="7"/>
        <v>kanata.Promote</v>
      </c>
      <c r="K31" s="27" t="str">
        <f t="shared" si="8"/>
        <v>kanata.BattleEnter</v>
      </c>
    </row>
    <row r="32" spans="1:11" x14ac:dyDescent="0.3">
      <c r="A32" s="14" t="s">
        <v>142</v>
      </c>
      <c r="B32" s="14" t="str">
        <f t="shared" si="1"/>
        <v>id.Victory</v>
      </c>
      <c r="C32" s="14" t="str">
        <f t="shared" si="2"/>
        <v>id.Unlockinfo</v>
      </c>
      <c r="D32" s="15" t="s">
        <v>496</v>
      </c>
      <c r="E32" s="26" t="str">
        <f t="shared" si="3"/>
        <v>id.BattleSetting</v>
      </c>
      <c r="F32" s="26"/>
      <c r="G32" s="28" t="s">
        <v>589</v>
      </c>
      <c r="H32" s="27" t="str">
        <f t="shared" si="5"/>
        <v>id.Die</v>
      </c>
      <c r="I32" s="27" t="str">
        <f t="shared" si="6"/>
        <v>id.UltimateReady</v>
      </c>
      <c r="J32" s="27" t="str">
        <f t="shared" si="7"/>
        <v>id.Promote</v>
      </c>
      <c r="K32" s="27" t="str">
        <f t="shared" si="8"/>
        <v>id.BattleEnter</v>
      </c>
    </row>
    <row r="33" spans="1:11" x14ac:dyDescent="0.3">
      <c r="A33" s="14" t="s">
        <v>143</v>
      </c>
      <c r="B33" s="14" t="str">
        <f t="shared" si="1"/>
        <v>archphase.Victory</v>
      </c>
      <c r="C33" s="14" t="str">
        <f t="shared" si="2"/>
        <v>archphase.Unlockinfo</v>
      </c>
      <c r="D33" s="15" t="s">
        <v>497</v>
      </c>
      <c r="E33" s="26" t="str">
        <f t="shared" si="3"/>
        <v>archphase.BattleSetting</v>
      </c>
      <c r="F33" s="26"/>
      <c r="G33" s="14" t="str">
        <f t="shared" si="4"/>
        <v>vo_Archphase</v>
      </c>
      <c r="H33" s="27" t="str">
        <f t="shared" si="5"/>
        <v>archphase.Die</v>
      </c>
      <c r="I33" s="27" t="str">
        <f t="shared" si="6"/>
        <v>archphase.UltimateReady</v>
      </c>
      <c r="J33" s="27" t="str">
        <f t="shared" si="7"/>
        <v>archphase.Promote</v>
      </c>
      <c r="K33" s="27" t="str">
        <f t="shared" si="8"/>
        <v>archphase.BattleEnter</v>
      </c>
    </row>
    <row r="34" spans="1:11" x14ac:dyDescent="0.3">
      <c r="A34" s="14" t="s">
        <v>95</v>
      </c>
      <c r="B34" s="14" t="str">
        <f t="shared" si="1"/>
        <v>patricia.Victory</v>
      </c>
      <c r="C34" s="14" t="str">
        <f t="shared" si="2"/>
        <v>patricia.Unlockinfo</v>
      </c>
      <c r="D34" s="14" t="s">
        <v>498</v>
      </c>
      <c r="E34" s="26" t="str">
        <f t="shared" si="3"/>
        <v>patricia.BattleSetting</v>
      </c>
      <c r="F34" s="26"/>
      <c r="G34" s="14" t="str">
        <f t="shared" si="4"/>
        <v>vo_Patricia</v>
      </c>
      <c r="H34" s="27" t="str">
        <f t="shared" si="5"/>
        <v>patricia.Die</v>
      </c>
      <c r="I34" s="27" t="str">
        <f t="shared" si="6"/>
        <v>patricia.UltimateReady</v>
      </c>
      <c r="J34" s="27" t="str">
        <f t="shared" si="7"/>
        <v>patricia.Promote</v>
      </c>
      <c r="K34" s="27" t="str">
        <f t="shared" si="8"/>
        <v>patricia.BattleEnter</v>
      </c>
    </row>
    <row r="35" spans="1:11" x14ac:dyDescent="0.3">
      <c r="A35" s="14" t="s">
        <v>97</v>
      </c>
      <c r="B35" s="14" t="str">
        <f t="shared" si="1"/>
        <v>renas.Victory</v>
      </c>
      <c r="C35" s="14" t="str">
        <f t="shared" si="2"/>
        <v>renas.Unlockinfo</v>
      </c>
      <c r="D35" s="14" t="s">
        <v>499</v>
      </c>
      <c r="E35" s="26" t="str">
        <f t="shared" si="3"/>
        <v>renas.BattleSetting</v>
      </c>
      <c r="F35" s="26"/>
      <c r="G35" s="14" t="str">
        <f t="shared" si="4"/>
        <v>vo_Renas</v>
      </c>
      <c r="H35" s="27" t="str">
        <f t="shared" si="5"/>
        <v>renas.Die</v>
      </c>
      <c r="I35" s="27" t="str">
        <f t="shared" si="6"/>
        <v>renas.UltimateReady</v>
      </c>
      <c r="J35" s="27" t="str">
        <f t="shared" si="7"/>
        <v>renas.Promote</v>
      </c>
      <c r="K35" s="27" t="str">
        <f t="shared" si="8"/>
        <v>renas.BattleEnter</v>
      </c>
    </row>
    <row r="36" spans="1:11" x14ac:dyDescent="0.3">
      <c r="A36" s="14" t="s">
        <v>99</v>
      </c>
      <c r="B36" s="14" t="str">
        <f t="shared" si="1"/>
        <v>leila.Victory</v>
      </c>
      <c r="C36" s="14" t="str">
        <f t="shared" si="2"/>
        <v>leila.Unlockinfo</v>
      </c>
      <c r="D36" s="14" t="s">
        <v>500</v>
      </c>
      <c r="E36" s="26" t="str">
        <f t="shared" si="3"/>
        <v>leila.BattleSetting</v>
      </c>
      <c r="F36" s="26"/>
      <c r="G36" s="14" t="str">
        <f>"vo_"&amp;PROPER(A36)</f>
        <v>vo_Leila</v>
      </c>
      <c r="H36" s="27" t="str">
        <f t="shared" si="5"/>
        <v>leila.Die</v>
      </c>
      <c r="I36" s="27" t="str">
        <f t="shared" si="6"/>
        <v>leila.UltimateReady</v>
      </c>
      <c r="J36" s="27" t="str">
        <f t="shared" si="7"/>
        <v>leila.Promote</v>
      </c>
      <c r="K36" s="27" t="str">
        <f t="shared" si="8"/>
        <v>leila.BattleEnter</v>
      </c>
    </row>
    <row r="37" spans="1:11" x14ac:dyDescent="0.3">
      <c r="A37" s="14" t="s">
        <v>104</v>
      </c>
      <c r="B37" s="14" t="str">
        <f t="shared" si="1"/>
        <v>erica.Victory</v>
      </c>
      <c r="C37" s="14" t="str">
        <f t="shared" si="2"/>
        <v>erica.Unlockinfo</v>
      </c>
      <c r="D37" s="14" t="s">
        <v>501</v>
      </c>
      <c r="E37" s="26" t="str">
        <f t="shared" si="3"/>
        <v>erica.BattleSetting</v>
      </c>
      <c r="F37" s="26"/>
      <c r="G37" s="14" t="str">
        <f t="shared" si="4"/>
        <v>vo_Erica</v>
      </c>
      <c r="H37" s="27" t="str">
        <f t="shared" si="5"/>
        <v>erica.Die</v>
      </c>
      <c r="I37" s="27" t="str">
        <f t="shared" si="6"/>
        <v>erica.UltimateReady</v>
      </c>
      <c r="J37" s="27" t="str">
        <f t="shared" si="7"/>
        <v>erica.Promote</v>
      </c>
      <c r="K37" s="27" t="str">
        <f t="shared" si="8"/>
        <v>erica.BattleEnter</v>
      </c>
    </row>
    <row r="38" spans="1:11" x14ac:dyDescent="0.3">
      <c r="A38" s="14" t="s">
        <v>144</v>
      </c>
      <c r="B38" s="14" t="str">
        <f t="shared" si="1"/>
        <v>eiko.Victory</v>
      </c>
      <c r="C38" s="14" t="str">
        <f t="shared" si="2"/>
        <v>eiko.Unlockinfo</v>
      </c>
      <c r="D38" s="14" t="s">
        <v>502</v>
      </c>
      <c r="E38" s="26" t="str">
        <f t="shared" si="3"/>
        <v>eiko.BattleSetting</v>
      </c>
      <c r="F38" s="26"/>
      <c r="G38" s="14" t="str">
        <f t="shared" si="4"/>
        <v>vo_Eiko</v>
      </c>
      <c r="H38" s="27" t="str">
        <f t="shared" si="5"/>
        <v>eiko.Die</v>
      </c>
      <c r="I38" s="27" t="str">
        <f t="shared" si="6"/>
        <v>eiko.UltimateReady</v>
      </c>
      <c r="J38" s="27" t="str">
        <f t="shared" si="7"/>
        <v>eiko.Promote</v>
      </c>
      <c r="K38" s="27" t="str">
        <f t="shared" si="8"/>
        <v>eiko.BattleEnter</v>
      </c>
    </row>
    <row r="39" spans="1:11" x14ac:dyDescent="0.3">
      <c r="A39" s="14" t="s">
        <v>145</v>
      </c>
      <c r="B39" s="14" t="str">
        <f t="shared" si="1"/>
        <v>ferrel.Victory</v>
      </c>
      <c r="C39" s="14" t="str">
        <f t="shared" si="2"/>
        <v>ferrel.Unlockinfo</v>
      </c>
      <c r="D39" s="14" t="s">
        <v>503</v>
      </c>
      <c r="E39" s="26" t="str">
        <f t="shared" si="3"/>
        <v>ferrel.BattleSetting</v>
      </c>
      <c r="F39" s="26"/>
      <c r="G39" s="14" t="str">
        <f t="shared" si="4"/>
        <v>vo_Ferrel</v>
      </c>
      <c r="H39" s="27" t="str">
        <f t="shared" si="5"/>
        <v>ferrel.Die</v>
      </c>
      <c r="I39" s="27" t="str">
        <f t="shared" si="6"/>
        <v>ferrel.UltimateReady</v>
      </c>
      <c r="J39" s="27" t="str">
        <f t="shared" si="7"/>
        <v>ferrel.Promote</v>
      </c>
      <c r="K39" s="27" t="str">
        <f t="shared" si="8"/>
        <v>ferrel.BattleEnter</v>
      </c>
    </row>
    <row r="40" spans="1:11" x14ac:dyDescent="0.3">
      <c r="A40" s="14" t="s">
        <v>96</v>
      </c>
      <c r="B40" s="14" t="str">
        <f t="shared" si="1"/>
        <v>mana.Victory</v>
      </c>
      <c r="C40" s="14" t="str">
        <f t="shared" si="2"/>
        <v>mana.Unlockinfo</v>
      </c>
      <c r="D40" s="14" t="s">
        <v>504</v>
      </c>
      <c r="E40" s="26" t="str">
        <f t="shared" si="3"/>
        <v>mana.BattleSetting</v>
      </c>
      <c r="F40" s="26"/>
      <c r="G40" s="14" t="str">
        <f t="shared" si="4"/>
        <v>vo_Mana</v>
      </c>
      <c r="H40" s="27" t="str">
        <f t="shared" si="5"/>
        <v>mana.Die</v>
      </c>
      <c r="I40" s="27" t="str">
        <f t="shared" si="6"/>
        <v>mana.UltimateReady</v>
      </c>
      <c r="J40" s="27" t="str">
        <f t="shared" si="7"/>
        <v>mana.Promote</v>
      </c>
      <c r="K40" s="27" t="str">
        <f t="shared" si="8"/>
        <v>mana.BattleEnter</v>
      </c>
    </row>
    <row r="41" spans="1:11" x14ac:dyDescent="0.3">
      <c r="A41" s="14" t="s">
        <v>98</v>
      </c>
      <c r="B41" s="14" t="str">
        <f t="shared" si="1"/>
        <v>aurora.Victory</v>
      </c>
      <c r="C41" s="14" t="str">
        <f t="shared" si="2"/>
        <v>aurora.Unlockinfo</v>
      </c>
      <c r="D41" s="14" t="s">
        <v>505</v>
      </c>
      <c r="E41" s="26" t="str">
        <f t="shared" si="3"/>
        <v>aurora.BattleSetting</v>
      </c>
      <c r="F41" s="26"/>
      <c r="G41" s="14" t="str">
        <f t="shared" si="4"/>
        <v>vo_Aurora</v>
      </c>
      <c r="H41" s="27" t="str">
        <f t="shared" si="5"/>
        <v>aurora.Die</v>
      </c>
      <c r="I41" s="27" t="str">
        <f t="shared" si="6"/>
        <v>aurora.UltimateReady</v>
      </c>
      <c r="J41" s="27" t="str">
        <f t="shared" si="7"/>
        <v>aurora.Promote</v>
      </c>
      <c r="K41" s="27" t="str">
        <f t="shared" si="8"/>
        <v>aurora.BattleEnter</v>
      </c>
    </row>
    <row r="42" spans="1:11" x14ac:dyDescent="0.3">
      <c r="A42" s="14" t="s">
        <v>152</v>
      </c>
      <c r="B42" s="14" t="str">
        <f t="shared" si="1"/>
        <v>yurizia.Victory</v>
      </c>
      <c r="C42" s="14" t="str">
        <f t="shared" si="2"/>
        <v>yurizia.Unlockinfo</v>
      </c>
      <c r="D42" s="15" t="s">
        <v>506</v>
      </c>
      <c r="E42" s="26" t="str">
        <f t="shared" si="3"/>
        <v>yurizia.BattleSetting</v>
      </c>
      <c r="F42" s="26"/>
      <c r="G42" s="14" t="str">
        <f t="shared" si="4"/>
        <v>vo_Yurizia</v>
      </c>
      <c r="H42" s="27" t="str">
        <f t="shared" si="5"/>
        <v>yurizia.Die</v>
      </c>
      <c r="I42" s="27" t="str">
        <f t="shared" si="6"/>
        <v>yurizia.UltimateReady</v>
      </c>
      <c r="J42" s="27" t="str">
        <f t="shared" si="7"/>
        <v>yurizia.Promote</v>
      </c>
      <c r="K42" s="27" t="str">
        <f t="shared" si="8"/>
        <v>yurizia.BattleEnter</v>
      </c>
    </row>
    <row r="43" spans="1:11" x14ac:dyDescent="0.3">
      <c r="A43" s="14" t="s">
        <v>101</v>
      </c>
      <c r="B43" s="14" t="str">
        <f t="shared" si="1"/>
        <v>shale.Victory</v>
      </c>
      <c r="C43" s="14" t="str">
        <f t="shared" si="2"/>
        <v>shale.Unlockinfo</v>
      </c>
      <c r="D43" s="15" t="s">
        <v>507</v>
      </c>
      <c r="E43" s="26" t="str">
        <f t="shared" si="3"/>
        <v>shale.BattleSetting</v>
      </c>
      <c r="F43" s="26"/>
      <c r="G43" s="14" t="str">
        <f t="shared" si="4"/>
        <v>vo_Shale</v>
      </c>
      <c r="H43" s="27" t="str">
        <f t="shared" si="5"/>
        <v>shale.Die</v>
      </c>
      <c r="I43" s="27" t="str">
        <f t="shared" si="6"/>
        <v>shale.UltimateReady</v>
      </c>
      <c r="J43" s="27" t="str">
        <f t="shared" si="7"/>
        <v>shale.Promote</v>
      </c>
      <c r="K43" s="27" t="str">
        <f t="shared" si="8"/>
        <v>shale.BattleEnter</v>
      </c>
    </row>
    <row r="44" spans="1:11" x14ac:dyDescent="0.3">
      <c r="A44" s="14" t="s">
        <v>126</v>
      </c>
      <c r="B44" s="14" t="str">
        <f t="shared" si="1"/>
        <v>rayhou.Victory</v>
      </c>
      <c r="C44" s="14" t="str">
        <f t="shared" si="2"/>
        <v>rayhou.Unlockinfo</v>
      </c>
      <c r="D44" s="15" t="s">
        <v>508</v>
      </c>
      <c r="E44" s="26" t="str">
        <f t="shared" si="3"/>
        <v>rayhou.BattleSetting</v>
      </c>
      <c r="F44" s="26"/>
      <c r="G44" s="14" t="str">
        <f t="shared" si="4"/>
        <v>vo_Rayhou</v>
      </c>
      <c r="H44" s="27" t="str">
        <f t="shared" si="5"/>
        <v>rayhou.Die</v>
      </c>
      <c r="I44" s="27" t="str">
        <f t="shared" si="6"/>
        <v>rayhou.UltimateReady</v>
      </c>
      <c r="J44" s="27" t="str">
        <f t="shared" si="7"/>
        <v>rayhou.Promote</v>
      </c>
      <c r="K44" s="27" t="str">
        <f t="shared" si="8"/>
        <v>rayhou.BattleEnter</v>
      </c>
    </row>
    <row r="45" spans="1:11" x14ac:dyDescent="0.3">
      <c r="A45" s="14" t="s">
        <v>100</v>
      </c>
      <c r="B45" s="14" t="str">
        <f t="shared" si="1"/>
        <v>hellen.Victory</v>
      </c>
      <c r="C45" s="14" t="str">
        <f t="shared" si="2"/>
        <v>hellen.Unlockinfo</v>
      </c>
      <c r="D45" s="14" t="s">
        <v>509</v>
      </c>
      <c r="E45" s="26" t="str">
        <f t="shared" si="3"/>
        <v>hellen.BattleSetting</v>
      </c>
      <c r="F45" s="26"/>
      <c r="G45" s="14" t="str">
        <f t="shared" si="4"/>
        <v>vo_Hellen</v>
      </c>
      <c r="H45" s="27" t="str">
        <f t="shared" si="5"/>
        <v>hellen.Die</v>
      </c>
      <c r="I45" s="27" t="str">
        <f t="shared" si="6"/>
        <v>hellen.UltimateReady</v>
      </c>
      <c r="J45" s="27" t="str">
        <f t="shared" si="7"/>
        <v>hellen.Promote</v>
      </c>
      <c r="K45" s="27" t="str">
        <f t="shared" si="8"/>
        <v>hellen.BattleEnter</v>
      </c>
    </row>
    <row r="46" spans="1:11" x14ac:dyDescent="0.3">
      <c r="A46" s="14" t="s">
        <v>153</v>
      </c>
      <c r="B46" s="14" t="str">
        <f t="shared" si="1"/>
        <v>shery.Victory</v>
      </c>
      <c r="C46" s="14" t="str">
        <f t="shared" si="2"/>
        <v>shery.Unlockinfo</v>
      </c>
      <c r="D46" s="14"/>
      <c r="E46" s="26" t="str">
        <f t="shared" si="3"/>
        <v>shery.BattleSetting</v>
      </c>
      <c r="F46" s="26"/>
      <c r="G46" s="14" t="str">
        <f t="shared" si="4"/>
        <v>vo_Shery</v>
      </c>
      <c r="H46" s="27" t="str">
        <f t="shared" si="5"/>
        <v>shery.Die</v>
      </c>
      <c r="I46" s="27" t="str">
        <f t="shared" si="6"/>
        <v>shery.UltimateReady</v>
      </c>
      <c r="J46" s="27" t="str">
        <f t="shared" si="7"/>
        <v>shery.Promote</v>
      </c>
      <c r="K46" s="27" t="str">
        <f t="shared" si="8"/>
        <v>shery.BattleEnter</v>
      </c>
    </row>
    <row r="47" spans="1:11" x14ac:dyDescent="0.3">
      <c r="A47" s="14" t="s">
        <v>377</v>
      </c>
      <c r="B47" s="14" t="str">
        <f t="shared" si="1"/>
        <v>mea.Victory</v>
      </c>
      <c r="C47" s="14" t="str">
        <f t="shared" si="2"/>
        <v>mea.Unlockinfo</v>
      </c>
      <c r="D47" s="14" t="s">
        <v>510</v>
      </c>
      <c r="E47" s="26" t="str">
        <f t="shared" si="3"/>
        <v>mea.BattleSetting</v>
      </c>
      <c r="F47" s="26"/>
      <c r="G47" s="14" t="str">
        <f t="shared" si="4"/>
        <v>vo_Mea</v>
      </c>
      <c r="H47" s="27" t="str">
        <f t="shared" si="5"/>
        <v>mea.Die</v>
      </c>
      <c r="I47" s="27" t="str">
        <f t="shared" si="6"/>
        <v>mea.UltimateReady</v>
      </c>
      <c r="J47" s="27" t="str">
        <f t="shared" si="7"/>
        <v>mea.Promote</v>
      </c>
      <c r="K47" s="27" t="str">
        <f t="shared" si="8"/>
        <v>mea.BattleEnter</v>
      </c>
    </row>
    <row r="48" spans="1:11" x14ac:dyDescent="0.3">
      <c r="A48" s="14" t="s">
        <v>378</v>
      </c>
      <c r="B48" s="14" t="str">
        <f t="shared" si="1"/>
        <v>crimson.Victory</v>
      </c>
      <c r="C48" s="14" t="str">
        <f t="shared" si="2"/>
        <v>crimson.Unlockinfo</v>
      </c>
      <c r="D48" s="14" t="s">
        <v>511</v>
      </c>
      <c r="E48" s="26" t="str">
        <f t="shared" si="3"/>
        <v>crimson.BattleSetting</v>
      </c>
      <c r="F48" s="26"/>
      <c r="G48" s="14" t="str">
        <f t="shared" si="4"/>
        <v>vo_Crimson</v>
      </c>
      <c r="H48" s="27" t="str">
        <f t="shared" si="5"/>
        <v>crimson.Die</v>
      </c>
      <c r="I48" s="27" t="str">
        <f t="shared" si="6"/>
        <v>crimson.UltimateReady</v>
      </c>
      <c r="J48" s="27" t="str">
        <f t="shared" si="7"/>
        <v>crimson.Promote</v>
      </c>
      <c r="K48" s="27" t="str">
        <f t="shared" si="8"/>
        <v>crimson.BattleEnter</v>
      </c>
    </row>
    <row r="49" spans="1:11" x14ac:dyDescent="0.3">
      <c r="A49" s="14" t="s">
        <v>380</v>
      </c>
      <c r="B49" s="14" t="str">
        <f t="shared" si="1"/>
        <v>arcels.Victory</v>
      </c>
      <c r="C49" s="14" t="str">
        <f t="shared" si="2"/>
        <v>arcels.Unlockinfo</v>
      </c>
      <c r="D49" s="14" t="s">
        <v>512</v>
      </c>
      <c r="E49" s="26" t="str">
        <f t="shared" si="3"/>
        <v>arcels.BattleSetting</v>
      </c>
      <c r="F49" s="26"/>
      <c r="G49" s="14" t="str">
        <f t="shared" si="4"/>
        <v>vo_Arcels</v>
      </c>
      <c r="H49" s="27" t="str">
        <f t="shared" si="5"/>
        <v>arcels.Die</v>
      </c>
      <c r="I49" s="27" t="str">
        <f t="shared" si="6"/>
        <v>arcels.UltimateReady</v>
      </c>
      <c r="J49" s="27" t="str">
        <f t="shared" si="7"/>
        <v>arcels.Promote</v>
      </c>
      <c r="K49" s="27" t="str">
        <f t="shared" si="8"/>
        <v>arcels.BattleEnter</v>
      </c>
    </row>
    <row r="50" spans="1:11" x14ac:dyDescent="0.3">
      <c r="A50" s="14" t="s">
        <v>381</v>
      </c>
      <c r="B50" s="14" t="str">
        <f t="shared" si="1"/>
        <v>siege.Victory</v>
      </c>
      <c r="C50" s="14" t="str">
        <f t="shared" si="2"/>
        <v>siege.Unlockinfo</v>
      </c>
      <c r="D50" s="14"/>
      <c r="E50" s="26" t="str">
        <f t="shared" si="3"/>
        <v>siege.BattleSetting</v>
      </c>
      <c r="F50" s="26"/>
      <c r="G50" s="14" t="str">
        <f t="shared" si="4"/>
        <v>vo_Siege</v>
      </c>
      <c r="H50" s="27" t="str">
        <f t="shared" si="5"/>
        <v>siege.Die</v>
      </c>
      <c r="I50" s="27" t="str">
        <f t="shared" si="6"/>
        <v>siege.UltimateReady</v>
      </c>
      <c r="J50" s="27" t="str">
        <f t="shared" si="7"/>
        <v>siege.Promote</v>
      </c>
      <c r="K50" s="27" t="str">
        <f t="shared" si="8"/>
        <v>siege.BattleEnter</v>
      </c>
    </row>
    <row r="51" spans="1:11" x14ac:dyDescent="0.3">
      <c r="A51" s="14" t="s">
        <v>396</v>
      </c>
      <c r="B51" s="14" t="str">
        <f t="shared" si="1"/>
        <v>hallona.Victory</v>
      </c>
      <c r="C51" s="14" t="str">
        <f t="shared" si="2"/>
        <v>hallona.Unlockinfo</v>
      </c>
      <c r="D51" s="14" t="s">
        <v>513</v>
      </c>
      <c r="E51" s="26" t="str">
        <f t="shared" si="3"/>
        <v>hallona.BattleSetting</v>
      </c>
      <c r="F51" s="26"/>
      <c r="G51" s="14" t="str">
        <f t="shared" si="4"/>
        <v>vo_Hallona</v>
      </c>
      <c r="H51" s="27" t="str">
        <f t="shared" si="5"/>
        <v>hallona.Die</v>
      </c>
      <c r="I51" s="27" t="str">
        <f t="shared" si="6"/>
        <v>hallona.UltimateReady</v>
      </c>
      <c r="J51" s="27" t="str">
        <f t="shared" si="7"/>
        <v>hallona.Promote</v>
      </c>
      <c r="K51" s="27" t="str">
        <f t="shared" si="8"/>
        <v>hallona.BattleEnter</v>
      </c>
    </row>
    <row r="52" spans="1:11" x14ac:dyDescent="0.3">
      <c r="A52" s="14" t="s">
        <v>427</v>
      </c>
      <c r="B52" s="14" t="str">
        <f t="shared" ref="B52" si="9">A52&amp;".Victory"</f>
        <v>ino.Victory</v>
      </c>
      <c r="C52" s="14" t="str">
        <f t="shared" ref="C52" si="10">A52&amp;".Unlockinfo"</f>
        <v>ino.Unlockinfo</v>
      </c>
      <c r="D52" s="14" t="s">
        <v>514</v>
      </c>
      <c r="E52" s="26" t="str">
        <f t="shared" si="3"/>
        <v>ino.BattleSetting</v>
      </c>
      <c r="F52" s="26"/>
      <c r="G52" s="14" t="str">
        <f t="shared" ref="G52" si="11">"vo_"&amp;PROPER(A52)</f>
        <v>vo_Ino</v>
      </c>
      <c r="H52" s="27" t="str">
        <f t="shared" si="5"/>
        <v>ino.Die</v>
      </c>
      <c r="I52" s="27" t="str">
        <f t="shared" si="6"/>
        <v>ino.UltimateReady</v>
      </c>
      <c r="J52" s="27" t="str">
        <f t="shared" si="7"/>
        <v>ino.Promote</v>
      </c>
      <c r="K52" s="27" t="str">
        <f t="shared" si="8"/>
        <v>ino.BattleEnter</v>
      </c>
    </row>
    <row r="53" spans="1:11" x14ac:dyDescent="0.3">
      <c r="A53" s="14">
        <v>1110101008</v>
      </c>
      <c r="B53" s="14" t="s">
        <v>428</v>
      </c>
      <c r="C53" s="14" t="s">
        <v>429</v>
      </c>
      <c r="D53" s="14"/>
      <c r="E53" s="26" t="s">
        <v>430</v>
      </c>
      <c r="F53" s="26"/>
      <c r="G53" s="14" t="s">
        <v>431</v>
      </c>
      <c r="H53" s="27" t="s">
        <v>432</v>
      </c>
      <c r="I53" s="27" t="s">
        <v>433</v>
      </c>
      <c r="J53" s="27" t="s">
        <v>434</v>
      </c>
      <c r="K53" s="27" t="s">
        <v>435</v>
      </c>
    </row>
    <row r="54" spans="1:11" x14ac:dyDescent="0.3">
      <c r="A54" s="14">
        <v>1110101009</v>
      </c>
      <c r="B54" s="14" t="s">
        <v>436</v>
      </c>
      <c r="C54" s="14" t="s">
        <v>437</v>
      </c>
      <c r="D54" s="14"/>
      <c r="E54" s="26" t="s">
        <v>438</v>
      </c>
      <c r="F54" s="26"/>
      <c r="G54" s="14" t="s">
        <v>439</v>
      </c>
      <c r="H54" s="27" t="s">
        <v>440</v>
      </c>
      <c r="I54" s="27" t="s">
        <v>441</v>
      </c>
      <c r="J54" s="27" t="s">
        <v>442</v>
      </c>
      <c r="K54" s="27" t="s">
        <v>443</v>
      </c>
    </row>
    <row r="55" spans="1:11" x14ac:dyDescent="0.3">
      <c r="A55" s="14">
        <v>1110101010</v>
      </c>
      <c r="B55" s="14" t="s">
        <v>444</v>
      </c>
      <c r="C55" s="14" t="s">
        <v>445</v>
      </c>
      <c r="D55" s="14"/>
      <c r="E55" s="26" t="s">
        <v>446</v>
      </c>
      <c r="F55" s="26"/>
      <c r="G55" s="14" t="s">
        <v>447</v>
      </c>
      <c r="H55" s="27" t="s">
        <v>448</v>
      </c>
      <c r="I55" s="27" t="s">
        <v>449</v>
      </c>
      <c r="J55" s="27" t="s">
        <v>450</v>
      </c>
      <c r="K55" s="27" t="s">
        <v>451</v>
      </c>
    </row>
    <row r="56" spans="1:11" x14ac:dyDescent="0.3">
      <c r="A56" s="14" t="s">
        <v>515</v>
      </c>
      <c r="B56" s="14" t="s">
        <v>523</v>
      </c>
      <c r="C56" s="14" t="s">
        <v>519</v>
      </c>
      <c r="D56" s="14"/>
      <c r="E56" s="14" t="s">
        <v>527</v>
      </c>
      <c r="F56" s="14"/>
      <c r="G56" s="14" t="s">
        <v>673</v>
      </c>
      <c r="H56" s="14" t="s">
        <v>531</v>
      </c>
      <c r="I56" s="14"/>
      <c r="J56" s="14" t="s">
        <v>532</v>
      </c>
      <c r="K56" s="14" t="s">
        <v>533</v>
      </c>
    </row>
    <row r="57" spans="1:11" x14ac:dyDescent="0.3">
      <c r="A57" s="14" t="s">
        <v>516</v>
      </c>
      <c r="B57" s="14" t="s">
        <v>524</v>
      </c>
      <c r="C57" s="14" t="s">
        <v>520</v>
      </c>
      <c r="D57" s="14"/>
      <c r="E57" s="14" t="s">
        <v>528</v>
      </c>
      <c r="F57" s="14"/>
      <c r="G57" s="14" t="s">
        <v>674</v>
      </c>
      <c r="H57" s="14" t="s">
        <v>534</v>
      </c>
      <c r="I57" s="14"/>
      <c r="J57" s="14" t="s">
        <v>535</v>
      </c>
      <c r="K57" s="14" t="s">
        <v>536</v>
      </c>
    </row>
    <row r="58" spans="1:11" x14ac:dyDescent="0.3">
      <c r="A58" s="14" t="s">
        <v>517</v>
      </c>
      <c r="B58" s="14" t="s">
        <v>525</v>
      </c>
      <c r="C58" s="14" t="s">
        <v>521</v>
      </c>
      <c r="D58" s="14"/>
      <c r="E58" s="14" t="s">
        <v>529</v>
      </c>
      <c r="F58" s="14"/>
      <c r="G58" s="14" t="s">
        <v>675</v>
      </c>
      <c r="H58" s="14" t="s">
        <v>537</v>
      </c>
      <c r="I58" s="14"/>
      <c r="J58" s="14" t="s">
        <v>538</v>
      </c>
      <c r="K58" s="14" t="s">
        <v>539</v>
      </c>
    </row>
    <row r="59" spans="1:11" x14ac:dyDescent="0.3">
      <c r="A59" s="14" t="s">
        <v>518</v>
      </c>
      <c r="B59" s="14" t="s">
        <v>526</v>
      </c>
      <c r="C59" s="14" t="s">
        <v>522</v>
      </c>
      <c r="D59" s="14"/>
      <c r="E59" s="14" t="s">
        <v>530</v>
      </c>
      <c r="F59" s="14"/>
      <c r="G59" s="14" t="s">
        <v>676</v>
      </c>
      <c r="H59" s="14" t="s">
        <v>540</v>
      </c>
      <c r="I59" s="14"/>
      <c r="J59" s="14" t="s">
        <v>541</v>
      </c>
      <c r="K59" s="14" t="s">
        <v>542</v>
      </c>
    </row>
    <row r="60" spans="1:11" x14ac:dyDescent="0.3">
      <c r="A60" s="14" t="s">
        <v>543</v>
      </c>
      <c r="B60" s="14" t="s">
        <v>544</v>
      </c>
      <c r="C60" s="15" t="s">
        <v>545</v>
      </c>
      <c r="D60" s="15" t="s">
        <v>546</v>
      </c>
      <c r="E60" s="15" t="s">
        <v>547</v>
      </c>
      <c r="F60" s="15"/>
      <c r="G60" s="14" t="s">
        <v>677</v>
      </c>
      <c r="H60" s="14" t="s">
        <v>548</v>
      </c>
      <c r="I60" s="14" t="s">
        <v>549</v>
      </c>
      <c r="J60" s="14" t="s">
        <v>550</v>
      </c>
      <c r="K60" s="14" t="s">
        <v>551</v>
      </c>
    </row>
    <row r="61" spans="1:11" x14ac:dyDescent="0.3">
      <c r="A61" s="14" t="s">
        <v>726</v>
      </c>
      <c r="B61" s="14"/>
      <c r="C61" s="14"/>
      <c r="D61" s="15"/>
      <c r="E61" s="26"/>
      <c r="F61" s="26"/>
      <c r="G61" s="14" t="s">
        <v>727</v>
      </c>
      <c r="H61" s="27"/>
      <c r="I61" s="27"/>
      <c r="J61" s="27"/>
      <c r="K61" s="27"/>
    </row>
  </sheetData>
  <phoneticPr fontId="2" type="noConversion"/>
  <pageMargins left="0.75" right="0.75" top="1" bottom="1" header="0.5" footer="0.5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9"/>
  <sheetViews>
    <sheetView workbookViewId="0">
      <selection activeCell="E10" sqref="E10"/>
    </sheetView>
  </sheetViews>
  <sheetFormatPr defaultRowHeight="16.5" x14ac:dyDescent="0.3"/>
  <cols>
    <col min="1" max="1" width="16.375" customWidth="1"/>
    <col min="2" max="2" width="17.75" bestFit="1" customWidth="1"/>
    <col min="3" max="3" width="20.375" bestFit="1" customWidth="1"/>
    <col min="4" max="4" width="20.5" bestFit="1" customWidth="1"/>
    <col min="5" max="5" width="32.625" bestFit="1" customWidth="1"/>
  </cols>
  <sheetData>
    <row r="1" spans="1:6" x14ac:dyDescent="0.3">
      <c r="A1" s="1" t="s">
        <v>87</v>
      </c>
      <c r="B1" s="1" t="s">
        <v>112</v>
      </c>
      <c r="C1" s="1" t="s">
        <v>113</v>
      </c>
      <c r="D1" s="1" t="s">
        <v>128</v>
      </c>
      <c r="E1" s="1" t="s">
        <v>147</v>
      </c>
      <c r="F1" s="17" t="s">
        <v>582</v>
      </c>
    </row>
    <row r="2" spans="1:6" x14ac:dyDescent="0.3">
      <c r="A2" s="1" t="s">
        <v>89</v>
      </c>
      <c r="B2" s="1" t="s">
        <v>114</v>
      </c>
      <c r="C2" s="1" t="s">
        <v>410</v>
      </c>
      <c r="D2" s="1" t="s">
        <v>129</v>
      </c>
      <c r="E2" s="1" t="s">
        <v>146</v>
      </c>
      <c r="F2" s="1" t="s">
        <v>581</v>
      </c>
    </row>
    <row r="3" spans="1:6" x14ac:dyDescent="0.3">
      <c r="A3" s="1" t="s">
        <v>115</v>
      </c>
      <c r="B3" s="1" t="s">
        <v>6</v>
      </c>
      <c r="C3" s="1" t="s">
        <v>409</v>
      </c>
      <c r="D3" s="1" t="s">
        <v>156</v>
      </c>
      <c r="E3" s="1" t="s">
        <v>127</v>
      </c>
      <c r="F3" s="1" t="s">
        <v>127</v>
      </c>
    </row>
    <row r="4" spans="1:6" x14ac:dyDescent="0.3">
      <c r="A4" s="1" t="s">
        <v>116</v>
      </c>
      <c r="B4" s="1" t="s">
        <v>116</v>
      </c>
      <c r="C4" s="1" t="s">
        <v>116</v>
      </c>
      <c r="D4" s="1" t="s">
        <v>116</v>
      </c>
      <c r="E4" s="1" t="s">
        <v>130</v>
      </c>
      <c r="F4" s="1" t="s">
        <v>130</v>
      </c>
    </row>
    <row r="5" spans="1:6" x14ac:dyDescent="0.3">
      <c r="A5" s="2" t="s">
        <v>392</v>
      </c>
      <c r="B5" s="2" t="s">
        <v>691</v>
      </c>
      <c r="C5" s="2" t="s">
        <v>393</v>
      </c>
      <c r="D5" s="2" t="s">
        <v>155</v>
      </c>
      <c r="E5" s="5" t="s">
        <v>696</v>
      </c>
      <c r="F5" s="5" t="s">
        <v>585</v>
      </c>
    </row>
    <row r="6" spans="1:6" ht="49.5" x14ac:dyDescent="0.3">
      <c r="A6" s="2" t="s">
        <v>117</v>
      </c>
      <c r="B6" s="2" t="s">
        <v>692</v>
      </c>
      <c r="C6" s="2" t="s">
        <v>118</v>
      </c>
      <c r="D6" s="4" t="s">
        <v>397</v>
      </c>
      <c r="E6" s="5" t="s">
        <v>697</v>
      </c>
      <c r="F6" s="5" t="s">
        <v>586</v>
      </c>
    </row>
    <row r="7" spans="1:6" ht="49.5" x14ac:dyDescent="0.3">
      <c r="A7" s="2" t="s">
        <v>119</v>
      </c>
      <c r="B7" s="2" t="s">
        <v>693</v>
      </c>
      <c r="C7" s="2" t="s">
        <v>120</v>
      </c>
      <c r="D7" s="4" t="s">
        <v>398</v>
      </c>
      <c r="E7" s="5" t="s">
        <v>698</v>
      </c>
      <c r="F7" s="5" t="s">
        <v>587</v>
      </c>
    </row>
    <row r="8" spans="1:6" ht="33" x14ac:dyDescent="0.3">
      <c r="A8" s="2" t="s">
        <v>121</v>
      </c>
      <c r="B8" s="2" t="s">
        <v>694</v>
      </c>
      <c r="C8" s="2" t="s">
        <v>122</v>
      </c>
      <c r="D8" s="4" t="s">
        <v>452</v>
      </c>
      <c r="E8" s="5" t="s">
        <v>699</v>
      </c>
      <c r="F8" s="5" t="s">
        <v>588</v>
      </c>
    </row>
    <row r="9" spans="1:6" x14ac:dyDescent="0.3">
      <c r="A9" s="2" t="s">
        <v>453</v>
      </c>
      <c r="B9" s="2" t="s">
        <v>695</v>
      </c>
      <c r="C9" s="2" t="s">
        <v>454</v>
      </c>
      <c r="D9" s="4"/>
      <c r="E9" s="5" t="s">
        <v>700</v>
      </c>
      <c r="F9" s="5"/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workbookViewId="0">
      <selection activeCell="C29" sqref="C29"/>
    </sheetView>
  </sheetViews>
  <sheetFormatPr defaultRowHeight="13.5" x14ac:dyDescent="0.25"/>
  <cols>
    <col min="1" max="1" width="15.375" style="9" bestFit="1" customWidth="1"/>
    <col min="2" max="2" width="10.25" style="9" bestFit="1" customWidth="1"/>
    <col min="3" max="3" width="9.5" style="9" bestFit="1" customWidth="1"/>
    <col min="4" max="4" width="12.625" style="9" bestFit="1" customWidth="1"/>
    <col min="5" max="6" width="9.5" style="9" bestFit="1" customWidth="1"/>
    <col min="7" max="7" width="9.5" style="9" customWidth="1"/>
    <col min="8" max="16384" width="9" style="9"/>
  </cols>
  <sheetData>
    <row r="1" spans="1:6" x14ac:dyDescent="0.25">
      <c r="A1" s="21" t="s">
        <v>573</v>
      </c>
      <c r="B1" s="9" t="s">
        <v>460</v>
      </c>
      <c r="C1" s="9" t="s">
        <v>455</v>
      </c>
      <c r="D1" s="9" t="s">
        <v>467</v>
      </c>
      <c r="E1" s="9" t="s">
        <v>463</v>
      </c>
      <c r="F1" s="9" t="s">
        <v>464</v>
      </c>
    </row>
    <row r="2" spans="1:6" x14ac:dyDescent="0.25">
      <c r="A2" s="21" t="s">
        <v>572</v>
      </c>
      <c r="B2" s="9" t="s">
        <v>391</v>
      </c>
      <c r="C2" s="9" t="s">
        <v>461</v>
      </c>
      <c r="D2" s="9" t="s">
        <v>462</v>
      </c>
      <c r="E2" s="9" t="s">
        <v>461</v>
      </c>
      <c r="F2" s="9" t="s">
        <v>473</v>
      </c>
    </row>
    <row r="3" spans="1:6" x14ac:dyDescent="0.25">
      <c r="A3" s="21" t="s">
        <v>456</v>
      </c>
      <c r="B3" s="9" t="s">
        <v>456</v>
      </c>
      <c r="C3" s="9" t="s">
        <v>456</v>
      </c>
      <c r="D3" s="9" t="s">
        <v>456</v>
      </c>
      <c r="E3" s="9" t="s">
        <v>456</v>
      </c>
      <c r="F3" s="9" t="s">
        <v>456</v>
      </c>
    </row>
    <row r="4" spans="1:6" x14ac:dyDescent="0.25">
      <c r="A4" s="9" t="s">
        <v>610</v>
      </c>
    </row>
    <row r="5" spans="1:6" x14ac:dyDescent="0.25">
      <c r="B5" s="9" t="s">
        <v>107</v>
      </c>
      <c r="C5" s="9" t="s">
        <v>457</v>
      </c>
      <c r="D5" s="9" t="b">
        <v>1</v>
      </c>
      <c r="E5" s="9" t="s">
        <v>107</v>
      </c>
      <c r="F5" s="9" t="s">
        <v>107</v>
      </c>
    </row>
    <row r="6" spans="1:6" x14ac:dyDescent="0.25">
      <c r="B6" s="9" t="s">
        <v>457</v>
      </c>
      <c r="C6" s="9" t="s">
        <v>108</v>
      </c>
      <c r="D6" s="9" t="b">
        <v>0</v>
      </c>
      <c r="E6" s="9" t="s">
        <v>457</v>
      </c>
      <c r="F6" s="9" t="s">
        <v>457</v>
      </c>
    </row>
    <row r="7" spans="1:6" x14ac:dyDescent="0.25">
      <c r="B7" s="9" t="s">
        <v>108</v>
      </c>
      <c r="C7" s="9" t="s">
        <v>458</v>
      </c>
      <c r="D7" s="9" t="b">
        <v>1</v>
      </c>
      <c r="E7" s="9" t="s">
        <v>108</v>
      </c>
    </row>
    <row r="8" spans="1:6" x14ac:dyDescent="0.25">
      <c r="B8" s="9" t="s">
        <v>458</v>
      </c>
      <c r="C8" s="9" t="s">
        <v>109</v>
      </c>
      <c r="D8" s="9" t="b">
        <v>0</v>
      </c>
      <c r="E8" s="9" t="s">
        <v>458</v>
      </c>
      <c r="F8" s="9" t="s">
        <v>458</v>
      </c>
    </row>
    <row r="9" spans="1:6" x14ac:dyDescent="0.25">
      <c r="B9" s="9" t="s">
        <v>109</v>
      </c>
      <c r="C9" s="9" t="s">
        <v>110</v>
      </c>
      <c r="D9" s="9" t="b">
        <v>1</v>
      </c>
      <c r="E9" s="9" t="s">
        <v>458</v>
      </c>
    </row>
    <row r="10" spans="1:6" x14ac:dyDescent="0.25">
      <c r="B10" s="9" t="s">
        <v>110</v>
      </c>
      <c r="C10" s="9" t="s">
        <v>111</v>
      </c>
      <c r="D10" s="9" t="b">
        <v>0</v>
      </c>
      <c r="E10" s="9" t="s">
        <v>110</v>
      </c>
    </row>
    <row r="11" spans="1:6" x14ac:dyDescent="0.25">
      <c r="B11" s="9" t="s">
        <v>111</v>
      </c>
      <c r="C11" s="9" t="s">
        <v>459</v>
      </c>
      <c r="D11" s="9" t="b">
        <v>0</v>
      </c>
      <c r="E11" s="9" t="s">
        <v>110</v>
      </c>
    </row>
    <row r="12" spans="1:6" x14ac:dyDescent="0.25">
      <c r="B12" s="9" t="s">
        <v>459</v>
      </c>
      <c r="C12" s="9" t="s">
        <v>561</v>
      </c>
      <c r="D12" s="9" t="b">
        <v>1</v>
      </c>
      <c r="E12" s="9" t="s">
        <v>458</v>
      </c>
      <c r="F12" s="9" t="s">
        <v>458</v>
      </c>
    </row>
    <row r="13" spans="1:6" x14ac:dyDescent="0.25">
      <c r="B13" s="9" t="s">
        <v>561</v>
      </c>
      <c r="C13" s="9" t="s">
        <v>562</v>
      </c>
      <c r="D13" s="9" t="b">
        <v>1</v>
      </c>
      <c r="E13" s="9" t="s">
        <v>458</v>
      </c>
    </row>
    <row r="14" spans="1:6" x14ac:dyDescent="0.25">
      <c r="B14" s="9" t="s">
        <v>562</v>
      </c>
      <c r="C14" s="9" t="s">
        <v>563</v>
      </c>
      <c r="D14" s="9" t="b">
        <v>1</v>
      </c>
      <c r="E14" s="9" t="s">
        <v>458</v>
      </c>
    </row>
    <row r="15" spans="1:6" x14ac:dyDescent="0.25">
      <c r="B15" s="9" t="s">
        <v>563</v>
      </c>
      <c r="C15" s="9" t="s">
        <v>564</v>
      </c>
      <c r="D15" s="9" t="b">
        <v>1</v>
      </c>
      <c r="E15" s="9" t="s">
        <v>458</v>
      </c>
    </row>
    <row r="16" spans="1:6" x14ac:dyDescent="0.25">
      <c r="B16" s="9" t="s">
        <v>564</v>
      </c>
      <c r="C16" s="9" t="s">
        <v>565</v>
      </c>
      <c r="D16" s="9" t="b">
        <v>1</v>
      </c>
      <c r="E16" s="9" t="s">
        <v>458</v>
      </c>
    </row>
    <row r="17" spans="1:16" x14ac:dyDescent="0.25">
      <c r="B17" s="9" t="s">
        <v>565</v>
      </c>
      <c r="C17" s="9" t="s">
        <v>566</v>
      </c>
      <c r="D17" s="9" t="b">
        <v>1</v>
      </c>
      <c r="E17" s="9" t="s">
        <v>458</v>
      </c>
    </row>
    <row r="18" spans="1:16" x14ac:dyDescent="0.25">
      <c r="A18" s="9" t="s">
        <v>611</v>
      </c>
    </row>
    <row r="19" spans="1:16" x14ac:dyDescent="0.25">
      <c r="B19" s="9" t="s">
        <v>108</v>
      </c>
      <c r="C19" s="9" t="s">
        <v>458</v>
      </c>
      <c r="D19" s="9" t="b">
        <v>1</v>
      </c>
      <c r="E19" s="9" t="s">
        <v>108</v>
      </c>
      <c r="H19" s="22"/>
      <c r="I19" s="23"/>
      <c r="J19" s="24"/>
      <c r="K19" s="24"/>
      <c r="L19" s="24"/>
      <c r="M19" s="24"/>
      <c r="N19" s="24"/>
      <c r="O19" s="24"/>
      <c r="P19" s="24"/>
    </row>
    <row r="20" spans="1:16" x14ac:dyDescent="0.25">
      <c r="B20" s="9" t="s">
        <v>458</v>
      </c>
      <c r="C20" s="9" t="s">
        <v>109</v>
      </c>
      <c r="D20" s="9" t="b">
        <v>1</v>
      </c>
      <c r="E20" s="9" t="s">
        <v>108</v>
      </c>
      <c r="F20" s="24"/>
      <c r="H20" s="22"/>
      <c r="I20" s="23"/>
      <c r="J20" s="24"/>
      <c r="K20" s="24"/>
      <c r="L20" s="24"/>
      <c r="M20" s="24"/>
      <c r="N20" s="24"/>
      <c r="O20" s="24"/>
      <c r="P20" s="24"/>
    </row>
    <row r="21" spans="1:16" x14ac:dyDescent="0.25">
      <c r="B21" s="9" t="s">
        <v>109</v>
      </c>
      <c r="C21" s="9" t="s">
        <v>110</v>
      </c>
      <c r="D21" s="9" t="b">
        <v>1</v>
      </c>
      <c r="E21" s="9" t="s">
        <v>108</v>
      </c>
      <c r="F21" s="24"/>
      <c r="H21" s="22"/>
      <c r="I21" s="23"/>
      <c r="J21" s="24"/>
      <c r="K21" s="24"/>
      <c r="L21" s="24"/>
      <c r="M21" s="24"/>
      <c r="N21" s="24"/>
      <c r="O21" s="24"/>
      <c r="P21" s="24"/>
    </row>
    <row r="22" spans="1:16" x14ac:dyDescent="0.25">
      <c r="B22" s="9" t="s">
        <v>110</v>
      </c>
      <c r="C22" s="9" t="s">
        <v>111</v>
      </c>
      <c r="D22" s="9" t="b">
        <v>1</v>
      </c>
      <c r="E22" s="9" t="s">
        <v>108</v>
      </c>
      <c r="F22" s="24"/>
      <c r="H22" s="22"/>
      <c r="I22" s="23"/>
      <c r="J22" s="24"/>
      <c r="K22" s="24"/>
      <c r="L22" s="24"/>
      <c r="M22" s="24"/>
      <c r="N22" s="24"/>
      <c r="O22" s="24"/>
      <c r="P22" s="24"/>
    </row>
    <row r="23" spans="1:16" x14ac:dyDescent="0.25">
      <c r="B23" s="9" t="s">
        <v>111</v>
      </c>
      <c r="C23" s="9" t="s">
        <v>459</v>
      </c>
      <c r="D23" s="9" t="b">
        <v>1</v>
      </c>
      <c r="E23" s="9" t="s">
        <v>108</v>
      </c>
      <c r="F23" s="24"/>
      <c r="H23" s="25"/>
      <c r="I23" s="23"/>
      <c r="J23" s="24"/>
      <c r="K23" s="24"/>
      <c r="L23" s="24"/>
      <c r="M23" s="24"/>
      <c r="N23" s="24"/>
      <c r="O23" s="24"/>
      <c r="P23" s="24"/>
    </row>
    <row r="24" spans="1:16" x14ac:dyDescent="0.25">
      <c r="B24" s="9" t="s">
        <v>459</v>
      </c>
      <c r="C24" s="9" t="s">
        <v>561</v>
      </c>
      <c r="D24" s="9" t="b">
        <v>1</v>
      </c>
      <c r="E24" s="9" t="s">
        <v>108</v>
      </c>
      <c r="F24" s="24"/>
      <c r="H24" s="25"/>
      <c r="I24" s="23"/>
      <c r="J24" s="25"/>
      <c r="K24" s="25"/>
      <c r="L24" s="25"/>
      <c r="M24" s="25"/>
      <c r="N24" s="24"/>
      <c r="O24" s="24"/>
      <c r="P24" s="24"/>
    </row>
    <row r="25" spans="1:16" x14ac:dyDescent="0.25">
      <c r="B25" s="9" t="s">
        <v>561</v>
      </c>
      <c r="C25" s="9" t="s">
        <v>562</v>
      </c>
      <c r="D25" s="9" t="b">
        <v>1</v>
      </c>
      <c r="E25" s="9" t="s">
        <v>108</v>
      </c>
      <c r="F25" s="24"/>
      <c r="H25" s="25"/>
      <c r="I25" s="23"/>
      <c r="J25" s="25"/>
      <c r="K25" s="25"/>
      <c r="L25" s="25"/>
      <c r="M25" s="25"/>
      <c r="N25" s="25"/>
      <c r="O25" s="25"/>
      <c r="P25" s="24"/>
    </row>
    <row r="26" spans="1:16" x14ac:dyDescent="0.25">
      <c r="B26" s="9" t="s">
        <v>562</v>
      </c>
      <c r="C26" s="9" t="s">
        <v>563</v>
      </c>
      <c r="D26" s="9" t="b">
        <v>1</v>
      </c>
      <c r="E26" s="9" t="s">
        <v>108</v>
      </c>
      <c r="F26" s="24"/>
      <c r="H26" s="25"/>
      <c r="I26" s="23"/>
      <c r="J26" s="25"/>
      <c r="K26" s="25"/>
      <c r="L26" s="25"/>
      <c r="M26" s="25"/>
      <c r="N26" s="23"/>
      <c r="O26" s="25"/>
      <c r="P26" s="24"/>
    </row>
    <row r="27" spans="1:16" x14ac:dyDescent="0.25">
      <c r="B27" s="9" t="s">
        <v>563</v>
      </c>
      <c r="C27" s="9" t="s">
        <v>564</v>
      </c>
      <c r="D27" s="9" t="b">
        <v>1</v>
      </c>
      <c r="E27" s="9" t="s">
        <v>108</v>
      </c>
      <c r="F27" s="24"/>
      <c r="H27" s="25"/>
      <c r="I27" s="23"/>
      <c r="J27" s="25"/>
      <c r="K27" s="25"/>
      <c r="L27" s="25"/>
      <c r="M27" s="25"/>
      <c r="N27" s="23"/>
      <c r="O27" s="25"/>
      <c r="P27" s="24"/>
    </row>
    <row r="28" spans="1:16" x14ac:dyDescent="0.25">
      <c r="B28" s="9" t="s">
        <v>564</v>
      </c>
      <c r="C28" s="9" t="s">
        <v>565</v>
      </c>
      <c r="D28" s="9" t="b">
        <v>1</v>
      </c>
      <c r="E28" s="9" t="s">
        <v>108</v>
      </c>
      <c r="F28" s="24"/>
      <c r="H28" s="25"/>
      <c r="I28" s="23"/>
      <c r="J28" s="25"/>
      <c r="K28" s="25"/>
      <c r="L28" s="25"/>
      <c r="M28" s="25"/>
      <c r="N28" s="23"/>
      <c r="O28" s="25"/>
      <c r="P28" s="24"/>
    </row>
    <row r="29" spans="1:16" x14ac:dyDescent="0.25">
      <c r="B29" s="9" t="s">
        <v>565</v>
      </c>
      <c r="C29" s="9" t="s">
        <v>566</v>
      </c>
      <c r="D29" s="9" t="b">
        <v>1</v>
      </c>
      <c r="E29" s="9" t="s">
        <v>108</v>
      </c>
      <c r="F29" s="24"/>
      <c r="H29" s="25"/>
      <c r="I29" s="23"/>
      <c r="J29" s="25"/>
      <c r="K29" s="25"/>
      <c r="L29" s="25"/>
      <c r="M29" s="25"/>
      <c r="N29" s="23"/>
      <c r="O29" s="25"/>
      <c r="P29" s="2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N50" sqref="N50"/>
    </sheetView>
  </sheetViews>
  <sheetFormatPr defaultRowHeight="13.5" x14ac:dyDescent="0.25"/>
  <cols>
    <col min="1" max="1" width="10.25" style="9" bestFit="1" customWidth="1"/>
    <col min="2" max="2" width="9.5" style="9" bestFit="1" customWidth="1"/>
    <col min="3" max="16384" width="9" style="9"/>
  </cols>
  <sheetData>
    <row r="1" spans="1:3" x14ac:dyDescent="0.25">
      <c r="A1" s="9" t="s">
        <v>465</v>
      </c>
      <c r="B1" s="9" t="s">
        <v>466</v>
      </c>
      <c r="C1" s="9" t="s">
        <v>470</v>
      </c>
    </row>
    <row r="2" spans="1:3" x14ac:dyDescent="0.25">
      <c r="A2" s="9" t="s">
        <v>391</v>
      </c>
      <c r="B2" s="9" t="s">
        <v>461</v>
      </c>
      <c r="C2" s="9" t="s">
        <v>462</v>
      </c>
    </row>
    <row r="3" spans="1:3" x14ac:dyDescent="0.25">
      <c r="A3" s="9" t="s">
        <v>456</v>
      </c>
      <c r="B3" s="9" t="s">
        <v>456</v>
      </c>
      <c r="C3" s="9" t="s">
        <v>456</v>
      </c>
    </row>
    <row r="4" spans="1:3" x14ac:dyDescent="0.25">
      <c r="A4" s="9" t="s">
        <v>567</v>
      </c>
      <c r="B4" s="9" t="s">
        <v>568</v>
      </c>
      <c r="C4" s="9" t="b">
        <v>1</v>
      </c>
    </row>
    <row r="5" spans="1:3" x14ac:dyDescent="0.25">
      <c r="A5" s="9" t="s">
        <v>569</v>
      </c>
      <c r="B5" s="9" t="s">
        <v>471</v>
      </c>
      <c r="C5" s="9" t="b">
        <v>0</v>
      </c>
    </row>
    <row r="6" spans="1:3" x14ac:dyDescent="0.25">
      <c r="A6" s="9" t="s">
        <v>570</v>
      </c>
      <c r="B6" s="9" t="s">
        <v>571</v>
      </c>
      <c r="C6" s="9" t="b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G15" sqref="G15"/>
    </sheetView>
  </sheetViews>
  <sheetFormatPr defaultRowHeight="16.5" x14ac:dyDescent="0.3"/>
  <cols>
    <col min="1" max="1" width="14.625" bestFit="1" customWidth="1"/>
    <col min="2" max="2" width="20.5" bestFit="1" customWidth="1"/>
    <col min="3" max="7" width="20.5" customWidth="1"/>
    <col min="8" max="8" width="19.75" bestFit="1" customWidth="1"/>
    <col min="9" max="9" width="30.25" bestFit="1" customWidth="1"/>
  </cols>
  <sheetData>
    <row r="1" spans="1:9" x14ac:dyDescent="0.3">
      <c r="A1" s="9" t="s">
        <v>552</v>
      </c>
      <c r="B1" s="9" t="s">
        <v>410</v>
      </c>
      <c r="C1" s="9" t="s">
        <v>612</v>
      </c>
      <c r="D1" s="9" t="s">
        <v>603</v>
      </c>
      <c r="E1" s="9" t="s">
        <v>632</v>
      </c>
      <c r="F1" s="9" t="s">
        <v>716</v>
      </c>
      <c r="G1" s="9" t="s">
        <v>711</v>
      </c>
      <c r="H1" s="9" t="s">
        <v>553</v>
      </c>
      <c r="I1" s="9" t="s">
        <v>590</v>
      </c>
    </row>
    <row r="2" spans="1:9" x14ac:dyDescent="0.3">
      <c r="A2" s="9" t="s">
        <v>602</v>
      </c>
      <c r="B2" s="9" t="s">
        <v>127</v>
      </c>
      <c r="C2" s="9" t="s">
        <v>633</v>
      </c>
      <c r="D2" s="9" t="s">
        <v>604</v>
      </c>
      <c r="E2" s="9" t="s">
        <v>601</v>
      </c>
      <c r="F2" s="9" t="s">
        <v>717</v>
      </c>
      <c r="G2" s="9" t="s">
        <v>601</v>
      </c>
      <c r="H2" s="9" t="s">
        <v>127</v>
      </c>
      <c r="I2" s="9" t="s">
        <v>127</v>
      </c>
    </row>
    <row r="3" spans="1:9" x14ac:dyDescent="0.3">
      <c r="A3" s="9" t="s">
        <v>456</v>
      </c>
      <c r="B3" s="9" t="s">
        <v>456</v>
      </c>
      <c r="C3" t="s">
        <v>456</v>
      </c>
      <c r="D3" s="9" t="s">
        <v>456</v>
      </c>
      <c r="E3" s="9" t="s">
        <v>7</v>
      </c>
      <c r="F3" s="9" t="s">
        <v>718</v>
      </c>
      <c r="G3" s="9" t="s">
        <v>712</v>
      </c>
      <c r="H3" s="9" t="s">
        <v>456</v>
      </c>
      <c r="I3" s="9" t="s">
        <v>130</v>
      </c>
    </row>
    <row r="4" spans="1:9" x14ac:dyDescent="0.3">
      <c r="A4" t="s">
        <v>554</v>
      </c>
      <c r="B4" s="19" t="s">
        <v>560</v>
      </c>
      <c r="C4" s="19" t="s">
        <v>609</v>
      </c>
      <c r="D4" s="19" t="s">
        <v>605</v>
      </c>
      <c r="E4" s="19" t="s">
        <v>710</v>
      </c>
      <c r="F4" s="19" t="s">
        <v>719</v>
      </c>
      <c r="G4" s="19" t="s">
        <v>709</v>
      </c>
      <c r="H4" t="s">
        <v>703</v>
      </c>
      <c r="I4" t="s">
        <v>593</v>
      </c>
    </row>
    <row r="5" spans="1:9" x14ac:dyDescent="0.3">
      <c r="A5" t="s">
        <v>556</v>
      </c>
      <c r="B5" s="19" t="s">
        <v>559</v>
      </c>
      <c r="C5" s="19" t="s">
        <v>609</v>
      </c>
      <c r="D5" s="19" t="s">
        <v>606</v>
      </c>
      <c r="E5" s="19" t="s">
        <v>710</v>
      </c>
      <c r="F5" s="19" t="s">
        <v>720</v>
      </c>
      <c r="G5" s="19" t="s">
        <v>709</v>
      </c>
      <c r="H5" t="s">
        <v>559</v>
      </c>
      <c r="I5" t="s">
        <v>591</v>
      </c>
    </row>
    <row r="6" spans="1:9" x14ac:dyDescent="0.3">
      <c r="A6" t="s">
        <v>555</v>
      </c>
      <c r="B6" s="19" t="s">
        <v>704</v>
      </c>
      <c r="C6" s="19" t="s">
        <v>609</v>
      </c>
      <c r="D6" s="19" t="s">
        <v>607</v>
      </c>
      <c r="E6" s="19" t="s">
        <v>710</v>
      </c>
      <c r="F6" s="19" t="s">
        <v>721</v>
      </c>
      <c r="G6" s="19" t="s">
        <v>709</v>
      </c>
      <c r="H6" t="s">
        <v>594</v>
      </c>
      <c r="I6" t="s">
        <v>592</v>
      </c>
    </row>
    <row r="7" spans="1:9" x14ac:dyDescent="0.3">
      <c r="A7" t="s">
        <v>595</v>
      </c>
      <c r="B7" s="19" t="s">
        <v>705</v>
      </c>
      <c r="C7" s="19" t="s">
        <v>611</v>
      </c>
      <c r="D7" s="19" t="s">
        <v>608</v>
      </c>
      <c r="E7" s="19" t="s">
        <v>709</v>
      </c>
      <c r="F7" s="19" t="s">
        <v>722</v>
      </c>
      <c r="G7" s="19" t="s">
        <v>709</v>
      </c>
      <c r="H7" t="s">
        <v>598</v>
      </c>
      <c r="I7" t="s">
        <v>664</v>
      </c>
    </row>
    <row r="8" spans="1:9" x14ac:dyDescent="0.3">
      <c r="A8" t="s">
        <v>596</v>
      </c>
      <c r="B8" s="19" t="s">
        <v>706</v>
      </c>
      <c r="C8" s="19" t="s">
        <v>611</v>
      </c>
      <c r="D8" s="19" t="s">
        <v>608</v>
      </c>
      <c r="E8" s="19" t="s">
        <v>709</v>
      </c>
      <c r="F8" s="19" t="s">
        <v>722</v>
      </c>
      <c r="G8" s="19" t="s">
        <v>709</v>
      </c>
      <c r="H8" t="s">
        <v>597</v>
      </c>
      <c r="I8" t="s">
        <v>665</v>
      </c>
    </row>
    <row r="9" spans="1:9" x14ac:dyDescent="0.3">
      <c r="A9" t="s">
        <v>557</v>
      </c>
      <c r="B9" s="19" t="s">
        <v>558</v>
      </c>
      <c r="C9" s="19" t="s">
        <v>611</v>
      </c>
      <c r="D9" s="19" t="s">
        <v>608</v>
      </c>
      <c r="E9" s="19" t="s">
        <v>109</v>
      </c>
      <c r="F9" s="19" t="s">
        <v>722</v>
      </c>
      <c r="G9" s="19" t="s">
        <v>709</v>
      </c>
      <c r="H9" t="s">
        <v>558</v>
      </c>
    </row>
    <row r="10" spans="1:9" x14ac:dyDescent="0.3">
      <c r="B10" s="9"/>
      <c r="C10" s="9"/>
      <c r="D10" s="9"/>
      <c r="E10" s="9"/>
      <c r="F10" s="9"/>
      <c r="G10" s="9"/>
    </row>
  </sheetData>
  <phoneticPr fontId="2" type="noConversion"/>
  <conditionalFormatting sqref="B9 D9">
    <cfRule type="duplicateValues" dxfId="5" priority="5"/>
  </conditionalFormatting>
  <conditionalFormatting sqref="B4:G8">
    <cfRule type="duplicateValues" dxfId="4" priority="7"/>
  </conditionalFormatting>
  <conditionalFormatting sqref="C9">
    <cfRule type="duplicateValues" dxfId="3" priority="4"/>
  </conditionalFormatting>
  <conditionalFormatting sqref="E9">
    <cfRule type="duplicateValues" dxfId="2" priority="3"/>
  </conditionalFormatting>
  <conditionalFormatting sqref="F9">
    <cfRule type="duplicateValues" dxfId="1" priority="1"/>
  </conditionalFormatting>
  <conditionalFormatting sqref="G9"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C9" sqref="C9"/>
    </sheetView>
  </sheetViews>
  <sheetFormatPr defaultRowHeight="16.5" x14ac:dyDescent="0.3"/>
  <cols>
    <col min="1" max="1" width="12.5" bestFit="1" customWidth="1"/>
    <col min="2" max="2" width="10.5" customWidth="1"/>
    <col min="3" max="3" width="25.75" bestFit="1" customWidth="1"/>
  </cols>
  <sheetData>
    <row r="1" spans="1:7" x14ac:dyDescent="0.3">
      <c r="A1" s="9" t="s">
        <v>573</v>
      </c>
      <c r="B1" s="9" t="s">
        <v>410</v>
      </c>
      <c r="C1" s="9" t="s">
        <v>553</v>
      </c>
      <c r="D1" s="9" t="s">
        <v>580</v>
      </c>
    </row>
    <row r="2" spans="1:7" x14ac:dyDescent="0.3">
      <c r="A2" s="9" t="s">
        <v>572</v>
      </c>
      <c r="B2" s="9" t="s">
        <v>127</v>
      </c>
      <c r="C2" s="9" t="s">
        <v>127</v>
      </c>
      <c r="D2" s="9" t="s">
        <v>127</v>
      </c>
    </row>
    <row r="3" spans="1:7" ht="17.25" thickBot="1" x14ac:dyDescent="0.35">
      <c r="A3" s="9" t="s">
        <v>130</v>
      </c>
      <c r="B3" s="9" t="s">
        <v>130</v>
      </c>
      <c r="C3" s="9" t="s">
        <v>130</v>
      </c>
      <c r="D3" s="9" t="s">
        <v>130</v>
      </c>
      <c r="G3" s="9"/>
    </row>
    <row r="4" spans="1:7" ht="17.25" thickBot="1" x14ac:dyDescent="0.35">
      <c r="A4" s="16" t="s">
        <v>574</v>
      </c>
      <c r="B4" s="18" t="str">
        <f>"SpecializationName."&amp;A4</f>
        <v>SpecializationName.Narrow</v>
      </c>
      <c r="C4" t="s">
        <v>683</v>
      </c>
      <c r="D4" s="18" t="str">
        <f>"SpecializationDesc."&amp;A4</f>
        <v>SpecializationDesc.Narrow</v>
      </c>
    </row>
    <row r="5" spans="1:7" ht="17.25" thickBot="1" x14ac:dyDescent="0.35">
      <c r="A5" s="16" t="s">
        <v>575</v>
      </c>
      <c r="B5" s="18" t="str">
        <f t="shared" ref="B5:B11" si="0">"SpecializationName."&amp;A5</f>
        <v>SpecializationName.Wide</v>
      </c>
      <c r="C5" t="s">
        <v>684</v>
      </c>
      <c r="D5" s="18" t="str">
        <f t="shared" ref="D5:D11" si="1">"SpecializationDesc."&amp;A5</f>
        <v>SpecializationDesc.Wide</v>
      </c>
    </row>
    <row r="6" spans="1:7" ht="17.25" thickBot="1" x14ac:dyDescent="0.35">
      <c r="A6" s="16" t="s">
        <v>576</v>
      </c>
      <c r="B6" s="18" t="str">
        <f t="shared" si="0"/>
        <v>SpecializationName.Heal</v>
      </c>
      <c r="C6" t="s">
        <v>685</v>
      </c>
      <c r="D6" s="18" t="str">
        <f t="shared" si="1"/>
        <v>SpecializationDesc.Heal</v>
      </c>
    </row>
    <row r="7" spans="1:7" ht="17.25" thickBot="1" x14ac:dyDescent="0.35">
      <c r="A7" s="16" t="s">
        <v>577</v>
      </c>
      <c r="B7" s="18" t="str">
        <f t="shared" si="0"/>
        <v>SpecializationName.Shield</v>
      </c>
      <c r="C7" t="s">
        <v>686</v>
      </c>
      <c r="D7" s="18" t="str">
        <f t="shared" si="1"/>
        <v>SpecializationDesc.Shield</v>
      </c>
    </row>
    <row r="8" spans="1:7" ht="17.25" thickBot="1" x14ac:dyDescent="0.35">
      <c r="A8" s="16" t="s">
        <v>578</v>
      </c>
      <c r="B8" s="18" t="str">
        <f t="shared" si="0"/>
        <v>SpecializationName.Buff</v>
      </c>
      <c r="C8" t="s">
        <v>687</v>
      </c>
      <c r="D8" s="18" t="str">
        <f t="shared" si="1"/>
        <v>SpecializationDesc.Buff</v>
      </c>
    </row>
    <row r="9" spans="1:7" ht="17.25" thickBot="1" x14ac:dyDescent="0.35">
      <c r="A9" s="16" t="s">
        <v>579</v>
      </c>
      <c r="B9" s="18" t="str">
        <f t="shared" si="0"/>
        <v>SpecializationName.Debuff</v>
      </c>
      <c r="C9" t="s">
        <v>688</v>
      </c>
      <c r="D9" s="18" t="str">
        <f t="shared" si="1"/>
        <v>SpecializationDesc.Debuff</v>
      </c>
    </row>
    <row r="10" spans="1:7" ht="17.25" thickBot="1" x14ac:dyDescent="0.35">
      <c r="A10" s="16" t="s">
        <v>583</v>
      </c>
      <c r="B10" s="18" t="str">
        <f t="shared" si="0"/>
        <v>SpecializationName.Target</v>
      </c>
      <c r="C10" t="s">
        <v>689</v>
      </c>
      <c r="D10" s="18" t="str">
        <f t="shared" si="1"/>
        <v>SpecializationDesc.Target</v>
      </c>
    </row>
    <row r="11" spans="1:7" ht="17.25" thickBot="1" x14ac:dyDescent="0.35">
      <c r="A11" s="16" t="s">
        <v>584</v>
      </c>
      <c r="B11" s="18" t="str">
        <f t="shared" si="0"/>
        <v>SpecializationName.Disturb</v>
      </c>
      <c r="C11" t="s">
        <v>690</v>
      </c>
      <c r="D11" s="18" t="str">
        <f t="shared" si="1"/>
        <v>SpecializationDesc.Disturb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selection activeCell="E7" sqref="E7"/>
    </sheetView>
  </sheetViews>
  <sheetFormatPr defaultRowHeight="13.5" x14ac:dyDescent="0.25"/>
  <cols>
    <col min="1" max="1" width="15.125" style="11" bestFit="1" customWidth="1"/>
    <col min="2" max="2" width="9.5" style="11" bestFit="1" customWidth="1"/>
    <col min="3" max="3" width="26.5" style="11" bestFit="1" customWidth="1"/>
    <col min="4" max="4" width="23.125" style="11" bestFit="1" customWidth="1"/>
    <col min="5" max="16384" width="9" style="11"/>
  </cols>
  <sheetData>
    <row r="1" spans="1:4" x14ac:dyDescent="0.25">
      <c r="A1" s="10" t="s">
        <v>599</v>
      </c>
      <c r="B1" s="10" t="s">
        <v>388</v>
      </c>
      <c r="C1" s="10" t="s">
        <v>713</v>
      </c>
      <c r="D1" s="10" t="s">
        <v>715</v>
      </c>
    </row>
    <row r="2" spans="1:4" x14ac:dyDescent="0.25">
      <c r="A2" s="20" t="s">
        <v>723</v>
      </c>
      <c r="B2" s="10" t="s">
        <v>613</v>
      </c>
      <c r="C2" s="10" t="s">
        <v>714</v>
      </c>
      <c r="D2" s="10" t="s">
        <v>468</v>
      </c>
    </row>
    <row r="3" spans="1:4" x14ac:dyDescent="0.25">
      <c r="A3" s="20" t="s">
        <v>90</v>
      </c>
      <c r="B3" s="10" t="s">
        <v>391</v>
      </c>
      <c r="C3" s="10" t="s">
        <v>619</v>
      </c>
      <c r="D3" s="10" t="s">
        <v>469</v>
      </c>
    </row>
    <row r="4" spans="1:4" x14ac:dyDescent="0.25">
      <c r="A4" s="20" t="s">
        <v>7</v>
      </c>
      <c r="B4" s="10" t="s">
        <v>7</v>
      </c>
      <c r="C4" s="10" t="s">
        <v>7</v>
      </c>
      <c r="D4" s="10" t="s">
        <v>7</v>
      </c>
    </row>
    <row r="5" spans="1:4" x14ac:dyDescent="0.25">
      <c r="A5" s="11" t="s">
        <v>719</v>
      </c>
    </row>
    <row r="6" spans="1:4" x14ac:dyDescent="0.25">
      <c r="B6" s="11" t="s">
        <v>458</v>
      </c>
      <c r="D6" s="11">
        <v>2</v>
      </c>
    </row>
    <row r="7" spans="1:4" x14ac:dyDescent="0.25">
      <c r="B7" s="11" t="s">
        <v>109</v>
      </c>
      <c r="C7" s="11" t="s">
        <v>653</v>
      </c>
      <c r="D7" s="11">
        <v>2</v>
      </c>
    </row>
    <row r="8" spans="1:4" x14ac:dyDescent="0.25">
      <c r="B8" s="11" t="s">
        <v>110</v>
      </c>
      <c r="C8" s="11" t="s">
        <v>654</v>
      </c>
      <c r="D8" s="11">
        <v>4</v>
      </c>
    </row>
    <row r="9" spans="1:4" x14ac:dyDescent="0.25">
      <c r="B9" s="11" t="s">
        <v>111</v>
      </c>
      <c r="C9" s="11" t="s">
        <v>655</v>
      </c>
      <c r="D9" s="11">
        <v>4</v>
      </c>
    </row>
    <row r="10" spans="1:4" x14ac:dyDescent="0.25">
      <c r="B10" s="11" t="s">
        <v>459</v>
      </c>
      <c r="C10" s="11" t="s">
        <v>656</v>
      </c>
      <c r="D10" s="11">
        <v>4</v>
      </c>
    </row>
    <row r="11" spans="1:4" x14ac:dyDescent="0.25">
      <c r="B11" s="11" t="s">
        <v>561</v>
      </c>
      <c r="C11" s="11" t="s">
        <v>634</v>
      </c>
      <c r="D11" s="11">
        <v>8</v>
      </c>
    </row>
    <row r="12" spans="1:4" x14ac:dyDescent="0.25">
      <c r="B12" s="11" t="s">
        <v>562</v>
      </c>
      <c r="C12" s="11" t="s">
        <v>635</v>
      </c>
      <c r="D12" s="11">
        <v>10</v>
      </c>
    </row>
    <row r="13" spans="1:4" x14ac:dyDescent="0.25">
      <c r="B13" s="11" t="s">
        <v>563</v>
      </c>
      <c r="C13" s="11" t="s">
        <v>636</v>
      </c>
      <c r="D13" s="11">
        <v>12</v>
      </c>
    </row>
    <row r="14" spans="1:4" x14ac:dyDescent="0.25">
      <c r="B14" s="11" t="s">
        <v>564</v>
      </c>
      <c r="C14" s="11" t="s">
        <v>637</v>
      </c>
      <c r="D14" s="11">
        <v>14</v>
      </c>
    </row>
    <row r="15" spans="1:4" x14ac:dyDescent="0.25">
      <c r="B15" s="11" t="s">
        <v>565</v>
      </c>
      <c r="C15" s="11" t="s">
        <v>638</v>
      </c>
      <c r="D15" s="11">
        <v>16</v>
      </c>
    </row>
    <row r="16" spans="1:4" x14ac:dyDescent="0.25">
      <c r="B16" s="11" t="s">
        <v>566</v>
      </c>
      <c r="C16" s="11" t="s">
        <v>639</v>
      </c>
      <c r="D16" s="11">
        <v>18</v>
      </c>
    </row>
    <row r="17" spans="1:4" x14ac:dyDescent="0.25">
      <c r="A17" s="11" t="s">
        <v>721</v>
      </c>
    </row>
    <row r="18" spans="1:4" x14ac:dyDescent="0.25">
      <c r="B18" s="11" t="s">
        <v>458</v>
      </c>
      <c r="D18" s="11">
        <v>2</v>
      </c>
    </row>
    <row r="19" spans="1:4" x14ac:dyDescent="0.25">
      <c r="B19" s="11" t="s">
        <v>109</v>
      </c>
      <c r="C19" s="11" t="s">
        <v>657</v>
      </c>
      <c r="D19" s="11">
        <v>2</v>
      </c>
    </row>
    <row r="20" spans="1:4" x14ac:dyDescent="0.25">
      <c r="B20" s="11" t="s">
        <v>110</v>
      </c>
      <c r="C20" s="11" t="s">
        <v>658</v>
      </c>
      <c r="D20" s="11">
        <v>4</v>
      </c>
    </row>
    <row r="21" spans="1:4" x14ac:dyDescent="0.25">
      <c r="B21" s="11" t="s">
        <v>111</v>
      </c>
      <c r="C21" s="11" t="s">
        <v>659</v>
      </c>
      <c r="D21" s="11">
        <v>4</v>
      </c>
    </row>
    <row r="22" spans="1:4" x14ac:dyDescent="0.25">
      <c r="B22" s="11" t="s">
        <v>459</v>
      </c>
      <c r="C22" s="11" t="s">
        <v>660</v>
      </c>
      <c r="D22" s="11">
        <v>4</v>
      </c>
    </row>
    <row r="23" spans="1:4" x14ac:dyDescent="0.25">
      <c r="B23" s="11" t="s">
        <v>561</v>
      </c>
      <c r="C23" s="11" t="s">
        <v>640</v>
      </c>
      <c r="D23" s="11">
        <v>8</v>
      </c>
    </row>
    <row r="24" spans="1:4" x14ac:dyDescent="0.25">
      <c r="B24" s="11" t="s">
        <v>562</v>
      </c>
      <c r="C24" s="11" t="s">
        <v>641</v>
      </c>
      <c r="D24" s="11">
        <v>10</v>
      </c>
    </row>
    <row r="25" spans="1:4" x14ac:dyDescent="0.25">
      <c r="B25" s="11" t="s">
        <v>563</v>
      </c>
      <c r="C25" s="11" t="s">
        <v>642</v>
      </c>
      <c r="D25" s="11">
        <v>12</v>
      </c>
    </row>
    <row r="26" spans="1:4" x14ac:dyDescent="0.25">
      <c r="B26" s="11" t="s">
        <v>564</v>
      </c>
      <c r="C26" s="11" t="s">
        <v>643</v>
      </c>
      <c r="D26" s="11">
        <v>14</v>
      </c>
    </row>
    <row r="27" spans="1:4" x14ac:dyDescent="0.25">
      <c r="B27" s="11" t="s">
        <v>565</v>
      </c>
      <c r="C27" s="11" t="s">
        <v>644</v>
      </c>
      <c r="D27" s="11">
        <v>16</v>
      </c>
    </row>
    <row r="28" spans="1:4" x14ac:dyDescent="0.25">
      <c r="B28" s="11" t="s">
        <v>566</v>
      </c>
      <c r="C28" s="11" t="s">
        <v>645</v>
      </c>
      <c r="D28" s="11">
        <v>18</v>
      </c>
    </row>
    <row r="29" spans="1:4" x14ac:dyDescent="0.25">
      <c r="A29" s="11" t="s">
        <v>724</v>
      </c>
    </row>
    <row r="30" spans="1:4" x14ac:dyDescent="0.25">
      <c r="B30" s="11" t="s">
        <v>458</v>
      </c>
      <c r="D30" s="11">
        <v>2</v>
      </c>
    </row>
    <row r="31" spans="1:4" x14ac:dyDescent="0.25">
      <c r="B31" s="11" t="s">
        <v>109</v>
      </c>
      <c r="C31" s="11" t="s">
        <v>646</v>
      </c>
      <c r="D31" s="11">
        <v>2</v>
      </c>
    </row>
    <row r="32" spans="1:4" x14ac:dyDescent="0.25">
      <c r="B32" s="11" t="s">
        <v>110</v>
      </c>
      <c r="C32" s="11" t="s">
        <v>661</v>
      </c>
      <c r="D32" s="11">
        <v>4</v>
      </c>
    </row>
    <row r="33" spans="1:4" x14ac:dyDescent="0.25">
      <c r="B33" s="11" t="s">
        <v>111</v>
      </c>
      <c r="C33" s="11" t="s">
        <v>662</v>
      </c>
      <c r="D33" s="11">
        <v>4</v>
      </c>
    </row>
    <row r="34" spans="1:4" x14ac:dyDescent="0.25">
      <c r="B34" s="11" t="s">
        <v>459</v>
      </c>
      <c r="C34" s="11" t="s">
        <v>663</v>
      </c>
      <c r="D34" s="11">
        <v>4</v>
      </c>
    </row>
    <row r="35" spans="1:4" x14ac:dyDescent="0.25">
      <c r="B35" s="11" t="s">
        <v>561</v>
      </c>
      <c r="C35" s="11" t="s">
        <v>647</v>
      </c>
      <c r="D35" s="11">
        <v>8</v>
      </c>
    </row>
    <row r="36" spans="1:4" x14ac:dyDescent="0.25">
      <c r="B36" s="11" t="s">
        <v>562</v>
      </c>
      <c r="C36" s="11" t="s">
        <v>648</v>
      </c>
      <c r="D36" s="11">
        <v>10</v>
      </c>
    </row>
    <row r="37" spans="1:4" x14ac:dyDescent="0.25">
      <c r="B37" s="11" t="s">
        <v>563</v>
      </c>
      <c r="C37" s="11" t="s">
        <v>649</v>
      </c>
      <c r="D37" s="11">
        <v>12</v>
      </c>
    </row>
    <row r="38" spans="1:4" x14ac:dyDescent="0.25">
      <c r="B38" s="11" t="s">
        <v>564</v>
      </c>
      <c r="C38" s="11" t="s">
        <v>650</v>
      </c>
      <c r="D38" s="11">
        <v>14</v>
      </c>
    </row>
    <row r="39" spans="1:4" x14ac:dyDescent="0.25">
      <c r="B39" s="11" t="s">
        <v>565</v>
      </c>
      <c r="C39" s="11" t="s">
        <v>651</v>
      </c>
      <c r="D39" s="11">
        <v>16</v>
      </c>
    </row>
    <row r="40" spans="1:4" x14ac:dyDescent="0.25">
      <c r="B40" s="11" t="s">
        <v>566</v>
      </c>
      <c r="C40" s="11" t="s">
        <v>652</v>
      </c>
      <c r="D40" s="11">
        <v>18</v>
      </c>
    </row>
    <row r="41" spans="1:4" x14ac:dyDescent="0.25">
      <c r="A41" s="11" t="s">
        <v>722</v>
      </c>
    </row>
    <row r="42" spans="1:4" x14ac:dyDescent="0.25">
      <c r="B42" s="11" t="s">
        <v>458</v>
      </c>
      <c r="D42" s="11">
        <v>2</v>
      </c>
    </row>
    <row r="43" spans="1:4" x14ac:dyDescent="0.25">
      <c r="B43" s="11" t="s">
        <v>109</v>
      </c>
      <c r="D43" s="11">
        <v>3</v>
      </c>
    </row>
    <row r="44" spans="1:4" x14ac:dyDescent="0.25">
      <c r="B44" s="11" t="s">
        <v>110</v>
      </c>
      <c r="D44" s="11">
        <v>4</v>
      </c>
    </row>
    <row r="45" spans="1:4" x14ac:dyDescent="0.25">
      <c r="B45" s="11" t="s">
        <v>111</v>
      </c>
      <c r="D45" s="11">
        <v>5</v>
      </c>
    </row>
    <row r="46" spans="1:4" x14ac:dyDescent="0.25">
      <c r="B46" s="11" t="s">
        <v>459</v>
      </c>
      <c r="D46" s="11">
        <v>6</v>
      </c>
    </row>
    <row r="47" spans="1:4" x14ac:dyDescent="0.25">
      <c r="B47" s="11" t="s">
        <v>561</v>
      </c>
      <c r="D47" s="11">
        <v>7</v>
      </c>
    </row>
    <row r="48" spans="1:4" x14ac:dyDescent="0.25">
      <c r="B48" s="11" t="s">
        <v>562</v>
      </c>
      <c r="D48" s="11">
        <v>8</v>
      </c>
    </row>
    <row r="49" spans="2:4" x14ac:dyDescent="0.25">
      <c r="B49" s="11" t="s">
        <v>563</v>
      </c>
      <c r="D49" s="11">
        <v>9</v>
      </c>
    </row>
    <row r="50" spans="2:4" x14ac:dyDescent="0.25">
      <c r="B50" s="11" t="s">
        <v>564</v>
      </c>
      <c r="D50" s="11">
        <v>10</v>
      </c>
    </row>
    <row r="51" spans="2:4" x14ac:dyDescent="0.25">
      <c r="B51" s="11" t="s">
        <v>565</v>
      </c>
      <c r="D51" s="11">
        <v>11</v>
      </c>
    </row>
    <row r="52" spans="2:4" x14ac:dyDescent="0.25">
      <c r="B52" s="11" t="s">
        <v>566</v>
      </c>
      <c r="D52" s="11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CharacterGrade</vt:lpstr>
      <vt:lpstr>CharacterDisassemble</vt:lpstr>
      <vt:lpstr>CharacterLevelUp</vt:lpstr>
      <vt:lpstr>CharacterTalk</vt:lpstr>
      <vt:lpstr>CharacterClass</vt:lpstr>
      <vt:lpstr>CharacterPromote</vt:lpstr>
      <vt:lpstr>CharacterBaseGrade</vt:lpstr>
      <vt:lpstr>CharacterAttribute</vt:lpstr>
      <vt:lpstr>CharacterSpecialization</vt:lpstr>
      <vt:lpstr>CharacterRecall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고영도</cp:lastModifiedBy>
  <dcterms:created xsi:type="dcterms:W3CDTF">2020-12-22T17:36:25Z</dcterms:created>
  <dcterms:modified xsi:type="dcterms:W3CDTF">2024-05-30T08:25:48Z</dcterms:modified>
</cp:coreProperties>
</file>