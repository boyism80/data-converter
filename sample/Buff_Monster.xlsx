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3E89E9FC-8E7E-40AC-907C-57AC770695CB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Buff.Monster" sheetId="1" r:id="rId1"/>
    <sheet name="BuffEffect.Monster" sheetId="2" r:id="rId2"/>
    <sheet name="Buff.Contents" sheetId="3" r:id="rId3"/>
    <sheet name="BuffEffect.Contests" sheetId="4" r:id="rId4"/>
    <sheet name="Buff.Mimic" sheetId="5" r:id="rId5"/>
    <sheet name="BuffEffect.Mimic" sheetId="6" r:id="rId6"/>
  </sheets>
  <externalReferences>
    <externalReference r:id="rId7"/>
  </externalReferences>
  <calcPr calcId="181029"/>
</workbook>
</file>

<file path=xl/calcChain.xml><?xml version="1.0" encoding="utf-8"?>
<calcChain xmlns="http://schemas.openxmlformats.org/spreadsheetml/2006/main">
  <c r="N578" i="4" l="1"/>
  <c r="N577" i="4"/>
  <c r="N576" i="4"/>
  <c r="N575" i="4"/>
  <c r="N574" i="4"/>
  <c r="N573" i="4"/>
  <c r="N572" i="4"/>
  <c r="N571" i="4"/>
  <c r="N570" i="4"/>
  <c r="G467" i="3"/>
  <c r="N537" i="4"/>
  <c r="N536" i="4"/>
  <c r="N535" i="4"/>
  <c r="N534" i="4"/>
  <c r="N533" i="4"/>
  <c r="N532" i="4"/>
  <c r="N531" i="4"/>
  <c r="N530" i="4"/>
  <c r="N529" i="4"/>
  <c r="N528" i="4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N139" i="6" l="1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P110" i="5"/>
  <c r="O110" i="5"/>
  <c r="N110" i="5"/>
  <c r="P109" i="5"/>
  <c r="O109" i="5"/>
  <c r="N109" i="5"/>
  <c r="P108" i="5"/>
  <c r="O108" i="5"/>
  <c r="N108" i="5"/>
  <c r="P107" i="5"/>
  <c r="O107" i="5"/>
  <c r="N107" i="5"/>
  <c r="P106" i="5"/>
  <c r="O106" i="5"/>
  <c r="N106" i="5"/>
  <c r="P105" i="5"/>
  <c r="O105" i="5"/>
  <c r="N105" i="5"/>
  <c r="P104" i="5"/>
  <c r="O104" i="5"/>
  <c r="N104" i="5"/>
  <c r="P103" i="5"/>
  <c r="O103" i="5"/>
  <c r="N103" i="5"/>
  <c r="P102" i="5"/>
  <c r="O102" i="5"/>
  <c r="N102" i="5"/>
  <c r="P101" i="5"/>
  <c r="O101" i="5"/>
  <c r="N101" i="5"/>
  <c r="P100" i="5"/>
  <c r="O100" i="5"/>
  <c r="N100" i="5"/>
  <c r="P99" i="5"/>
  <c r="O99" i="5"/>
  <c r="N99" i="5"/>
  <c r="P98" i="5"/>
  <c r="O98" i="5"/>
  <c r="N98" i="5"/>
  <c r="P97" i="5"/>
  <c r="O97" i="5"/>
  <c r="N97" i="5"/>
  <c r="P96" i="5"/>
  <c r="O96" i="5"/>
  <c r="N96" i="5"/>
  <c r="P95" i="5"/>
  <c r="O95" i="5"/>
  <c r="N95" i="5"/>
  <c r="P94" i="5"/>
  <c r="O94" i="5"/>
  <c r="N94" i="5"/>
  <c r="P93" i="5"/>
  <c r="O93" i="5"/>
  <c r="N93" i="5"/>
  <c r="P92" i="5"/>
  <c r="O92" i="5"/>
  <c r="N92" i="5"/>
  <c r="P91" i="5"/>
  <c r="O91" i="5"/>
  <c r="N91" i="5"/>
  <c r="P90" i="5"/>
  <c r="O90" i="5"/>
  <c r="N90" i="5"/>
  <c r="P89" i="5"/>
  <c r="O89" i="5"/>
  <c r="N89" i="5"/>
  <c r="P88" i="5"/>
  <c r="O88" i="5"/>
  <c r="N88" i="5"/>
  <c r="P87" i="5"/>
  <c r="O87" i="5"/>
  <c r="N87" i="5"/>
  <c r="P86" i="5"/>
  <c r="O86" i="5"/>
  <c r="N86" i="5"/>
  <c r="P85" i="5"/>
  <c r="O85" i="5"/>
  <c r="N85" i="5"/>
  <c r="P84" i="5"/>
  <c r="O84" i="5"/>
  <c r="N84" i="5"/>
  <c r="P83" i="5"/>
  <c r="O83" i="5"/>
  <c r="N83" i="5"/>
  <c r="P82" i="5"/>
  <c r="O82" i="5"/>
  <c r="N82" i="5"/>
  <c r="P81" i="5"/>
  <c r="O81" i="5"/>
  <c r="N81" i="5"/>
  <c r="P80" i="5"/>
  <c r="O80" i="5"/>
  <c r="N80" i="5"/>
  <c r="P79" i="5"/>
  <c r="O79" i="5"/>
  <c r="N79" i="5"/>
  <c r="P78" i="5"/>
  <c r="O78" i="5"/>
  <c r="N78" i="5"/>
  <c r="P77" i="5"/>
  <c r="O77" i="5"/>
  <c r="N77" i="5"/>
  <c r="P76" i="5"/>
  <c r="O76" i="5"/>
  <c r="N76" i="5"/>
  <c r="P75" i="5"/>
  <c r="O75" i="5"/>
  <c r="N75" i="5"/>
  <c r="P74" i="5"/>
  <c r="O74" i="5"/>
  <c r="N74" i="5"/>
  <c r="P73" i="5"/>
  <c r="O73" i="5"/>
  <c r="N73" i="5"/>
  <c r="P72" i="5"/>
  <c r="O72" i="5"/>
  <c r="N72" i="5"/>
  <c r="P71" i="5"/>
  <c r="O71" i="5"/>
  <c r="N71" i="5"/>
  <c r="P70" i="5"/>
  <c r="O70" i="5"/>
  <c r="N70" i="5"/>
  <c r="P69" i="5"/>
  <c r="O69" i="5"/>
  <c r="N69" i="5"/>
  <c r="P68" i="5"/>
  <c r="O68" i="5"/>
  <c r="N68" i="5"/>
  <c r="P67" i="5"/>
  <c r="O67" i="5"/>
  <c r="N67" i="5"/>
  <c r="P66" i="5"/>
  <c r="O66" i="5"/>
  <c r="N66" i="5"/>
  <c r="P65" i="5"/>
  <c r="O65" i="5"/>
  <c r="N65" i="5"/>
  <c r="P64" i="5"/>
  <c r="O64" i="5"/>
  <c r="N64" i="5"/>
  <c r="P63" i="5"/>
  <c r="O63" i="5"/>
  <c r="N63" i="5"/>
  <c r="P62" i="5"/>
  <c r="O62" i="5"/>
  <c r="N62" i="5"/>
  <c r="P61" i="5"/>
  <c r="O61" i="5"/>
  <c r="N61" i="5"/>
  <c r="P60" i="5"/>
  <c r="O60" i="5"/>
  <c r="N60" i="5"/>
  <c r="P59" i="5"/>
  <c r="O59" i="5"/>
  <c r="N59" i="5"/>
  <c r="P58" i="5"/>
  <c r="O58" i="5"/>
  <c r="N58" i="5"/>
  <c r="P57" i="5"/>
  <c r="O57" i="5"/>
  <c r="N57" i="5"/>
  <c r="N358" i="6" l="1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P464" i="5"/>
  <c r="O464" i="5"/>
  <c r="N464" i="5"/>
  <c r="P463" i="5"/>
  <c r="O463" i="5"/>
  <c r="N463" i="5"/>
  <c r="P462" i="5"/>
  <c r="O462" i="5"/>
  <c r="N462" i="5"/>
  <c r="P461" i="5"/>
  <c r="O461" i="5"/>
  <c r="N461" i="5"/>
  <c r="P460" i="5"/>
  <c r="O460" i="5"/>
  <c r="N460" i="5"/>
  <c r="P459" i="5"/>
  <c r="O459" i="5"/>
  <c r="N459" i="5"/>
  <c r="P458" i="5"/>
  <c r="O458" i="5"/>
  <c r="N458" i="5"/>
  <c r="P457" i="5"/>
  <c r="O457" i="5"/>
  <c r="N457" i="5"/>
  <c r="P456" i="5"/>
  <c r="O456" i="5"/>
  <c r="N456" i="5"/>
  <c r="P455" i="5"/>
  <c r="O455" i="5"/>
  <c r="N455" i="5"/>
  <c r="P454" i="5"/>
  <c r="O454" i="5"/>
  <c r="N454" i="5"/>
  <c r="P453" i="5"/>
  <c r="O453" i="5"/>
  <c r="N453" i="5"/>
  <c r="P452" i="5"/>
  <c r="O452" i="5"/>
  <c r="N452" i="5"/>
  <c r="P451" i="5"/>
  <c r="O451" i="5"/>
  <c r="N451" i="5"/>
  <c r="P450" i="5"/>
  <c r="O450" i="5"/>
  <c r="N450" i="5"/>
  <c r="P449" i="5"/>
  <c r="O449" i="5"/>
  <c r="N449" i="5"/>
  <c r="P448" i="5"/>
  <c r="O448" i="5"/>
  <c r="N448" i="5"/>
  <c r="P447" i="5"/>
  <c r="O447" i="5"/>
  <c r="N447" i="5"/>
  <c r="P446" i="5"/>
  <c r="O446" i="5"/>
  <c r="N446" i="5"/>
  <c r="P445" i="5"/>
  <c r="O445" i="5"/>
  <c r="N445" i="5"/>
  <c r="P444" i="5"/>
  <c r="O444" i="5"/>
  <c r="N444" i="5"/>
  <c r="P443" i="5"/>
  <c r="O443" i="5"/>
  <c r="N443" i="5"/>
  <c r="P442" i="5"/>
  <c r="O442" i="5"/>
  <c r="N442" i="5"/>
  <c r="P441" i="5"/>
  <c r="O441" i="5"/>
  <c r="N441" i="5"/>
  <c r="P440" i="5"/>
  <c r="O440" i="5"/>
  <c r="N440" i="5"/>
  <c r="P439" i="5"/>
  <c r="O439" i="5"/>
  <c r="N439" i="5"/>
  <c r="P438" i="5"/>
  <c r="O438" i="5"/>
  <c r="N438" i="5"/>
  <c r="P437" i="5"/>
  <c r="O437" i="5"/>
  <c r="N437" i="5"/>
  <c r="P436" i="5"/>
  <c r="O436" i="5"/>
  <c r="N436" i="5"/>
  <c r="P435" i="5"/>
  <c r="O435" i="5"/>
  <c r="N435" i="5"/>
  <c r="P434" i="5"/>
  <c r="O434" i="5"/>
  <c r="N434" i="5"/>
  <c r="P433" i="5"/>
  <c r="O433" i="5"/>
  <c r="N433" i="5"/>
  <c r="P432" i="5"/>
  <c r="O432" i="5"/>
  <c r="N432" i="5"/>
  <c r="P431" i="5"/>
  <c r="O431" i="5"/>
  <c r="N431" i="5"/>
  <c r="P430" i="5"/>
  <c r="O430" i="5"/>
  <c r="N430" i="5"/>
  <c r="P429" i="5"/>
  <c r="O429" i="5"/>
  <c r="N429" i="5"/>
  <c r="P428" i="5"/>
  <c r="O428" i="5"/>
  <c r="N428" i="5"/>
  <c r="P427" i="5"/>
  <c r="O427" i="5"/>
  <c r="N427" i="5"/>
  <c r="P426" i="5"/>
  <c r="O426" i="5"/>
  <c r="N426" i="5"/>
  <c r="P425" i="5"/>
  <c r="O425" i="5"/>
  <c r="N425" i="5"/>
  <c r="P424" i="5"/>
  <c r="O424" i="5"/>
  <c r="N424" i="5"/>
  <c r="P423" i="5"/>
  <c r="O423" i="5"/>
  <c r="N423" i="5"/>
  <c r="P422" i="5"/>
  <c r="O422" i="5"/>
  <c r="N422" i="5"/>
  <c r="P421" i="5"/>
  <c r="O421" i="5"/>
  <c r="N421" i="5"/>
  <c r="P420" i="5"/>
  <c r="O420" i="5"/>
  <c r="N420" i="5"/>
  <c r="P419" i="5"/>
  <c r="O419" i="5"/>
  <c r="N419" i="5"/>
  <c r="P418" i="5"/>
  <c r="O418" i="5"/>
  <c r="N418" i="5"/>
  <c r="P417" i="5"/>
  <c r="O417" i="5"/>
  <c r="N417" i="5"/>
  <c r="P416" i="5"/>
  <c r="O416" i="5"/>
  <c r="N416" i="5"/>
  <c r="P415" i="5"/>
  <c r="O415" i="5"/>
  <c r="N415" i="5"/>
  <c r="P414" i="5"/>
  <c r="O414" i="5"/>
  <c r="N414" i="5"/>
  <c r="P413" i="5"/>
  <c r="O413" i="5"/>
  <c r="N413" i="5"/>
  <c r="P412" i="5"/>
  <c r="O412" i="5"/>
  <c r="N412" i="5"/>
  <c r="P411" i="5"/>
  <c r="O411" i="5"/>
  <c r="N411" i="5"/>
  <c r="P410" i="5"/>
  <c r="O410" i="5"/>
  <c r="N410" i="5"/>
  <c r="P409" i="5"/>
  <c r="O409" i="5"/>
  <c r="N409" i="5"/>
  <c r="P408" i="5"/>
  <c r="O408" i="5"/>
  <c r="N408" i="5"/>
  <c r="N360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P340" i="5"/>
  <c r="O340" i="5"/>
  <c r="N340" i="5"/>
  <c r="P339" i="5"/>
  <c r="O339" i="5"/>
  <c r="N339" i="5"/>
  <c r="P338" i="5"/>
  <c r="O338" i="5"/>
  <c r="N338" i="5"/>
  <c r="P337" i="5"/>
  <c r="O337" i="5"/>
  <c r="N337" i="5"/>
  <c r="P336" i="5"/>
  <c r="O336" i="5"/>
  <c r="N336" i="5"/>
  <c r="P335" i="5"/>
  <c r="O335" i="5"/>
  <c r="N335" i="5"/>
  <c r="P334" i="5"/>
  <c r="O334" i="5"/>
  <c r="N334" i="5"/>
  <c r="P333" i="5"/>
  <c r="O333" i="5"/>
  <c r="N333" i="5"/>
  <c r="P332" i="5"/>
  <c r="O332" i="5"/>
  <c r="N332" i="5"/>
  <c r="P331" i="5"/>
  <c r="O331" i="5"/>
  <c r="N331" i="5"/>
  <c r="P330" i="5"/>
  <c r="O330" i="5"/>
  <c r="N330" i="5"/>
  <c r="P329" i="5"/>
  <c r="O329" i="5"/>
  <c r="N329" i="5"/>
  <c r="P328" i="5"/>
  <c r="O328" i="5"/>
  <c r="N328" i="5"/>
  <c r="P327" i="5"/>
  <c r="O327" i="5"/>
  <c r="N327" i="5"/>
  <c r="P326" i="5"/>
  <c r="O326" i="5"/>
  <c r="N326" i="5"/>
  <c r="P325" i="5"/>
  <c r="O325" i="5"/>
  <c r="N325" i="5"/>
  <c r="P324" i="5"/>
  <c r="O324" i="5"/>
  <c r="N324" i="5"/>
  <c r="P323" i="5"/>
  <c r="O323" i="5"/>
  <c r="N323" i="5"/>
  <c r="P322" i="5"/>
  <c r="O322" i="5"/>
  <c r="N322" i="5"/>
  <c r="P321" i="5"/>
  <c r="O321" i="5"/>
  <c r="N321" i="5"/>
  <c r="P320" i="5"/>
  <c r="O320" i="5"/>
  <c r="N320" i="5"/>
  <c r="P319" i="5"/>
  <c r="O319" i="5"/>
  <c r="N319" i="5"/>
  <c r="P318" i="5"/>
  <c r="O318" i="5"/>
  <c r="N318" i="5"/>
  <c r="P317" i="5"/>
  <c r="O317" i="5"/>
  <c r="N317" i="5"/>
  <c r="P316" i="5"/>
  <c r="O316" i="5"/>
  <c r="N316" i="5"/>
  <c r="P315" i="5"/>
  <c r="O315" i="5"/>
  <c r="N315" i="5"/>
  <c r="P314" i="5"/>
  <c r="O314" i="5"/>
  <c r="N314" i="5"/>
  <c r="P313" i="5"/>
  <c r="O313" i="5"/>
  <c r="N313" i="5"/>
  <c r="P312" i="5"/>
  <c r="O312" i="5"/>
  <c r="N312" i="5"/>
  <c r="P311" i="5"/>
  <c r="O311" i="5"/>
  <c r="N311" i="5"/>
  <c r="P310" i="5"/>
  <c r="O310" i="5"/>
  <c r="N310" i="5"/>
  <c r="P309" i="5"/>
  <c r="O309" i="5"/>
  <c r="N309" i="5"/>
  <c r="P308" i="5"/>
  <c r="O308" i="5"/>
  <c r="N308" i="5"/>
  <c r="P307" i="5"/>
  <c r="O307" i="5"/>
  <c r="N307" i="5"/>
  <c r="P306" i="5"/>
  <c r="O306" i="5"/>
  <c r="N306" i="5"/>
  <c r="P305" i="5"/>
  <c r="O305" i="5"/>
  <c r="N305" i="5"/>
  <c r="P304" i="5"/>
  <c r="O304" i="5"/>
  <c r="N304" i="5"/>
  <c r="P303" i="5"/>
  <c r="O303" i="5"/>
  <c r="N303" i="5"/>
  <c r="P302" i="5"/>
  <c r="O302" i="5"/>
  <c r="N302" i="5"/>
  <c r="P301" i="5"/>
  <c r="O301" i="5"/>
  <c r="N301" i="5"/>
  <c r="P300" i="5"/>
  <c r="O300" i="5"/>
  <c r="N300" i="5"/>
  <c r="P299" i="5"/>
  <c r="O299" i="5"/>
  <c r="N299" i="5"/>
  <c r="P298" i="5"/>
  <c r="O298" i="5"/>
  <c r="N298" i="5"/>
  <c r="P297" i="5"/>
  <c r="O297" i="5"/>
  <c r="N297" i="5"/>
  <c r="P296" i="5"/>
  <c r="O296" i="5"/>
  <c r="N296" i="5"/>
  <c r="P295" i="5"/>
  <c r="O295" i="5"/>
  <c r="N295" i="5"/>
  <c r="P294" i="5"/>
  <c r="O294" i="5"/>
  <c r="N294" i="5"/>
  <c r="P293" i="5"/>
  <c r="O293" i="5"/>
  <c r="N293" i="5"/>
  <c r="P292" i="5"/>
  <c r="O292" i="5"/>
  <c r="N292" i="5"/>
  <c r="P291" i="5"/>
  <c r="O291" i="5"/>
  <c r="N291" i="5"/>
  <c r="P290" i="5"/>
  <c r="O290" i="5"/>
  <c r="N290" i="5"/>
  <c r="P289" i="5"/>
  <c r="O289" i="5"/>
  <c r="N289" i="5"/>
  <c r="P288" i="5"/>
  <c r="O288" i="5"/>
  <c r="N288" i="5"/>
  <c r="P287" i="5"/>
  <c r="O287" i="5"/>
  <c r="N287" i="5"/>
  <c r="P286" i="5"/>
  <c r="O286" i="5"/>
  <c r="N286" i="5"/>
  <c r="P285" i="5"/>
  <c r="O285" i="5"/>
  <c r="N285" i="5"/>
  <c r="P284" i="5"/>
  <c r="O284" i="5"/>
  <c r="N284" i="5"/>
  <c r="P283" i="5"/>
  <c r="O283" i="5"/>
  <c r="N283" i="5"/>
  <c r="P282" i="5"/>
  <c r="O282" i="5"/>
  <c r="N282" i="5"/>
  <c r="P281" i="5"/>
  <c r="O281" i="5"/>
  <c r="N281" i="5"/>
  <c r="P280" i="5"/>
  <c r="O280" i="5"/>
  <c r="N280" i="5"/>
  <c r="P279" i="5"/>
  <c r="O279" i="5"/>
  <c r="N279" i="5"/>
  <c r="P278" i="5"/>
  <c r="O278" i="5"/>
  <c r="N278" i="5"/>
  <c r="P277" i="5"/>
  <c r="O277" i="5"/>
  <c r="N277" i="5"/>
  <c r="P276" i="5"/>
  <c r="O276" i="5"/>
  <c r="N276" i="5"/>
  <c r="P275" i="5"/>
  <c r="O275" i="5"/>
  <c r="N275" i="5"/>
  <c r="P274" i="5"/>
  <c r="O274" i="5"/>
  <c r="N274" i="5"/>
  <c r="P273" i="5"/>
  <c r="O273" i="5"/>
  <c r="N273" i="5"/>
  <c r="P272" i="5"/>
  <c r="O272" i="5"/>
  <c r="N272" i="5"/>
  <c r="P271" i="5"/>
  <c r="O271" i="5"/>
  <c r="N271" i="5"/>
  <c r="P270" i="5"/>
  <c r="O270" i="5"/>
  <c r="N270" i="5"/>
  <c r="P269" i="5"/>
  <c r="O269" i="5"/>
  <c r="N269" i="5"/>
  <c r="P268" i="5"/>
  <c r="O268" i="5"/>
  <c r="N268" i="5"/>
  <c r="P267" i="5"/>
  <c r="O267" i="5"/>
  <c r="N267" i="5"/>
  <c r="P266" i="5"/>
  <c r="O266" i="5"/>
  <c r="N266" i="5"/>
  <c r="P265" i="5"/>
  <c r="O265" i="5"/>
  <c r="N265" i="5"/>
  <c r="P264" i="5"/>
  <c r="O264" i="5"/>
  <c r="N264" i="5"/>
  <c r="P263" i="5"/>
  <c r="O263" i="5"/>
  <c r="N263" i="5"/>
  <c r="P262" i="5"/>
  <c r="O262" i="5"/>
  <c r="N262" i="5"/>
  <c r="P261" i="5"/>
  <c r="O261" i="5"/>
  <c r="N261" i="5"/>
  <c r="P260" i="5"/>
  <c r="O260" i="5"/>
  <c r="N260" i="5"/>
  <c r="P259" i="5"/>
  <c r="O259" i="5"/>
  <c r="N259" i="5"/>
  <c r="P258" i="5"/>
  <c r="O258" i="5"/>
  <c r="N258" i="5"/>
  <c r="P257" i="5"/>
  <c r="O257" i="5"/>
  <c r="N257" i="5"/>
  <c r="P256" i="5"/>
  <c r="O256" i="5"/>
  <c r="N256" i="5"/>
  <c r="P255" i="5"/>
  <c r="O255" i="5"/>
  <c r="N255" i="5"/>
  <c r="P254" i="5"/>
  <c r="O254" i="5"/>
  <c r="N254" i="5"/>
  <c r="P156" i="5"/>
  <c r="O156" i="5"/>
  <c r="N156" i="5"/>
  <c r="P155" i="5"/>
  <c r="O155" i="5"/>
  <c r="N155" i="5"/>
  <c r="P154" i="5"/>
  <c r="O154" i="5"/>
  <c r="N154" i="5"/>
  <c r="P153" i="5"/>
  <c r="O153" i="5"/>
  <c r="N153" i="5"/>
  <c r="P152" i="5"/>
  <c r="O152" i="5"/>
  <c r="N152" i="5"/>
  <c r="P151" i="5"/>
  <c r="O151" i="5"/>
  <c r="N151" i="5"/>
  <c r="P150" i="5"/>
  <c r="O150" i="5"/>
  <c r="N150" i="5"/>
  <c r="P149" i="5"/>
  <c r="O149" i="5"/>
  <c r="N149" i="5"/>
  <c r="P148" i="5"/>
  <c r="O148" i="5"/>
  <c r="N148" i="5"/>
  <c r="P147" i="5"/>
  <c r="O147" i="5"/>
  <c r="N147" i="5"/>
  <c r="P146" i="5"/>
  <c r="O146" i="5"/>
  <c r="N146" i="5"/>
  <c r="P145" i="5"/>
  <c r="O145" i="5"/>
  <c r="N145" i="5"/>
  <c r="P144" i="5"/>
  <c r="O144" i="5"/>
  <c r="N144" i="5"/>
  <c r="P143" i="5"/>
  <c r="O143" i="5"/>
  <c r="N143" i="5"/>
  <c r="P142" i="5"/>
  <c r="O142" i="5"/>
  <c r="N142" i="5"/>
  <c r="P141" i="5"/>
  <c r="O141" i="5"/>
  <c r="N141" i="5"/>
  <c r="P140" i="5"/>
  <c r="O140" i="5"/>
  <c r="N140" i="5"/>
  <c r="P139" i="5"/>
  <c r="O139" i="5"/>
  <c r="N139" i="5"/>
  <c r="P138" i="5"/>
  <c r="O138" i="5"/>
  <c r="N138" i="5"/>
  <c r="P137" i="5"/>
  <c r="O137" i="5"/>
  <c r="N137" i="5"/>
  <c r="P136" i="5"/>
  <c r="O136" i="5"/>
  <c r="N136" i="5"/>
  <c r="P135" i="5"/>
  <c r="O135" i="5"/>
  <c r="N135" i="5"/>
  <c r="P134" i="5"/>
  <c r="O134" i="5"/>
  <c r="N134" i="5"/>
  <c r="P133" i="5"/>
  <c r="O133" i="5"/>
  <c r="N133" i="5"/>
  <c r="P132" i="5"/>
  <c r="O132" i="5"/>
  <c r="N132" i="5"/>
  <c r="P131" i="5"/>
  <c r="O131" i="5"/>
  <c r="N131" i="5"/>
  <c r="P130" i="5"/>
  <c r="O130" i="5"/>
  <c r="N130" i="5"/>
  <c r="P129" i="5"/>
  <c r="O129" i="5"/>
  <c r="N129" i="5"/>
  <c r="P128" i="5"/>
  <c r="O128" i="5"/>
  <c r="N128" i="5"/>
  <c r="P127" i="5"/>
  <c r="O127" i="5"/>
  <c r="N127" i="5"/>
  <c r="P126" i="5"/>
  <c r="O126" i="5"/>
  <c r="N126" i="5"/>
  <c r="P125" i="5"/>
  <c r="O125" i="5"/>
  <c r="N125" i="5"/>
  <c r="P124" i="5"/>
  <c r="O124" i="5"/>
  <c r="N124" i="5"/>
  <c r="P123" i="5"/>
  <c r="O123" i="5"/>
  <c r="N123" i="5"/>
  <c r="P122" i="5"/>
  <c r="O122" i="5"/>
  <c r="N122" i="5"/>
  <c r="P121" i="5"/>
  <c r="O121" i="5"/>
  <c r="N121" i="5"/>
  <c r="P120" i="5"/>
  <c r="O120" i="5"/>
  <c r="N120" i="5"/>
  <c r="P119" i="5"/>
  <c r="O119" i="5"/>
  <c r="N119" i="5"/>
  <c r="P118" i="5"/>
  <c r="O118" i="5"/>
  <c r="N118" i="5"/>
  <c r="P117" i="5"/>
  <c r="O117" i="5"/>
  <c r="N117" i="5"/>
  <c r="P116" i="5"/>
  <c r="O116" i="5"/>
  <c r="N116" i="5"/>
  <c r="P115" i="5"/>
  <c r="O115" i="5"/>
  <c r="N115" i="5"/>
  <c r="P114" i="5"/>
  <c r="O114" i="5"/>
  <c r="N114" i="5"/>
  <c r="P113" i="5"/>
  <c r="O113" i="5"/>
  <c r="N113" i="5"/>
  <c r="P112" i="5"/>
  <c r="O112" i="5"/>
  <c r="N112" i="5"/>
  <c r="P111" i="5"/>
  <c r="O111" i="5"/>
  <c r="N111" i="5"/>
  <c r="N472" i="4" l="1"/>
  <c r="N471" i="4"/>
  <c r="N470" i="4"/>
  <c r="G371" i="3"/>
  <c r="N307" i="6" l="1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P372" i="5"/>
  <c r="O372" i="5"/>
  <c r="N372" i="5"/>
  <c r="P371" i="5"/>
  <c r="O371" i="5"/>
  <c r="N371" i="5"/>
  <c r="P370" i="5"/>
  <c r="O370" i="5"/>
  <c r="N370" i="5"/>
  <c r="P369" i="5"/>
  <c r="O369" i="5"/>
  <c r="N369" i="5"/>
  <c r="P368" i="5"/>
  <c r="O368" i="5"/>
  <c r="N368" i="5"/>
  <c r="P367" i="5"/>
  <c r="O367" i="5"/>
  <c r="N367" i="5"/>
  <c r="P366" i="5"/>
  <c r="O366" i="5"/>
  <c r="N366" i="5"/>
  <c r="P365" i="5"/>
  <c r="O365" i="5"/>
  <c r="N365" i="5"/>
  <c r="P364" i="5"/>
  <c r="O364" i="5"/>
  <c r="N364" i="5"/>
  <c r="P363" i="5"/>
  <c r="O363" i="5"/>
  <c r="N363" i="5"/>
  <c r="P362" i="5"/>
  <c r="O362" i="5"/>
  <c r="N362" i="5"/>
  <c r="P361" i="5"/>
  <c r="O361" i="5"/>
  <c r="N361" i="5"/>
  <c r="P360" i="5"/>
  <c r="O360" i="5"/>
  <c r="N360" i="5"/>
  <c r="P359" i="5"/>
  <c r="O359" i="5"/>
  <c r="N359" i="5"/>
  <c r="P358" i="5"/>
  <c r="O358" i="5"/>
  <c r="N358" i="5"/>
  <c r="P350" i="5"/>
  <c r="O350" i="5"/>
  <c r="N350" i="5"/>
  <c r="P349" i="5"/>
  <c r="O349" i="5"/>
  <c r="N349" i="5"/>
  <c r="P348" i="5"/>
  <c r="O348" i="5"/>
  <c r="N348" i="5"/>
  <c r="P347" i="5"/>
  <c r="O347" i="5"/>
  <c r="N347" i="5"/>
  <c r="P346" i="5"/>
  <c r="O346" i="5"/>
  <c r="N346" i="5"/>
  <c r="P345" i="5"/>
  <c r="O345" i="5"/>
  <c r="N345" i="5"/>
  <c r="P344" i="5"/>
  <c r="O344" i="5"/>
  <c r="N344" i="5"/>
  <c r="P343" i="5"/>
  <c r="O343" i="5"/>
  <c r="N343" i="5"/>
  <c r="P342" i="5"/>
  <c r="O342" i="5"/>
  <c r="N342" i="5"/>
  <c r="N223" i="4" l="1"/>
  <c r="K234" i="4" l="1"/>
  <c r="N234" i="4" s="1"/>
  <c r="K233" i="4"/>
  <c r="N233" i="4" s="1"/>
  <c r="K240" i="4"/>
  <c r="N240" i="4" s="1"/>
  <c r="K238" i="4"/>
  <c r="N238" i="4" s="1"/>
  <c r="K237" i="4"/>
  <c r="N237" i="4" s="1"/>
  <c r="K236" i="4"/>
  <c r="N236" i="4" s="1"/>
  <c r="N241" i="4"/>
  <c r="K239" i="4"/>
  <c r="N239" i="4" s="1"/>
  <c r="N469" i="4" l="1"/>
  <c r="N468" i="4"/>
  <c r="N308" i="6" l="1"/>
  <c r="N309" i="6"/>
  <c r="N334" i="6" l="1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P407" i="5"/>
  <c r="O407" i="5"/>
  <c r="N407" i="5"/>
  <c r="P406" i="5"/>
  <c r="O406" i="5"/>
  <c r="N406" i="5"/>
  <c r="P405" i="5"/>
  <c r="O405" i="5"/>
  <c r="N405" i="5"/>
  <c r="P404" i="5"/>
  <c r="O404" i="5"/>
  <c r="N404" i="5"/>
  <c r="P403" i="5"/>
  <c r="O403" i="5"/>
  <c r="N403" i="5"/>
  <c r="P402" i="5"/>
  <c r="O402" i="5"/>
  <c r="N402" i="5"/>
  <c r="P401" i="5"/>
  <c r="O401" i="5"/>
  <c r="N401" i="5"/>
  <c r="P400" i="5"/>
  <c r="O400" i="5"/>
  <c r="N400" i="5"/>
  <c r="P399" i="5"/>
  <c r="O399" i="5"/>
  <c r="N399" i="5"/>
  <c r="P398" i="5"/>
  <c r="O398" i="5"/>
  <c r="N398" i="5"/>
  <c r="P397" i="5"/>
  <c r="O397" i="5"/>
  <c r="N397" i="5"/>
  <c r="P396" i="5"/>
  <c r="O396" i="5"/>
  <c r="N396" i="5"/>
  <c r="P395" i="5"/>
  <c r="O395" i="5"/>
  <c r="N395" i="5"/>
  <c r="P394" i="5"/>
  <c r="O394" i="5"/>
  <c r="N394" i="5"/>
  <c r="P393" i="5"/>
  <c r="O393" i="5"/>
  <c r="N393" i="5"/>
  <c r="P392" i="5"/>
  <c r="O392" i="5"/>
  <c r="N392" i="5"/>
  <c r="P391" i="5"/>
  <c r="O391" i="5"/>
  <c r="N391" i="5"/>
  <c r="P390" i="5"/>
  <c r="O390" i="5"/>
  <c r="N390" i="5"/>
  <c r="P389" i="5"/>
  <c r="O389" i="5"/>
  <c r="N389" i="5"/>
  <c r="P388" i="5"/>
  <c r="O388" i="5"/>
  <c r="N388" i="5"/>
  <c r="P387" i="5"/>
  <c r="O387" i="5"/>
  <c r="N387" i="5"/>
  <c r="P386" i="5"/>
  <c r="O386" i="5"/>
  <c r="N386" i="5"/>
  <c r="P385" i="5"/>
  <c r="O385" i="5"/>
  <c r="N385" i="5"/>
  <c r="P384" i="5"/>
  <c r="O384" i="5"/>
  <c r="N384" i="5"/>
  <c r="P383" i="5"/>
  <c r="O383" i="5"/>
  <c r="N383" i="5"/>
  <c r="P382" i="5"/>
  <c r="O382" i="5"/>
  <c r="N382" i="5"/>
  <c r="P381" i="5"/>
  <c r="O381" i="5"/>
  <c r="N381" i="5"/>
  <c r="P380" i="5"/>
  <c r="O380" i="5"/>
  <c r="N380" i="5"/>
  <c r="P379" i="5"/>
  <c r="O379" i="5"/>
  <c r="N379" i="5"/>
  <c r="P378" i="5"/>
  <c r="O378" i="5"/>
  <c r="N378" i="5"/>
  <c r="P377" i="5"/>
  <c r="O377" i="5"/>
  <c r="N377" i="5"/>
  <c r="P376" i="5"/>
  <c r="O376" i="5"/>
  <c r="N376" i="5"/>
  <c r="P375" i="5"/>
  <c r="O375" i="5"/>
  <c r="N375" i="5"/>
  <c r="P374" i="5"/>
  <c r="O374" i="5"/>
  <c r="N374" i="5"/>
  <c r="P373" i="5"/>
  <c r="O373" i="5"/>
  <c r="N373" i="5"/>
  <c r="P771" i="5"/>
  <c r="O771" i="5"/>
  <c r="N771" i="5"/>
  <c r="P770" i="5"/>
  <c r="O770" i="5"/>
  <c r="N770" i="5"/>
  <c r="P769" i="5"/>
  <c r="O769" i="5"/>
  <c r="N769" i="5"/>
  <c r="P768" i="5"/>
  <c r="O768" i="5"/>
  <c r="N768" i="5"/>
  <c r="P767" i="5"/>
  <c r="O767" i="5"/>
  <c r="N767" i="5"/>
  <c r="P766" i="5"/>
  <c r="O766" i="5"/>
  <c r="N766" i="5"/>
  <c r="P765" i="5"/>
  <c r="O765" i="5"/>
  <c r="N765" i="5"/>
  <c r="P764" i="5"/>
  <c r="O764" i="5"/>
  <c r="N764" i="5"/>
  <c r="P763" i="5"/>
  <c r="O763" i="5"/>
  <c r="N763" i="5"/>
  <c r="P762" i="5"/>
  <c r="O762" i="5"/>
  <c r="N762" i="5"/>
  <c r="P761" i="5"/>
  <c r="O761" i="5"/>
  <c r="N761" i="5"/>
  <c r="P760" i="5"/>
  <c r="O760" i="5"/>
  <c r="N760" i="5"/>
  <c r="P759" i="5"/>
  <c r="O759" i="5"/>
  <c r="N759" i="5"/>
  <c r="P758" i="5"/>
  <c r="O758" i="5"/>
  <c r="N758" i="5"/>
  <c r="P757" i="5"/>
  <c r="O757" i="5"/>
  <c r="N757" i="5"/>
  <c r="P756" i="5"/>
  <c r="O756" i="5"/>
  <c r="N756" i="5"/>
  <c r="P755" i="5"/>
  <c r="O755" i="5"/>
  <c r="N755" i="5"/>
  <c r="P754" i="5"/>
  <c r="O754" i="5"/>
  <c r="N754" i="5"/>
  <c r="P753" i="5"/>
  <c r="O753" i="5"/>
  <c r="N753" i="5"/>
  <c r="P752" i="5"/>
  <c r="O752" i="5"/>
  <c r="N752" i="5"/>
  <c r="P751" i="5"/>
  <c r="O751" i="5"/>
  <c r="N751" i="5"/>
  <c r="P750" i="5"/>
  <c r="O750" i="5"/>
  <c r="N750" i="5"/>
  <c r="P749" i="5"/>
  <c r="O749" i="5"/>
  <c r="N749" i="5"/>
  <c r="P748" i="5"/>
  <c r="O748" i="5"/>
  <c r="N748" i="5"/>
  <c r="P747" i="5"/>
  <c r="O747" i="5"/>
  <c r="N747" i="5"/>
  <c r="P746" i="5"/>
  <c r="O746" i="5"/>
  <c r="N746" i="5"/>
  <c r="P745" i="5"/>
  <c r="O745" i="5"/>
  <c r="N745" i="5"/>
  <c r="P744" i="5"/>
  <c r="O744" i="5"/>
  <c r="N744" i="5"/>
  <c r="P743" i="5"/>
  <c r="O743" i="5"/>
  <c r="N743" i="5"/>
  <c r="P742" i="5"/>
  <c r="O742" i="5"/>
  <c r="N742" i="5"/>
  <c r="P741" i="5"/>
  <c r="O741" i="5"/>
  <c r="N741" i="5"/>
  <c r="P740" i="5"/>
  <c r="O740" i="5"/>
  <c r="N740" i="5"/>
  <c r="P739" i="5"/>
  <c r="O739" i="5"/>
  <c r="N739" i="5"/>
  <c r="P738" i="5"/>
  <c r="O738" i="5"/>
  <c r="N738" i="5"/>
  <c r="P737" i="5"/>
  <c r="O737" i="5"/>
  <c r="N737" i="5"/>
  <c r="P736" i="5"/>
  <c r="O736" i="5"/>
  <c r="N736" i="5"/>
  <c r="P735" i="5"/>
  <c r="O735" i="5"/>
  <c r="N735" i="5"/>
  <c r="P734" i="5"/>
  <c r="O734" i="5"/>
  <c r="N734" i="5"/>
  <c r="P733" i="5"/>
  <c r="O733" i="5"/>
  <c r="N733" i="5"/>
  <c r="P732" i="5"/>
  <c r="O732" i="5"/>
  <c r="N732" i="5"/>
  <c r="P731" i="5"/>
  <c r="O731" i="5"/>
  <c r="N731" i="5"/>
  <c r="P730" i="5"/>
  <c r="O730" i="5"/>
  <c r="N730" i="5"/>
  <c r="P729" i="5"/>
  <c r="O729" i="5"/>
  <c r="N729" i="5"/>
  <c r="P728" i="5"/>
  <c r="O728" i="5"/>
  <c r="N728" i="5"/>
  <c r="P727" i="5"/>
  <c r="O727" i="5"/>
  <c r="N727" i="5"/>
  <c r="P726" i="5"/>
  <c r="O726" i="5"/>
  <c r="N726" i="5"/>
  <c r="P725" i="5"/>
  <c r="O725" i="5"/>
  <c r="N725" i="5"/>
  <c r="P724" i="5"/>
  <c r="O724" i="5"/>
  <c r="N724" i="5"/>
  <c r="P723" i="5"/>
  <c r="O723" i="5"/>
  <c r="N723" i="5"/>
  <c r="P722" i="5"/>
  <c r="O722" i="5"/>
  <c r="N722" i="5"/>
  <c r="P721" i="5"/>
  <c r="O721" i="5"/>
  <c r="N721" i="5"/>
  <c r="P720" i="5"/>
  <c r="O720" i="5"/>
  <c r="N720" i="5"/>
  <c r="P719" i="5"/>
  <c r="O719" i="5"/>
  <c r="N719" i="5"/>
  <c r="P718" i="5"/>
  <c r="O718" i="5"/>
  <c r="N718" i="5"/>
  <c r="P717" i="5"/>
  <c r="O717" i="5"/>
  <c r="N717" i="5"/>
  <c r="P716" i="5"/>
  <c r="O716" i="5"/>
  <c r="N716" i="5"/>
  <c r="P715" i="5"/>
  <c r="O715" i="5"/>
  <c r="N715" i="5"/>
  <c r="P714" i="5"/>
  <c r="O714" i="5"/>
  <c r="N714" i="5"/>
  <c r="P713" i="5"/>
  <c r="O713" i="5"/>
  <c r="N713" i="5"/>
  <c r="P712" i="5"/>
  <c r="O712" i="5"/>
  <c r="N712" i="5"/>
  <c r="P711" i="5"/>
  <c r="O711" i="5"/>
  <c r="N711" i="5"/>
  <c r="P710" i="5"/>
  <c r="O710" i="5"/>
  <c r="N710" i="5"/>
  <c r="P709" i="5"/>
  <c r="O709" i="5"/>
  <c r="N709" i="5"/>
  <c r="P708" i="5"/>
  <c r="O708" i="5"/>
  <c r="N708" i="5"/>
  <c r="P707" i="5"/>
  <c r="O707" i="5"/>
  <c r="N707" i="5"/>
  <c r="P706" i="5"/>
  <c r="O706" i="5"/>
  <c r="N706" i="5"/>
  <c r="P705" i="5"/>
  <c r="O705" i="5"/>
  <c r="N705" i="5"/>
  <c r="P704" i="5"/>
  <c r="O704" i="5"/>
  <c r="N704" i="5"/>
  <c r="P703" i="5"/>
  <c r="O703" i="5"/>
  <c r="N703" i="5"/>
  <c r="P702" i="5"/>
  <c r="O702" i="5"/>
  <c r="N702" i="5"/>
  <c r="P701" i="5"/>
  <c r="O701" i="5"/>
  <c r="N701" i="5"/>
  <c r="P700" i="5"/>
  <c r="O700" i="5"/>
  <c r="N700" i="5"/>
  <c r="P699" i="5"/>
  <c r="O699" i="5"/>
  <c r="N699" i="5"/>
  <c r="P698" i="5"/>
  <c r="O698" i="5"/>
  <c r="N698" i="5"/>
  <c r="P697" i="5"/>
  <c r="O697" i="5"/>
  <c r="N697" i="5"/>
  <c r="P696" i="5"/>
  <c r="O696" i="5"/>
  <c r="N696" i="5"/>
  <c r="P695" i="5"/>
  <c r="O695" i="5"/>
  <c r="N695" i="5"/>
  <c r="P694" i="5"/>
  <c r="O694" i="5"/>
  <c r="N694" i="5"/>
  <c r="P693" i="5"/>
  <c r="O693" i="5"/>
  <c r="N693" i="5"/>
  <c r="P692" i="5"/>
  <c r="O692" i="5"/>
  <c r="N692" i="5"/>
  <c r="P691" i="5"/>
  <c r="O691" i="5"/>
  <c r="N691" i="5"/>
  <c r="P690" i="5"/>
  <c r="O690" i="5"/>
  <c r="N690" i="5"/>
  <c r="P689" i="5"/>
  <c r="O689" i="5"/>
  <c r="N689" i="5"/>
  <c r="P688" i="5"/>
  <c r="O688" i="5"/>
  <c r="N688" i="5"/>
  <c r="P687" i="5"/>
  <c r="O687" i="5"/>
  <c r="N687" i="5"/>
  <c r="P686" i="5"/>
  <c r="O686" i="5"/>
  <c r="N686" i="5"/>
  <c r="P685" i="5"/>
  <c r="O685" i="5"/>
  <c r="N685" i="5"/>
  <c r="P684" i="5"/>
  <c r="O684" i="5"/>
  <c r="N684" i="5"/>
  <c r="P683" i="5"/>
  <c r="O683" i="5"/>
  <c r="N683" i="5"/>
  <c r="P682" i="5"/>
  <c r="O682" i="5"/>
  <c r="N682" i="5"/>
  <c r="P681" i="5"/>
  <c r="O681" i="5"/>
  <c r="N681" i="5"/>
  <c r="P680" i="5"/>
  <c r="O680" i="5"/>
  <c r="N680" i="5"/>
  <c r="P679" i="5"/>
  <c r="O679" i="5"/>
  <c r="N679" i="5"/>
  <c r="P678" i="5"/>
  <c r="O678" i="5"/>
  <c r="N678" i="5"/>
  <c r="P677" i="5"/>
  <c r="O677" i="5"/>
  <c r="N677" i="5"/>
  <c r="P676" i="5"/>
  <c r="O676" i="5"/>
  <c r="N676" i="5"/>
  <c r="P675" i="5"/>
  <c r="O675" i="5"/>
  <c r="N675" i="5"/>
  <c r="P674" i="5"/>
  <c r="O674" i="5"/>
  <c r="N674" i="5"/>
  <c r="P673" i="5"/>
  <c r="O673" i="5"/>
  <c r="N673" i="5"/>
  <c r="P672" i="5"/>
  <c r="O672" i="5"/>
  <c r="N672" i="5"/>
  <c r="P671" i="5"/>
  <c r="O671" i="5"/>
  <c r="N671" i="5"/>
  <c r="P670" i="5"/>
  <c r="O670" i="5"/>
  <c r="N670" i="5"/>
  <c r="P669" i="5"/>
  <c r="O669" i="5"/>
  <c r="N669" i="5"/>
  <c r="P668" i="5"/>
  <c r="O668" i="5"/>
  <c r="N668" i="5"/>
  <c r="P667" i="5"/>
  <c r="O667" i="5"/>
  <c r="N667" i="5"/>
  <c r="P666" i="5"/>
  <c r="O666" i="5"/>
  <c r="N666" i="5"/>
  <c r="P665" i="5"/>
  <c r="O665" i="5"/>
  <c r="N665" i="5"/>
  <c r="P664" i="5"/>
  <c r="O664" i="5"/>
  <c r="N664" i="5"/>
  <c r="P663" i="5"/>
  <c r="O663" i="5"/>
  <c r="N663" i="5"/>
  <c r="P662" i="5"/>
  <c r="O662" i="5"/>
  <c r="N662" i="5"/>
  <c r="P661" i="5"/>
  <c r="O661" i="5"/>
  <c r="N661" i="5"/>
  <c r="P660" i="5"/>
  <c r="O660" i="5"/>
  <c r="N660" i="5"/>
  <c r="P659" i="5"/>
  <c r="O659" i="5"/>
  <c r="N659" i="5"/>
  <c r="P658" i="5"/>
  <c r="O658" i="5"/>
  <c r="N658" i="5"/>
  <c r="P657" i="5"/>
  <c r="O657" i="5"/>
  <c r="N657" i="5"/>
  <c r="P656" i="5"/>
  <c r="O656" i="5"/>
  <c r="N656" i="5"/>
  <c r="P655" i="5"/>
  <c r="O655" i="5"/>
  <c r="N655" i="5"/>
  <c r="P654" i="5"/>
  <c r="O654" i="5"/>
  <c r="N654" i="5"/>
  <c r="P653" i="5"/>
  <c r="O653" i="5"/>
  <c r="N653" i="5"/>
  <c r="P652" i="5"/>
  <c r="O652" i="5"/>
  <c r="N652" i="5"/>
  <c r="P651" i="5"/>
  <c r="O651" i="5"/>
  <c r="N651" i="5"/>
  <c r="P650" i="5"/>
  <c r="O650" i="5"/>
  <c r="N650" i="5"/>
  <c r="P649" i="5"/>
  <c r="O649" i="5"/>
  <c r="N649" i="5"/>
  <c r="P648" i="5"/>
  <c r="O648" i="5"/>
  <c r="N648" i="5"/>
  <c r="P647" i="5"/>
  <c r="O647" i="5"/>
  <c r="N647" i="5"/>
  <c r="P646" i="5"/>
  <c r="O646" i="5"/>
  <c r="N646" i="5"/>
  <c r="P645" i="5"/>
  <c r="O645" i="5"/>
  <c r="N645" i="5"/>
  <c r="P644" i="5"/>
  <c r="O644" i="5"/>
  <c r="N644" i="5"/>
  <c r="P643" i="5"/>
  <c r="O643" i="5"/>
  <c r="N643" i="5"/>
  <c r="P642" i="5"/>
  <c r="O642" i="5"/>
  <c r="N642" i="5"/>
  <c r="P641" i="5"/>
  <c r="O641" i="5"/>
  <c r="N641" i="5"/>
  <c r="P640" i="5"/>
  <c r="O640" i="5"/>
  <c r="N640" i="5"/>
  <c r="P639" i="5"/>
  <c r="O639" i="5"/>
  <c r="N639" i="5"/>
  <c r="P638" i="5"/>
  <c r="O638" i="5"/>
  <c r="N638" i="5"/>
  <c r="P637" i="5"/>
  <c r="O637" i="5"/>
  <c r="N637" i="5"/>
  <c r="P636" i="5"/>
  <c r="O636" i="5"/>
  <c r="N636" i="5"/>
  <c r="P635" i="5"/>
  <c r="O635" i="5"/>
  <c r="N635" i="5"/>
  <c r="P634" i="5"/>
  <c r="O634" i="5"/>
  <c r="N634" i="5"/>
  <c r="P633" i="5"/>
  <c r="O633" i="5"/>
  <c r="N633" i="5"/>
  <c r="P632" i="5"/>
  <c r="O632" i="5"/>
  <c r="N632" i="5"/>
  <c r="P631" i="5"/>
  <c r="O631" i="5"/>
  <c r="N631" i="5"/>
  <c r="P630" i="5"/>
  <c r="O630" i="5"/>
  <c r="N630" i="5"/>
  <c r="P629" i="5"/>
  <c r="O629" i="5"/>
  <c r="N629" i="5"/>
  <c r="P628" i="5"/>
  <c r="O628" i="5"/>
  <c r="N628" i="5"/>
  <c r="P627" i="5"/>
  <c r="O627" i="5"/>
  <c r="N627" i="5"/>
  <c r="P626" i="5"/>
  <c r="O626" i="5"/>
  <c r="N626" i="5"/>
  <c r="P625" i="5"/>
  <c r="O625" i="5"/>
  <c r="N625" i="5"/>
  <c r="P624" i="5"/>
  <c r="O624" i="5"/>
  <c r="N624" i="5"/>
  <c r="P623" i="5"/>
  <c r="O623" i="5"/>
  <c r="N623" i="5"/>
  <c r="P622" i="5"/>
  <c r="O622" i="5"/>
  <c r="N622" i="5"/>
  <c r="P621" i="5"/>
  <c r="O621" i="5"/>
  <c r="N621" i="5"/>
  <c r="P620" i="5"/>
  <c r="O620" i="5"/>
  <c r="N620" i="5"/>
  <c r="P619" i="5"/>
  <c r="O619" i="5"/>
  <c r="N619" i="5"/>
  <c r="P618" i="5"/>
  <c r="O618" i="5"/>
  <c r="N618" i="5"/>
  <c r="P617" i="5"/>
  <c r="O617" i="5"/>
  <c r="N617" i="5"/>
  <c r="P616" i="5"/>
  <c r="O616" i="5"/>
  <c r="N616" i="5"/>
  <c r="P615" i="5"/>
  <c r="O615" i="5"/>
  <c r="N615" i="5"/>
  <c r="P614" i="5"/>
  <c r="O614" i="5"/>
  <c r="N614" i="5"/>
  <c r="P613" i="5"/>
  <c r="O613" i="5"/>
  <c r="N613" i="5"/>
  <c r="P612" i="5"/>
  <c r="O612" i="5"/>
  <c r="N612" i="5"/>
  <c r="P611" i="5"/>
  <c r="O611" i="5"/>
  <c r="N611" i="5"/>
  <c r="P610" i="5"/>
  <c r="O610" i="5"/>
  <c r="N610" i="5"/>
  <c r="P609" i="5"/>
  <c r="O609" i="5"/>
  <c r="N609" i="5"/>
  <c r="P608" i="5"/>
  <c r="O608" i="5"/>
  <c r="N608" i="5"/>
  <c r="P607" i="5"/>
  <c r="O607" i="5"/>
  <c r="N607" i="5"/>
  <c r="P606" i="5"/>
  <c r="O606" i="5"/>
  <c r="N606" i="5"/>
  <c r="P605" i="5"/>
  <c r="O605" i="5"/>
  <c r="N605" i="5"/>
  <c r="P604" i="5"/>
  <c r="O604" i="5"/>
  <c r="N604" i="5"/>
  <c r="P603" i="5"/>
  <c r="O603" i="5"/>
  <c r="N603" i="5"/>
  <c r="P602" i="5"/>
  <c r="O602" i="5"/>
  <c r="N602" i="5"/>
  <c r="P601" i="5"/>
  <c r="O601" i="5"/>
  <c r="N601" i="5"/>
  <c r="P600" i="5"/>
  <c r="O600" i="5"/>
  <c r="N600" i="5"/>
  <c r="P599" i="5"/>
  <c r="O599" i="5"/>
  <c r="N599" i="5"/>
  <c r="P598" i="5"/>
  <c r="O598" i="5"/>
  <c r="N598" i="5"/>
  <c r="P597" i="5"/>
  <c r="O597" i="5"/>
  <c r="N597" i="5"/>
  <c r="P596" i="5"/>
  <c r="O596" i="5"/>
  <c r="N596" i="5"/>
  <c r="P595" i="5"/>
  <c r="O595" i="5"/>
  <c r="N595" i="5"/>
  <c r="P594" i="5"/>
  <c r="O594" i="5"/>
  <c r="N594" i="5"/>
  <c r="P593" i="5"/>
  <c r="O593" i="5"/>
  <c r="N593" i="5"/>
  <c r="P592" i="5"/>
  <c r="O592" i="5"/>
  <c r="N592" i="5"/>
  <c r="P591" i="5"/>
  <c r="O591" i="5"/>
  <c r="N591" i="5"/>
  <c r="P590" i="5"/>
  <c r="O590" i="5"/>
  <c r="N590" i="5"/>
  <c r="P589" i="5"/>
  <c r="O589" i="5"/>
  <c r="N589" i="5"/>
  <c r="P588" i="5"/>
  <c r="O588" i="5"/>
  <c r="N588" i="5"/>
  <c r="P587" i="5"/>
  <c r="O587" i="5"/>
  <c r="N587" i="5"/>
  <c r="P586" i="5"/>
  <c r="O586" i="5"/>
  <c r="N586" i="5"/>
  <c r="P585" i="5"/>
  <c r="O585" i="5"/>
  <c r="N585" i="5"/>
  <c r="P584" i="5"/>
  <c r="O584" i="5"/>
  <c r="N584" i="5"/>
  <c r="P583" i="5"/>
  <c r="O583" i="5"/>
  <c r="N583" i="5"/>
  <c r="P582" i="5"/>
  <c r="O582" i="5"/>
  <c r="N582" i="5"/>
  <c r="P581" i="5"/>
  <c r="O581" i="5"/>
  <c r="N581" i="5"/>
  <c r="P580" i="5"/>
  <c r="O580" i="5"/>
  <c r="N580" i="5"/>
  <c r="P579" i="5"/>
  <c r="O579" i="5"/>
  <c r="N579" i="5"/>
  <c r="P578" i="5"/>
  <c r="O578" i="5"/>
  <c r="N578" i="5"/>
  <c r="P577" i="5"/>
  <c r="O577" i="5"/>
  <c r="N577" i="5"/>
  <c r="P576" i="5"/>
  <c r="O576" i="5"/>
  <c r="N576" i="5"/>
  <c r="P575" i="5"/>
  <c r="O575" i="5"/>
  <c r="N575" i="5"/>
  <c r="P574" i="5"/>
  <c r="O574" i="5"/>
  <c r="N574" i="5"/>
  <c r="P573" i="5"/>
  <c r="O573" i="5"/>
  <c r="N573" i="5"/>
  <c r="P572" i="5"/>
  <c r="O572" i="5"/>
  <c r="N572" i="5"/>
  <c r="P571" i="5"/>
  <c r="O571" i="5"/>
  <c r="N571" i="5"/>
  <c r="P570" i="5"/>
  <c r="O570" i="5"/>
  <c r="N570" i="5"/>
  <c r="P569" i="5"/>
  <c r="O569" i="5"/>
  <c r="N569" i="5"/>
  <c r="P568" i="5"/>
  <c r="O568" i="5"/>
  <c r="N568" i="5"/>
  <c r="P567" i="5"/>
  <c r="O567" i="5"/>
  <c r="N567" i="5"/>
  <c r="P566" i="5"/>
  <c r="O566" i="5"/>
  <c r="N566" i="5"/>
  <c r="P565" i="5"/>
  <c r="O565" i="5"/>
  <c r="N565" i="5"/>
  <c r="P564" i="5"/>
  <c r="O564" i="5"/>
  <c r="N564" i="5"/>
  <c r="P563" i="5"/>
  <c r="O563" i="5"/>
  <c r="N563" i="5"/>
  <c r="P562" i="5"/>
  <c r="O562" i="5"/>
  <c r="N562" i="5"/>
  <c r="P561" i="5"/>
  <c r="O561" i="5"/>
  <c r="N561" i="5"/>
  <c r="P560" i="5"/>
  <c r="O560" i="5"/>
  <c r="N560" i="5"/>
  <c r="P559" i="5"/>
  <c r="O559" i="5"/>
  <c r="N559" i="5"/>
  <c r="P558" i="5"/>
  <c r="O558" i="5"/>
  <c r="N558" i="5"/>
  <c r="P473" i="5"/>
  <c r="O473" i="5"/>
  <c r="N473" i="5"/>
  <c r="P472" i="5"/>
  <c r="O472" i="5"/>
  <c r="N472" i="5"/>
  <c r="P471" i="5"/>
  <c r="O471" i="5"/>
  <c r="N471" i="5"/>
  <c r="P470" i="5"/>
  <c r="O470" i="5"/>
  <c r="N470" i="5"/>
  <c r="P469" i="5"/>
  <c r="O469" i="5"/>
  <c r="N469" i="5"/>
  <c r="P468" i="5"/>
  <c r="O468" i="5"/>
  <c r="N468" i="5"/>
  <c r="P467" i="5"/>
  <c r="O467" i="5"/>
  <c r="N467" i="5"/>
  <c r="P466" i="5"/>
  <c r="O466" i="5"/>
  <c r="N466" i="5"/>
  <c r="N6" i="5"/>
  <c r="N248" i="6" l="1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361" i="6"/>
  <c r="N362" i="6"/>
  <c r="N363" i="6"/>
  <c r="N364" i="6"/>
  <c r="N365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P253" i="5"/>
  <c r="O253" i="5"/>
  <c r="N253" i="5"/>
  <c r="P252" i="5"/>
  <c r="O252" i="5"/>
  <c r="N252" i="5"/>
  <c r="P251" i="5"/>
  <c r="O251" i="5"/>
  <c r="N251" i="5"/>
  <c r="P250" i="5"/>
  <c r="O250" i="5"/>
  <c r="N250" i="5"/>
  <c r="P249" i="5"/>
  <c r="O249" i="5"/>
  <c r="N249" i="5"/>
  <c r="P248" i="5"/>
  <c r="O248" i="5"/>
  <c r="N248" i="5"/>
  <c r="P247" i="5"/>
  <c r="O247" i="5"/>
  <c r="N247" i="5"/>
  <c r="P246" i="5"/>
  <c r="O246" i="5"/>
  <c r="N246" i="5"/>
  <c r="P245" i="5"/>
  <c r="O245" i="5"/>
  <c r="N245" i="5"/>
  <c r="P244" i="5"/>
  <c r="O244" i="5"/>
  <c r="N244" i="5"/>
  <c r="P243" i="5"/>
  <c r="O243" i="5"/>
  <c r="N243" i="5"/>
  <c r="P242" i="5"/>
  <c r="O242" i="5"/>
  <c r="N242" i="5"/>
  <c r="P241" i="5"/>
  <c r="O241" i="5"/>
  <c r="N241" i="5"/>
  <c r="P240" i="5"/>
  <c r="O240" i="5"/>
  <c r="N240" i="5"/>
  <c r="P239" i="5"/>
  <c r="O239" i="5"/>
  <c r="N239" i="5"/>
  <c r="P238" i="5"/>
  <c r="O238" i="5"/>
  <c r="N238" i="5"/>
  <c r="P237" i="5"/>
  <c r="O237" i="5"/>
  <c r="N237" i="5"/>
  <c r="P236" i="5"/>
  <c r="O236" i="5"/>
  <c r="N236" i="5"/>
  <c r="P235" i="5"/>
  <c r="O235" i="5"/>
  <c r="N235" i="5"/>
  <c r="P234" i="5"/>
  <c r="O234" i="5"/>
  <c r="N234" i="5"/>
  <c r="P233" i="5"/>
  <c r="O233" i="5"/>
  <c r="N233" i="5"/>
  <c r="P232" i="5"/>
  <c r="O232" i="5"/>
  <c r="N232" i="5"/>
  <c r="P231" i="5"/>
  <c r="O231" i="5"/>
  <c r="N231" i="5"/>
  <c r="P230" i="5"/>
  <c r="O230" i="5"/>
  <c r="N230" i="5"/>
  <c r="P229" i="5"/>
  <c r="O229" i="5"/>
  <c r="N229" i="5"/>
  <c r="P228" i="5"/>
  <c r="O228" i="5"/>
  <c r="N228" i="5"/>
  <c r="P227" i="5"/>
  <c r="O227" i="5"/>
  <c r="N227" i="5"/>
  <c r="P226" i="5"/>
  <c r="O226" i="5"/>
  <c r="N226" i="5"/>
  <c r="P225" i="5"/>
  <c r="O225" i="5"/>
  <c r="N225" i="5"/>
  <c r="P224" i="5"/>
  <c r="O224" i="5"/>
  <c r="N224" i="5"/>
  <c r="P223" i="5"/>
  <c r="O223" i="5"/>
  <c r="N223" i="5"/>
  <c r="P222" i="5"/>
  <c r="O222" i="5"/>
  <c r="N222" i="5"/>
  <c r="P221" i="5"/>
  <c r="O221" i="5"/>
  <c r="N221" i="5"/>
  <c r="P220" i="5"/>
  <c r="O220" i="5"/>
  <c r="N220" i="5"/>
  <c r="P219" i="5"/>
  <c r="O219" i="5"/>
  <c r="N219" i="5"/>
  <c r="P218" i="5"/>
  <c r="O218" i="5"/>
  <c r="N218" i="5"/>
  <c r="P217" i="5"/>
  <c r="O217" i="5"/>
  <c r="N217" i="5"/>
  <c r="P216" i="5"/>
  <c r="O216" i="5"/>
  <c r="N216" i="5"/>
  <c r="P215" i="5"/>
  <c r="O215" i="5"/>
  <c r="N215" i="5"/>
  <c r="P214" i="5"/>
  <c r="O214" i="5"/>
  <c r="N214" i="5"/>
  <c r="P213" i="5"/>
  <c r="O213" i="5"/>
  <c r="N213" i="5"/>
  <c r="P212" i="5"/>
  <c r="O212" i="5"/>
  <c r="N212" i="5"/>
  <c r="P211" i="5"/>
  <c r="O211" i="5"/>
  <c r="N211" i="5"/>
  <c r="P210" i="5"/>
  <c r="O210" i="5"/>
  <c r="N210" i="5"/>
  <c r="P209" i="5"/>
  <c r="O209" i="5"/>
  <c r="N209" i="5"/>
  <c r="P208" i="5"/>
  <c r="O208" i="5"/>
  <c r="N208" i="5"/>
  <c r="P207" i="5"/>
  <c r="O207" i="5"/>
  <c r="N207" i="5"/>
  <c r="P206" i="5"/>
  <c r="O206" i="5"/>
  <c r="N206" i="5"/>
  <c r="P205" i="5"/>
  <c r="O205" i="5"/>
  <c r="N205" i="5"/>
  <c r="P204" i="5"/>
  <c r="O204" i="5"/>
  <c r="N204" i="5"/>
  <c r="P203" i="5"/>
  <c r="O203" i="5"/>
  <c r="N203" i="5"/>
  <c r="P202" i="5"/>
  <c r="O202" i="5"/>
  <c r="N202" i="5"/>
  <c r="P201" i="5"/>
  <c r="O201" i="5"/>
  <c r="N201" i="5"/>
  <c r="P200" i="5"/>
  <c r="O200" i="5"/>
  <c r="N200" i="5"/>
  <c r="P199" i="5"/>
  <c r="O199" i="5"/>
  <c r="N199" i="5"/>
  <c r="P198" i="5"/>
  <c r="O198" i="5"/>
  <c r="N198" i="5"/>
  <c r="P197" i="5"/>
  <c r="O197" i="5"/>
  <c r="N197" i="5"/>
  <c r="P196" i="5"/>
  <c r="O196" i="5"/>
  <c r="N196" i="5"/>
  <c r="P195" i="5"/>
  <c r="O195" i="5"/>
  <c r="N195" i="5"/>
  <c r="P194" i="5"/>
  <c r="O194" i="5"/>
  <c r="N194" i="5"/>
  <c r="P193" i="5"/>
  <c r="O193" i="5"/>
  <c r="N193" i="5"/>
  <c r="P192" i="5"/>
  <c r="O192" i="5"/>
  <c r="N192" i="5"/>
  <c r="P191" i="5"/>
  <c r="O191" i="5"/>
  <c r="N191" i="5"/>
  <c r="P190" i="5"/>
  <c r="O190" i="5"/>
  <c r="N190" i="5"/>
  <c r="P189" i="5"/>
  <c r="O189" i="5"/>
  <c r="N189" i="5"/>
  <c r="P188" i="5"/>
  <c r="O188" i="5"/>
  <c r="N188" i="5"/>
  <c r="P187" i="5"/>
  <c r="O187" i="5"/>
  <c r="N187" i="5"/>
  <c r="P186" i="5"/>
  <c r="O186" i="5"/>
  <c r="N186" i="5"/>
  <c r="P185" i="5"/>
  <c r="O185" i="5"/>
  <c r="N185" i="5"/>
  <c r="P184" i="5"/>
  <c r="O184" i="5"/>
  <c r="N184" i="5"/>
  <c r="P183" i="5"/>
  <c r="O183" i="5"/>
  <c r="N183" i="5"/>
  <c r="P182" i="5"/>
  <c r="O182" i="5"/>
  <c r="N182" i="5"/>
  <c r="P181" i="5"/>
  <c r="O181" i="5"/>
  <c r="N181" i="5"/>
  <c r="P180" i="5"/>
  <c r="O180" i="5"/>
  <c r="N180" i="5"/>
  <c r="P179" i="5"/>
  <c r="O179" i="5"/>
  <c r="N179" i="5"/>
  <c r="P178" i="5"/>
  <c r="O178" i="5"/>
  <c r="N178" i="5"/>
  <c r="P177" i="5"/>
  <c r="O177" i="5"/>
  <c r="N177" i="5"/>
  <c r="P176" i="5"/>
  <c r="O176" i="5"/>
  <c r="N176" i="5"/>
  <c r="P175" i="5"/>
  <c r="O175" i="5"/>
  <c r="N175" i="5"/>
  <c r="P174" i="5"/>
  <c r="O174" i="5"/>
  <c r="N174" i="5"/>
  <c r="P173" i="5"/>
  <c r="O173" i="5"/>
  <c r="N173" i="5"/>
  <c r="P172" i="5"/>
  <c r="O172" i="5"/>
  <c r="N172" i="5"/>
  <c r="P171" i="5"/>
  <c r="O171" i="5"/>
  <c r="N171" i="5"/>
  <c r="P170" i="5"/>
  <c r="O170" i="5"/>
  <c r="N170" i="5"/>
  <c r="P169" i="5"/>
  <c r="O169" i="5"/>
  <c r="N169" i="5"/>
  <c r="P168" i="5"/>
  <c r="O168" i="5"/>
  <c r="N168" i="5"/>
  <c r="P167" i="5"/>
  <c r="O167" i="5"/>
  <c r="N167" i="5"/>
  <c r="P166" i="5"/>
  <c r="O166" i="5"/>
  <c r="N166" i="5"/>
  <c r="P165" i="5"/>
  <c r="O165" i="5"/>
  <c r="N165" i="5"/>
  <c r="P164" i="5"/>
  <c r="O164" i="5"/>
  <c r="N164" i="5"/>
  <c r="P163" i="5"/>
  <c r="O163" i="5"/>
  <c r="N163" i="5"/>
  <c r="P162" i="5"/>
  <c r="O162" i="5"/>
  <c r="N162" i="5"/>
  <c r="P161" i="5"/>
  <c r="O161" i="5"/>
  <c r="N161" i="5"/>
  <c r="P160" i="5"/>
  <c r="O160" i="5"/>
  <c r="N160" i="5"/>
  <c r="P159" i="5"/>
  <c r="O159" i="5"/>
  <c r="N159" i="5"/>
  <c r="P158" i="5"/>
  <c r="O158" i="5"/>
  <c r="N158" i="5"/>
  <c r="P157" i="5"/>
  <c r="O157" i="5"/>
  <c r="N157" i="5"/>
  <c r="N497" i="5"/>
  <c r="O497" i="5"/>
  <c r="P497" i="5"/>
  <c r="N498" i="5"/>
  <c r="O498" i="5"/>
  <c r="P498" i="5"/>
  <c r="P56" i="5"/>
  <c r="O56" i="5"/>
  <c r="N56" i="5"/>
  <c r="P55" i="5"/>
  <c r="O55" i="5"/>
  <c r="N55" i="5"/>
  <c r="P54" i="5"/>
  <c r="O54" i="5"/>
  <c r="N54" i="5"/>
  <c r="P53" i="5"/>
  <c r="O53" i="5"/>
  <c r="N53" i="5"/>
  <c r="P52" i="5"/>
  <c r="O52" i="5"/>
  <c r="N52" i="5"/>
  <c r="P51" i="5"/>
  <c r="O51" i="5"/>
  <c r="N51" i="5"/>
  <c r="P50" i="5"/>
  <c r="O50" i="5"/>
  <c r="N50" i="5"/>
  <c r="P49" i="5"/>
  <c r="O49" i="5"/>
  <c r="N49" i="5"/>
  <c r="P48" i="5"/>
  <c r="O48" i="5"/>
  <c r="N48" i="5"/>
  <c r="P47" i="5"/>
  <c r="O47" i="5"/>
  <c r="N47" i="5"/>
  <c r="P46" i="5"/>
  <c r="O46" i="5"/>
  <c r="N46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P30" i="5"/>
  <c r="O30" i="5"/>
  <c r="N30" i="5"/>
  <c r="P29" i="5"/>
  <c r="O29" i="5"/>
  <c r="N29" i="5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/>
  <c r="P23" i="5"/>
  <c r="O23" i="5"/>
  <c r="N23" i="5"/>
  <c r="P22" i="5"/>
  <c r="O22" i="5"/>
  <c r="N22" i="5"/>
  <c r="P21" i="5"/>
  <c r="O21" i="5"/>
  <c r="N21" i="5"/>
  <c r="P20" i="5"/>
  <c r="O20" i="5"/>
  <c r="N20" i="5"/>
  <c r="P19" i="5"/>
  <c r="O19" i="5"/>
  <c r="N19" i="5"/>
  <c r="P18" i="5"/>
  <c r="O18" i="5"/>
  <c r="N18" i="5"/>
  <c r="P17" i="5"/>
  <c r="O17" i="5"/>
  <c r="N17" i="5"/>
  <c r="P16" i="5"/>
  <c r="O16" i="5"/>
  <c r="N16" i="5"/>
  <c r="P15" i="5"/>
  <c r="O15" i="5"/>
  <c r="N15" i="5"/>
  <c r="P14" i="5"/>
  <c r="O14" i="5"/>
  <c r="N14" i="5"/>
  <c r="P13" i="5"/>
  <c r="O13" i="5"/>
  <c r="N13" i="5"/>
  <c r="P12" i="5"/>
  <c r="O12" i="5"/>
  <c r="N12" i="5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03" i="6" l="1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P557" i="5"/>
  <c r="O557" i="5"/>
  <c r="N557" i="5"/>
  <c r="P556" i="5"/>
  <c r="O556" i="5"/>
  <c r="N556" i="5"/>
  <c r="P555" i="5"/>
  <c r="O555" i="5"/>
  <c r="N555" i="5"/>
  <c r="P554" i="5"/>
  <c r="O554" i="5"/>
  <c r="N554" i="5"/>
  <c r="P553" i="5"/>
  <c r="O553" i="5"/>
  <c r="N553" i="5"/>
  <c r="P546" i="5"/>
  <c r="O546" i="5"/>
  <c r="N546" i="5"/>
  <c r="P545" i="5"/>
  <c r="O545" i="5"/>
  <c r="N545" i="5"/>
  <c r="P544" i="5"/>
  <c r="O544" i="5"/>
  <c r="N544" i="5"/>
  <c r="P543" i="5"/>
  <c r="O543" i="5"/>
  <c r="N543" i="5"/>
  <c r="P542" i="5"/>
  <c r="O542" i="5"/>
  <c r="N542" i="5"/>
  <c r="P541" i="5"/>
  <c r="O541" i="5"/>
  <c r="N541" i="5"/>
  <c r="P510" i="5"/>
  <c r="O510" i="5"/>
  <c r="N510" i="5"/>
  <c r="P509" i="5"/>
  <c r="O509" i="5"/>
  <c r="N509" i="5"/>
  <c r="P508" i="5"/>
  <c r="O508" i="5"/>
  <c r="N508" i="5"/>
  <c r="P507" i="5"/>
  <c r="O507" i="5"/>
  <c r="N507" i="5"/>
  <c r="P506" i="5"/>
  <c r="O506" i="5"/>
  <c r="N506" i="5"/>
  <c r="P505" i="5"/>
  <c r="O505" i="5"/>
  <c r="N505" i="5"/>
  <c r="P504" i="5"/>
  <c r="O504" i="5"/>
  <c r="N504" i="5"/>
  <c r="P503" i="5"/>
  <c r="O503" i="5"/>
  <c r="N503" i="5"/>
  <c r="P502" i="5"/>
  <c r="O502" i="5"/>
  <c r="N502" i="5"/>
  <c r="P501" i="5"/>
  <c r="O501" i="5"/>
  <c r="N501" i="5"/>
  <c r="P500" i="5"/>
  <c r="O500" i="5"/>
  <c r="N500" i="5"/>
  <c r="P499" i="5"/>
  <c r="O499" i="5"/>
  <c r="N499" i="5"/>
  <c r="N502" i="4" l="1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G390" i="3"/>
  <c r="G389" i="3"/>
  <c r="G388" i="3"/>
  <c r="G387" i="3"/>
  <c r="G386" i="3"/>
  <c r="G385" i="3"/>
  <c r="G384" i="3"/>
  <c r="G383" i="3"/>
  <c r="G382" i="3"/>
  <c r="G381" i="3"/>
  <c r="G380" i="3"/>
  <c r="G379" i="3"/>
  <c r="N480" i="4"/>
  <c r="N479" i="4"/>
  <c r="N221" i="4" l="1"/>
  <c r="N477" i="4" l="1"/>
  <c r="N476" i="4"/>
  <c r="N467" i="4" l="1"/>
  <c r="G369" i="3"/>
  <c r="N466" i="4" l="1"/>
  <c r="N474" i="4" l="1"/>
  <c r="N473" i="4"/>
  <c r="N465" i="4"/>
  <c r="G367" i="3"/>
  <c r="G375" i="3" l="1"/>
  <c r="G374" i="3"/>
  <c r="N462" i="4" l="1"/>
  <c r="G363" i="3"/>
  <c r="G364" i="3" l="1"/>
  <c r="G362" i="3"/>
  <c r="N464" i="4" l="1"/>
  <c r="N463" i="4" l="1"/>
  <c r="N39" i="4" l="1"/>
  <c r="G43" i="3" l="1"/>
  <c r="N43" i="4" l="1"/>
  <c r="N38" i="4"/>
  <c r="N259" i="4" l="1"/>
  <c r="N460" i="4" l="1"/>
  <c r="N459" i="4" l="1"/>
  <c r="N144" i="4" l="1"/>
  <c r="N159" i="4" l="1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09" i="4" l="1"/>
  <c r="N108" i="4"/>
  <c r="N197" i="4" l="1"/>
  <c r="N196" i="4"/>
  <c r="N195" i="4"/>
  <c r="N194" i="4"/>
  <c r="N193" i="4"/>
  <c r="N187" i="4"/>
  <c r="N186" i="4"/>
  <c r="N185" i="4"/>
  <c r="N184" i="4"/>
  <c r="N183" i="4"/>
  <c r="G132" i="3" l="1"/>
  <c r="G131" i="3"/>
  <c r="G130" i="3"/>
  <c r="G129" i="3"/>
  <c r="G128" i="3"/>
  <c r="N73" i="4" l="1"/>
  <c r="N72" i="4"/>
  <c r="N71" i="4"/>
  <c r="N70" i="4"/>
  <c r="N69" i="4"/>
  <c r="N63" i="4"/>
  <c r="N62" i="4"/>
  <c r="N61" i="4"/>
  <c r="N60" i="4"/>
  <c r="N59" i="4"/>
  <c r="G60" i="3"/>
  <c r="G59" i="3"/>
  <c r="G58" i="3"/>
  <c r="G57" i="3"/>
  <c r="G56" i="3"/>
  <c r="G70" i="3"/>
  <c r="G69" i="3"/>
  <c r="G68" i="3"/>
  <c r="G67" i="3"/>
  <c r="G66" i="3"/>
  <c r="N83" i="4"/>
  <c r="N82" i="4"/>
  <c r="N81" i="4"/>
  <c r="N80" i="4"/>
  <c r="N79" i="4"/>
  <c r="G145" i="3" l="1"/>
  <c r="G144" i="3"/>
  <c r="G143" i="3"/>
  <c r="G142" i="3"/>
  <c r="G141" i="3"/>
  <c r="N216" i="4"/>
  <c r="N215" i="4"/>
  <c r="N214" i="4"/>
  <c r="N213" i="4"/>
  <c r="N212" i="4"/>
  <c r="N211" i="4"/>
  <c r="N210" i="4"/>
  <c r="N209" i="4"/>
  <c r="N208" i="4"/>
  <c r="N207" i="4"/>
  <c r="G127" i="3"/>
  <c r="G126" i="3"/>
  <c r="G125" i="3"/>
  <c r="G124" i="3"/>
  <c r="G123" i="3"/>
  <c r="N192" i="4"/>
  <c r="N191" i="4"/>
  <c r="N190" i="4"/>
  <c r="N189" i="4"/>
  <c r="N182" i="4"/>
  <c r="N181" i="4"/>
  <c r="N180" i="4"/>
  <c r="N179" i="4"/>
  <c r="N188" i="4"/>
  <c r="N178" i="4"/>
  <c r="N169" i="4"/>
  <c r="N168" i="4"/>
  <c r="N167" i="4"/>
  <c r="N166" i="4"/>
  <c r="N165" i="4"/>
  <c r="N164" i="4"/>
  <c r="N163" i="4"/>
  <c r="N162" i="4"/>
  <c r="N161" i="4"/>
  <c r="G115" i="3"/>
  <c r="G114" i="3"/>
  <c r="G113" i="3"/>
  <c r="G112" i="3"/>
  <c r="G111" i="3"/>
  <c r="G110" i="3"/>
  <c r="G109" i="3"/>
  <c r="G108" i="3"/>
  <c r="G107" i="3"/>
  <c r="G106" i="3"/>
  <c r="N160" i="4" l="1"/>
  <c r="N121" i="4" l="1"/>
  <c r="N120" i="4"/>
  <c r="N119" i="4"/>
  <c r="N118" i="4"/>
  <c r="N117" i="4"/>
  <c r="N116" i="4"/>
  <c r="N115" i="4"/>
  <c r="N114" i="4"/>
  <c r="N113" i="4"/>
  <c r="G100" i="3"/>
  <c r="G99" i="3"/>
  <c r="G98" i="3"/>
  <c r="G97" i="3"/>
  <c r="G96" i="3"/>
  <c r="G95" i="3"/>
  <c r="G94" i="3"/>
  <c r="G93" i="3"/>
  <c r="G92" i="3"/>
  <c r="G91" i="3"/>
  <c r="N122" i="4"/>
  <c r="N112" i="4"/>
  <c r="N104" i="4" l="1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G76" i="3"/>
  <c r="G77" i="3"/>
  <c r="G78" i="3"/>
  <c r="G79" i="3"/>
  <c r="G80" i="3"/>
  <c r="G81" i="3"/>
  <c r="G82" i="3"/>
  <c r="G83" i="3"/>
  <c r="G84" i="3"/>
  <c r="G85" i="3"/>
  <c r="N78" i="4" l="1"/>
  <c r="N77" i="4"/>
  <c r="N76" i="4"/>
  <c r="N75" i="4"/>
  <c r="G55" i="3" l="1"/>
  <c r="G54" i="3"/>
  <c r="G52" i="3"/>
  <c r="G51" i="3"/>
  <c r="G53" i="3"/>
  <c r="G65" i="3"/>
  <c r="G64" i="3"/>
  <c r="G63" i="3"/>
  <c r="G62" i="3"/>
  <c r="G61" i="3"/>
  <c r="N68" i="4" l="1"/>
  <c r="N67" i="4"/>
  <c r="N66" i="4"/>
  <c r="N65" i="4"/>
  <c r="N58" i="4"/>
  <c r="N57" i="4"/>
  <c r="N56" i="4"/>
  <c r="N55" i="4"/>
  <c r="N54" i="4"/>
  <c r="N206" i="4" l="1"/>
  <c r="N205" i="4"/>
  <c r="N47" i="4"/>
  <c r="N64" i="4"/>
  <c r="N74" i="4"/>
  <c r="N107" i="4" l="1"/>
  <c r="N110" i="4"/>
  <c r="N89" i="4" l="1"/>
  <c r="N88" i="4"/>
  <c r="N52" i="4"/>
  <c r="N46" i="4"/>
  <c r="N45" i="4"/>
  <c r="N44" i="4"/>
  <c r="N111" i="4" l="1"/>
  <c r="N106" i="4"/>
  <c r="N105" i="4"/>
  <c r="G101" i="3"/>
  <c r="G87" i="3"/>
  <c r="G86" i="3"/>
  <c r="N342" i="4" l="1"/>
  <c r="N337" i="4"/>
  <c r="G253" i="3"/>
  <c r="G249" i="3"/>
  <c r="N456" i="4" l="1"/>
  <c r="N455" i="4"/>
  <c r="N454" i="4"/>
  <c r="N453" i="4"/>
  <c r="N452" i="4"/>
  <c r="N451" i="4"/>
  <c r="G357" i="3"/>
  <c r="G355" i="3"/>
  <c r="G354" i="3"/>
  <c r="G353" i="3"/>
  <c r="N445" i="4" l="1"/>
  <c r="N444" i="4"/>
  <c r="N443" i="4"/>
  <c r="N442" i="4"/>
  <c r="N441" i="4"/>
  <c r="N440" i="4"/>
  <c r="N439" i="4"/>
  <c r="N438" i="4"/>
  <c r="N437" i="4"/>
  <c r="N436" i="4"/>
  <c r="N435" i="4"/>
  <c r="G348" i="3"/>
  <c r="G347" i="3"/>
  <c r="G346" i="3"/>
  <c r="G345" i="3"/>
  <c r="G344" i="3"/>
  <c r="G342" i="3"/>
  <c r="G340" i="3"/>
  <c r="G335" i="3"/>
  <c r="N335" i="4" l="1"/>
  <c r="N336" i="4"/>
  <c r="N338" i="4"/>
  <c r="N339" i="4"/>
  <c r="N340" i="4"/>
  <c r="N341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46" i="4"/>
  <c r="N447" i="4"/>
  <c r="N448" i="4"/>
  <c r="N449" i="4"/>
  <c r="N450" i="4"/>
  <c r="G314" i="3" l="1"/>
  <c r="G317" i="3"/>
  <c r="G318" i="3"/>
  <c r="G319" i="3"/>
  <c r="G320" i="3"/>
  <c r="G322" i="3"/>
  <c r="G325" i="3"/>
  <c r="G326" i="3"/>
  <c r="G327" i="3"/>
  <c r="G328" i="3"/>
  <c r="G330" i="3"/>
  <c r="G331" i="3"/>
  <c r="G333" i="3"/>
  <c r="G349" i="3"/>
  <c r="G350" i="3"/>
  <c r="G351" i="3"/>
  <c r="G352" i="3"/>
  <c r="N461" i="4" l="1"/>
  <c r="N288" i="2" l="1"/>
  <c r="N287" i="2"/>
  <c r="N286" i="2"/>
  <c r="G276" i="1" l="1"/>
  <c r="G275" i="1"/>
  <c r="G271" i="1"/>
  <c r="N285" i="2" l="1"/>
  <c r="N284" i="2" l="1"/>
  <c r="N283" i="2"/>
  <c r="N281" i="2"/>
  <c r="G268" i="1"/>
  <c r="N282" i="2"/>
  <c r="N280" i="2"/>
  <c r="N279" i="2"/>
  <c r="N278" i="2"/>
  <c r="G266" i="1"/>
  <c r="G267" i="1"/>
  <c r="G265" i="1"/>
  <c r="N295" i="4" l="1"/>
  <c r="N284" i="4"/>
  <c r="N283" i="4"/>
  <c r="N53" i="4" l="1"/>
  <c r="N37" i="4"/>
  <c r="N40" i="4"/>
  <c r="N277" i="2"/>
  <c r="G264" i="1"/>
  <c r="N271" i="2"/>
  <c r="G259" i="1"/>
  <c r="N246" i="2"/>
  <c r="G239" i="1"/>
  <c r="N181" i="2"/>
  <c r="G173" i="1"/>
  <c r="N162" i="2"/>
  <c r="G158" i="1"/>
  <c r="N143" i="2" l="1"/>
  <c r="G139" i="1"/>
  <c r="N277" i="4" l="1"/>
  <c r="N276" i="4"/>
  <c r="G74" i="3" l="1"/>
  <c r="G73" i="3"/>
  <c r="G72" i="3"/>
  <c r="G49" i="3" l="1"/>
  <c r="G48" i="3"/>
  <c r="G47" i="3"/>
  <c r="N276" i="2" l="1"/>
  <c r="N275" i="2"/>
  <c r="N274" i="2"/>
  <c r="N273" i="2"/>
  <c r="N272" i="2"/>
  <c r="G262" i="1"/>
  <c r="G261" i="1"/>
  <c r="G260" i="1"/>
  <c r="N177" i="2" l="1"/>
  <c r="N505" i="4" l="1"/>
  <c r="N87" i="4" l="1"/>
  <c r="N51" i="4"/>
  <c r="N70" i="2" l="1"/>
  <c r="N65" i="2"/>
  <c r="G68" i="1"/>
  <c r="G64" i="1"/>
  <c r="N219" i="2" l="1"/>
  <c r="N218" i="2"/>
  <c r="G207" i="1"/>
  <c r="G206" i="1"/>
  <c r="N27" i="3" l="1"/>
  <c r="N26" i="3"/>
  <c r="N25" i="3"/>
  <c r="N19" i="4" l="1"/>
  <c r="N18" i="4" l="1"/>
  <c r="N17" i="4" l="1"/>
  <c r="N178" i="2"/>
  <c r="G168" i="1"/>
  <c r="N176" i="2" l="1"/>
  <c r="G175" i="1" l="1"/>
  <c r="N175" i="2"/>
  <c r="G163" i="1"/>
  <c r="N184" i="2" l="1"/>
  <c r="N183" i="2"/>
  <c r="N182" i="2"/>
  <c r="N180" i="2"/>
  <c r="N179" i="2"/>
  <c r="N174" i="2"/>
  <c r="G176" i="1"/>
  <c r="G174" i="1"/>
  <c r="G172" i="1"/>
  <c r="G170" i="1"/>
  <c r="N217" i="2" l="1"/>
  <c r="G205" i="1"/>
  <c r="L209" i="2" l="1"/>
  <c r="N209" i="2" s="1"/>
  <c r="N208" i="2"/>
  <c r="N207" i="2"/>
  <c r="K206" i="2"/>
  <c r="N206" i="2" s="1"/>
  <c r="K205" i="2"/>
  <c r="N205" i="2" s="1"/>
  <c r="K204" i="2"/>
  <c r="N204" i="2" s="1"/>
  <c r="N203" i="2"/>
  <c r="N202" i="2"/>
  <c r="N201" i="2"/>
  <c r="K200" i="2"/>
  <c r="N200" i="2" s="1"/>
  <c r="K199" i="2"/>
  <c r="N199" i="2" s="1"/>
  <c r="K198" i="2"/>
  <c r="N198" i="2" s="1"/>
  <c r="N197" i="2"/>
  <c r="G196" i="1"/>
  <c r="G194" i="1"/>
  <c r="G193" i="1"/>
  <c r="G192" i="1"/>
  <c r="G189" i="1"/>
  <c r="N254" i="2" l="1"/>
  <c r="N250" i="2" l="1"/>
  <c r="N254" i="4" l="1"/>
  <c r="N253" i="4"/>
  <c r="N252" i="4"/>
  <c r="N251" i="4"/>
  <c r="N106" i="2" l="1"/>
  <c r="N91" i="2"/>
  <c r="N68" i="2"/>
  <c r="N142" i="2" l="1"/>
  <c r="N245" i="2"/>
  <c r="G238" i="1"/>
  <c r="G140" i="1"/>
  <c r="N458" i="4" l="1"/>
  <c r="N506" i="4"/>
  <c r="N50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4" i="4"/>
  <c r="N293" i="4"/>
  <c r="N292" i="4"/>
  <c r="N291" i="4"/>
  <c r="N290" i="4"/>
  <c r="N289" i="4"/>
  <c r="N288" i="4"/>
  <c r="N287" i="4"/>
  <c r="N286" i="4"/>
  <c r="N285" i="4"/>
  <c r="N282" i="4"/>
  <c r="N281" i="4"/>
  <c r="N280" i="4"/>
  <c r="N279" i="4"/>
  <c r="N278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8" i="4"/>
  <c r="N257" i="4"/>
  <c r="N256" i="4"/>
  <c r="N255" i="4"/>
  <c r="N250" i="4"/>
  <c r="N249" i="4"/>
  <c r="N248" i="4"/>
  <c r="N247" i="4"/>
  <c r="N246" i="4"/>
  <c r="N245" i="4"/>
  <c r="N244" i="4"/>
  <c r="N243" i="4"/>
  <c r="N242" i="4"/>
  <c r="N235" i="4"/>
  <c r="N229" i="4"/>
  <c r="N228" i="4"/>
  <c r="N227" i="4"/>
  <c r="N226" i="4"/>
  <c r="N225" i="4"/>
  <c r="N224" i="4"/>
  <c r="N222" i="4"/>
  <c r="N220" i="4"/>
  <c r="N219" i="4"/>
  <c r="N218" i="4"/>
  <c r="N217" i="4"/>
  <c r="N86" i="4"/>
  <c r="N85" i="4"/>
  <c r="N84" i="4"/>
  <c r="N50" i="4"/>
  <c r="N49" i="4"/>
  <c r="N48" i="4"/>
  <c r="N204" i="4"/>
  <c r="N203" i="4"/>
  <c r="N202" i="4"/>
  <c r="N201" i="4"/>
  <c r="N200" i="4"/>
  <c r="N199" i="4"/>
  <c r="N198" i="4"/>
  <c r="N177" i="4"/>
  <c r="N176" i="4"/>
  <c r="N175" i="4"/>
  <c r="N174" i="4"/>
  <c r="N173" i="4"/>
  <c r="N172" i="4"/>
  <c r="N171" i="4"/>
  <c r="N170" i="4"/>
  <c r="N42" i="4"/>
  <c r="N41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6" i="4"/>
  <c r="N15" i="4"/>
  <c r="N14" i="4"/>
  <c r="N13" i="4"/>
  <c r="N12" i="4"/>
  <c r="N11" i="4"/>
  <c r="N10" i="4"/>
  <c r="N9" i="4"/>
  <c r="N8" i="4"/>
  <c r="N7" i="4"/>
  <c r="N6" i="4"/>
  <c r="N5" i="4"/>
  <c r="G359" i="3" l="1"/>
  <c r="G161" i="1" l="1"/>
  <c r="G159" i="1"/>
  <c r="G157" i="1"/>
  <c r="G155" i="1"/>
  <c r="G153" i="1"/>
  <c r="G154" i="1"/>
  <c r="G152" i="1"/>
  <c r="N158" i="2"/>
  <c r="N159" i="2"/>
  <c r="N160" i="2"/>
  <c r="N161" i="2"/>
  <c r="N163" i="2"/>
  <c r="N164" i="2"/>
  <c r="N165" i="2"/>
  <c r="N166" i="2"/>
  <c r="N167" i="2"/>
  <c r="N168" i="2"/>
  <c r="N169" i="2"/>
  <c r="N170" i="2"/>
  <c r="N171" i="2"/>
  <c r="N172" i="2"/>
  <c r="N173" i="2"/>
  <c r="N157" i="2"/>
  <c r="N238" i="2" l="1"/>
  <c r="N232" i="2"/>
  <c r="G221" i="1"/>
  <c r="G229" i="1"/>
  <c r="N270" i="2" l="1"/>
  <c r="N253" i="2" l="1"/>
  <c r="N249" i="2"/>
  <c r="N268" i="2" l="1"/>
  <c r="G257" i="1"/>
  <c r="N262" i="2" l="1"/>
  <c r="N263" i="2"/>
  <c r="G252" i="1"/>
  <c r="G251" i="1"/>
  <c r="N261" i="2"/>
  <c r="N264" i="2"/>
  <c r="G250" i="1"/>
  <c r="N147" i="2" l="1"/>
  <c r="G143" i="1" l="1"/>
  <c r="N269" i="2" l="1"/>
  <c r="N267" i="2"/>
  <c r="N266" i="2"/>
  <c r="N252" i="2" l="1"/>
  <c r="N248" i="2"/>
  <c r="G256" i="1"/>
  <c r="G255" i="1"/>
  <c r="N299" i="2" l="1"/>
  <c r="N298" i="2"/>
  <c r="N297" i="2"/>
  <c r="N296" i="2"/>
  <c r="N295" i="2"/>
  <c r="N294" i="2"/>
  <c r="N293" i="2"/>
  <c r="N292" i="2"/>
  <c r="N291" i="2"/>
  <c r="N290" i="2"/>
  <c r="N289" i="2"/>
  <c r="N260" i="2"/>
  <c r="N259" i="2"/>
  <c r="N258" i="2"/>
  <c r="N257" i="2"/>
  <c r="N256" i="2"/>
  <c r="N255" i="2"/>
  <c r="N251" i="2"/>
  <c r="N265" i="2"/>
  <c r="N247" i="2"/>
  <c r="N244" i="2"/>
  <c r="N243" i="2"/>
  <c r="N242" i="2"/>
  <c r="N241" i="2"/>
  <c r="N240" i="2"/>
  <c r="N239" i="2"/>
  <c r="N237" i="2"/>
  <c r="N236" i="2"/>
  <c r="N235" i="2"/>
  <c r="N234" i="2"/>
  <c r="N233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6" i="2"/>
  <c r="N215" i="2"/>
  <c r="N214" i="2"/>
  <c r="N213" i="2"/>
  <c r="N212" i="2"/>
  <c r="N211" i="2"/>
  <c r="N210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56" i="2"/>
  <c r="N155" i="2"/>
  <c r="N154" i="2"/>
  <c r="N153" i="2"/>
  <c r="N152" i="2"/>
  <c r="N151" i="2"/>
  <c r="N150" i="2"/>
  <c r="N149" i="2"/>
  <c r="N148" i="2"/>
  <c r="N146" i="2"/>
  <c r="N145" i="2"/>
  <c r="N144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69" i="2"/>
  <c r="N67" i="2"/>
  <c r="N66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G249" i="1" l="1"/>
  <c r="G248" i="1"/>
  <c r="G247" i="1"/>
  <c r="G246" i="1"/>
  <c r="G245" i="1"/>
  <c r="G244" i="1"/>
  <c r="G242" i="1"/>
  <c r="G254" i="1"/>
  <c r="G253" i="1"/>
  <c r="G240" i="1"/>
  <c r="G235" i="1"/>
  <c r="G234" i="1"/>
  <c r="G233" i="1"/>
  <c r="G232" i="1"/>
  <c r="G231" i="1"/>
  <c r="G230" i="1"/>
  <c r="G226" i="1"/>
  <c r="G225" i="1"/>
  <c r="G224" i="1"/>
  <c r="G223" i="1"/>
  <c r="G222" i="1"/>
  <c r="G220" i="1"/>
  <c r="G219" i="1"/>
  <c r="G218" i="1"/>
  <c r="G217" i="1"/>
  <c r="G216" i="1"/>
  <c r="G214" i="1"/>
  <c r="G213" i="1"/>
  <c r="G212" i="1"/>
  <c r="G211" i="1"/>
  <c r="G210" i="1"/>
  <c r="G209" i="1"/>
  <c r="G208" i="1"/>
  <c r="G204" i="1"/>
  <c r="G203" i="1"/>
  <c r="G202" i="1"/>
  <c r="G201" i="1"/>
  <c r="G200" i="1"/>
  <c r="G199" i="1"/>
  <c r="G198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50" i="1"/>
  <c r="G149" i="1"/>
  <c r="G148" i="1"/>
  <c r="G147" i="1"/>
  <c r="G146" i="1"/>
  <c r="G145" i="1"/>
  <c r="G144" i="1"/>
  <c r="G142" i="1"/>
  <c r="G141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98" i="1"/>
  <c r="G97" i="1"/>
  <c r="G96" i="1"/>
  <c r="G95" i="1"/>
  <c r="G94" i="1"/>
  <c r="G93" i="1"/>
  <c r="G92" i="1"/>
  <c r="G91" i="1"/>
  <c r="G90" i="1"/>
  <c r="G87" i="1"/>
  <c r="G86" i="1"/>
  <c r="G85" i="1"/>
  <c r="G84" i="1"/>
  <c r="G83" i="1"/>
  <c r="G82" i="1"/>
  <c r="G81" i="1"/>
  <c r="G79" i="1"/>
  <c r="G78" i="1"/>
  <c r="G77" i="1"/>
  <c r="G76" i="1"/>
  <c r="G75" i="1"/>
  <c r="G74" i="1"/>
  <c r="G73" i="1"/>
  <c r="G72" i="1"/>
  <c r="G71" i="1"/>
  <c r="G70" i="1"/>
  <c r="G69" i="1"/>
  <c r="G67" i="1"/>
  <c r="G63" i="1"/>
  <c r="G62" i="1"/>
  <c r="G61" i="1"/>
  <c r="G55" i="1"/>
  <c r="G54" i="1"/>
  <c r="G53" i="1"/>
  <c r="G52" i="1"/>
  <c r="G51" i="1"/>
  <c r="G50" i="1"/>
  <c r="G49" i="1"/>
  <c r="K232" i="4" l="1"/>
  <c r="N232" i="4" s="1"/>
  <c r="K231" i="4"/>
  <c r="N231" i="4" s="1"/>
  <c r="K230" i="4"/>
  <c r="N2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B1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1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G1" authorId="0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안희덕:
여기는 당연히 BuffEffect</t>
        </r>
      </text>
    </comment>
    <comment ref="H1" authorId="0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안희덕:
버프 종료시 발동할 ''SkillEffect''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B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P5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안희덕:
도트 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B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G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안희덕:
여기는 당연히 BuffEffect</t>
        </r>
      </text>
    </comment>
    <comment ref="H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안희덕:
버프 종료시 발동할 ''SkillEffect''</t>
        </r>
      </text>
    </comment>
    <comment ref="B2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2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G2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안희덕:
여기는 당연히 BuffEffect</t>
        </r>
      </text>
    </comment>
    <comment ref="H2" authorId="0" shapeId="0" xr:uid="{00000000-0006-0000-0200-000008000000}">
      <text>
        <r>
          <rPr>
            <sz val="11"/>
            <color theme="1"/>
            <rFont val="맑은 고딕"/>
            <family val="2"/>
            <scheme val="minor"/>
          </rPr>
          <t>안희덕:
버프 종료시 발동할 ''SkillEffect''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오은석</author>
  </authors>
  <commentList>
    <comment ref="B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B2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2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N3" authorId="1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 xml:space="preserve">Dot
Hot
Rot
Stun
Knockback
Status
Provoke
Invincible
Shield
Effect
EffectResist
BuffResist
DebuffResist
ChangeSkill
Freeze
Groggy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B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G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안희덕:
여기는 당연히 BuffEffect</t>
        </r>
      </text>
    </comment>
    <comment ref="H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안희덕:
버프 종료시 발동할 ''SkillEffect''</t>
        </r>
      </text>
    </comment>
    <comment ref="B2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2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G2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안희덕:
여기는 당연히 BuffEffect</t>
        </r>
      </text>
    </comment>
    <comment ref="H2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안희덕:
버프 종료시 발동할 ''SkillEffect''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오은석</author>
  </authors>
  <commentList>
    <comment ref="B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B2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2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N3" authorId="1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 xml:space="preserve">Dot
Hot
Rot
Stun
Knockback
Status
Provoke
Invincible
Shield
Effect
EffectResist
BuffResist
DebuffResist
ChangeSkill
Freeze
Groggy
</t>
        </r>
      </text>
    </comment>
  </commentList>
</comments>
</file>

<file path=xl/sharedStrings.xml><?xml version="1.0" encoding="utf-8"?>
<sst xmlns="http://schemas.openxmlformats.org/spreadsheetml/2006/main" count="14230" uniqueCount="4364">
  <si>
    <t>#ID</t>
  </si>
  <si>
    <t>#조건</t>
  </si>
  <si>
    <t>#조건 값</t>
  </si>
  <si>
    <t>#지속시간</t>
  </si>
  <si>
    <t>#맥스스택</t>
  </si>
  <si>
    <t>#추가스택</t>
  </si>
  <si>
    <t>#Buff Effect</t>
  </si>
  <si>
    <t>#END Effect</t>
  </si>
  <si>
    <t>#Ture
버프 해제 불가</t>
  </si>
  <si>
    <t>#사망
버프삭제</t>
  </si>
  <si>
    <t>#버프, 디버프 타입</t>
  </si>
  <si>
    <t>#프리팹</t>
  </si>
  <si>
    <t>#아이콘</t>
  </si>
  <si>
    <t>#버프이름</t>
  </si>
  <si>
    <t>#설명</t>
  </si>
  <si>
    <t>#자동 설명 사용 여부</t>
  </si>
  <si>
    <t>#Hud 노출</t>
  </si>
  <si>
    <t>Id</t>
  </si>
  <si>
    <t>ActiveCondition</t>
  </si>
  <si>
    <t>ConditionValue</t>
  </si>
  <si>
    <t>Duration</t>
  </si>
  <si>
    <t>MaxStack</t>
  </si>
  <si>
    <t>AddStack</t>
  </si>
  <si>
    <t>Effects</t>
  </si>
  <si>
    <t>EndEffects</t>
  </si>
  <si>
    <t>Removeable</t>
  </si>
  <si>
    <t>RemoveDead</t>
  </si>
  <si>
    <t>BuffType</t>
  </si>
  <si>
    <t>Prefabs</t>
  </si>
  <si>
    <t>Icon</t>
  </si>
  <si>
    <t>Name</t>
  </si>
  <si>
    <t>Desc</t>
  </si>
  <si>
    <t>UseAutoDesc</t>
  </si>
  <si>
    <t>Showhit</t>
  </si>
  <si>
    <t>*string</t>
  </si>
  <si>
    <t>ActiveCondition?</t>
  </si>
  <si>
    <t>string</t>
  </si>
  <si>
    <t>int</t>
  </si>
  <si>
    <t>[$BuffEffect]</t>
  </si>
  <si>
    <t>[$SkillEffect]</t>
  </si>
  <si>
    <t>bool</t>
  </si>
  <si>
    <t>[string]</t>
  </si>
  <si>
    <t>common</t>
  </si>
  <si>
    <t>client</t>
  </si>
  <si>
    <t>도트</t>
  </si>
  <si>
    <t>도트.이펙트</t>
  </si>
  <si>
    <t>Effect/Prefab/10_buff/EFF_debuff_fire</t>
  </si>
  <si>
    <t>debuff.fire01</t>
  </si>
  <si>
    <t>debuff.fire01.effect</t>
  </si>
  <si>
    <t>debuff.bleeding01</t>
  </si>
  <si>
    <t>debuff.bleeding01.effect</t>
  </si>
  <si>
    <t>Effect/Prefab/10_buff/EFF_debuff_bleeding</t>
  </si>
  <si>
    <t>icon_battle_bleeding</t>
  </si>
  <si>
    <t>Buff.Name.Bleeding</t>
  </si>
  <si>
    <t>debuff.defense.down</t>
  </si>
  <si>
    <t>Effect/Prefab/10_buff/EFF_debuff_down</t>
  </si>
  <si>
    <t>icon_battle_defense</t>
  </si>
  <si>
    <t>Buff.Name.DefenseDown</t>
  </si>
  <si>
    <t>실드</t>
  </si>
  <si>
    <t>실드.이펙트</t>
  </si>
  <si>
    <t>Effect/Prefab/10_buff/EFF_buff_shield</t>
  </si>
  <si>
    <t>스탯.방어증가</t>
  </si>
  <si>
    <t>스탯.방어.이펙트</t>
  </si>
  <si>
    <t>Effect/Prefab/10_buff/EFF_buff_up</t>
  </si>
  <si>
    <t>Buff.Name.DefenseUp</t>
  </si>
  <si>
    <t>기절</t>
  </si>
  <si>
    <t>기절.이펙트</t>
  </si>
  <si>
    <t>Effect/Prefab/10_buff/EFF_debuff_stun</t>
  </si>
  <si>
    <t>icon_battle_stun</t>
  </si>
  <si>
    <t>Buff.Name.Stun</t>
  </si>
  <si>
    <t>넉백</t>
  </si>
  <si>
    <t>넉백.이펙트</t>
  </si>
  <si>
    <t>Buff.Name.KnockBack</t>
  </si>
  <si>
    <t>넉백02</t>
  </si>
  <si>
    <t>넉백03</t>
  </si>
  <si>
    <t>회복</t>
  </si>
  <si>
    <t>호트.이펙트</t>
  </si>
  <si>
    <t>Effect/Prefab/07_etc/EFF_common_heal</t>
  </si>
  <si>
    <t>스탯.공격증가</t>
  </si>
  <si>
    <t>스탯.공격.이펙트</t>
  </si>
  <si>
    <t>icon_battle_attack</t>
  </si>
  <si>
    <t>Buff.Name.AttackUp</t>
  </si>
  <si>
    <t>스탯.공속증가</t>
  </si>
  <si>
    <t>스탯.공속.이펙트</t>
  </si>
  <si>
    <t>icon_battle_attackspeed</t>
  </si>
  <si>
    <t>Buff.Name.AttackSpeedUp</t>
  </si>
  <si>
    <t>시계탑광대.스킬1.버프</t>
  </si>
  <si>
    <t>debuff.fire01.effect
스탯.공격.이펙트
스탯.공속.이펙트</t>
  </si>
  <si>
    <t>갤리어스.실드</t>
  </si>
  <si>
    <t>갤리어스.실드.이펙트</t>
  </si>
  <si>
    <t>Effect/Prefab/10_buff/EFF_buff_gallius_shield</t>
  </si>
  <si>
    <t>집게보스.실드</t>
  </si>
  <si>
    <t>집게보스.실드.이펙트</t>
  </si>
  <si>
    <t>Effect/Prefab/10_buff/EFF_buff_shield_middle</t>
  </si>
  <si>
    <t>그로기</t>
  </si>
  <si>
    <t>그로기.조건
그로기.디버프면역</t>
  </si>
  <si>
    <t>boss.immun.knockback.buff</t>
  </si>
  <si>
    <t>boss.immun.knockback.buff.buffeffect</t>
  </si>
  <si>
    <t>디오메가다크.기절</t>
  </si>
  <si>
    <t>디오메가다크.버프</t>
  </si>
  <si>
    <t>스탯.공격.이펙트
스탯.공속.이펙트</t>
  </si>
  <si>
    <t>boss.freyja.active.effect.defense.down.buff.01</t>
  </si>
  <si>
    <t>boss.freyja.active.effect.defense.down.buff.buffeffect.01</t>
  </si>
  <si>
    <t>boss.freyja.active.effect.defense.down.buff.02</t>
  </si>
  <si>
    <t>boss.freyja.active.effect.defense.down.buff.buffeffect.02</t>
  </si>
  <si>
    <t>boss.freyja.active.effect.defense.down.buff.03</t>
  </si>
  <si>
    <t>boss.freyja.active.effect.defense.down.buff.buffeffect.03</t>
  </si>
  <si>
    <t>boss.freyja.hologramactive.effect.dmagerate.buff.01</t>
  </si>
  <si>
    <t>boss.freyja.hologramactive.effect.dmagerate.buff.buffeffect.01</t>
  </si>
  <si>
    <t>icon_battle_damagerate</t>
  </si>
  <si>
    <t>Buff.Name.DamageRateUp</t>
  </si>
  <si>
    <t>boss.freyja.hologramactive.effect.dmagerate.buff.02</t>
  </si>
  <si>
    <t>boss.freyja.hologramactive.effect.dmagerate.buff.buffeffect.02</t>
  </si>
  <si>
    <t>boss.freyja.hologramactive.effect.dmagerate.buff.03</t>
  </si>
  <si>
    <t>boss.freyja.hologramactive.effect.dmagerate.buff.buffeffect.03</t>
  </si>
  <si>
    <t>boss.freyja.hologramactive.effect.dmagerate.buff.04</t>
  </si>
  <si>
    <t>boss.freyja.hologramactive.effect.dmagerate.buff.buffeffect.04</t>
  </si>
  <si>
    <t>boss.freyja.hologramactive.effect.dmagerate.buff.05</t>
  </si>
  <si>
    <t>boss.freyja.hologramactive.effect.dmagerate.buff.buffeffect.05</t>
  </si>
  <si>
    <t>boss.freyja.hologramactive.effect.dmagerate.buff.06</t>
  </si>
  <si>
    <t>boss.freyja.hologramactive.effect.dmagerate.buff.buffeffect.06</t>
  </si>
  <si>
    <t>boss.freyja.hologramactive.effect.dmagerate.buff.07</t>
  </si>
  <si>
    <t>boss.freyja.hologramactive.effect.dmagerate.buff.buffeffect.07</t>
  </si>
  <si>
    <t>boss.freyja.hologramactive.effect.attackspeed.buff.01</t>
  </si>
  <si>
    <t>boss.freyja.hologramactive.effect.attackspeed.buff.buffeffect.01</t>
  </si>
  <si>
    <t>boss.freyja.hologramactive.effect.attackspeed.buff.02</t>
  </si>
  <si>
    <t>boss.freyja.hologramactive.effect.attackspeed.buff.buffeffect.02</t>
  </si>
  <si>
    <t>boss.freyja.hologramactive.effect.attackspeed.buff.03</t>
  </si>
  <si>
    <t>boss.freyja.hologramactive.effect.attackspeed.buff.buffeffect.03</t>
  </si>
  <si>
    <t>boss.freyja.hologramactive.effect.attackspeed.buff.04</t>
  </si>
  <si>
    <t>boss.freyja.hologramactive.effect.attackspeed.buff.buffeffect.04</t>
  </si>
  <si>
    <t>boss.freyja.hologramactive.effect.attackspeed.buff.05</t>
  </si>
  <si>
    <t>boss.freyja.hologramactive.effect.attackspeed.buff.buffeffect.05</t>
  </si>
  <si>
    <t>boss.freyja.hologramactive.effect.attackspeed.buff.06</t>
  </si>
  <si>
    <t>boss.freyja.hologramactive.effect.attackspeed.buff.buffeffect.06</t>
  </si>
  <si>
    <t>boss.freyja.hologramactive.effect.attackspeed.buff.07</t>
  </si>
  <si>
    <t>boss.freyja.hologramactive.effect.attackspeed.buff.buffeffect.07</t>
  </si>
  <si>
    <t>boss.freyja.passive.buff.01</t>
  </si>
  <si>
    <t>boss.freyja.passive.buff.buffeffect.01</t>
  </si>
  <si>
    <t>icon_battle_critical</t>
  </si>
  <si>
    <t>Buff.Name.CriticalUp</t>
  </si>
  <si>
    <t>boss.freyja.passive.buff.02</t>
  </si>
  <si>
    <t>boss.freyja.passive.buff.buffeffect.02</t>
  </si>
  <si>
    <t>boss.freyja.passive.buff.03</t>
  </si>
  <si>
    <t>boss.freyja.passive.buff.buffeffect.03</t>
  </si>
  <si>
    <t>boss.freyja.passive.buff.04</t>
  </si>
  <si>
    <t>boss.freyja.passive.buff.buffeffect.04</t>
  </si>
  <si>
    <t>boss.freyja.passive.buff.05</t>
  </si>
  <si>
    <t>boss.freyja.passive.buff.buffeffect.05</t>
  </si>
  <si>
    <t>boss.freyja.passive.buff.06</t>
  </si>
  <si>
    <t>boss.freyja.passive.buff.buffeffect.06</t>
  </si>
  <si>
    <t>boss.freyja.passive.buff.07</t>
  </si>
  <si>
    <t>boss.freyja.passive.buff.buffeffect.07</t>
  </si>
  <si>
    <t>Sector01.trooper_sniper_1.skill01.effect01.buff</t>
  </si>
  <si>
    <t>Sector01.trooper_sniper_1.skill01.effect01.buff.buffeffect</t>
  </si>
  <si>
    <t>Sector01.trooper_guard_1.skill01.effect01.buff.buffeffect</t>
  </si>
  <si>
    <t>icon_battle_shield</t>
  </si>
  <si>
    <t>Buff.Name.Shield</t>
  </si>
  <si>
    <t>Sector01.trooper_champion_1.skill01.effect01.buff</t>
  </si>
  <si>
    <t>Sector01.trooper_champion_1.skill01.effect01.buff.buffeffect</t>
  </si>
  <si>
    <t>Sector01.trooper_inferno_1.skill01.effect02.fire01.buff</t>
  </si>
  <si>
    <t>Sector01.trooper_inferno_1.skill01.effect02.fire01.buff.buffeffect</t>
  </si>
  <si>
    <t>icon_battle_burn</t>
  </si>
  <si>
    <t>Buff.Name.burn</t>
  </si>
  <si>
    <t>Sector01.labmecha_launcher_1.skill02.effect01.knockback01.buff</t>
  </si>
  <si>
    <t>Sector01.labmecha_launcher_1.skill02.effect01.knockback01.buff.buffeffect</t>
  </si>
  <si>
    <t>Sector01.labmecha_launcher_1.skill02.effect02.knockback01.buff</t>
  </si>
  <si>
    <t>Sector01.labmecha_launcher_1.skill02.effect02.knockback01.buff.buffeffect</t>
  </si>
  <si>
    <t>Sector01.harbor_crab_1.skill01.effect01.buff</t>
  </si>
  <si>
    <t>Sector01.harbor_crab_1.skill01.effect01.buff.buffeffect</t>
  </si>
  <si>
    <t>Sector01.harbor_crab_1.passive01.buff</t>
  </si>
  <si>
    <t>Sector01.harbor_crab_1.passive01.shield.buff.buffeffect</t>
  </si>
  <si>
    <t>Effect/Prefab/10_buff/EFF_buff_shield_middle_hit</t>
  </si>
  <si>
    <t>none</t>
  </si>
  <si>
    <t>Effect/Prefab/10_buff/EFF_buff_shield_middle_hit_act</t>
  </si>
  <si>
    <t>Sector01.harbor_punch_1.skill01.shield.buff</t>
  </si>
  <si>
    <t>Sector01.harbor_punch_1.skill01.effect01.buff.buffeffect01
Sector01.harbor_punch_1.skill01.effect01.buff.buffeffect02
Sector01.harbor_punch_1.skill01.effect01.buff.buffeffect03</t>
  </si>
  <si>
    <t>Effect/Prefab/10_buff/EFF_buff_shield_reflex</t>
  </si>
  <si>
    <t>icon_battle_reflection_2</t>
  </si>
  <si>
    <t>Buff.Name.Reflect.Shield</t>
  </si>
  <si>
    <t>Sector01.harbor_punch_1.skill01.shield.hiteffect.buff</t>
  </si>
  <si>
    <t>Effect/Prefab/10_buff/EFF_buff_shield_reflex_act</t>
  </si>
  <si>
    <t>Sector01.harbor_punch_1.skill02.effect01.knockback01.buff</t>
  </si>
  <si>
    <t>Sector01.harbor_punch_1.skill02.effect01.knockback01.buff.buffeffect</t>
  </si>
  <si>
    <t>Sector01.gallius_1.skill01.effect01.buff</t>
  </si>
  <si>
    <t>Sector01.gallius_1.skill01.effect01.buff.buffeffect</t>
  </si>
  <si>
    <t>Sector01.gallius_1.skill02.effect01.stun01.buff</t>
  </si>
  <si>
    <t>Sector01.gallius_1.skill02.effect01.stun01.buff.buffeffect</t>
  </si>
  <si>
    <t>Sector01.gallius_2.skill01.effect01.shield.buff</t>
  </si>
  <si>
    <t>Effect/Prefab/02.mob/TrooperBoss/EFF_gallius2_skill01_shield</t>
  </si>
  <si>
    <t>Sector01.gallius_2.skill02.effect01.stun01.buff</t>
  </si>
  <si>
    <t>Sector01.gallius_2.skill02.effect01.stun01.buff.buffeffect</t>
  </si>
  <si>
    <t>Sector02.silhouette_champion_3.skill01.effect01.buff</t>
  </si>
  <si>
    <t>Sector02.silhouette_champion_3.skill01.effect01.buff.buffeffect</t>
  </si>
  <si>
    <t>Sector02.silhouette_guard_3.skill01.effect01.buff</t>
  </si>
  <si>
    <t>Sector02.silhouette_inferno_3.skill01.effect02.fire01.buff</t>
  </si>
  <si>
    <t>Sector02.silhouette_inferno_3.skill01.effect02.fire01.buff.buffeffect</t>
  </si>
  <si>
    <t>Sector02.shelter_sweeper_r_1.skill01.effect01.knockback01.buff</t>
  </si>
  <si>
    <t>Sector02.shelter_sweeper_r_1.skill01.effect01.knockback01.buff.buffeffect</t>
  </si>
  <si>
    <t>Sector02.shelter_sweeper_v_1.skill01.effect01.knockback01.buff</t>
  </si>
  <si>
    <t>Sector02.shelter_sweeper_v_1.skill01.effect01.knockback01.buff.buffeffect</t>
  </si>
  <si>
    <t>Sector02.shelter_sweeper_g_1.skill02.effect01.knockback01.buff</t>
  </si>
  <si>
    <t>Sector02.shelter_sweeper_g_1.skill02.effect01.knockback01.buff.buffeffect</t>
  </si>
  <si>
    <t>Sector02.cassandra_1.passive01.buff</t>
  </si>
  <si>
    <t>Sector02.cassandra_1.passive01.buff.buffeffect</t>
  </si>
  <si>
    <t>Sector02.cassandra_2.skill03.epdown01.buff</t>
  </si>
  <si>
    <t>Sector02.cassandra_2.skill03.epdown01.buff.buffeffect</t>
  </si>
  <si>
    <t>icon_battle_eprechargerate_down</t>
  </si>
  <si>
    <t>Buff.Name.EPRechargeRateDown</t>
  </si>
  <si>
    <t>Sector02.cassandra_2.passive01.buff</t>
  </si>
  <si>
    <t>Sector02.cassandra_2.passive01.buff.buffeffect</t>
  </si>
  <si>
    <t>Sector02.cassandra_2.passive01.buff.attackup01.buff</t>
  </si>
  <si>
    <t>Sector02.cassandra_2.passive01.buff.attackup01.buff.buffeffect</t>
  </si>
  <si>
    <t>Effect/Prefab/10_buff/EFF_cassandra2_idle</t>
  </si>
  <si>
    <t>Sector02.cassandra_2.passive01.buff.overclock.buff</t>
  </si>
  <si>
    <t>Sector02.cassandra_2.passive01.buff.overclock.buff.buffeffect</t>
  </si>
  <si>
    <t>Effect/Prefab/10_buff/EFF_cassandra2_idle_buff</t>
  </si>
  <si>
    <t>Sector03.infdust_shield_2.skill01.effect01.buff</t>
  </si>
  <si>
    <t>Sector03.infdust_shield_2.skill01.effect01.buff.buffeffect</t>
  </si>
  <si>
    <t>Sector03.infdust_gauntlet_2.skill01.effect01.buff</t>
  </si>
  <si>
    <t>Sector03.infdust_gauntlet_2.skill01.effect01.buff.buffeffect</t>
  </si>
  <si>
    <t>Sector03.infdust_rifle_2.skill01.effect01.buff</t>
  </si>
  <si>
    <t>Sector03.infdust_rifle_2.skill01.effect01.buff.buffeffect</t>
  </si>
  <si>
    <t>Sector03.grima_alpha_1.skill03.effect01.stun01.buff</t>
  </si>
  <si>
    <t>Sector03.grima_alpha_1.skill03.effect01.stun01.buff.buffeffect</t>
  </si>
  <si>
    <t>Sector03.draindermis_1.skill02.effect01.buff</t>
  </si>
  <si>
    <t>Sector03.draindermis_1.skill02.effect01.buff.buffeffect</t>
  </si>
  <si>
    <t>Sector03.grima_beta_1.skill03.effect01.stun01.buff</t>
  </si>
  <si>
    <t>Sector03.grima_beta_1.skill03.effect01.stun01.buff.buffeffect</t>
  </si>
  <si>
    <t>Sector03.theomega_1.skill01.effect01.atkdown01.buff</t>
  </si>
  <si>
    <t>Sector03.theomega_1.skill01.effect01.atkdown01.buff.buffeffect</t>
  </si>
  <si>
    <t>Buff.Name.AttackDown</t>
  </si>
  <si>
    <t>Sector03.theomega_1.skill01.effect01.stun01.buff</t>
  </si>
  <si>
    <t>Sector03.theomega_1.skill01.effect01.stun01.buff.buffeffect</t>
  </si>
  <si>
    <t>Sector03.theomega_1.skill02.pre.buff</t>
  </si>
  <si>
    <t>Effect/Prefab/10_buff/EFF_theomega_skill1_shield_hit</t>
  </si>
  <si>
    <t>Buff.Name.theomega_1.barrier</t>
  </si>
  <si>
    <t>Buff.Desc.theomega_1.barrier</t>
  </si>
  <si>
    <t>Sector03.theomega_1.skill02.end.buff01</t>
  </si>
  <si>
    <t>BuffEffect</t>
  </si>
  <si>
    <t>Sector03.theomega_1.skill02.end.buff01.buffeffect</t>
  </si>
  <si>
    <t>icon_battle_damagederate</t>
  </si>
  <si>
    <t>Buff.Name.DamageDerateDown</t>
  </si>
  <si>
    <t>Sector03.theomega_1.skill02.end.buff02</t>
  </si>
  <si>
    <t>Sector03.theomega_1.skill02.end.buff02.buffeffect</t>
  </si>
  <si>
    <t>Sector03.theomega_1.skill03.effect01.heal.buff</t>
  </si>
  <si>
    <t>Sector03.theomega_1.skill03.effect01.heal.buff.buffeffect</t>
  </si>
  <si>
    <t>Effect/Prefab/10_buff/EFF_buff_dotheal</t>
  </si>
  <si>
    <t>icon_battle_heal</t>
  </si>
  <si>
    <t>Buff.Name.Dotheal</t>
  </si>
  <si>
    <t>Sector03.theomega_1.passive01.buff</t>
  </si>
  <si>
    <t>Sector03.theomega_1.passive01.buff.buffeffect</t>
  </si>
  <si>
    <t>Sector03.theomega_1.passive01.buff.buffeffect.skilleffect.buff</t>
  </si>
  <si>
    <t>Sector03.theomega_1.passive01.buff.buffeffect.skilleffect.buff.buffeffect</t>
  </si>
  <si>
    <t>Sector03.theomega_3.skill01.effect01.atkdown01.buff</t>
  </si>
  <si>
    <t>Sector03.theomega_3.skill01.effect01.atkdown01.buff.buffeffect</t>
  </si>
  <si>
    <t>Sector03.theomega_3.skill01.effect01.stun01.buff</t>
  </si>
  <si>
    <t>Sector03.theomega_3.skill01.effect01.stun01.buff.buffeffect</t>
  </si>
  <si>
    <t>Sector03.theomega_3.skill02.knoback.buff</t>
  </si>
  <si>
    <t>Sector03.theomega_3.skill02.knoback.buff.buffeffect</t>
  </si>
  <si>
    <t>Sector03.theomega_3.skill02.slow.buff</t>
  </si>
  <si>
    <t>Sector03.theomega_3.skill02.slow.buff.buffeffect</t>
  </si>
  <si>
    <t>icon_battle_movespeed</t>
  </si>
  <si>
    <t>Buff.Name.MoveSpeedDown</t>
  </si>
  <si>
    <t>Sector03.theomega_3.skill02.rage.start.buff</t>
  </si>
  <si>
    <t>Effect/Prefab/10_buff/EFF_buff_theomega_skill02</t>
  </si>
  <si>
    <t>Sector03.theomega_3.skill02.rage.buff</t>
  </si>
  <si>
    <t>Sector03.theomega_3.skill02.rage.buff.buffeffect01
Sector03.theomega_3.skill02.rage.buff.buffeffect02
Sector03.theomega_3.skill02.rage.buff.buffeffect03
Sector03.theomega_3.skill02.rage.buff.buffeffect04</t>
  </si>
  <si>
    <t>Buff.Name.theomega_3.barrier</t>
  </si>
  <si>
    <t>Buff.Desc.theomega_3.barrier</t>
  </si>
  <si>
    <t>Sector03.theomega_3.skill03.end.buff01</t>
  </si>
  <si>
    <t>Sector03.theomega_3.skill03.end.buff01.buffeffect</t>
  </si>
  <si>
    <t>Sector03.theomega_3.skill03.end.buff02</t>
  </si>
  <si>
    <t>Sector03.theomega_3.skill03.end.buff02.buffeffect</t>
  </si>
  <si>
    <t>Sector03.theomega_3.skill04.trigger.buff</t>
  </si>
  <si>
    <t>Sector03.theomega_3.skill04.trigger.buff.buffeffect</t>
  </si>
  <si>
    <t>Sector03.theomega_3.skill04.knoback.buff</t>
  </si>
  <si>
    <t>Sector03.theomega_3.skill04.knoback.buff.buffeffect</t>
  </si>
  <si>
    <t>Sector03.theomega_3.skill04.stun.buff</t>
  </si>
  <si>
    <t>Sector03.theomega_3.skill04.stun.buff.buffeffect</t>
  </si>
  <si>
    <t>Sector03.theomega_3.passive01.buff</t>
  </si>
  <si>
    <t>Sector03.theomega_3.passive01.buff.buffeffect</t>
  </si>
  <si>
    <t>Sector03.theomega_3.passive01.buff.buffeffect.skilleffect.buff</t>
  </si>
  <si>
    <t>Sector03.theomega_3.passive01.buff.buffeffect.skilleffect.buff.buffeffect</t>
  </si>
  <si>
    <t>Sector04.friendly_staffpatrol_1.skill01.effect01.buff</t>
  </si>
  <si>
    <t>Sector04.friendly_staffpatrol_1.skill01.effect01.buff.buffeffect</t>
  </si>
  <si>
    <t>Sector04.friendly_sicklepatrol_1.skill01.effect01.bleeding01.buff</t>
  </si>
  <si>
    <t>Sector04.friendly_sicklepatrol_1.skill01.effect01.bleeding01.buff.buffeffect</t>
  </si>
  <si>
    <t>Sector04.friendly_railgun_1.skill03.effect01.knockback01.buff</t>
  </si>
  <si>
    <t>Sector04.friendly_railgun_1.skill03.effect01.knockback01.buff.buffeffect</t>
  </si>
  <si>
    <t>Sector04.friendly_railgun_1.skill03.effect02.stun.buff</t>
  </si>
  <si>
    <t>Sector04.friendly_railgun_1.skill03.effect02.stun.buff.buffeffect</t>
  </si>
  <si>
    <t>Sector04.friendly_punch_1.skill01.effect01.stun01.buff</t>
  </si>
  <si>
    <t>Sector04.friendly_punch_1.skill01.effect01.stun01.buff.buffeffect</t>
  </si>
  <si>
    <t>Sector04.friendly_punch_1.skill02.effect01.knockback01.buff</t>
  </si>
  <si>
    <t>Sector04.friendly_punch_1.skill02.effect01.knockback01.buff.buffeffect</t>
  </si>
  <si>
    <t>Sector04.friendly_punch_1.skill03.effect01.buff01</t>
  </si>
  <si>
    <t>Sector04.friendly_punch_1.skill03.effect01.buff01.buffeffect</t>
  </si>
  <si>
    <t>Effect/Prefab/10_buff/EFF_buff_fever02</t>
  </si>
  <si>
    <t>Sector04.friendly_punch_1.skill03.effect01.buff02</t>
  </si>
  <si>
    <t>Sector04.friendly_punch_1.skill03.effect01.buff02.buffeffect</t>
  </si>
  <si>
    <t>icon_battle_damageimmune</t>
  </si>
  <si>
    <t>Buff.Name.NormalDamageImmune</t>
  </si>
  <si>
    <t>Sector04.friendly_pincers_1.skill01.effect01.buff</t>
  </si>
  <si>
    <t>Sector04.friendly_pincers_1.skill01.effect01.buff.buffeffect</t>
  </si>
  <si>
    <t>Buff.Name.Pull</t>
  </si>
  <si>
    <t>Sector04.friendly_pincers_1.skill01.effect01.atkdown01.buff</t>
  </si>
  <si>
    <t>Sector04.friendly_pincers_1.skill01.effect01.atkdown01.buff.buffeffect</t>
  </si>
  <si>
    <t>Buff.Name.DamageRateDown</t>
  </si>
  <si>
    <t>Sector04.nullaxe_1.attack.bleeding01.buff</t>
  </si>
  <si>
    <t>Sector04.nullaxe_1.attack.bleeding01.buff.buffeffect</t>
  </si>
  <si>
    <t>Sector04.nullaxe_1.skill01.effect01.knockback01.buff</t>
  </si>
  <si>
    <t>Sector04.nullaxe_1.skill01.effect01.knockback01.buff.buffeffect</t>
  </si>
  <si>
    <t>Sector04.nullaxe_1.skill01.effect02.stun01.buff</t>
  </si>
  <si>
    <t>Sector04.nullaxe_1.skill01.effect02.stun01.buff.buffeffect</t>
  </si>
  <si>
    <t>Sector04.nullaxe_1.skill02.effect02.buff</t>
  </si>
  <si>
    <t>Sector04.nullaxe_1.skill02.effect02.buff.buffeffect</t>
  </si>
  <si>
    <t>icon_boss_nullaxe1_stack01</t>
  </si>
  <si>
    <t>Sector04.nullaxe_1.skill03.pre.buff</t>
  </si>
  <si>
    <t>Sector04.nullaxe_1.skill03.pre.buff.buffeffect</t>
  </si>
  <si>
    <t>Sector04.nullaxe_1.passive01.buff</t>
  </si>
  <si>
    <t>Sector04.nullaxe_1.passive01.buff.buffeffect</t>
  </si>
  <si>
    <t>Sector04.nullaxe_1.passive02.buff</t>
  </si>
  <si>
    <t>Sector04.nullaxe_1.passive02.buff.buffeffect</t>
  </si>
  <si>
    <t>Sector04.nullaxe_2.attack.hpdrain.buff</t>
  </si>
  <si>
    <t>Sector04.nullaxe_2.attack.hpdrain.buff.buffeffect</t>
  </si>
  <si>
    <t>Sector04.nullaxe_2.attack.bleeding01.buff</t>
  </si>
  <si>
    <t>Sector04.nullaxe_2.attack.bleeding01.buff.buffeffect</t>
  </si>
  <si>
    <t>Sector04.nullaxe_2.skill01.effect01.knockback01.buff</t>
  </si>
  <si>
    <t>Sector04.nullaxe_2.skill01.effect01.knockback01.buff.buffeffect</t>
  </si>
  <si>
    <t>Sector04.nullaxe_2.skill01.effect02.stun01.buff</t>
  </si>
  <si>
    <t>Sector04.nullaxe_2.skill01.effect02.stun01.buff.buffeffect</t>
  </si>
  <si>
    <t>Sector04.nullaxe_2.skill02.pre.buff</t>
  </si>
  <si>
    <t>Sector04.nullaxe_2.skill02.pre.buff.buffeffect</t>
  </si>
  <si>
    <t>Sector04.nullaxe_2.skill02.effect02.buff</t>
  </si>
  <si>
    <t>Sector04.nullaxe_2.skill02.effect02.buff.buffeffect</t>
  </si>
  <si>
    <t>Sector04.nullaxe_2.skill03.pre.buff</t>
  </si>
  <si>
    <t>Sector04.nullaxe_2.skill03.pre.buff.buffeffect</t>
  </si>
  <si>
    <t>Sector04.nullaxe_2.passive01.buff</t>
  </si>
  <si>
    <t>Sector04.nullaxe_2.passive01.buff.buffeffect</t>
  </si>
  <si>
    <t>Sector04.nullaxe_2.passive02.buff</t>
  </si>
  <si>
    <t>Sector04.nullaxe_2.passive02.buff.buffeffect</t>
  </si>
  <si>
    <t>Sector04.nullaxe_2.passive03.buff</t>
  </si>
  <si>
    <t>Sector04.nullaxe_2.passive03.buff.buffeffect</t>
  </si>
  <si>
    <t>Sector05.goliath_1.passive01.buff</t>
  </si>
  <si>
    <t>Sector05.goliath_1.passive01.buff.buffeffect</t>
  </si>
  <si>
    <t>Effect/Prefab/10_buff/EFF_buff_boss_goliath_passive_1</t>
  </si>
  <si>
    <t>Sector06.polluter_1.skill01.bleeding01.buff</t>
  </si>
  <si>
    <t>Sector06.polluter_1.skill01.bleeding01.buff.buffeffect</t>
  </si>
  <si>
    <t>Sector06.polluter_edge_1.skill01.poison01.buff</t>
  </si>
  <si>
    <t>Sector06.polluter_edge_1.skill01.poison01.buff.buffeffect</t>
  </si>
  <si>
    <t>Effect/Prefab/10_buff/EFF_debuff_poison</t>
  </si>
  <si>
    <t>icon_battle_poison</t>
  </si>
  <si>
    <t>Buff.Name.Poison</t>
  </si>
  <si>
    <t>Sector06.polluter_fog_1.skill01.atkspeed01.buff</t>
  </si>
  <si>
    <t>Sector06.polluter_fog_1.skill01.atkspeed01.buff.buffeffect</t>
  </si>
  <si>
    <t>Sector06.polluter_haze_1.skill01.poison01.buff</t>
  </si>
  <si>
    <t>Sector06.polluter_haze_1.skill01.poison01.buff.buffeffect</t>
  </si>
  <si>
    <t>Sector06.polluter_haze_1.skill01.defdown01.buff</t>
  </si>
  <si>
    <t>Sector06.polluter_haze_1.skill01.defdown01.buff.buffeffect</t>
  </si>
  <si>
    <t>Sector06.polluter_chunk_1.skill01.atkup01.buff</t>
  </si>
  <si>
    <t>Sector06.polluter_chunk_1.skill01.atkup01.buff.buffeffect</t>
  </si>
  <si>
    <t>Sector06.polluter_chunk_1.skill02.defdown01.buff</t>
  </si>
  <si>
    <t>Sector06.polluter_chunk_1.skill02.defdown01.buff.buffeffect</t>
  </si>
  <si>
    <t>Sector06.polluter_chunk_1.skill03.fire01.buff</t>
  </si>
  <si>
    <t>Sector06.polluter_chunk_1.skill03.fire01.buff.buffeffect</t>
  </si>
  <si>
    <t>Sector06.polluter_spike_1.skill01.poison01.buff</t>
  </si>
  <si>
    <t>Sector06.polluter_spike_1.skill01.poison01.buff.buffeffect</t>
  </si>
  <si>
    <t>Sector06.polluter_bloblauncher_1.skill01.poison01.buff</t>
  </si>
  <si>
    <t>Sector06.polluter_bloblauncher_1.skill01.poison01.buff.buffeffect</t>
  </si>
  <si>
    <t>Sector06.polluter_bloblauncher_1.skill01.atkspeeddown01.buff</t>
  </si>
  <si>
    <t>Sector06.polluter_bloblauncher_1.skill01.atkspeeddown01.buff.buffeffect</t>
  </si>
  <si>
    <t>Buff.Name.AttackSpeedDown</t>
  </si>
  <si>
    <t>Sector06.polluter_bloblauncher_1.skill02.atkup01.buff</t>
  </si>
  <si>
    <t>Sector06.polluter_bloblauncher_1.skill02.atkup01.buff.buffeffect</t>
  </si>
  <si>
    <t>Sector06.toxic_1.poison01.buff</t>
  </si>
  <si>
    <t>Sector06.toxic_1.poison01.buff.buffeffect</t>
  </si>
  <si>
    <t>Sector06.toxic_1.skill03.effect02.stun.buff</t>
  </si>
  <si>
    <t>stun</t>
  </si>
  <si>
    <t>Sector06.toxic_1.passive01.buff</t>
  </si>
  <si>
    <t>Sector06.toxic_1.passive01.buff.buffeffect01
Sector06.toxic_1.passive01.buff.buffeffect02
Sector06.toxic_1.passive01.buff.buffeffect03</t>
  </si>
  <si>
    <t>Sector06.toxic_1.passive01.hot.buff</t>
  </si>
  <si>
    <t>Sector06.toxic_1.passive01.hot.buff.buffeffect</t>
  </si>
  <si>
    <t>Sector06.toxic_1.passive02.buff</t>
  </si>
  <si>
    <t>Sector06.toxic_1.passive02.buff.buffeffect</t>
  </si>
  <si>
    <t>Sector06.toxic_3.poison01.buff</t>
  </si>
  <si>
    <t>Sector06.toxic_3.poison01.buff.buffeffect</t>
  </si>
  <si>
    <t>Sector06.toxic_3.passive01.buff</t>
  </si>
  <si>
    <t>Sector06.toxic_3.passive01.buff.buffeffect01
Sector06.toxic_3.passive01.buff.buffeffect02
Sector06.toxic_3.passive01.buff.buffeffect03</t>
  </si>
  <si>
    <t>Sector06.toxic_3.passive01.hot.buff</t>
  </si>
  <si>
    <t>Sector06.toxic_3.passive01.hot.buff.buffeffect</t>
  </si>
  <si>
    <t>Sector06.toxic_3.passive02.buff</t>
  </si>
  <si>
    <t>Sector06.toxic_3.passive02.buff.buffeffect01
Sector06.toxic_3.passive02.buff.buffeffect02</t>
  </si>
  <si>
    <t>Sector07.clock_squire_1.skill01.effect01.buff</t>
  </si>
  <si>
    <t>Sector07.clock_squire_1.skill01.effect01.buff.buffeffect</t>
  </si>
  <si>
    <t>Sector07.clock_crossbow_1.skill01.effect01.fire01.buff</t>
  </si>
  <si>
    <t>Sector07.clock_crossbow_1.skill01.effect01.fire01.buff.buffeffect</t>
  </si>
  <si>
    <t>Sector07.clock_shield_1.skill01.effect01.stun01.buff</t>
  </si>
  <si>
    <t>Sector07.clock_shield_1.skill01.effect01.stun01.buff.buffeffect</t>
  </si>
  <si>
    <t>Sector07.clock_clown_1.skill01.effect01.buff01</t>
  </si>
  <si>
    <t>Sector07.clock_clown_1.skill01.effect01.buff01.buffeffect</t>
  </si>
  <si>
    <t>Sector07.clock_clown_1.skill01.effect01.buff02</t>
  </si>
  <si>
    <t>Sector07.clock_clown_1.skill01.effect01.buff02.buffeffect</t>
  </si>
  <si>
    <t>Sector07.clock_clown_1.skill01.effect01.buff03</t>
  </si>
  <si>
    <t>Sector07.clock_clown_1.skill01.effect01.buff03.buffeffect</t>
  </si>
  <si>
    <t>Sector07.clock_honor_knight_1.skill01.effect01.bleeding01.buff</t>
  </si>
  <si>
    <t>Sector07.clock_honor_knight_1.skill01.effect01.bleeding01.buff.buffeffect</t>
  </si>
  <si>
    <t>Sector07.clock_noble_knight_1.skill01.effect01.burn01.buff</t>
  </si>
  <si>
    <t>Sector07.clock_noble_knight_1.skill01.effect01.burn01.buff.buffeffect</t>
  </si>
  <si>
    <t>Sector07.clock_noble_knight_1.skill02.effect01.shield01.buff</t>
  </si>
  <si>
    <t>Sector07.clock_noble_knight_1.skill02.effect01.shield01.buff.buffeffect</t>
  </si>
  <si>
    <t>Sector07.clock_noble_knight_1.skill03.effect01.knockback01.buff</t>
  </si>
  <si>
    <t>Sector07.clock_noble_knight_1.skill03.effect01.knockback01.buff.buffeffect</t>
  </si>
  <si>
    <t>Sector07.clock_noble_knight_1.passive01.buff</t>
  </si>
  <si>
    <t>Sector07.clock_noble_knight_1.passive01.buff.buffeffect</t>
  </si>
  <si>
    <t>Sector07.clock_noble_knight_1.passive01.trigger.buff</t>
  </si>
  <si>
    <t>Sector07.clock_noble_knight_1.passive01.trigger.buff.buffeffect</t>
  </si>
  <si>
    <t>Sector07.clock_noble_knight_1.passive01.trigger.buff.skilleffect</t>
  </si>
  <si>
    <t>Buff.Name.clock_noble_knight_1.stack</t>
  </si>
  <si>
    <t>Buff.Desc.clock_noble_knight_1.stack</t>
  </si>
  <si>
    <t>Sector07.clock_noble_knight_1.passive01.atkup.buff</t>
  </si>
  <si>
    <t>Sector07.clock_noble_knight_1.passive01.atkup.buff.buffeffect</t>
  </si>
  <si>
    <t>Sector07.clock_noble_knight_1.passive02.buff</t>
  </si>
  <si>
    <t>Sector07.clock_noble_knight_1.passive02.buff.buffeffect</t>
  </si>
  <si>
    <t>Sector07.clock_noble_bishop_1.skill01.effect01.silence01.buff</t>
  </si>
  <si>
    <t>silence</t>
  </si>
  <si>
    <t>Effect/Prefab/10_buff/EFF_debuff_silence</t>
  </si>
  <si>
    <t>icon_battle_silence</t>
  </si>
  <si>
    <t>Buff.Name.Silence</t>
  </si>
  <si>
    <t>Sector07.clock_noble_bishop_1.skill02.effect01.wound01.buff</t>
  </si>
  <si>
    <t>Sector07.clock_noble_bishop_1.skill02.effect01.wound01.buff.buffeffect</t>
  </si>
  <si>
    <t>icon_battle_receiverecovery</t>
  </si>
  <si>
    <t>Buff.Name.ReceiveRecoveryRateDown</t>
  </si>
  <si>
    <t>Sector07.clock_noble_keeper_1.attack01.effect01.knockback01.buff</t>
  </si>
  <si>
    <t>Sector07.clock_noble_keeper_1.attack01.effect01.knockback01.buff.buffeffect</t>
  </si>
  <si>
    <t>Sector07.clock_noble_keeper_1.attack01.effect01.movespeeddown01.buff</t>
  </si>
  <si>
    <t>Sector07.clock_noble_keeper_1.attack01.effect01.movespeeddown01.buff.buffeffect</t>
  </si>
  <si>
    <t>Sector07.clock_noble_keeper_1.skill01.effect01.fire01.buff</t>
  </si>
  <si>
    <t>Sector07.clock_noble_keeper_1.skill01.effect01.fire01.buff.buffeffect</t>
  </si>
  <si>
    <t>Sector07.clock_noble_keeper_1.skill02.effect01.defdown01.buff</t>
  </si>
  <si>
    <t>Sector07.clock_noble_keeper_1.skill02.effect01.defdown01.buff.buffeffect</t>
  </si>
  <si>
    <t>Sector07.clock_royal_queen_1.skill01.effect01.wound.buff</t>
  </si>
  <si>
    <t>Sector07.clock_royal_queen_1.skill01.effect01.wound.buff.buffeffect</t>
  </si>
  <si>
    <t>Sector07.clock_royal_queen_1.skill03.effect01.buff</t>
  </si>
  <si>
    <t>Sector07.clock_royal_queen_1.skill03.effect01.buff.buffeffect</t>
  </si>
  <si>
    <t>Sector07.clock_royal_queen_1.skill03.effect02.buff</t>
  </si>
  <si>
    <t>Sector07.clock_royal_queen_1.skill03.effect02.buff.buffeffect</t>
  </si>
  <si>
    <t>Sector07.clock_royal_queen_1.passive01.buff</t>
  </si>
  <si>
    <t>Sector07.clock_royal_queen_1.passive01.buff.buffeffect</t>
  </si>
  <si>
    <t>Sector07.clock_royal_queen_1.passive02.buff</t>
  </si>
  <si>
    <t>Sector07.clock_royal_queen_1.passive02.buff.buffeffect</t>
  </si>
  <si>
    <t>Sector07.clock_royal_queen_2.skill01.effect01.wound.buff</t>
  </si>
  <si>
    <t>Sector07.clock_royal_queen_2.skill01.effect01.wound.buff.buffeffect</t>
  </si>
  <si>
    <t>Sector07.clock_royal_queen_2.skill03.effect01.buff</t>
  </si>
  <si>
    <t>Sector07.clock_royal_queen_2.skill03.effect01.buff.buffeffect</t>
  </si>
  <si>
    <t>Sector07.clock_royal_queen_2.skill03.effect02.buff</t>
  </si>
  <si>
    <t>Sector07.clock_royal_queen_2.skill03.effect02.buff.buffeffect</t>
  </si>
  <si>
    <t>Sector07.clock_royal_queen_2.skill03.trigger.buff</t>
  </si>
  <si>
    <t>Sector07.clock_royal_queen_2.skill03.trigger.buff.buffeffect</t>
  </si>
  <si>
    <t>Sector07.clock_royal_queen_2.passive01.buff</t>
  </si>
  <si>
    <t>Sector07.clock_royal_queen_2.passive01.buff.buffeffect</t>
  </si>
  <si>
    <t>Sector07.clock_royal_queen_2.passive02.buff</t>
  </si>
  <si>
    <t>Sector07.clock_royal_queen_2.passive02.buff.buffeffect</t>
  </si>
  <si>
    <t>Effect/Prefab/10_buff/EFF_debuff_defdown</t>
  </si>
  <si>
    <t>테스트.풀링</t>
  </si>
  <si>
    <t>테스트.풀링.이펙트</t>
  </si>
  <si>
    <t>TargetTendency</t>
  </si>
  <si>
    <t>AreaType</t>
  </si>
  <si>
    <t>AreaValue</t>
  </si>
  <si>
    <t>TargetCount</t>
  </si>
  <si>
    <t>Effect</t>
  </si>
  <si>
    <t>UseStack</t>
  </si>
  <si>
    <t>Tick</t>
  </si>
  <si>
    <t>ShowHit</t>
  </si>
  <si>
    <t>[int]</t>
  </si>
  <si>
    <t>dsl</t>
  </si>
  <si>
    <t>Self</t>
  </si>
  <si>
    <t>Single</t>
  </si>
  <si>
    <t>debuff.defense.down.effect</t>
  </si>
  <si>
    <t>기절면역.Buff이펙트</t>
  </si>
  <si>
    <t>넉백면역.Buff이펙트</t>
  </si>
  <si>
    <t>도발.Buff이펙트</t>
  </si>
  <si>
    <t>그로기.조건</t>
  </si>
  <si>
    <t>그로기.디버프면역</t>
  </si>
  <si>
    <t>Ally</t>
  </si>
  <si>
    <t>All</t>
  </si>
  <si>
    <t>Sector01.harbor_crab_1.passive01.buff.buffeffect01</t>
  </si>
  <si>
    <t>Buff</t>
  </si>
  <si>
    <t>Sector01.harbor_crab_1.passive01.shield.buff.buffeffect02</t>
  </si>
  <si>
    <t>Sector01.harbor_punch_1.skill01.effect01.buff.buffeffect01</t>
  </si>
  <si>
    <t>Sector01.harbor_punch_1.skill01.effect01.buff.buffeffect02</t>
  </si>
  <si>
    <t>Sector01.harbor_punch_1.skill01.effect01.buff.buffeffect03</t>
  </si>
  <si>
    <t>Sector01.gallius_2.skill01.effect01.shield.buff.buffeffect01</t>
  </si>
  <si>
    <t>Sector01.gallius_2.skill01.effect01.shield.buff.buffeffect02</t>
  </si>
  <si>
    <t>Sector03.theomega_3.skill02.rage.buff.buffeffect02</t>
  </si>
  <si>
    <t>Sector03.theomega_3.skill02.rage.buff.buffeffect03</t>
  </si>
  <si>
    <t>Sector03.theomega_3.skill02.rage.buff.buffeffect04</t>
  </si>
  <si>
    <t>Sector05.labsuit_cannon_1.skill02.effect01.buff.buffeffect</t>
  </si>
  <si>
    <t>Sector05.labsuit_cannon_1.skill02.effect02.buff.buffeffect</t>
  </si>
  <si>
    <t>Sector06.toxic_1.passive01.buff.buffeffect01</t>
  </si>
  <si>
    <t>DebuffEffectType</t>
  </si>
  <si>
    <t>Burn</t>
  </si>
  <si>
    <t>Sector06.toxic_1.passive01.buff.buffeffect02</t>
  </si>
  <si>
    <t>Poison</t>
  </si>
  <si>
    <t>Sector06.toxic_1.passive01.buff.buffeffect03</t>
  </si>
  <si>
    <t>Bleed</t>
  </si>
  <si>
    <t>Sector06.toxic_3.passive01.buff.buffeffect01</t>
  </si>
  <si>
    <t>Sector06.toxic_3.passive01.buff.buffeffect02</t>
  </si>
  <si>
    <t>Sector06.toxic_3.passive01.buff.buffeffect03</t>
  </si>
  <si>
    <t>Sector06.toxic_3.passive02.buff.buffeffect01</t>
  </si>
  <si>
    <t>Sector06.toxic_3.passive02.buff.buffeffect02</t>
  </si>
  <si>
    <t>stage.fever.buff.buffeffect.01</t>
  </si>
  <si>
    <t>stage.fever.buff.buffeffect.02</t>
  </si>
  <si>
    <t>stage.fever.buff.buffeffect.03</t>
  </si>
  <si>
    <t>fever.attackspeed.01</t>
  </si>
  <si>
    <t>fever.attackspeed.02</t>
  </si>
  <si>
    <t>fever.attackspeed.03</t>
  </si>
  <si>
    <t>fever.attack.01</t>
  </si>
  <si>
    <t>fever.attack.02</t>
  </si>
  <si>
    <t>fever.attack.03</t>
  </si>
  <si>
    <t>fever.defensedown</t>
  </si>
  <si>
    <t>Rotation.Cube.Neardead.stun.buff.buffeffect</t>
  </si>
  <si>
    <t>Rotation.Common.Buff.buffeffect</t>
  </si>
  <si>
    <t>icon_battle_eprechargerate_up</t>
  </si>
  <si>
    <t>Buff.Name.EPRechargeRateUP</t>
  </si>
  <si>
    <t>Rotation.Cube.tier01.start.buff.buffeffect</t>
  </si>
  <si>
    <t>Rotation.Cube.tier02.start.buff</t>
  </si>
  <si>
    <t>Rotation.Cube.tier02.start.buff.buffeffect</t>
  </si>
  <si>
    <t>Rotation.Cube.tier03.start.buff</t>
  </si>
  <si>
    <t>Rotation.Cube.tier03.start.buff.buffeffect</t>
  </si>
  <si>
    <t>Rotation.Cube.tier04.start.buff</t>
  </si>
  <si>
    <t>Rotation.Cube.tier04.start.buff.buffeffect</t>
  </si>
  <si>
    <t>Rotation.Cube.tier05.start.buff</t>
  </si>
  <si>
    <t>Rotation.Cube.tier05.start.buff.buffeffect</t>
  </si>
  <si>
    <t>Rotation.cube.idle.effect</t>
  </si>
  <si>
    <t>Effect/Prefab/10_buff/EFF_buff_rotation01
Effect/Prefab/10_buff/EFF_buff_rotation_ground</t>
  </si>
  <si>
    <t>Rotation.Cube.tier02.buff</t>
  </si>
  <si>
    <t>Rotation.Cube.tier03.buff</t>
  </si>
  <si>
    <t>Rotation.Cube.tier04.buff</t>
  </si>
  <si>
    <t>Effect/Prefab/10_buff/EFF_buff_rotation02
Effect/Prefab/10_buff/EFF_buff_rotation_ground</t>
  </si>
  <si>
    <t>Rotation.Cube.tier05.buff</t>
  </si>
  <si>
    <t>Effect/Prefab/10_buff/EFF_buff_rotation03
Effect/Prefab/10_buff/EFF_buff_rotation_ground</t>
  </si>
  <si>
    <t>로테이션1</t>
  </si>
  <si>
    <t>Faction</t>
  </si>
  <si>
    <t>Limerit</t>
  </si>
  <si>
    <t>팩션버프1</t>
  </si>
  <si>
    <t>로테이션2</t>
  </si>
  <si>
    <t>Stings</t>
  </si>
  <si>
    <t>팩션버프2</t>
  </si>
  <si>
    <t>로테이션3</t>
  </si>
  <si>
    <t>Artase</t>
  </si>
  <si>
    <t>팩션버프3</t>
  </si>
  <si>
    <t>아레나챌린지.공격력증가</t>
  </si>
  <si>
    <t>아레나챌린지.공20</t>
  </si>
  <si>
    <t>아레나챌린지.생명력증가</t>
  </si>
  <si>
    <t>아레나챌린지.생20</t>
  </si>
  <si>
    <t>icon_battle_hp</t>
  </si>
  <si>
    <t>아레나챌린지.방어력증가</t>
  </si>
  <si>
    <t>아레나챌린지.방20</t>
  </si>
  <si>
    <t>아레나챌린지.모든능력치증가</t>
  </si>
  <si>
    <t>아레나챌린지.공10
아레나챌린지.생10
아레나챌린지.방10</t>
  </si>
  <si>
    <t>icon_battle_fever</t>
  </si>
  <si>
    <t>아레나챌린지.소속버프.1</t>
  </si>
  <si>
    <t>icon_battle_addattack</t>
  </si>
  <si>
    <t>Buff.Desc.ArenaChallange.Faction.01</t>
  </si>
  <si>
    <t>아레나챌린지.소속버프.2</t>
  </si>
  <si>
    <t>Buff.Desc.ArenaChallange.Faction.02</t>
  </si>
  <si>
    <t>아레나챌린지.소속버프.3</t>
  </si>
  <si>
    <t>Buff.Desc.ArenaChallange.Faction.03</t>
  </si>
  <si>
    <t>월드.리메리트</t>
  </si>
  <si>
    <t>소속기본.공20
소속기본.생20
소속기본.방20</t>
  </si>
  <si>
    <t>Buff.Name.WorldRaid.Faction.01</t>
  </si>
  <si>
    <t>Buff.Desc.WorldRaid.Faction.01</t>
  </si>
  <si>
    <t>월드.스팅스</t>
  </si>
  <si>
    <t>Buff.Name.WorldRaid.Faction.02</t>
  </si>
  <si>
    <t>Buff.Desc.WorldRaid.Faction.02</t>
  </si>
  <si>
    <t>월드.아르세즈</t>
  </si>
  <si>
    <t>Buff.Name.WorldRaid.Faction.03</t>
  </si>
  <si>
    <t>Buff.Desc.WorldRaid.Faction.03</t>
  </si>
  <si>
    <t>WorldRaid.eperiusunit_1.skill03.atkup01.buff</t>
  </si>
  <si>
    <t>WorldRaid.eperiusunit_1.skill03.atkup01.buff.buffeffect</t>
  </si>
  <si>
    <t>WorldRaid.eperiusunit_1.skill03.shock01.buff</t>
  </si>
  <si>
    <t>WorldRaid.eperiusunit_1.skill03.shock01.buff.buffeffect</t>
  </si>
  <si>
    <t>Effect/Prefab/10_buff/EFF_debuff_electric</t>
  </si>
  <si>
    <t>icon_battle_shock</t>
  </si>
  <si>
    <t>WorldRaid.eperiusunit_1.skill04.cast.buff</t>
  </si>
  <si>
    <t>WorldRaid.eperiusunit_1.skill04.cast.buff.buffeffect</t>
  </si>
  <si>
    <t>WorldRaid.eperiusunit_1.passive01.buff</t>
  </si>
  <si>
    <t>Effect/Prefab/10_buff/EFF_debuff_electric
Effect/Prefab/10_buff/EFF_debuff_stun</t>
  </si>
  <si>
    <t>Buff.Name.Shock</t>
  </si>
  <si>
    <t>Effect/Prefab/02.mob/boss_kara/EFF_kara_skill3_weapon</t>
  </si>
  <si>
    <t>GuildAssault.Passive.buff</t>
  </si>
  <si>
    <t>GuildAssault.atkup.buff</t>
  </si>
  <si>
    <t>GuildAssault.atkup.buff.buffeffect</t>
  </si>
  <si>
    <t>GuildAssault.defup.buff</t>
  </si>
  <si>
    <t>GuildAssault.defup.buff.buffeffect</t>
  </si>
  <si>
    <t>GuildAssault.dmgup.buff</t>
  </si>
  <si>
    <t>GuildAssault.dmgup.buff.buffeffect</t>
  </si>
  <si>
    <t>1111401001.skill02.01.burn.buff</t>
  </si>
  <si>
    <t>1111401001.skill02.02.atkdown.buff</t>
  </si>
  <si>
    <t>1111401001.skill02.02.atkdown.buff.buffeffect</t>
  </si>
  <si>
    <t>1111401001.skill02.03.atkdown.buff</t>
  </si>
  <si>
    <t>1111401001.skill02.03.atkdown.buff.buffeffect</t>
  </si>
  <si>
    <t>1111401001.skill02.04.bleed.buff</t>
  </si>
  <si>
    <t>1111401001.skill02.04.bleed.buff.buffeffect</t>
  </si>
  <si>
    <t>1111401001.skill03.03.stun.buff</t>
  </si>
  <si>
    <t>1111401001.Passive.01.buff</t>
  </si>
  <si>
    <t>1111401001.Passive.01.buff.buffeffect</t>
  </si>
  <si>
    <t>1111401001.Passive.02.buff</t>
  </si>
  <si>
    <t>1111401001.Passive.02.buff.buffeffect</t>
  </si>
  <si>
    <t>1111401001.Passive.03.buff</t>
  </si>
  <si>
    <t>1111401001.Passive.03.buff.buffeffect01
1111401001.Passive.03.buff.buffeffect02
1111401001.Passive.03.buff.buffeffect03
1111401001.Passive.03.buff.buffeffect04</t>
  </si>
  <si>
    <t>1111401001.Passive.03.reduce.dmg.up.buff.buffeffect</t>
  </si>
  <si>
    <t>1111401002.Passive.buff</t>
  </si>
  <si>
    <t>1111401002.Passive.buff.buffeffect01
1111401002.Passive.buff.buffeffect02</t>
  </si>
  <si>
    <t>1111401002.Passive.shield.buff</t>
  </si>
  <si>
    <t>1111401002.Passive.shield.buff.buffeffect</t>
  </si>
  <si>
    <t>1111401002.Passive.end.trigger.buff</t>
  </si>
  <si>
    <t>1111401002.Passive.end.trigger.buff.buffeffect</t>
  </si>
  <si>
    <t>1111401002.Passive.taunt.buff</t>
  </si>
  <si>
    <t xml:space="preserve">Effect/Prefab/10_buff/EFF_debuff_taunt </t>
  </si>
  <si>
    <t>icon_battle_provoke</t>
  </si>
  <si>
    <t>1111401003.Passive.buff</t>
  </si>
  <si>
    <t>1111401003.Passive.buff.buffeffect01
1111401003.Passive.buff.buffeffect02</t>
  </si>
  <si>
    <t>1111401003.Passive.shield.buff</t>
  </si>
  <si>
    <t>1111401003.Passive.shield.buff.buffeffect</t>
  </si>
  <si>
    <t>1111401003.Passive.end.trigger.buff</t>
  </si>
  <si>
    <t>1111401003.Passive.end.trigger.buff.buffeffect</t>
  </si>
  <si>
    <t>1111401004.skill01.shield.buff</t>
  </si>
  <si>
    <t>1111401004.skill01.shield.buff.buffeffect</t>
  </si>
  <si>
    <t>GuildOperation.Normal.buff</t>
  </si>
  <si>
    <t>GuildOperation.Hard.buff</t>
  </si>
  <si>
    <t>GuildOperation.Normal.atkup.buff</t>
  </si>
  <si>
    <t>GuildOperation.Normal.atkup.buff.buffeffect</t>
  </si>
  <si>
    <t>GuildOperation.Normal.defup.buff</t>
  </si>
  <si>
    <t>GuildOperation.Normal.defup.buff.buffeffect</t>
  </si>
  <si>
    <t>GuildOperation.Normal.dmgup.buff</t>
  </si>
  <si>
    <t>GuildOperation.Normal.dmgup.buff.buffeffect</t>
  </si>
  <si>
    <t>GuildOperation.Hard.atkup.buff</t>
  </si>
  <si>
    <t>GuildOperation.Hard.atkup.buff.buffeffect</t>
  </si>
  <si>
    <t>GuildOperation.Hard.defup.buff</t>
  </si>
  <si>
    <t>GuildOperation.Hard.defup.buff.buffeffect</t>
  </si>
  <si>
    <t>GuildOperation.Hard.dmgup.buff</t>
  </si>
  <si>
    <t>GuildOperation.Hard.dmgup.buff.buffeffect</t>
  </si>
  <si>
    <t>GuildOperation.bonus.trigger.buff</t>
  </si>
  <si>
    <t>GuildOperation.bonus.trigger.buff.buffeffect</t>
  </si>
  <si>
    <t>GuildOperation01.toxic_2.skill03.pre.buff01</t>
  </si>
  <si>
    <t>GuildOperation01.toxic_2.skill03.pre.buff01.buffeffect</t>
  </si>
  <si>
    <t>GuildOperation01.toxic_2.skill03.pre.buff02</t>
  </si>
  <si>
    <t>GuildOperation01.toxic_2.skill03.pre.buff02.buffeffect</t>
  </si>
  <si>
    <t>GuildOperation01.toxic_2.skill03.hit.dmgup.buff</t>
  </si>
  <si>
    <t>GuildOperation01.toxic_2.skill03.hit.dmgup.buff.buffeffect</t>
  </si>
  <si>
    <t>GuildOperation02.goliath_2.attack01.pre.buff</t>
  </si>
  <si>
    <t>GuildOperation02.goliath_2.attack01.pre.buff.buffeffect01
GuildOperation02.goliath_2.attack01.pre.buff.buffeffect02</t>
  </si>
  <si>
    <t>GuildOperation02.goliath_2.skill01.knockback01.buff</t>
  </si>
  <si>
    <t>GuildOperation02.goliath_2.skill01.knockback01.buff.buffeffect</t>
  </si>
  <si>
    <t>GuildOperation02.goliath_2.skill02.epdown01.buff</t>
  </si>
  <si>
    <t>GuildOperation02.goliath_2.skill02.epdown01.buff.buffeffect</t>
  </si>
  <si>
    <t>GuildOperation02.goliath_2.skill03.shock01.buff</t>
  </si>
  <si>
    <t>GuildOperation02.goliath_2.skill03.shock01.buff.buffeffect</t>
  </si>
  <si>
    <t>GuildOperation02.goliath_2.skill03.stack.buff</t>
  </si>
  <si>
    <t>GuildOperation02.goliath_2.skill03.stack.buff.buffeffect</t>
  </si>
  <si>
    <t>GuildOperation02.goliath_2.passive01.buff</t>
  </si>
  <si>
    <t>GuildOperation02.goliath_2.passive01.shield01.buff</t>
  </si>
  <si>
    <t>GuildOperation02.goliath_2.passive01.shield01.buff.buffeffect</t>
  </si>
  <si>
    <t>Effect/Prefab/10_buff/EFF_goliath_B_skill3_shield_reflex</t>
  </si>
  <si>
    <t>GuildOperation02.goliath_2.passive01.shield02.buff</t>
  </si>
  <si>
    <t>GuildOperation02.goliath_2.passive01.shield02.buff.buffeffect</t>
  </si>
  <si>
    <t>GuildOperation02.goliath_2.passive01.shield.hiteffect.buff</t>
  </si>
  <si>
    <t>Effect/Prefab/10_buff/EFF_goliath_B_skill3_shield_reflex_act</t>
  </si>
  <si>
    <t>GuildOperation02.mini_1.passive01.buff</t>
  </si>
  <si>
    <t>GuildOperation02.mini_1.passive01.buff.buffeffect</t>
  </si>
  <si>
    <t>GuildOperation02.mini_1.passive01.shield.buff</t>
  </si>
  <si>
    <t>GuildOperation02.mini_1.passive01.shield.buff.buffeffect</t>
  </si>
  <si>
    <t>Effect/Prefab/02.mob/boss_goliath/EFF_goliath_B_skill3_shield</t>
  </si>
  <si>
    <t>GuildOperation02.mini_1.passive02.buff</t>
  </si>
  <si>
    <t>GuildOperation02.mini_1.passive02.buff.buffeffect</t>
  </si>
  <si>
    <t>GuildOperation02.mini_1.passive02.buff.end.skilleffect&amp;GuildOperation02.mini_1.passive02.buff.end.skilleffect02</t>
  </si>
  <si>
    <t>GuildOperation02.mini_1.passive02.trigger.buff</t>
  </si>
  <si>
    <t>GuildOperation02.mini_1.passive02.trigger.buff.buffeffect</t>
  </si>
  <si>
    <t>Boss.Common.Immun.buff</t>
  </si>
  <si>
    <t>Mid.Boss.Immun.buff</t>
  </si>
  <si>
    <t>Boss.Airbone.Immun.buff</t>
  </si>
  <si>
    <t>resist.airborne</t>
  </si>
  <si>
    <t>Daily.Gold.trooper_demolisher_1.skill01.effect01.atkup01.buff</t>
  </si>
  <si>
    <t>Daily.Gold.trooper_demolisher_1.skill01.effect01.atkup01.buff.buffeffect</t>
  </si>
  <si>
    <t>Effect/Prefab/10_buff/EFF_buff_op_atk_up</t>
  </si>
  <si>
    <t>Daily.Gold.trooper_demolisher_1.passive01.buff</t>
  </si>
  <si>
    <t>Daily.Gold.trooper_demolisher_1.passive01.buff.buffeffect01
Daily.Gold.trooper_demolisher_1.passive01.buff.buffeffect02
Daily.Gold.trooper_demolisher_1.passive01.buff.buffeffect03</t>
  </si>
  <si>
    <t>Daily.Gold.trooper_demolisher_1.passive01.trigger01.buff</t>
  </si>
  <si>
    <t>Daily.Gold1.hellfire_drone_3.skill01.effect01.atkspd01.buff</t>
  </si>
  <si>
    <t>Daily.Gold1.hellfire_drone_3.skill01.effect01.atkspd01.buff.buffeffect</t>
  </si>
  <si>
    <t>Daily.Gold2.hellfire_drone_3.skill01.effect01.cri01.buff</t>
  </si>
  <si>
    <t>Daily.Gold2.hellfire_drone_3.skill01.effect01.cri01.buff.buffeffect</t>
  </si>
  <si>
    <t>Daily.Gold.hellfire_drone_3.passive01.buff</t>
  </si>
  <si>
    <t>Daily.Gold.trooper_demolisher_1.passive01.buff.buffeffect02
Daily.Gold.trooper_demolisher_1.passive01.buff.buffeffect03</t>
  </si>
  <si>
    <t>Daily.Gold.grima_alpha_1.skill02.effect01.stun01.buff</t>
  </si>
  <si>
    <t>Daily.Gold.grima_alpha_1.skill02.effect01.stun01.buff.buffeffect</t>
  </si>
  <si>
    <t>Daily.Gold.draindermis_1.skill01.effect01.buff</t>
  </si>
  <si>
    <t>Daily.Gold.draindermis_1.skill01.effect01.buff.buffeffect</t>
  </si>
  <si>
    <t>Daily.Gold.grima_beta_1.skill02.effect01.stun01.buff</t>
  </si>
  <si>
    <t>Daily.Gold.grima_beta_1.skill02.effect01.stun01.buff.buffeffect</t>
  </si>
  <si>
    <t>Daily.Atk.hellfire_drone_3.skill01.effect01.buff</t>
  </si>
  <si>
    <t>Daily.Atk.hellfire_drone_3.skill01.effect01.buff.buffeffect</t>
  </si>
  <si>
    <t>Daily.Atk.hellfire_drone_3.passive01.buff</t>
  </si>
  <si>
    <t>Daily.Atk.hellfire_drone_3.passive01.buff.buffeffect</t>
  </si>
  <si>
    <t>Daily.Atk.hellfire_drone_3.passive01.buff.buffeffect.skilleffect.buff</t>
  </si>
  <si>
    <t>Daily.Atk.hellfire_drone_3.passive01.buff.buffeffect.skilleffect.buff.buffeffect</t>
  </si>
  <si>
    <t>Buff.Name.DamageDerateUp</t>
  </si>
  <si>
    <t>Daily.Atk.regeneration_drone_3.passive01.buff</t>
  </si>
  <si>
    <t>Daily.Atk.regeneration_drone_3.passive01.buff.buffeffect</t>
  </si>
  <si>
    <t>Daily.Atk.regeneration_drone_3.passive01.buff.buffeffect.skilleffect.buff</t>
  </si>
  <si>
    <t>Daily.Atk.regeneration_drone_3.passive01.buff.buffeffect.skilleffect.buff.buffeffect</t>
  </si>
  <si>
    <t>icon_battle_guard</t>
  </si>
  <si>
    <t>Buff.Name.GuardUp</t>
  </si>
  <si>
    <t>Daily.Atk.Boss.passive01.buff</t>
  </si>
  <si>
    <t>Daily.Atk.Boss.passive01.buff.buffeffect</t>
  </si>
  <si>
    <t>Daily.Atk.Boss.passive01.shield.buff</t>
  </si>
  <si>
    <t>Daily.Atk.Boss.passive01.shield.buff.buffeffect</t>
  </si>
  <si>
    <t>Effect/Prefab/10_buff/EFF_shelter_sweeper_g_1_passive_shield</t>
  </si>
  <si>
    <t>Daily.Atk.Boss.End.passive01.buff</t>
  </si>
  <si>
    <t>Daily.Atk.Boss.End.passive01.buff.buffeffect</t>
  </si>
  <si>
    <t>Daily.Atk.turtle_mechamk3_3.skill01.effect01.buff</t>
  </si>
  <si>
    <t>Daily.Atk.turtle_mechamk3_3.skill01.effect01.buff.buffeffect</t>
  </si>
  <si>
    <t>Daily.Atk.harbor_punch_1.skill01.effect01.buff</t>
  </si>
  <si>
    <t>Daily.Atk.harbor_punch_1.skill01.effect01.buff.buffeffect</t>
  </si>
  <si>
    <t>Daily.Atk.harbor_punch_1.skill02.effect01.knockback01.buff</t>
  </si>
  <si>
    <t>Daily.Atk.harbor_punch_1.skill02.effect01.knockback01.buff.buffeffect</t>
  </si>
  <si>
    <t>Daily.Atk.shelter_sweeper_g_1.skill02.effect01.knockback01.buff</t>
  </si>
  <si>
    <t>Daily.Atk.shelter_sweeper_g_1.skill02.effect01.knockback01.buff.buffeffect</t>
  </si>
  <si>
    <t>Daily.Atk.shelter_sweeper_g_1.skill01.effect01.DefUp.buff</t>
  </si>
  <si>
    <t>Daily.Atk.shelter_sweeper_g_1.skill01.effect01.DefUp.buff.buffeffect</t>
  </si>
  <si>
    <t>Daily.Atk.labmecha_punch_1.skill01.effect01.knockback01.buff</t>
  </si>
  <si>
    <t>Daily.Atk.labmecha_punch_1.skill01.effect01.knockback01.buff.buffeffect</t>
  </si>
  <si>
    <t>Daily.Atk.labmecha_punch_1.skill02.effect01.buff</t>
  </si>
  <si>
    <t>Daily.Atk.labmecha_punch_1.skill02.effect01.buff.buffeffect</t>
  </si>
  <si>
    <t>Daily.Atk.labmecha_punch_1.skill03.effect01.buff</t>
  </si>
  <si>
    <t>Daily.Atk.labmecha_punch_1.skill03.effect01.buff.buffeffect</t>
  </si>
  <si>
    <t>Daily.Def.DamageUp.passive01.buff</t>
  </si>
  <si>
    <t>Daily.Def.DamageUp.passive01.buff.buffeffect</t>
  </si>
  <si>
    <t>Daily.Def.DamageUp.passive01.buff.buffeffect.skilleffect.buff</t>
  </si>
  <si>
    <t>Daily.Def.DamageUp.passive01.buff.buffeffect.skilleffect.buff.buffeffect</t>
  </si>
  <si>
    <t>Daily.Seed.trooper_guard_1.skill01.effect01.buff</t>
  </si>
  <si>
    <t>Daily.Seed.trooper_guard_1.skill01.effect01.buff.buffeffect</t>
  </si>
  <si>
    <t>Daily.Seed.trooper_inferno_1.skill01.effect02.fire01.buff</t>
  </si>
  <si>
    <t>Daily.Seed.trooper_inferno_1.skill01.effect02.fire01.buff.buffeffect</t>
  </si>
  <si>
    <t>Daily.Seed.friendly_edge_eyeball_1.passive01.buff</t>
  </si>
  <si>
    <t>Daily.Seed.friendly_edge_eyeball_1.passive01.buff.buffeffect</t>
  </si>
  <si>
    <t>Buff.Name.HpDrain</t>
  </si>
  <si>
    <t>Daily.Seed.friendly_edge_eyeball_1.skill01.effect01.atkdown01.buff</t>
  </si>
  <si>
    <t>Daily.Seed.friendly_edge_eyeball_1.skill01.effect01.atkdown01.buff.buffeffect</t>
  </si>
  <si>
    <t>Daily.Seed.friendly_punch_1.skill01.effect01.stun01.buff</t>
  </si>
  <si>
    <t>Daily.Seed.friendly_punch_1.skill01.effect01.stun01.buff.buffeffect</t>
  </si>
  <si>
    <t>Daily.Seed.friendly_punch_1.skill02.effect01.atkdown01.buff</t>
  </si>
  <si>
    <t>Daily.Seed.friendly_punch_1.skill02.effect01.atkdown01.buff.buffeffect</t>
  </si>
  <si>
    <t>Daily.Seed.friendly_punch_1.skill03.effect01.buff01</t>
  </si>
  <si>
    <t>Daily.Seed.friendly_punch_1.skill03.effect01.buff01.buffeffect</t>
  </si>
  <si>
    <t>Daily.Seed.friendly_punch_1.skill03.effect01.buff02</t>
  </si>
  <si>
    <t>Daily.Seed.friendly_punch_1.skill03.effect01.buff02.buffeffect</t>
  </si>
  <si>
    <t>Daily.Seed.polluter_bloblauncher_1.skill01.poison01.buff</t>
  </si>
  <si>
    <t>Daily.Seed.polluter_bloblauncher_1.skill01.poison01.buff.buffeffect</t>
  </si>
  <si>
    <t xml:space="preserve">Effect/Prefab/10_buff/EFF_debuff_poison </t>
  </si>
  <si>
    <t>Daily.Seed.polluter_bloblauncher_1.skill01.atkspddown01.buff</t>
  </si>
  <si>
    <t>Daily.Seed.polluter_bloblauncher_1.skill01.atkspddown01.buff.buffeffect</t>
  </si>
  <si>
    <t>Daily.Seed.polluter_fog_1.skill01.effect01.buff</t>
  </si>
  <si>
    <t>Daily.Seed.polluter_fog_1.skill01.effect01.buff.buffeffect</t>
  </si>
  <si>
    <t>Daily.Seed.polluter_spike_1.skill01.poison01.buff</t>
  </si>
  <si>
    <t>Daily.Seed.polluter_spike_1.skill01.poison01.buff.buffeffect</t>
  </si>
  <si>
    <t>Daily.Seed.polluter_chunk_1.skill01.effect01.buff</t>
  </si>
  <si>
    <t>Daily.Seed.polluter_chunk_1.skill01.effect01.buff.buffeffect</t>
  </si>
  <si>
    <t>Daily.Seed.polluter_chunk_1.skill02.atkdown01.buff</t>
  </si>
  <si>
    <t>Daily.Seed.polluter_chunk_1.skill02.atkdown01.buff.buffeffect</t>
  </si>
  <si>
    <t>Daily.Seed.polluter_chunk_1.skill03.effect01.fire01.buff</t>
  </si>
  <si>
    <t>Daily.Seed.polluter_chunk_1.skill03.effect01.fire01.buff.buffeffect</t>
  </si>
  <si>
    <t>stage.fever.buff.01</t>
  </si>
  <si>
    <t>stage.fever.buff.02</t>
  </si>
  <si>
    <t>stage.fever.buff.03</t>
  </si>
  <si>
    <t>stage.fever.buff.buffeffect.skilleffect.buff.01</t>
  </si>
  <si>
    <t>fever.attack.01
fever.attackspeed.01</t>
  </si>
  <si>
    <t>Effect/Prefab/10_buff/EFF_buff_fever</t>
  </si>
  <si>
    <t>Buff.Name.Fever</t>
  </si>
  <si>
    <t>stage.fever.buff.buffeffect.skilleffect.buff.02</t>
  </si>
  <si>
    <t>fever.attack.02
fever.attackspeed.02</t>
  </si>
  <si>
    <t>Effect/Prefab/10_buff/EFF_buff_fever01</t>
  </si>
  <si>
    <t>stage.fever.buff.buffeffect.skilleffect.buff.03</t>
  </si>
  <si>
    <t>fever.attack.03
fever.attackspeed.03
fever.defensedown</t>
  </si>
  <si>
    <t>stage.buff.energy.up.50.buff</t>
  </si>
  <si>
    <t>stage.buff.energy.up.50.buff.buffeffect</t>
  </si>
  <si>
    <t>roamer_voltshocker_1.attack01.shock.buff</t>
  </si>
  <si>
    <t>roamer_voltshocker_1.attack01.shock.buff.buffeffect</t>
  </si>
  <si>
    <t>#타겟 유형</t>
  </si>
  <si>
    <t>#광역 타입</t>
  </si>
  <si>
    <t>#광역 값</t>
  </si>
  <si>
    <t>#타겟 수</t>
  </si>
  <si>
    <t>#이펙트</t>
  </si>
  <si>
    <t>#사용 스택</t>
  </si>
  <si>
    <t>#틱</t>
  </si>
  <si>
    <t>#이펙트 이름</t>
  </si>
  <si>
    <t>#데미지폰트출력</t>
  </si>
  <si>
    <t>Rotation.Immun.burnd.buffeffect</t>
  </si>
  <si>
    <t>Rotation.Immun.posion.buffeffect</t>
  </si>
  <si>
    <t>Rotation.Immun.bleed.buffeffect</t>
  </si>
  <si>
    <t>Rotation.Immun.CC.buffeffect</t>
  </si>
  <si>
    <t>Rotation.start.buffeffect</t>
  </si>
  <si>
    <t>아레나챌린지.공10</t>
  </si>
  <si>
    <t>아레나챌린지.생10</t>
  </si>
  <si>
    <t>아레나챌린지.방10</t>
  </si>
  <si>
    <t>소속기본.공20</t>
  </si>
  <si>
    <t>소속기본.생20</t>
  </si>
  <si>
    <t>소속기본.방20</t>
  </si>
  <si>
    <t>WorldRaid.eperiusunit_1.passive01.buff.buffeffect01</t>
  </si>
  <si>
    <t>WorldRaid.eperiusunit_1.passive01.buff.buffeffect02</t>
  </si>
  <si>
    <t>CrowdControlState</t>
  </si>
  <si>
    <t>Groggy</t>
  </si>
  <si>
    <t>!Groggy</t>
  </si>
  <si>
    <t>GuildAssault.Passive.buff.buffeffect01</t>
  </si>
  <si>
    <t>HitDelta</t>
  </si>
  <si>
    <t>1111401001.Passive.03.buff.buffeffect01</t>
  </si>
  <si>
    <t>1111401001.Passive.03.buff.buffeffect02</t>
  </si>
  <si>
    <t>1111401001.Passive.03.buff.buffeffect03</t>
  </si>
  <si>
    <t>1111401001.Passive.03.buff.buffeffect04</t>
  </si>
  <si>
    <t>1111401002.Passive.buff.buffeffect01</t>
  </si>
  <si>
    <t>1111401002.Passive.buff.buffeffect02</t>
  </si>
  <si>
    <t>!1111401002.Passive.shield.buff</t>
  </si>
  <si>
    <t>1111401003.Passive.buff.buffeffect01</t>
  </si>
  <si>
    <t>1111401003.Passive.buff.buffeffect02</t>
  </si>
  <si>
    <t>!1111401003.Passive.shield.buff</t>
  </si>
  <si>
    <t>GuildOperation.Normal.buff.buffeffect</t>
  </si>
  <si>
    <t>GuildOperation.Normal.buff.buffeffect.cri</t>
  </si>
  <si>
    <t>GuildOperation.Hard.buff.buffeffect</t>
  </si>
  <si>
    <t>GuildOperation.Hard.buff.buffeffect.cri</t>
  </si>
  <si>
    <t>GuildOperation02.goliath_2.attack01.pre.buff.buffeffect01</t>
  </si>
  <si>
    <t>GuildOperation02.goliath_2.attack01.pre.buff.buffeffect02</t>
  </si>
  <si>
    <t>Enemy</t>
  </si>
  <si>
    <t>GuildOperation02.goliath_2.passive01.buff.buffeffect</t>
  </si>
  <si>
    <t>Shield</t>
  </si>
  <si>
    <t>Boss.Common.Immun.Provoke.buffeffect</t>
  </si>
  <si>
    <t>Boss.Common.Immun.Polymorph.buffeffect</t>
  </si>
  <si>
    <t>Daily.Gold.trooper_demolisher_1.passive01.buff.buffeffect01</t>
  </si>
  <si>
    <t>Daily.Gold.trooper_demolisher_1.passive01.buff.buffeffect02</t>
  </si>
  <si>
    <t>!Daily.Gold.trooper_demolisher_1.passive01.trigger01.buff&amp;2</t>
  </si>
  <si>
    <t>Daily.Gold.trooper_demolisher_1.passive01.buff.buffeffect03</t>
  </si>
  <si>
    <t>Daily.Gold.trooper_demolisher_1.passive01.trigger01.buff&amp;2</t>
  </si>
  <si>
    <t>Hp</t>
  </si>
  <si>
    <t>Attack</t>
  </si>
  <si>
    <t>MaxHp</t>
  </si>
  <si>
    <t>Status</t>
  </si>
  <si>
    <t>DefenseRatio</t>
  </si>
  <si>
    <t>CrowdControl</t>
  </si>
  <si>
    <t>Stun</t>
  </si>
  <si>
    <t>Knockback</t>
  </si>
  <si>
    <t>Hot</t>
  </si>
  <si>
    <t>AttackRatio</t>
  </si>
  <si>
    <t>AttackSpeedRate</t>
  </si>
  <si>
    <t>CCResist</t>
  </si>
  <si>
    <t>Provoke</t>
  </si>
  <si>
    <t>DebuffResist</t>
  </si>
  <si>
    <t>DamageRate</t>
  </si>
  <si>
    <t>CriticalRate</t>
  </si>
  <si>
    <t>CriticalRatio</t>
  </si>
  <si>
    <t>Active</t>
  </si>
  <si>
    <t>Sector01.harbor_crab_1.passive01.buff.buffeffect.skilleffect</t>
  </si>
  <si>
    <t>EffectImmune</t>
  </si>
  <si>
    <t>Damage</t>
  </si>
  <si>
    <t>Sector01.harbor_crab_1.passive01.shield.buff.buffeffect02.skilleffect</t>
  </si>
  <si>
    <t>Reflect</t>
  </si>
  <si>
    <t>Sector01.harbor_punch_1.skill01.effect01.buff.buffeffect03.skilleffect</t>
  </si>
  <si>
    <t>BeHit</t>
  </si>
  <si>
    <t>Sector02.cassandra_1.passive01.buff.buffeffect.skilleffect01</t>
  </si>
  <si>
    <t>AddEnergyRate</t>
  </si>
  <si>
    <t>Sector02.cassandra_2.passive01.buff.buffeffect.skilleffect01</t>
  </si>
  <si>
    <t>None</t>
  </si>
  <si>
    <t>DamageDerate</t>
  </si>
  <si>
    <t>OnKill</t>
  </si>
  <si>
    <t>Sector03.theomega_1.passive01.buff.buffeffect.skilleffect</t>
  </si>
  <si>
    <t>MoveSpeedRate</t>
  </si>
  <si>
    <t>AccuracyRate</t>
  </si>
  <si>
    <t>ChangeSkill</t>
  </si>
  <si>
    <t>Normal</t>
  </si>
  <si>
    <t>Sector03.theomega_3.passive01.buff.buffeffect.skilleffect</t>
  </si>
  <si>
    <t>EffectResist</t>
  </si>
  <si>
    <t>Pull</t>
  </si>
  <si>
    <t>Event</t>
  </si>
  <si>
    <t>EnemyDie</t>
  </si>
  <si>
    <t>Sector04.nullaxe_1.passive01.buff.buffeffect.skilleffect</t>
  </si>
  <si>
    <t>OnHit</t>
  </si>
  <si>
    <t>Sector04.nullaxe_1.passive02.buff.buffeffect.skilleffect</t>
  </si>
  <si>
    <t>HpDrainRate</t>
  </si>
  <si>
    <t>Sector04.nullaxe_2.passive01.buff.buffeffect.skilleffect</t>
  </si>
  <si>
    <t>Sector04.nullaxe_2.passive02.buff.buffeffect.skilleffect</t>
  </si>
  <si>
    <t>ForwardDamgeDerate</t>
  </si>
  <si>
    <t>Silence</t>
  </si>
  <si>
    <t>MeleeDamageDerate</t>
  </si>
  <si>
    <t>BeHitMelee</t>
  </si>
  <si>
    <t>Sector07.clock_noble_knight_1.passive01.buff.buffeffect.skilleffect</t>
  </si>
  <si>
    <t>DecHpOverRate</t>
  </si>
  <si>
    <t>Sector07.clock_noble_knight_1.passive02.buff.buffeffect.skilleffect</t>
  </si>
  <si>
    <t>ReceiveRecoveryRate</t>
  </si>
  <si>
    <t>Sector07.clock_royal_queen_1.passive01.buff.buffeffect.skilleffect</t>
  </si>
  <si>
    <t>AllyDie</t>
  </si>
  <si>
    <t>Sector07.clock_royal_queen_1.passive02.buff.buffeffect.skilleffect</t>
  </si>
  <si>
    <t>HpDrainOwnerRate</t>
  </si>
  <si>
    <t>Sector07.clock_royal_queen_2.passive01.buff.buffeffect.skilleffect</t>
  </si>
  <si>
    <t>Sector07.clock_royal_queen_2.passive02.buff.buffeffect.skilleffect</t>
  </si>
  <si>
    <t>stage.fever.buff.buffeffect.skilleffect.01</t>
  </si>
  <si>
    <t>stage.fever.buff.buffeffect.skilleffect.02</t>
  </si>
  <si>
    <t>stage.fever.buff.buffeffect.skilleffect.03</t>
  </si>
  <si>
    <t>#Type</t>
    <phoneticPr fontId="2" type="noConversion"/>
  </si>
  <si>
    <t>#BuffEffectType</t>
    <phoneticPr fontId="2" type="noConversion"/>
  </si>
  <si>
    <t>#</t>
  </si>
  <si>
    <t>#</t>
    <phoneticPr fontId="2" type="noConversion"/>
  </si>
  <si>
    <t>#Value1</t>
    <phoneticPr fontId="2" type="noConversion"/>
  </si>
  <si>
    <t>#string</t>
    <phoneticPr fontId="2" type="noConversion"/>
  </si>
  <si>
    <t>#Value2</t>
    <phoneticPr fontId="2" type="noConversion"/>
  </si>
  <si>
    <t>#Value3</t>
    <phoneticPr fontId="2" type="noConversion"/>
  </si>
  <si>
    <t>#타입</t>
  </si>
  <si>
    <t>#값</t>
  </si>
  <si>
    <t>Rotation.Cube.tier01.start.buff.buffeffect.skilleffect</t>
  </si>
  <si>
    <t>Rotation.Cube.tier02.start.buff.buffeffect.skilleffect</t>
  </si>
  <si>
    <t>Rotation.Cube.tier03.start.buff.buffeffect.skilleffect</t>
  </si>
  <si>
    <t>Rotation.Cube.tier04.start.buff.buffeffect.skilleffect</t>
  </si>
  <si>
    <t>Rotation.Cube.tier05.start.buff.buffeffect.skilleffect</t>
  </si>
  <si>
    <t>MaxHpRatio</t>
  </si>
  <si>
    <t>Shock</t>
  </si>
  <si>
    <t>GuardRate</t>
  </si>
  <si>
    <t>AccuracyDerate</t>
  </si>
  <si>
    <t>WorldRaid.eperiusunit_1.passive01.bonus.skilleffect</t>
  </si>
  <si>
    <t>DamageRatio</t>
  </si>
  <si>
    <t>GuildAssault.Passive.buff.buffeffect01.skilleffect</t>
  </si>
  <si>
    <t>BaseAttack</t>
  </si>
  <si>
    <t>BaseDefense</t>
  </si>
  <si>
    <t>1111401001.Passive.01.buff.buffeffect.skilleffect</t>
  </si>
  <si>
    <t>1111401002.Passive.buff.buffeffect.skilleffect01</t>
  </si>
  <si>
    <t>1111401002.Passive.buff.buffeffect.skilleffect02</t>
  </si>
  <si>
    <t>1111401002.summon.end.skilleffect</t>
  </si>
  <si>
    <t>1111401003.Passive.buff.buffeffect.skilleffect01</t>
  </si>
  <si>
    <t>1111401003.Passive.buff.buffeffect.skilleffect02</t>
  </si>
  <si>
    <t>1111401003.summon.end.skilleffect</t>
  </si>
  <si>
    <t>GuildOperation.Normal.buff.buffeffect.skilleffect</t>
  </si>
  <si>
    <t>GuildOperation.Normal.buff.buffeffect.cri.skilleffect</t>
  </si>
  <si>
    <t>GuildOperation.Hard.buff.buffeffect.skilleffect</t>
  </si>
  <si>
    <t>GuildOperation.Hard.buff.buffeffect.cri.skilleffect</t>
  </si>
  <si>
    <t>GuildOperation01.toxic_2.skill03.pre.buff01.buffeffect.skilleffect</t>
  </si>
  <si>
    <t>GuildOperation02.goliath_2.passive01.buff.buffeffect.skilleffect</t>
  </si>
  <si>
    <t>Defense</t>
  </si>
  <si>
    <t>GuildOperation02.mini_1.passive01.buff.buffeffect01.skilleffect</t>
  </si>
  <si>
    <t>Polymorph</t>
  </si>
  <si>
    <t>RangeDamageDerate</t>
  </si>
  <si>
    <t>Daily.Gold.trooper_demolisher_1.passive01.skilleffect</t>
  </si>
  <si>
    <t>Skill1</t>
  </si>
  <si>
    <t>OnDie</t>
  </si>
  <si>
    <t>Daily.Atk.hellfire_drone_3.passive01.buff.buffeffect.skilleffect</t>
  </si>
  <si>
    <t>Daily.Atk.regeneration_drone_3.passive01.buff.buffeffect.skilleffect</t>
  </si>
  <si>
    <t>Daily.Atk.Boss.passive01.buff.buffeffect.skilleffect</t>
  </si>
  <si>
    <t>Daily.Atk.Boss.End.passive01.buff.buffeffect.skilleffect</t>
  </si>
  <si>
    <t>Daily.Def.DamageUp.passive01.buff.buffeffect.skilleffect</t>
  </si>
  <si>
    <t>Sector01.harbor_crab_1.passive01.shield.buff.buffeffect
Sector01.harbor_crab_1.passive01.shield.buff.buffeffect02</t>
    <phoneticPr fontId="2" type="noConversion"/>
  </si>
  <si>
    <t>Sector05.goliath_1.skill03.pre.buff</t>
  </si>
  <si>
    <t>Sector05.goliath_1.skill01.shock.buff</t>
  </si>
  <si>
    <t>Sector05.goliath_1.skill03.pre.buff.buffeffect</t>
  </si>
  <si>
    <t>HpRateCondition(120)</t>
    <phoneticPr fontId="2" type="noConversion"/>
  </si>
  <si>
    <t>HpRateCondition(50)</t>
  </si>
  <si>
    <t>HpRateCondition(50)</t>
    <phoneticPr fontId="2" type="noConversion"/>
  </si>
  <si>
    <t>Buff.Name.DamageImmune</t>
  </si>
  <si>
    <t>Sector05.goliath_1.skill03.immun.buff.buffeffect</t>
  </si>
  <si>
    <t>Sector05.goliath_1.skill03.atkup.buff.buffeffect</t>
  </si>
  <si>
    <t>Sector05.goliath_1.passive01effect.buff</t>
  </si>
  <si>
    <t>Sector05.goliath_1.passive01.stack.buff</t>
  </si>
  <si>
    <t>Sector05.goliath_1.passive01.stack.buff.buffeffect</t>
  </si>
  <si>
    <t>Sector05.goliath_1.passive01.atkup.buff.buffeffect</t>
  </si>
  <si>
    <t>Sector05.goliath_1.passive02.buff</t>
  </si>
  <si>
    <t>Sector05.goliath_1.passive02.buff.buffeffect.01</t>
  </si>
  <si>
    <t>Sector05.goliath_1.passive02.buff.buffeffect.02</t>
  </si>
  <si>
    <t>Sector05.goliath_1.passive02.buff.buffeffect.03</t>
  </si>
  <si>
    <t>Sector05.goliath_1.passive02.buff.buffeffect.04</t>
  </si>
  <si>
    <t>Sector05.goliath_1.passive02.buff.buffeffect.05</t>
  </si>
  <si>
    <t>Sector05.goliath_1.passive02.buff.buffeffect.06</t>
  </si>
  <si>
    <t>Sector05.goliath_1.passive02.buff.buffeffect.07</t>
  </si>
  <si>
    <t>Sector05.goliath_1.passive02.buff.buffeffect.08</t>
  </si>
  <si>
    <t>Sector05.goliath_1.passive02.buff.buffeffect.09</t>
  </si>
  <si>
    <t>DamageIgnoreHpUnderRate</t>
  </si>
  <si>
    <t>Defense</t>
    <phoneticPr fontId="2" type="noConversion"/>
  </si>
  <si>
    <t>Skill2</t>
  </si>
  <si>
    <t>Sector08.plants_bark_1.passive01.buff</t>
  </si>
  <si>
    <t>Sector08.plants_branch_1.passive01.buff</t>
  </si>
  <si>
    <t>Sector08.crawler_1.skill02.heal.buff</t>
  </si>
  <si>
    <t>Sector08.crawler_1.skill02.atkup.buff</t>
  </si>
  <si>
    <t>Sector08.crawler_1.passive01.buff</t>
  </si>
  <si>
    <t>Sector08.crawler_1.skill02.heal.buff.buffeffect</t>
  </si>
  <si>
    <t>Sector08.crawler_1.skill02.atkup.buff.buffeffect</t>
  </si>
  <si>
    <t>Hot</t>
    <phoneticPr fontId="2" type="noConversion"/>
  </si>
  <si>
    <t>Status</t>
    <phoneticPr fontId="2" type="noConversion"/>
  </si>
  <si>
    <t>Sector05.labtrooper_shield_1.skill01.shield.buff</t>
  </si>
  <si>
    <t>Sector05.labtrooper_rifle_1.skill01.atkspdup.buff</t>
  </si>
  <si>
    <t>Sector05.labtrooper_flame_1.skill01.defdown.buff</t>
    <phoneticPr fontId="2" type="noConversion"/>
  </si>
  <si>
    <t>Sector05.labtrooper_flame_1.skill01.atkspddown.buff</t>
    <phoneticPr fontId="2" type="noConversion"/>
  </si>
  <si>
    <t>Sector05.labtrooper_flame_1.skill01.atkspddown.buff.buffeffect</t>
  </si>
  <si>
    <t>Sector05.labtrooper_flame_1.skill01.defdown.buff.buffeffect</t>
  </si>
  <si>
    <t>Sector05.labtrooper_rifle_1.skill01.atkspdup.buff.buffeffect</t>
  </si>
  <si>
    <t>Sector05.labtrooper_shield_1.skill01.shield.buff.buffeffect</t>
  </si>
  <si>
    <t>Status</t>
    <phoneticPr fontId="2" type="noConversion"/>
  </si>
  <si>
    <t>AttackSpeedRate</t>
    <phoneticPr fontId="2" type="noConversion"/>
  </si>
  <si>
    <t>Sector05.harbor_cannon_1.skill01.atkup.buff</t>
    <phoneticPr fontId="2" type="noConversion"/>
  </si>
  <si>
    <t>Sector05.harbor_cannon_1.skill01.defup.buff</t>
    <phoneticPr fontId="2" type="noConversion"/>
  </si>
  <si>
    <t>Sector05.labsuit_gun_1.skill02.atkspdup.buff</t>
  </si>
  <si>
    <t>Sector05.labsuit_gun_1.skill02.atkspdup.buff.buffeffect</t>
  </si>
  <si>
    <t>Sector05.labsuit_gun_1.skill03.silence.buff</t>
    <phoneticPr fontId="2" type="noConversion"/>
  </si>
  <si>
    <t>Sector05.labsuit_gun_1.skill03.defdown.buff</t>
    <phoneticPr fontId="2" type="noConversion"/>
  </si>
  <si>
    <t>Sector05.labsuit_gun_1.skill03.silence.buff.buffeffect</t>
  </si>
  <si>
    <t>Sector05.labsuit_gun_1.skill03.defdown.buff.buffeffect</t>
  </si>
  <si>
    <t>Sector05.labmecha_punch_1.skill01.knockback.buff</t>
  </si>
  <si>
    <t>Sector05.harbor_cannon_1.skill01.atkup.buff.buffeffect</t>
  </si>
  <si>
    <t>Sector05.harbor_cannon_1.skill01.defup.buff.buffeffect</t>
  </si>
  <si>
    <t>Sector05.labmecha_punch_1.skill01.knockback.buff.buffeffect</t>
  </si>
  <si>
    <t>Sector05.silhouette_flyer_3.skill01.defdown.buff</t>
  </si>
  <si>
    <t>Sector05.silhouette_flyer_3.skill01.defdown.buff.buffeffect</t>
  </si>
  <si>
    <t>Sector08.plants_bark_1.skill01.bleed.buff</t>
  </si>
  <si>
    <t>Sector08.plants_branch_1.skill01.atkspddown.buff</t>
  </si>
  <si>
    <t>Sector08.plants_cannon_1.skill01.bleed.buff</t>
  </si>
  <si>
    <t>Sector08.creeper_seed_1.skill01.poison.buff</t>
  </si>
  <si>
    <t>Sector08.plants_garden_1.skill01.atkdown.buff</t>
  </si>
  <si>
    <t>Sector08.plants_mortor_1.skill02.aktup.buff</t>
    <phoneticPr fontId="2" type="noConversion"/>
  </si>
  <si>
    <t>Sector08.plants_mortor_1.skill02.aktspdup.buff</t>
    <phoneticPr fontId="2" type="noConversion"/>
  </si>
  <si>
    <t>Sector08.plants_mortor_1.skill03.bleed.buff</t>
  </si>
  <si>
    <t>Sector08.plants_decay_1.skill01.poison.buff</t>
  </si>
  <si>
    <t>Sector08.plants_decay_1.skill02.defdown.buff</t>
  </si>
  <si>
    <t>Sector08.plants_robust_1.skill01.poison.buff</t>
  </si>
  <si>
    <t>Sector08.plants_robust_1.skill02.pull.buff</t>
  </si>
  <si>
    <t>Sector08.plants_robust_1.skill03.atkspddown.buff</t>
  </si>
  <si>
    <t>Sector08.plants_bark_1.skill01.bleed.buff.buffeffect</t>
  </si>
  <si>
    <t>Sector08.plants_branch_1.skill01.atkspddown.buff.buffeffect</t>
  </si>
  <si>
    <t>Sector08.plants_cannon_1.skill01.bleed.buff.buffeffect</t>
  </si>
  <si>
    <t>Sector08.creeper_seed_1.skill01.poison.buff.buffeffect</t>
  </si>
  <si>
    <t>Sector08.plants_garden_1.skill01.atkdown.buff.buffeffect</t>
  </si>
  <si>
    <t>Sector08.plants_mortor_1.skill02.aktup.buff.buffeffect</t>
  </si>
  <si>
    <t>Sector08.plants_mortor_1.skill02.aktspdup.buff.buffeffect</t>
  </si>
  <si>
    <t>Sector08.plants_mortor_1.skill03.bleed.buff.buffeffect</t>
  </si>
  <si>
    <t>Sector08.plants_robust_1.skill01.poison.buff.buffeffect</t>
  </si>
  <si>
    <t>Sector08.plants_robust_1.skill02.pull.buff.buffeffect</t>
  </si>
  <si>
    <t>Sector08.plants_robust_1.skill03.atkspddown.buff.buffeffect</t>
  </si>
  <si>
    <t>Sector08.plants_decay_1.skill01.poison.buff.buffeffect</t>
  </si>
  <si>
    <t>Sector08.plants_decay_1.skill02.defdown.buff.buffeffect</t>
  </si>
  <si>
    <t>Sector08.crawler_1.skill03.poison.buff</t>
  </si>
  <si>
    <t>Sector08.crawler_1.skill03.poison.buff.buffeffect</t>
  </si>
  <si>
    <t>icon_boss_goliath1_stack01</t>
  </si>
  <si>
    <t>Sector05.goliath_1.passive02.buff.buffeffect.01.skilleffect</t>
  </si>
  <si>
    <t>Sector05.goliath_1.passive02.defup.buff.buffeffect</t>
  </si>
  <si>
    <t>Sector05.goliath_1.skill03.immun.buff</t>
  </si>
  <si>
    <t>Effect/Prefab/10_buff/EFF_buff_invincible
Effect/Prefab/10_buff/EFF_immune</t>
  </si>
  <si>
    <t>Sector05.goliath_1.skill03.atkup.buff</t>
  </si>
  <si>
    <t>Sector05.goliath_1.passive01.atkup.buff</t>
  </si>
  <si>
    <t>Sector05.goliath_1.passive02.buff.buffeffect.01
Sector05.goliath_1.passive02.buff.buffeffect.02
Sector05.goliath_1.passive02.buff.buffeffect.03
Sector05.goliath_1.passive02.buff.buffeffect.04
Sector05.goliath_1.passive02.buff.buffeffect.05
Sector05.goliath_1.passive02.buff.buffeffect.06
Sector05.goliath_1.passive02.buff.buffeffect.07
Sector05.goliath_1.passive02.buff.buffeffect.08
Sector05.goliath_1.passive02.buff.buffeffect.09</t>
  </si>
  <si>
    <t>Sector05.goliath_1.passive02.defup.buff</t>
  </si>
  <si>
    <t>Sector05.goliath_1.passive01.skilleffect</t>
  </si>
  <si>
    <t>Sector05.goliath_1.passive01.stack.buff&amp;7</t>
  </si>
  <si>
    <t>Sector08.plants_bark_1.passive01.buff.buffeffect01</t>
    <phoneticPr fontId="2" type="noConversion"/>
  </si>
  <si>
    <t>Sector08.plants_bark_1.passive01.buff.buffeffect02</t>
    <phoneticPr fontId="2" type="noConversion"/>
  </si>
  <si>
    <t>Sector08.plants_bark_1.passive01.buff.buffeffect03</t>
    <phoneticPr fontId="2" type="noConversion"/>
  </si>
  <si>
    <t>Sector08.plants_branch_1.passive01.buff.buffeffect01</t>
    <phoneticPr fontId="2" type="noConversion"/>
  </si>
  <si>
    <t>Sector08.plants_branch_1.passive01.buff.buffeffect02</t>
    <phoneticPr fontId="2" type="noConversion"/>
  </si>
  <si>
    <t>Sector08.plants_branch_1.passive01.buff.buffeffect03</t>
    <phoneticPr fontId="2" type="noConversion"/>
  </si>
  <si>
    <t>Sector08.plants_bark_1.passive01.damage.skilleffect</t>
    <phoneticPr fontId="2" type="noConversion"/>
  </si>
  <si>
    <t>AccuracyDerate</t>
    <phoneticPr fontId="2" type="noConversion"/>
  </si>
  <si>
    <t>Sector08.plants_branch_1.passive01.damage.skilleffect</t>
    <phoneticPr fontId="2" type="noConversion"/>
  </si>
  <si>
    <t>Burn</t>
    <phoneticPr fontId="2" type="noConversion"/>
  </si>
  <si>
    <t>Sector08.crawler_1.passive01.buff.buffeffect01</t>
    <phoneticPr fontId="2" type="noConversion"/>
  </si>
  <si>
    <t>Sector08.crawler_1.passive01.buff.buffeffect01
Sector08.crawler_1.passive01.buff.buffeffect02</t>
    <phoneticPr fontId="2" type="noConversion"/>
  </si>
  <si>
    <t>Sector08.crawler_1.passive01.buff.buffeffect02</t>
    <phoneticPr fontId="2" type="noConversion"/>
  </si>
  <si>
    <t>Sector07.clock_royal_queen_1.attack.effect01.wound.buff</t>
  </si>
  <si>
    <t>Sector07.clock_royal_queen_2.attack.effect01.wound.buff</t>
    <phoneticPr fontId="2" type="noConversion"/>
  </si>
  <si>
    <t>Sector07.clock_royal_queen_1.attack.effect01.wound.buff.buffeffect</t>
    <phoneticPr fontId="2" type="noConversion"/>
  </si>
  <si>
    <t>Sector07.clock_royal_queen_2.attack.effect01.wound.buff.buffeffect</t>
    <phoneticPr fontId="2" type="noConversion"/>
  </si>
  <si>
    <t>Effect/Prefab/10_buff/EFF_rage01_red</t>
    <phoneticPr fontId="2" type="noConversion"/>
  </si>
  <si>
    <t>none</t>
    <phoneticPr fontId="2" type="noConversion"/>
  </si>
  <si>
    <t>HpRateCondition(40)</t>
    <phoneticPr fontId="2" type="noConversion"/>
  </si>
  <si>
    <t>Sector08.common.passive01.buff</t>
  </si>
  <si>
    <t>Sector08.common.passive01.buff.buffeffect</t>
  </si>
  <si>
    <t>Sector05.common.passive01.buff</t>
  </si>
  <si>
    <t>Sector05.common.passive01.buff.buffeffect</t>
  </si>
  <si>
    <t>Daily.Seed.friendly_edge_eyeball_1.passive01.buff.buffeffect</t>
    <phoneticPr fontId="2" type="noConversion"/>
  </si>
  <si>
    <t>Event</t>
    <phoneticPr fontId="2" type="noConversion"/>
  </si>
  <si>
    <t>Immune</t>
    <phoneticPr fontId="2" type="noConversion"/>
  </si>
  <si>
    <t>Sector01.gallius_2.skill01.effect01.shield.buff.buffeffect01
Sector01.gallius_2.skill01.effect01.shield.buff.buffeffect02
Sector01.gallius_2.skill01.effect01.shield.buff.buffeffect03</t>
    <phoneticPr fontId="2" type="noConversion"/>
  </si>
  <si>
    <t>Sector01.gallius_2.skill01.shield.hiteffect.buff</t>
    <phoneticPr fontId="2" type="noConversion"/>
  </si>
  <si>
    <t>Effect/Prefab/10_buff/EFF_gallius2_skill01_shield_reflex_act</t>
    <phoneticPr fontId="2" type="noConversion"/>
  </si>
  <si>
    <t>Sector01.gallius_2.skill01.effect01.shield.buff.buffeffect03</t>
    <phoneticPr fontId="2" type="noConversion"/>
  </si>
  <si>
    <t>Sector01.gallius_2.skill01.effect01.shield.buff.buffeffect03.skilleffect</t>
    <phoneticPr fontId="2" type="noConversion"/>
  </si>
  <si>
    <t>Sector03.theomega_1.skill02.pre.buff.buffeffect01</t>
    <phoneticPr fontId="2" type="noConversion"/>
  </si>
  <si>
    <t>Sector03.theomega_1.skill02.pre.buff.buffeffect01
Sector03.theomega_1.skill02.pre.buff.buffeffect02</t>
    <phoneticPr fontId="2" type="noConversion"/>
  </si>
  <si>
    <t>Sector03.theomega_1.skill02.shield.hiteffect.buff</t>
    <phoneticPr fontId="2" type="noConversion"/>
  </si>
  <si>
    <t>Effect/Prefab/10_buff/EFF_theomega_skill1_shield_hit_act</t>
  </si>
  <si>
    <t>Effect/Prefab/10_buff/EFF_theomega_skill1_shield_hit_act</t>
    <phoneticPr fontId="2" type="noConversion"/>
  </si>
  <si>
    <t>Immune</t>
  </si>
  <si>
    <t>Sector03.theomega_1.skill02.pre.buff.buffeffect02</t>
    <phoneticPr fontId="2" type="noConversion"/>
  </si>
  <si>
    <t>Sector03.theomega_1.skill02.pre.buff.buffeffect02.skilleffect</t>
    <phoneticPr fontId="2" type="noConversion"/>
  </si>
  <si>
    <t>Sector03.theomega_3.skill03.pre.buff.buffeffect02</t>
    <phoneticPr fontId="2" type="noConversion"/>
  </si>
  <si>
    <t>Sector03.theomega_3.skill03.pre.buff.buffeffect01
Sector03.theomega_3.skill03.pre.buff.buffeffect02</t>
    <phoneticPr fontId="2" type="noConversion"/>
  </si>
  <si>
    <t>Sector03.theomega_3.skill03.pre.buff</t>
    <phoneticPr fontId="2" type="noConversion"/>
  </si>
  <si>
    <t>Sector03.theomega_3.skill03.shield.hiteffect.buff</t>
    <phoneticPr fontId="2" type="noConversion"/>
  </si>
  <si>
    <t>Sector03.theomega_3.skill03.pre.buff.buffeffect01</t>
    <phoneticPr fontId="2" type="noConversion"/>
  </si>
  <si>
    <t>Sector03.theomega_3.skill03.pre.buff.buffeffect02.skilleffect</t>
    <phoneticPr fontId="2" type="noConversion"/>
  </si>
  <si>
    <t>Buff.Name.Barrier</t>
  </si>
  <si>
    <t>Buff.Desc.Barrier</t>
  </si>
  <si>
    <t>1111401004.Passive.buff</t>
  </si>
  <si>
    <t>1111401004.Passive.buff.buffeffect01
1111401004.Passive.buff.buffeffect02</t>
  </si>
  <si>
    <t>1111401004.Passive.shield.buff</t>
  </si>
  <si>
    <t>1111401004.Passive.shield.buff.buffeffect</t>
  </si>
  <si>
    <t>1111401004.Passive.end.trigger.buff</t>
  </si>
  <si>
    <t>1111401004.Passive.end.trigger.buff.buffeffect</t>
  </si>
  <si>
    <t>1111401004.Passive.buff.buffeffect01</t>
  </si>
  <si>
    <t>1111401004.Passive.buff.buffeffect.skilleffect01</t>
  </si>
  <si>
    <t>1111401004.Passive.buff.buffeffect02</t>
  </si>
  <si>
    <t>1111401004.Passive.buff.buffeffect.skilleffect02</t>
  </si>
  <si>
    <t>!1111401004.Passive.shield.buff</t>
  </si>
  <si>
    <t>1111401004.summon.end.skilleffect</t>
  </si>
  <si>
    <t>icon_battle_hitbarrier_1</t>
  </si>
  <si>
    <t>Hp</t>
    <phoneticPr fontId="2" type="noConversion"/>
  </si>
  <si>
    <t>Sector08.plants_bark_1.passive01.heal.skilleffect</t>
    <phoneticPr fontId="2" type="noConversion"/>
  </si>
  <si>
    <t>Sector08.plants_branch_1.passive01.heal.skilleffect</t>
    <phoneticPr fontId="2" type="noConversion"/>
  </si>
  <si>
    <t>Status</t>
    <phoneticPr fontId="2" type="noConversion"/>
  </si>
  <si>
    <t>GuildOperation.bonus.trigger.buff.buffeffect</t>
    <phoneticPr fontId="2" type="noConversion"/>
  </si>
  <si>
    <t>Sector01.harbor_crab_1.passive01.shield.buff</t>
    <phoneticPr fontId="2" type="noConversion"/>
  </si>
  <si>
    <t>DeathHeal</t>
    <phoneticPr fontId="2" type="noConversion"/>
  </si>
  <si>
    <t>Effect/Prefab/10_buff/EFF_debuff_deathheal</t>
    <phoneticPr fontId="2" type="noConversion"/>
  </si>
  <si>
    <t>Effect/Prefab/10_buff/EFF_debuff_deathheal</t>
    <phoneticPr fontId="2" type="noConversion"/>
  </si>
  <si>
    <t>icon_battle_death_heal</t>
    <phoneticPr fontId="2" type="noConversion"/>
  </si>
  <si>
    <t>Buff.Name.DeathHeal</t>
    <phoneticPr fontId="2" type="noConversion"/>
  </si>
  <si>
    <t>Sector04.friendly_security_1.skill01.effect01.bleeding01.buff</t>
    <phoneticPr fontId="2" type="noConversion"/>
  </si>
  <si>
    <t>Sector04.friendly_security_1.skill01.effect01.bleeding01.buff.buffeffect</t>
    <phoneticPr fontId="2" type="noConversion"/>
  </si>
  <si>
    <t>Sector07.clock_royal_queen_1.passive.die.ally.buff</t>
    <phoneticPr fontId="2" type="noConversion"/>
  </si>
  <si>
    <t>Sector07.clock_royal_queen_1.passive.die.hit.buff</t>
    <phoneticPr fontId="2" type="noConversion"/>
  </si>
  <si>
    <t>none</t>
    <phoneticPr fontId="2" type="noConversion"/>
  </si>
  <si>
    <t>Effect/Prefab/02.mob/boss_royal_queen/EFF_clock_royalqueen_passive2</t>
    <phoneticPr fontId="2" type="noConversion"/>
  </si>
  <si>
    <t>Sector07.clock_honor_knight_1.passive01.buff</t>
  </si>
  <si>
    <t>Sector07.clock_honor_knight_1.passive01.buff.buffeffect</t>
  </si>
  <si>
    <t>Sector07.clock_honor_knight_1.passive01.buff.buffeffect.skilleffect</t>
    <phoneticPr fontId="2" type="noConversion"/>
  </si>
  <si>
    <t>event.boss.passive.01.buff</t>
    <phoneticPr fontId="2" type="noConversion"/>
  </si>
  <si>
    <t>event.boss.rage.buff</t>
    <phoneticPr fontId="2" type="noConversion"/>
  </si>
  <si>
    <t>event.boss.passive.01.buff.buffeffect</t>
    <phoneticPr fontId="2" type="noConversion"/>
  </si>
  <si>
    <t>event.boss.passive.01.buff.buffeffect.skilleffect</t>
    <phoneticPr fontId="2" type="noConversion"/>
  </si>
  <si>
    <t>Sector07.clock_royal_queen_1.passive.die.ally.buff</t>
  </si>
  <si>
    <t>stun</t>
    <phoneticPr fontId="2" type="noConversion"/>
  </si>
  <si>
    <t>Effect/Prefab/02.mob/boss_royal_queen/EFF_clock_royalqueen_passive2</t>
  </si>
  <si>
    <t>Sector07.clock_royal_queen_2.passive.die.ally.buff</t>
    <phoneticPr fontId="2" type="noConversion"/>
  </si>
  <si>
    <t>Sector07.clock_royal_queen_2.passive.die.hit.buff</t>
    <phoneticPr fontId="2" type="noConversion"/>
  </si>
  <si>
    <t>Rotation.Cube.Immun.buff</t>
    <phoneticPr fontId="2" type="noConversion"/>
  </si>
  <si>
    <t>Rotation.Common.Buff.buffeffect</t>
    <phoneticPr fontId="2" type="noConversion"/>
  </si>
  <si>
    <t>Rotation.Common.Buff</t>
    <phoneticPr fontId="2" type="noConversion"/>
  </si>
  <si>
    <t>Rotation.Cube.Neardead.stun.buff</t>
    <phoneticPr fontId="2" type="noConversion"/>
  </si>
  <si>
    <t>Rotation.Cube.tier01.start.buff</t>
    <phoneticPr fontId="2" type="noConversion"/>
  </si>
  <si>
    <t>Hamberger.start.buff</t>
    <phoneticPr fontId="2" type="noConversion"/>
  </si>
  <si>
    <t>Rotation.cube.idle.effect.buff</t>
    <phoneticPr fontId="2" type="noConversion"/>
  </si>
  <si>
    <t>Hamberger.buff</t>
    <phoneticPr fontId="2" type="noConversion"/>
  </si>
  <si>
    <t>Hamberger.idle.effect.buff</t>
    <phoneticPr fontId="2" type="noConversion"/>
  </si>
  <si>
    <t>Rotation.Cube.tier01.buff</t>
    <phoneticPr fontId="2" type="noConversion"/>
  </si>
  <si>
    <t>Hamberger.start.buff.buffeffect</t>
    <phoneticPr fontId="2" type="noConversion"/>
  </si>
  <si>
    <t>Hamberger.start.buff.buffeffect.skilleffect</t>
    <phoneticPr fontId="2" type="noConversion"/>
  </si>
  <si>
    <t>Hamberger.idle.effect</t>
    <phoneticPr fontId="2" type="noConversion"/>
  </si>
  <si>
    <t>DebuffEffectType</t>
    <phoneticPr fontId="2" type="noConversion"/>
  </si>
  <si>
    <t>Hamberger.Poison.stack.buff</t>
    <phoneticPr fontId="2" type="noConversion"/>
  </si>
  <si>
    <t>Hamberger.Poison.stack.buff.buffeffect</t>
    <phoneticPr fontId="2" type="noConversion"/>
  </si>
  <si>
    <t>Hamberger.Poison.stack.buff.buffeffect.skilleffect</t>
    <phoneticPr fontId="2" type="noConversion"/>
  </si>
  <si>
    <t>Hamberger.Poison.stack.buff.buffeffect.skilleffect.buff</t>
    <phoneticPr fontId="2" type="noConversion"/>
  </si>
  <si>
    <t>Poison</t>
    <phoneticPr fontId="2" type="noConversion"/>
  </si>
  <si>
    <t>Hamberger.dmgderatedown.buffeffect</t>
    <phoneticPr fontId="2" type="noConversion"/>
  </si>
  <si>
    <t>Hamberger.Package.buff</t>
    <phoneticPr fontId="2" type="noConversion"/>
  </si>
  <si>
    <t>Rotation.Immun.burnd.buffeffect
Rotation.Immun.bleed.buffeffect
Rotation.Immun.CC.buffeffect
Boss.Common.Immun.Provoke.buffeffect
Boss.Common.Immun.Polymorph.buffeffect</t>
    <phoneticPr fontId="2" type="noConversion"/>
  </si>
  <si>
    <t>Effect/Prefab/10_buff/EFF_buff_rotation_faction</t>
  </si>
  <si>
    <t>Effect/Prefab/10_buff/EFF_buff_rotation_faction</t>
    <phoneticPr fontId="2" type="noConversion"/>
  </si>
  <si>
    <t>Sector01.electric_drone_1.skill01.effect01.attackdown.buff</t>
  </si>
  <si>
    <t>attackdown.monster</t>
  </si>
  <si>
    <t>Sector01.trooper_sniper_1.skill02.effect01.knockback.buff</t>
  </si>
  <si>
    <t>Sector01.trooper_guard_1.skill02.effect01.defencedown.buff</t>
  </si>
  <si>
    <t>defencedown.monster</t>
  </si>
  <si>
    <t>Sector01.trooper_champion_1.skill02.effect01.defencedown.buff</t>
  </si>
  <si>
    <t>Sector01.trooper_demolisher_1.skill02.effect01.burn.buff</t>
  </si>
  <si>
    <t>burn.monster</t>
  </si>
  <si>
    <t>Sector02.turtle_mechamk3_3.skill01.effect01.defencedown.buff</t>
  </si>
  <si>
    <t>Sector02.scorpion_turretmk2_3.skill01.effect01.defencedown.buff</t>
  </si>
  <si>
    <t>Sector02.rhino_mechamk3_3.skill01.effect01.knockback.buff</t>
  </si>
  <si>
    <t>Sector02.hellfire_drone_3.skill02.effect01.burn.buff</t>
  </si>
  <si>
    <t>Sector02.silhouette_guard_3.skill02.effect01.defencedown.buff</t>
  </si>
  <si>
    <t>Sector03.brain_hunter_1.skill02.effect01.posion.buff</t>
  </si>
  <si>
    <t>posion.monster</t>
  </si>
  <si>
    <t>Sector03.infmecha_2.skill01.effect01.defencedown.buff</t>
  </si>
  <si>
    <t>Sector03.core_hunter_1.skill02.effect01.attackdown.buff</t>
  </si>
  <si>
    <t>Sector03.infturret_2.skill01.effect01.burn.buff</t>
  </si>
  <si>
    <t>Sector03.infdust_shield_2.skill02.effect01.attackdown.buff</t>
  </si>
  <si>
    <t>Sector03.infdust_rifle_2.skill02.effect01.knockback.buff</t>
  </si>
  <si>
    <t>Sector03.infdust_launcher_2.skill02.effect01.burn.buff</t>
  </si>
  <si>
    <t>Sector03.head_snatcher_1.skill02.effect01.defencedown.buff</t>
  </si>
  <si>
    <t>knockback</t>
  </si>
  <si>
    <t>Sector04.friendly_walking_eyeball_1.skill01.effect01.knockback.buff</t>
  </si>
  <si>
    <t>Sector04.friendly_walking_eyeball_2.skill01.effect01.attackdown.buff</t>
  </si>
  <si>
    <t>Sector04.friendly_patrol_2.skill01.effect01.defencedown.buff</t>
  </si>
  <si>
    <t>Sector04.friendly_edge_eyeball_1.skill02.effect01.bleed.buff</t>
  </si>
  <si>
    <t>bleed.monster</t>
  </si>
  <si>
    <t>Sector04.friendly_electric_eyeball_1.skill02.effect01.attackdown.buff</t>
  </si>
  <si>
    <t>Sector04.friendly_sawpatrol_1.skill02.effect01.bleed.buff</t>
  </si>
  <si>
    <t>Sector04.friendly_staffpatrol_1.skill02.effect01.attackdown.buff</t>
  </si>
  <si>
    <t>Sector04.friendly_security_1.skill02.effect01.fear.buff</t>
  </si>
  <si>
    <t>Effect/Prefab/10_buff/EFF_debuff_fear</t>
  </si>
  <si>
    <t>icon_battle_fear</t>
  </si>
  <si>
    <t>Buff.Name.Fear</t>
  </si>
  <si>
    <t>Sector04.friendly_cannon_1.skill02.effect01.attackdown.buff</t>
  </si>
  <si>
    <t>Sector05.killer_drone_2.skill02.effect01.defencedown.buff</t>
  </si>
  <si>
    <t>Sector05.terminate_drone_3.skill02.effect01.attackdown.buff</t>
  </si>
  <si>
    <t>Sector05.clock_thunderdog_1.skill02.effect01.bleed.buff</t>
  </si>
  <si>
    <t>Sector05.labtrooper_rifle_1.skill02.effect01.knockback.buff</t>
  </si>
  <si>
    <t>Sector05.labtrooper_launcher_1.skill02.effect01.burn.buff</t>
  </si>
  <si>
    <t>Sector05.silhouette_flyer_3.skill02.effect01.knockback.buff</t>
  </si>
  <si>
    <t>Sector06.polluter_patrol_1.skill01.effect01.bleed.buff</t>
  </si>
  <si>
    <t>Sector06.polluter_eyeball_1.skill01.effect01.attackdown.buff</t>
  </si>
  <si>
    <t>Sector06.polluter_exploder_1.skill02.effect01.posion.buff</t>
  </si>
  <si>
    <t>Sector06.polluter_1.skill02.effect01.fear.buff</t>
  </si>
  <si>
    <t>Sector06.polluter_edge_1.skill02.effect01.fear.buff</t>
  </si>
  <si>
    <t>Sector06.polluter_fluid_1.skill02.effect01.posion.buff</t>
  </si>
  <si>
    <t>Sector06.polluter_liquid_1.skill02.effect01.posion.buff</t>
  </si>
  <si>
    <t>Sector06.polluter_fog_1.skill02.effect01.posion.buff</t>
  </si>
  <si>
    <t>Sector06.polluter_haze_1.skill02.effect01.knockback.buff</t>
  </si>
  <si>
    <t>Sector07.clock_clawdog_1.skill01.effect01.bleed.buff</t>
  </si>
  <si>
    <t>Sector07.clock_flamedog_1.skill01.effect01.burn.buff</t>
  </si>
  <si>
    <t>Sector07.clock_squire_1.skill02.effect01.knockback.buff</t>
  </si>
  <si>
    <t>Sector07.clock_shield_1.skill02.effect01.bleed.buff</t>
  </si>
  <si>
    <t>Sector07.clock_clown_1.skill02.effect01.burn.buff</t>
  </si>
  <si>
    <t>Sector08.plants_sticky_1.skill02.effect01.defencedown.buff</t>
  </si>
  <si>
    <t>Sector08.plants_stinger_1.skill02.effect01.posion.buff</t>
  </si>
  <si>
    <t>Sector08.plants_bark_1.skill02.effect01.knockback.buff</t>
  </si>
  <si>
    <t>Sector08.plants_shooter_1.skill02.effect01.posion.buff</t>
  </si>
  <si>
    <t>Sector08.plants_cannon_1.skill02.effect01.knockback.buff</t>
  </si>
  <si>
    <t>Sector08.plants_garden_1.skill02.effect01.posion.buff</t>
  </si>
  <si>
    <t>Sector07.clock_honor_knight_2.skill01.effect01.bleeding01.buff</t>
  </si>
  <si>
    <t>Sector07.clock_honor_knight_2.passive01.buff</t>
  </si>
  <si>
    <t>Sector07.clock_honor_knight_2.skill01.effect01.bleeding01.buff.buffeffect</t>
  </si>
  <si>
    <t>Sector07.clock_honor_knight_2.passive01.buff.buffeffect</t>
  </si>
  <si>
    <t>Sector07.clock_honor_knight_2.passive01.buff.buffeffect.skilleffect</t>
  </si>
  <si>
    <t>none</t>
    <phoneticPr fontId="2" type="noConversion"/>
  </si>
  <si>
    <t>resist.provoke&amp;resist.polymorph&amp;resist.silence&amp;resist.blind&amp;resist.bind&amp;resist.sleep&amp;resist.stun&amp;resist.shock&amp;resist.paralysis&amp;resist.fear&amp;resist.charm&amp;resist.knockback&amp;resist.pull&amp;resist.freeze&amp;resist.exile&amp;resist.airborne&amp;resist.confusion&amp;resist.deathheal</t>
    <phoneticPr fontId="2" type="noConversion"/>
  </si>
  <si>
    <t>resist.silence.50&amp;resist.blind.50&amp;resist.bind.50&amp;resist.sleep.50&amp;resist.stun&amp;resist.shock.50&amp;resist.paralysis.50&amp;resist.fear.50&amp;resist.charm.50&amp;resist.knockback&amp;resist.airborne&amp;resist.pull&amp;resist.freeze.50&amp;resist.exile&amp;resist.provoke&amp;resist.polymorph&amp;resist.confusion&amp;resist.deathheal</t>
    <phoneticPr fontId="2" type="noConversion"/>
  </si>
  <si>
    <t>Sector01.gallius_2.passive01.buff</t>
    <phoneticPr fontId="2" type="noConversion"/>
  </si>
  <si>
    <t>Sector01.gallius_1.passive01.buff</t>
    <phoneticPr fontId="2" type="noConversion"/>
  </si>
  <si>
    <t>Sector01.gallius_1.passive01.buff.buffeffect</t>
    <phoneticPr fontId="2" type="noConversion"/>
  </si>
  <si>
    <t>Sector01.gallius_2.passive01.buff.buffeffect</t>
    <phoneticPr fontId="2" type="noConversion"/>
  </si>
  <si>
    <t>DamageReduceHpOverRate</t>
  </si>
  <si>
    <t>!Sector03.theomega_1.skill02.pre.buff.buffeffect01</t>
    <phoneticPr fontId="2" type="noConversion"/>
  </si>
  <si>
    <t>Sector03.theomega_1.skill02.pre.buff.buffeffect01</t>
    <phoneticPr fontId="2" type="noConversion"/>
  </si>
  <si>
    <t>!Sector03.theomega_3.skill03.pre.buff.buffeffect01</t>
    <phoneticPr fontId="2" type="noConversion"/>
  </si>
  <si>
    <t>Sector03.theomega_3.skill03.pre.buff.buffeffect01</t>
    <phoneticPr fontId="2" type="noConversion"/>
  </si>
  <si>
    <t>Sector03.theomega_3.skill02.rage.buff.buffeffect01</t>
    <phoneticPr fontId="2" type="noConversion"/>
  </si>
  <si>
    <t>fear
movespeedratedown80</t>
    <phoneticPr fontId="2" type="noConversion"/>
  </si>
  <si>
    <t>stage.tutorial.accuracy.100.buff</t>
  </si>
  <si>
    <t>stage.tutorial.accuracy.100.buff.buffeffect</t>
  </si>
  <si>
    <t>stage.tutorial.accuracy.100.buff.buffeffect</t>
    <phoneticPr fontId="2" type="noConversion"/>
  </si>
  <si>
    <t>Sector05.goliath_4.skill01.shock.buff</t>
  </si>
  <si>
    <t>Sector05.goliath_4.skill02.atkdown.buff</t>
  </si>
  <si>
    <t>Sector05.goliath_4.skill03.pre.buff</t>
  </si>
  <si>
    <t>Sector05.goliath_4.skill03.hitevent.buff</t>
  </si>
  <si>
    <t>Sector05.goliath_4.skill03.dmgratedown.buff</t>
  </si>
  <si>
    <t>Sector05.goliath_4.skill03.stun.buff</t>
  </si>
  <si>
    <t>Sector05.goliath_4.passive01.buff</t>
  </si>
  <si>
    <t>Sector05.goliath_4.passive01effect.buff</t>
  </si>
  <si>
    <t>Sector05.goliath_4.passive01.stack.buff</t>
  </si>
  <si>
    <t>Sector05.goliath_4.passive01.atkup.buff</t>
  </si>
  <si>
    <t>Sector05.goliath_4.passive02.buff</t>
  </si>
  <si>
    <t>Sector05.goliath_4.passive02.defup.buff</t>
  </si>
  <si>
    <t>Sector05.goliath_4.skill02.atkdown.buff.buffeffect</t>
  </si>
  <si>
    <t>Sector05.goliath_4.skill03.pre.buff.buffeffect01</t>
  </si>
  <si>
    <t>Sector05.goliath_4.skill03.pre.buff.buffeffect02</t>
  </si>
  <si>
    <t>Sector05.goliath_4.skill03.hitevent.skilleffect</t>
  </si>
  <si>
    <t>Sector05.goliath_4.skill03.dmgratedown.buff.buffeffect</t>
  </si>
  <si>
    <t>Sector05.goliath_4.passive01.buff.buffeffect</t>
  </si>
  <si>
    <t>Sector05.goliath_4.passive01.skilleffect</t>
  </si>
  <si>
    <t>Sector05.goliath_4.passive01.stack.buff.buffeffect</t>
  </si>
  <si>
    <t>Sector05.goliath_4.passive01.stack.buff&amp;10</t>
  </si>
  <si>
    <t>Sector05.goliath_4.passive01.atkup.buff.buffeffect</t>
  </si>
  <si>
    <t>Sector05.goliath_4.passive02.buff.buffeffect</t>
  </si>
  <si>
    <t>Sector05.goliath_4.passive02.buff.buffeffect.01.skilleffect</t>
  </si>
  <si>
    <t>Sector05.goliath_4.passive02.defup.buff.buffeffect</t>
  </si>
  <si>
    <t>Sector05.goliath_4.skill03.pre.effect.01.buff</t>
    <phoneticPr fontId="2" type="noConversion"/>
  </si>
  <si>
    <t>Sector05.goliath_4.skill03.pre.effect.02.buff</t>
    <phoneticPr fontId="2" type="noConversion"/>
  </si>
  <si>
    <t>Effect/Prefab/10_buff/EFF_buff_goliath4_skill03_1</t>
  </si>
  <si>
    <t>Effect/Prefab/10_buff/EFF_buff_goliath4_skill03_2</t>
    <phoneticPr fontId="2" type="noConversion"/>
  </si>
  <si>
    <t>Sector05.goliath_4.skill03.pre.buff.buffeffect03</t>
    <phoneticPr fontId="2" type="noConversion"/>
  </si>
  <si>
    <t>Sector05.goliath_4.skill03.pre.buff.buffeffect03.skilleffect</t>
    <phoneticPr fontId="2" type="noConversion"/>
  </si>
  <si>
    <t>Sector05.goliath_4.skill03.pre.buff.buffeffect01
Sector05.goliath_4.skill03.pre.buff.buffeffect02
Sector05.goliath_4.skill03.pre.buff.buffeffect03</t>
    <phoneticPr fontId="2" type="noConversion"/>
  </si>
  <si>
    <t>Sector08.skull_crawler_1.skill02.heal.buff</t>
  </si>
  <si>
    <t>Sector08.skull_crawler_1.skill02.atkup.buff</t>
  </si>
  <si>
    <t>Sector08.skull_crawler_1.skill03.poison.buff</t>
  </si>
  <si>
    <t>Sector08.skull_crawler_1.passive01.buff</t>
  </si>
  <si>
    <t>Sector08.skull_crawler_1.passive01.buff.buffeffect01
Sector08.skull_crawler_1.passive01.buff.buffeffect02</t>
  </si>
  <si>
    <t>Sector08.skull_crawler_1.skill02.heal.buff.buffeffect</t>
  </si>
  <si>
    <t>Sector08.skull_crawler_1.skill02.atkup.buff.buffeffect</t>
  </si>
  <si>
    <t>Sector08.skull_crawler_1.skill03.poison.buff.buffeffect</t>
  </si>
  <si>
    <t>Sector08.skull_crawler_1.passive01.buff.buffeffect01</t>
  </si>
  <si>
    <t>Sector08.skull_crawler_1.passive01.buff.buffeffect02</t>
  </si>
  <si>
    <t>Effect/Prefab/02.mob/boss_royal_queen/EFF_royal_queen_1_skill03_buff</t>
    <phoneticPr fontId="2" type="noConversion"/>
  </si>
  <si>
    <t>Buff.Desc.AttackUp</t>
  </si>
  <si>
    <t>Buff.Desc.Shield</t>
  </si>
  <si>
    <t>Buff.Desc.DefenseUp</t>
  </si>
  <si>
    <t>Buff.Desc.burn</t>
  </si>
  <si>
    <t>Buff.Desc.KnockBack</t>
  </si>
  <si>
    <t/>
  </si>
  <si>
    <t>Buff.Desc.Reflect.Shield</t>
  </si>
  <si>
    <t>Buff.Desc.Stun</t>
  </si>
  <si>
    <t>Buff.Desc.EPRechargeRateDown</t>
  </si>
  <si>
    <t>Buff.Desc.AttackDown</t>
  </si>
  <si>
    <t>Buff.Desc.DamageDerateDown</t>
  </si>
  <si>
    <t>Buff.Desc.DamageRateUp</t>
  </si>
  <si>
    <t>Buff.Desc.Dotheal</t>
  </si>
  <si>
    <t>Buff.Desc.AttackSpeedUp</t>
  </si>
  <si>
    <t>Buff.Desc.MoveSpeedDown</t>
  </si>
  <si>
    <t>Buff.Desc.Bleeding</t>
  </si>
  <si>
    <t>Buff.Desc.Pull</t>
  </si>
  <si>
    <t>Buff.Desc.DamageRateDown</t>
  </si>
  <si>
    <t>Buff.Desc.AttackSpeedDown</t>
  </si>
  <si>
    <t>Buff.Desc.DefenseDown</t>
  </si>
  <si>
    <t>Buff.Desc.Silence</t>
  </si>
  <si>
    <t>Buff.Desc.Shock</t>
  </si>
  <si>
    <t>Buff.Desc.DamageImmune</t>
  </si>
  <si>
    <t>Buff.Desc.Poison</t>
  </si>
  <si>
    <t>Buff.Desc.ReceiveRecoveryRateDown</t>
  </si>
  <si>
    <t>Buff.Desc.DeathHeal</t>
  </si>
  <si>
    <t>Buff.Desc.Fear</t>
  </si>
  <si>
    <t>Buff.Des.Stun</t>
    <phoneticPr fontId="2" type="noConversion"/>
  </si>
  <si>
    <t>Buff.Desc.AttackDown</t>
    <phoneticPr fontId="2" type="noConversion"/>
  </si>
  <si>
    <t>Buff.Desc.DefenseDown</t>
    <phoneticPr fontId="2" type="noConversion"/>
  </si>
  <si>
    <t>icon_battle_hitbarrier_1</t>
    <phoneticPr fontId="2" type="noConversion"/>
  </si>
  <si>
    <t>Buff.Name.CrowdControlUP</t>
  </si>
  <si>
    <t>Buff.Name.CCImmune</t>
  </si>
  <si>
    <t>icon_battle_ccimmune</t>
  </si>
  <si>
    <t>icon_battle_damagederate</t>
    <phoneticPr fontId="2" type="noConversion"/>
  </si>
  <si>
    <t>Buff.Name.MeleeDamageDerate</t>
  </si>
  <si>
    <t>Buff.Desc.MeleeDamageDerate</t>
  </si>
  <si>
    <t>Buff.Desc.DamageDerateUp</t>
  </si>
  <si>
    <t>Buff.Desc.GuardUp</t>
  </si>
  <si>
    <t>icon_battle_skillchange</t>
  </si>
  <si>
    <t>Buff.Name.SkillChange</t>
  </si>
  <si>
    <t>Buff.Name.SkillChange.kara_1</t>
  </si>
  <si>
    <t>GuildOperation02.goliath_2.passive01.shield01.on.buff</t>
    <phoneticPr fontId="2" type="noConversion"/>
  </si>
  <si>
    <t>GuildOperation02.goliath_2.passive01.shield02.on.buff</t>
    <phoneticPr fontId="2" type="noConversion"/>
  </si>
  <si>
    <t>GuildOperation02.goliath_2.passive01.shield01.on.buff.buffeffect</t>
  </si>
  <si>
    <t>GuildOperation02.goliath_2.passive01.shield01.on.buff.buffeffect</t>
    <phoneticPr fontId="2" type="noConversion"/>
  </si>
  <si>
    <t>GuildOperation02.goliath_2.passive01.shield02.on.buff.buffeffect</t>
  </si>
  <si>
    <t>GuildOperation02.goliath_2.passive01.shield02.on.buff.buffeffect</t>
    <phoneticPr fontId="2" type="noConversion"/>
  </si>
  <si>
    <t>GuildOperation02.goliath_2.skill03.shield01</t>
  </si>
  <si>
    <t>GuildOperation02.goliath_2.skill03.shield02</t>
  </si>
  <si>
    <t>Buff.Name.Reflect.Shield</t>
    <phoneticPr fontId="2" type="noConversion"/>
  </si>
  <si>
    <t>Rotation.Immun.burnd.buffeffect
Rotation.Immun.posion.buffeffect
Rotation.Immun.bleed.buffeffect
Rotation.Immun.CC.buffeffect
Boss.Common.Immun.Provoke.buffeffect
Boss.Common.Immun.Polymorph.buffeffect</t>
    <phoneticPr fontId="2" type="noConversion"/>
  </si>
  <si>
    <t>Buff.Desc.Immun.Cube</t>
  </si>
  <si>
    <t>Buff.Desc.Immun.Hamberger</t>
  </si>
  <si>
    <t>Buff.Desc.EPRechargeRateUP</t>
  </si>
  <si>
    <t>Buff.Desc.Rotation.Limerit</t>
  </si>
  <si>
    <t>Buff.Desc.Rotation.Stings</t>
  </si>
  <si>
    <t>Buff.Desc.Rotation.Artase</t>
  </si>
  <si>
    <t>Buff.Desc.CCImmune</t>
  </si>
  <si>
    <t>Buff.Desc.CrowdControlUP</t>
  </si>
  <si>
    <t>Buff.Desc.CriticalUp</t>
  </si>
  <si>
    <t>Buff.Desc.HpDrain</t>
  </si>
  <si>
    <t>Buff.Desc.NormalDamageImmune</t>
  </si>
  <si>
    <t>Buff.Desc.Fever</t>
  </si>
  <si>
    <t>#Type</t>
  </si>
  <si>
    <t>#Value1</t>
  </si>
  <si>
    <t>#Value2</t>
  </si>
  <si>
    <t>#Value3</t>
  </si>
  <si>
    <t>#조건체크
반복주기</t>
  </si>
  <si>
    <t>#타겟</t>
  </si>
  <si>
    <t>#광여
타이</t>
  </si>
  <si>
    <t>#수</t>
  </si>
  <si>
    <t>#값 %</t>
  </si>
  <si>
    <t>#값
(상수)</t>
  </si>
  <si>
    <t>#사용
스택</t>
  </si>
  <si>
    <t>#이펙트
이름</t>
  </si>
  <si>
    <t>#Hud</t>
  </si>
  <si>
    <t>CoolTime</t>
  </si>
  <si>
    <t>LimitEffectCount</t>
  </si>
  <si>
    <t>#조건 값</t>
    <phoneticPr fontId="2" type="noConversion"/>
  </si>
  <si>
    <t>#사용횟수
기본값:1, 공백:무한</t>
  </si>
  <si>
    <t>Sector05.common.passive01.weakness.buff</t>
  </si>
  <si>
    <t>Sector05.common.passive01.weakness.buff</t>
    <phoneticPr fontId="2" type="noConversion"/>
  </si>
  <si>
    <t>Sector05.common.passive01.weakness.buff.buffeffect</t>
  </si>
  <si>
    <t>Passive</t>
  </si>
  <si>
    <t>Sector05.goliath_1.passive01.changeskill.buff</t>
  </si>
  <si>
    <t>Sector05.goliath_1.passive01.changeskill.buff</t>
    <phoneticPr fontId="2" type="noConversion"/>
  </si>
  <si>
    <t>Sector05.goliath_1.passive01.changeskill.buff.buffeffect</t>
  </si>
  <si>
    <t>Passive</t>
    <phoneticPr fontId="2" type="noConversion"/>
  </si>
  <si>
    <t>Sector05.goliath_4.passive01.changeskill.buff</t>
  </si>
  <si>
    <t>Sector05.goliath_4.passive01.changeskill.buff</t>
    <phoneticPr fontId="2" type="noConversion"/>
  </si>
  <si>
    <t>Sector05.goliath_4.passive01.changeskill.buff.buffeffect</t>
  </si>
  <si>
    <t>Sector08.common.passive01.weakness.buff</t>
    <phoneticPr fontId="2" type="noConversion"/>
  </si>
  <si>
    <t>Sector08.common.passive01.weakness.buff.buffeffect</t>
  </si>
  <si>
    <t>Sector08.crawler_1.passive01.weakness.buff</t>
  </si>
  <si>
    <t>Sector08.crawler_1.passive01.weakness.buff</t>
    <phoneticPr fontId="2" type="noConversion"/>
  </si>
  <si>
    <t>Sector08.crawler_1.passive01.weakness.buff.buffeffect</t>
  </si>
  <si>
    <t>Sector08.skull_crawler_1.passive01.weakness.buff</t>
  </si>
  <si>
    <t>Sector08.skull_crawler_1.passive01.weakness.buff</t>
    <phoneticPr fontId="2" type="noConversion"/>
  </si>
  <si>
    <t>Sector08.skull_crawler_1.passive01.weakness.buff.buffeffect</t>
  </si>
  <si>
    <t>WorldRaid.eperiusunit_1.passive01.buff.buffeffect03</t>
    <phoneticPr fontId="2" type="noConversion"/>
  </si>
  <si>
    <t>WorldRaid.eperiusunit_1.passive01.groggy.buff</t>
  </si>
  <si>
    <t>WorldRaid.eperiusunit_1.passive01.groggy.buff</t>
    <phoneticPr fontId="2" type="noConversion"/>
  </si>
  <si>
    <t>WorldRaid.eperiusunit_1.passive01.groggy.buff.buffeffect01</t>
    <phoneticPr fontId="2" type="noConversion"/>
  </si>
  <si>
    <t>WorldRaid.eperiusunit_1.passive01.groggy.buff.buffeffect02</t>
  </si>
  <si>
    <t>int?</t>
    <phoneticPr fontId="2" type="noConversion"/>
  </si>
  <si>
    <t>Sector08.common.passive01.weakness.buff</t>
  </si>
  <si>
    <t>GuildOperation02.goliath_2.passive01.buff.buffeffect02</t>
    <phoneticPr fontId="2" type="noConversion"/>
  </si>
  <si>
    <t>GuildOperation02.goliath_2.passive01.shield.reflect.buff.buffeffect</t>
    <phoneticPr fontId="2" type="noConversion"/>
  </si>
  <si>
    <t>GuildOperation02.goliath_2.passive01.shield.hit.buff.buffeffect</t>
    <phoneticPr fontId="2" type="noConversion"/>
  </si>
  <si>
    <t>GuildOperation02.goliath_2.passive01.shield02.buff.buffeffect
GuildOperation02.goliath_2.passive01.shield.reflect.buff.buffeffect
GuildOperation02.goliath_2.passive01.shield.hit.buff.buffeffect</t>
    <phoneticPr fontId="2" type="noConversion"/>
  </si>
  <si>
    <t>GuildOperation02.goliath_2.passive01.shield01.buff.buffeffect
GuildOperation02.goliath_2.passive01.shield.reflect.buff.buffeffect
GuildOperation02.goliath_2.passive01.shield.hit.buff.buffeffect</t>
    <phoneticPr fontId="2" type="noConversion"/>
  </si>
  <si>
    <t>GuildOperation02.goliath_2.passive01.shield.hit.buff.buffeffect.skilleffect</t>
    <phoneticPr fontId="2" type="noConversion"/>
  </si>
  <si>
    <t>GuildOperation02.goliath_2.passive01.buff.buffeffect
GuildOperation02.goliath_2.passive01.buff.buffeffect02</t>
    <phoneticPr fontId="2" type="noConversion"/>
  </si>
  <si>
    <t>none</t>
    <phoneticPr fontId="2" type="noConversion"/>
  </si>
  <si>
    <t>Daily.Gold.trooper_demolisher_1.passive01.changeskill.buff</t>
  </si>
  <si>
    <t>Daily.Gold.trooper_demolisher_1.passive01.changeskill.buff</t>
    <phoneticPr fontId="2" type="noConversion"/>
  </si>
  <si>
    <t>Daily.Gold.trooper_demolisher_1.passive01.changeskill.buff.buffeffect</t>
  </si>
  <si>
    <t>Daily.Gold.trooper_demolisher_1.passive01.changeskill.buff.buffeffect</t>
    <phoneticPr fontId="2" type="noConversion"/>
  </si>
  <si>
    <t>Sector01.harbor_crab_1.passive01.shield.buff</t>
  </si>
  <si>
    <t>Sector01.harbor_crab_1.passive01.buff.buffeffect.skilleffect</t>
    <phoneticPr fontId="2" type="noConversion"/>
  </si>
  <si>
    <t>shock
shock.impossible.eprecharge</t>
    <phoneticPr fontId="2" type="noConversion"/>
  </si>
  <si>
    <t>Effect/Prefab/02.mob/cube_military_01/EFF_cube_military_01_idle_01</t>
    <phoneticPr fontId="2" type="noConversion"/>
  </si>
  <si>
    <t>Effect/Prefab/10_buff/EFF_buff_trapburger_rotation
Effect/Prefab/10_buff/EFF_buff_trapburger_rotation_ground</t>
    <phoneticPr fontId="2" type="noConversion"/>
  </si>
  <si>
    <t>none</t>
    <phoneticPr fontId="2" type="noConversion"/>
  </si>
  <si>
    <t>All</t>
    <phoneticPr fontId="2" type="noConversion"/>
  </si>
  <si>
    <t>Sector01.spider_turret_prototype_1.skill01.effect01.defencedown.buff</t>
  </si>
  <si>
    <t>Sector01.trooper_inferno_1.skill02.effect01.burn.buff</t>
  </si>
  <si>
    <t>Sector02.silhouette_inferno_3.skill02.burn.buff</t>
  </si>
  <si>
    <t>Sector09.barnacle_builder_1.passive01.buff</t>
  </si>
  <si>
    <t>Sector09.barnacle_builder_1.skill01.atkdown.buff</t>
  </si>
  <si>
    <t>Sector09.barnacle_builder_1.skill01.atkdown.buff.buffeffect</t>
  </si>
  <si>
    <t>AttackRatio</t>
    <phoneticPr fontId="2" type="noConversion"/>
  </si>
  <si>
    <t>Active</t>
    <phoneticPr fontId="2" type="noConversion"/>
  </si>
  <si>
    <t>Sector09.barnacle_builder_1.skill02.hpdrain.buff</t>
  </si>
  <si>
    <t>Sector09.barnacle_builder_1.skill03.bedebuff.buff</t>
  </si>
  <si>
    <t>Sector09.barnacle_builder_1.skill02.hpdrain.buff.buffeffect</t>
  </si>
  <si>
    <t>Sector09.barnacle_builder_1.skill03.bedebuff.buff.buffeffect</t>
  </si>
  <si>
    <t>Sector09.barnacle_builder_1.skill03.bedebuff.skilleffect</t>
    <phoneticPr fontId="2" type="noConversion"/>
  </si>
  <si>
    <t>Sector09.barnacle_builder_1.skill03.bedebuff.dmgratedown.buff</t>
  </si>
  <si>
    <t>Sector09.barnacle_builder_1.skill03.bedebuff.dmgratedown.buff.buffeffect</t>
  </si>
  <si>
    <t>DamageRate</t>
    <phoneticPr fontId="2" type="noConversion"/>
  </si>
  <si>
    <t>Sector09.barnacle_builder_1.passive01.buff.buffeffect.01</t>
    <phoneticPr fontId="2" type="noConversion"/>
  </si>
  <si>
    <t>Sector09.barnacle_builder_1.passive01.buff.buffeffect.02</t>
    <phoneticPr fontId="2" type="noConversion"/>
  </si>
  <si>
    <t>Sector09.barnacle_builder_1.passive01.bedebuff.skilleffect</t>
    <phoneticPr fontId="2" type="noConversion"/>
  </si>
  <si>
    <t>Sector09.barnacle_builder_1.passive01.effect.skilleffect</t>
    <phoneticPr fontId="2" type="noConversion"/>
  </si>
  <si>
    <t>Sector09.barnacle_builder_1.passive01.reflect.effect.skilleffect</t>
  </si>
  <si>
    <t>none</t>
    <phoneticPr fontId="2" type="noConversion"/>
  </si>
  <si>
    <t>Sector09.barnacle_builder_1.passive01.buff.buffeffect.01
Sector09.barnacle_builder_1.passive01.buff.buffeffect.02
Sector09.barnacle_builder_1.passive01.buff.effect
Sector09.barnacle_builder_1.passive01.buff.reflect.effect</t>
    <phoneticPr fontId="2" type="noConversion"/>
  </si>
  <si>
    <t>Sector09.barnacle_builder_1.passive01.buff.reflect.effect</t>
    <phoneticPr fontId="2" type="noConversion"/>
  </si>
  <si>
    <t>Sector09.barnacle_builder_1.passive01.buff.effect</t>
    <phoneticPr fontId="2" type="noConversion"/>
  </si>
  <si>
    <t>Sector09.barnacle_builder_1.passive01.effect.buff</t>
    <phoneticPr fontId="2" type="noConversion"/>
  </si>
  <si>
    <t>Effect/Prefab/02.mob/boss_barnacle/EFF_barnacle_builder_passive01</t>
    <phoneticPr fontId="2" type="noConversion"/>
  </si>
  <si>
    <t>Sector10.mindloader_1.passive01.buff</t>
  </si>
  <si>
    <t>Sector10.mindloader_1.skill03.target.buff</t>
  </si>
  <si>
    <t>Sector10.mindloader_1.skill03.exile.buff</t>
  </si>
  <si>
    <t>Sector10.mindloader_1.skill03.end.buff</t>
  </si>
  <si>
    <t>Sector10.mindloader_1.skill04.change.buff</t>
  </si>
  <si>
    <t>Sector10.mindloader_1.skill01.atkdown.buff</t>
  </si>
  <si>
    <t>exile</t>
  </si>
  <si>
    <t>exile.end.skilleffect</t>
  </si>
  <si>
    <t>Effect/Prefab/10_buff/EFF_debuff_exile</t>
  </si>
  <si>
    <t>icon_battle_exile</t>
  </si>
  <si>
    <t>Buff.Name.exile</t>
  </si>
  <si>
    <t>Buff.Desc.exile</t>
  </si>
  <si>
    <t>Sector10.mindloader_1.skill01.atkdown.buff.buffeffect</t>
  </si>
  <si>
    <t>Sector10.mindloader_1.skill04.change.buff.buffeffect</t>
  </si>
  <si>
    <t>Sector10.mindloader_1.passive01.buff.buffeffect</t>
  </si>
  <si>
    <t>DamageDerate</t>
    <phoneticPr fontId="2" type="noConversion"/>
  </si>
  <si>
    <t>bleed.monster</t>
    <phoneticPr fontId="2" type="noConversion"/>
  </si>
  <si>
    <t>posion.monster</t>
    <phoneticPr fontId="2" type="noConversion"/>
  </si>
  <si>
    <t>Sector01.jamming_drone_1.skill01.effect01.defdown.buff</t>
    <phoneticPr fontId="2" type="noConversion"/>
  </si>
  <si>
    <t>Sector01.solid_turretmk1_1.skill01.effect01.bleed.buff</t>
    <phoneticPr fontId="2" type="noConversion"/>
  </si>
  <si>
    <t>Sector02.spider_turretmk2_3.skill01.effect01.bleed.buff</t>
    <phoneticPr fontId="2" type="noConversion"/>
  </si>
  <si>
    <t>Sector02.silhouette_champion_3.skill02.effect01.defdown.buff</t>
    <phoneticPr fontId="2" type="noConversion"/>
  </si>
  <si>
    <t>Sector03.infdust_gauntlet_2.skill02.effect01.defdown.buff</t>
    <phoneticPr fontId="2" type="noConversion"/>
  </si>
  <si>
    <t>Sector04.friendly_patrol_1.skill01.effect01.atkdown.buff</t>
    <phoneticPr fontId="2" type="noConversion"/>
  </si>
  <si>
    <t>Sector04.friendly_sicklepatrol_1.skill02.effect01.defdown.buff</t>
    <phoneticPr fontId="2" type="noConversion"/>
  </si>
  <si>
    <t>Sector05.killer_drone_4.skill02.effect01.atkdown.buff</t>
    <phoneticPr fontId="2" type="noConversion"/>
  </si>
  <si>
    <t>Sector05.labtrooper_shield_1.skill02.effect01.atkdown.buff</t>
    <phoneticPr fontId="2" type="noConversion"/>
  </si>
  <si>
    <t>attackdown.monster</t>
    <phoneticPr fontId="2" type="noConversion"/>
  </si>
  <si>
    <t>Sector05.harbor_cannon_1.skill02.effect01.burn.buff</t>
    <phoneticPr fontId="2" type="noConversion"/>
  </si>
  <si>
    <t>Sector07.clock_spear_1.skill02.effect01.bleed.buff</t>
    <phoneticPr fontId="2" type="noConversion"/>
  </si>
  <si>
    <t>Sector07.clock_crossbow_1.skill02.effect01.poison.buff</t>
    <phoneticPr fontId="2" type="noConversion"/>
  </si>
  <si>
    <t>Sector08.plants_branch_1.skill02.effect01.poison.buff</t>
    <phoneticPr fontId="2" type="noConversion"/>
  </si>
  <si>
    <t>Sector08.creeper_seed_1.skill02.effect01.atkdown.buff</t>
    <phoneticPr fontId="2" type="noConversion"/>
  </si>
  <si>
    <t>Effect/Prefab/10_buff/EFF_buff_mindloader_skill04</t>
    <phoneticPr fontId="2" type="noConversion"/>
  </si>
  <si>
    <t>Sector03.core_snatcher_1.skill02.effect01.attackdown.buff</t>
    <phoneticPr fontId="2" type="noConversion"/>
  </si>
  <si>
    <t>Sector01.harbor_crab_1.passive01.shield.hiteffect.buff</t>
    <phoneticPr fontId="2" type="noConversion"/>
  </si>
  <si>
    <t>Sector01.trooper_guard_1.skill01.effect01.buff</t>
    <phoneticPr fontId="2" type="noConversion"/>
  </si>
  <si>
    <t>Shield</t>
    <phoneticPr fontId="2" type="noConversion"/>
  </si>
  <si>
    <t>Sector02.silhouette_guard_3.skill01.effect01.buff.buffeffect</t>
    <phoneticPr fontId="2" type="noConversion"/>
  </si>
  <si>
    <t>Sector03.infdust_shield_2.skill01.effect01.buff.buffeffect</t>
    <phoneticPr fontId="2" type="noConversion"/>
  </si>
  <si>
    <t>DamageDerate</t>
    <phoneticPr fontId="2" type="noConversion"/>
  </si>
  <si>
    <t>resist.provoke&amp;resist.polymorph&amp;resist.silence&amp;resist.blind&amp;resist.bind&amp;resist.sleep&amp;resist.stun&amp;resist.shock&amp;resist.paralysis&amp;resist.fear&amp;resist.charm&amp;resist.knockback&amp;resist.pull&amp;resist.freeze&amp;resist.exile&amp;resist.airborne&amp;poisondamageimmune&amp;bleeddamageimmune&amp;Sector08.plants_bark_1.passive01.buff.buffeffect01&amp;Sector08.plants_bark_1.passive01.buff.buffeffect02&amp;Sector08.plants_bark_1.passive01.buff.buffeffect03</t>
    <phoneticPr fontId="2" type="noConversion"/>
  </si>
  <si>
    <t>resist.provoke&amp;resist.polymorph&amp;resist.silence&amp;resist.blind&amp;resist.bind&amp;resist.sleep&amp;resist.stun&amp;resist.shock&amp;resist.paralysis&amp;resist.fear&amp;resist.charm&amp;resist.knockback&amp;resist.pull&amp;resist.freeze&amp;resist.exile&amp;resist.airborne&amp;poisondamageimmune&amp;bleeddamageimmune&amp;Sector08.plants_branch_1.passive01.buff.buffeffect01&amp;Sector08.plants_branch_1.passive01.buff.buffeffect02&amp;Sector08.plants_branch_1.passive01.buff.buffeffect03</t>
    <phoneticPr fontId="2" type="noConversion"/>
  </si>
  <si>
    <t>WorldRaid.eperiusunit_1.passive01.groggy.buff.buffeffect03</t>
    <phoneticPr fontId="2" type="noConversion"/>
  </si>
  <si>
    <t>WorldRaid.eperiusunit_1.passive01.groggy.buff.buffeffect01
WorldRaid.eperiusunit_1.passive01.groggy.buff.buffeffect02
WorldRaid.eperiusunit_1.passive01.groggy.buff.buffeffect03</t>
    <phoneticPr fontId="2" type="noConversion"/>
  </si>
  <si>
    <t>#Sector01.harbor_crab_1.passive01.buff.buffeffect02</t>
    <phoneticPr fontId="2" type="noConversion"/>
  </si>
  <si>
    <t>Sector01.harbor_crab_1.passive01.buff.buffeffect01</t>
    <phoneticPr fontId="2" type="noConversion"/>
  </si>
  <si>
    <t>EventStory.mechatoa_1.skill01.pre.shield.buff</t>
  </si>
  <si>
    <t>Buff.Des.DamageImmune</t>
  </si>
  <si>
    <t>shock</t>
  </si>
  <si>
    <t>Buff.Des.Stun</t>
  </si>
  <si>
    <t>icon_boss_nullaxe2_stack01</t>
  </si>
  <si>
    <t>Effect/Prefab/10_buff/EFF_gallius2_skill01_shield_reflex_act</t>
  </si>
  <si>
    <t>Status(MeleeDamageDerate, 500)</t>
  </si>
  <si>
    <t>Hot(MaxHp, 50)</t>
  </si>
  <si>
    <t>Poison(Attack, 500)</t>
  </si>
  <si>
    <t>Status(AttackRatio, -800)</t>
  </si>
  <si>
    <t>All</t>
    <phoneticPr fontId="2" type="noConversion"/>
  </si>
  <si>
    <t>BossChallenge.gallius_1.skill01.effect01.buff.buffeffect</t>
  </si>
  <si>
    <t>BossChallenge.gallius_1.skill02.effect01.stun01.buff.buffeffect</t>
  </si>
  <si>
    <t>BossChallenge.gallius_2.skill01.effect01.shield.buff.buffeffect01</t>
  </si>
  <si>
    <t>BossChallenge.gallius_2.skill01.effect01.shield.buff.buffeffect02</t>
  </si>
  <si>
    <t>BossChallenge.gallius_2.skill01.effect01.shield.buff.buffeffect03</t>
  </si>
  <si>
    <t>BossChallenge.gallius_2.skill01.effect01.shield.buff.buffeffect03.skilleffect</t>
  </si>
  <si>
    <t>BossChallenge.gallius_2.skill02.effect01.stun01.buff.buffeffect</t>
  </si>
  <si>
    <t>BossChallenge.cassandra_1.passive01.buff.buffeffect</t>
  </si>
  <si>
    <t>BossChallenge.cassandra_1.passive01.buff.buffeffect.skilleffect01</t>
  </si>
  <si>
    <t>BossChallenge.cassandra_1.passive01.buff.attackup01.buff.buffeffect</t>
  </si>
  <si>
    <t>BossChallenge.cassandra_2.skill03.epdown01.buff.buffeffect</t>
  </si>
  <si>
    <t>BossChallenge.cassandra_2.passive01.buff.buffeffect</t>
  </si>
  <si>
    <t>BossChallenge.cassandra_2.passive01.buff.buffeffect.skilleffect01</t>
  </si>
  <si>
    <t>BossChallenge.cassandra_2.passive01.buff.attackup01.buff.buffeffect</t>
  </si>
  <si>
    <t>BossChallenge.cassandra_2.passive01.buff.overclock.buff.buffeffect</t>
  </si>
  <si>
    <t>BossChallenge.theomega_1.skill01.effect01.atkdown01.buff.buffeffect</t>
  </si>
  <si>
    <t>BossChallenge.theomega_1.skill01.effect01.stun01.buff.buffeffect</t>
  </si>
  <si>
    <t>BossChallenge.theomega_1.skill02.pre.buff.buffeffect01</t>
  </si>
  <si>
    <t>BossChallenge.theomega_1.skill02.pre.buff.buffeffect02</t>
  </si>
  <si>
    <t>BossChallenge.theomega_1.skill02.pre.buff.buffeffect02.skilleffect</t>
  </si>
  <si>
    <t>BossChallenge.theomega_1.skill02.end.buff01.buffeffect</t>
  </si>
  <si>
    <t>BossChallenge.theomega_1.skill02.end.buff02.buffeffect</t>
  </si>
  <si>
    <t>BossChallenge.theomega_1.skill03.effect01.heal.buff.buffeffect</t>
  </si>
  <si>
    <t>BossChallenge.theomega_1.passive01.buff.buffeffect</t>
  </si>
  <si>
    <t>BossChallenge.theomega_1.passive01.buff.buffeffect.skilleffect</t>
  </si>
  <si>
    <t>BossChallenge.theomega_1.passive01.buff.buffeffect.skilleffect.buff.buffeffect</t>
  </si>
  <si>
    <t>BossChallenge.theomega_3.skill01.effect01.atkdown01.buff.buffeffect</t>
  </si>
  <si>
    <t>BossChallenge.theomega_3.skill01.effect01.stun01.buff.buffeffect</t>
  </si>
  <si>
    <t>BossChallenge.theomega_3.skill02.knoback.buff.buffeffect</t>
  </si>
  <si>
    <t>BossChallenge.theomega_3.skill02.slow.buff.buffeffect</t>
  </si>
  <si>
    <t>BossChallenge.theomega_3.skill02.rage.buff.buffeffect01</t>
  </si>
  <si>
    <t>BossChallenge.theomega_3.skill02.rage.buff.buffeffect02</t>
  </si>
  <si>
    <t>BossChallenge.theomega_3.skill02.rage.buff.buffeffect03</t>
  </si>
  <si>
    <t>BossChallenge.theomega_3.skill02.rage.buff.buffeffect04</t>
  </si>
  <si>
    <t>BossChallenge.theomega_3.skill03.pre.buff.buffeffect01</t>
  </si>
  <si>
    <t>BossChallenge.theomega_3.skill03.pre.buff.buffeffect02</t>
  </si>
  <si>
    <t>BossChallenge.theomega_3.skill03.pre.buff.buffeffect02.skilleffect</t>
  </si>
  <si>
    <t>BossChallenge.theomega_3.skill03.end.buff01.buffeffect</t>
  </si>
  <si>
    <t>BossChallenge.theomega_3.skill03.end.buff02.buffeffect</t>
  </si>
  <si>
    <t>BossChallenge.theomega_3.skill04.trigger.buff.buffeffect</t>
  </si>
  <si>
    <t>BossChallenge.theomega_3.skill04.knoback.buff.buffeffect</t>
  </si>
  <si>
    <t>BossChallenge.theomega_3.skill04.stun.buff.buffeffect</t>
  </si>
  <si>
    <t>BossChallenge.theomega_3.passive01.buff.buffeffect</t>
  </si>
  <si>
    <t>BossChallenge.theomega_3.passive01.buff.buffeffect.skilleffect</t>
  </si>
  <si>
    <t>BossChallenge.theomega_3.passive01.buff.buffeffect.skilleffect.buff.buffeffect</t>
  </si>
  <si>
    <t>BossChallenge.nullaxe_1.attack.bleeding01.buff.buffeffect</t>
  </si>
  <si>
    <t>BossChallenge.nullaxe_1.skill01.effect01.knockback01.buff.buffeffect</t>
  </si>
  <si>
    <t>BossChallenge.nullaxe_1.skill01.effect02.stun01.buff.buffeffect</t>
  </si>
  <si>
    <t>BossChallenge.nullaxe_1.skill02.effect02.buff.buffeffect</t>
  </si>
  <si>
    <t>BossChallenge.nullaxe_1.skill03.pre.buff.buffeffect</t>
  </si>
  <si>
    <t>BossChallenge.nullaxe_1.passive01.buff.buffeffect</t>
  </si>
  <si>
    <t>BossChallenge.nullaxe_1.passive01.buff.buffeffect.skilleffect</t>
  </si>
  <si>
    <t>BossChallenge.nullaxe_1.passive02.buff.buffeffect</t>
  </si>
  <si>
    <t>BossChallenge.nullaxe_1.passive02.buff.buffeffect.skilleffect</t>
  </si>
  <si>
    <t>BossChallenge.nullaxe_2.attack.hpdrain.buff.buffeffect</t>
  </si>
  <si>
    <t>BossChallenge.nullaxe_2.attack.bleeding01.buff.buffeffect</t>
  </si>
  <si>
    <t>BossChallenge.nullaxe_2.skill01.effect01.knockback01.buff.buffeffect</t>
  </si>
  <si>
    <t>BossChallenge.nullaxe_2.skill01.effect02.stun01.buff.buffeffect</t>
  </si>
  <si>
    <t>BossChallenge.nullaxe_2.skill02.pre.buff.buffeffect</t>
  </si>
  <si>
    <t>BossChallenge.nullaxe_2.skill02.effect02.buff.buffeffect</t>
  </si>
  <si>
    <t>BossChallenge.nullaxe_2.skill03.pre.buff.buffeffect</t>
  </si>
  <si>
    <t>BossChallenge.nullaxe_2.passive01.buff.buffeffect</t>
  </si>
  <si>
    <t>BossChallenge.nullaxe_2.passive01.buff.buffeffect.skilleffect</t>
  </si>
  <si>
    <t>BossChallenge.nullaxe_2.passive02.buff.buffeffect</t>
  </si>
  <si>
    <t>BossChallenge.nullaxe_2.passive02.buff.buffeffect.skilleffect</t>
  </si>
  <si>
    <t>BossChallenge.nullaxe_2.passive03.buff.buffeffect</t>
  </si>
  <si>
    <t>BossChallenge.clock_royal_queen_1.attack.effect01.wound.buff.buffeffect</t>
  </si>
  <si>
    <t>BossChallenge.clock_royal_queen_1.skill01.effect01.wound.buff.buffeffect</t>
  </si>
  <si>
    <t>BossChallenge.clock_royal_queen_1.skill03.effect01.buff.buffeffect</t>
  </si>
  <si>
    <t>BossChallenge.clock_royal_queen_1.skill03.effect02.buff.buffeffect</t>
  </si>
  <si>
    <t>BossChallenge.clock_royal_queen_1.passive01.buff.buffeffect</t>
  </si>
  <si>
    <t>BossChallenge.clock_royal_queen_1.passive01.buff.buffeffect.skilleffect</t>
  </si>
  <si>
    <t>BossChallenge.clock_royal_queen_1.passive02.buff.buffeffect</t>
  </si>
  <si>
    <t>BossChallenge.clock_royal_queen_1.passive02.buff.buffeffect.skilleffect</t>
  </si>
  <si>
    <t>BossChallenge.clock_royal_queen_2.attack.effect01.wound.buff.buffeffect</t>
  </si>
  <si>
    <t>BossChallenge.clock_royal_queen_2.skill01.effect01.wound.buff.buffeffect</t>
  </si>
  <si>
    <t>BossChallenge.clock_royal_queen_2.skill03.effect01.buff.buffeffect</t>
  </si>
  <si>
    <t>BossChallenge.clock_royal_queen_2.skill03.effect02.buff.buffeffect</t>
  </si>
  <si>
    <t>BossChallenge.clock_royal_queen_2.skill03.trigger.buff.buffeffect</t>
  </si>
  <si>
    <t>BossChallenge.clock_royal_queen_2.passive01.buff.buffeffect</t>
  </si>
  <si>
    <t>BossChallenge.clock_royal_queen_2.passive01.buff.buffeffect.skilleffect</t>
  </si>
  <si>
    <t>BossChallenge.clock_royal_queen_2.passive02.buff.buffeffect</t>
  </si>
  <si>
    <t>BossChallenge.clock_royal_queen_2.passive02.buff.buffeffect.skilleffect</t>
  </si>
  <si>
    <t>BossChallenge.toxic_1.poison01.buff.buffeffect</t>
  </si>
  <si>
    <t>BossChallenge.toxic_1.passive01.buff.buffeffect01</t>
  </si>
  <si>
    <t>BossChallenge.toxic_1.passive01.buff.buffeffect01.skilleffect</t>
  </si>
  <si>
    <t>BossChallenge.toxic_1.passive01.buff.buffeffect02</t>
  </si>
  <si>
    <t>BossChallenge.toxic_1.passive01.buff.buffeffect02.skilleffect</t>
  </si>
  <si>
    <t>BossChallenge.toxic_1.passive01.buff.buffeffect03</t>
  </si>
  <si>
    <t>BossChallenge.toxic_1.passive01.buff.buffeffect03.skilleffect</t>
  </si>
  <si>
    <t>BossChallenge.toxic_1.passive01.hot.buff.buffeffect</t>
  </si>
  <si>
    <t>BossChallenge.toxic_1.passive02.buff.buffeffect</t>
  </si>
  <si>
    <t>BossChallenge.toxic_3.atkdown01.buff.buffeffect</t>
  </si>
  <si>
    <t>BossChallenge.toxic_3.poison01.buff.buffeffect</t>
  </si>
  <si>
    <t>BossChallenge.toxic_3.passive01.buff.buffeffect01</t>
  </si>
  <si>
    <t>BossChallenge.toxic_3.passive01.buff.buffeffect01.skilleffect</t>
  </si>
  <si>
    <t>Active(BossChallenge.toxic_3.passive01.buff.buffeffect01.skilleffect)</t>
  </si>
  <si>
    <t>BossChallenge.toxic_3.passive01.buff.buffeffect02</t>
  </si>
  <si>
    <t>BossChallenge.toxic_3.passive01.buff.buffeffect02.skilleffect</t>
  </si>
  <si>
    <t>Active(BossChallenge.toxic_3.passive01.buff.buffeffect02.skilleffect)</t>
  </si>
  <si>
    <t>BossChallenge.toxic_3.passive01.buff.buffeffect03</t>
  </si>
  <si>
    <t>BossChallenge.toxic_3.passive01.buff.buffeffect03.skilleffect</t>
  </si>
  <si>
    <t>Active(BossChallenge.toxic_3.passive01.buff.buffeffect03.skilleffect)</t>
  </si>
  <si>
    <t>BossChallenge.toxic_3.passive01.hot.buff.buffeffect</t>
  </si>
  <si>
    <t>BossChallenge.toxic_3.passive02.buff.buffeffect01</t>
  </si>
  <si>
    <t>BossChallenge.toxic_3.passive02.buff.buffeffect02</t>
  </si>
  <si>
    <t>BossChallenge.toxic_3.passive02.buff.buffeffect02.skilleffect</t>
  </si>
  <si>
    <t>Effect(BeHitMelee, BossChallenge.toxic_3.passive02.buff.buffeffect02.skilleffect)</t>
  </si>
  <si>
    <t>BossChallenge.goliath_1.skill03.pre.buff.buffeffect</t>
  </si>
  <si>
    <t>BossChallenge.goliath_1.skill03.immun.buff.buffeffect</t>
  </si>
  <si>
    <t>BossChallenge.goliath_1.skill03.atkup.buff.buffeffect</t>
  </si>
  <si>
    <t>BossChallenge.goliath_1.passive01.buff.buffeffect</t>
  </si>
  <si>
    <t>BossChallenge.goliath_1.passive01.skilleffect</t>
  </si>
  <si>
    <t>BossChallenge.goliath_1.passive01.stack.buff.buffeffect</t>
  </si>
  <si>
    <t>BossChallenge.goliath_1.passive01.stack.buff&amp;7</t>
  </si>
  <si>
    <t>BossChallenge.goliath_1.passive01.atkup.buff.buffeffect</t>
  </si>
  <si>
    <t>BossChallenge.goliath_1.passive02.buff.buffeffect.01</t>
  </si>
  <si>
    <t>BossChallenge.goliath_1.passive02.buff.buffeffect.01.skilleffect</t>
  </si>
  <si>
    <t>BossChallenge.goliath_1.passive02.buff.buffeffect.02</t>
  </si>
  <si>
    <t>BossChallenge.goliath_1.passive02.buff.buffeffect.03</t>
  </si>
  <si>
    <t>BossChallenge.goliath_1.passive02.buff.buffeffect.04</t>
  </si>
  <si>
    <t>BossChallenge.goliath_1.passive02.buff.buffeffect.05</t>
  </si>
  <si>
    <t>BossChallenge.goliath_1.passive02.buff.buffeffect.06</t>
  </si>
  <si>
    <t>BossChallenge.goliath_1.passive02.buff.buffeffect.07</t>
  </si>
  <si>
    <t>BossChallenge.goliath_1.passive02.buff.buffeffect.08</t>
  </si>
  <si>
    <t>BossChallenge.goliath_1.passive02.buff.buffeffect.09</t>
  </si>
  <si>
    <t>BossChallenge.goliath_1.passive02.defup.buff.buffeffect</t>
  </si>
  <si>
    <t>BossChallenge.crawler_1.skill02.heal.buff.buffeffect</t>
  </si>
  <si>
    <t>BossChallenge.crawler_1.skill02.atkup.buff.buffeffect</t>
  </si>
  <si>
    <t>BossChallenge.crawler_1.skill03.poison.buff.buffeffect</t>
  </si>
  <si>
    <t>BossChallenge.crawler_1.passive01.buff.buffeffect</t>
  </si>
  <si>
    <t>BossChallenge.crawler_1.passive01.buff.buffeffect02</t>
  </si>
  <si>
    <t>BossChallenge.gallius_1.skill01.effect01.buff</t>
  </si>
  <si>
    <t>BossChallenge.gallius_1.skill02.effect01.stun01.buff</t>
  </si>
  <si>
    <t>BossChallenge.gallius_2.skill01.effect01.shield.buff</t>
  </si>
  <si>
    <t>BossChallenge.gallius_2.skill01.effect01.shield.buff.buffeffect01
BossChallenge.gallius_2.skill01.effect01.shield.buff.buffeffect02
BossChallenge.gallius_2.skill01.effect01.shield.buff.buffeffect03</t>
  </si>
  <si>
    <t>BossChallenge.gallius_2.skill01.shield.hiteffect.buff</t>
  </si>
  <si>
    <t>BossChallenge.gallius_2.skill02.effect01.stun01.buff</t>
  </si>
  <si>
    <t>BossChallenge.cassandra_1.passive01.buff</t>
  </si>
  <si>
    <t>BossChallenge.cassandra_1.passive01.buff.attackup01.buff</t>
  </si>
  <si>
    <t>BossChallenge.cassandra_2.skill03.epdown01.buff</t>
  </si>
  <si>
    <t>BossChallenge.cassandra_2.passive01.buff</t>
  </si>
  <si>
    <t>BossChallenge.cassandra_2.passive01.buff.attackup01.buff</t>
  </si>
  <si>
    <t>BossChallenge.cassandra_2.passive01.buff.overclock.buff</t>
  </si>
  <si>
    <t>BossChallenge.theomega_1.skill01.effect01.atkdown01.buff</t>
  </si>
  <si>
    <t>BossChallenge.theomega_1.skill01.effect01.stun01.buff</t>
  </si>
  <si>
    <t>BossChallenge.theomega_1.skill02.pre.buff</t>
  </si>
  <si>
    <t>BossChallenge.theomega_1.skill02.pre.buff.buffeffect01
BossChallenge.theomega_1.skill02.pre.buff.buffeffect02</t>
  </si>
  <si>
    <t>BossChallenge.theomega_1.skill02.shield.hiteffect.buff</t>
  </si>
  <si>
    <t>BossChallenge.theomega_1.skill02.end.buff01</t>
  </si>
  <si>
    <t>!BossChallenge.theomega_1.skill02.pre.buff.buffeffect</t>
  </si>
  <si>
    <t>BossChallenge.theomega_1.skill02.end.buff02</t>
  </si>
  <si>
    <t>BossChallenge.theomega_1.skill02.pre.buff.buffeffect</t>
  </si>
  <si>
    <t>BossChallenge.theomega_1.skill03.effect01.heal.buff</t>
  </si>
  <si>
    <t>BossChallenge.theomega_1.passive01.buff</t>
  </si>
  <si>
    <t>BossChallenge.theomega_1.passive01.buff.buffeffect.skilleffect.buff</t>
  </si>
  <si>
    <t>BossChallenge.theomega_3.skill01.effect01.atkdown01.buff</t>
  </si>
  <si>
    <t>BossChallenge.theomega_3.skill01.effect01.stun01.buff</t>
  </si>
  <si>
    <t>BossChallenge.theomega_3.skill02.knoback.buff</t>
  </si>
  <si>
    <t>BossChallenge.theomega_3.skill02.slow.buff</t>
  </si>
  <si>
    <t>BossChallenge.theomega_3.skill02.rage.start.buff</t>
  </si>
  <si>
    <t>BossChallenge.theomega_3.skill02.rage.buff</t>
  </si>
  <si>
    <t>BossChallenge.theomega_3.skill02.rage.buff.buffeffect01
BossChallenge.theomega_3.skill02.rage.buff.buffeffect02
BossChallenge.theomega_3.skill02.rage.buff.buffeffect03
BossChallenge.theomega_3.skill02.rage.buff.buffeffect04</t>
  </si>
  <si>
    <t>BossChallenge.theomega_3.skill03.pre.buff</t>
  </si>
  <si>
    <t>BossChallenge.theomega_3.skill03.pre.buff.buffeffect01
BossChallenge.theomega_3.skill03.pre.buff.buffeffect02</t>
  </si>
  <si>
    <t>BossChallenge.theomega_3.skill03.shield.hiteffect.buff</t>
  </si>
  <si>
    <t>BossChallenge.theomega_3.skill03.end.buff01</t>
  </si>
  <si>
    <t>!BossChallenge.theomega_3.skill03.pre.buff.buffeffect</t>
  </si>
  <si>
    <t>BossChallenge.theomega_3.skill03.end.buff02</t>
  </si>
  <si>
    <t>BossChallenge.theomega_3.skill03.pre.buff.buffeffect</t>
  </si>
  <si>
    <t>BossChallenge.theomega_3.skill04.trigger.buff</t>
  </si>
  <si>
    <t>BossChallenge.theomega_3.skill04.knoback.buff</t>
  </si>
  <si>
    <t>BossChallenge.theomega_3.skill04.stun.buff</t>
  </si>
  <si>
    <t>BossChallenge.theomega_3.passive01.buff</t>
  </si>
  <si>
    <t>BossChallenge.theomega_3.passive01.buff.buffeffect.skilleffect.buff</t>
  </si>
  <si>
    <t>BossChallenge.nullaxe_1.attack.bleeding01.buff</t>
  </si>
  <si>
    <t>BossChallenge.nullaxe_1.skill01.effect01.knockback01.buff</t>
  </si>
  <si>
    <t>BossChallenge.nullaxe_1.skill01.effect02.stun01.buff</t>
  </si>
  <si>
    <t>BossChallenge.nullaxe_1.skill02.effect02.buff</t>
  </si>
  <si>
    <t>BossChallenge.nullaxe_1.skill03.pre.buff</t>
  </si>
  <si>
    <t>BossChallenge.nullaxe_1.passive01.buff</t>
  </si>
  <si>
    <t>BossChallenge.nullaxe_1.passive02.buff</t>
  </si>
  <si>
    <t>BossChallenge.nullaxe_2.attack.hpdrain.buff</t>
  </si>
  <si>
    <t>BossChallenge.nullaxe_2.attack.bleeding01.buff</t>
  </si>
  <si>
    <t>BossChallenge.nullaxe_2.skill01.effect01.knockback01.buff</t>
  </si>
  <si>
    <t>BossChallenge.nullaxe_2.skill01.effect02.stun01.buff</t>
  </si>
  <si>
    <t>BossChallenge.nullaxe_2.skill02.pre.buff</t>
  </si>
  <si>
    <t>BossChallenge.nullaxe_2.skill02.effect02.buff</t>
  </si>
  <si>
    <t>BossChallenge.nullaxe_2.skill03.pre.buff</t>
  </si>
  <si>
    <t>BossChallenge.nullaxe_2.passive01.buff</t>
  </si>
  <si>
    <t>BossChallenge.nullaxe_2.passive02.buff</t>
  </si>
  <si>
    <t>BossChallenge.nullaxe_2.passive03.buff</t>
  </si>
  <si>
    <t>BossChallenge.clock_royal_queen_1.attack.effect01.wound.buff</t>
  </si>
  <si>
    <t>BossChallenge.clock_royal_queen_1.skill01.effect01.wound.buff</t>
  </si>
  <si>
    <t>BossChallenge.clock_royal_queen_1.skill03.effect01.buff</t>
  </si>
  <si>
    <t>BossChallenge.clock_royal_queen_1.skill03.effect02.buff</t>
  </si>
  <si>
    <t>BossChallenge.clock_royal_queen_1.passive01.buff</t>
  </si>
  <si>
    <t>BossChallenge.clock_royal_queen_1.passive02.buff</t>
  </si>
  <si>
    <t>BossChallenge.clock_royal_queen_2.attack.effect01.wound.buff</t>
  </si>
  <si>
    <t>BossChallenge.clock_royal_queen_2.skill01.effect01.wound.buff</t>
  </si>
  <si>
    <t>BossChallenge.clock_royal_queen_2.skill03.effect01.buff</t>
  </si>
  <si>
    <t>BossChallenge.clock_royal_queen_2.skill03.effect02.buff</t>
  </si>
  <si>
    <t>BossChallenge.clock_royal_queen_2.skill03.trigger.buff</t>
  </si>
  <si>
    <t>BossChallenge.clock_royal_queen_2.passive01.buff</t>
  </si>
  <si>
    <t>BossChallenge.clock_royal_queen_2.passive02.buff</t>
  </si>
  <si>
    <t>BossChallenge.toxic_1.poison01.buff</t>
  </si>
  <si>
    <t>BossChallenge.toxic_1.skill03.effect02.stun.buff</t>
  </si>
  <si>
    <t>BossChallenge.toxic_1.passive01.buff</t>
  </si>
  <si>
    <t>BossChallenge.toxic_1.passive01.buff.buffeffect01
BossChallenge.toxic_1.passive01.buff.buffeffect02
BossChallenge.toxic_1.passive01.buff.buffeffect03</t>
  </si>
  <si>
    <t>BossChallenge.toxic_1.passive01.hot.buff</t>
  </si>
  <si>
    <t>BossChallenge.toxic_1.passive02.buff</t>
  </si>
  <si>
    <t>BossChallenge.toxic_3.atkdown01.buff</t>
  </si>
  <si>
    <t>BossChallenge.toxic_3.poison01.buff</t>
  </si>
  <si>
    <t>BossChallenge.toxic_3.passive01.buff</t>
  </si>
  <si>
    <t>BossChallenge.toxic_3.passive01.buff.buffeffect01
BossChallenge.toxic_3.passive01.buff.buffeffect02
BossChallenge.toxic_3.passive01.buff.buffeffect03</t>
  </si>
  <si>
    <t>BossChallenge.toxic_3.passive01.hot.buff</t>
  </si>
  <si>
    <t>BossChallenge.toxic_3.passive02.buff</t>
  </si>
  <si>
    <t>BossChallenge.toxic_3.passive02.buff.buffeffect01
BossChallenge.toxic_3.passive02.buff.buffeffect02</t>
  </si>
  <si>
    <t>BossChallenge.goliath_1.skill01.shock.buff</t>
  </si>
  <si>
    <t>BossChallenge.goliath_1.skill03.pre.buff</t>
  </si>
  <si>
    <t>BossChallenge.goliath_1.skill03.immun.buff</t>
  </si>
  <si>
    <t>BossChallenge.goliath_1.skill03.atkup.buff</t>
  </si>
  <si>
    <t>BossChallenge.goliath_1.passive01.buff</t>
  </si>
  <si>
    <t>BossChallenge.goliath_1.passive01effect.buff</t>
  </si>
  <si>
    <t>BossChallenge.goliath_1.passive01.stack.buff</t>
  </si>
  <si>
    <t>BossChallenge.goliath_1.passive01.atkup.buff</t>
  </si>
  <si>
    <t>BossChallenge.goliath_1.passive02.buff</t>
  </si>
  <si>
    <t>BossChallenge.goliath_1.passive02.buff.buffeffect.01
BossChallenge.goliath_1.passive02.buff.buffeffect.02
BossChallenge.goliath_1.passive02.buff.buffeffect.03
BossChallenge.goliath_1.passive02.buff.buffeffect.04
BossChallenge.goliath_1.passive02.buff.buffeffect.05
BossChallenge.goliath_1.passive02.buff.buffeffect.06
BossChallenge.goliath_1.passive02.buff.buffeffect.07
BossChallenge.goliath_1.passive02.buff.buffeffect.08
BossChallenge.goliath_1.passive02.buff.buffeffect.09</t>
  </si>
  <si>
    <t>BossChallenge.goliath_1.passive02.defup.buff</t>
  </si>
  <si>
    <t>BossChallenge.crawler_1.skill02.heal.buff</t>
  </si>
  <si>
    <t>BossChallenge.crawler_1.skill02.atkup.buff</t>
  </si>
  <si>
    <t>BossChallenge.crawler_1.skill03.poison.buff</t>
  </si>
  <si>
    <t>BossChallenge.crawler_1.passive01.buff</t>
  </si>
  <si>
    <t>shock
shock.impossible.eprecharge</t>
  </si>
  <si>
    <t>Effect/Prefab/10_buff/EFF_buff_goliath4_skill03_2</t>
  </si>
  <si>
    <t>BossChallenge.goliath_4.skill01.shock.buff</t>
  </si>
  <si>
    <t>BossChallenge.goliath_4.skill02.atkdown.buff</t>
  </si>
  <si>
    <t>BossChallenge.goliath_4.skill03.pre.buff</t>
  </si>
  <si>
    <t>BossChallenge.goliath_4.skill03.pre.buff.buffeffect01
BossChallenge.goliath_4.skill03.pre.buff.buffeffect02
BossChallenge.goliath_4.skill03.pre.buff.buffeffect03</t>
  </si>
  <si>
    <t>BossChallenge.goliath_4.skill03.pre.effect.01.buff</t>
  </si>
  <si>
    <t>BossChallenge.goliath_4.skill03.pre.effect.02.buff</t>
  </si>
  <si>
    <t>BossChallenge.goliath_4.skill03.hitevent.buff</t>
  </si>
  <si>
    <t>BossChallenge.goliath_4.skill03.dmgratedown.buff</t>
  </si>
  <si>
    <t>BossChallenge.goliath_4.skill03.stun.buff</t>
  </si>
  <si>
    <t>BossChallenge.goliath_4.passive01.buff</t>
  </si>
  <si>
    <t>BossChallenge.goliath_4.passive01effect.buff</t>
  </si>
  <si>
    <t>BossChallenge.goliath_4.passive01.stack.buff</t>
  </si>
  <si>
    <t>BossChallenge.goliath_4.passive01.changeskill.buff</t>
  </si>
  <si>
    <t>BossChallenge.goliath_4.passive01.atkup.buff</t>
  </si>
  <si>
    <t>BossChallenge.goliath_4.passive02.buff</t>
  </si>
  <si>
    <t>BossChallenge.goliath_4.passive02.defup.buff</t>
  </si>
  <si>
    <t>BossChallenge.goliath_4.skill02.atkdown.buff.buffeffect</t>
  </si>
  <si>
    <t>BossChallenge.goliath_4.skill03.pre.buff.buffeffect01</t>
  </si>
  <si>
    <t>BossChallenge.goliath_4.skill03.pre.buff.buffeffect02</t>
  </si>
  <si>
    <t>BossChallenge.goliath_4.skill03.hitevent.skilleffect</t>
  </si>
  <si>
    <t>BossChallenge.goliath_4.skill03.pre.buff.buffeffect03</t>
  </si>
  <si>
    <t>BossChallenge.goliath_4.skill03.pre.buff.buffeffect03.skilleffect</t>
  </si>
  <si>
    <t>BossChallenge.goliath_4.skill03.dmgratedown.buff.buffeffect</t>
  </si>
  <si>
    <t>BossChallenge.goliath_4.passive01.buff.buffeffect</t>
  </si>
  <si>
    <t>BossChallenge.goliath_4.passive01.skilleffect</t>
  </si>
  <si>
    <t>BossChallenge.goliath_4.passive01.stack.buff.buffeffect</t>
  </si>
  <si>
    <t>BossChallenge.goliath_4.passive01.stack.buff&amp;10</t>
  </si>
  <si>
    <t>BossChallenge.goliath_4.passive01.changeskill.buff.buffeffect</t>
  </si>
  <si>
    <t>BossChallenge.goliath_4.passive01.atkup.buff.buffeffect</t>
  </si>
  <si>
    <t>BossChallenge.goliath_4.passive02.buff.buffeffect</t>
  </si>
  <si>
    <t>BossChallenge.goliath_4.passive02.buff.buffeffect.01.skilleffect</t>
  </si>
  <si>
    <t>BossChallenge.goliath_4.passive02.defup.buff.buffeffect</t>
  </si>
  <si>
    <t>BossChallenge.skull_crawler_1.skill02.heal.buff</t>
  </si>
  <si>
    <t>BossChallenge.skull_crawler_1.skill02.atkup.buff</t>
  </si>
  <si>
    <t>BossChallenge.skull_crawler_1.skill03.poison.buff</t>
  </si>
  <si>
    <t>BossChallenge.skull_crawler_1.passive01.buff</t>
  </si>
  <si>
    <t>BossChallenge.skull_crawler_1.passive01.buff.buffeffect01
BossChallenge.skull_crawler_1.passive01.buff.buffeffect02</t>
  </si>
  <si>
    <t>BossChallenge.skull_crawler_1.passive01.weakness.buff</t>
  </si>
  <si>
    <t>BossChallenge.skull_crawler_1.skill02.heal.buff.buffeffect</t>
  </si>
  <si>
    <t>BossChallenge.skull_crawler_1.skill02.atkup.buff.buffeffect</t>
  </si>
  <si>
    <t>BossChallenge.skull_crawler_1.skill03.poison.buff.buffeffect</t>
  </si>
  <si>
    <t>BossChallenge.skull_crawler_1.passive01.buff.buffeffect01</t>
  </si>
  <si>
    <t>BossChallenge.skull_crawler_1.passive01.buff.buffeffect02</t>
  </si>
  <si>
    <t>BossChallenge.skull_crawler_1.passive01.weakness.buff.buffeffect</t>
  </si>
  <si>
    <t>BossChallenge.gallius_1.passive01.buff</t>
  </si>
  <si>
    <t>BossChallenge.gallius_2.passive01.buff</t>
  </si>
  <si>
    <t>BossChallenge.gallius_1.passive01.buff.buffeffect</t>
  </si>
  <si>
    <t>BossChallenge.gallius_2.passive01.buff.buffeffect</t>
  </si>
  <si>
    <t>Raid1001.kara_1.skill01.shock01.buff</t>
  </si>
  <si>
    <t>Raid1001.kara_1.skill01.shock01.buff.buffeffect</t>
  </si>
  <si>
    <t>Raid1001.kara_1.skill03.skillchange.buff</t>
  </si>
  <si>
    <t>Raid1001.kara_1.skill03.atkspdup.buff</t>
  </si>
  <si>
    <t>Raid1001.kara_1.skill03.hpdrain.buff</t>
  </si>
  <si>
    <t>Raid1001.kara_1.passive01.buff</t>
  </si>
  <si>
    <t>Raid1001.kara_1.skill03.skillchange.buff.buffeffect</t>
  </si>
  <si>
    <t>Raid1001.kara_1.skill03.atkspdup.buff.buffeffect</t>
  </si>
  <si>
    <t>Raid1001.kara_1.skill03.hpdrain.buff.buffeffect</t>
  </si>
  <si>
    <t>Raid1001.kara_2.skill01.shock01.buff</t>
  </si>
  <si>
    <t>Raid1001.kara_2.skill01.shock01.buff.buffeffect</t>
  </si>
  <si>
    <t>Raid1001.kara_2.skill03.skillchange.buff</t>
  </si>
  <si>
    <t>Raid1001.kara_2.skill03.atkspdup.buff</t>
  </si>
  <si>
    <t>Raid1001.kara_2.skill03.hpdrain.buff</t>
  </si>
  <si>
    <t>Raid1001.kara_2.passive01.buff</t>
  </si>
  <si>
    <t>Raid1001.kara_2.skill03.skillchange.buff.buffeffect</t>
  </si>
  <si>
    <t>Raid1001.kara_2.skill03.atkspdup.buff.buffeffect</t>
  </si>
  <si>
    <t>Raid1001.kara_2.skill03.hpdrain.buff.buffeffect</t>
  </si>
  <si>
    <t>Effect/Prefab/02.mob/boss_barnacle/EFF_barnacle_builder_passive01</t>
  </si>
  <si>
    <t>Effect/Prefab/10_buff/EFF_buff_mindloader_skill04</t>
  </si>
  <si>
    <t>Raid2001.barnacle_builder_1.skill02.hpdrain.buff</t>
  </si>
  <si>
    <t>Raid2001.barnacle_builder_1.passive01.buff</t>
  </si>
  <si>
    <t>Raid2001.barnacle_builder_1.passive01.effect.buff</t>
  </si>
  <si>
    <t>Raid2001.barnacle_builder_1.skill02.hpdrain.buff.buffeffect</t>
  </si>
  <si>
    <t>Raid2001.barnacle_builder_1.passive01.buff.effect</t>
  </si>
  <si>
    <t>Raid2001.barnacle_builder_1.passive01.effect.skilleffect</t>
  </si>
  <si>
    <t>Raid2001.barnacle_builder_1.passive01.buff.reflect.effect</t>
  </si>
  <si>
    <t>Raid2001.barnacle_builder_1.passive01.reflect.effect.skilleffect</t>
  </si>
  <si>
    <t>Raid3001.mindloader_1.skill04.change.buff</t>
  </si>
  <si>
    <t>Raid3001.mindloader_1.passive01.buff</t>
  </si>
  <si>
    <t>Raid4001.gigantooth_1.attack.effect.knockback01.buff.buffeffect</t>
  </si>
  <si>
    <t>Raid4001.gigantooth_1.attack.effect.slow01.buff.buffeffect</t>
  </si>
  <si>
    <t>Raid4001.gigantooth_1.skill01.effect01.knockback01.buff.buffeffect</t>
  </si>
  <si>
    <t>Raid4001.gigantooth_1.skill01.effect01.stun01.buff.buffeffect</t>
  </si>
  <si>
    <t>Raid4001.gigantooth_1.skill02.effect01.stun01.buff.buffeffect</t>
  </si>
  <si>
    <t>Raid4001.gigantooth_1.skill04.effect04.knockback01.buff.buffeffect</t>
  </si>
  <si>
    <t>Raid4001.gigantooth_2.attack.effect.knockback01.buff.buffeffect</t>
  </si>
  <si>
    <t>Raid4001.gigantooth_2.attack.effect.slow01.buff.buffeffect</t>
  </si>
  <si>
    <t>Raid4001.gigantooth_2.skill01.effect02.knockback01.buff.buffeffect</t>
  </si>
  <si>
    <t>Raid4001.gigantooth_2.skill01.effect02.stun01.buff.buffeffect</t>
  </si>
  <si>
    <t>Raid4001.gigantooth_2.skill02.effect01.shock01.buff.buffeffect</t>
  </si>
  <si>
    <t>Raid4001.gigantooth_2.skill03.effect03.shock01.buff.buffeffect</t>
  </si>
  <si>
    <t>Raid4001.gigantooth_2.skill04.effect05.knockback01.buff.buffeffect</t>
  </si>
  <si>
    <t>Raid4001.gigantooth_1.attack.effect.knockback01.buff</t>
  </si>
  <si>
    <t>Raid4001.gigantooth_1.attack.effect.slow01.buff</t>
  </si>
  <si>
    <t>Raid4001.gigantooth_1.skill01.effect01.knockback01.buff</t>
  </si>
  <si>
    <t>Raid4001.gigantooth_1.skill01.effect01.stun01.buff</t>
  </si>
  <si>
    <t>Raid4001.gigantooth_1.skill02.effect01.stun01.buff</t>
  </si>
  <si>
    <t>Raid4001.gigantooth_1.skill04.effect04.knockback01.buff</t>
  </si>
  <si>
    <t>Raid4001.gigantooth_1.passive01.buff</t>
  </si>
  <si>
    <t>Raid4001.gigantooth_2.attack.effect.knockback01.buff</t>
  </si>
  <si>
    <t>Raid4001.gigantooth_2.attack.effect.slow01.buff</t>
  </si>
  <si>
    <t>Raid4001.gigantooth_2.skill01.effect02.knockback01.buff</t>
  </si>
  <si>
    <t>Raid4001.gigantooth_2.skill01.effect02.stun01.buff</t>
  </si>
  <si>
    <t>Raid4001.gigantooth_2.skill02.effect01.shock01.buff</t>
  </si>
  <si>
    <t>Raid4001.gigantooth_2.skill03.effect03.shock01.buff</t>
  </si>
  <si>
    <t>Raid4001.gigantooth_2.skill04.effect05.knockback01.buff</t>
  </si>
  <si>
    <t>Raid4001.gigantooth_2.passive01.buff</t>
  </si>
  <si>
    <t>Raid.Groggy.buff</t>
  </si>
  <si>
    <t>Raid.Groggy.buff</t>
    <phoneticPr fontId="2" type="noConversion"/>
  </si>
  <si>
    <t>Raid.Groggy.buff.buffeffect.01</t>
    <phoneticPr fontId="2" type="noConversion"/>
  </si>
  <si>
    <t>Raid.Groggy.buff.buffeffect.01
Raid.Groggy.buff.buffeffect.02
Raid.Groggy.buff.buffeffect.03
Raid.Groggy.buff.buffeffect.04</t>
    <phoneticPr fontId="2" type="noConversion"/>
  </si>
  <si>
    <t>Raid.Groggy.buff.buffeffect.02</t>
    <phoneticPr fontId="2" type="noConversion"/>
  </si>
  <si>
    <t>Raid.Groggy.buff.buffeffect.03</t>
    <phoneticPr fontId="2" type="noConversion"/>
  </si>
  <si>
    <t>BeHitRange</t>
  </si>
  <si>
    <t>Raid1001.kara_1.passive01.buff.buffeffect.01</t>
    <phoneticPr fontId="2" type="noConversion"/>
  </si>
  <si>
    <t>Circle</t>
  </si>
  <si>
    <t>GuardDerate</t>
  </si>
  <si>
    <t>Raid1001.kara_1.attacker.debuff.buff.buffeffect.01</t>
  </si>
  <si>
    <t>Raid1001.kara_2.attacker.debuff.buff.buffeffect.01</t>
  </si>
  <si>
    <t>Raid3001.mindloader_1.ranger.debuff.buff</t>
  </si>
  <si>
    <t>Raid3001.mindloader_1.ranger.debuff.buff</t>
    <phoneticPr fontId="2" type="noConversion"/>
  </si>
  <si>
    <t>Raid3001.mindloader_1.ranger.debuff.buff.buffeffect.01</t>
  </si>
  <si>
    <t>Raid3001.mindloader_1.ranger.debuff.buff.buffeffect.01</t>
    <phoneticPr fontId="2" type="noConversion"/>
  </si>
  <si>
    <t>Raid4001.gigantooth_1.passive01.buff.buffeffect.01
Raid4001.gigantooth_1.passive01.buff.buffeffect.02</t>
    <phoneticPr fontId="2" type="noConversion"/>
  </si>
  <si>
    <t>Raid.Groggy.buff.buffeffect.04</t>
    <phoneticPr fontId="2" type="noConversion"/>
  </si>
  <si>
    <t>Active</t>
    <phoneticPr fontId="2" type="noConversion"/>
  </si>
  <si>
    <t>Raid.Groggy.damage.skilleffect.01</t>
    <phoneticPr fontId="2" type="noConversion"/>
  </si>
  <si>
    <t>Raid4001.gigantooth_2.passive01.buff.buffeffect.01
Raid4001.gigantooth_2.passive01.buff.buffeffect.02</t>
  </si>
  <si>
    <t>Raid3001.mindloader_1.passive01.buff.buffeffect.02</t>
  </si>
  <si>
    <t>Raid3001.mindloader_1.passive01.buff.buffeffect.03</t>
  </si>
  <si>
    <t>Raid1001.kara_2.passive01.buff.buffeffect.01</t>
    <phoneticPr fontId="2" type="noConversion"/>
  </si>
  <si>
    <t>Raid1001.kara_2.passive01.buff.buffeffect.02</t>
    <phoneticPr fontId="2" type="noConversion"/>
  </si>
  <si>
    <t>Raid1001.kara_1.passive01.buff.buffeffect.02</t>
    <phoneticPr fontId="2" type="noConversion"/>
  </si>
  <si>
    <t>Raid1001.kara_1.passive01.buff.buffeffect.01
Raid1001.kara_1.passive01.buff.buffeffect.02</t>
    <phoneticPr fontId="2" type="noConversion"/>
  </si>
  <si>
    <t>Raid1001.kara_1.passive02.buff.01</t>
    <phoneticPr fontId="2" type="noConversion"/>
  </si>
  <si>
    <t>Raid1001.kara_1.passive02.buff.02</t>
  </si>
  <si>
    <t>Raid1001.kara_1.passive02.buff.03</t>
  </si>
  <si>
    <t>Raid1001.kara_1.passive02.buff.04</t>
  </si>
  <si>
    <t>Raid1001.kara_1.passive02.buff.05</t>
  </si>
  <si>
    <t>Raid1001.kara_1.attacker.debuff.buff.01</t>
    <phoneticPr fontId="2" type="noConversion"/>
  </si>
  <si>
    <t>Raid1001.kara_1.attacker.debuff.buff.02</t>
  </si>
  <si>
    <t>Raid1001.kara_1.attacker.debuff.buff.03</t>
  </si>
  <si>
    <t>Raid1001.kara_1.attacker.debuff.buff.04</t>
  </si>
  <si>
    <t>Raid1001.kara_1.attacker.debuff.buff.05</t>
  </si>
  <si>
    <t>Raid1001.kara_1.passive02.buff.buffeffect.01.01</t>
    <phoneticPr fontId="2" type="noConversion"/>
  </si>
  <si>
    <t>Raid1001.kara_1.passive02.buff.buffeffect.01.02</t>
  </si>
  <si>
    <t>Raid1001.kara_1.passive02.buff.buffeffect.01.03</t>
  </si>
  <si>
    <t>Raid1001.kara_1.passive02.buff.buffeffect.01.04</t>
  </si>
  <si>
    <t>Raid1001.kara_1.passive02.buff.buffeffect.01.05</t>
  </si>
  <si>
    <t>Raid1001.kara_1.passive02.buff.buffeffect.02.01</t>
    <phoneticPr fontId="2" type="noConversion"/>
  </si>
  <si>
    <t>Raid1001.kara_1.passive02.buff.buffeffect.02.02</t>
  </si>
  <si>
    <t>Raid1001.kara_1.passive02.buff.buffeffect.02.03</t>
  </si>
  <si>
    <t>Raid1001.kara_1.passive02.buff.buffeffect.02.04</t>
  </si>
  <si>
    <t>Raid1001.kara_1.passive02.buff.buffeffect.02.05</t>
  </si>
  <si>
    <t>Raid1001.kara_1.behit.range.groggy.skilleffect.01</t>
    <phoneticPr fontId="2" type="noConversion"/>
  </si>
  <si>
    <t>Raid1001.kara_1.behit.range.groggy.skilleffect.02</t>
  </si>
  <si>
    <t>Raid1001.kara_1.behit.range.groggy.skilleffect.03</t>
  </si>
  <si>
    <t>Raid1001.kara_1.behit.range.groggy.skilleffect.04</t>
  </si>
  <si>
    <t>Raid1001.kara_1.behit.range.groggy.skilleffect.05</t>
  </si>
  <si>
    <t>Raid1001.kara_1.attacker.debuff.buff.01</t>
  </si>
  <si>
    <t>Raid1001.kara_1.attacker.debuff.buff.buffeffect.02</t>
  </si>
  <si>
    <t>Raid1001.kara_1.attacker.debuff.buff.buffeffect.03</t>
  </si>
  <si>
    <t>Raid1001.kara_1.attacker.debuff.buff.buffeffect.04</t>
  </si>
  <si>
    <t>Raid1001.kara_1.attacker.debuff.buff.buffeffect.05</t>
  </si>
  <si>
    <t>Raid1001.kara_2.passive02.buff.01</t>
  </si>
  <si>
    <t>Raid1001.kara_2.passive02.buff.02</t>
  </si>
  <si>
    <t>Raid1001.kara_2.passive02.buff.03</t>
  </si>
  <si>
    <t>Raid1001.kara_2.passive02.buff.04</t>
  </si>
  <si>
    <t>Raid1001.kara_2.passive02.buff.05</t>
  </si>
  <si>
    <t>Raid1001.kara_2.attacker.debuff.buff.01</t>
  </si>
  <si>
    <t>Raid1001.kara_2.attacker.debuff.buff.02</t>
  </si>
  <si>
    <t>Raid1001.kara_2.attacker.debuff.buff.03</t>
  </si>
  <si>
    <t>Raid1001.kara_2.attacker.debuff.buff.04</t>
  </si>
  <si>
    <t>Raid1001.kara_2.attacker.debuff.buff.05</t>
  </si>
  <si>
    <t>Raid1001.kara_2.passive02.buff.buffeffect.01.01</t>
  </si>
  <si>
    <t>Raid1001.kara_2.behit.range.groggy.skilleffect.01</t>
  </si>
  <si>
    <t>Raid1001.kara_2.passive02.buff.buffeffect.01.02</t>
  </si>
  <si>
    <t>Raid1001.kara_2.behit.range.groggy.skilleffect.02</t>
  </si>
  <si>
    <t>Raid1001.kara_2.passive02.buff.buffeffect.01.03</t>
  </si>
  <si>
    <t>Raid1001.kara_2.behit.range.groggy.skilleffect.03</t>
  </si>
  <si>
    <t>Raid1001.kara_2.passive02.buff.buffeffect.01.04</t>
  </si>
  <si>
    <t>Raid1001.kara_2.behit.range.groggy.skilleffect.04</t>
  </si>
  <si>
    <t>Raid1001.kara_2.passive02.buff.buffeffect.01.05</t>
  </si>
  <si>
    <t>Raid1001.kara_2.behit.range.groggy.skilleffect.05</t>
  </si>
  <si>
    <t>Raid1001.kara_2.passive02.buff.buffeffect.02.01</t>
  </si>
  <si>
    <t>Raid1001.kara_2.passive02.buff.buffeffect.02.02</t>
  </si>
  <si>
    <t>Raid1001.kara_2.passive02.buff.buffeffect.02.03</t>
  </si>
  <si>
    <t>Raid1001.kara_2.passive02.buff.buffeffect.02.04</t>
  </si>
  <si>
    <t>Raid1001.kara_2.passive02.buff.buffeffect.02.05</t>
  </si>
  <si>
    <t>Raid1001.kara_2.attacker.debuff.buff.buffeffect.02</t>
  </si>
  <si>
    <t>Raid1001.kara_2.attacker.debuff.buff.buffeffect.03</t>
  </si>
  <si>
    <t>Raid1001.kara_2.attacker.debuff.buff.buffeffect.04</t>
  </si>
  <si>
    <t>Raid1001.kara_2.attacker.debuff.buff.buffeffect.05</t>
  </si>
  <si>
    <t>Raid1001.kara_2.passive01.buff.buffeffect.01
Raid1001.kara_2.passive01.buff.buffeffect.02</t>
    <phoneticPr fontId="2" type="noConversion"/>
  </si>
  <si>
    <t>Raid.Groggy.damage.end.buff</t>
  </si>
  <si>
    <t>!Raid.Groggy.damage.end.buff</t>
    <phoneticPr fontId="2" type="noConversion"/>
  </si>
  <si>
    <t>Raid2001.barnacle_builder_1.passive01.buff.buffeffect.01</t>
    <phoneticPr fontId="2" type="noConversion"/>
  </si>
  <si>
    <t>Raid2001.barnacle_builder_1.passive02.buff.01</t>
    <phoneticPr fontId="2" type="noConversion"/>
  </si>
  <si>
    <t>Raid2001.barnacle_builder_1.passive02.buff.02</t>
  </si>
  <si>
    <t>Raid2001.barnacle_builder_1.passive02.buff.03</t>
  </si>
  <si>
    <t>Raid2001.barnacle_builder_1.passive02.buff.04</t>
  </si>
  <si>
    <t>Raid2001.barnacle_builder_1.passive02.buff.05</t>
  </si>
  <si>
    <t>Raid2001.barnacle_builder_1.passive02.buff.06</t>
  </si>
  <si>
    <t>Raid2001.barnacle_builder_1.passive02.buff.07</t>
  </si>
  <si>
    <t>Raid2001.barnacle_builder_1.passive02.buff.08</t>
  </si>
  <si>
    <t>Raid2001.barnacle_builder_1.passive02.buff.09</t>
  </si>
  <si>
    <t>Raid2001.barnacle_builder_1.passive02.buff.10</t>
  </si>
  <si>
    <t>Raid2001.barnacle_builder_1.passive02.buff.buffeffect.01.01</t>
    <phoneticPr fontId="2" type="noConversion"/>
  </si>
  <si>
    <t>Raid2001.barnacle_builder_1.passive02.buff.buffeffect.02.01</t>
    <phoneticPr fontId="2" type="noConversion"/>
  </si>
  <si>
    <t>Raid2001.barnacle_builder_1.passive02.buff.buffeffect.03.01</t>
    <phoneticPr fontId="2" type="noConversion"/>
  </si>
  <si>
    <t>Raid2001.barnacle_builder_1.passive02.buff.buffeffect.01.02</t>
  </si>
  <si>
    <t>Raid2001.barnacle_builder_1.passive02.buff.buffeffect.01.03</t>
  </si>
  <si>
    <t>Raid2001.barnacle_builder_1.passive02.buff.buffeffect.01.04</t>
  </si>
  <si>
    <t>Raid2001.barnacle_builder_1.passive02.buff.buffeffect.01.05</t>
  </si>
  <si>
    <t>Raid2001.barnacle_builder_1.passive02.buff.buffeffect.01.06</t>
  </si>
  <si>
    <t>Raid2001.barnacle_builder_1.passive02.buff.buffeffect.01.07</t>
  </si>
  <si>
    <t>Raid2001.barnacle_builder_1.passive02.buff.buffeffect.01.08</t>
  </si>
  <si>
    <t>Raid2001.barnacle_builder_1.passive02.buff.buffeffect.01.09</t>
  </si>
  <si>
    <t>Raid2001.barnacle_builder_1.passive02.buff.buffeffect.01.10</t>
  </si>
  <si>
    <t>Raid2001.barnacle_builder_1.passive02.buff.buffeffect.02.02</t>
  </si>
  <si>
    <t>Raid2001.barnacle_builder_1.passive02.buff.buffeffect.02.03</t>
  </si>
  <si>
    <t>Raid2001.barnacle_builder_1.passive02.buff.buffeffect.02.04</t>
  </si>
  <si>
    <t>Raid2001.barnacle_builder_1.passive02.buff.buffeffect.02.05</t>
  </si>
  <si>
    <t>Raid2001.barnacle_builder_1.passive02.buff.buffeffect.02.06</t>
  </si>
  <si>
    <t>Raid2001.barnacle_builder_1.passive02.buff.buffeffect.02.07</t>
  </si>
  <si>
    <t>Raid2001.barnacle_builder_1.passive02.buff.buffeffect.02.08</t>
  </si>
  <si>
    <t>Raid2001.barnacle_builder_1.passive02.buff.buffeffect.02.09</t>
  </si>
  <si>
    <t>Raid2001.barnacle_builder_1.passive02.buff.buffeffect.02.10</t>
  </si>
  <si>
    <t>Raid2001.barnacle_builder_1.passive02.buff.buffeffect.03.02</t>
  </si>
  <si>
    <t>Raid2001.barnacle_builder_1.passive02.buff.buffeffect.03.03</t>
  </si>
  <si>
    <t>Raid2001.barnacle_builder_1.passive02.buff.buffeffect.03.04</t>
  </si>
  <si>
    <t>Raid2001.barnacle_builder_1.passive02.buff.buffeffect.03.05</t>
  </si>
  <si>
    <t>Raid2001.barnacle_builder_1.passive02.buff.buffeffect.03.06</t>
  </si>
  <si>
    <t>Raid2001.barnacle_builder_1.passive02.buff.buffeffect.03.07</t>
  </si>
  <si>
    <t>Raid2001.barnacle_builder_1.passive02.buff.buffeffect.03.08</t>
  </si>
  <si>
    <t>Raid2001.barnacle_builder_1.passive02.buff.buffeffect.03.09</t>
  </si>
  <si>
    <t>Raid2001.barnacle_builder_1.passive02.buff.buffeffect.03.10</t>
  </si>
  <si>
    <t>Range</t>
  </si>
  <si>
    <t>Raid3001.mindloader_1.passive01.buff.buffeffect.01</t>
    <phoneticPr fontId="2" type="noConversion"/>
  </si>
  <si>
    <t>Raid3001.mindloader_1.passive01.buff.buffeffect.04</t>
  </si>
  <si>
    <t>GuardReduceRate</t>
  </si>
  <si>
    <t>Raid3001.mindloader_1.passive01.buff.buffeffect.01
Raid3001.mindloader_1.passive01.buff.buffeffect.02
Raid3001.mindloader_1.passive01.buff.buffeffect.03
Raid3001.mindloader_1.passive01.buff.buffeffect.04</t>
    <phoneticPr fontId="2" type="noConversion"/>
  </si>
  <si>
    <t>Raid3001.mindloader_1.passive02.buff.01</t>
    <phoneticPr fontId="2" type="noConversion"/>
  </si>
  <si>
    <t>Raid3001.mindloader_1.passive02.buff.02</t>
  </si>
  <si>
    <t>Raid3001.mindloader_1.passive02.buff.03</t>
  </si>
  <si>
    <t>Raid3001.mindloader_1.passive02.buff.04</t>
  </si>
  <si>
    <t>Raid3001.mindloader_1.passive02.buff.05</t>
  </si>
  <si>
    <t>Raid3001.mindloader_1.passive02.buff.06</t>
  </si>
  <si>
    <t>Raid3001.mindloader_1.passive02.buff.07</t>
  </si>
  <si>
    <t>Raid3001.mindloader_1.passive02.buff.08</t>
  </si>
  <si>
    <t>Raid3001.mindloader_1.passive02.buff.09</t>
  </si>
  <si>
    <t>Raid3001.mindloader_1.passive02.buff.10</t>
  </si>
  <si>
    <t>Raid3001.mindloader_1.passive02.buff.buffeffect.01.01</t>
    <phoneticPr fontId="2" type="noConversion"/>
  </si>
  <si>
    <t>Raid3001.mindloader_1.passive02.buff.buffeffect.02.01</t>
    <phoneticPr fontId="2" type="noConversion"/>
  </si>
  <si>
    <t>Raid3001.mindloader_1.passive02.buff.buffeffect.01.02</t>
  </si>
  <si>
    <t>Raid3001.mindloader_1.passive02.buff.buffeffect.01.03</t>
  </si>
  <si>
    <t>Raid3001.mindloader_1.passive02.buff.buffeffect.01.04</t>
  </si>
  <si>
    <t>Raid3001.mindloader_1.passive02.buff.buffeffect.01.05</t>
  </si>
  <si>
    <t>Raid3001.mindloader_1.passive02.buff.buffeffect.01.06</t>
  </si>
  <si>
    <t>Raid3001.mindloader_1.passive02.buff.buffeffect.01.07</t>
  </si>
  <si>
    <t>Raid3001.mindloader_1.passive02.buff.buffeffect.01.08</t>
  </si>
  <si>
    <t>Raid3001.mindloader_1.passive02.buff.buffeffect.01.09</t>
  </si>
  <si>
    <t>Raid3001.mindloader_1.passive02.buff.buffeffect.01.10</t>
  </si>
  <si>
    <t>Raid3001.mindloader_1.passive02.buff.buffeffect.02.02</t>
  </si>
  <si>
    <t>Raid3001.mindloader_1.passive02.buff.buffeffect.02.03</t>
  </si>
  <si>
    <t>Raid3001.mindloader_1.passive02.buff.buffeffect.02.04</t>
  </si>
  <si>
    <t>Raid3001.mindloader_1.passive02.buff.buffeffect.02.05</t>
  </si>
  <si>
    <t>Raid3001.mindloader_1.passive02.buff.buffeffect.02.06</t>
  </si>
  <si>
    <t>Raid3001.mindloader_1.passive02.buff.buffeffect.02.07</t>
  </si>
  <si>
    <t>Raid3001.mindloader_1.passive02.buff.buffeffect.02.08</t>
  </si>
  <si>
    <t>Raid3001.mindloader_1.passive02.buff.buffeffect.02.09</t>
  </si>
  <si>
    <t>Raid3001.mindloader_1.passive02.buff.buffeffect.02.10</t>
  </si>
  <si>
    <t>Raid3001.mindloader_1passive01.behit.attacker.groggy.skilleffect.01</t>
    <phoneticPr fontId="2" type="noConversion"/>
  </si>
  <si>
    <t>Raid3001.mindloader_1passive01.behit.attacker.groggy.skilleffect.02</t>
  </si>
  <si>
    <t>Raid3001.mindloader_1passive01.behit.attacker.groggy.skilleffect.03</t>
  </si>
  <si>
    <t>Raid3001.mindloader_1passive01.behit.attacker.groggy.skilleffect.04</t>
  </si>
  <si>
    <t>Raid3001.mindloader_1passive01.behit.attacker.groggy.skilleffect.05</t>
  </si>
  <si>
    <t>Raid3001.mindloader_1passive01.behit.attacker.groggy.skilleffect.06</t>
  </si>
  <si>
    <t>Raid3001.mindloader_1passive01.behit.attacker.groggy.skilleffect.07</t>
  </si>
  <si>
    <t>Raid3001.mindloader_1passive01.behit.attacker.groggy.skilleffect.08</t>
  </si>
  <si>
    <t>Raid3001.mindloader_1passive01.behit.attacker.groggy.skilleffect.09</t>
  </si>
  <si>
    <t>Raid3001.mindloader_1passive01.behit.attacker.groggy.skilleffect.10</t>
  </si>
  <si>
    <t>Raid4001.gigantooth_1.passive01.buff.buffeffect.01</t>
  </si>
  <si>
    <t>Raid4001.gigantooth_1.passive01.buff.buffeffect.02</t>
    <phoneticPr fontId="2" type="noConversion"/>
  </si>
  <si>
    <t>Raid4001.gigantooth_1.passive02.buff.01</t>
    <phoneticPr fontId="2" type="noConversion"/>
  </si>
  <si>
    <t>Raid4001.gigantooth_1.passive02.buff.02</t>
  </si>
  <si>
    <t>Raid4001.gigantooth_1.passive02.buff.03</t>
  </si>
  <si>
    <t>Raid4001.gigantooth_1.passive02.buff.04</t>
  </si>
  <si>
    <t>Raid4001.gigantooth_1.passive02.buff.05</t>
  </si>
  <si>
    <t>Raid4001.gigantooth_1.passive02.buff.buffeffect.01.01</t>
    <phoneticPr fontId="2" type="noConversion"/>
  </si>
  <si>
    <t>Raid4001.gigantooth_1.passive02.buff.buffeffect.02.01</t>
    <phoneticPr fontId="2" type="noConversion"/>
  </si>
  <si>
    <t>Raid4001.gigantooth_1.passive02.buff.buffeffect.01.02</t>
  </si>
  <si>
    <t>Raid4001.gigantooth_1.passive02.buff.buffeffect.01.03</t>
  </si>
  <si>
    <t>Raid4001.gigantooth_1.passive02.buff.buffeffect.01.04</t>
  </si>
  <si>
    <t>Raid4001.gigantooth_1.passive02.buff.buffeffect.01.05</t>
  </si>
  <si>
    <t>Raid4001.gigantooth_1.passive02.buff.buffeffect.02.02</t>
  </si>
  <si>
    <t>Raid4001.gigantooth_1.passive02.buff.buffeffect.02.03</t>
  </si>
  <si>
    <t>Raid4001.gigantooth_1.passive02.buff.buffeffect.02.04</t>
  </si>
  <si>
    <t>Raid4001.gigantooth_1.passive02.buff.buffeffect.02.05</t>
  </si>
  <si>
    <t>Raid4001.gigantooth_2.passive02.buff.buffeffect.01.01</t>
  </si>
  <si>
    <t>Raid4001.gigantooth_2.passive02.buff.buffeffect.01.02</t>
  </si>
  <si>
    <t>Raid4001.gigantooth_2.passive02.buff.buffeffect.01.03</t>
  </si>
  <si>
    <t>Raid4001.gigantooth_2.passive02.buff.buffeffect.01.04</t>
  </si>
  <si>
    <t>Raid4001.gigantooth_2.passive02.buff.buffeffect.01.05</t>
  </si>
  <si>
    <t>Raid4001.gigantooth_2.passive02.buff.buffeffect.02.01</t>
  </si>
  <si>
    <t>Raid4001.gigantooth_2.passive02.buff.buffeffect.02.02</t>
  </si>
  <si>
    <t>Raid4001.gigantooth_2.passive02.buff.buffeffect.02.03</t>
  </si>
  <si>
    <t>Raid4001.gigantooth_2.passive02.buff.buffeffect.02.04</t>
  </si>
  <si>
    <t>Raid4001.gigantooth_2.passive02.buff.buffeffect.02.05</t>
  </si>
  <si>
    <t>Raid4001.gigantooth_2.passive01.buff.buffeffect.01</t>
  </si>
  <si>
    <t>Raid4001.gigantooth_2.passive01.buff.buffeffect.02</t>
  </si>
  <si>
    <t>Raid4001.gigantooth_2.passive02.buff.01</t>
  </si>
  <si>
    <t>Raid4001.gigantooth_2.passive02.buff.02</t>
  </si>
  <si>
    <t>Raid4001.gigantooth_2.passive02.buff.03</t>
  </si>
  <si>
    <t>Raid4001.gigantooth_2.passive02.buff.04</t>
  </si>
  <si>
    <t>Raid4001.gigantooth_2.passive02.buff.05</t>
  </si>
  <si>
    <t>Raid4001.gigantooth_2.passive01.groggy.skilleffect.01.01</t>
    <phoneticPr fontId="2" type="noConversion"/>
  </si>
  <si>
    <t>Raid4001.gigantooth_2.passive01.groggy.skilleffect.01.02</t>
  </si>
  <si>
    <t>Raid4001.gigantooth_2.passive01.groggy.skilleffect.01.03</t>
  </si>
  <si>
    <t>Raid4001.gigantooth_2.passive01.groggy.skilleffect.01.04</t>
  </si>
  <si>
    <t>Raid4001.gigantooth_2.passive01.groggy.skilleffect.01.05</t>
  </si>
  <si>
    <t>Raid4001.gigantooth_1.passive01.groggy.skilleffect.01.01</t>
    <phoneticPr fontId="2" type="noConversion"/>
  </si>
  <si>
    <t>Raid4001.gigantooth_1.passive01.groggy.skilleffect.01.02</t>
  </si>
  <si>
    <t>Raid4001.gigantooth_1.passive01.groggy.skilleffect.01.03</t>
  </si>
  <si>
    <t>Raid4001.gigantooth_1.passive01.groggy.skilleffect.01.04</t>
  </si>
  <si>
    <t>Raid4001.gigantooth_1.passive01.groggy.skilleffect.01.05</t>
  </si>
  <si>
    <t>Raid1001.kara_1.attacker.debuff.buff.buffeffect.06</t>
  </si>
  <si>
    <t>Raid1001.kara_1.attacker.debuff.buff.buffeffect.07</t>
  </si>
  <si>
    <t>Raid1001.kara_1.attacker.debuff.buff.buffeffect.08</t>
  </si>
  <si>
    <t>Raid1001.kara_1.attacker.debuff.buff.buffeffect.09</t>
  </si>
  <si>
    <t>Raid1001.kara_1.attacker.debuff.buff.buffeffect.10</t>
  </si>
  <si>
    <t>Raid1001.kara_1.attacker.debuff.buff.06</t>
  </si>
  <si>
    <t>Raid1001.kara_1.attacker.debuff.buff.07</t>
  </si>
  <si>
    <t>Raid1001.kara_1.attacker.debuff.buff.08</t>
  </si>
  <si>
    <t>Raid1001.kara_1.attacker.debuff.buff.09</t>
  </si>
  <si>
    <t>Raid1001.kara_1.attacker.debuff.buff.10</t>
  </si>
  <si>
    <t>Raid1001.kara_1.passive02.buff.06</t>
  </si>
  <si>
    <t>Raid1001.kara_1.passive02.buff.07</t>
  </si>
  <si>
    <t>Raid1001.kara_1.passive02.buff.08</t>
  </si>
  <si>
    <t>Raid1001.kara_1.passive02.buff.09</t>
  </si>
  <si>
    <t>Raid1001.kara_1.passive02.buff.10</t>
  </si>
  <si>
    <t>Raid1001.kara_1.passive02.buff.buffeffect.01.06</t>
  </si>
  <si>
    <t>Raid1001.kara_1.passive02.buff.buffeffect.01.07</t>
  </si>
  <si>
    <t>Raid1001.kara_1.passive02.buff.buffeffect.01.08</t>
  </si>
  <si>
    <t>Raid1001.kara_1.passive02.buff.buffeffect.01.09</t>
  </si>
  <si>
    <t>Raid1001.kara_1.passive02.buff.buffeffect.01.10</t>
  </si>
  <si>
    <t>Raid1001.kara_1.passive02.buff.buffeffect.02.06</t>
  </si>
  <si>
    <t>Raid1001.kara_1.passive02.buff.buffeffect.02.07</t>
  </si>
  <si>
    <t>Raid1001.kara_1.passive02.buff.buffeffect.02.08</t>
  </si>
  <si>
    <t>Raid1001.kara_1.passive02.buff.buffeffect.02.09</t>
  </si>
  <si>
    <t>Raid1001.kara_1.passive02.buff.buffeffect.02.10</t>
  </si>
  <si>
    <t>Raid1001.kara_1.behit.range.groggy.skilleffect.06</t>
  </si>
  <si>
    <t>Raid1001.kara_1.behit.range.groggy.skilleffect.07</t>
  </si>
  <si>
    <t>Raid1001.kara_1.behit.range.groggy.skilleffect.08</t>
  </si>
  <si>
    <t>Raid1001.kara_1.behit.range.groggy.skilleffect.09</t>
  </si>
  <si>
    <t>Raid1001.kara_1.behit.range.groggy.skilleffect.10</t>
  </si>
  <si>
    <t>Raid4001.gigantooth_1.passive02.buff.06</t>
  </si>
  <si>
    <t>Raid4001.gigantooth_1.passive02.buff.07</t>
  </si>
  <si>
    <t>Raid4001.gigantooth_1.passive02.buff.08</t>
  </si>
  <si>
    <t>Raid4001.gigantooth_1.passive02.buff.09</t>
  </si>
  <si>
    <t>Raid4001.gigantooth_1.passive02.buff.10</t>
  </si>
  <si>
    <t>Raid4001.gigantooth_1.passive02.buff.buffeffect.01.06</t>
  </si>
  <si>
    <t>Raid4001.gigantooth_1.passive02.buff.buffeffect.01.07</t>
  </si>
  <si>
    <t>Raid4001.gigantooth_1.passive02.buff.buffeffect.01.08</t>
  </si>
  <si>
    <t>Raid4001.gigantooth_1.passive02.buff.buffeffect.01.09</t>
  </si>
  <si>
    <t>Raid4001.gigantooth_1.passive02.buff.buffeffect.01.10</t>
  </si>
  <si>
    <t>Raid4001.gigantooth_1.passive02.buff.buffeffect.02.06</t>
  </si>
  <si>
    <t>Raid4001.gigantooth_1.passive02.buff.buffeffect.02.07</t>
  </si>
  <si>
    <t>Raid4001.gigantooth_1.passive02.buff.buffeffect.02.08</t>
  </si>
  <si>
    <t>Raid4001.gigantooth_1.passive02.buff.buffeffect.02.09</t>
  </si>
  <si>
    <t>Raid4001.gigantooth_1.passive02.buff.buffeffect.02.10</t>
  </si>
  <si>
    <t>Raid4001.gigantooth_1.passive01.groggy.skilleffect.01.06</t>
  </si>
  <si>
    <t>Raid4001.gigantooth_1.passive01.groggy.skilleffect.01.07</t>
  </si>
  <si>
    <t>Raid4001.gigantooth_1.passive01.groggy.skilleffect.01.08</t>
  </si>
  <si>
    <t>Raid4001.gigantooth_1.passive01.groggy.skilleffect.01.09</t>
  </si>
  <si>
    <t>Raid4001.gigantooth_1.passive01.groggy.skilleffect.01.10</t>
  </si>
  <si>
    <t>RangeDamageRate</t>
  </si>
  <si>
    <t>GuildOperation01.toxic_2.skill02.effect05.burn.buff</t>
  </si>
  <si>
    <t>GuildOperation01.toxic_2.skill02.effect05.burn.buff.buffeffect</t>
  </si>
  <si>
    <t>GuildOperation01.toxic_2.skill02.effect05.burn.buff.buffeffect</t>
    <phoneticPr fontId="2" type="noConversion"/>
  </si>
  <si>
    <t>Burn</t>
    <phoneticPr fontId="2" type="noConversion"/>
  </si>
  <si>
    <t>Raid2001.barnacle_builder_1.passive01.behit.range.groggy.skilleffect.01</t>
  </si>
  <si>
    <t>Raid2001.barnacle_builder_1.passive01.behit.range.groggy.skilleffect.02</t>
  </si>
  <si>
    <t>Raid2001.barnacle_builder_1.passive01.behit.range.groggy.skilleffect.03</t>
  </si>
  <si>
    <t>Raid2001.barnacle_builder_1.passive01.behit.range.groggy.skilleffect.04</t>
  </si>
  <si>
    <t>Raid2001.barnacle_builder_1.passive01.behit.range.groggy.skilleffect.05</t>
  </si>
  <si>
    <t>Raid2001.barnacle_builder_1.passive01.behit.range.groggy.skilleffect.06</t>
  </si>
  <si>
    <t>Raid2001.barnacle_builder_1.passive01.behit.range.groggy.skilleffect.07</t>
  </si>
  <si>
    <t>Raid2001.barnacle_builder_1.passive01.behit.range.groggy.skilleffect.08</t>
  </si>
  <si>
    <t>Raid2001.barnacle_builder_1.passive01.behit.range.groggy.skilleffect.09</t>
  </si>
  <si>
    <t>Raid2001.barnacle_builder_1.passive01.behit.range.groggy.skilleffect.10</t>
  </si>
  <si>
    <t>Raid2001.barnacle_builder_1.passive01.buff.buffeffect.02</t>
    <phoneticPr fontId="2" type="noConversion"/>
  </si>
  <si>
    <t>Enemy</t>
    <phoneticPr fontId="2" type="noConversion"/>
  </si>
  <si>
    <t>All</t>
    <phoneticPr fontId="2" type="noConversion"/>
  </si>
  <si>
    <t>Raid2001.barnacle_builder_1.onheal.groggy.buff</t>
  </si>
  <si>
    <t>Raid2001.barnacle_builder_1.onheal.groggy.buff</t>
    <phoneticPr fontId="2" type="noConversion"/>
  </si>
  <si>
    <t>Raid2001.barnacle_builder_1.onheal.groggy.buff.buffeffect.01</t>
  </si>
  <si>
    <t>Raid2001.barnacle_builder_1.onheal.groggy.buff.buffeffect.01</t>
    <phoneticPr fontId="2" type="noConversion"/>
  </si>
  <si>
    <t>Class</t>
  </si>
  <si>
    <t>Supporter</t>
  </si>
  <si>
    <t>OnHeal</t>
  </si>
  <si>
    <t>Raid2001.barnacle_builder_1.onheal.groggy.skilleffect.01</t>
    <phoneticPr fontId="2" type="noConversion"/>
  </si>
  <si>
    <t>Raid2001.barnacle_builder_1.passive01.buff.buffeffect.01
Raid2001.barnacle_builder_1.passive01.buff.buffeffect.02
Raid2001.barnacle_builder_1.passive01.buff.effect
Raid2001.barnacle_builder_1.passive01.buff.reflect.effect</t>
    <phoneticPr fontId="2" type="noConversion"/>
  </si>
  <si>
    <t>Raid2001.barnacle_builder_1.skill01.stun.buff</t>
    <phoneticPr fontId="2" type="noConversion"/>
  </si>
  <si>
    <t>Raid2001.barnacle_builder_1.skill01.stun.buff.buffeffect</t>
  </si>
  <si>
    <t>Raid3001.mindloader_1.skill03.not.groggy</t>
  </si>
  <si>
    <t>!Raid3001.mindloader_1.skill03.not.groggy</t>
  </si>
  <si>
    <t>!Raid3001.mindloader_1.skill03.not.groggy</t>
    <phoneticPr fontId="2" type="noConversion"/>
  </si>
  <si>
    <t>none</t>
    <phoneticPr fontId="2" type="noConversion"/>
  </si>
  <si>
    <t>Raid3001.mindloader_1.skill01.defdown.buff.buffeffect</t>
  </si>
  <si>
    <t>DefenseRatio</t>
    <phoneticPr fontId="2" type="noConversion"/>
  </si>
  <si>
    <t>Raid3001.mindloader_1.skill01.defdown.buff</t>
  </si>
  <si>
    <t>Raid3001.mindloader_1.skill04.change.buff.buffeffect.01</t>
    <phoneticPr fontId="2" type="noConversion"/>
  </si>
  <si>
    <t>Raid3001.mindloader_1.skill04.change.buff.buffeffect.01
Raid3001.mindloader_1.skill04.change.buff.buffeffect.02</t>
    <phoneticPr fontId="2" type="noConversion"/>
  </si>
  <si>
    <t>Raid3001.mindloader_1.skill04.change.buff.buffeffect.02</t>
    <phoneticPr fontId="2" type="noConversion"/>
  </si>
  <si>
    <t>Electric</t>
  </si>
  <si>
    <t>EventStory.gamemaster_1.passive01.buff</t>
  </si>
  <si>
    <t>EventStory.gamemaster_1.passive01.buff.buffeffect.01</t>
    <phoneticPr fontId="2" type="noConversion"/>
  </si>
  <si>
    <t>EventStory.gamemaster_1.passive01.buff.buffeffect.02</t>
    <phoneticPr fontId="2" type="noConversion"/>
  </si>
  <si>
    <t>UltimateDamageDerate</t>
  </si>
  <si>
    <t>EventStory.gamemaster_1.passive01.buff.buffeffect.01
EventStory.gamemaster_1.passive01.buff.buffeffect.02</t>
    <phoneticPr fontId="2" type="noConversion"/>
  </si>
  <si>
    <t>GuildOperation.Normal.buff.buffeffect
GuildOperation.dot.damage.down</t>
    <phoneticPr fontId="2" type="noConversion"/>
  </si>
  <si>
    <t>GuildOperation.Hard.buff.buffeffect
GuildOperation.dot.damage.down</t>
    <phoneticPr fontId="2" type="noConversion"/>
  </si>
  <si>
    <t>GuildOperation.dot.damage.down</t>
    <phoneticPr fontId="2" type="noConversion"/>
  </si>
  <si>
    <t>DotDamageDerate</t>
  </si>
  <si>
    <t>HpRateCondition(40)</t>
    <phoneticPr fontId="2" type="noConversion"/>
  </si>
  <si>
    <t>WorldRaid.eperiusunit_1.passive01.buff.buffeffect04</t>
    <phoneticPr fontId="2" type="noConversion"/>
  </si>
  <si>
    <t>WorldRaid.eperiusunit_1.passive01.weak.skilleffect</t>
    <phoneticPr fontId="2" type="noConversion"/>
  </si>
  <si>
    <t>WorldRaid.eperiusunit_1.passive01.atkdown.buff</t>
  </si>
  <si>
    <t>Buff.Name.eperiusunit_1.weak.01</t>
    <phoneticPr fontId="2" type="noConversion"/>
  </si>
  <si>
    <t>Buff.Desc.eperiusunit_1.weak.01</t>
  </si>
  <si>
    <t>WorldRaid.eperiusunit_1.passive01.atkdown.buff.buffeffect</t>
  </si>
  <si>
    <t>WorldRaid.eperiusunit_1.passive01.buff.buffeffect05</t>
    <phoneticPr fontId="2" type="noConversion"/>
  </si>
  <si>
    <t>WorldRaid.eperiusunit_1.passive01.buff.buffeffect01
WorldRaid.eperiusunit_1.passive01.buff.buffeffect02
WorldRaid.eperiusunit_1.passive01.buff.buffeffect03
WorldRaid.eperiusunit_1.passive01.buff.buffeffect04
WorldRaid.eperiusunit_1.passive01.buff.buffeffect05</t>
    <phoneticPr fontId="2" type="noConversion"/>
  </si>
  <si>
    <t>EventStory.mechatoa_1.passive01.buff</t>
  </si>
  <si>
    <t>EventStory.mechatoa_1.passive01.buff.buffeffect.01</t>
    <phoneticPr fontId="2" type="noConversion"/>
  </si>
  <si>
    <t>Event.Groggy.buff</t>
  </si>
  <si>
    <t>Event.Groggy.buff</t>
    <phoneticPr fontId="2" type="noConversion"/>
  </si>
  <si>
    <t>Raid.Groggy.buff.buffeffect.01
Raid.Groggy.buff.buffeffect.02
Raid.Groggy.buff.buffeffect.03</t>
    <phoneticPr fontId="2" type="noConversion"/>
  </si>
  <si>
    <t>BuffEffectType</t>
  </si>
  <si>
    <t>!Shield</t>
  </si>
  <si>
    <t>EventStory.mechatoa_1.skill01.pre.groggy.buff</t>
    <phoneticPr fontId="2" type="noConversion"/>
  </si>
  <si>
    <t>EventStory.mechatoa_1.skill01.pre.shield.buff.buffeffect</t>
  </si>
  <si>
    <t>EventStory.mechatoa_1.skill01.pre.groggy.buff.buffeffect</t>
  </si>
  <si>
    <t>EventStory.mechatoa_1.passive01.buff.buffeffect.01
EventStory.mechatoa_1.passive01.buff.buffeffect.02</t>
    <phoneticPr fontId="2" type="noConversion"/>
  </si>
  <si>
    <t>EventStory.mechatoa_1.skill01.groggy.skilleffect.01</t>
  </si>
  <si>
    <t>EventStory.mechatoa_1.skill01.shield.buff</t>
    <phoneticPr fontId="2" type="noConversion"/>
  </si>
  <si>
    <t>EventStory.mechatoa_1.skill01.shield.buff.buffeffect</t>
  </si>
  <si>
    <t>EventStory.mechatoa_1.skill01.pre.shield.skilleffect.01</t>
    <phoneticPr fontId="2" type="noConversion"/>
  </si>
  <si>
    <t>EventStory.dronenest_1.skill01.knockback.buff</t>
  </si>
  <si>
    <t>EventStory.dronenest_1.skill01.atkup.buff</t>
    <phoneticPr fontId="2" type="noConversion"/>
  </si>
  <si>
    <t>EventStory.dronenest_1.skill01.defup.buff</t>
    <phoneticPr fontId="2" type="noConversion"/>
  </si>
  <si>
    <t>EventStory.mechatoa_1.passive01.buff.buffeffect.02</t>
  </si>
  <si>
    <t>EventStory.mechatoa_1.passive01.onhit.skilleffect.01</t>
  </si>
  <si>
    <t>EventStory.dronenest_1.skill01.atkup.buff.buffeffect</t>
  </si>
  <si>
    <t>EventStory.dronenest_1.skill01.defup.buff.buffeffect</t>
  </si>
  <si>
    <t>EventStory.pandahappy_1.skill01.buff</t>
    <phoneticPr fontId="2" type="noConversion"/>
  </si>
  <si>
    <t>EventStory.pandahappy_1.skill01.stun.buff</t>
    <phoneticPr fontId="2" type="noConversion"/>
  </si>
  <si>
    <t>EventStory.pandahappy_1.skill01.buff.buffeffect</t>
  </si>
  <si>
    <t>stun</t>
    <phoneticPr fontId="2" type="noConversion"/>
  </si>
  <si>
    <t>EventStory.pandahappy_1.passive01.buff</t>
  </si>
  <si>
    <t>EventStory.pandahappy_1.passive01.buff.buffeffect</t>
  </si>
  <si>
    <t>EventStory.pandahappy_1.skill01.buff.buffeffect.skilleffect.01</t>
    <phoneticPr fontId="2" type="noConversion"/>
  </si>
  <si>
    <t>Memorial.Monster.buff</t>
    <phoneticPr fontId="2" type="noConversion"/>
  </si>
  <si>
    <t>Memorial.Monster.buff.buffeffect.01</t>
    <phoneticPr fontId="2" type="noConversion"/>
  </si>
  <si>
    <t>Memorial.Monster.buff.buffeffect.01
Memorial.Monster.buff.buffeffect.02</t>
    <phoneticPr fontId="2" type="noConversion"/>
  </si>
  <si>
    <t>Memorial.Monster.buff.buffeffect.02</t>
    <phoneticPr fontId="2" type="noConversion"/>
  </si>
  <si>
    <t>GuildAssault.Passive.buff.buffeffect01
GuildAssault.dot.damage.down</t>
    <phoneticPr fontId="2" type="noConversion"/>
  </si>
  <si>
    <t>GuildAssault.dot.damage.down</t>
    <phoneticPr fontId="2" type="noConversion"/>
  </si>
  <si>
    <t>Monster.Debuff.01.01</t>
    <phoneticPr fontId="2" type="noConversion"/>
  </si>
  <si>
    <t>Monster.Debuff.01.02</t>
  </si>
  <si>
    <t>Monster.Debuff.01.03</t>
  </si>
  <si>
    <t>Monster.Debuff.02.01</t>
    <phoneticPr fontId="2" type="noConversion"/>
  </si>
  <si>
    <t>Monster.Debuff.02.02</t>
  </si>
  <si>
    <t>Monster.Debuff.02.03</t>
  </si>
  <si>
    <t>Monster.Debuff.03.01</t>
    <phoneticPr fontId="2" type="noConversion"/>
  </si>
  <si>
    <t>Monster.Debuff.03.02</t>
  </si>
  <si>
    <t>Monster.Debuff.03.03</t>
  </si>
  <si>
    <t>Monster.Debuff.04.01</t>
    <phoneticPr fontId="2" type="noConversion"/>
  </si>
  <si>
    <t>Monster.Debuff.04.02</t>
  </si>
  <si>
    <t>Monster.Debuff.04.03</t>
  </si>
  <si>
    <t>Monster.Debuff.01.01.Atk.Down.Buffeffect</t>
  </si>
  <si>
    <t>Monster.Debuff.01.01.Def.Down.Buffeffect</t>
  </si>
  <si>
    <t>Monster.Debuff.01.02.Atk.Down.Buffeffect</t>
  </si>
  <si>
    <t>Monster.Debuff.01.02.Def.Down.Buffeffect</t>
  </si>
  <si>
    <t>Monster.Debuff.01.03.Atk.Down.Buffeffect</t>
  </si>
  <si>
    <t>Monster.Debuff.01.03.Def.Down.Buffeffect</t>
  </si>
  <si>
    <t>Monster.Debuff.02.01.Atk.Down.Buffeffect</t>
  </si>
  <si>
    <t>Monster.Debuff.02.01.Def.Down.Buffeffect</t>
  </si>
  <si>
    <t>Monster.Debuff.02.02.Atk.Down.Buffeffect</t>
  </si>
  <si>
    <t>Monster.Debuff.02.02.Def.Down.Buffeffect</t>
  </si>
  <si>
    <t>Monster.Debuff.02.03.Atk.Down.Buffeffect</t>
  </si>
  <si>
    <t>Monster.Debuff.02.03.Def.Down.Buffeffect</t>
  </si>
  <si>
    <t>Monster.Debuff.03.01.Atk.Down.Buffeffect</t>
  </si>
  <si>
    <t>Monster.Debuff.03.01.Def.Down.Buffeffect</t>
  </si>
  <si>
    <t>Monster.Debuff.03.02.Atk.Down.Buffeffect</t>
  </si>
  <si>
    <t>Monster.Debuff.03.02.Def.Down.Buffeffect</t>
  </si>
  <si>
    <t>Monster.Debuff.03.03.Atk.Down.Buffeffect</t>
  </si>
  <si>
    <t>Monster.Debuff.03.03.Def.Down.Buffeffect</t>
  </si>
  <si>
    <t>Monster.Debuff.04.01.Atk.Down.Buffeffect</t>
  </si>
  <si>
    <t>Monster.Debuff.04.01.Def.Down.Buffeffect</t>
  </si>
  <si>
    <t>Monster.Debuff.04.02.Atk.Down.Buffeffect</t>
  </si>
  <si>
    <t>Monster.Debuff.04.02.Def.Down.Buffeffect</t>
  </si>
  <si>
    <t>Monster.Debuff.04.03.Atk.Down.Buffeffect</t>
  </si>
  <si>
    <t>Monster.Debuff.04.03.Def.Down.Buffeffect</t>
  </si>
  <si>
    <t>Effect/Prefab/01.Character/45_yurizia/EFF_yurizia_ult_shield</t>
  </si>
  <si>
    <t>Effect/Prefab/01.Character/45_yurizia/EFF_yurizia_ult02_icon_1</t>
  </si>
  <si>
    <t>Effect/Prefab/01.Character/45_yurizia/EFF_yurizia_ult02_icon_2</t>
  </si>
  <si>
    <t>Effect/Prefab/01.Character/45_yurizia/EFF_yurizia_ult02_icon_3</t>
  </si>
  <si>
    <t>RechargeRate.Down.03</t>
  </si>
  <si>
    <t>RechargeRate.Down.04</t>
  </si>
  <si>
    <t>RechargeRate.Up.04</t>
  </si>
  <si>
    <t>Atk.Up.02</t>
  </si>
  <si>
    <t>Atk.Up.03</t>
  </si>
  <si>
    <t>stun.secret</t>
  </si>
  <si>
    <t>Def.Down.04</t>
  </si>
  <si>
    <t>Def.Down.05</t>
  </si>
  <si>
    <t>Atk.Down.03</t>
  </si>
  <si>
    <t>Atk.Down.04</t>
  </si>
  <si>
    <t>Atk.Down.05</t>
  </si>
  <si>
    <t>airborne</t>
  </si>
  <si>
    <t>info.airborne</t>
  </si>
  <si>
    <t>info.shield</t>
  </si>
  <si>
    <t>Effect/Prefab/10_buff/EFF_buff_op_resurrection</t>
  </si>
  <si>
    <t>Atk.Up.04</t>
  </si>
  <si>
    <t>Def.Down.03</t>
  </si>
  <si>
    <t>Def.Down.02</t>
  </si>
  <si>
    <t>Effect/Prefab/10_buff/EFF_buff_elina_passive</t>
  </si>
  <si>
    <t>Atk.Down.01</t>
  </si>
  <si>
    <t>Atk.Down.02</t>
  </si>
  <si>
    <t>StatusDistict</t>
  </si>
  <si>
    <t>UltimateDamageRate</t>
  </si>
  <si>
    <t>Position</t>
  </si>
  <si>
    <t>Front</t>
  </si>
  <si>
    <t>Middle</t>
  </si>
  <si>
    <t>Back</t>
  </si>
  <si>
    <t>AllyNSelf</t>
  </si>
  <si>
    <t>OnHitNormal</t>
  </si>
  <si>
    <t>FireSkill</t>
  </si>
  <si>
    <t>FireCondition(Ultimate)</t>
  </si>
  <si>
    <t>FireCondition(Skill1)</t>
  </si>
  <si>
    <t>FireCondition(Skill2)</t>
  </si>
  <si>
    <t>Invincible</t>
  </si>
  <si>
    <t>SkillEffectModifier</t>
  </si>
  <si>
    <t>Op</t>
  </si>
  <si>
    <t>CriticalDamageRate</t>
  </si>
  <si>
    <t>RechargeRate.Up.04</t>
    <phoneticPr fontId="2" type="noConversion"/>
  </si>
  <si>
    <t>Effect/Prefab/10_buff/EFF_buff_serapulsar_loop</t>
  </si>
  <si>
    <t>Atk.Up</t>
  </si>
  <si>
    <t>AtkSpeed.Up</t>
  </si>
  <si>
    <t>info.stun</t>
  </si>
  <si>
    <t>NormalDamage.Up.02</t>
  </si>
  <si>
    <t>NormalDamage.Up.03</t>
  </si>
  <si>
    <t>NormalDamage.Up.04</t>
  </si>
  <si>
    <t>AtkSpeed.Up.01</t>
  </si>
  <si>
    <t>Effect/Prefab/10_buff/EFF_buff_op_atkspeed_up</t>
  </si>
  <si>
    <t>AtkSpeed.Up.02</t>
  </si>
  <si>
    <t>AtkSpeed.Up.03</t>
  </si>
  <si>
    <t>AtkSpeed.Up.04</t>
  </si>
  <si>
    <t>Evasion.Down.01</t>
  </si>
  <si>
    <t>Evasion.Down.02</t>
  </si>
  <si>
    <t>Evasion.Down.03</t>
  </si>
  <si>
    <t>Evasion.Down.04</t>
  </si>
  <si>
    <t>angelica</t>
  </si>
  <si>
    <t>AtkSpeed.Up.03</t>
    <phoneticPr fontId="2" type="noConversion"/>
  </si>
  <si>
    <t>AtkSpeed.Up.02</t>
    <phoneticPr fontId="2" type="noConversion"/>
  </si>
  <si>
    <t>!leila</t>
  </si>
  <si>
    <t>leila</t>
  </si>
  <si>
    <t>AttributeType</t>
  </si>
  <si>
    <t>AttributeGreen</t>
  </si>
  <si>
    <t>NormalDamageRate</t>
  </si>
  <si>
    <t>UseSkill</t>
  </si>
  <si>
    <t>m.serapulsar.ult.buff.buffeffect.01</t>
  </si>
  <si>
    <t>m.serapulsar.ult.buff.buffeffect.modifier.01</t>
  </si>
  <si>
    <t>m.serapulsar.ult.buff.buffeffect.02</t>
  </si>
  <si>
    <t>m.serapulsar.ult.buff.buffeffect.modifier.02</t>
  </si>
  <si>
    <t>m.serapulsar.ult.buff.buffeffect.03</t>
  </si>
  <si>
    <t>m.serapulsar.ult.buff.buffeffect.modifier.03</t>
  </si>
  <si>
    <t>m.serapulsar.ult.buff.buffeffect.04</t>
  </si>
  <si>
    <t>m.serapulsar.ult.buff.buffeffect.modifier.04</t>
  </si>
  <si>
    <t>m.serapulsar.ult.buff.buffeffect.05</t>
  </si>
  <si>
    <t>m.serapulsar.ult.buff.buffeffect.modifier.05</t>
  </si>
  <si>
    <t>m.serapulsar.ult.buff.buffeffect.06</t>
  </si>
  <si>
    <t>m.serapulsar.ult.buff.buffeffect.modifier.06</t>
  </si>
  <si>
    <t>m.serapulsar.ult.buff.buffeffect.07</t>
  </si>
  <si>
    <t>m.serapulsar.ult.buff.buffeffect.modifier.07</t>
  </si>
  <si>
    <t>m.serapulsar.ult.act2.buff.buffeffect.01</t>
  </si>
  <si>
    <t>m.serapulsar.ult.act2.buff.buffeffect.modifier.01</t>
  </si>
  <si>
    <t>m.serapulsar.ult.act2.buff.buffeffect.02</t>
  </si>
  <si>
    <t>m.serapulsar.ult.act2.buff.buffeffect.modifier.02</t>
  </si>
  <si>
    <t>m.serapulsar.ult.act2.buff.buffeffect.03</t>
  </si>
  <si>
    <t>m.serapulsar.ult.act2.buff.buffeffect.modifier.03</t>
  </si>
  <si>
    <t>m.serapulsar.ult.act2.buff.buffeffect.04</t>
  </si>
  <si>
    <t>m.serapulsar.ult.act2.buff.buffeffect.modifier.04</t>
  </si>
  <si>
    <t>m.serapulsar.ult.act2.buff.buffeffect.05</t>
  </si>
  <si>
    <t>m.serapulsar.ult.act2.buff.buffeffect.modifier.05</t>
  </si>
  <si>
    <t>m.serapulsar.ult.act2.buff.buffeffect.06</t>
  </si>
  <si>
    <t>m.serapulsar.ult.act2.buff.buffeffect.modifier.06</t>
  </si>
  <si>
    <t>m.serapulsar.ult.changeskill.normal</t>
  </si>
  <si>
    <t>m.serapulsar.ult.changeskill.skill1</t>
  </si>
  <si>
    <t>m.serapulsar.ult.changeskill.skill2</t>
  </si>
  <si>
    <t>m.serapulsar.ult.changeskill.cost.01</t>
  </si>
  <si>
    <t>m.serapulsar.ult.changeskill.cost.skilleffect.01</t>
  </si>
  <si>
    <t>m.serapulsar.ult.changeskill.cost.02</t>
  </si>
  <si>
    <t>m.serapulsar.ult.changeskill.cost.skilleffect.02</t>
  </si>
  <si>
    <t>m.serapulsar.ult.changeskill.cost.03</t>
  </si>
  <si>
    <t>m.serapulsar.ult.changeskill.cost.skilleffect.03</t>
  </si>
  <si>
    <t>m.serapulsar.ult.changeskill.cost.04</t>
  </si>
  <si>
    <t>m.serapulsar.ult.changeskill.cost.skilleffect.04</t>
  </si>
  <si>
    <t>m.serapulsar.ult.changeskill.cost.05</t>
  </si>
  <si>
    <t>m.serapulsar.ult.changeskill.cost.skilleffect.05</t>
  </si>
  <si>
    <t>m.serapulsar.ult.changeskill.cost.06</t>
  </si>
  <si>
    <t>m.serapulsar.ult.changeskill.cost.skilleffect.06</t>
  </si>
  <si>
    <t>m.serapulsar.ult.changeskill.cost.07</t>
  </si>
  <si>
    <t>m.serapulsar.ult.changeskill.cost.skilleffect.07</t>
  </si>
  <si>
    <t>m.serapulsar.ult.atk.buff.repeat.01</t>
  </si>
  <si>
    <t>m.serapulsar.ult.atk.buff.repeat.skilleffect.01</t>
  </si>
  <si>
    <t>m.serapulsar.ult.atk.buff.repeat.02</t>
  </si>
  <si>
    <t>m.serapulsar.ult.atk.buff.repeat.skilleffect.02</t>
  </si>
  <si>
    <t>m.serapulsar.ult.atk.buff.repeat.03</t>
  </si>
  <si>
    <t>m.serapulsar.ult.atk.buff.repeat.skilleffect.03</t>
  </si>
  <si>
    <t>m.serapulsar.ult.atk.buff.repeat.04</t>
  </si>
  <si>
    <t>m.serapulsar.ult.atk.buff.repeat.skilleffect.04</t>
  </si>
  <si>
    <t>m.serapulsar.ult.atk.buff.repeat.05</t>
  </si>
  <si>
    <t>m.serapulsar.ult.atk.buff.repeat.skilleffect.05</t>
  </si>
  <si>
    <t>m.serapulsar.ult.atk.buff.repeat.06</t>
  </si>
  <si>
    <t>m.serapulsar.ult.atk.buff.repeat.skilleffect.06</t>
  </si>
  <si>
    <t>m.serapulsar.ult.atk.buff.buffeffect.01</t>
  </si>
  <si>
    <t>m.serapulsar.ult.atk.buff.buffeffect.02</t>
  </si>
  <si>
    <t>m.serapulsar.ult.atk.buff.buffeffect.03</t>
  </si>
  <si>
    <t>m.serapulsar.ult.atk.buff.buffeffect.04</t>
  </si>
  <si>
    <t>m.serapulsar.ult.atk.buff.buffeffect.05</t>
  </si>
  <si>
    <t>m.serapulsar.ult.atk.buff.buffeffect.06</t>
  </si>
  <si>
    <t>m.serapulsar.ult.B.buff.buffeffect.01</t>
  </si>
  <si>
    <t>m.serapulsar.ult.B.buff.buffeffect.modifier.01</t>
  </si>
  <si>
    <t>m.serapulsar.ult.B.buff.buffeffect.02</t>
  </si>
  <si>
    <t>m.serapulsar.ult.B.buff.buffeffect.modifier.02</t>
  </si>
  <si>
    <t>m.serapulsar.ult.B.buff.buffeffect.03</t>
  </si>
  <si>
    <t>m.serapulsar.ult.B.buff.buffeffect.modifier.03</t>
  </si>
  <si>
    <t>m.serapulsar.ult.B.buff.buffeffect.04</t>
  </si>
  <si>
    <t>m.serapulsar.ult.B.buff.buffeffect.modifier.04</t>
  </si>
  <si>
    <t>m.serapulsar.ult.B.buff.buffeffect.05</t>
  </si>
  <si>
    <t>m.serapulsar.ult.B.buff.buffeffect.modifier.05</t>
  </si>
  <si>
    <t>m.serapulsar.ult.B.buff.buffeffect.06</t>
  </si>
  <si>
    <t>m.serapulsar.ult.B.buff.buffeffect.modifier.06</t>
  </si>
  <si>
    <t>m.serapulsar.ult.B.buff.buffeffect.07</t>
  </si>
  <si>
    <t>m.serapulsar.ult.B.buff.buffeffect.modifier.07</t>
  </si>
  <si>
    <t>m.serapulsar.ult.B.spd.buff.buffeffect</t>
  </si>
  <si>
    <t>m.serapulsar.ult.B.changeskill</t>
  </si>
  <si>
    <t>m.serapulsar.ult.B.changeskill.cost</t>
  </si>
  <si>
    <t>m.serapulsar.ult.B.changeskill.cost.skilleffect</t>
  </si>
  <si>
    <t>m.serapulsar.active1.effect.event.buff.buffeffect.01</t>
  </si>
  <si>
    <t>m.serapulsar.active1.effect.event.buff.buffeffect.02</t>
  </si>
  <si>
    <t>m.serapulsar.active1.effect.event.buff.buffeffect.03</t>
  </si>
  <si>
    <t>m.serapulsar.active1.effect.event.buff.buffeffect.04</t>
  </si>
  <si>
    <t>m.serapulsar.active1.effect.event.buff.buffeffect.05</t>
  </si>
  <si>
    <t>m.serapulsar.active1.effect.event.buff.buffeffect.06</t>
  </si>
  <si>
    <t>m.serapulsar.passive.buff.buffeffect.01</t>
  </si>
  <si>
    <t>m.serapulsar.passive.buff.buffeffect.skilleffect.01</t>
  </si>
  <si>
    <t>m.serapulsar.passive.buff.buffeffect.02</t>
  </si>
  <si>
    <t>m.serapulsar.passive.buff.buffeffect.skilleffect.02</t>
  </si>
  <si>
    <t>m.serapulsar.passive.buff.buffeffect.03</t>
  </si>
  <si>
    <t>m.serapulsar.passive.buff.buffeffect.skilleffect.03</t>
  </si>
  <si>
    <t>m.serapulsar.passive.buff.buffeffect.04</t>
  </si>
  <si>
    <t>m.serapulsar.passive.buff.buffeffect.skilleffect.04</t>
  </si>
  <si>
    <t>m.serapulsar.passive.buff.buffeffect.05</t>
  </si>
  <si>
    <t>m.serapulsar.passive.buff.buffeffect.skilleffect.05</t>
  </si>
  <si>
    <t>m.serapulsar.passive.buff.buffeffect.06</t>
  </si>
  <si>
    <t>m.serapulsar.passive.buff.buffeffect.skilleffect.06</t>
  </si>
  <si>
    <t>m.serapulsar.passive.ex.buff.buffeffect.01</t>
  </si>
  <si>
    <t>m.serapulsar.passive.ex.buff.buffeffect.skilleffect.01</t>
  </si>
  <si>
    <t>m.serapulsar.passive.ex.buff.buffeffect.02</t>
  </si>
  <si>
    <t>m.serapulsar.passive.ex.buff.buffeffect.skilleffect.02</t>
  </si>
  <si>
    <t>m.serapulsar.passive.ex.buff.buffeffect.03</t>
  </si>
  <si>
    <t>m.serapulsar.passive.ex.buff.buffeffect.skilleffect.03</t>
  </si>
  <si>
    <t>m.serapulsar.passive.ex.buff.buffeffect.04</t>
  </si>
  <si>
    <t>m.serapulsar.passive.ex.buff.buffeffect.skilleffect.04</t>
  </si>
  <si>
    <t>m.serapulsar.passive.ex.buff.buffeffect.05</t>
  </si>
  <si>
    <t>m.serapulsar.passive.ex.buff.buffeffect.skilleffect.05</t>
  </si>
  <si>
    <t>m.serapulsar.passive.ex.buff.buffeffect.06</t>
  </si>
  <si>
    <t>m.serapulsar.passive.ex.buff.buffeffect.skilleffect.06</t>
  </si>
  <si>
    <t>m.serapulsar.ult.buff.01</t>
  </si>
  <si>
    <t>m.serapulsar.ult.changeskill.normal
m.serapulsar.ult.changeskill.skill1
m.serapulsar.ult.changeskill.skill2
m.serapulsar.ult.buff.buffeffect.01
m.serapulsar.ult.changeskill.cost.01</t>
  </si>
  <si>
    <t>m.serapulsar.ult.buff.02</t>
  </si>
  <si>
    <t>m.serapulsar.ult.changeskill.normal
m.serapulsar.ult.changeskill.skill1
m.serapulsar.ult.changeskill.skill2
m.serapulsar.ult.buff.buffeffect.02
m.serapulsar.ult.changeskill.cost.02</t>
  </si>
  <si>
    <t>m.serapulsar.ult.buff.03</t>
  </si>
  <si>
    <t>m.serapulsar.ult.changeskill.normal
m.serapulsar.ult.changeskill.skill1
m.serapulsar.ult.changeskill.skill2
m.serapulsar.ult.buff.buffeffect.03
m.serapulsar.ult.changeskill.cost.03</t>
  </si>
  <si>
    <t>m.serapulsar.ult.buff.04</t>
  </si>
  <si>
    <t>m.serapulsar.ult.changeskill.normal
m.serapulsar.ult.changeskill.skill1
m.serapulsar.ult.changeskill.skill2
m.serapulsar.ult.buff.buffeffect.04
m.serapulsar.ult.changeskill.cost.04</t>
  </si>
  <si>
    <t>m.serapulsar.ult.buff.05</t>
  </si>
  <si>
    <t>m.serapulsar.ult.changeskill.normal
m.serapulsar.ult.changeskill.skill1
m.serapulsar.ult.changeskill.skill2
m.serapulsar.ult.buff.buffeffect.05
m.serapulsar.ult.changeskill.cost.05</t>
  </si>
  <si>
    <t>m.serapulsar.ult.buff.06</t>
  </si>
  <si>
    <t>m.serapulsar.ult.changeskill.normal
m.serapulsar.ult.changeskill.skill1
m.serapulsar.ult.changeskill.skill2
m.serapulsar.ult.buff.buffeffect.06
m.serapulsar.ult.changeskill.cost.06</t>
  </si>
  <si>
    <t>m.serapulsar.ult.buff.07</t>
  </si>
  <si>
    <t>m.serapulsar.ult.changeskill.normal
m.serapulsar.ult.changeskill.skill1
m.serapulsar.ult.changeskill.skill2
m.serapulsar.ult.buff.buffeffect.07
m.serapulsar.ult.changeskill.cost.07</t>
  </si>
  <si>
    <t>m.serapulsar.ult.active1.buff.01</t>
  </si>
  <si>
    <t>m.serapulsar.ult.active1.buff.02</t>
  </si>
  <si>
    <t>m.serapulsar.ult.active1.buff.03</t>
  </si>
  <si>
    <t>m.serapulsar.ult.active1.buff.04</t>
  </si>
  <si>
    <t>m.serapulsar.ult.active1.buff.05</t>
  </si>
  <si>
    <t>m.serapulsar.ult.active1.buff.06</t>
  </si>
  <si>
    <t>m.serapulsar.ult.atk.buff.01</t>
  </si>
  <si>
    <t>m.serapulsar.ult.atk.buff.02</t>
  </si>
  <si>
    <t>m.serapulsar.ult.atk.buff.03</t>
  </si>
  <si>
    <t>m.serapulsar.ult.atk.buff.04</t>
  </si>
  <si>
    <t>m.serapulsar.ult.atk.buff.05</t>
  </si>
  <si>
    <t>m.serapulsar.ult.atk.buff.06</t>
  </si>
  <si>
    <t>m.serapulsar.ult.active2.buff.01</t>
  </si>
  <si>
    <t>m.serapulsar.ult.active2.buff.02</t>
  </si>
  <si>
    <t>m.serapulsar.ult.active2.buff.03</t>
  </si>
  <si>
    <t>m.serapulsar.ult.active2.buff.04</t>
  </si>
  <si>
    <t>m.serapulsar.ult.active2.buff.05</t>
  </si>
  <si>
    <t>m.serapulsar.ult.active2.buff.06</t>
  </si>
  <si>
    <t>m.serapulsar.ult.B.buff.01</t>
  </si>
  <si>
    <t>m.serapulsar.ult.B.buff.buffeffect.01
m.serapulsar.ult.B.spd.buff.buffeffect
m.serapulsar.ult.B.changeskill
m.serapulsar.ult.B.changeskill.cost</t>
  </si>
  <si>
    <t>m.serapulsar.ult.B.buff.02</t>
  </si>
  <si>
    <t>m.serapulsar.ult.B.buff.buffeffect.02
m.serapulsar.ult.B.spd.buff.buffeffect
m.serapulsar.ult.B.changeskill
m.serapulsar.ult.B.changeskill.cost</t>
  </si>
  <si>
    <t>m.serapulsar.ult.B.buff.03</t>
  </si>
  <si>
    <t>m.serapulsar.ult.B.buff.buffeffect.03
m.serapulsar.ult.B.spd.buff.buffeffect
m.serapulsar.ult.B.changeskill
m.serapulsar.ult.B.changeskill.cost</t>
  </si>
  <si>
    <t>m.serapulsar.ult.B.buff.04</t>
  </si>
  <si>
    <t>m.serapulsar.ult.B.buff.buffeffect.04
m.serapulsar.ult.B.spd.buff.buffeffect
m.serapulsar.ult.B.changeskill
m.serapulsar.ult.B.changeskill.cost</t>
  </si>
  <si>
    <t>m.serapulsar.ult.B.buff.05</t>
  </si>
  <si>
    <t>m.serapulsar.ult.B.buff.buffeffect.05
m.serapulsar.ult.B.spd.buff.buffeffect
m.serapulsar.ult.B.changeskill
m.serapulsar.ult.B.changeskill.cost</t>
  </si>
  <si>
    <t>m.serapulsar.ult.B.buff.06</t>
  </si>
  <si>
    <t>m.serapulsar.ult.B.buff.buffeffect.06
m.serapulsar.ult.B.spd.buff.buffeffect
m.serapulsar.ult.B.changeskill
m.serapulsar.ult.B.changeskill.cost</t>
  </si>
  <si>
    <t>m.serapulsar.ult.B.buff.07</t>
  </si>
  <si>
    <t>m.serapulsar.ult.B.buff.buffeffect.07
m.serapulsar.ult.B.spd.buff.buffeffect
m.serapulsar.ult.B.changeskill
m.serapulsar.ult.B.changeskill.cost</t>
  </si>
  <si>
    <t>m.serapulsar.active1.effect.event.buff.01</t>
  </si>
  <si>
    <t>m.serapulsar.active1.effect.event.buff.02</t>
  </si>
  <si>
    <t>m.serapulsar.active1.effect.event.buff.03</t>
  </si>
  <si>
    <t>m.serapulsar.active1.effect.event.buff.04</t>
  </si>
  <si>
    <t>m.serapulsar.active1.effect.event.buff.05</t>
  </si>
  <si>
    <t>m.serapulsar.active1.effect.event.buff.06</t>
  </si>
  <si>
    <t>m.serapulsar.passive.buff.01</t>
  </si>
  <si>
    <t>m.serapulsar.passive.buff.02</t>
  </si>
  <si>
    <t>m.serapulsar.passive.buff.03</t>
  </si>
  <si>
    <t>m.serapulsar.passive.buff.04</t>
  </si>
  <si>
    <t>m.serapulsar.passive.buff.05</t>
  </si>
  <si>
    <t>m.serapulsar.passive.buff.06</t>
  </si>
  <si>
    <t>m.serapulsar.passive.mark</t>
  </si>
  <si>
    <t>m.serapulsar.passive.ex.buff.01</t>
  </si>
  <si>
    <t>m.serapulsar.passive.ex.buff.02</t>
  </si>
  <si>
    <t>m.serapulsar.passive.ex.buff.03</t>
  </si>
  <si>
    <t>m.serapulsar.passive.ex.buff.04</t>
  </si>
  <si>
    <t>m.serapulsar.passive.ex.buff.05</t>
  </si>
  <si>
    <t>m.serapulsar.passive.ex.buff.06</t>
  </si>
  <si>
    <t>m.angelica.ult.stun.buff</t>
  </si>
  <si>
    <t>m.angelica.ult.pre.buff.01</t>
  </si>
  <si>
    <t>m.angelica.ult.pre.buff.buffeffect.01</t>
  </si>
  <si>
    <t>m.angelica.ult.pre.buff.02</t>
  </si>
  <si>
    <t>m.angelica.ult.pre.buff.buffeffect.02</t>
  </si>
  <si>
    <t>m.angelica.ult.pre.buff.03</t>
  </si>
  <si>
    <t>m.angelica.ult.pre.buff.buffeffect.03</t>
  </si>
  <si>
    <t>m.angelica.ult.pre.buff.04</t>
  </si>
  <si>
    <t>m.angelica.ult.pre.buff.buffeffect.04</t>
  </si>
  <si>
    <t>m.angelica.ult.pre.buff.05</t>
  </si>
  <si>
    <t>m.angelica.ult.pre.buff.buffeffect.05</t>
  </si>
  <si>
    <t>m.angelica.ult.pre.buff.06</t>
  </si>
  <si>
    <t>m.angelica.ult.pre.buff.buffeffect.06</t>
  </si>
  <si>
    <t>m.angelica.ult.pre.buff.07</t>
  </si>
  <si>
    <t>m.angelica.ult.pre.buff.buffeffect.07</t>
  </si>
  <si>
    <t>m.angelica.ult.normalatt.buff.01</t>
  </si>
  <si>
    <t>m.angelica.ult.normalatt.buff.buffeffect.01</t>
  </si>
  <si>
    <t>m.angelica.ult.normalatt.buff.02</t>
  </si>
  <si>
    <t>m.angelica.ult.normalatt.buff.buffeffect.02</t>
  </si>
  <si>
    <t>m.angelica.ult.normalatt.buff.03</t>
  </si>
  <si>
    <t>m.angelica.ult.normalatt.buff.buffeffect.03</t>
  </si>
  <si>
    <t>m.angelica.ult.normalatt.buff.04</t>
  </si>
  <si>
    <t>m.angelica.ult.normalatt.buff.buffeffect.04</t>
  </si>
  <si>
    <t>m.angelica.ult.normalatt.buff.05</t>
  </si>
  <si>
    <t>m.angelica.ult.normalatt.buff.buffeffect.05</t>
  </si>
  <si>
    <t>m.angelica.ult.normalatt.buff.06</t>
  </si>
  <si>
    <t>m.angelica.ult.normalatt.buff.buffeffect.06</t>
  </si>
  <si>
    <t>m.angelica.ult.normalatt.buff.07</t>
  </si>
  <si>
    <t>m.angelica.ult.normalatt.buff.buffeffect.07</t>
  </si>
  <si>
    <t>m.angelica.ult.B.airborne.buff</t>
  </si>
  <si>
    <t>m.angelica.ult.B.pre.buff.01</t>
  </si>
  <si>
    <t>m.angelica.ult.B.pre.buff.buffeffect.01</t>
  </si>
  <si>
    <t>m.angelica.ult.B.pre.buff.02</t>
  </si>
  <si>
    <t>m.angelica.ult.B.pre.buff.buffeffect.02</t>
  </si>
  <si>
    <t>m.angelica.ult.B.pre.buff.03</t>
  </si>
  <si>
    <t>m.angelica.ult.B.pre.buff.buffeffect.03</t>
  </si>
  <si>
    <t>m.angelica.ult.B.pre.buff.04</t>
  </si>
  <si>
    <t>m.angelica.ult.B.pre.buff.buffeffect.04</t>
  </si>
  <si>
    <t>m.angelica.ult.B.pre.buff.05</t>
  </si>
  <si>
    <t>m.angelica.ult.B.pre.buff.buffeffect.05</t>
  </si>
  <si>
    <t>m.angelica.ult.B.pre.buff.06</t>
  </si>
  <si>
    <t>m.angelica.ult.B.pre.buff.buffeffect.06</t>
  </si>
  <si>
    <t>m.angelica.ult.B.pre.buff.07</t>
  </si>
  <si>
    <t>m.angelica.ult.B.pre.buff.buffeffect.07</t>
  </si>
  <si>
    <t>m.angelica.ult.B.normalatt.buff.01.01</t>
  </si>
  <si>
    <t>m.angelica.ult.B.normalatt.buff.01.02</t>
  </si>
  <si>
    <t>m.angelica.ult.B.normalatt.buff.01.03</t>
  </si>
  <si>
    <t>m.angelica.ult.B.normalatt.buff.01.04</t>
  </si>
  <si>
    <t>m.angelica.ult.B.normalatt.buff.01.05</t>
  </si>
  <si>
    <t>m.angelica.ult.B.normalatt.buff.01.06</t>
  </si>
  <si>
    <t>m.angelica.ult.B.normalatt.buff.01.07</t>
  </si>
  <si>
    <t>m.angelica.ult.B.normalatt.buff.02.01</t>
  </si>
  <si>
    <t>m.angelica.ult.B.normalatt.buff.02.02</t>
  </si>
  <si>
    <t>m.angelica.ult.B.normalatt.buff.02.03</t>
  </si>
  <si>
    <t>m.angelica.ult.B.normalatt.buff.02.04</t>
  </si>
  <si>
    <t>m.angelica.ult.B.normalatt.buff.02.05</t>
  </si>
  <si>
    <t>m.angelica.ult.B.normalatt.buff.02.06</t>
  </si>
  <si>
    <t>m.angelica.ult.B.normalatt.buff.02.07</t>
  </si>
  <si>
    <t>m.angelica.active1.normaldmg.buff.01.01</t>
  </si>
  <si>
    <t>m.angelica.active1.normaldmg.buff.01.02</t>
  </si>
  <si>
    <t>m.angelica.active1.normaldmg.buff.01.03</t>
  </si>
  <si>
    <t>m.angelica.active1.normaldmg.buff.01.04</t>
  </si>
  <si>
    <t>m.angelica.active1.normaldmg.buff.01.05</t>
  </si>
  <si>
    <t>m.angelica.active1.normaldmg.buff.01.06</t>
  </si>
  <si>
    <t>m.angelica.active1.normaldmg.buff.02.01</t>
  </si>
  <si>
    <t>m.angelica.active1.normaldmg.buff.02.02</t>
  </si>
  <si>
    <t>m.angelica.active1.normaldmg.buff.02.03</t>
  </si>
  <si>
    <t>m.angelica.active1.normaldmg.buff.02.04</t>
  </si>
  <si>
    <t>m.angelica.active1.normaldmg.buff.02.05</t>
  </si>
  <si>
    <t>m.angelica.active1.normaldmg.buff.02.06</t>
  </si>
  <si>
    <t>m.angelica.active2.atkspdup.buff.01.01</t>
  </si>
  <si>
    <t>m.angelica.active2.atkspdup.buff.01.02</t>
  </si>
  <si>
    <t>m.angelica.active2.atkspdup.buff.01.03</t>
  </si>
  <si>
    <t>m.angelica.active2.atkspdup.buff.01.04</t>
  </si>
  <si>
    <t>m.angelica.active2.atkspdup.buff.01.05</t>
  </si>
  <si>
    <t>m.angelica.active2.atkspdup.buff.01.06</t>
  </si>
  <si>
    <t>m.angelica.active2.atkspdup.buff.02.01</t>
  </si>
  <si>
    <t>m.angelica.active2.atkspdup.buff.02.02</t>
  </si>
  <si>
    <t>m.angelica.active2.atkspdup.buff.02.03</t>
  </si>
  <si>
    <t>m.angelica.active2.atkspdup.buff.02.04</t>
  </si>
  <si>
    <t>m.angelica.active2.atkspdup.buff.02.05</t>
  </si>
  <si>
    <t>m.angelica.active2.atkspdup.buff.02.06</t>
  </si>
  <si>
    <t>m.angelica.passive.buff.01</t>
  </si>
  <si>
    <t>m.angelica.passive.buff.buffeffect.01
m.angelica.passive.areadmgup.01
m.angelica.trigger</t>
  </si>
  <si>
    <t>m.angelica.passive.buff.02</t>
  </si>
  <si>
    <t>m.angelica.passive.buff.buffeffect.02
m.angelica.passive.areadmgup.02
m.angelica.trigger</t>
  </si>
  <si>
    <t>m.angelica.passive.buff.03</t>
  </si>
  <si>
    <t>m.angelica.passive.buff.buffeffect.03
m.angelica.passive.areadmgup.03
m.angelica.trigger</t>
  </si>
  <si>
    <t>m.angelica.passive.buff.04</t>
  </si>
  <si>
    <t>m.angelica.passive.buff.buffeffect.04
m.angelica.passive.areadmgup.04
m.angelica.trigger</t>
  </si>
  <si>
    <t>m.angelica.passive.buff.05</t>
  </si>
  <si>
    <t>m.angelica.passive.buff.buffeffect.05
m.angelica.passive.areadmgup.05
m.angelica.trigger</t>
  </si>
  <si>
    <t>m.angelica.passive.buff.06</t>
  </si>
  <si>
    <t>m.angelica.passive.buff.buffeffect.06
m.angelica.passive.areadmgup.06
m.angelica.trigger</t>
  </si>
  <si>
    <t>m.angelica.passive.areadmgup.buff.01.01</t>
  </si>
  <si>
    <t>m.angelica.passive.areadmgup.buff.buffeffect.01.01</t>
  </si>
  <si>
    <t>m.angelica.passive.areadmgup.buff.01.02</t>
  </si>
  <si>
    <t>m.angelica.passive.areadmgup.buff.buffeffect.01.02</t>
  </si>
  <si>
    <t>m.angelica.passive.areadmgup.buff.01.03</t>
  </si>
  <si>
    <t>m.angelica.passive.areadmgup.buff.buffeffect.01.03</t>
  </si>
  <si>
    <t>m.angelica.passive.areadmgup.buff.01.04</t>
  </si>
  <si>
    <t>m.angelica.passive.areadmgup.buff.buffeffect.01.04</t>
  </si>
  <si>
    <t>m.angelica.passive.areadmgup.buff.01.05</t>
  </si>
  <si>
    <t>m.angelica.passive.areadmgup.buff.buffeffect.01.05</t>
  </si>
  <si>
    <t>m.angelica.passive.areadmgup.buff.01.06</t>
  </si>
  <si>
    <t>m.angelica.passive.areadmgup.buff.buffeffect.01.06</t>
  </si>
  <si>
    <t>m.angelica.passive.areadmgup.buff.02.01</t>
  </si>
  <si>
    <t>m.angelica.passive.areadmgup.buff.buffeffect.02.01</t>
  </si>
  <si>
    <t>m.angelica.passive.areadmgup.buff.02.02</t>
  </si>
  <si>
    <t>m.angelica.passive.areadmgup.buff.buffeffect.02.02</t>
  </si>
  <si>
    <t>m.angelica.passive.areadmgup.buff.02.03</t>
  </si>
  <si>
    <t>m.angelica.passive.areadmgup.buff.buffeffect.02.03</t>
  </si>
  <si>
    <t>m.angelica.passive.areadmgup.buff.02.04</t>
  </si>
  <si>
    <t>m.angelica.passive.areadmgup.buff.buffeffect.02.04</t>
  </si>
  <si>
    <t>m.angelica.passive.areadmgup.buff.02.05</t>
  </si>
  <si>
    <t>m.angelica.passive.areadmgup.buff.buffeffect.02.05</t>
  </si>
  <si>
    <t>m.angelica.passive.areadmgup.buff.02.06</t>
  </si>
  <si>
    <t>m.angelica.passive.areadmgup.buff.buffeffect.02.06</t>
  </si>
  <si>
    <t>m.angelica.passive.ex.buff.01</t>
  </si>
  <si>
    <t>m.angelica.passive.ex.buff.01.buffeffect.01
m.angelica.passive.ex.buff.02.buffeffect.01</t>
  </si>
  <si>
    <t>m.angelica.passive.ex.buff.02</t>
  </si>
  <si>
    <t>m.angelica.passive.ex.buff.01.buffeffect.02
m.angelica.passive.ex.buff.02.buffeffect.02</t>
  </si>
  <si>
    <t>m.angelica.passive.ex.buff.03</t>
  </si>
  <si>
    <t>m.angelica.passive.ex.buff.01.buffeffect.03
m.angelica.passive.ex.buff.02.buffeffect.03</t>
  </si>
  <si>
    <t>m.angelica.passive.ex.buff.04</t>
  </si>
  <si>
    <t>m.angelica.passive.ex.buff.01.buffeffect.04
m.angelica.passive.ex.buff.02.buffeffect.04</t>
  </si>
  <si>
    <t>m.angelica.passive.ex.buff.05</t>
  </si>
  <si>
    <t>m.angelica.passive.ex.buff.01.buffeffect.05
m.angelica.passive.ex.buff.02.buffeffect.05</t>
  </si>
  <si>
    <t>m.angelica.passive.ex.buff.06</t>
  </si>
  <si>
    <t>m.angelica.passive.ex.buff.01.buffeffect.06
m.angelica.passive.ex.buff.02.buffeffect.06</t>
  </si>
  <si>
    <t>m.angelica.passive.ex.buff.01.01</t>
  </si>
  <si>
    <t>m.angelica.passive.ex.buff.buffeffect.01.01</t>
  </si>
  <si>
    <t>m.angelica.passive.ex.buff.01.02</t>
  </si>
  <si>
    <t>m.angelica.passive.ex.buff.buffeffect.01.02</t>
  </si>
  <si>
    <t>m.angelica.passive.ex.buff.01.03</t>
  </si>
  <si>
    <t>m.angelica.passive.ex.buff.buffeffect.01.03</t>
  </si>
  <si>
    <t>m.angelica.passive.ex.buff.01.04</t>
  </si>
  <si>
    <t>m.angelica.passive.ex.buff.buffeffect.01.04</t>
  </si>
  <si>
    <t>m.angelica.passive.ex.buff.01.05</t>
  </si>
  <si>
    <t>m.angelica.passive.ex.buff.buffeffect.01.05</t>
  </si>
  <si>
    <t>m.angelica.passive.ex.buff.01.06</t>
  </si>
  <si>
    <t>m.angelica.passive.ex.buff.buffeffect.01.06</t>
  </si>
  <si>
    <t>m.angelica.passive.ex.buff.02.01</t>
  </si>
  <si>
    <t>m.angelica.passive.ex.buff.02.02</t>
  </si>
  <si>
    <t>m.angelica.passive.ex.buff.02.03</t>
  </si>
  <si>
    <t>m.angelica.passive.ex.buff.02.04</t>
  </si>
  <si>
    <t>m.angelica.passive.ex.buff.02.05</t>
  </si>
  <si>
    <t>m.angelica.passive.ex.buff.02.06</t>
  </si>
  <si>
    <t>m.angelica.ult.pre.buff.buffeffect.skilleffect.01</t>
  </si>
  <si>
    <t>m.angelica.ult.pre.buff.buffeffect.skilleffect.02</t>
  </si>
  <si>
    <t>m.angelica.ult.pre.buff.buffeffect.skilleffect.03</t>
  </si>
  <si>
    <t>m.angelica.ult.pre.buff.buffeffect.skilleffect.04</t>
  </si>
  <si>
    <t>m.angelica.ult.pre.buff.buffeffect.skilleffect.05</t>
  </si>
  <si>
    <t>m.angelica.ult.pre.buff.buffeffect.skilleffect.06</t>
  </si>
  <si>
    <t>m.angelica.ult.pre.buff.buffeffect.skilleffect.07</t>
  </si>
  <si>
    <t>m.angelica.ult.normalatt.buff.buffeffect.skilleffect.01</t>
  </si>
  <si>
    <t>m.angelica.ult.normalatt.buff.buffeffect.skilleffect.02</t>
  </si>
  <si>
    <t>m.angelica.ult.normalatt.buff.buffeffect.skilleffect.03</t>
  </si>
  <si>
    <t>m.angelica.ult.normalatt.buff.buffeffect.skilleffect.04</t>
  </si>
  <si>
    <t>m.angelica.ult.normalatt.buff.buffeffect.skilleffect.05</t>
  </si>
  <si>
    <t>m.angelica.ult.normalatt.buff.buffeffect.skilleffect.06</t>
  </si>
  <si>
    <t>m.angelica.ult.normalatt.buff.buffeffect.skilleffect.07</t>
  </si>
  <si>
    <t>m.angelica.ult.B.pre.buff.buffeffect.skilleffect.01</t>
  </si>
  <si>
    <t>m.angelica.ult.B.pre.buff.buffeffect.skilleffect.02</t>
  </si>
  <si>
    <t>m.angelica.ult.B.pre.buff.buffeffect.skilleffect.03</t>
  </si>
  <si>
    <t>m.angelica.ult.B.pre.buff.buffeffect.skilleffect.04</t>
  </si>
  <si>
    <t>m.angelica.ult.B.pre.buff.buffeffect.skilleffect.05</t>
  </si>
  <si>
    <t>m.angelica.ult.B.pre.buff.buffeffect.skilleffect.06</t>
  </si>
  <si>
    <t>m.angelica.ult.B.pre.buff.buffeffect.skilleffect.07</t>
  </si>
  <si>
    <t>m.angelica.passive.buff.buffeffect.01</t>
  </si>
  <si>
    <t>m.angelica.passive.buff.buffeffect.02</t>
  </si>
  <si>
    <t>m.angelica.passive.buff.buffeffect.03</t>
  </si>
  <si>
    <t>m.angelica.passive.buff.buffeffect.04</t>
  </si>
  <si>
    <t>m.angelica.passive.buff.buffeffect.05</t>
  </si>
  <si>
    <t>m.angelica.passive.buff.buffeffect.06</t>
  </si>
  <si>
    <t>m.angelica.passive.areadmgup.01</t>
  </si>
  <si>
    <t>m.angelica.passive.areadmgup.02</t>
  </si>
  <si>
    <t>m.angelica.passive.areadmgup.03</t>
  </si>
  <si>
    <t>m.angelica.passive.areadmgup.04</t>
  </si>
  <si>
    <t>m.angelica.passive.areadmgup.05</t>
  </si>
  <si>
    <t>m.angelica.passive.areadmgup.06</t>
  </si>
  <si>
    <t>m.angelica.trigger</t>
  </si>
  <si>
    <t>m.angelica.trigger.skilleffect</t>
  </si>
  <si>
    <t>m.angelica.passive.ex.buff.01.buffeffect.01</t>
  </si>
  <si>
    <t>m.angelica.passive.ex.buff.01.skilleffect.01</t>
  </si>
  <si>
    <t>m.angelica.passive.ex.buff.01.buffeffect.02</t>
  </si>
  <si>
    <t>m.angelica.passive.ex.buff.01.skilleffect.02</t>
  </si>
  <si>
    <t>m.angelica.passive.ex.buff.01.buffeffect.03</t>
  </si>
  <si>
    <t>m.angelica.passive.ex.buff.01.skilleffect.03</t>
  </si>
  <si>
    <t>m.angelica.passive.ex.buff.01.buffeffect.04</t>
  </si>
  <si>
    <t>m.angelica.passive.ex.buff.01.skilleffect.04</t>
  </si>
  <si>
    <t>m.angelica.passive.ex.buff.01.buffeffect.05</t>
  </si>
  <si>
    <t>m.angelica.passive.ex.buff.01.skilleffect.05</t>
  </si>
  <si>
    <t>m.angelica.passive.ex.buff.01.buffeffect.06</t>
  </si>
  <si>
    <t>m.angelica.passive.ex.buff.01.skilleffect.06</t>
  </si>
  <si>
    <t>m.angelica.passive.ex.buff.02.buffeffect.01</t>
  </si>
  <si>
    <t>m.angelica.passive.ex.buff.02.skilleffect.01</t>
  </si>
  <si>
    <t>m.angelica.passive.ex.buff.02.buffeffect.02</t>
  </si>
  <si>
    <t>m.angelica.passive.ex.buff.02.skilleffect.02</t>
  </si>
  <si>
    <t>m.angelica.passive.ex.buff.02.buffeffect.03</t>
  </si>
  <si>
    <t>m.angelica.passive.ex.buff.02.skilleffect.03</t>
  </si>
  <si>
    <t>m.angelica.passive.ex.buff.02.buffeffect.04</t>
  </si>
  <si>
    <t>m.angelica.passive.ex.buff.02.skilleffect.04</t>
  </si>
  <si>
    <t>m.angelica.passive.ex.buff.02.buffeffect.05</t>
  </si>
  <si>
    <t>m.angelica.passive.ex.buff.02.skilleffect.05</t>
  </si>
  <si>
    <t>m.angelica.passive.ex.buff.02.buffeffect.06</t>
  </si>
  <si>
    <t>m.angelica.passive.ex.buff.02.skilleffect.06</t>
  </si>
  <si>
    <t>m.yurizia.ult.buff.buffeffect.01.01</t>
  </si>
  <si>
    <t>m.yurizia.ult.buff.buffeffect.01.02</t>
  </si>
  <si>
    <t>m.yurizia.ult.buff.buffeffect.01.03</t>
  </si>
  <si>
    <t>m.yurizia.ult.buff.buffeffect.01.04</t>
  </si>
  <si>
    <t>m.yurizia.ult.buff.buffeffect.01.05</t>
  </si>
  <si>
    <t>m.yurizia.ult.buff.buffeffect.01.06</t>
  </si>
  <si>
    <t>m.yurizia.ult.buff.buffeffect.01.07</t>
  </si>
  <si>
    <t>m.yurizia.ult.B.buff.buffeffect.01.01</t>
  </si>
  <si>
    <t>m.yurizia.ult.B.buff.buffeffect.01.02</t>
  </si>
  <si>
    <t>m.yurizia.ult.B.buff.buffeffect.01.03</t>
  </si>
  <si>
    <t>m.yurizia.ult.B.buff.buffeffect.01.04</t>
  </si>
  <si>
    <t>m.yurizia.ult.B.buff.buffeffect.01.05</t>
  </si>
  <si>
    <t>m.yurizia.ult.B.buff.buffeffect.01.06</t>
  </si>
  <si>
    <t>m.yurizia.ult.B.buff.buffeffect.01.07</t>
  </si>
  <si>
    <t>m.yurizia.ult.B.buff.buffeffect.02.01</t>
  </si>
  <si>
    <t>m.yurizia.ult.B.buff.buffeffect.02.02</t>
  </si>
  <si>
    <t>m.yurizia.ult.B.buff.buffeffect.02.03</t>
  </si>
  <si>
    <t>m.yurizia.ult.B.buff.buffeffect.02.04</t>
  </si>
  <si>
    <t>m.yurizia.ult.B.buff.buffeffect.02.05</t>
  </si>
  <si>
    <t>m.yurizia.ult.B.buff.buffeffect.02.06</t>
  </si>
  <si>
    <t>m.yurizia.ult.B.buff.buffeffect.02.07</t>
  </si>
  <si>
    <t>m.yurizia.ult.B.buff.buffeffect.03.01</t>
  </si>
  <si>
    <t>m.yurizia.ult.B.buff.buffeffect.03.02</t>
  </si>
  <si>
    <t>m.yurizia.ult.B.buff.buffeffect.03.03</t>
  </si>
  <si>
    <t>m.yurizia.ult.B.buff.buffeffect.03.04</t>
  </si>
  <si>
    <t>m.yurizia.ult.B.buff.buffeffect.03.05</t>
  </si>
  <si>
    <t>m.yurizia.ult.B.buff.buffeffect.03.06</t>
  </si>
  <si>
    <t>m.yurizia.ult.B.buff.buffeffect.03.07</t>
  </si>
  <si>
    <t>m.yurizia.passive.position.buff.buffeffect.01</t>
  </si>
  <si>
    <t>m.yurizia.passive.position.skilleffect.01</t>
  </si>
  <si>
    <t>m.yurizia.passive.position.buff.buffeffect.02</t>
  </si>
  <si>
    <t>m.yurizia.passive.position.skilleffect.02</t>
  </si>
  <si>
    <t>m.yurizia.passive.position.buff.buffeffect.03</t>
  </si>
  <si>
    <t>m.yurizia.passive.position.skilleffect.03</t>
  </si>
  <si>
    <t>m.yurizia.passive.buff.buffeffect.01</t>
  </si>
  <si>
    <t>m.yurizia.passive.consume.buff.01</t>
  </si>
  <si>
    <t>m.yurizia.passive.buff.buffeffect.02</t>
  </si>
  <si>
    <t>m.yurizia.passive.consume.buff.02</t>
  </si>
  <si>
    <t>m.yurizia.passive.buff.buffeffect.03</t>
  </si>
  <si>
    <t>m.yurizia.passive.consume.buff.03</t>
  </si>
  <si>
    <t>m.yurizia.passive.buff.buffeffect.04</t>
  </si>
  <si>
    <t>m.yurizia.passive.consume.buff.04</t>
  </si>
  <si>
    <t>m.yurizia.passive.buff.buffeffect.05</t>
  </si>
  <si>
    <t>m.yurizia.passive.consume.buff.05</t>
  </si>
  <si>
    <t>m.yurizia.passive.buff.buffeffect.06</t>
  </si>
  <si>
    <t>m.yurizia.passive.consume.buff.06</t>
  </si>
  <si>
    <t>m.yurizia.passive.consume.buff.buffeffect.01.01</t>
  </si>
  <si>
    <t>m.yurizia.passive.consume.buff.buffeffect.skilleffect.01</t>
  </si>
  <si>
    <t>m.yurizia.passive.consume.buff.buffeffect.01.02</t>
  </si>
  <si>
    <t>m.yurizia.passive.consume.buff.buffeffect.skilleffect.02</t>
  </si>
  <si>
    <t>m.yurizia.passive.consume.buff.buffeffect.01.03</t>
  </si>
  <si>
    <t>m.yurizia.passive.consume.buff.buffeffect.skilleffect.03</t>
  </si>
  <si>
    <t>m.yurizia.passive.consume.buff.buffeffect.01.04</t>
  </si>
  <si>
    <t>m.yurizia.passive.consume.buff.buffeffect.skilleffect.04</t>
  </si>
  <si>
    <t>m.yurizia.passive.consume.buff.buffeffect.01.05</t>
  </si>
  <si>
    <t>m.yurizia.passive.consume.buff.buffeffect.skilleffect.05</t>
  </si>
  <si>
    <t>m.yurizia.passive.consume.buff.buffeffect.01.06</t>
  </si>
  <si>
    <t>m.yurizia.passive.consume.buff.buffeffect.skilleffect.06</t>
  </si>
  <si>
    <t>m.yurizia.passive.consume.buff.buffeffect.02.01</t>
  </si>
  <si>
    <t>m.yurizia.passive.consume.buff.buffeffect.02.02</t>
  </si>
  <si>
    <t>m.yurizia.passive.consume.buff.buffeffect.02.03</t>
  </si>
  <si>
    <t>m.yurizia.passive.consume.buff.buffeffect.02.04</t>
  </si>
  <si>
    <t>m.yurizia.passive.consume.buff.buffeffect.02.05</t>
  </si>
  <si>
    <t>m.yurizia.passive.consume.buff.buffeffect.02.06</t>
  </si>
  <si>
    <t>m.yurizia.passive.recharge.buff.buffeffect.01</t>
  </si>
  <si>
    <t>m.yurizia.passive.recharge.effect.01</t>
  </si>
  <si>
    <t>m.yurizia.passive.recharge.buff.buffeffect.02</t>
  </si>
  <si>
    <t>m.yurizia.passive.recharge.effect.02</t>
  </si>
  <si>
    <t>m.yurizia.passive.recharge.buff.buffeffect.03</t>
  </si>
  <si>
    <t>m.yurizia.passive.recharge.effect.03</t>
  </si>
  <si>
    <t>m.yurizia.passive.recharge.buff.buffeffect.04</t>
  </si>
  <si>
    <t>m.yurizia.passive.recharge.effect.04</t>
  </si>
  <si>
    <t>m.yurizia.passive.recharge.buff.buffeffect.05</t>
  </si>
  <si>
    <t>m.yurizia.passive.recharge.effect.05</t>
  </si>
  <si>
    <t>m.yurizia.passive.recharge.buff.buffeffect.06</t>
  </si>
  <si>
    <t>m.yurizia.passive.recharge.effect.06</t>
  </si>
  <si>
    <t>m.yurizia.passive.ult.recharge.buff.buffeffect.01</t>
  </si>
  <si>
    <t>m.yurizia.passive.ult.recharge.buff.buffeffect.02</t>
  </si>
  <si>
    <t>m.yurizia.passive.ult.recharge.buff.buffeffect.03</t>
  </si>
  <si>
    <t>m.yurizia.passive.ult.recharge.buff.buffeffect.04</t>
  </si>
  <si>
    <t>m.yurizia.passive.ult.recharge.buff.buffeffect.05</t>
  </si>
  <si>
    <t>m.yurizia.passive.ult.recharge.buff.buffeffect.06</t>
  </si>
  <si>
    <t>m.yurizia.ult.buff.01</t>
  </si>
  <si>
    <t>ccimmune
m.yurizia.ult.buff.buffeffect.01.01</t>
  </si>
  <si>
    <t>m.yurizia.ult.buff.02</t>
  </si>
  <si>
    <t>ccimmune
m.yurizia.ult.buff.buffeffect.01.02</t>
  </si>
  <si>
    <t>m.yurizia.ult.buff.03</t>
  </si>
  <si>
    <t>ccimmune
m.yurizia.ult.buff.buffeffect.01.03</t>
  </si>
  <si>
    <t>m.yurizia.ult.buff.04</t>
  </si>
  <si>
    <t>ccimmune
m.yurizia.ult.buff.buffeffect.01.04</t>
  </si>
  <si>
    <t>m.yurizia.ult.buff.05</t>
  </si>
  <si>
    <t>ccimmune
m.yurizia.ult.buff.buffeffect.01.05</t>
  </si>
  <si>
    <t>m.yurizia.ult.buff.06</t>
  </si>
  <si>
    <t>ccimmune
m.yurizia.ult.buff.buffeffect.01.06</t>
  </si>
  <si>
    <t>m.yurizia.ult.buff.07</t>
  </si>
  <si>
    <t>ccimmune
m.yurizia.ult.buff.buffeffect.01.07</t>
  </si>
  <si>
    <t>m.yurizia.ult.B.buff.01</t>
  </si>
  <si>
    <t>m.yurizia.ult.B.buff.01.01</t>
  </si>
  <si>
    <t>m.yurizia.ult.B.buff.01.02</t>
  </si>
  <si>
    <t>m.yurizia.ult.B.buff.01.03</t>
  </si>
  <si>
    <t>m.yurizia.ult.B.buff.01.04</t>
  </si>
  <si>
    <t>m.yurizia.ult.B.buff.01.05</t>
  </si>
  <si>
    <t>m.yurizia.ult.B.buff.01.06</t>
  </si>
  <si>
    <t>m.yurizia.ult.B.buff.01.07</t>
  </si>
  <si>
    <t>m.yurizia.ult.B.buff.02</t>
  </si>
  <si>
    <t>m.yurizia.ult.B.buff.02.01</t>
  </si>
  <si>
    <t>m.yurizia.ult.B.buff.02.02</t>
  </si>
  <si>
    <t>m.yurizia.ult.B.buff.02.03</t>
  </si>
  <si>
    <t>m.yurizia.ult.B.buff.02.04</t>
  </si>
  <si>
    <t>m.yurizia.ult.B.buff.02.05</t>
  </si>
  <si>
    <t>m.yurizia.ult.B.buff.02.06</t>
  </si>
  <si>
    <t>m.yurizia.ult.B.buff.02.07</t>
  </si>
  <si>
    <t>m.yurizia.ult.B.buff.03</t>
  </si>
  <si>
    <t>m.yurizia.ult.B.buff.03.01</t>
  </si>
  <si>
    <t>m.yurizia.ult.B.buff.03.02</t>
  </si>
  <si>
    <t>m.yurizia.ult.B.buff.03.03</t>
  </si>
  <si>
    <t>m.yurizia.ult.B.buff.03.04</t>
  </si>
  <si>
    <t>m.yurizia.ult.B.buff.03.05</t>
  </si>
  <si>
    <t>m.yurizia.ult.B.buff.03.06</t>
  </si>
  <si>
    <t>m.yurizia.ult.B.buff.03.07</t>
  </si>
  <si>
    <t>m.yurizia.active1.effect.event.buff.01</t>
  </si>
  <si>
    <t>m.yurizia.active1.effect.event.buff.02</t>
  </si>
  <si>
    <t>m.yurizia.active1.effect.event.buff.03</t>
  </si>
  <si>
    <t>m.yurizia.active1.effect.event.buff.04</t>
  </si>
  <si>
    <t>m.yurizia.active2.effect.attackup.buff.01</t>
  </si>
  <si>
    <t>m.yurizia.active2.effect.attackup.buff.02</t>
  </si>
  <si>
    <t>m.yurizia.active2.effect.attackup.buff.03</t>
  </si>
  <si>
    <t>m.yurizia.active2.effect.attackup.buff.04</t>
  </si>
  <si>
    <t>m.yurizia.active2.effect.rechargereteup.buff.01</t>
  </si>
  <si>
    <t>m.yurizia.active2.effect.rechargereteup.buff.02</t>
  </si>
  <si>
    <t>m.yurizia.active2.effect.rechargereteup.buff.03</t>
  </si>
  <si>
    <t>m.yurizia.active2.effect.rechargereteup.buff.04</t>
  </si>
  <si>
    <t>m.yurizia.active2.effect.rechargereteup.buff.05</t>
  </si>
  <si>
    <t>m.yurizia.active2.effect.rechargereteup.buff.06</t>
  </si>
  <si>
    <t>m.yurizia.passive.position.buff.01</t>
  </si>
  <si>
    <t>m.yurizia.passive.position.buff.buffeffect.01
m.yurizia.passive.position.buff.buffeffect.02
m.yurizia.passive.position.buff.buffeffect.03</t>
  </si>
  <si>
    <t>m.yurizia.ult.position.trigger</t>
  </si>
  <si>
    <t>m.yurizia.passive.buff.01</t>
  </si>
  <si>
    <t>m.yurizia.passive.buff.02</t>
  </si>
  <si>
    <t>m.yurizia.passive.buff.03</t>
  </si>
  <si>
    <t>m.yurizia.passive.buff.04</t>
  </si>
  <si>
    <t>m.yurizia.passive.buff.05</t>
  </si>
  <si>
    <t>m.yurizia.passive.buff.06</t>
  </si>
  <si>
    <t>m.yurizia.passive.consume.buff.buffeffect.01.01
m.yurizia.passive.consume.buff.buffeffect.02.01</t>
  </si>
  <si>
    <t>m.yurizia.passive.consume.buff.buffeffect.01.02
m.yurizia.passive.consume.buff.buffeffect.02.02</t>
  </si>
  <si>
    <t>m.yurizia.passive.consume.buff.buffeffect.01.03
m.yurizia.passive.consume.buff.buffeffect.02.03</t>
  </si>
  <si>
    <t>m.yurizia.passive.consume.buff.buffeffect.01.04
m.yurizia.passive.consume.buff.buffeffect.02.04</t>
  </si>
  <si>
    <t>m.yurizia.passive.consume.buff.buffeffect.01.05
m.yurizia.passive.consume.buff.buffeffect.02.05</t>
  </si>
  <si>
    <t>m.yurizia.passive.consume.buff.buffeffect.01.06
m.yurizia.passive.consume.buff.buffeffect.02.06</t>
  </si>
  <si>
    <t>m.yurizia.passive.ex.buff.01.01</t>
  </si>
  <si>
    <t>m.yurizia.passive.ex.buff.01.02</t>
  </si>
  <si>
    <t>m.yurizia.passive.ex.buff.01.03</t>
  </si>
  <si>
    <t>m.yurizia.passive.ex.buff.01.04</t>
  </si>
  <si>
    <t>m.yurizia.passive.ex.buff.01.05</t>
  </si>
  <si>
    <t>m.yurizia.passive.ex.buff.01.06</t>
  </si>
  <si>
    <t>m.yurizia.passive.ex.buff.02.01</t>
  </si>
  <si>
    <t>m.yurizia.passive.ex.buff.02.02</t>
  </si>
  <si>
    <t>m.yurizia.passive.ex.buff.02.03</t>
  </si>
  <si>
    <t>m.yurizia.passive.ex.buff.02.04</t>
  </si>
  <si>
    <t>m.yurizia.passive.ex.buff.02.05</t>
  </si>
  <si>
    <t>m.yurizia.passive.ex.buff.02.06</t>
  </si>
  <si>
    <t>m.shale.ult.pre.buff.01</t>
  </si>
  <si>
    <t>m.shale.ult.pre.buff.buffeffect.01</t>
  </si>
  <si>
    <t>m.shale.ult.pre.buff.02</t>
  </si>
  <si>
    <t>m.shale.ult.pre.buff.buffeffect.02</t>
  </si>
  <si>
    <t>m.shale.ult.pre.buff.03</t>
  </si>
  <si>
    <t>m.shale.ult.pre.buff.buffeffect.03</t>
  </si>
  <si>
    <t>m.shale.ult.mark</t>
  </si>
  <si>
    <t>m.shale.active1.bookchange.buff.01</t>
  </si>
  <si>
    <t>m.shale.bookchange</t>
  </si>
  <si>
    <t>m.shale.active1.bookchange.buff.02</t>
  </si>
  <si>
    <t>m.shale.active1.bookchange.buff.03</t>
  </si>
  <si>
    <t>m.shale.active1.bookchange.buff.04</t>
  </si>
  <si>
    <t>m.shale.active1.bookchange.buff.05</t>
  </si>
  <si>
    <t>m.shale.active1.bookchange.buff.06</t>
  </si>
  <si>
    <t>m.shale.active1.silence.buff.01</t>
  </si>
  <si>
    <t>m.shale.active1.silence.buff.02</t>
  </si>
  <si>
    <t>m.shale.active1.silence.buff.03</t>
  </si>
  <si>
    <t>m.shale.active1.silence.buff.04</t>
  </si>
  <si>
    <t>m.shale.active1.silence.buff.05</t>
  </si>
  <si>
    <t>m.shale.active1.silence.buff.06</t>
  </si>
  <si>
    <t>m.shale.active2.defdownt.buff.01</t>
  </si>
  <si>
    <t>m.shale.active2.defdownt.buff.02</t>
  </si>
  <si>
    <t>m.shale.active2.defdownt.buff.03</t>
  </si>
  <si>
    <t>m.shale.active2.defdownt.buff.04</t>
  </si>
  <si>
    <t>m.shale.active2.defdownt.buff.05</t>
  </si>
  <si>
    <t>m.shale.active2.defdownt.buff.06</t>
  </si>
  <si>
    <t>m.shale.passive.buff.01</t>
  </si>
  <si>
    <t>m.shale.passive.skill1.event.01
m.shale.passive.skill2.event.01</t>
  </si>
  <si>
    <t>m.shale.passive.buff.02</t>
  </si>
  <si>
    <t>m.shale.passive.skill1.event.02
m.shale.passive.skill2.event.02</t>
  </si>
  <si>
    <t>m.shale.passive.buff.03</t>
  </si>
  <si>
    <t>m.shale.passive.skill1.event.03
m.shale.passive.skill2.event.03</t>
  </si>
  <si>
    <t>m.shale.passive.buff.04</t>
  </si>
  <si>
    <t>m.shale.passive.skill1.event.04
m.shale.passive.skill2.event.04</t>
  </si>
  <si>
    <t>m.shale.passive.buff.05</t>
  </si>
  <si>
    <t>m.shale.passive.skill1.event.05
m.shale.passive.skill2.event.05</t>
  </si>
  <si>
    <t>m.shale.passive.buff.06</t>
  </si>
  <si>
    <t>m.shale.passive.skill1.event.06
m.shale.passive.skill2.event.06</t>
  </si>
  <si>
    <t>m.shale.passive.bookmark.01</t>
  </si>
  <si>
    <t>m.shale.bookmark.atkup.01
m.shale.bookmark</t>
  </si>
  <si>
    <t>m.shale.passive.bookmark.02</t>
  </si>
  <si>
    <t>m.shale.bookmark.atkup.02
m.shale.bookmark</t>
  </si>
  <si>
    <t>m.shale.passive.bookmark.03</t>
  </si>
  <si>
    <t>m.shale.bookmark.atkup.03
m.shale.bookmark</t>
  </si>
  <si>
    <t>m.shale.passive.bookmark.04</t>
  </si>
  <si>
    <t>m.shale.bookmark.atkup.04
m.shale.bookmark</t>
  </si>
  <si>
    <t>m.shale.passive.bookmark.05</t>
  </si>
  <si>
    <t>m.shale.bookmark.atkup.05
m.shale.bookmark</t>
  </si>
  <si>
    <t>m.shale.passive.bookmark.06</t>
  </si>
  <si>
    <t>m.shale.bookmark.atkup.06
m.shale.bookmark</t>
  </si>
  <si>
    <t>m.shale.passive.ex.buff.01</t>
  </si>
  <si>
    <t>m.shale.passive.ex.buff.buffeffect.01</t>
  </si>
  <si>
    <t>m.shale.passive.ex.buff.02</t>
  </si>
  <si>
    <t>m.shale.passive.ex.buff.buffeffect.02</t>
  </si>
  <si>
    <t>m.shale.passive.ex.buff.03</t>
  </si>
  <si>
    <t>m.shale.passive.ex.buff.buffeffect.03</t>
  </si>
  <si>
    <t>m.shale.passive.ex.buff.04</t>
  </si>
  <si>
    <t>m.shale.passive.ex.buff.buffeffect.04</t>
  </si>
  <si>
    <t>m.shale.passive.ex.buff.05</t>
  </si>
  <si>
    <t>m.shale.passive.ex.buff.buffeffect.05</t>
  </si>
  <si>
    <t>m.shale.passive.ex.buff.06</t>
  </si>
  <si>
    <t>m.shale.passive.ex.buff.buffeffect.06</t>
  </si>
  <si>
    <t>m.shale.passive.ex.bookmark.buff.01</t>
  </si>
  <si>
    <t>m.shale.passive.ex.bookmark.buff.buffeffect.01</t>
  </si>
  <si>
    <t>m.shale.passive.ex.bookmark.buff.02</t>
  </si>
  <si>
    <t>m.shale.passive.ex.bookmark.buff.buffeffect.02</t>
  </si>
  <si>
    <t>m.shale.passive.ex.bookmark.buff.03</t>
  </si>
  <si>
    <t>m.shale.passive.ex.bookmark.buff.buffeffect.03</t>
  </si>
  <si>
    <t>m.shale.passive.ex.bookmark.buff.04</t>
  </si>
  <si>
    <t>m.shale.passive.ex.bookmark.buff.buffeffect.04</t>
  </si>
  <si>
    <t>m.shale.passive.ex.bookmark.buff.05</t>
  </si>
  <si>
    <t>m.shale.passive.ex.bookmark.buff.buffeffect.05</t>
  </si>
  <si>
    <t>m.shale.passive.ex.bookmark.buff.06</t>
  </si>
  <si>
    <t>m.shale.passive.ex.bookmark.buff.buffeffect.06</t>
  </si>
  <si>
    <t>m.shale.ult.front.effect.01</t>
  </si>
  <si>
    <t>m.shale.ult.middle.effect.01</t>
  </si>
  <si>
    <t>m.shale.ult.back.effect.01</t>
  </si>
  <si>
    <t>m.shale.passive.skill1.event.01</t>
  </si>
  <si>
    <t>m.shale.passive.skill.event.skilleffect.01</t>
  </si>
  <si>
    <t>m.shale.passive.skill1.event.02</t>
  </si>
  <si>
    <t>m.shale.passive.skill.event.skilleffect.02</t>
  </si>
  <si>
    <t>m.shale.passive.skill1.event.03</t>
  </si>
  <si>
    <t>m.shale.passive.skill.event.skilleffect.03</t>
  </si>
  <si>
    <t>m.shale.passive.skill1.event.04</t>
  </si>
  <si>
    <t>m.shale.passive.skill.event.skilleffect.04</t>
  </si>
  <si>
    <t>m.shale.passive.skill1.event.05</t>
  </si>
  <si>
    <t>m.shale.passive.skill.event.skilleffect.05</t>
  </si>
  <si>
    <t>m.shale.passive.skill1.event.06</t>
  </si>
  <si>
    <t>m.shale.passive.skill.event.skilleffect.06</t>
  </si>
  <si>
    <t>m.shale.passive.skill2.event.01</t>
  </si>
  <si>
    <t>m.shale.passive.skill2.event.02</t>
  </si>
  <si>
    <t>m.shale.passive.skill2.event.03</t>
  </si>
  <si>
    <t>m.shale.passive.skill2.event.04</t>
  </si>
  <si>
    <t>m.shale.passive.skill2.event.05</t>
  </si>
  <si>
    <t>m.shale.passive.skill2.event.06</t>
  </si>
  <si>
    <t>m.shale.bookmark.atkup.01</t>
  </si>
  <si>
    <t>m.shale.bookmark.atkup.02</t>
  </si>
  <si>
    <t>m.shale.bookmark.atkup.03</t>
  </si>
  <si>
    <t>m.shale.bookmark.atkup.04</t>
  </si>
  <si>
    <t>m.shale.bookmark.atkup.05</t>
  </si>
  <si>
    <t>m.shale.bookmark.atkup.06</t>
  </si>
  <si>
    <t>m.shale.bookmark</t>
  </si>
  <si>
    <t>m.shale.bookmark.check.condition</t>
  </si>
  <si>
    <t>m.rayhou.ult.hot.buff.buffeffect.01</t>
  </si>
  <si>
    <t>m.rayhou.ult.hot.buff.buffeffect.02</t>
  </si>
  <si>
    <t>m.rayhou.ult.hot.buff.buffeffect.03</t>
  </si>
  <si>
    <t>m.rayhou.ult.hot.buff.buffeffect.04</t>
  </si>
  <si>
    <t>m.rayhou.ult.hot.buff.buffeffect.05</t>
  </si>
  <si>
    <t>m.rayhou.ult.hot.buff.buffeffect.06</t>
  </si>
  <si>
    <t>m.rayhou.ult.hot.buff.buffeffect.07</t>
  </si>
  <si>
    <t>m.rayhou.ult.B.hot.buff.buffeffect.01</t>
  </si>
  <si>
    <t>m.rayhou.ult.B.hot.buff.buffeffect.02</t>
  </si>
  <si>
    <t>m.rayhou.ult.B.hot.buff.buffeffect.03</t>
  </si>
  <si>
    <t>m.rayhou.ult.B.hot.buff.buffeffect.04</t>
  </si>
  <si>
    <t>m.rayhou.ult.B.hot.buff.buffeffect.05</t>
  </si>
  <si>
    <t>m.rayhou.ult.B.hot.buff.buffeffect.06</t>
  </si>
  <si>
    <t>m.rayhou.ult.B.hot.buff.buffeffect.07</t>
  </si>
  <si>
    <t>m.rayhou.ult.B.invin.buff.buffeffect.01</t>
  </si>
  <si>
    <t>m.rayhou.ult.B.invin.buff.buffeffect.02</t>
  </si>
  <si>
    <t>m.rayhou.ult.B.invin.buff.buffeffect.03</t>
  </si>
  <si>
    <t>m.rayhou.ult.B.invin.buff.buffeffect.04</t>
  </si>
  <si>
    <t>m.rayhou.ult.B.invin.buff.buffeffect.05</t>
  </si>
  <si>
    <t>m.rayhou.ult.B.invin.buff.buffeffect.06</t>
  </si>
  <si>
    <t>m.rayhou.ult.B.invin.buff.buffeffect.07</t>
  </si>
  <si>
    <t>m.rayhou.active2.shield.buff.buffeffect.01</t>
  </si>
  <si>
    <t>m.rayhou.active2.shield.buff.buffeffect.02</t>
  </si>
  <si>
    <t>m.rayhou.active2.shield.buff.buffeffect.03</t>
  </si>
  <si>
    <t>m.rayhou.active2.shield.buff.buffeffect.04</t>
  </si>
  <si>
    <t>m.rayhou.active2.shield.buff.buffeffect.05</t>
  </si>
  <si>
    <t>m.rayhou.active2.shield.buff.buffeffect.06</t>
  </si>
  <si>
    <t>m.rayhou.passive.buff.buffeffect.01</t>
  </si>
  <si>
    <t>m.rayhou.passive.defup.buff.01</t>
  </si>
  <si>
    <t>m.rayhou.passive.buff.buffeffect.02</t>
  </si>
  <si>
    <t>m.rayhou.passive.defup.buff.02</t>
  </si>
  <si>
    <t>m.rayhou.passive.buff.buffeffect.03</t>
  </si>
  <si>
    <t>m.rayhou.passive.defup.buff.03</t>
  </si>
  <si>
    <t>m.rayhou.passive.buff.buffeffect.04</t>
  </si>
  <si>
    <t>m.rayhou.passive.defup.buff.04</t>
  </si>
  <si>
    <t>m.rayhou.passive.buff.buffeffect.05</t>
  </si>
  <si>
    <t>m.rayhou.passive.defup.buff.05</t>
  </si>
  <si>
    <t>m.rayhou.passive.buff.buffeffect.06</t>
  </si>
  <si>
    <t>m.rayhou.passive.defup.buff.06</t>
  </si>
  <si>
    <t>m.rayhou.passive.defup.buff.buffeffect.01</t>
  </si>
  <si>
    <t>m.rayhou.passive.defup.buff.buffeffect.02</t>
  </si>
  <si>
    <t>m.rayhou.passive.defup.buff.buffeffect.03</t>
  </si>
  <si>
    <t>m.rayhou.passive.defup.buff.buffeffect.04</t>
  </si>
  <si>
    <t>m.rayhou.passive.defup.buff.buffeffect.05</t>
  </si>
  <si>
    <t>m.rayhou.passive.defup.buff.buffeffect.06</t>
  </si>
  <si>
    <t>m.rayhou.passive.shield.buffeffect.01</t>
  </si>
  <si>
    <t>m.rayhou.passive.shield.buffeffect.skilleffect.01</t>
  </si>
  <si>
    <t>m.rayhou.passive.shield.buffeffect.02</t>
  </si>
  <si>
    <t>m.rayhou.passive.shield.buffeffect.skilleffect.02</t>
  </si>
  <si>
    <t>m.rayhou.passive.shield.buffeffect.03</t>
  </si>
  <si>
    <t>m.rayhou.passive.shield.buffeffect.skilleffect.03</t>
  </si>
  <si>
    <t>m.rayhou.passive.shield.buffeffect.04</t>
  </si>
  <si>
    <t>m.rayhou.passive.shield.buffeffect.skilleffect.04</t>
  </si>
  <si>
    <t>m.rayhou.passive.shield.buffeffect.05</t>
  </si>
  <si>
    <t>m.rayhou.passive.shield.buffeffect.skilleffect.05</t>
  </si>
  <si>
    <t>m.rayhou.passive.shield.buffeffect.06</t>
  </si>
  <si>
    <t>m.rayhou.passive.shield.buffeffect.skilleffect.06</t>
  </si>
  <si>
    <t>m.rayhou.passive.shield.trigger.buff.buffeffect.01</t>
  </si>
  <si>
    <t>m.rayhou.passive.shield.trigger.skilleffect.01</t>
  </si>
  <si>
    <t>m.rayhou.passive.shield.trigger.buff.buffeffect.02</t>
  </si>
  <si>
    <t>m.rayhou.passive.shield.trigger.skilleffect.02</t>
  </si>
  <si>
    <t>m.rayhou.passive.shield.trigger.buff.buffeffect.03</t>
  </si>
  <si>
    <t>m.rayhou.passive.shield.trigger.skilleffect.03</t>
  </si>
  <si>
    <t>m.rayhou.passive.shield.trigger.buff.buffeffect.04</t>
  </si>
  <si>
    <t>m.rayhou.passive.shield.trigger.skilleffect.04</t>
  </si>
  <si>
    <t>m.rayhou.passive.shield.trigger.buff.buffeffect.05</t>
  </si>
  <si>
    <t>m.rayhou.passive.shield.trigger.skilleffect.05</t>
  </si>
  <si>
    <t>m.rayhou.passive.shield.trigger.buff.buffeffect.06</t>
  </si>
  <si>
    <t>m.rayhou.passive.shield.trigger.skilleffect.06</t>
  </si>
  <si>
    <t>m.rayhou.passive.shield.buff.buffeffect.01</t>
  </si>
  <si>
    <t>m.rayhou.passive.shield.buff.buffeffect.02</t>
  </si>
  <si>
    <t>m.rayhou.passive.shield.buff.buffeffect.03</t>
  </si>
  <si>
    <t>m.rayhou.passive.shield.buff.buffeffect.04</t>
  </si>
  <si>
    <t>m.rayhou.passive.shield.buff.buffeffect.05</t>
  </si>
  <si>
    <t>m.rayhou.passive.shield.buff.buffeffect.06</t>
  </si>
  <si>
    <t>m.rayhou.passive.ex.buff.buffeffect.01</t>
  </si>
  <si>
    <t>!m.rayhou.passive.ex.trigger</t>
  </si>
  <si>
    <t>m.rayhou.passive.ex.buff.buffeffect.skilleffect.01</t>
  </si>
  <si>
    <t>m.rayhou.passive.ex.buff.buffeffect.02</t>
  </si>
  <si>
    <t>m.rayhou.passive.ex.buff.buffeffect.skilleffect.02</t>
  </si>
  <si>
    <t>m.rayhou.passive.ex.buff.buffeffect.03</t>
  </si>
  <si>
    <t>m.rayhou.passive.ex.buff.buffeffect.skilleffect.03</t>
  </si>
  <si>
    <t>m.rayhou.passive.ex.buff.buffeffect.04</t>
  </si>
  <si>
    <t>m.rayhou.passive.ex.buff.buffeffect.skilleffect.04</t>
  </si>
  <si>
    <t>m.rayhou.passive.ex.buff.buffeffect.05</t>
  </si>
  <si>
    <t>m.rayhou.passive.ex.buff.buffeffect.skilleffect.05</t>
  </si>
  <si>
    <t>m.rayhou.passive.ex.buff.buffeffect.06</t>
  </si>
  <si>
    <t>m.rayhou.passive.ex.buff.buffeffect.skilleffect.06</t>
  </si>
  <si>
    <t>m.rayhou.ult.hot.buff.01</t>
  </si>
  <si>
    <t>m.rayhou.ult.hot.buff.02</t>
  </si>
  <si>
    <t>m.rayhou.ult.hot.buff.03</t>
  </si>
  <si>
    <t>m.rayhou.ult.hot.buff.04</t>
  </si>
  <si>
    <t>m.rayhou.ult.hot.buff.05</t>
  </si>
  <si>
    <t>m.rayhou.ult.hot.buff.06</t>
  </si>
  <si>
    <t>m.rayhou.ult.hot.buff.07</t>
  </si>
  <si>
    <t>m.rayhou.ult.B.hot.buff.01</t>
  </si>
  <si>
    <t>m.rayhou.ult.B.hot.buff.02</t>
  </si>
  <si>
    <t>m.rayhou.ult.B.hot.buff.03</t>
  </si>
  <si>
    <t>m.rayhou.ult.B.hot.buff.04</t>
  </si>
  <si>
    <t>m.rayhou.ult.B.hot.buff.05</t>
  </si>
  <si>
    <t>m.rayhou.ult.B.hot.buff.06</t>
  </si>
  <si>
    <t>m.rayhou.ult.B.hot.buff.07</t>
  </si>
  <si>
    <t>m.rayhou.ult.B.invin.buff.01</t>
  </si>
  <si>
    <t>m.rayhou.ult.B.invin.buff.02</t>
  </si>
  <si>
    <t>m.rayhou.ult.B.invin.buff.03</t>
  </si>
  <si>
    <t>m.rayhou.ult.B.invin.buff.04</t>
  </si>
  <si>
    <t>m.rayhou.ult.B.invin.buff.05</t>
  </si>
  <si>
    <t>m.rayhou.ult.B.invin.buff.06</t>
  </si>
  <si>
    <t>m.rayhou.ult.B.invin.buff.07</t>
  </si>
  <si>
    <t>m.rayhou.active1.atkdown.buff.01</t>
  </si>
  <si>
    <t>m.rayhou.active1.atkdown.buff.02</t>
  </si>
  <si>
    <t>m.rayhou.active1.atkdown.buff.03</t>
  </si>
  <si>
    <t>m.rayhou.active1.atkdown.buff.04</t>
  </si>
  <si>
    <t>m.rayhou.active1.atkdown.buff.05</t>
  </si>
  <si>
    <t>m.rayhou.active1.atkdown.buff.06</t>
  </si>
  <si>
    <t>m.rayhou.active1.airborn.buff</t>
  </si>
  <si>
    <t>m.rayhou.active2.shield.buff.01</t>
  </si>
  <si>
    <t>m.rayhou.active2.shield.buff.02</t>
  </si>
  <si>
    <t>m.rayhou.active2.shield.buff.03</t>
  </si>
  <si>
    <t>m.rayhou.active2.shield.buff.04</t>
  </si>
  <si>
    <t>m.rayhou.active2.shield.buff.05</t>
  </si>
  <si>
    <t>m.rayhou.active2.shield.buff.06</t>
  </si>
  <si>
    <t>m.rayhou.passive.buff.01</t>
  </si>
  <si>
    <t>m.rayhou.passive.buff.02</t>
  </si>
  <si>
    <t>m.rayhou.passive.buff.03</t>
  </si>
  <si>
    <t>m.rayhou.passive.buff.04</t>
  </si>
  <si>
    <t>m.rayhou.passive.buff.05</t>
  </si>
  <si>
    <t>m.rayhou.passive.buff.06</t>
  </si>
  <si>
    <t>m.rayhou.passive.shield.01</t>
  </si>
  <si>
    <t>m.rayhou.passive.shield.02</t>
  </si>
  <si>
    <t>m.rayhou.passive.shield.03</t>
  </si>
  <si>
    <t>m.rayhou.passive.shield.04</t>
  </si>
  <si>
    <t>m.rayhou.passive.shield.05</t>
  </si>
  <si>
    <t>m.rayhou.passive.shield.06</t>
  </si>
  <si>
    <t>m.rayhou.passive.shield.trigger.buff.01</t>
  </si>
  <si>
    <t>m.rayhou.passive.shield.trigger.buff.02</t>
  </si>
  <si>
    <t>m.rayhou.passive.shield.trigger.buff.03</t>
  </si>
  <si>
    <t>m.rayhou.passive.shield.trigger.buff.04</t>
  </si>
  <si>
    <t>m.rayhou.passive.shield.trigger.buff.05</t>
  </si>
  <si>
    <t>m.rayhou.passive.shield.trigger.buff.06</t>
  </si>
  <si>
    <t>m.rayhou.passive.shield.buff.01</t>
  </si>
  <si>
    <t>m.rayhou.passive.shield.buff.02</t>
  </si>
  <si>
    <t>m.rayhou.passive.shield.buff.03</t>
  </si>
  <si>
    <t>m.rayhou.passive.shield.buff.04</t>
  </si>
  <si>
    <t>m.rayhou.passive.shield.buff.05</t>
  </si>
  <si>
    <t>m.rayhou.passive.shield.buff.06</t>
  </si>
  <si>
    <t>m.rayhou.passive.ex.buff.01</t>
  </si>
  <si>
    <t>m.rayhou.passive.ex.buff.02</t>
  </si>
  <si>
    <t>m.rayhou.passive.ex.buff.03</t>
  </si>
  <si>
    <t>m.rayhou.passive.ex.buff.04</t>
  </si>
  <si>
    <t>m.rayhou.passive.ex.buff.05</t>
  </si>
  <si>
    <t>m.rayhou.passive.ex.buff.06</t>
  </si>
  <si>
    <t>m.rayhou.passive.ex.trigger</t>
  </si>
  <si>
    <t>m.rayhou.revive.effect.buff</t>
  </si>
  <si>
    <t>m.hellen.ult.B.buff.01</t>
  </si>
  <si>
    <t>m.hellen.ult.B.changeskill
m.hellen.ult.B.changeskill.cost.01
m.hellen.ult.B.buffeffect.01</t>
  </si>
  <si>
    <t>m.hellen.ult.B.buff.02</t>
  </si>
  <si>
    <t>m.hellen.ult.B.changeskill
m.hellen.ult.B.changeskill.cost.02
m.hellen.ult.B.buffeffect.02</t>
  </si>
  <si>
    <t>m.hellen.ult.B.buff.03</t>
  </si>
  <si>
    <t>m.hellen.ult.B.changeskill
m.hellen.ult.B.changeskill.cost.03
m.hellen.ult.B.buffeffect.03</t>
  </si>
  <si>
    <t>m.hellen.ult.B.buff.04</t>
  </si>
  <si>
    <t>m.hellen.ult.B.changeskill
m.hellen.ult.B.changeskill.cost.04
m.hellen.ult.B.buffeffect.04</t>
  </si>
  <si>
    <t>m.hellen.ult.B.buff.05</t>
  </si>
  <si>
    <t>m.hellen.ult.B.changeskill
m.hellen.ult.B.changeskill.cost.05
m.hellen.ult.B.buffeffect.05</t>
  </si>
  <si>
    <t>m.hellen.ult.B.buff.06</t>
  </si>
  <si>
    <t>m.hellen.ult.B.changeskill
m.hellen.ult.B.changeskill.cost.06
m.hellen.ult.B.buffeffect.06</t>
  </si>
  <si>
    <t>m.hellen.ult.B.buff.07</t>
  </si>
  <si>
    <t>m.hellen.ult.B.changeskill
m.hellen.ult.B.changeskill.cost.07
m.hellen.ult.B.buffeffect.07</t>
  </si>
  <si>
    <t>m.hellen.active1.shield.buff.01</t>
  </si>
  <si>
    <t>m.hellen.active1.effect.event.buff.buffeffect.01</t>
  </si>
  <si>
    <t>m.hellen.active1.shield.buff.02</t>
  </si>
  <si>
    <t>m.hellen.active1.effect.event.buff.buffeffect.02</t>
  </si>
  <si>
    <t>m.hellen.active1.shield.buff.03</t>
  </si>
  <si>
    <t>m.hellen.active1.effect.event.buff.buffeffect.03</t>
  </si>
  <si>
    <t>m.hellen.active1.shield.buff.04</t>
  </si>
  <si>
    <t>m.hellen.active1.effect.event.buff.buffeffect.04</t>
  </si>
  <si>
    <t>m.hellen.active1.shield.buff.05</t>
  </si>
  <si>
    <t>m.hellen.active1.effect.event.buff.buffeffect.05</t>
  </si>
  <si>
    <t>m.hellen.active1.shield.buff.06</t>
  </si>
  <si>
    <t>m.hellen.active1.effect.event.buff.buffeffect.06</t>
  </si>
  <si>
    <t>m.hellen.active2.atkdown.buff.01</t>
  </si>
  <si>
    <t>m.hellen.active2.atkdown.buff.02</t>
  </si>
  <si>
    <t>m.hellen.active2.atkdown.buff.03</t>
  </si>
  <si>
    <t>m.hellen.active2.atkdown.buff.04</t>
  </si>
  <si>
    <t>m.hellen.active2.atkdown.buff.05</t>
  </si>
  <si>
    <t>m.hellen.active2.atkdown.buff.06</t>
  </si>
  <si>
    <t>m.hellen.passive.buff.01</t>
  </si>
  <si>
    <t>m.hellen.aroma.trigger</t>
  </si>
  <si>
    <t>m.hellen.passive.buff.buffeffect.01</t>
  </si>
  <si>
    <t>m.hellen.passive.buff.02</t>
  </si>
  <si>
    <t>m.hellen.passive.buff.buffeffect.02</t>
  </si>
  <si>
    <t>m.hellen.passive.buff.03</t>
  </si>
  <si>
    <t>m.hellen.passive.buff.buffeffect.03</t>
  </si>
  <si>
    <t>m.hellen.passive.buff.04</t>
  </si>
  <si>
    <t>m.hellen.passive.buff.buffeffect.04</t>
  </si>
  <si>
    <t>m.hellen.passive.buff.05</t>
  </si>
  <si>
    <t>m.hellen.passive.buff.buffeffect.05</t>
  </si>
  <si>
    <t>m.hellen.passive.buff.06</t>
  </si>
  <si>
    <t>m.hellen.passive.buff.buffeffect.06</t>
  </si>
  <si>
    <t>m.hellen.passive.aroma.buff.01</t>
  </si>
  <si>
    <t>m.hellen.passive.aroma
m.hellen.passive.aroma.buff.buffeffect.01</t>
  </si>
  <si>
    <t>m.hellen.passive.aroma.buff.02</t>
  </si>
  <si>
    <t>m.hellen.passive.aroma
m.hellen.passive.aroma.buff.buffeffect.02</t>
  </si>
  <si>
    <t>m.hellen.passive.aroma.buff.03</t>
  </si>
  <si>
    <t>m.hellen.passive.aroma
m.hellen.passive.aroma.buff.buffeffect.03</t>
  </si>
  <si>
    <t>m.hellen.passive.aroma.buff.04</t>
  </si>
  <si>
    <t>m.hellen.passive.aroma
m.hellen.passive.aroma.buff.buffeffect.04</t>
  </si>
  <si>
    <t>m.hellen.passive.aroma.buff.05</t>
  </si>
  <si>
    <t>m.hellen.passive.aroma
m.hellen.passive.aroma.buff.buffeffect.05</t>
  </si>
  <si>
    <t>m.hellen.passive.aroma.buff.06</t>
  </si>
  <si>
    <t>m.hellen.passive.aroma
m.hellen.passive.aroma.buff.buffeffect.06</t>
  </si>
  <si>
    <t>m.hellen.passive.ex.buff.01</t>
  </si>
  <si>
    <t>m.hellen.passive.ex.buff.02</t>
  </si>
  <si>
    <t>m.hellen.passive.ex.buff.03</t>
  </si>
  <si>
    <t>m.hellen.passive.ex.buff.04</t>
  </si>
  <si>
    <t>m.hellen.passive.ex.buff.05</t>
  </si>
  <si>
    <t>m.hellen.passive.ex.buff.06</t>
  </si>
  <si>
    <t>m.hellen.passive.ex.aroma.buff</t>
  </si>
  <si>
    <t>m.hellen.passive.ex.buff.buffeffect.01
m.hellen.passive.ex.buff.buffeffect.02
m.hellen.passive.ex.buff.buffeffect.03
m.hellen.passive.ex.buff.buffeffect.04
m.hellen.passive.ex.buff.buffeffect.05
m.hellen.passive.ex.buff.buffeffect.06</t>
  </si>
  <si>
    <t>m.hellen.passive.ex.aroma.buff.01</t>
  </si>
  <si>
    <t>m.hellen.passive.ex.aroma.buff.buffeffect.01</t>
  </si>
  <si>
    <t>m.hellen.passive.ex.aroma.buff.02</t>
  </si>
  <si>
    <t>m.hellen.passive.ex.aroma.buff.buffeffect.02</t>
  </si>
  <si>
    <t>m.hellen.passive.ex.aroma.buff.03</t>
  </si>
  <si>
    <t>m.hellen.passive.ex.aroma.buff.buffeffect.03</t>
  </si>
  <si>
    <t>m.hellen.passive.ex.aroma.buff.04</t>
  </si>
  <si>
    <t>m.hellen.passive.ex.aroma.buff.buffeffect.04</t>
  </si>
  <si>
    <t>m.hellen.passive.ex.aroma.buff.05</t>
  </si>
  <si>
    <t>m.hellen.passive.ex.aroma.buff.buffeffect.05</t>
  </si>
  <si>
    <t>m.hellen.passive.ex.aroma.buff.06</t>
  </si>
  <si>
    <t>m.hellen.passive.ex.aroma.buff.buffeffect.06</t>
  </si>
  <si>
    <t>m.hellen.ult.B.changeskill</t>
  </si>
  <si>
    <t>m.hellen.ult.B.changeskill.cost.01</t>
  </si>
  <si>
    <t>m.hellen.ult.B.changeskill.cost.skilleffect.01</t>
  </si>
  <si>
    <t>m.hellen.ult.B.changeskill.cost.02</t>
  </si>
  <si>
    <t>m.hellen.ult.B.changeskill.cost.skilleffect.02</t>
  </si>
  <si>
    <t>m.hellen.ult.B.changeskill.cost.03</t>
  </si>
  <si>
    <t>m.hellen.ult.B.changeskill.cost.skilleffect.03</t>
  </si>
  <si>
    <t>m.hellen.ult.B.changeskill.cost.04</t>
  </si>
  <si>
    <t>m.hellen.ult.B.changeskill.cost.skilleffect.04</t>
  </si>
  <si>
    <t>m.hellen.ult.B.changeskill.cost.05</t>
  </si>
  <si>
    <t>m.hellen.ult.B.changeskill.cost.skilleffect.05</t>
  </si>
  <si>
    <t>m.hellen.ult.B.changeskill.cost.06</t>
  </si>
  <si>
    <t>m.hellen.ult.B.changeskill.cost.skilleffect.06</t>
  </si>
  <si>
    <t>m.hellen.ult.B.changeskill.cost.07</t>
  </si>
  <si>
    <t>m.hellen.ult.B.changeskill.cost.skilleffect.07</t>
  </si>
  <si>
    <t>m.hellen.ult.B.buffeffect.01</t>
  </si>
  <si>
    <t>m.hellen.ult.B.modifier.01</t>
  </si>
  <si>
    <t>m.hellen.ult.B.buffeffect.02</t>
  </si>
  <si>
    <t>m.hellen.ult.B.modifier.02</t>
  </si>
  <si>
    <t>m.hellen.ult.B.buffeffect.03</t>
  </si>
  <si>
    <t>m.hellen.ult.B.modifier.03</t>
  </si>
  <si>
    <t>m.hellen.ult.B.buffeffect.04</t>
  </si>
  <si>
    <t>m.hellen.ult.B.modifier.04</t>
  </si>
  <si>
    <t>m.hellen.ult.B.buffeffect.05</t>
  </si>
  <si>
    <t>m.hellen.ult.B.modifier.05</t>
  </si>
  <si>
    <t>m.hellen.ult.B.buffeffect.06</t>
  </si>
  <si>
    <t>m.hellen.ult.B.modifier.06</t>
  </si>
  <si>
    <t>m.hellen.ult.B.buffeffect.07</t>
  </si>
  <si>
    <t>m.hellen.ult.B.modifier.07</t>
  </si>
  <si>
    <t>m.hellen.passive.buff.buffeffect.skilleffect.02.01</t>
  </si>
  <si>
    <t>m.hellen.passive.buff.buffeffect.skilleffect.02.02</t>
  </si>
  <si>
    <t>m.hellen.passive.buff.buffeffect.skilleffect.02.03</t>
  </si>
  <si>
    <t>m.hellen.passive.buff.buffeffect.skilleffect.02.04</t>
  </si>
  <si>
    <t>m.hellen.passive.buff.buffeffect.skilleffect.02.05</t>
  </si>
  <si>
    <t>m.hellen.passive.buff.buffeffect.skilleffect.02.06</t>
  </si>
  <si>
    <t>m.hellen.passive.aroma</t>
  </si>
  <si>
    <t>m.hellen.passive.aroma.buff.buffeffect.01</t>
  </si>
  <si>
    <t>m.hellen.passive.aroma.buff.buffeffect.02</t>
  </si>
  <si>
    <t>m.hellen.passive.aroma.buff.buffeffect.03</t>
  </si>
  <si>
    <t>m.hellen.passive.aroma.buff.buffeffect.04</t>
  </si>
  <si>
    <t>m.hellen.passive.aroma.buff.buffeffect.05</t>
  </si>
  <si>
    <t>m.hellen.passive.aroma.buff.buffeffect.06</t>
  </si>
  <si>
    <t>m.hellen.passive.ex.buff.buffeffect.01</t>
  </si>
  <si>
    <t>m.hellen.passive.ex.buff.buffeffect.02</t>
  </si>
  <si>
    <t>m.hellen.passive.ex.buff.buffeffect.03</t>
  </si>
  <si>
    <t>m.hellen.passive.ex.buff.buffeffect.04</t>
  </si>
  <si>
    <t>m.hellen.passive.ex.buff.buffeffect.05</t>
  </si>
  <si>
    <t>m.hellen.passive.ex.buff.buffeffect.06</t>
  </si>
  <si>
    <t>m.elina.passive.buff.buffeffect.01</t>
  </si>
  <si>
    <t>m.elina.passive.atkup.buff.01</t>
  </si>
  <si>
    <t>m.elina.passive.buff.buffeffect.02</t>
  </si>
  <si>
    <t>m.elina.passive.atkup.buff.02</t>
  </si>
  <si>
    <t>m.elina.passive.buff.buffeffect.03</t>
  </si>
  <si>
    <t>m.elina.passive.atkup.buff.03</t>
  </si>
  <si>
    <t>m.elina.passive.buff.buffeffect.04</t>
  </si>
  <si>
    <t>m.elina.passive.atkup.buff.04</t>
  </si>
  <si>
    <t>m.elina.passive.buff.buffeffect.05</t>
  </si>
  <si>
    <t>m.elina.passive.atkup.buff.05</t>
  </si>
  <si>
    <t>m.elina.passive.buff.buffeffect.06</t>
  </si>
  <si>
    <t>m.elina.passive.atkup.buff.06</t>
  </si>
  <si>
    <t>m.elina.passive.atkup.buff.buffeffect.01</t>
  </si>
  <si>
    <t>m.elina.passive.atkup.buff.buffeffect.02</t>
  </si>
  <si>
    <t>m.elina.passive.atkup.buff.buffeffect.03</t>
  </si>
  <si>
    <t>m.elina.passive.atkup.buff.buffeffect.04</t>
  </si>
  <si>
    <t>m.elina.passive.atkup.buff.buffeffect.05</t>
  </si>
  <si>
    <t>m.elina.passive.atkup.buff.buffeffect.06</t>
  </si>
  <si>
    <t>m.elina.passive.ex.buff.buffeffect.01</t>
  </si>
  <si>
    <t>m.elina.passive.ex.buff.skilleffect.01</t>
  </si>
  <si>
    <t>m.elina.passive.ex.buff.buffeffect.02</t>
  </si>
  <si>
    <t>m.elina.passive.ex.buff.skilleffect.02</t>
  </si>
  <si>
    <t>m.elina.passive.ex.buff.buffeffect.03</t>
  </si>
  <si>
    <t>m.elina.passive.ex.buff.skilleffect.03</t>
  </si>
  <si>
    <t>m.elina.passive.ex.buff.buffeffect.04</t>
  </si>
  <si>
    <t>m.elina.passive.ex.buff.skilleffect.04</t>
  </si>
  <si>
    <t>m.elina.passive.ex.buff.buffeffect.05</t>
  </si>
  <si>
    <t>m.elina.passive.ex.buff.skilleffect.05</t>
  </si>
  <si>
    <t>m.elina.passive.ex.buff.buffeffect.06</t>
  </si>
  <si>
    <t>m.elina.passive.ex.buff.skilleffect.06</t>
  </si>
  <si>
    <t>m.elina.passive.effect.buffeffect</t>
  </si>
  <si>
    <t>m.elina.passive.effect.buffeffect.skilleffect</t>
  </si>
  <si>
    <t>m.elina.ult.pre.buff</t>
  </si>
  <si>
    <t>m.elina.ult.atkup.buff.01</t>
  </si>
  <si>
    <t>m.elina.ult.atkup.buff.02</t>
  </si>
  <si>
    <t>m.elina.ult.atkup.buff.03</t>
  </si>
  <si>
    <t>m.elina.ult.atkup.buff.04</t>
  </si>
  <si>
    <t>m.elina.ult.atkup.buff.05</t>
  </si>
  <si>
    <t>m.elina.ult.atkup.buff.06</t>
  </si>
  <si>
    <t>m.elina.ult.atkup.buff.07</t>
  </si>
  <si>
    <t>m.elina.ult.B.effect.buff.01.01</t>
  </si>
  <si>
    <t>m.elina.ult.B.effect.buff.01.02</t>
  </si>
  <si>
    <t>m.elina.ult.B.effect.buff.01.03</t>
  </si>
  <si>
    <t>m.elina.ult.B.effect.buff.01.04</t>
  </si>
  <si>
    <t>m.elina.ult.B.effect.buff.01.05</t>
  </si>
  <si>
    <t>m.elina.ult.B.effect.buff.01.06</t>
  </si>
  <si>
    <t>m.elina.ult.B.effect.buff.01.07</t>
  </si>
  <si>
    <t>m.elina.ult.B.effect.buff.02.01</t>
  </si>
  <si>
    <t>m.elina.ult.B.effect.buff.02.02</t>
  </si>
  <si>
    <t>m.elina.ult.B.effect.buff.02.03</t>
  </si>
  <si>
    <t>m.elina.ult.B.effect.buff.02.04</t>
  </si>
  <si>
    <t>m.elina.ult.B.effect.buff.02.05</t>
  </si>
  <si>
    <t>m.elina.ult.B.effect.buff.02.06</t>
  </si>
  <si>
    <t>m.elina.ult.B.effect.buff.02.07</t>
  </si>
  <si>
    <t>m.elina.active2.defdown.buff.01</t>
  </si>
  <si>
    <t>m.elina.active2.defdown.buff.02</t>
  </si>
  <si>
    <t>m.elina.active2.defdown.buff.03</t>
  </si>
  <si>
    <t>m.elina.active2.defdown.buff.04</t>
  </si>
  <si>
    <t>m.elina.active2.defdown.buff.05</t>
  </si>
  <si>
    <t>m.elina.active2.defdown.buff.06</t>
  </si>
  <si>
    <t>m.elina.passive.buff.01</t>
  </si>
  <si>
    <t>m.elina.passive.buff.02</t>
  </si>
  <si>
    <t>m.elina.passive.buff.03</t>
  </si>
  <si>
    <t>m.elina.passive.buff.04</t>
  </si>
  <si>
    <t>m.elina.passive.buff.05</t>
  </si>
  <si>
    <t>m.elina.passive.buff.06</t>
  </si>
  <si>
    <t>m.elina.passive.ex.buff.01</t>
  </si>
  <si>
    <t>m.elina.passive.ex.buff.02</t>
  </si>
  <si>
    <t>m.elina.passive.ex.buff.03</t>
  </si>
  <si>
    <t>m.elina.passive.ex.buff.04</t>
  </si>
  <si>
    <t>m.elina.passive.ex.buff.05</t>
  </si>
  <si>
    <t>m.elina.passive.ex.buff.06</t>
  </si>
  <si>
    <t>m.elina.passive.effect</t>
  </si>
  <si>
    <t>m.elina.passive.effect.buff</t>
  </si>
  <si>
    <t>m.siege.ult.pre.buff.buffeffect.01</t>
  </si>
  <si>
    <t>m.siege.ult.shield.01</t>
  </si>
  <si>
    <t>m.siege.ult.pre.buff.buffeffect.02</t>
  </si>
  <si>
    <t>m.siege.ult.shield.02</t>
  </si>
  <si>
    <t>m.siege.ult.pre.buff.buffeffect.03</t>
  </si>
  <si>
    <t>m.siege.ult.shield.03</t>
  </si>
  <si>
    <t>m.siege.ult.pre.buff.buffeffect.04</t>
  </si>
  <si>
    <t>m.siege.ult.shield.04</t>
  </si>
  <si>
    <t>m.siege.ult.pre.buff.buffeffect.05</t>
  </si>
  <si>
    <t>m.siege.ult.shield.05</t>
  </si>
  <si>
    <t>m.siege.ult.pre.buff.buffeffect.06</t>
  </si>
  <si>
    <t>m.siege.ult.shield.06</t>
  </si>
  <si>
    <t>m.siege.ult.pre.buff.buffeffect.07</t>
  </si>
  <si>
    <t>m.siege.ult.shield.07</t>
  </si>
  <si>
    <t>m.siege.ult.shield.buff.buffeffect.01</t>
  </si>
  <si>
    <t>m.siege.ult.shield.buff.buffeffect.02</t>
  </si>
  <si>
    <t>m.siege.ult.shield.buff.buffeffect.03</t>
  </si>
  <si>
    <t>m.siege.ult.shield.buff.buffeffect.04</t>
  </si>
  <si>
    <t>m.siege.ult.shield.buff.buffeffect.05</t>
  </si>
  <si>
    <t>m.siege.ult.shield.buff.buffeffect.06</t>
  </si>
  <si>
    <t>m.siege.ult.shield.buff.buffeffect.07</t>
  </si>
  <si>
    <t>m.siege.passive.buff.buffeffect.01</t>
  </si>
  <si>
    <t>m.siege.passive.buff.buffeffect.02</t>
  </si>
  <si>
    <t>m.siege.passive.buff.buffeffect.03</t>
  </si>
  <si>
    <t>m.siege.passive.buff.buffeffect.04</t>
  </si>
  <si>
    <t>m.siege.passive.buff.buffeffect.05</t>
  </si>
  <si>
    <t>m.siege.passive.buff.buffeffect.06</t>
  </si>
  <si>
    <t>m.siege.ult.pre.buff.01</t>
  </si>
  <si>
    <t>m.siege.ult.pre.buff.02</t>
  </si>
  <si>
    <t>m.siege.ult.pre.buff.03</t>
  </si>
  <si>
    <t>m.siege.ult.pre.buff.04</t>
  </si>
  <si>
    <t>m.siege.ult.pre.buff.05</t>
  </si>
  <si>
    <t>m.siege.ult.pre.buff.06</t>
  </si>
  <si>
    <t>m.siege.ult.pre.buff.07</t>
  </si>
  <si>
    <t>m.siege.ult.shield.buff.01</t>
  </si>
  <si>
    <t>m.siege.ult.shield.buff.02</t>
  </si>
  <si>
    <t>m.siege.ult.shield.buff.03</t>
  </si>
  <si>
    <t>m.siege.ult.shield.buff.04</t>
  </si>
  <si>
    <t>m.siege.ult.shield.buff.05</t>
  </si>
  <si>
    <t>m.siege.ult.shield.buff.06</t>
  </si>
  <si>
    <t>m.siege.ult.shield.buff.07</t>
  </si>
  <si>
    <t>m.siege.active2.atkdown.buff.01</t>
  </si>
  <si>
    <t>m.siege.active2.atkdown.buff.02</t>
  </si>
  <si>
    <t>m.siege.active2.atkdown.buff.03</t>
  </si>
  <si>
    <t>m.siege.active2.atkdown.buff.04</t>
  </si>
  <si>
    <t>m.siege.passive.buff.01</t>
  </si>
  <si>
    <t>m.siege.passive.buff.02</t>
  </si>
  <si>
    <t>m.siege.passive.buff.03</t>
  </si>
  <si>
    <t>m.siege.passive.buff.04</t>
  </si>
  <si>
    <t>m.siege.passive.buff.05</t>
  </si>
  <si>
    <t>m.siege.passive.buff.06</t>
  </si>
  <si>
    <t>info.serapulsar.buff.intergrity</t>
  </si>
  <si>
    <t>info.serapulsar.buff.overdrive</t>
  </si>
  <si>
    <t>#버프</t>
  </si>
  <si>
    <t>info.angelica.buff.burn</t>
  </si>
  <si>
    <t>info.yurizia.buff.8bitegloo</t>
  </si>
  <si>
    <t>info.yurizia.buff.energydrink</t>
  </si>
  <si>
    <t>info.shale.debuff.polymorph</t>
  </si>
  <si>
    <t>info.shale.buff.bookmark</t>
  </si>
  <si>
    <t>info.hellen.buff.therapy</t>
  </si>
  <si>
    <t>info.hellen.buff.perfume</t>
  </si>
  <si>
    <t>info.silence</t>
  </si>
  <si>
    <t>NormalDamageDerate.Down.03</t>
  </si>
  <si>
    <t>NormalDamageDerate.Down.04</t>
  </si>
  <si>
    <t>RechargeRate.Up.01</t>
  </si>
  <si>
    <t>Effect/Prefab/10_buff/EFF_buff_op_mp_recovery_up</t>
  </si>
  <si>
    <t>RechargeRate.Up.02</t>
  </si>
  <si>
    <t>m.leila.ult.push.buff.01</t>
  </si>
  <si>
    <t>m.leila.ult.slow.buff.01</t>
  </si>
  <si>
    <t>m.leila.ult.slow.buff.buffeffect</t>
  </si>
  <si>
    <t>m.leila.ult.push.buff.02</t>
  </si>
  <si>
    <t>m.leila.ult.B.defdown.buff.01</t>
  </si>
  <si>
    <t>m.leila.ult.B.defdown.buff.02</t>
  </si>
  <si>
    <t>m.leila.ult.B.defdown.buff.03</t>
  </si>
  <si>
    <t>m.leila.ult.B.defdown.buff.04</t>
  </si>
  <si>
    <t>m.leila.ult.B.defdown.buff.05</t>
  </si>
  <si>
    <t>m.leila.ult.B.silence.buff.01</t>
  </si>
  <si>
    <t>m.leila.ult.B.silence.buff.02</t>
  </si>
  <si>
    <t>m.leila.ult.B.silence.buff.03</t>
  </si>
  <si>
    <t>m.leila.active1.event.buff.01</t>
  </si>
  <si>
    <t>m.leila.active1.event.buff.02</t>
  </si>
  <si>
    <t>m.leila.active1.event.buff.03</t>
  </si>
  <si>
    <t>m.leila.active1.event.buff.04</t>
  </si>
  <si>
    <t>m.leila.active1.event.buff.05</t>
  </si>
  <si>
    <t>m.leila.active1.event.buff.06</t>
  </si>
  <si>
    <t>m.leila.active2.effect.buff.01</t>
  </si>
  <si>
    <t>m.leila.active2.effect.buff.02</t>
  </si>
  <si>
    <t>m.leila.active2.effect.buff.03</t>
  </si>
  <si>
    <t>m.leila.active2.effect.buff.04</t>
  </si>
  <si>
    <t>m.leila.active2.effect.buff.05</t>
  </si>
  <si>
    <t>m.leila.active2.effect.buff.06</t>
  </si>
  <si>
    <t>m.leila.passive.buff.01</t>
  </si>
  <si>
    <t>m.leila.passive.buff.buffeffect.01
m.leila.passive.bonus.buffeffect.01
m.leila.trigger</t>
  </si>
  <si>
    <t>m.leila.passive.buff.02</t>
  </si>
  <si>
    <t>m.leila.passive.buff.buffeffect.02
m.leila.passive.bonus.buffeffect.02
m.leila.trigger</t>
  </si>
  <si>
    <t>m.leila.passive.buff.03</t>
  </si>
  <si>
    <t>m.leila.passive.buff.buffeffect.03
m.leila.passive.bonus.buffeffect.03
m.leila.trigger</t>
  </si>
  <si>
    <t>m.leila.passive.buff.04</t>
  </si>
  <si>
    <t>m.leila.passive.buff.buffeffect.04
m.leila.passive.bonus.buffeffect.04
m.leila.trigger</t>
  </si>
  <si>
    <t>m.leila.passive.buff.05</t>
  </si>
  <si>
    <t>m.leila.passive.buff.buffeffect.05
m.leila.passive.bonus.buffeffect.05
m.leila.trigger</t>
  </si>
  <si>
    <t>m.leila.passive.buff.06</t>
  </si>
  <si>
    <t>m.leila.passive.buff.buffeffect.06
m.leila.passive.bonus.buffeffect.06
m.leila.trigger</t>
  </si>
  <si>
    <t>m.leila.passive.ex.buff.01.01</t>
  </si>
  <si>
    <t>m.leila.passive.ex.buffeffect.01.01
m.leila.passive.ex.buffeffect.02.01</t>
  </si>
  <si>
    <t>m.leila.passive.ex.buff.01.02</t>
  </si>
  <si>
    <t>m.leila.passive.ex.buffeffect.01.02
m.leila.passive.ex.buffeffect.02.02</t>
  </si>
  <si>
    <t>m.leila.passive.ex.buff.01.03</t>
  </si>
  <si>
    <t>m.leila.passive.ex.buffeffect.01.03
m.leila.passive.ex.buffeffect.02.03</t>
  </si>
  <si>
    <t>m.leila.passive.ex.buff.01.04</t>
  </si>
  <si>
    <t>m.leila.passive.ex.buffeffect.01.04
m.leila.passive.ex.buffeffect.02.04</t>
  </si>
  <si>
    <t>m.leila.passive.ex.buff.01.05</t>
  </si>
  <si>
    <t>m.leila.passive.ex.buffeffect.01.05
m.leila.passive.ex.buffeffect.02.05</t>
  </si>
  <si>
    <t>m.leila.passive.ex.buff.01.06</t>
  </si>
  <si>
    <t>m.leila.passive.ex.buffeffect.01.06
m.leila.passive.ex.buffeffect.02.06</t>
  </si>
  <si>
    <t>!angelica</t>
  </si>
  <si>
    <t>m.leila.active1.effect.slow.event.buff.buffeffect</t>
  </si>
  <si>
    <t>m.leila.passive.buff.buffeffect.01</t>
  </si>
  <si>
    <t>m.leila.passive.buff.buffeffect.skilleffect.01</t>
  </si>
  <si>
    <t>m.leila.passive.buff.buffeffect.02</t>
  </si>
  <si>
    <t>m.leila.passive.buff.buffeffect.skilleffect.02</t>
  </si>
  <si>
    <t>m.leila.passive.buff.buffeffect.03</t>
  </si>
  <si>
    <t>m.leila.passive.buff.buffeffect.skilleffect.03</t>
  </si>
  <si>
    <t>m.leila.passive.buff.buffeffect.04</t>
  </si>
  <si>
    <t>m.leila.passive.buff.buffeffect.skilleffect.04</t>
  </si>
  <si>
    <t>m.leila.passive.buff.buffeffect.05</t>
  </si>
  <si>
    <t>m.leila.passive.buff.buffeffect.skilleffect.05</t>
  </si>
  <si>
    <t>m.leila.passive.buff.buffeffect.06</t>
  </si>
  <si>
    <t>m.leila.passive.buff.buffeffect.skilleffect.06</t>
  </si>
  <si>
    <t>m.leila.passive.bonus.buffeffect.01</t>
  </si>
  <si>
    <t>m.leila.passive.buff.recharge.bonus.01</t>
  </si>
  <si>
    <t>m.leila.passive.bonus.buffeffect.02</t>
  </si>
  <si>
    <t>m.leila.passive.buff.recharge.bonus.02</t>
  </si>
  <si>
    <t>m.leila.passive.bonus.buffeffect.03</t>
  </si>
  <si>
    <t>m.leila.passive.buff.recharge.bonus.03</t>
  </si>
  <si>
    <t>m.leila.passive.bonus.buffeffect.04</t>
  </si>
  <si>
    <t>m.leila.passive.buff.recharge.bonus.04</t>
  </si>
  <si>
    <t>m.leila.passive.bonus.buffeffect.05</t>
  </si>
  <si>
    <t>m.leila.passive.buff.recharge.bonus.05</t>
  </si>
  <si>
    <t>m.leila.passive.bonus.buffeffect.06</t>
  </si>
  <si>
    <t>m.leila.passive.buff.recharge.bonus.06</t>
  </si>
  <si>
    <t>m.leila.passive.ex.buffeffect.01.01</t>
  </si>
  <si>
    <t>m.leila.passive.ex.buff.skilleffect.01.01</t>
  </si>
  <si>
    <t>m.leila.passive.ex.buffeffect.01.02</t>
  </si>
  <si>
    <t>m.leila.passive.ex.buff.skilleffect.01.02</t>
  </si>
  <si>
    <t>m.leila.passive.ex.buffeffect.01.03</t>
  </si>
  <si>
    <t>m.leila.passive.ex.buff.skilleffect.01.03</t>
  </si>
  <si>
    <t>m.leila.passive.ex.buffeffect.01.04</t>
  </si>
  <si>
    <t>m.leila.passive.ex.buff.skilleffect.01.04</t>
  </si>
  <si>
    <t>m.leila.passive.ex.buffeffect.01.05</t>
  </si>
  <si>
    <t>m.leila.passive.ex.buff.skilleffect.01.05</t>
  </si>
  <si>
    <t>m.leila.passive.ex.buffeffect.01.06</t>
  </si>
  <si>
    <t>m.leila.passive.ex.buff.skilleffect.01.06</t>
  </si>
  <si>
    <t>m.leila.passive.ex.buffeffect.02.01</t>
  </si>
  <si>
    <t>m.leila.passive.ex.buff.skilleffect.02.01</t>
  </si>
  <si>
    <t>m.leila.passive.ex.buffeffect.02.02</t>
  </si>
  <si>
    <t>m.leila.passive.ex.buff.skilleffect.02.02</t>
  </si>
  <si>
    <t>m.leila.passive.ex.buffeffect.02.03</t>
  </si>
  <si>
    <t>m.leila.passive.ex.buff.skilleffect.02.03</t>
  </si>
  <si>
    <t>m.leila.passive.ex.buffeffect.02.04</t>
  </si>
  <si>
    <t>m.leila.passive.ex.buff.skilleffect.02.04</t>
  </si>
  <si>
    <t>m.leila.passive.ex.buffeffect.02.05</t>
  </si>
  <si>
    <t>m.leila.passive.ex.buff.skilleffect.02.05</t>
  </si>
  <si>
    <t>m.leila.passive.ex.buffeffect.02.06</t>
  </si>
  <si>
    <t>m.leila.passive.ex.buff.skilleffect.02.06</t>
  </si>
  <si>
    <t>m.leila.trigger</t>
  </si>
  <si>
    <t>m.leila.trigger.skilleffect</t>
  </si>
  <si>
    <t>m.leila.ult.slow.buff.buffeffect</t>
    <phoneticPr fontId="2" type="noConversion"/>
  </si>
  <si>
    <t>AtkSpeed.Up.01</t>
    <phoneticPr fontId="2" type="noConversion"/>
  </si>
  <si>
    <t>AtkSpeed.Up.02</t>
    <phoneticPr fontId="2" type="noConversion"/>
  </si>
  <si>
    <t>AtkSpeed.Up.03</t>
    <phoneticPr fontId="2" type="noConversion"/>
  </si>
  <si>
    <t>AtkSpeed.Up.04</t>
    <phoneticPr fontId="2" type="noConversion"/>
  </si>
  <si>
    <t>AtkSpeed.Up.01</t>
    <phoneticPr fontId="2" type="noConversion"/>
  </si>
  <si>
    <t>m.angelica.passive.ex.buff.01.01&amp;4</t>
    <phoneticPr fontId="2" type="noConversion"/>
  </si>
  <si>
    <t>m.angelica.passive.ex.buff.01.02&amp;4</t>
    <phoneticPr fontId="2" type="noConversion"/>
  </si>
  <si>
    <t>m.angelica.passive.ex.buff.01.03&amp;4</t>
    <phoneticPr fontId="2" type="noConversion"/>
  </si>
  <si>
    <t>m.angelica.passive.ex.buff.01.04&amp;4</t>
    <phoneticPr fontId="2" type="noConversion"/>
  </si>
  <si>
    <t>m.angelica.passive.ex.buff.01.05&amp;4</t>
    <phoneticPr fontId="2" type="noConversion"/>
  </si>
  <si>
    <t>m.angelica.passive.ex.buff.01.06&amp;4</t>
    <phoneticPr fontId="2" type="noConversion"/>
  </si>
  <si>
    <t>RechargeRate.Up.03</t>
  </si>
  <si>
    <t>RechargeRate.Up.03</t>
    <phoneticPr fontId="2" type="noConversion"/>
  </si>
  <si>
    <t>m.shale.passive.ex.buff.buffeffect.01</t>
    <phoneticPr fontId="2" type="noConversion"/>
  </si>
  <si>
    <t>EventStory.oldguardian_1.passive01.buff</t>
    <phoneticPr fontId="2" type="noConversion"/>
  </si>
  <si>
    <t>EventStory.oldguardian_1.passive01.buff.buffeffect.01
EventStory.oldguardian_1.passive01.buff.buffeffect.02</t>
    <phoneticPr fontId="2" type="noConversion"/>
  </si>
  <si>
    <t>EventStory.oldguardian_1.passive01.buff.buffeffect.01</t>
    <phoneticPr fontId="2" type="noConversion"/>
  </si>
  <si>
    <t>EventStory.oldguardian_1.passive01.buff.buffeffect.02</t>
    <phoneticPr fontId="2" type="noConversion"/>
  </si>
  <si>
    <t>1111401001.Passive.04.buff</t>
    <phoneticPr fontId="2" type="noConversion"/>
  </si>
  <si>
    <t>1111401001.Passive.03.dmgderate.down.buff</t>
    <phoneticPr fontId="2" type="noConversion"/>
  </si>
  <si>
    <t>1111401001.Passive.04.buff.buffeffect01</t>
  </si>
  <si>
    <t>1111401001.Passive.04.buff.buffeffect02</t>
  </si>
  <si>
    <t>1111401001.Passive.04.buff.buffeffect03</t>
  </si>
  <si>
    <t>1111401001.Passive.04.buff.buffeffect04</t>
  </si>
  <si>
    <t>1111401001.Passive.04.reduce.dmg.up.buff.buffeffect</t>
  </si>
  <si>
    <t>1111401001.Passive.04.buff.buffeffect01
1111401001.Passive.04.buff.buffeffect02
1111401001.Passive.04.buff.buffeffect03
1111401001.Passive.04.buff.buffeffect04</t>
  </si>
  <si>
    <t>1111401001.Passive.04.dmgderate.up.buff</t>
  </si>
  <si>
    <t>1111401001.Passive.04.buff.buffeffect05</t>
    <phoneticPr fontId="2" type="noConversion"/>
  </si>
  <si>
    <t>Frost</t>
  </si>
  <si>
    <t>1111401001.Passive.03.buff.buffeffect05</t>
  </si>
  <si>
    <t>1111401001.Passive.03.buff.buffeffect06</t>
  </si>
  <si>
    <t>!1111401001.Passive.03.dmgderate.down.buff</t>
    <phoneticPr fontId="2" type="noConversion"/>
  </si>
  <si>
    <t>CriticalDerate</t>
  </si>
  <si>
    <t>aggro</t>
  </si>
  <si>
    <t>Buff.Name.Aggro</t>
  </si>
  <si>
    <t>Buff.Desc.Aggro</t>
  </si>
  <si>
    <t>1111401001.skill02.01.burn.buff.buffeffect.01
1111401001.skill02.01.burn.buff.buffeffect.02</t>
    <phoneticPr fontId="2" type="noConversion"/>
  </si>
  <si>
    <t>1111401001.skill02.01.burn.buff.buffeffect.01</t>
    <phoneticPr fontId="2" type="noConversion"/>
  </si>
  <si>
    <t>1111401001.skill02.01.burn.buff.buffeffect.02</t>
    <phoneticPr fontId="2" type="noConversion"/>
  </si>
  <si>
    <t>Effect/Prefab/01.Character/39_archphase/EEF_archphase_ex_passive_mark</t>
  </si>
  <si>
    <t>Effect/Prefab/01.Character/39_archphase/EEF_archphase_ex_passive_laser</t>
  </si>
  <si>
    <t>m.archphase.ult.pre.buff.buffeffect.01.01</t>
  </si>
  <si>
    <t>m.archphase.stack&amp;10</t>
  </si>
  <si>
    <t>m.archphase.ult.skilleffect.modifier.01</t>
  </si>
  <si>
    <t>m.archphase.ult.pre.buff.buffeffect.01.02</t>
  </si>
  <si>
    <t>m.archphase.ult.skilleffect.modifier.02</t>
  </si>
  <si>
    <t>m.archphase.ult.pre.buff.buffeffect.01.03</t>
  </si>
  <si>
    <t>m.archphase.ult.skilleffect.modifier.03</t>
  </si>
  <si>
    <t>m.archphase.ult.pre.buff.buffeffect.01.04</t>
  </si>
  <si>
    <t>m.archphase.ult.skilleffect.modifier.04</t>
  </si>
  <si>
    <t>m.archphase.ult.pre.buff.buffeffect.01.05</t>
  </si>
  <si>
    <t>m.archphase.ult.skilleffect.modifier.05</t>
  </si>
  <si>
    <t>m.archphase.ult.pre.buff.buffeffect.01.06</t>
  </si>
  <si>
    <t>m.archphase.ult.skilleffect.modifier.06</t>
  </si>
  <si>
    <t>m.archphase.ult.pre.buff.buffeffect.01.07</t>
  </si>
  <si>
    <t>m.archphase.ult.skilleffect.modifier.07</t>
  </si>
  <si>
    <t>m.archphase.ult.B.ex.effect</t>
  </si>
  <si>
    <t>m.archphase.ex.effect</t>
  </si>
  <si>
    <t>m.archphase.ult.B.stack.buff.buffeffect</t>
  </si>
  <si>
    <t>m.archphase.active1.stack.bonus.01</t>
  </si>
  <si>
    <t>m.archphase.ult.B.buff.buffeffect</t>
  </si>
  <si>
    <t>m.archphase.ult.B.buff.buffeffect.skilleffect</t>
  </si>
  <si>
    <t>m.archphase.stack.ult.buffeffect</t>
  </si>
  <si>
    <t>m.archphase.ult.pre.buff.02</t>
  </si>
  <si>
    <t>m.archphase.stack.active2.buffeffect</t>
  </si>
  <si>
    <t>m.archphase.active2.pre.buff</t>
  </si>
  <si>
    <t>m.archphase.passive.buff.buffeffect.01</t>
  </si>
  <si>
    <t>m.archphase.passive.buff.01</t>
  </si>
  <si>
    <t>m.archphase.passive.buff.buffeffect.02</t>
  </si>
  <si>
    <t>m.archphase.passive.buff.02</t>
  </si>
  <si>
    <t>m.archphase.passive.buff.buffeffect.03</t>
  </si>
  <si>
    <t>m.archphase.passive.buff.03</t>
  </si>
  <si>
    <t>m.archphase.passive.buff.buffeffect.04</t>
  </si>
  <si>
    <t>m.archphase.passive.buff.04</t>
  </si>
  <si>
    <t>m.archphase.passive.buff.buffeffect.05</t>
  </si>
  <si>
    <t>m.archphase.passive.buff.05</t>
  </si>
  <si>
    <t>m.archphase.passive.buff.buffeffect.06</t>
  </si>
  <si>
    <t>m.archphase.passive.buff.06</t>
  </si>
  <si>
    <t>m.archphase.passive.ex.buff.trigger</t>
  </si>
  <si>
    <t>m.archphase.passive.ex.buff.01</t>
  </si>
  <si>
    <t>m.archphase.passive.ex.buff.02</t>
  </si>
  <si>
    <t>m.archphase.passive.ex.buff.03</t>
  </si>
  <si>
    <t>m.archphase.passive.ex.buff.04</t>
  </si>
  <si>
    <t>m.archphase.passive.ex.buff.05</t>
  </si>
  <si>
    <t>m.archphase.passive.ex.buff.06</t>
  </si>
  <si>
    <t>m.archphase.ult.pre.buff.01.01</t>
  </si>
  <si>
    <t>m.archphase.ult.pre.buff.01.02</t>
  </si>
  <si>
    <t>m.archphase.ult.pre.buff.01.03</t>
  </si>
  <si>
    <t>m.archphase.ult.pre.buff.01.04</t>
  </si>
  <si>
    <t>m.archphase.ult.pre.buff.01.05</t>
  </si>
  <si>
    <t>m.archphase.ult.pre.buff.01.06</t>
  </si>
  <si>
    <t>m.archphase.ult.pre.buff.01.07</t>
  </si>
  <si>
    <t>m.archphase.ult.B.stack.buff.01</t>
  </si>
  <si>
    <t>m.archphase.ult.B.stack.buff.buffeffect
m.archphase.ult.B.ex.effect
m.archphase.ult.B.buff.buffeffect</t>
  </si>
  <si>
    <t>m.archphase.ult.B.stack.buff.02</t>
  </si>
  <si>
    <t>m.archphase.ult.B.stack.buff.03</t>
  </si>
  <si>
    <t>m.archphase.ult.B.stack.buff.04</t>
  </si>
  <si>
    <t>m.archphase.ult.B.stack.buff.05</t>
  </si>
  <si>
    <t>m.archphase.ult.B.stack.buff.06</t>
  </si>
  <si>
    <t>m.archphase.ult.B.stack.buff.07</t>
  </si>
  <si>
    <t>m.archphase.stack</t>
  </si>
  <si>
    <t>m.archphase.stack.ult.buffeffect
m.archphase.stack.active2.buffeffect
m.archphase.passive.buff.buffeffect.01
m.archphase.passive.buff.buffeffect.02
m.archphase.passive.buff.buffeffect.03
m.archphase.passive.buff.buffeffect.04
m.archphase.passive.buff.buffeffect.05
m.archphase.passive.buff.buffeffect.06</t>
  </si>
  <si>
    <t>m.archphase.ex.effect.buff.01</t>
  </si>
  <si>
    <t>m.archphase.ex.effect.buff.02</t>
  </si>
  <si>
    <t>info.archphase.buff.starcore</t>
    <phoneticPr fontId="2" type="noConversion"/>
  </si>
  <si>
    <t>info.archphase.buff.phase</t>
  </si>
  <si>
    <t>info.archphase.buff.phase</t>
    <phoneticPr fontId="2" type="noConversion"/>
  </si>
  <si>
    <t>icon_battle_archphase_phase</t>
  </si>
  <si>
    <t>Desc.info.m.archphase.buff.phase</t>
  </si>
  <si>
    <t>Buff.Name.RangeDamageDerateUp</t>
  </si>
  <si>
    <t>Buff.Desc.RangeDamageDerateUp</t>
  </si>
  <si>
    <t>EventStory.sibiurobot_1.passive01.buff</t>
    <phoneticPr fontId="2" type="noConversion"/>
  </si>
  <si>
    <t>EventStory.sibiurobot_1.skill01.pre.buff</t>
  </si>
  <si>
    <t>EventStory.sibiurobot_1.skill01.pre.buff.buffeffect</t>
  </si>
  <si>
    <t>EventStory.sibiurobot_1.passive01.buff.buffeffect.01</t>
    <phoneticPr fontId="2" type="noConversion"/>
  </si>
  <si>
    <t>EventStory.sibiurobot_1.passive01.buff.buffeffect.02</t>
    <phoneticPr fontId="2" type="noConversion"/>
  </si>
  <si>
    <t>!Groggy</t>
    <phoneticPr fontId="2" type="noConversion"/>
  </si>
  <si>
    <t>DamageDerate</t>
    <phoneticPr fontId="2" type="noConversion"/>
  </si>
  <si>
    <t>EventStory.sibiurobot_1.skill01.pre.buff.buffeffect.skilleffect.01</t>
  </si>
  <si>
    <t>EventStory.sibiurobot_1.passive01.buff.buffeffect.01
EventStory.sibiurobot_1.passive01.buff.buffeffect.02</t>
    <phoneticPr fontId="2" type="noConversion"/>
  </si>
  <si>
    <t>AccelerationSkillTime.Up</t>
  </si>
  <si>
    <t>CriticalDamage.Up.01</t>
  </si>
  <si>
    <t>Effect/Prefab/10_buff/EFF_buff_op_critical_rate_up</t>
  </si>
  <si>
    <t>CriticalDamage.Up.02</t>
  </si>
  <si>
    <t>CriticalDamage.Up.05</t>
  </si>
  <si>
    <t>AtkSpeed.Down.03</t>
  </si>
  <si>
    <t>AtkSpeed.Down.04</t>
  </si>
  <si>
    <t>AtkSpeed.Down.05</t>
  </si>
  <si>
    <t>pushed</t>
  </si>
  <si>
    <t>Critical.Up.03</t>
  </si>
  <si>
    <t>Critical.Up.04</t>
  </si>
  <si>
    <t>Critical.Up.05</t>
  </si>
  <si>
    <t>Electric.01</t>
  </si>
  <si>
    <t>Info.Electric</t>
  </si>
  <si>
    <t>Electric.02</t>
  </si>
  <si>
    <t>GuardRate.Down.01</t>
  </si>
  <si>
    <t>GuardRate.Down.02</t>
  </si>
  <si>
    <t>Effect/Prefab/10_buff/EFF_debuff_atk_down</t>
  </si>
  <si>
    <t>provoke</t>
  </si>
  <si>
    <t>info.taunt</t>
  </si>
  <si>
    <t>AccelerationSkillTime</t>
  </si>
  <si>
    <t>OnCritical</t>
  </si>
  <si>
    <t>ReceiveHealRate.Down.01</t>
  </si>
  <si>
    <t>Effect/Prefab/10_buff/EFF_debuff_healdown</t>
  </si>
  <si>
    <t>ReceiveHealRate.Down.02</t>
  </si>
  <si>
    <t>wound</t>
  </si>
  <si>
    <t>Reduce.DotDamage.Down.01</t>
  </si>
  <si>
    <t>Reduce.DotDamage.Down.02</t>
  </si>
  <si>
    <t>Bleed.01</t>
  </si>
  <si>
    <t>Info.Bleed</t>
  </si>
  <si>
    <t>Bleed.02</t>
  </si>
  <si>
    <t>Bleed.04</t>
  </si>
  <si>
    <t>Accuracy.Down.01</t>
  </si>
  <si>
    <t>Bleed.03</t>
  </si>
  <si>
    <t>StatusTargetBuffEffect</t>
  </si>
  <si>
    <t>m.balencia.ult.accelarate.buff.01</t>
  </si>
  <si>
    <t>m.balencia.ult.buff.buffeffect.01</t>
  </si>
  <si>
    <t>m.balencia.ult.accelarate.buff.02</t>
  </si>
  <si>
    <t>m.balencia.ult.buff.buffeffect.02</t>
  </si>
  <si>
    <t>m.balencia.ult.accelarate.buff.03</t>
  </si>
  <si>
    <t>m.balencia.ult.buff.buffeffect.03</t>
  </si>
  <si>
    <t>m.balencia.ult.accelarate.buff.04</t>
  </si>
  <si>
    <t>m.balencia.ult.buff.buffeffect.04</t>
  </si>
  <si>
    <t>m.balencia.ult.accelarate.buff.05</t>
  </si>
  <si>
    <t>m.balencia.ult.buff.buffeffect.05</t>
  </si>
  <si>
    <t>m.balencia.ult.accelarate.buff.06</t>
  </si>
  <si>
    <t>m.balencia.ult.buff.buffeffect.06</t>
  </si>
  <si>
    <t>m.balencia.ult.accelarate.buff.07</t>
  </si>
  <si>
    <t>m.balencia.ult.buff.buffeffect.07</t>
  </si>
  <si>
    <t>m.balencia.ult.B.end.buff.01</t>
  </si>
  <si>
    <t>m.balencia.ult.attack.buffeffect.01</t>
  </si>
  <si>
    <t>m.balencia.ult.B.end.buff.02</t>
  </si>
  <si>
    <t>m.balencia.ult.attack.buffeffect.02</t>
  </si>
  <si>
    <t>m.balencia.ult.B.end.buff.03</t>
  </si>
  <si>
    <t>m.balencia.ult.attack.buffeffect.03</t>
  </si>
  <si>
    <t>m.balencia.ult.B.end.buff.04</t>
  </si>
  <si>
    <t>m.balencia.ult.attack.buffeffect.04</t>
  </si>
  <si>
    <t>m.balencia.ult.B.end.buff.05</t>
  </si>
  <si>
    <t>m.balencia.ult.attack.buffeffect.05</t>
  </si>
  <si>
    <t>m.balencia.ult.B.end.buff.06</t>
  </si>
  <si>
    <t>m.balencia.ult.attack.buffeffect.06</t>
  </si>
  <si>
    <t>m.balencia.ult.B.end.buff.07</t>
  </si>
  <si>
    <t>m.balencia.ult.attack.buffeffect.07</t>
  </si>
  <si>
    <t>m.balencia.fist</t>
  </si>
  <si>
    <t>m.balencia.ult.changeskill</t>
  </si>
  <si>
    <t>info.m.balencia.buff.ironfist</t>
  </si>
  <si>
    <t>m.balencia.fist.stun</t>
  </si>
  <si>
    <t>m.balencia.ult.attack.pre.buff</t>
  </si>
  <si>
    <t>m.balencia.ult.attack.pre.buff.buffeffect</t>
  </si>
  <si>
    <t>m.balencia.active1.cridmgup.buff.01</t>
  </si>
  <si>
    <t>m.balencia.active1.cridmgup.buff.02</t>
  </si>
  <si>
    <t>m.balencia.active1.cridmgup.buff.03</t>
  </si>
  <si>
    <t>m.balencia.active1.cridmgup.buff.04</t>
  </si>
  <si>
    <t>m.balencia.active1.cridmgup.buff.05</t>
  </si>
  <si>
    <t>m.balencia.active1.cridmgup.buff.06</t>
  </si>
  <si>
    <t>m.balencia.active2.shield.buff.01</t>
  </si>
  <si>
    <t>m.balencia.active2.shield.buff.buffeffect.01</t>
  </si>
  <si>
    <t>m.balencia.active2.shield.buff.02</t>
  </si>
  <si>
    <t>m.balencia.active2.shield.buff.buffeffect.02</t>
  </si>
  <si>
    <t>m.balencia.active2.shield.buff.03</t>
  </si>
  <si>
    <t>m.balencia.active2.shield.buff.buffeffect.03</t>
  </si>
  <si>
    <t>m.balencia.active2.shield.buff.04</t>
  </si>
  <si>
    <t>m.balencia.active2.shield.buff.buffeffect.04</t>
  </si>
  <si>
    <t>m.balencia.active2.shield.buff.05</t>
  </si>
  <si>
    <t>m.balencia.active2.shield.buff.buffeffect.05</t>
  </si>
  <si>
    <t>m.balencia.active2.shield.buff.06</t>
  </si>
  <si>
    <t>m.balencia.active2.shield.buff.buffeffect.06</t>
  </si>
  <si>
    <t>m.balencia.passive.buff.01</t>
  </si>
  <si>
    <t>m.balencia.passive.buff.buffeffect.01</t>
  </si>
  <si>
    <t>m.balencia.passive.buff.02</t>
  </si>
  <si>
    <t>m.balencia.passive.buff.buffeffect.02</t>
  </si>
  <si>
    <t>m.balencia.passive.buff.03</t>
  </si>
  <si>
    <t>m.balencia.passive.buff.buffeffect.03</t>
  </si>
  <si>
    <t>m.balencia.passive.buff.04</t>
  </si>
  <si>
    <t>m.balencia.passive.buff.buffeffect.04</t>
  </si>
  <si>
    <t>m.balencia.passive.buff.05</t>
  </si>
  <si>
    <t>m.balencia.passive.buff.buffeffect.05</t>
  </si>
  <si>
    <t>m.balencia.passive.ex.buff.01</t>
  </si>
  <si>
    <t>m.balencia.passive.ex.buffeffect.01</t>
  </si>
  <si>
    <t>m.balencia.passive.ex.buff.02</t>
  </si>
  <si>
    <t>m.balencia.passive.ex.buffeffect.02</t>
  </si>
  <si>
    <t>m.balencia.passive.ex.buff.03</t>
  </si>
  <si>
    <t>m.balencia.passive.ex.buffeffect.03</t>
  </si>
  <si>
    <t>m.balencia.passive.ex.buff.04</t>
  </si>
  <si>
    <t>m.balencia.passive.ex.buffeffect.04</t>
  </si>
  <si>
    <t>m.balencia.passive.ex.buff.05</t>
  </si>
  <si>
    <t>m.balencia.passive.ex.buffeffect.05</t>
  </si>
  <si>
    <t>m.balencia.passive.ex.buff.06</t>
  </si>
  <si>
    <t>m.balencia.passive.ex.buffeffect.06</t>
  </si>
  <si>
    <t>m.balencia.passive.ex.buff.skill.buff.01</t>
  </si>
  <si>
    <t>m.balencia.passive.ex.buff.skill.buffeffect.01.01
m.balencia.passive.ex.buff.skill.buffeffect.02.01</t>
  </si>
  <si>
    <t>m.balencia.passive.ex.buff.skill.buff.02</t>
  </si>
  <si>
    <t>m.balencia.passive.ex.buff.skill.buffeffect.01.02
m.balencia.passive.ex.buff.skill.buffeffect.02.02</t>
  </si>
  <si>
    <t>m.balencia.passive.ex.buff.skill.buff.03</t>
  </si>
  <si>
    <t>m.balencia.passive.ex.buff.skill.buffeffect.01.03
m.balencia.passive.ex.buff.skill.buffeffect.02.03</t>
  </si>
  <si>
    <t>m.balencia.passive.ex.buff.skill.buff.04</t>
  </si>
  <si>
    <t>m.balencia.passive.ex.buff.skill.buffeffect.01.04
m.balencia.passive.ex.buff.skill.buffeffect.02.04</t>
  </si>
  <si>
    <t>m.balencia.passive.ex.buff.skill.buff.05</t>
  </si>
  <si>
    <t>m.balencia.passive.ex.buff.skill.buffeffect.01.05
m.balencia.passive.ex.buff.skill.buffeffect.02.05</t>
  </si>
  <si>
    <t>m.balencia.passive.ex.buff.skill.buff.06</t>
  </si>
  <si>
    <t>m.balencia.passive.ex.buff.skill.buffeffect.01.06
m.balencia.passive.ex.buff.skill.buffeffect.02.06</t>
  </si>
  <si>
    <t>m.balencia.ult.attack.skillmodifier.01</t>
  </si>
  <si>
    <t>m.balencia.ult.attack.skillmodifier.02</t>
  </si>
  <si>
    <t>m.balencia.ult.attack.skillmodifier.03</t>
  </si>
  <si>
    <t>m.balencia.ult.attack.skillmodifier.04</t>
  </si>
  <si>
    <t>m.balencia.ult.attack.skillmodifier.05</t>
  </si>
  <si>
    <t>m.balencia.ult.attack.skillmodifier.06</t>
  </si>
  <si>
    <t>m.balencia.ult.attack.skillmodifier.07</t>
  </si>
  <si>
    <t>m.balencia.ult.B.fist.end</t>
  </si>
  <si>
    <t>m.balencia.passive.buff.buffeffect.skilleffect.01</t>
  </si>
  <si>
    <t>m.balencia.passive.buff.buffeffect.skilleffect.02</t>
  </si>
  <si>
    <t>m.balencia.passive.buff.buffeffect.skilleffect.03</t>
  </si>
  <si>
    <t>m.balencia.passive.buff.buffeffect.skilleffect.04</t>
  </si>
  <si>
    <t>m.balencia.passive.buff.buffeffect.skilleffect.05</t>
  </si>
  <si>
    <t>m.balencia.passive.ex.buff.skilleffect.01</t>
  </si>
  <si>
    <t>m.balencia.passive.ex.buff.skilleffect.02</t>
  </si>
  <si>
    <t>m.balencia.passive.ex.buff.skilleffect.03</t>
  </si>
  <si>
    <t>m.balencia.passive.ex.buff.skilleffect.04</t>
  </si>
  <si>
    <t>m.balencia.passive.ex.buff.skilleffect.05</t>
  </si>
  <si>
    <t>m.balencia.passive.ex.buff.skilleffect.06</t>
  </si>
  <si>
    <t>m.balencia.passive.ex.buff.skill.buffeffect.01.01</t>
  </si>
  <si>
    <t>m.balencia.passive.ex.buff.skill.buffeffect.01.02</t>
  </si>
  <si>
    <t>m.balencia.passive.ex.buff.skill.buffeffect.01.03</t>
  </si>
  <si>
    <t>m.balencia.passive.ex.buff.skill.buffeffect.01.04</t>
  </si>
  <si>
    <t>m.balencia.passive.ex.buff.skill.buffeffect.01.05</t>
  </si>
  <si>
    <t>m.balencia.passive.ex.buff.skill.buffeffect.01.06</t>
  </si>
  <si>
    <t>m.balencia.passive.ex.buff.skill.buffeffect.02.01</t>
  </si>
  <si>
    <t>m.balencia.passive.ex.buff.skill.buffeffect.02.02</t>
  </si>
  <si>
    <t>m.balencia.passive.ex.buff.skill.buffeffect.02.03</t>
  </si>
  <si>
    <t>m.balencia.passive.ex.buff.skill.buffeffect.02.04</t>
  </si>
  <si>
    <t>m.balencia.passive.ex.buff.skill.buffeffect.02.05</t>
  </si>
  <si>
    <t>m.balencia.passive.ex.buff.skill.buffeffect.02.06</t>
  </si>
  <si>
    <t>m.gray.passive.buff.buffeffect.01</t>
  </si>
  <si>
    <t>m.gray.passive.critical.event.buff.01</t>
  </si>
  <si>
    <t>m.gray.passive.buff.buffeffect.02</t>
  </si>
  <si>
    <t>m.gray.passive.critical.event.buff.02</t>
  </si>
  <si>
    <t>m.gray.passive.buff.buffeffect.03</t>
  </si>
  <si>
    <t>m.gray.passive.critical.event.buff.03</t>
  </si>
  <si>
    <t>m.gray.passive.buff.buffeffect.04</t>
  </si>
  <si>
    <t>m.gray.passive.critical.event.buff.04</t>
  </si>
  <si>
    <t>m.gray.passive.buff.buffeffect.05</t>
  </si>
  <si>
    <t>m.gray.passive.critical.event.buff.05</t>
  </si>
  <si>
    <t>m.gray.passive.critical.event.buff.buffeffect.01</t>
  </si>
  <si>
    <t>m.gray.passive.critical.event.skilleffect.01</t>
  </si>
  <si>
    <t>m.gray.passive.critical.event.buff.buffeffect.02</t>
  </si>
  <si>
    <t>m.gray.passive.critical.event.skilleffect.02</t>
  </si>
  <si>
    <t>m.gray.passive.critical.event.buff.buffeffect.03</t>
  </si>
  <si>
    <t>m.gray.passive.critical.event.skilleffect.03</t>
  </si>
  <si>
    <t>m.gray.passive.critical.event.buff.buffeffect.04</t>
  </si>
  <si>
    <t>m.gray.passive.critical.event.skilleffect.04</t>
  </si>
  <si>
    <t>m.gray.passive.critical.event.buff.buffeffect.05</t>
  </si>
  <si>
    <t>m.gray.passive.critical.event.skilleffect.05</t>
  </si>
  <si>
    <t>m.gray.passive.critical.event.ep.buff.buffeffect.01</t>
  </si>
  <si>
    <t>m.gray.passive.critical.event.ep.buff.01&amp;10</t>
  </si>
  <si>
    <t>m.gray.passive.critical.event.ep.skilleffect.01</t>
  </si>
  <si>
    <t>m.gray.passive.critical.event.ep.buff.buffeffect.02</t>
  </si>
  <si>
    <t>m.gray.passive.critical.event.ep.skilleffect.02</t>
  </si>
  <si>
    <t>m.gray.passive.critical.event.ep.buff.buffeffect.03</t>
  </si>
  <si>
    <t>m.gray.passive.critical.event.ep.skilleffect.03</t>
  </si>
  <si>
    <t>m.gray.passive.critical.event.ep.buff.buffeffect.04</t>
  </si>
  <si>
    <t>m.gray.passive.critical.event.ep.skilleffect.04</t>
  </si>
  <si>
    <t>m.gray.passive.critical.event.ep.buff.buffeffect.05</t>
  </si>
  <si>
    <t>m.gray.passive.critical.event.ep.skilleffect.05</t>
  </si>
  <si>
    <t>m.gray.passive.ex.buff.buffeffect.01</t>
  </si>
  <si>
    <t>m.gray.passive.ex.buff.buffeffect.skilleffect.01</t>
  </si>
  <si>
    <t>m.gray.passive.ex.buff.buffeffect.02</t>
  </si>
  <si>
    <t>m.gray.passive.ex.buff.buffeffect.skilleffect.02</t>
  </si>
  <si>
    <t>m.gray.passive.ex.buff.buffeffect.03</t>
  </si>
  <si>
    <t>m.gray.passive.ex.buff.buffeffect.skilleffect.03</t>
  </si>
  <si>
    <t>m.gray.passive.ex.buff.buffeffect.04</t>
  </si>
  <si>
    <t>m.gray.passive.ex.buff.buffeffect.skilleffect.04</t>
  </si>
  <si>
    <t>m.gray.passive.ex.buff.buffeffect.05</t>
  </si>
  <si>
    <t>m.gray.passive.ex.buff.buffeffect.skilleffect.05</t>
  </si>
  <si>
    <t>m.gray.passive.ex.trigger</t>
  </si>
  <si>
    <t>m.gray.ult.evasiondown.buff.01</t>
  </si>
  <si>
    <t>m.gray.ult.evasiondown.buff.02</t>
  </si>
  <si>
    <t>m.gray.ult.evasiondown.buff.03</t>
  </si>
  <si>
    <t>m.gray.ult.evasiondown.buff.04</t>
  </si>
  <si>
    <t>m.gray.ult.evasiondown.buff.05</t>
  </si>
  <si>
    <t>m.gray.ult.evasiondown.buff.06</t>
  </si>
  <si>
    <t>m.gray.ult.evasiondown.buff.07</t>
  </si>
  <si>
    <t>m.gray.ult.B.acceldown.buff.01</t>
  </si>
  <si>
    <t>m.gray.ult.B.acceldown.buff.02</t>
  </si>
  <si>
    <t>m.gray.ult.B.acceldown.buff.03</t>
  </si>
  <si>
    <t>m.gray.ult.B.acceldown.buff.04</t>
  </si>
  <si>
    <t>m.gray.ult.B.acceldown.buff.05</t>
  </si>
  <si>
    <t>m.gray.ult.B.acceldown.buff.06</t>
  </si>
  <si>
    <t>m.gray.ult.B.acceldown.buff.07</t>
  </si>
  <si>
    <t>m.gray.pushed.100.buff</t>
  </si>
  <si>
    <t>m.gray.active2.crirateup.buff.01</t>
  </si>
  <si>
    <t>m.gray.active2.crirateup.buff.02</t>
  </si>
  <si>
    <t>m.gray.active2.crirateup.buff.03</t>
  </si>
  <si>
    <t>m.gray.active2.crirateup.buff.04</t>
  </si>
  <si>
    <t>m.gray.active2.crirateup.buff.05</t>
  </si>
  <si>
    <t>m.gray.active2.crirateup.buff.06</t>
  </si>
  <si>
    <t>m.gray.passive.buff.01</t>
  </si>
  <si>
    <t>m.gray.passive.buff.02</t>
  </si>
  <si>
    <t>m.gray.passive.buff.03</t>
  </si>
  <si>
    <t>m.gray.passive.buff.04</t>
  </si>
  <si>
    <t>m.gray.passive.buff.05</t>
  </si>
  <si>
    <t>m.gray.passive.critical.event.ep.buff.01</t>
  </si>
  <si>
    <t>m.gray.passive.critical.event.ep.buff.02</t>
  </si>
  <si>
    <t>m.gray.passive.critical.event.ep.buff.03</t>
  </si>
  <si>
    <t>m.gray.passive.critical.event.ep.buff.04</t>
  </si>
  <si>
    <t>m.gray.passive.critical.event.ep.buff.05</t>
  </si>
  <si>
    <t>m.gray.passive.ex.buff.01</t>
  </si>
  <si>
    <t>m.gray.passive.ex.trigger
m.gray.passive.ex.buff.buffeffect.01</t>
  </si>
  <si>
    <t>m.gray.passive.ex.buff.02</t>
  </si>
  <si>
    <t>m.gray.passive.ex.trigger
m.gray.passive.ex.buff.buffeffect.02</t>
  </si>
  <si>
    <t>m.gray.passive.ex.buff.03</t>
  </si>
  <si>
    <t>m.gray.passive.ex.trigger
m.gray.passive.ex.buff.buffeffect.03</t>
  </si>
  <si>
    <t>m.gray.passive.ex.buff.04</t>
  </si>
  <si>
    <t>m.gray.passive.ex.trigger
m.gray.passive.ex.buff.buffeffect.04</t>
  </si>
  <si>
    <t>m.gray.passive.ex.buff.05</t>
  </si>
  <si>
    <t>m.gray.passive.ex.trigger
m.gray.passive.ex.buff.buffeffect.05</t>
  </si>
  <si>
    <t>m.gray.passive.ex.event.buff.01</t>
  </si>
  <si>
    <t>m.gray.passive.ex.event.buff.02</t>
  </si>
  <si>
    <t>m.gray.passive.ex.event.buff.03</t>
  </si>
  <si>
    <t>m.gray.passive.ex.event.buff.04</t>
  </si>
  <si>
    <t>m.gray.passive.ex.event.buff.05</t>
  </si>
  <si>
    <t>m.crimson.ult.receivehealdown.buff.01</t>
  </si>
  <si>
    <t>m.crimson.ult.receivehealdown.buff.02</t>
  </si>
  <si>
    <t>m.crimson.ult.receivehealdown.buff.03</t>
  </si>
  <si>
    <t>m.crimson.ult.receivehealdown.buff.04</t>
  </si>
  <si>
    <t>m.crimson.ult.receivehealdown.buff.05</t>
  </si>
  <si>
    <t>m.crimson.ult.receivehealdown.buff.06</t>
  </si>
  <si>
    <t>m.crimson.ult.receivehealdown.buff.07</t>
  </si>
  <si>
    <t>m.crimson.ult.B.dotdmg.buff.01</t>
  </si>
  <si>
    <t>m.crimson.ult.B.dotdmg.buff.02</t>
  </si>
  <si>
    <t>m.crimson.ult.B.dotdmg.buff.03</t>
  </si>
  <si>
    <t>m.crimson.ult.B.dotdmg.buff.04</t>
  </si>
  <si>
    <t>m.crimson.ult.B.dotdmg.buff.05</t>
  </si>
  <si>
    <t>m.crimson.ult.B.dotdmg.buff.06</t>
  </si>
  <si>
    <t>m.crimson.ult.B.dotdmg.buff.07</t>
  </si>
  <si>
    <t>m.crimson.ult.bleed.buff.01</t>
  </si>
  <si>
    <t>m.crimson.ult.bleed.buff.02</t>
  </si>
  <si>
    <t>m.crimson.ult.bleed.buff.03</t>
  </si>
  <si>
    <t>m.crimson.ult.bleed.buff.04</t>
  </si>
  <si>
    <t>m.crimson.ult.bleed.buff.05</t>
  </si>
  <si>
    <t>m.crimson.ult.bleed.buff.06</t>
  </si>
  <si>
    <t>m.crimson.ult.bleed.buff.07</t>
  </si>
  <si>
    <t>m.crimson.active1.event.buff.01</t>
  </si>
  <si>
    <t>m.crimson.active1.event.buff.02</t>
  </si>
  <si>
    <t>m.crimson.active1.event.buff.03</t>
  </si>
  <si>
    <t>m.crimson.active1.event.buff.04</t>
  </si>
  <si>
    <t>m.crimson.active1.event.buff.05</t>
  </si>
  <si>
    <t>m.crimson.active1.event.buff.06</t>
  </si>
  <si>
    <t>m.crimson.active2.bleed.buff.01</t>
  </si>
  <si>
    <t>m.crimson.active2.bleed.buff.02</t>
  </si>
  <si>
    <t>m.crimson.active2.bleed.buff.03</t>
  </si>
  <si>
    <t>m.crimson.active2.bleed.buff.04</t>
  </si>
  <si>
    <t>m.crimson.active2.bleed.buff.05</t>
  </si>
  <si>
    <t>m.crimson.active2.bleed.buff.06</t>
  </si>
  <si>
    <t>m.crimson.passive.buff.01</t>
  </si>
  <si>
    <t>m.crimson.passive.buff.buffeffect.01</t>
  </si>
  <si>
    <t>m.crimson.passive.buff.02</t>
  </si>
  <si>
    <t>m.crimson.passive.buff.buffeffect.02</t>
  </si>
  <si>
    <t>m.crimson.passive.buff.03</t>
  </si>
  <si>
    <t>m.crimson.passive.buff.buffeffect.03</t>
  </si>
  <si>
    <t>m.crimson.passive.buff.04</t>
  </si>
  <si>
    <t>m.crimson.passive.buff.buffeffect.04</t>
  </si>
  <si>
    <t>m.crimson.passive.buff.05</t>
  </si>
  <si>
    <t>m.crimson.passive.buff.buffeffect.05</t>
  </si>
  <si>
    <t>m.crimson.passive.buff.06</t>
  </si>
  <si>
    <t>m.crimson.passive.buff.buffeffect.06</t>
  </si>
  <si>
    <t>m.crimson.passive.receivehealdown.buff.01</t>
  </si>
  <si>
    <t>m.crimson.passive.receivehealdown.buff.buffeffect.01</t>
  </si>
  <si>
    <t>m.crimson.passive.receivehealdown.buff.02</t>
  </si>
  <si>
    <t>m.crimson.passive.receivehealdown.buff.buffeffect.02</t>
  </si>
  <si>
    <t>m.crimson.passive.receivehealdown.buff.03</t>
  </si>
  <si>
    <t>m.crimson.passive.receivehealdown.buff.buffeffect.03</t>
  </si>
  <si>
    <t>m.crimson.passive.receivehealdown.buff.04</t>
  </si>
  <si>
    <t>m.crimson.passive.receivehealdown.buff.buffeffect.04</t>
  </si>
  <si>
    <t>m.crimson.passive.receivehealdown.buff.05</t>
  </si>
  <si>
    <t>m.crimson.passive.receivehealdown.buff.buffeffect.05</t>
  </si>
  <si>
    <t>m.crimson.passive.receivehealdown.buff.06</t>
  </si>
  <si>
    <t>m.crimson.passive.receivehealdown.buff.buffeffect.06</t>
  </si>
  <si>
    <t>m.crimson.passive.ex.buff.01</t>
  </si>
  <si>
    <t>m.crimson.passive.ex.buffeffect.01</t>
  </si>
  <si>
    <t>m.crimson.passive.ex.buff.02</t>
  </si>
  <si>
    <t>m.crimson.passive.ex.buffeffect.02</t>
  </si>
  <si>
    <t>m.crimson.passive.ex.buff.03</t>
  </si>
  <si>
    <t>m.crimson.passive.ex.buffeffect.03</t>
  </si>
  <si>
    <t>m.crimson.passive.ex.buff.04</t>
  </si>
  <si>
    <t>m.crimson.passive.ex.buffeffect.04</t>
  </si>
  <si>
    <t>m.crimson.passive.ex.buff.05</t>
  </si>
  <si>
    <t>m.crimson.passive.ex.buffeffect.05</t>
  </si>
  <si>
    <t>m.crimson.passive.ex.buff.06</t>
  </si>
  <si>
    <t>m.crimson.passive.ex.buffeffect.06</t>
  </si>
  <si>
    <t>m.crimson.passive.ex.event.buff.01</t>
  </si>
  <si>
    <t>m.crimson.passive.ex.buff.buffeffect.01</t>
  </si>
  <si>
    <t>info.m.crimson.buff.ex</t>
  </si>
  <si>
    <t>m.crimson.passive.ex.event.buff.02</t>
  </si>
  <si>
    <t>m.crimson.passive.ex.buff.buffeffect.02</t>
  </si>
  <si>
    <t>m.crimson.passive.ex.event.buff.03</t>
  </si>
  <si>
    <t>m.crimson.passive.ex.buff.buffeffect.03</t>
  </si>
  <si>
    <t>m.crimson.passive.ex.event.buff.04</t>
  </si>
  <si>
    <t>m.crimson.passive.ex.buff.buffeffect.04</t>
  </si>
  <si>
    <t>m.crimson.passive.ex.event.buff.05</t>
  </si>
  <si>
    <t>m.crimson.passive.ex.buff.buffeffect.05</t>
  </si>
  <si>
    <t>m.crimson.passive.ex.event.buff.06</t>
  </si>
  <si>
    <t>m.crimson.passive.ex.buff.buffeffect.06</t>
  </si>
  <si>
    <t>m.crimson.passive.ex.buff.buffeffect.skilleffect.01</t>
  </si>
  <si>
    <t>m.crimson.passive.ex.buff.buffeffect.skilleffect.02</t>
  </si>
  <si>
    <t>m.crimson.passive.ex.buff.buffeffect.skilleffect.03</t>
  </si>
  <si>
    <t>m.crimson.passive.ex.buff.buffeffect.skilleffect.04</t>
  </si>
  <si>
    <t>m.crimson.passive.ex.buff.buffeffect.skilleffect.05</t>
  </si>
  <si>
    <t>m.crimson.passive.ex.buff.buffeffect.skilleffect.06</t>
  </si>
  <si>
    <t>m.klairs.ult.electric.buff.01</t>
  </si>
  <si>
    <t>m.klairs.ult.electric.buff.02</t>
  </si>
  <si>
    <t>m.klairs.ult.electric.buff.03</t>
  </si>
  <si>
    <t>m.klairs.ult.electric.buff.04</t>
  </si>
  <si>
    <t>m.klairs.ult.electric.buff.05</t>
  </si>
  <si>
    <t>m.klairs.ult.B.block.buff.01</t>
  </si>
  <si>
    <t>m.klairs.ult.B.block.buff.02</t>
  </si>
  <si>
    <t>m.klairs.ult.B.block.buff.03</t>
  </si>
  <si>
    <t>m.klairs.ult.B.block.buff.04</t>
  </si>
  <si>
    <t>m.klairs.ult.B.block.buff.05</t>
  </si>
  <si>
    <t>m.klairs.active1.atkdown.buff.01</t>
  </si>
  <si>
    <t>m.klairs.active1.atkdown.buff.02</t>
  </si>
  <si>
    <t>m.klairs.active1.atkdown.buff.03</t>
  </si>
  <si>
    <t>m.klairs.active1.atkdown.buff.04</t>
  </si>
  <si>
    <t>m.klairs.active2.provoke.buff.01</t>
  </si>
  <si>
    <t>m.klairs.active2.provoke.buff.02</t>
  </si>
  <si>
    <t>m.klairs.active2.provoke.buff.03</t>
  </si>
  <si>
    <t>m.klairs.active2.provoke.buff.04</t>
  </si>
  <si>
    <t>m.klairs.passive.buff.01</t>
  </si>
  <si>
    <t>m.klairs.passive.buff.buffeffect.01</t>
  </si>
  <si>
    <t>m.klairs.passive.buff.02</t>
  </si>
  <si>
    <t>m.klairs.passive.buff.buffeffect.02</t>
  </si>
  <si>
    <t>m.klairs.passive.buff.03</t>
  </si>
  <si>
    <t>m.klairs.passive.buff.buffeffect.03</t>
  </si>
  <si>
    <t>m.klairs.passive.buff.04</t>
  </si>
  <si>
    <t>m.klairs.passive.buff.buffeffect.04</t>
  </si>
  <si>
    <t>m.klairs.passive.buff.05</t>
  </si>
  <si>
    <t>m.klairs.passive.buff.buffeffect.05</t>
  </si>
  <si>
    <t>m.klairs.passive.buff.06</t>
  </si>
  <si>
    <t>m.klairs.passive.buff.buffeffect.06</t>
  </si>
  <si>
    <t>m.klairs.passive.electric.buff.01</t>
  </si>
  <si>
    <t>m.klairs.passive.electric.buff.02</t>
  </si>
  <si>
    <t>m.klairs.passive.electric.buff.03</t>
  </si>
  <si>
    <t>m.klairs.passive.electric.buff.04</t>
  </si>
  <si>
    <t>m.klairs.passive.electric.buff.05</t>
  </si>
  <si>
    <t>m.klairs.passive.ex.buff.01</t>
  </si>
  <si>
    <t>m.klairs.passive.ex.buff.buffeffect.01</t>
  </si>
  <si>
    <t>m.klairs.passive.ex.buff.02</t>
  </si>
  <si>
    <t>m.klairs.passive.ex.buff.buffeffect.02</t>
  </si>
  <si>
    <t>m.klairs.passive.ex.buff.03</t>
  </si>
  <si>
    <t>m.klairs.passive.ex.buff.buffeffect.03</t>
  </si>
  <si>
    <t>m.klairs.passive.ex.buff.04</t>
  </si>
  <si>
    <t>m.klairs.passive.ex.buff.buffeffect.04</t>
  </si>
  <si>
    <t>m.klairs.passive.ex.buff.05</t>
  </si>
  <si>
    <t>m.klairs.passive.ex.buff.buffeffect.05</t>
  </si>
  <si>
    <t>m.klairs.passive.ex.buff.06</t>
  </si>
  <si>
    <t>m.klairs.passive.ex.buff.buffeffect.06</t>
  </si>
  <si>
    <t>m.klairs.passive.ex.event.buff.01</t>
  </si>
  <si>
    <t>m.klairs.passive.ex.event.buff.buffeffect.01</t>
  </si>
  <si>
    <t>m.klairs.passive.ex.event.buff.02</t>
  </si>
  <si>
    <t>m.klairs.passive.ex.event.buff.buffeffect.02</t>
  </si>
  <si>
    <t>m.klairs.passive.ex.event.buff.03</t>
  </si>
  <si>
    <t>m.klairs.passive.ex.event.buff.buffeffect.03</t>
  </si>
  <si>
    <t>m.klairs.passive.ex.event.buff.04</t>
  </si>
  <si>
    <t>m.klairs.passive.ex.event.buff.buffeffect.04</t>
  </si>
  <si>
    <t>m.klairs.passive.ex.event.buff.05</t>
  </si>
  <si>
    <t>m.klairs.passive.ex.event.buff.buffeffect.05</t>
  </si>
  <si>
    <t>m.klairs.passive.ex.event.buff.06</t>
  </si>
  <si>
    <t>m.klairs.passive.ex.event.buff.buffeffect.06</t>
  </si>
  <si>
    <t>m.klairs.passive.buff.buffeffect.skilleffect.01</t>
  </si>
  <si>
    <t>m.klairs.passive.buff.buffeffect.skilleffect.02</t>
  </si>
  <si>
    <t>m.klairs.passive.buff.buffeffect.skilleffect.03</t>
  </si>
  <si>
    <t>m.klairs.passive.buff.buffeffect.skilleffect.04</t>
  </si>
  <si>
    <t>m.klairs.passive.buff.buffeffect.skilleffect.05</t>
  </si>
  <si>
    <t>m.klairs.passive.buff.buffeffect.skilleffect.06</t>
  </si>
  <si>
    <t>Critical.Up</t>
  </si>
  <si>
    <t>Def.Down</t>
  </si>
  <si>
    <t>m.isabella.passive.killswitch.buffeffect.01</t>
  </si>
  <si>
    <t>m.isabella.passive.killswitch.buffeffect.skilleffect.01</t>
  </si>
  <si>
    <t>m.isabella.passive.killswitch.buffeffect.02</t>
  </si>
  <si>
    <t>m.isabella.passive.killswitch.buffeffect.skilleffect.02</t>
  </si>
  <si>
    <t>m.isabella.active1.crirateup.buff.buffeffect.01</t>
  </si>
  <si>
    <t>m.isabella.active1.crirateup.buff.buffeffect.02</t>
  </si>
  <si>
    <t>m.isabella.active1.crirateup.buff.buffeffect.03</t>
  </si>
  <si>
    <t>m.isabella.active1.crirateup.buff.buffeffect.04</t>
  </si>
  <si>
    <t>m.isabella.active1.crirateup.buff.buffeffect.05</t>
  </si>
  <si>
    <t>m.isabella.active1.crirateup.buff.buffeffect.06</t>
  </si>
  <si>
    <t>m.isabella.active2.defdown.buff.buffeffect.01</t>
  </si>
  <si>
    <t>m.isabella.active2.defdown.buff.buffeffect.02</t>
  </si>
  <si>
    <t>m.isabella.active2.defdown.buff.buffeffect.03</t>
  </si>
  <si>
    <t>m.isabella.active2.defdown.buff.buffeffect.04</t>
  </si>
  <si>
    <t>m.isabella.active2.defdown.buff.buffeffect.05</t>
  </si>
  <si>
    <t>m.isabella.active2.defdown.buff.buffeffect.06</t>
  </si>
  <si>
    <t>m.isabella.passive.buff.buffeffect.01</t>
  </si>
  <si>
    <t>m.isabella.passive.buff.buffeffect.02</t>
  </si>
  <si>
    <t>m.isabella.passive.buff.buffeffect.03</t>
  </si>
  <si>
    <t>m.isabella.passive.buff.buffeffect.04</t>
  </si>
  <si>
    <t>m.isabella.passive.buff.buffeffect.05</t>
  </si>
  <si>
    <t>m.isabella.passive.buff.buffeffect.06</t>
  </si>
  <si>
    <t>m.isabella.passive.critical.event.01</t>
  </si>
  <si>
    <t>m.isabella.passive.critical.event.skilleffect.01</t>
  </si>
  <si>
    <t>m.isabella.passive.critical.event.02</t>
  </si>
  <si>
    <t>m.isabella.passive.critical.event.skilleffect.02</t>
  </si>
  <si>
    <t>m.isabella.passive.critical.event.03</t>
  </si>
  <si>
    <t>m.isabella.passive.critical.event.skilleffect.03</t>
  </si>
  <si>
    <t>m.isabella.passive.critical.event.04</t>
  </si>
  <si>
    <t>m.isabella.passive.critical.event.skilleffect.04</t>
  </si>
  <si>
    <t>m.isabella.passive.critical.event.05</t>
  </si>
  <si>
    <t>m.isabella.passive.critical.event.skilleffect.05</t>
  </si>
  <si>
    <t>m.isabella.passive.critical.event.06</t>
  </si>
  <si>
    <t>m.isabella.passive.critical.event.skilleffect.06</t>
  </si>
  <si>
    <t>m.isabella.passive.critical.event.atkup.buff.buffeffect.01</t>
  </si>
  <si>
    <t>m.isabella.passive.critical.event.atkup.buff.buffeffect.02</t>
  </si>
  <si>
    <t>m.isabella.passive.critical.event.atkup.buff.buffeffect.03</t>
  </si>
  <si>
    <t>m.isabella.passive.critical.event.atkup.buff.buffeffect.04</t>
  </si>
  <si>
    <t>m.isabella.passive.critical.event.atkup.buff.buffeffect.05</t>
  </si>
  <si>
    <t>m.isabella.passive.critical.event.atkup.buff.buffeffect.06</t>
  </si>
  <si>
    <t>m.isabella.passive.ex.buff.buffeffect.01.01</t>
  </si>
  <si>
    <t>m.isabella.passive.ex.token</t>
  </si>
  <si>
    <t>m.isabella.passive.ex.buff.buffeffect.01.02</t>
  </si>
  <si>
    <t>m.isabella.passive.ex.buff.buffeffect.01.03</t>
  </si>
  <si>
    <t>m.isabella.passive.ex.buff.buffeffect.01.04</t>
  </si>
  <si>
    <t>m.isabella.passive.ex.buff.buffeffect.01.05</t>
  </si>
  <si>
    <t>m.isabella.passive.ex.buff.buffeffect.01.06</t>
  </si>
  <si>
    <t>m.isabella.passive.ex.buff.buffeffect.02.01</t>
  </si>
  <si>
    <t>m.isabella.passive.ex.buff.buffeffect.02.02</t>
  </si>
  <si>
    <t>m.isabella.passive.ex.buff.buffeffect.02.03</t>
  </si>
  <si>
    <t>m.isabella.passive.ex.buff.buffeffect.02.04</t>
  </si>
  <si>
    <t>m.isabella.passive.ex.buff.buffeffect.02.05</t>
  </si>
  <si>
    <t>m.isabella.passive.ex.buff.buffeffect.02.06</t>
  </si>
  <si>
    <t>m.isabella.passive.ex.token.buff.buffeffect</t>
  </si>
  <si>
    <t>m.isabella.passive.ex.token.buff.skilleffect</t>
  </si>
  <si>
    <t>m.isabella.active1.summon.crirateup.buff.buffeffect.01</t>
  </si>
  <si>
    <t>m.isabella.active1.summon.crirateup.buff.buffeffect.02</t>
  </si>
  <si>
    <t>m.isabella.active1.summon.crirateup.buff.buffeffect.03</t>
  </si>
  <si>
    <t>m.isabella.active1.summon.crirateup.buff.buffeffect.04</t>
  </si>
  <si>
    <t>m.isabella.active1.summon.crirateup.buff.buffeffect.05</t>
  </si>
  <si>
    <t>m.isabella.active1.summon.crirateup.buff.buffeffect.06</t>
  </si>
  <si>
    <t>m.isabella.active2.summon.defdown.buff.buffeffect.01</t>
  </si>
  <si>
    <t>m.isabella.active2.summon.defdown.buff.buffeffect.02</t>
  </si>
  <si>
    <t>m.isabella.active2.summon.defdown.buff.buffeffect.03</t>
  </si>
  <si>
    <t>m.isabella.active2.summon.defdown.buff.buffeffect.04</t>
  </si>
  <si>
    <t>m.isabella.active2.summon.defdown.buff.buffeffect.05</t>
  </si>
  <si>
    <t>m.isabella.active2.summon.defdown.buff.buffeffect.06</t>
  </si>
  <si>
    <t>m.isabella.passive.summon.killswitch.01</t>
  </si>
  <si>
    <t>m.isabella.killswitch.buff.01</t>
  </si>
  <si>
    <t>m.isabella.passive.summon.killswitch.02</t>
  </si>
  <si>
    <t>m.isabella.killswitch.buff.02</t>
  </si>
  <si>
    <t>m.isabella.passive.summon.buff.buffeffect.01.01</t>
  </si>
  <si>
    <t>m.isabella.passive.summon.buff.buffeffect.01.02</t>
  </si>
  <si>
    <t>m.isabella.passive.summon.buff.buffeffect.01.03</t>
  </si>
  <si>
    <t>m.isabella.passive.summon.buff.buffeffect.01.04</t>
  </si>
  <si>
    <t>m.isabella.passive.summon.buff.buffeffect.01.05</t>
  </si>
  <si>
    <t>m.isabella.passive.summon.buff.buffeffect.01.06</t>
  </si>
  <si>
    <t>m.isabella.passive.summon.buff.buffeffect.02.01</t>
  </si>
  <si>
    <t>m.isabella.passive.summon.buff.buffeffect.02.02</t>
  </si>
  <si>
    <t>m.isabella.passive.summon.buff.buffeffect.02.03</t>
  </si>
  <si>
    <t>m.isabella.passive.summon.buff.buffeffect.02.04</t>
  </si>
  <si>
    <t>m.isabella.passive.summon.buff.buffeffect.02.05</t>
  </si>
  <si>
    <t>m.isabella.passive.summon.buff.buffeffect.02.06</t>
  </si>
  <si>
    <t>m.isabella.passive.killswitch.01</t>
  </si>
  <si>
    <t>m.isabella.passive.killswitch.02</t>
  </si>
  <si>
    <t>m.isabella.active1.crirateup.buff.01</t>
  </si>
  <si>
    <t>m.isabella.active1.crirateup.buff.02</t>
  </si>
  <si>
    <t>m.isabella.active1.crirateup.buff.03</t>
  </si>
  <si>
    <t>m.isabella.active1.crirateup.buff.04</t>
  </si>
  <si>
    <t>m.isabella.active1.crirateup.buff.05</t>
  </si>
  <si>
    <t>m.isabella.active1.crirateup.buff.06</t>
  </si>
  <si>
    <t>m.isabella.active2.defdown.buff.01</t>
  </si>
  <si>
    <t>m.isabella.active2.defdown.buff.02</t>
  </si>
  <si>
    <t>m.isabella.active2.defdown.buff.03</t>
  </si>
  <si>
    <t>m.isabella.active2.defdown.buff.04</t>
  </si>
  <si>
    <t>m.isabella.active2.defdown.buff.05</t>
  </si>
  <si>
    <t>m.isabella.active2.defdown.buff.06</t>
  </si>
  <si>
    <t>m.isabella.passive.buff.01</t>
  </si>
  <si>
    <t>m.isabella.passive.buff.buffeffect.01
m.isabella.passive.critical.event.01</t>
  </si>
  <si>
    <t>m.isabella.passive.buff.02</t>
  </si>
  <si>
    <t>m.isabella.passive.buff.buffeffect.02
m.isabella.passive.critical.event.02</t>
  </si>
  <si>
    <t>m.isabella.passive.buff.03</t>
  </si>
  <si>
    <t>m.isabella.passive.buff.buffeffect.03
m.isabella.passive.critical.event.03</t>
  </si>
  <si>
    <t>m.isabella.passive.buff.04</t>
  </si>
  <si>
    <t>m.isabella.passive.buff.buffeffect.04
m.isabella.passive.critical.event.04</t>
  </si>
  <si>
    <t>m.isabella.passive.buff.05</t>
  </si>
  <si>
    <t>m.isabella.passive.buff.buffeffect.05
m.isabella.passive.critical.event.05</t>
  </si>
  <si>
    <t>m.isabella.passive.buff.06</t>
  </si>
  <si>
    <t>m.isabella.passive.buff.buffeffect.06
m.isabella.passive.critical.event.06</t>
  </si>
  <si>
    <t>m.isabella.passive.critical.event.atkup.buff.01</t>
  </si>
  <si>
    <t>m.isabella.passive.critical.event.atkup.buff.02</t>
  </si>
  <si>
    <t>m.isabella.passive.critical.event.atkup.buff.03</t>
  </si>
  <si>
    <t>m.isabella.passive.critical.event.atkup.buff.04</t>
  </si>
  <si>
    <t>m.isabella.passive.critical.event.atkup.buff.05</t>
  </si>
  <si>
    <t>m.isabella.passive.critical.event.atkup.buff.06</t>
  </si>
  <si>
    <t>m.isabella.passive.ex.buff.01</t>
  </si>
  <si>
    <t>m.isabella.passive.ex.buff.buffeffect.01.01
m.isabella.passive.ex.buff.buffeffect.02.01</t>
  </si>
  <si>
    <t>m.isabella.passive.ex.buff.02</t>
  </si>
  <si>
    <t>m.isabella.passive.ex.buff.buffeffect.01.02
m.isabella.passive.ex.buff.buffeffect.02.02</t>
  </si>
  <si>
    <t>m.isabella.passive.ex.buff.03</t>
  </si>
  <si>
    <t>m.isabella.passive.ex.buff.buffeffect.01.03
m.isabella.passive.ex.buff.buffeffect.02.03</t>
  </si>
  <si>
    <t>m.isabella.passive.ex.buff.04</t>
  </si>
  <si>
    <t>m.isabella.passive.ex.buff.buffeffect.01.04
m.isabella.passive.ex.buff.buffeffect.02.04</t>
  </si>
  <si>
    <t>m.isabella.passive.ex.buff.05</t>
  </si>
  <si>
    <t>m.isabella.passive.ex.buff.buffeffect.01.05
m.isabella.passive.ex.buff.buffeffect.02.05</t>
  </si>
  <si>
    <t>m.isabella.passive.ex.buff.06</t>
  </si>
  <si>
    <t>m.isabella.passive.ex.buff.buffeffect.01.06
m.isabella.passive.ex.buff.buffeffect.02.06</t>
  </si>
  <si>
    <t>m.isabella.passive.ex.token.buff</t>
  </si>
  <si>
    <t>m.isabella.active1.summon.crirateup.buff.01</t>
  </si>
  <si>
    <t>m.isabella.active1.summon.crirateup.buff.02</t>
  </si>
  <si>
    <t>m.isabella.active1.summon.crirateup.buff.03</t>
  </si>
  <si>
    <t>m.isabella.active1.summon.crirateup.buff.04</t>
  </si>
  <si>
    <t>m.isabella.active1.summon.crirateup.buff.05</t>
  </si>
  <si>
    <t>m.isabella.active1.summon.crirateup.buff.06</t>
  </si>
  <si>
    <t>m.isabella.active2.summon.defdown.buff.01</t>
  </si>
  <si>
    <t>m.isabella.active2.summon.defdown.buff.02</t>
  </si>
  <si>
    <t>m.isabella.active2.summon.defdown.buff.03</t>
  </si>
  <si>
    <t>m.isabella.active2.summon.defdown.buff.04</t>
  </si>
  <si>
    <t>m.isabella.active2.summon.defdown.buff.05</t>
  </si>
  <si>
    <t>m.isabella.active2.summon.defdown.buff.06</t>
  </si>
  <si>
    <t>info.m.isabella.buff.quick</t>
  </si>
  <si>
    <t>m.isabella.passive.summon.buff.01</t>
  </si>
  <si>
    <t>m.isabella.passive.summon.killswitch.01
m.isabella.passive.summon.killswitch.02
m.isabella.passive.summon.buff.buffeffect.01.01
m.isabella.passive.summon.buff.buffeffect.02.01</t>
  </si>
  <si>
    <t>m.isabella.passive.summon.buff.02</t>
  </si>
  <si>
    <t>m.isabella.passive.summon.killswitch.01
m.isabella.passive.summon.killswitch.02
m.isabella.passive.summon.buff.buffeffect.01.02
m.isabella.passive.summon.buff.buffeffect.02.02</t>
  </si>
  <si>
    <t>m.isabella.passive.summon.buff.03</t>
  </si>
  <si>
    <t>m.isabella.passive.summon.killswitch.01
m.isabella.passive.summon.killswitch.02
m.isabella.passive.summon.buff.buffeffect.01.03
m.isabella.passive.summon.buff.buffeffect.02.03</t>
  </si>
  <si>
    <t>m.isabella.passive.summon.buff.04</t>
  </si>
  <si>
    <t>m.isabella.passive.summon.killswitch.01
m.isabella.passive.summon.killswitch.02
m.isabella.passive.summon.buff.buffeffect.01.04
m.isabella.passive.summon.buff.buffeffect.02.04</t>
  </si>
  <si>
    <t>m.isabella.passive.summon.buff.05</t>
  </si>
  <si>
    <t>m.isabella.passive.summon.killswitch.01
m.isabella.passive.summon.killswitch.02
m.isabella.passive.summon.buff.buffeffect.01.05
m.isabella.passive.summon.buff.buffeffect.02.05</t>
  </si>
  <si>
    <t>m.isabella.passive.summon.buff.06</t>
  </si>
  <si>
    <t>m.isabella.passive.summon.killswitch.01
m.isabella.passive.summon.killswitch.02
m.isabella.passive.summon.buff.buffeffect.01.06
m.isabella.passive.summon.buff.buffeffect.02.06</t>
  </si>
  <si>
    <t>m.isabella.passive.summon.killswitch.skilleffect</t>
  </si>
  <si>
    <t>symbolraid.boss.attack.up.buff.01</t>
    <phoneticPr fontId="2" type="noConversion"/>
  </si>
  <si>
    <t>icon_battle_attack</t>
    <phoneticPr fontId="2" type="noConversion"/>
  </si>
  <si>
    <t>Buff.Name.SymbolRaid.Boss.Attack.Up</t>
    <phoneticPr fontId="2" type="noConversion"/>
  </si>
  <si>
    <t>Buff.Desc.SymbolRaid.Boss.Attack.Up</t>
  </si>
  <si>
    <t>symbolraid.boss.attack.up.buff.02</t>
  </si>
  <si>
    <t>Buff.Name.SymbolRaid.Boss.Attack.Up</t>
  </si>
  <si>
    <t>symbolraid.boss.attack.up.buff.03</t>
  </si>
  <si>
    <t>symbolraid.boss.attack.up.buff.04</t>
  </si>
  <si>
    <t>symbolraid.boss.attack.up.buff.05</t>
  </si>
  <si>
    <t>symbolraid.boss.attack.up.buff.06</t>
  </si>
  <si>
    <t>symbolraid.boss.attack.up.buff.07</t>
  </si>
  <si>
    <t>symbolraid.boss.attack.up.buff.08</t>
  </si>
  <si>
    <t>symbolraid.boss.attack.up.buff.09</t>
  </si>
  <si>
    <t>symbolraid.boss.attack.up.buff.10</t>
  </si>
  <si>
    <t>symbolraid.boss.defense.up.buff.01</t>
    <phoneticPr fontId="2" type="noConversion"/>
  </si>
  <si>
    <t>icon_battle_defense</t>
    <phoneticPr fontId="2" type="noConversion"/>
  </si>
  <si>
    <t>Buff.Name.SymbolRaid.Boss.Defense.Up</t>
    <phoneticPr fontId="2" type="noConversion"/>
  </si>
  <si>
    <t>Buff.Desc.SymbolRaid.Boss.Defense.Up</t>
  </si>
  <si>
    <t>symbolraid.boss.defense.up.buff.02</t>
  </si>
  <si>
    <t>Buff.Name.SymbolRaid.Boss.Defense.Up</t>
  </si>
  <si>
    <t>symbolraid.boss.defense.up.buff.03</t>
  </si>
  <si>
    <t>symbolraid.boss.defense.up.buff.04</t>
  </si>
  <si>
    <t>symbolraid.boss.defense.up.buff.05</t>
  </si>
  <si>
    <t>symbolraid.boss.defense.up.buff.06</t>
  </si>
  <si>
    <t>symbolraid.boss.defense.up.buff.07</t>
  </si>
  <si>
    <t>symbolraid.boss.defense.up.buff.08</t>
  </si>
  <si>
    <t>symbolraid.boss.defense.up.buff.09</t>
  </si>
  <si>
    <t>symbolraid.boss.defense.up.buff.10</t>
  </si>
  <si>
    <t>symbolraid.boss.meleedamage.reduce.buff.01</t>
    <phoneticPr fontId="2" type="noConversion"/>
  </si>
  <si>
    <t>icon_battle_meleedamage</t>
    <phoneticPr fontId="2" type="noConversion"/>
  </si>
  <si>
    <t>Buff.Name.SymbolRaid.Boss.MeleeDamage.Reduce</t>
    <phoneticPr fontId="2" type="noConversion"/>
  </si>
  <si>
    <t>Buff.Desc.SymbolRaid.Boss.MeleeDamage.Reduce</t>
  </si>
  <si>
    <t>symbolraid.boss.meleedamage.reduce.buff.02</t>
  </si>
  <si>
    <t>symbolraid.boss.meleedamage.reduce.buff.03</t>
  </si>
  <si>
    <t>symbolraid.boss.meleedamage.reduce.buff.04</t>
  </si>
  <si>
    <t>symbolraid.boss.meleedamage.reduce.buff.05</t>
  </si>
  <si>
    <t>symbolraid.boss.rangedamage.reduce.buff.01</t>
    <phoneticPr fontId="2" type="noConversion"/>
  </si>
  <si>
    <t>icon_battle_rangedamage</t>
    <phoneticPr fontId="2" type="noConversion"/>
  </si>
  <si>
    <t>Buff.Name.SymbolRaid.Boss.RangeDamage.Reduce</t>
    <phoneticPr fontId="2" type="noConversion"/>
  </si>
  <si>
    <t>Buff.Desc.SymbolRaid.Boss.RangeDamage.Reduce</t>
  </si>
  <si>
    <t>symbolraid.boss.rangedamage.reduce.buff.02</t>
  </si>
  <si>
    <t>symbolraid.boss.rangedamage.reduce.buff.03</t>
  </si>
  <si>
    <t>symbolraid.boss.rangedamage.reduce.buff.04</t>
  </si>
  <si>
    <t>symbolraid.boss.rangedamage.reduce.buff.05</t>
  </si>
  <si>
    <t>symbolraid.boss.areadamage.reduce.buff.01</t>
    <phoneticPr fontId="2" type="noConversion"/>
  </si>
  <si>
    <t>Buff.Name.SymbolRaid.Boss.AreaDamage.Reduce</t>
    <phoneticPr fontId="2" type="noConversion"/>
  </si>
  <si>
    <t>Buff.Desc.SymbolRaid.Boss.AreaDamage.Reduce</t>
  </si>
  <si>
    <t>symbolraid.boss.areadamage.reduce.buff.02</t>
  </si>
  <si>
    <t>symbolraid.boss.areadamage.reduce.buff.03</t>
  </si>
  <si>
    <t>symbolraid.boss.areadamage.reduce.buff.04</t>
  </si>
  <si>
    <t>symbolraid.boss.areadamage.reduce.buff.05</t>
  </si>
  <si>
    <t>symbolraid.boss.singleareadamage.reduce.buff.01</t>
    <phoneticPr fontId="2" type="noConversion"/>
  </si>
  <si>
    <t>Buff.Name.SymbolRaid.Boss.SingleAreaDamage.Reduce</t>
    <phoneticPr fontId="2" type="noConversion"/>
  </si>
  <si>
    <t>Buff.Desc.SymbolRaid.Boss.SingleAreaDamage.Reduce</t>
  </si>
  <si>
    <t>symbolraid.boss.singleareadamage.reduce.buff.02</t>
  </si>
  <si>
    <t>symbolraid.boss.singleareadamage.reduce.buff.03</t>
  </si>
  <si>
    <t>symbolraid.boss.singleareadamage.reduce.buff.04</t>
  </si>
  <si>
    <t>symbolraid.boss.singleareadamage.reduce.buff.05</t>
  </si>
  <si>
    <t>symbolraid.character.eprecharge.down.buff.01</t>
    <phoneticPr fontId="2" type="noConversion"/>
  </si>
  <si>
    <t>icon_battle_eprechargerate_down</t>
    <phoneticPr fontId="2" type="noConversion"/>
  </si>
  <si>
    <t>Buff.Name.SymbolRaid.Character.EpRecharge.Down</t>
    <phoneticPr fontId="2" type="noConversion"/>
  </si>
  <si>
    <t>Buff.Desc.SymbolRaid.Character.EpRecharge.Down</t>
  </si>
  <si>
    <t>symbolraid.character.eprecharge.down.buff.02</t>
  </si>
  <si>
    <t>symbolraid.character.eprecharge.down.buff.03</t>
  </si>
  <si>
    <t>symbolraid.character.eprecharge.down.buff.04</t>
  </si>
  <si>
    <t>symbolraid.character.eprecharge.down.buff.05</t>
  </si>
  <si>
    <t>symbolraid.character.receiverecovery.down.buff.01</t>
    <phoneticPr fontId="2" type="noConversion"/>
  </si>
  <si>
    <t>icon_battle_receiverecovery</t>
    <phoneticPr fontId="2" type="noConversion"/>
  </si>
  <si>
    <t>Buff.Name.SymbolRaid.Character.ReceiveRecovery.Down</t>
    <phoneticPr fontId="2" type="noConversion"/>
  </si>
  <si>
    <t>Buff.Desc.SymbolRaid.Character.ReceiveRecovery.Down</t>
  </si>
  <si>
    <t>symbolraid.character.receiverecovery.down.buff.02</t>
  </si>
  <si>
    <t>symbolraid.character.receiverecovery.down.buff.03</t>
  </si>
  <si>
    <t>symbolraid.character.receiverecovery.down.buff.04</t>
  </si>
  <si>
    <t>symbolraid.character.receiverecovery.down.buff.05</t>
  </si>
  <si>
    <t>symbolraid.character.maxhp.down.buff.01</t>
    <phoneticPr fontId="2" type="noConversion"/>
  </si>
  <si>
    <t>Buff.Name.SymbolRaid.Character.MaxHp.Down</t>
    <phoneticPr fontId="2" type="noConversion"/>
  </si>
  <si>
    <t>Buff.Desc.SymbolRaid.Character.MaxHp.Down</t>
  </si>
  <si>
    <t>symbolraid.character.maxhp.down.buff.02</t>
  </si>
  <si>
    <t>symbolraid.character.maxhp.down.buff.03</t>
  </si>
  <si>
    <t>symbolraid.character.maxhp.down.buff.04</t>
  </si>
  <si>
    <t>symbolraid.character.maxhp.down.buff.05</t>
  </si>
  <si>
    <t>symbolraid.character.maxhp.down.buff.06</t>
  </si>
  <si>
    <t>symbolraid.character.maxhp.down.buff.07</t>
  </si>
  <si>
    <t>symbolraid.character.maxhp.down.buff.08</t>
  </si>
  <si>
    <t>symbolraid.character.maxhp.down.buff.09</t>
  </si>
  <si>
    <t>symbolraid.character.maxhp.down.buff.10</t>
  </si>
  <si>
    <t>symbolraid.boss.attack.up.buff.01.Buffeffect</t>
  </si>
  <si>
    <t>Status(AttackRatio, 500)</t>
  </si>
  <si>
    <t>symbolraid.boss.attack.up.buff.02.Buffeffect</t>
  </si>
  <si>
    <t>Status(AttackRatio, 1000)</t>
  </si>
  <si>
    <t>symbolraid.boss.attack.up.buff.03.Buffeffect</t>
  </si>
  <si>
    <t>Status(AttackRatio, 1500)</t>
  </si>
  <si>
    <t>symbolraid.boss.attack.up.buff.04.Buffeffect</t>
  </si>
  <si>
    <t>Status(AttackRatio, 2000)</t>
  </si>
  <si>
    <t>symbolraid.boss.attack.up.buff.05.Buffeffect</t>
  </si>
  <si>
    <t>Status(AttackRatio, 2500)</t>
  </si>
  <si>
    <t>symbolraid.boss.attack.up.buff.06.Buffeffect</t>
  </si>
  <si>
    <t>Status(AttackRatio, 3000)</t>
  </si>
  <si>
    <t>symbolraid.boss.attack.up.buff.07.Buffeffect</t>
  </si>
  <si>
    <t>Status(AttackRatio, 3500)</t>
  </si>
  <si>
    <t>symbolraid.boss.attack.up.buff.08.Buffeffect</t>
  </si>
  <si>
    <t>Status(AttackRatio, 4000)</t>
  </si>
  <si>
    <t>symbolraid.boss.attack.up.buff.09.Buffeffect</t>
  </si>
  <si>
    <t>Status(AttackRatio, 4500)</t>
  </si>
  <si>
    <t>symbolraid.boss.attack.up.buff.10.Buffeffect</t>
  </si>
  <si>
    <t>Status(AttackRatio, 5000)</t>
  </si>
  <si>
    <t>symbolraid.boss.defense.up.buff.01.Buffeffect</t>
  </si>
  <si>
    <t>Status(AttackRatio, 300)</t>
  </si>
  <si>
    <t>symbolraid.boss.defense.up.buff.02.Buffeffect</t>
  </si>
  <si>
    <t>Status(AttackRatio, 600)</t>
  </si>
  <si>
    <t>symbolraid.boss.defense.up.buff.03.Buffeffect</t>
  </si>
  <si>
    <t>Status(AttackRatio, 900)</t>
  </si>
  <si>
    <t>symbolraid.boss.defense.up.buff.04.Buffeffect</t>
  </si>
  <si>
    <t>Status(AttackRatio, 1200)</t>
  </si>
  <si>
    <t>symbolraid.boss.defense.up.buff.05.Buffeffect</t>
  </si>
  <si>
    <t>symbolraid.boss.defense.up.buff.06.Buffeffect</t>
  </si>
  <si>
    <t>Status(AttackRatio, 1800)</t>
  </si>
  <si>
    <t>symbolraid.boss.defense.up.buff.07.Buffeffect</t>
  </si>
  <si>
    <t>Status(AttackRatio, 2100)</t>
  </si>
  <si>
    <t>symbolraid.boss.defense.up.buff.08.Buffeffect</t>
  </si>
  <si>
    <t>Status(AttackRatio, 2400)</t>
  </si>
  <si>
    <t>symbolraid.boss.defense.up.buff.09.Buffeffect</t>
  </si>
  <si>
    <t>Status(AttackRatio, 2700)</t>
  </si>
  <si>
    <t>symbolraid.boss.defense.up.buff.10.Buffeffect</t>
  </si>
  <si>
    <t>symbolraid.boss.meleedamage.reduce.buff.01.Buffeffect</t>
  </si>
  <si>
    <t>symbolraid.boss.meleedamage.reduce.buff.02.Buffeffect</t>
  </si>
  <si>
    <t>symbolraid.boss.meleedamage.reduce.buff.03.Buffeffect</t>
  </si>
  <si>
    <t>symbolraid.boss.meleedamage.reduce.buff.04.Buffeffect</t>
  </si>
  <si>
    <t>symbolraid.boss.meleedamage.reduce.buff.05.Buffeffect</t>
  </si>
  <si>
    <t>symbolraid.boss.rangedamage.reduce.buff.01.Buffeffect</t>
  </si>
  <si>
    <t>symbolraid.boss.rangedamage.reduce.buff.02.Buffeffect</t>
  </si>
  <si>
    <t>symbolraid.boss.rangedamage.reduce.buff.03.Buffeffect</t>
  </si>
  <si>
    <t>symbolraid.boss.rangedamage.reduce.buff.04.Buffeffect</t>
  </si>
  <si>
    <t>symbolraid.boss.rangedamage.reduce.buff.05.Buffeffect</t>
  </si>
  <si>
    <t>symbolraid.boss.areadamage.reduce.buff.01.Buffeffect</t>
  </si>
  <si>
    <t>AreaDamageDerate</t>
    <phoneticPr fontId="2" type="noConversion"/>
  </si>
  <si>
    <t>Status(AreaDamageDerate, 100)</t>
    <phoneticPr fontId="2" type="noConversion"/>
  </si>
  <si>
    <t>symbolraid.boss.areadamage.reduce.buff.02.Buffeffect</t>
  </si>
  <si>
    <t>Status(AreaDamageDerate, 150)</t>
    <phoneticPr fontId="2" type="noConversion"/>
  </si>
  <si>
    <t>symbolraid.boss.areadamage.reduce.buff.03.Buffeffect</t>
  </si>
  <si>
    <t>Status(AreaDamageDerate, 200)</t>
    <phoneticPr fontId="2" type="noConversion"/>
  </si>
  <si>
    <t>symbolraid.boss.areadamage.reduce.buff.04.Buffeffect</t>
  </si>
  <si>
    <t>Status(AreaDamageDerate, 250)</t>
    <phoneticPr fontId="2" type="noConversion"/>
  </si>
  <si>
    <t>symbolraid.boss.areadamage.reduce.buff.05.Buffeffect</t>
  </si>
  <si>
    <t>Status(AreaDamageDerate, 300)</t>
    <phoneticPr fontId="2" type="noConversion"/>
  </si>
  <si>
    <t>symbolraid.boss.singleareadamage.reduce.buff.01.Buffeffect</t>
  </si>
  <si>
    <t>SingleAreaDamageDerate</t>
  </si>
  <si>
    <t>Status(SingleAreaDamageDerate, 100)</t>
  </si>
  <si>
    <t>symbolraid.boss.singleareadamage.reduce.buff.02.Buffeffect</t>
  </si>
  <si>
    <t>Status(SingleAreaDamageDerate, 150)</t>
    <phoneticPr fontId="2" type="noConversion"/>
  </si>
  <si>
    <t>symbolraid.boss.singleareadamage.reduce.buff.03.Buffeffect</t>
  </si>
  <si>
    <t>Status(SingleAreaDamageDerate, 200)</t>
    <phoneticPr fontId="2" type="noConversion"/>
  </si>
  <si>
    <t>symbolraid.boss.singleareadamage.reduce.buff.04.Buffeffect</t>
  </si>
  <si>
    <t>Status(SingleAreaDamageDerate, 250)</t>
    <phoneticPr fontId="2" type="noConversion"/>
  </si>
  <si>
    <t>symbolraid.boss.singleareadamage.reduce.buff.05.Buffeffect</t>
  </si>
  <si>
    <t>Status(SingleAreaDamageDerate, 300)</t>
    <phoneticPr fontId="2" type="noConversion"/>
  </si>
  <si>
    <t>symbolraid.character.eprecharge.down.buff.01.Buffeffect</t>
  </si>
  <si>
    <t>StatusDistict(AddEnergyRate, -180)</t>
  </si>
  <si>
    <t>symbolraid.character.eprecharge.down.buff.02.Buffeffect</t>
  </si>
  <si>
    <t>StatusDistict(AddEnergyRate, -240)</t>
  </si>
  <si>
    <t>symbolraid.character.eprecharge.down.buff.03.Buffeffect</t>
  </si>
  <si>
    <t>StatusDistict(AddEnergyRate, -300)</t>
  </si>
  <si>
    <t>symbolraid.character.eprecharge.down.buff.04.Buffeffect</t>
  </si>
  <si>
    <t>StatusDistict(AddEnergyRate, -360)</t>
  </si>
  <si>
    <t>symbolraid.character.eprecharge.down.buff.05.Buffeffect</t>
  </si>
  <si>
    <t>StatusDistict(AddEnergyRate, -420)</t>
  </si>
  <si>
    <t>symbolraid.character.receiverecovery.down.buff.01.Buffeffect</t>
  </si>
  <si>
    <t>StatusDistict(ReceiveRecoveryRate, -300)</t>
  </si>
  <si>
    <t>symbolraid.character.receiverecovery.down.buff.02.Buffeffect</t>
  </si>
  <si>
    <t>StatusDistict(ReceiveRecoveryRate, -350)</t>
  </si>
  <si>
    <t>symbolraid.character.receiverecovery.down.buff.03.Buffeffect</t>
  </si>
  <si>
    <t>StatusDistict(ReceiveRecoveryRate, -400)</t>
  </si>
  <si>
    <t>symbolraid.character.receiverecovery.down.buff.04.Buffeffect</t>
  </si>
  <si>
    <t>StatusDistict(ReceiveRecoveryRate, -450)</t>
  </si>
  <si>
    <t>symbolraid.character.receiverecovery.down.buff.05.Buffeffect</t>
  </si>
  <si>
    <t>StatusDistict(ReceiveRecoveryRate, -500)</t>
  </si>
  <si>
    <t>symbolraid.character.maxhp.down.buff.01.Buffeffect</t>
  </si>
  <si>
    <t>Status(MaxHpRatio, -300)</t>
  </si>
  <si>
    <t>symbolraid.character.maxhp.down.buff.02.Buffeffect</t>
  </si>
  <si>
    <t>Status(MaxHpRatio, -350)</t>
  </si>
  <si>
    <t>symbolraid.character.maxhp.down.buff.03.Buffeffect</t>
  </si>
  <si>
    <t>Status(MaxHpRatio, -400)</t>
  </si>
  <si>
    <t>symbolraid.character.maxhp.down.buff.04.Buffeffect</t>
  </si>
  <si>
    <t>Status(MaxHpRatio, -450)</t>
  </si>
  <si>
    <t>symbolraid.character.maxhp.down.buff.05.Buffeffect</t>
  </si>
  <si>
    <t>Status(MaxHpRatio, -500)</t>
  </si>
  <si>
    <t>symbolraid.character.maxhp.down.buff.06.Buffeffect</t>
  </si>
  <si>
    <t>Status(MaxHpRatio, -550)</t>
  </si>
  <si>
    <t>symbolraid.character.maxhp.down.buff.07.Buffeffect</t>
  </si>
  <si>
    <t>Status(MaxHpRatio, -600)</t>
  </si>
  <si>
    <t>symbolraid.character.maxhp.down.buff.08.Buffeffect</t>
  </si>
  <si>
    <t>Status(MaxHpRatio, -650)</t>
  </si>
  <si>
    <t>symbolraid.character.maxhp.down.buff.09.Buffeffect</t>
  </si>
  <si>
    <t>Status(MaxHpRatio, -700)</t>
  </si>
  <si>
    <t>symbolraid.character.maxhp.down.buff.10.Buffeffect</t>
  </si>
  <si>
    <t>Status(MaxHpRatio, -750)</t>
  </si>
  <si>
    <t>SymbolRaid.gallius_2.skill01.effect01.shield.buff</t>
  </si>
  <si>
    <t>SymbolRaid.gallius_2.skill01.effect01.shield.buff.buffeffect01
SymbolRaid.gallius_2.skill01.effect01.shield.buff.buffeffect02
SymbolRaid.gallius_2.skill01.effect01.shield.buff.buffeffect03</t>
  </si>
  <si>
    <t>SymbolRaid.gallius_2.skill01.shield.hiteffect.buff</t>
  </si>
  <si>
    <t>SymbolRaid.gallius_2.skill02.effect01.stun01.buff</t>
  </si>
  <si>
    <t>SymbolRaid.gallius_2.skill02.effect01.stun01.buff.buffeffect</t>
  </si>
  <si>
    <t>SymbolRaid.gallius_2.passive01.buff</t>
  </si>
  <si>
    <t>SymbolRaid.cassandra_2.skill03.epdown01.buff</t>
  </si>
  <si>
    <t>SymbolRaid.cassandra_2.skill03.epdown01.buff.buffeffect</t>
  </si>
  <si>
    <t>SymbolRaid.cassandra_2.passive01.buff</t>
  </si>
  <si>
    <t>SymbolRaid.cassandra_2.passive01.buff.buffeffect</t>
  </si>
  <si>
    <t>SymbolRaid.cassandra_2.passive01.buff.attackup01.buff</t>
  </si>
  <si>
    <t>SymbolRaid.cassandra_2.passive01.buff.attackup01.buff.buffeffect</t>
  </si>
  <si>
    <t>SymbolRaid.cassandra_2.passive01.buff.overclock.buff</t>
  </si>
  <si>
    <t>SymbolRaid.cassandra_2.passive01.buff.overclock.buff.buffeffect</t>
  </si>
  <si>
    <t>SymbolRaid.gallius_2.skill01.effect01.shield.buff.buffeffect01</t>
  </si>
  <si>
    <t>SymbolRaid.gallius_2.skill01.effect01.shield.buff.buffeffect02</t>
  </si>
  <si>
    <t>SymbolRaid.gallius_2.skill01.effect01.shield.buff.buffeffect03</t>
  </si>
  <si>
    <t>SymbolRaid.gallius_2.skill01.effect01.shield.buff.buffeffect03.skilleffect</t>
  </si>
  <si>
    <t>SymbolRaid.gallius_2.passive01.buff.buffeffect</t>
  </si>
  <si>
    <t>SymbolRaid.cassandra_2.passive01.buff.buffeffect.skilleffect01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</si>
</sst>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4" fillId="4" borderId="0">
      <alignment vertical="center"/>
    </xf>
    <xf numFmtId="0" fontId="4" fillId="5" borderId="0">
      <alignment vertical="center"/>
    </xf>
    <xf numFmtId="0" fontId="3" fillId="0" borderId="1">
      <alignment horizontal="center"/>
    </xf>
    <xf numFmtId="0" fontId="4" fillId="6" borderId="0">
      <alignment vertical="center"/>
    </xf>
    <xf numFmtId="0" fontId="3" fillId="0" borderId="1">
      <alignment horizontal="center"/>
    </xf>
    <xf numFmtId="0" fontId="4" fillId="7" borderId="0">
      <alignment vertical="center"/>
    </xf>
    <xf numFmtId="0" fontId="4" fillId="8" borderId="0">
      <alignment vertical="center"/>
    </xf>
    <xf numFmtId="0" fontId="1" fillId="32" borderId="0" applyNumberFormat="0" applyBorder="0" applyAlignment="0" applyProtection="0">
      <alignment vertical="center"/>
    </xf>
  </cellStyleXfs>
  <cellXfs count="284">
    <xf numFmtId="0" fontId="0" fillId="0" borderId="0" xfId="0"/>
    <xf numFmtId="0" fontId="5" fillId="4" borderId="1" xfId="1" applyFont="1" applyBorder="1" applyAlignment="1">
      <alignment horizontal="center" vertical="center" wrapText="1"/>
    </xf>
    <xf numFmtId="0" fontId="5" fillId="5" borderId="1" xfId="2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4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6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5" applyFont="1">
      <alignment horizontal="center"/>
    </xf>
    <xf numFmtId="0" fontId="6" fillId="0" borderId="1" xfId="0" applyFont="1" applyBorder="1"/>
    <xf numFmtId="0" fontId="6" fillId="11" borderId="1" xfId="0" applyFont="1" applyFill="1" applyBorder="1" applyAlignment="1">
      <alignment horizontal="center"/>
    </xf>
    <xf numFmtId="0" fontId="6" fillId="0" borderId="2" xfId="5" applyFont="1" applyBorder="1">
      <alignment horizontal="center"/>
    </xf>
    <xf numFmtId="0" fontId="6" fillId="0" borderId="2" xfId="0" applyFont="1" applyBorder="1"/>
    <xf numFmtId="0" fontId="5" fillId="8" borderId="1" xfId="7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6" fillId="0" borderId="1" xfId="5" applyFont="1" applyAlignment="1">
      <alignment horizontal="left" indent="1"/>
    </xf>
    <xf numFmtId="0" fontId="6" fillId="11" borderId="1" xfId="5" applyFont="1" applyFill="1" applyAlignment="1">
      <alignment horizontal="left" indent="1"/>
    </xf>
    <xf numFmtId="0" fontId="6" fillId="12" borderId="1" xfId="0" applyFont="1" applyFill="1" applyBorder="1" applyAlignment="1">
      <alignment horizontal="center"/>
    </xf>
    <xf numFmtId="0" fontId="6" fillId="12" borderId="1" xfId="5" applyFont="1" applyFill="1" applyAlignment="1">
      <alignment horizontal="left" indent="1"/>
    </xf>
    <xf numFmtId="0" fontId="6" fillId="12" borderId="1" xfId="5" applyFont="1" applyFill="1">
      <alignment horizontal="center"/>
    </xf>
    <xf numFmtId="0" fontId="6" fillId="12" borderId="1" xfId="0" applyFont="1" applyFill="1" applyBorder="1"/>
    <xf numFmtId="0" fontId="6" fillId="13" borderId="1" xfId="0" applyFont="1" applyFill="1" applyBorder="1" applyAlignment="1">
      <alignment horizontal="center"/>
    </xf>
    <xf numFmtId="0" fontId="6" fillId="13" borderId="1" xfId="5" applyFont="1" applyFill="1" applyAlignment="1">
      <alignment horizontal="left" indent="1"/>
    </xf>
    <xf numFmtId="0" fontId="6" fillId="13" borderId="1" xfId="5" applyFont="1" applyFill="1">
      <alignment horizontal="center"/>
    </xf>
    <xf numFmtId="0" fontId="6" fillId="13" borderId="1" xfId="0" applyFont="1" applyFill="1" applyBorder="1"/>
    <xf numFmtId="0" fontId="6" fillId="14" borderId="1" xfId="0" applyFont="1" applyFill="1" applyBorder="1" applyAlignment="1">
      <alignment horizontal="center"/>
    </xf>
    <xf numFmtId="0" fontId="6" fillId="14" borderId="1" xfId="5" applyFont="1" applyFill="1" applyAlignment="1">
      <alignment horizontal="left" indent="1"/>
    </xf>
    <xf numFmtId="0" fontId="6" fillId="14" borderId="1" xfId="5" applyFont="1" applyFill="1">
      <alignment horizontal="center"/>
    </xf>
    <xf numFmtId="0" fontId="6" fillId="14" borderId="1" xfId="0" applyFont="1" applyFill="1" applyBorder="1"/>
    <xf numFmtId="0" fontId="6" fillId="11" borderId="1" xfId="5" applyFont="1" applyFill="1">
      <alignment horizontal="center"/>
    </xf>
    <xf numFmtId="0" fontId="6" fillId="11" borderId="1" xfId="0" applyFont="1" applyFill="1" applyBorder="1"/>
    <xf numFmtId="0" fontId="6" fillId="15" borderId="1" xfId="5" applyFont="1" applyFill="1" applyAlignment="1">
      <alignment horizontal="left" indent="1"/>
    </xf>
    <xf numFmtId="0" fontId="6" fillId="15" borderId="1" xfId="5" applyFont="1" applyFill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center"/>
    </xf>
    <xf numFmtId="0" fontId="6" fillId="16" borderId="1" xfId="0" applyFont="1" applyFill="1" applyBorder="1"/>
    <xf numFmtId="0" fontId="6" fillId="17" borderId="1" xfId="0" applyFont="1" applyFill="1" applyBorder="1"/>
    <xf numFmtId="0" fontId="6" fillId="16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6" fillId="18" borderId="1" xfId="5" applyFont="1" applyFill="1">
      <alignment horizontal="center"/>
    </xf>
    <xf numFmtId="0" fontId="6" fillId="18" borderId="1" xfId="0" applyFont="1" applyFill="1" applyBorder="1"/>
    <xf numFmtId="0" fontId="6" fillId="18" borderId="1" xfId="5" applyFont="1" applyFill="1" applyAlignment="1">
      <alignment horizontal="left" indent="1"/>
    </xf>
    <xf numFmtId="0" fontId="6" fillId="19" borderId="1" xfId="0" applyFont="1" applyFill="1" applyBorder="1" applyAlignment="1">
      <alignment horizontal="center"/>
    </xf>
    <xf numFmtId="0" fontId="6" fillId="19" borderId="1" xfId="5" applyFont="1" applyFill="1">
      <alignment horizontal="center"/>
    </xf>
    <xf numFmtId="0" fontId="6" fillId="19" borderId="1" xfId="0" applyFont="1" applyFill="1" applyBorder="1"/>
    <xf numFmtId="0" fontId="6" fillId="19" borderId="1" xfId="5" applyFont="1" applyFill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9" borderId="1" xfId="5" applyFont="1" applyFill="1" applyAlignment="1">
      <alignment horizontal="left" indent="1"/>
    </xf>
    <xf numFmtId="0" fontId="6" fillId="19" borderId="1" xfId="5" applyFont="1" applyFill="1" applyAlignment="1">
      <alignment horizontal="left" vertical="center" indent="1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5" applyFont="1" applyFill="1">
      <alignment horizontal="center"/>
    </xf>
    <xf numFmtId="0" fontId="6" fillId="9" borderId="1" xfId="0" applyFont="1" applyFill="1" applyBorder="1"/>
    <xf numFmtId="0" fontId="6" fillId="0" borderId="0" xfId="0" applyFont="1" applyAlignment="1">
      <alignment horizontal="center"/>
    </xf>
    <xf numFmtId="0" fontId="6" fillId="17" borderId="1" xfId="5" applyFont="1" applyFill="1" applyAlignment="1">
      <alignment horizontal="left" indent="1"/>
    </xf>
    <xf numFmtId="0" fontId="6" fillId="17" borderId="1" xfId="5" applyFont="1" applyFill="1">
      <alignment horizontal="center"/>
    </xf>
    <xf numFmtId="0" fontId="0" fillId="0" borderId="0" xfId="0" applyAlignment="1">
      <alignment horizontal="center"/>
    </xf>
    <xf numFmtId="0" fontId="6" fillId="0" borderId="1" xfId="3" applyFont="1">
      <alignment horizontal="center"/>
    </xf>
    <xf numFmtId="0" fontId="6" fillId="9" borderId="1" xfId="3" applyFont="1" applyFill="1">
      <alignment horizontal="center"/>
    </xf>
    <xf numFmtId="0" fontId="6" fillId="9" borderId="1" xfId="0" applyFont="1" applyFill="1" applyBorder="1" applyAlignment="1">
      <alignment horizontal="center" wrapText="1"/>
    </xf>
    <xf numFmtId="0" fontId="6" fillId="18" borderId="1" xfId="3" applyFont="1" applyFill="1" applyAlignment="1">
      <alignment horizontal="left" indent="1"/>
    </xf>
    <xf numFmtId="0" fontId="6" fillId="18" borderId="1" xfId="3" applyFont="1" applyFill="1">
      <alignment horizontal="center"/>
    </xf>
    <xf numFmtId="0" fontId="6" fillId="18" borderId="1" xfId="3" applyFont="1" applyFill="1" applyAlignment="1">
      <alignment horizontal="left" wrapText="1" indent="1"/>
    </xf>
    <xf numFmtId="0" fontId="6" fillId="18" borderId="1" xfId="0" applyFont="1" applyFill="1" applyBorder="1" applyAlignment="1">
      <alignment horizontal="center" wrapText="1"/>
    </xf>
    <xf numFmtId="0" fontId="6" fillId="14" borderId="1" xfId="3" applyFont="1" applyFill="1" applyAlignment="1">
      <alignment horizontal="left" indent="1"/>
    </xf>
    <xf numFmtId="0" fontId="6" fillId="14" borderId="1" xfId="3" applyFont="1" applyFill="1">
      <alignment horizontal="center"/>
    </xf>
    <xf numFmtId="0" fontId="6" fillId="14" borderId="1" xfId="3" applyFont="1" applyFill="1" applyAlignment="1">
      <alignment horizontal="left" wrapText="1" indent="1"/>
    </xf>
    <xf numFmtId="0" fontId="6" fillId="14" borderId="1" xfId="0" applyFont="1" applyFill="1" applyBorder="1" applyAlignment="1">
      <alignment horizontal="center" wrapText="1"/>
    </xf>
    <xf numFmtId="0" fontId="6" fillId="12" borderId="1" xfId="3" applyFont="1" applyFill="1" applyAlignment="1">
      <alignment horizontal="left" indent="1"/>
    </xf>
    <xf numFmtId="0" fontId="6" fillId="12" borderId="1" xfId="3" applyFont="1" applyFill="1">
      <alignment horizontal="center"/>
    </xf>
    <xf numFmtId="0" fontId="6" fillId="12" borderId="1" xfId="3" applyFont="1" applyFill="1" applyAlignment="1">
      <alignment horizontal="left" wrapText="1" indent="1"/>
    </xf>
    <xf numFmtId="0" fontId="6" fillId="12" borderId="1" xfId="0" applyFont="1" applyFill="1" applyBorder="1" applyAlignment="1">
      <alignment horizontal="center" wrapText="1"/>
    </xf>
    <xf numFmtId="0" fontId="6" fillId="13" borderId="1" xfId="3" applyFont="1" applyFill="1" applyAlignment="1">
      <alignment horizontal="left" indent="1"/>
    </xf>
    <xf numFmtId="0" fontId="6" fillId="13" borderId="1" xfId="3" applyFont="1" applyFill="1">
      <alignment horizontal="center"/>
    </xf>
    <xf numFmtId="0" fontId="6" fillId="13" borderId="1" xfId="3" applyFont="1" applyFill="1" applyAlignment="1">
      <alignment horizontal="left" wrapText="1" indent="1"/>
    </xf>
    <xf numFmtId="0" fontId="6" fillId="13" borderId="1" xfId="0" applyFont="1" applyFill="1" applyBorder="1" applyAlignment="1">
      <alignment horizontal="center" wrapText="1"/>
    </xf>
    <xf numFmtId="0" fontId="6" fillId="0" borderId="1" xfId="3" applyFont="1" applyAlignment="1">
      <alignment horizontal="left" indent="1"/>
    </xf>
    <xf numFmtId="0" fontId="6" fillId="0" borderId="1" xfId="3" applyFont="1" applyAlignment="1">
      <alignment horizontal="left" wrapText="1" indent="1"/>
    </xf>
    <xf numFmtId="0" fontId="6" fillId="0" borderId="1" xfId="0" applyFont="1" applyBorder="1" applyAlignment="1">
      <alignment horizontal="center" vertical="center"/>
    </xf>
    <xf numFmtId="0" fontId="6" fillId="11" borderId="1" xfId="3" applyFont="1" applyFill="1" applyAlignment="1">
      <alignment horizontal="left" indent="1"/>
    </xf>
    <xf numFmtId="0" fontId="6" fillId="11" borderId="1" xfId="3" applyFont="1" applyFill="1">
      <alignment horizontal="center"/>
    </xf>
    <xf numFmtId="0" fontId="6" fillId="11" borderId="1" xfId="3" applyFont="1" applyFill="1" applyAlignment="1">
      <alignment horizontal="left" wrapText="1" indent="1"/>
    </xf>
    <xf numFmtId="0" fontId="6" fillId="19" borderId="1" xfId="3" applyFont="1" applyFill="1" applyAlignment="1">
      <alignment horizontal="left" indent="1"/>
    </xf>
    <xf numFmtId="0" fontId="6" fillId="19" borderId="1" xfId="3" applyFont="1" applyFill="1">
      <alignment horizontal="center"/>
    </xf>
    <xf numFmtId="0" fontId="6" fillId="19" borderId="1" xfId="3" applyFont="1" applyFill="1" applyAlignment="1">
      <alignment horizontal="left" wrapText="1" indent="1"/>
    </xf>
    <xf numFmtId="0" fontId="6" fillId="15" borderId="1" xfId="3" applyFont="1" applyFill="1" applyAlignment="1">
      <alignment horizontal="left" indent="1"/>
    </xf>
    <xf numFmtId="0" fontId="6" fillId="15" borderId="1" xfId="3" applyFont="1" applyFill="1">
      <alignment horizontal="center"/>
    </xf>
    <xf numFmtId="0" fontId="6" fillId="15" borderId="1" xfId="3" applyFont="1" applyFill="1" applyAlignment="1">
      <alignment horizontal="left" wrapText="1" indent="1"/>
    </xf>
    <xf numFmtId="0" fontId="6" fillId="19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20" borderId="1" xfId="3" applyFont="1" applyFill="1">
      <alignment horizontal="center"/>
    </xf>
    <xf numFmtId="0" fontId="6" fillId="20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wrapText="1"/>
    </xf>
    <xf numFmtId="0" fontId="6" fillId="20" borderId="1" xfId="5" applyFont="1" applyFill="1">
      <alignment horizontal="center"/>
    </xf>
    <xf numFmtId="0" fontId="6" fillId="20" borderId="1" xfId="0" applyFont="1" applyFill="1" applyBorder="1"/>
    <xf numFmtId="0" fontId="6" fillId="16" borderId="1" xfId="3" applyFont="1" applyFill="1" applyAlignment="1">
      <alignment horizontal="left" indent="1"/>
    </xf>
    <xf numFmtId="0" fontId="6" fillId="16" borderId="1" xfId="3" applyFont="1" applyFill="1">
      <alignment horizontal="center"/>
    </xf>
    <xf numFmtId="0" fontId="6" fillId="16" borderId="1" xfId="3" applyFont="1" applyFill="1" applyAlignment="1">
      <alignment horizontal="left" wrapText="1" indent="1"/>
    </xf>
    <xf numFmtId="0" fontId="6" fillId="17" borderId="1" xfId="3" applyFont="1" applyFill="1" applyAlignment="1">
      <alignment horizontal="left" indent="1"/>
    </xf>
    <xf numFmtId="0" fontId="6" fillId="17" borderId="1" xfId="3" applyFont="1" applyFill="1">
      <alignment horizontal="center"/>
    </xf>
    <xf numFmtId="0" fontId="6" fillId="17" borderId="1" xfId="3" applyFont="1" applyFill="1" applyAlignment="1">
      <alignment horizontal="left" wrapText="1" indent="1"/>
    </xf>
    <xf numFmtId="0" fontId="6" fillId="16" borderId="1" xfId="5" applyFont="1" applyFill="1" applyAlignment="1">
      <alignment horizontal="left" indent="1"/>
    </xf>
    <xf numFmtId="0" fontId="6" fillId="16" borderId="1" xfId="5" applyFont="1" applyFill="1">
      <alignment horizontal="center"/>
    </xf>
    <xf numFmtId="0" fontId="6" fillId="16" borderId="1" xfId="0" applyFont="1" applyFill="1" applyBorder="1" applyAlignment="1">
      <alignment horizontal="center" wrapText="1"/>
    </xf>
    <xf numFmtId="0" fontId="6" fillId="21" borderId="1" xfId="3" applyFont="1" applyFill="1" applyAlignment="1">
      <alignment horizontal="left" indent="1"/>
    </xf>
    <xf numFmtId="0" fontId="6" fillId="21" borderId="1" xfId="0" applyFont="1" applyFill="1" applyBorder="1" applyAlignment="1">
      <alignment horizontal="center"/>
    </xf>
    <xf numFmtId="0" fontId="6" fillId="21" borderId="1" xfId="3" applyFont="1" applyFill="1">
      <alignment horizontal="center"/>
    </xf>
    <xf numFmtId="0" fontId="6" fillId="21" borderId="1" xfId="3" applyFont="1" applyFill="1" applyAlignment="1">
      <alignment horizontal="left" wrapText="1" indent="1"/>
    </xf>
    <xf numFmtId="0" fontId="6" fillId="21" borderId="1" xfId="0" applyFont="1" applyFill="1" applyBorder="1" applyAlignment="1">
      <alignment horizontal="center" vertical="center"/>
    </xf>
    <xf numFmtId="0" fontId="6" fillId="22" borderId="1" xfId="3" applyFont="1" applyFill="1" applyAlignment="1">
      <alignment horizontal="left" indent="1"/>
    </xf>
    <xf numFmtId="0" fontId="6" fillId="22" borderId="1" xfId="0" applyFont="1" applyFill="1" applyBorder="1" applyAlignment="1">
      <alignment horizontal="center"/>
    </xf>
    <xf numFmtId="0" fontId="6" fillId="22" borderId="1" xfId="3" applyFont="1" applyFill="1">
      <alignment horizontal="center"/>
    </xf>
    <xf numFmtId="0" fontId="6" fillId="22" borderId="1" xfId="3" applyFont="1" applyFill="1" applyAlignment="1">
      <alignment horizontal="left" wrapText="1" indent="1"/>
    </xf>
    <xf numFmtId="0" fontId="6" fillId="22" borderId="1" xfId="0" applyFont="1" applyFill="1" applyBorder="1" applyAlignment="1">
      <alignment horizontal="center" vertical="center"/>
    </xf>
    <xf numFmtId="0" fontId="6" fillId="23" borderId="1" xfId="3" applyFont="1" applyFill="1" applyAlignment="1">
      <alignment horizontal="left" indent="1"/>
    </xf>
    <xf numFmtId="0" fontId="6" fillId="23" borderId="1" xfId="0" applyFont="1" applyFill="1" applyBorder="1" applyAlignment="1">
      <alignment horizontal="center"/>
    </xf>
    <xf numFmtId="0" fontId="6" fillId="23" borderId="1" xfId="3" applyFont="1" applyFill="1">
      <alignment horizontal="center"/>
    </xf>
    <xf numFmtId="0" fontId="6" fillId="23" borderId="1" xfId="3" applyFont="1" applyFill="1" applyAlignment="1">
      <alignment horizontal="left" wrapText="1" indent="1"/>
    </xf>
    <xf numFmtId="0" fontId="6" fillId="23" borderId="1" xfId="0" applyFont="1" applyFill="1" applyBorder="1" applyAlignment="1">
      <alignment horizontal="center" vertical="center"/>
    </xf>
    <xf numFmtId="0" fontId="6" fillId="23" borderId="1" xfId="5" applyFont="1" applyFill="1" applyAlignment="1">
      <alignment horizontal="left" indent="1"/>
    </xf>
    <xf numFmtId="0" fontId="6" fillId="23" borderId="1" xfId="5" applyFont="1" applyFill="1">
      <alignment horizontal="center"/>
    </xf>
    <xf numFmtId="0" fontId="6" fillId="23" borderId="1" xfId="0" applyFont="1" applyFill="1" applyBorder="1"/>
    <xf numFmtId="0" fontId="6" fillId="23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 wrapText="1"/>
    </xf>
    <xf numFmtId="0" fontId="6" fillId="21" borderId="1" xfId="5" applyFont="1" applyFill="1" applyAlignment="1">
      <alignment horizontal="left" indent="1"/>
    </xf>
    <xf numFmtId="0" fontId="6" fillId="21" borderId="1" xfId="5" applyFont="1" applyFill="1">
      <alignment horizontal="center"/>
    </xf>
    <xf numFmtId="0" fontId="6" fillId="21" borderId="1" xfId="0" applyFont="1" applyFill="1" applyBorder="1"/>
    <xf numFmtId="0" fontId="6" fillId="23" borderId="1" xfId="3" applyFont="1" applyFill="1" applyAlignment="1">
      <alignment horizontal="center" wrapText="1"/>
    </xf>
    <xf numFmtId="0" fontId="6" fillId="14" borderId="1" xfId="5" applyFont="1" applyFill="1" applyAlignment="1">
      <alignment horizontal="left" vertical="center" indent="1"/>
    </xf>
    <xf numFmtId="0" fontId="6" fillId="14" borderId="1" xfId="5" applyFont="1" applyFill="1" applyAlignment="1">
      <alignment horizontal="center" vertical="center"/>
    </xf>
    <xf numFmtId="0" fontId="6" fillId="22" borderId="1" xfId="5" applyFont="1" applyFill="1" applyAlignment="1">
      <alignment horizontal="left" indent="1"/>
    </xf>
    <xf numFmtId="0" fontId="6" fillId="22" borderId="1" xfId="5" applyFont="1" applyFill="1">
      <alignment horizontal="center"/>
    </xf>
    <xf numFmtId="0" fontId="6" fillId="22" borderId="1" xfId="0" applyFont="1" applyFill="1" applyBorder="1"/>
    <xf numFmtId="0" fontId="6" fillId="22" borderId="1" xfId="5" applyFont="1" applyFill="1" applyAlignment="1">
      <alignment horizontal="left" wrapText="1" indent="1"/>
    </xf>
    <xf numFmtId="0" fontId="6" fillId="19" borderId="1" xfId="0" applyFont="1" applyFill="1" applyBorder="1" applyAlignment="1">
      <alignment horizontal="center" wrapText="1"/>
    </xf>
    <xf numFmtId="0" fontId="6" fillId="24" borderId="1" xfId="0" applyFont="1" applyFill="1" applyBorder="1" applyAlignment="1">
      <alignment horizontal="center"/>
    </xf>
    <xf numFmtId="0" fontId="6" fillId="24" borderId="1" xfId="3" applyFont="1" applyFill="1">
      <alignment horizont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wrapText="1"/>
    </xf>
    <xf numFmtId="0" fontId="6" fillId="24" borderId="1" xfId="5" applyFont="1" applyFill="1">
      <alignment horizontal="center"/>
    </xf>
    <xf numFmtId="0" fontId="6" fillId="9" borderId="1" xfId="3" applyFont="1" applyFill="1" applyAlignment="1">
      <alignment horizontal="center" wrapText="1"/>
    </xf>
    <xf numFmtId="0" fontId="5" fillId="25" borderId="1" xfId="2" applyFont="1" applyFill="1" applyBorder="1" applyAlignment="1">
      <alignment horizontal="center" vertical="center" wrapText="1"/>
    </xf>
    <xf numFmtId="0" fontId="6" fillId="13" borderId="1" xfId="3" applyFont="1" applyFill="1" applyAlignment="1">
      <alignment horizontal="center" wrapText="1"/>
    </xf>
    <xf numFmtId="0" fontId="6" fillId="13" borderId="1" xfId="3" applyFont="1" applyFill="1" applyAlignment="1">
      <alignment horizontal="left" vertical="center" indent="1"/>
    </xf>
    <xf numFmtId="0" fontId="7" fillId="0" borderId="0" xfId="0" applyFont="1"/>
    <xf numFmtId="0" fontId="6" fillId="21" borderId="1" xfId="3" applyFont="1" applyFill="1" applyAlignment="1">
      <alignment horizontal="left" vertical="center" indent="1"/>
    </xf>
    <xf numFmtId="0" fontId="0" fillId="14" borderId="1" xfId="3" applyFont="1" applyFill="1">
      <alignment horizontal="center"/>
    </xf>
    <xf numFmtId="0" fontId="0" fillId="18" borderId="1" xfId="3" applyFont="1" applyFill="1" applyAlignment="1">
      <alignment horizontal="center" vertical="center"/>
    </xf>
    <xf numFmtId="0" fontId="0" fillId="19" borderId="1" xfId="3" applyFont="1" applyFill="1">
      <alignment horizontal="center"/>
    </xf>
    <xf numFmtId="0" fontId="6" fillId="14" borderId="1" xfId="0" applyFont="1" applyFill="1" applyBorder="1" applyAlignment="1">
      <alignment vertical="center"/>
    </xf>
    <xf numFmtId="0" fontId="6" fillId="16" borderId="1" xfId="3" applyFont="1" applyFill="1" applyAlignment="1"/>
    <xf numFmtId="0" fontId="6" fillId="20" borderId="1" xfId="3" applyFont="1" applyFill="1" applyAlignment="1"/>
    <xf numFmtId="0" fontId="6" fillId="9" borderId="1" xfId="3" applyFont="1" applyFill="1" applyAlignment="1"/>
    <xf numFmtId="0" fontId="6" fillId="11" borderId="1" xfId="3" applyFont="1" applyFill="1" applyAlignment="1"/>
    <xf numFmtId="0" fontId="6" fillId="19" borderId="1" xfId="3" applyFont="1" applyFill="1" applyAlignment="1"/>
    <xf numFmtId="0" fontId="6" fillId="18" borderId="1" xfId="3" applyFont="1" applyFill="1" applyAlignment="1"/>
    <xf numFmtId="0" fontId="6" fillId="23" borderId="1" xfId="3" applyFont="1" applyFill="1" applyAlignment="1"/>
    <xf numFmtId="0" fontId="6" fillId="24" borderId="1" xfId="3" applyFont="1" applyFill="1" applyAlignment="1"/>
    <xf numFmtId="0" fontId="6" fillId="12" borderId="1" xfId="3" applyFont="1" applyFill="1" applyAlignment="1"/>
    <xf numFmtId="0" fontId="6" fillId="13" borderId="1" xfId="3" applyFont="1" applyFill="1" applyAlignment="1"/>
    <xf numFmtId="0" fontId="6" fillId="14" borderId="1" xfId="3" applyFont="1" applyFill="1" applyAlignment="1"/>
    <xf numFmtId="0" fontId="6" fillId="0" borderId="1" xfId="3" applyFont="1" applyAlignment="1"/>
    <xf numFmtId="0" fontId="6" fillId="15" borderId="1" xfId="3" applyFont="1" applyFill="1" applyAlignment="1"/>
    <xf numFmtId="0" fontId="6" fillId="0" borderId="1" xfId="0" applyFont="1" applyBorder="1" applyAlignment="1">
      <alignment wrapText="1"/>
    </xf>
    <xf numFmtId="0" fontId="6" fillId="14" borderId="1" xfId="0" applyFont="1" applyFill="1" applyBorder="1" applyAlignment="1">
      <alignment wrapText="1"/>
    </xf>
    <xf numFmtId="0" fontId="0" fillId="18" borderId="1" xfId="3" applyFont="1" applyFill="1" applyAlignment="1">
      <alignment vertical="center" wrapText="1"/>
    </xf>
    <xf numFmtId="0" fontId="6" fillId="16" borderId="1" xfId="0" applyFont="1" applyFill="1" applyBorder="1" applyAlignment="1">
      <alignment wrapText="1"/>
    </xf>
    <xf numFmtId="0" fontId="6" fillId="16" borderId="1" xfId="3" applyFont="1" applyFill="1" applyAlignment="1">
      <alignment wrapText="1"/>
    </xf>
    <xf numFmtId="0" fontId="6" fillId="20" borderId="1" xfId="3" applyFont="1" applyFill="1" applyAlignment="1">
      <alignment wrapText="1"/>
    </xf>
    <xf numFmtId="0" fontId="6" fillId="9" borderId="1" xfId="3" applyFont="1" applyFill="1" applyAlignment="1">
      <alignment wrapText="1"/>
    </xf>
    <xf numFmtId="0" fontId="6" fillId="11" borderId="1" xfId="3" applyFont="1" applyFill="1" applyAlignment="1">
      <alignment wrapText="1"/>
    </xf>
    <xf numFmtId="0" fontId="6" fillId="19" borderId="1" xfId="3" applyFont="1" applyFill="1" applyAlignment="1">
      <alignment wrapText="1"/>
    </xf>
    <xf numFmtId="0" fontId="6" fillId="18" borderId="1" xfId="3" applyFont="1" applyFill="1" applyAlignment="1">
      <alignment wrapText="1"/>
    </xf>
    <xf numFmtId="0" fontId="6" fillId="23" borderId="1" xfId="3" applyFont="1" applyFill="1" applyAlignment="1">
      <alignment wrapText="1"/>
    </xf>
    <xf numFmtId="0" fontId="6" fillId="24" borderId="1" xfId="3" applyFont="1" applyFill="1" applyAlignment="1">
      <alignment wrapText="1"/>
    </xf>
    <xf numFmtId="0" fontId="6" fillId="12" borderId="1" xfId="3" applyFont="1" applyFill="1" applyAlignment="1">
      <alignment wrapText="1"/>
    </xf>
    <xf numFmtId="0" fontId="6" fillId="13" borderId="1" xfId="3" applyFont="1" applyFill="1" applyAlignment="1">
      <alignment wrapText="1"/>
    </xf>
    <xf numFmtId="0" fontId="6" fillId="14" borderId="1" xfId="3" applyFont="1" applyFill="1" applyAlignment="1">
      <alignment wrapText="1"/>
    </xf>
    <xf numFmtId="0" fontId="6" fillId="0" borderId="1" xfId="3" applyFont="1" applyAlignment="1">
      <alignment wrapText="1"/>
    </xf>
    <xf numFmtId="0" fontId="6" fillId="15" borderId="1" xfId="3" applyFont="1" applyFill="1" applyAlignment="1">
      <alignment wrapText="1"/>
    </xf>
    <xf numFmtId="0" fontId="6" fillId="0" borderId="1" xfId="5" applyFont="1" applyAlignment="1"/>
    <xf numFmtId="0" fontId="6" fillId="14" borderId="1" xfId="5" applyFont="1" applyFill="1" applyAlignment="1"/>
    <xf numFmtId="0" fontId="0" fillId="14" borderId="1" xfId="3" applyFont="1" applyFill="1" applyAlignment="1"/>
    <xf numFmtId="0" fontId="6" fillId="20" borderId="1" xfId="5" applyFont="1" applyFill="1" applyAlignment="1"/>
    <xf numFmtId="0" fontId="6" fillId="9" borderId="1" xfId="5" applyFont="1" applyFill="1" applyAlignment="1"/>
    <xf numFmtId="0" fontId="6" fillId="11" borderId="1" xfId="5" applyFont="1" applyFill="1" applyAlignment="1"/>
    <xf numFmtId="0" fontId="6" fillId="18" borderId="1" xfId="5" applyFont="1" applyFill="1" applyAlignment="1"/>
    <xf numFmtId="0" fontId="6" fillId="16" borderId="1" xfId="5" applyFont="1" applyFill="1" applyAlignment="1"/>
    <xf numFmtId="0" fontId="6" fillId="23" borderId="1" xfId="5" applyFont="1" applyFill="1" applyAlignment="1"/>
    <xf numFmtId="0" fontId="6" fillId="24" borderId="1" xfId="5" applyFont="1" applyFill="1" applyAlignment="1"/>
    <xf numFmtId="0" fontId="6" fillId="12" borderId="1" xfId="5" applyFont="1" applyFill="1" applyAlignment="1"/>
    <xf numFmtId="0" fontId="6" fillId="13" borderId="1" xfId="5" applyFont="1" applyFill="1" applyAlignment="1"/>
    <xf numFmtId="0" fontId="6" fillId="15" borderId="1" xfId="5" applyFont="1" applyFill="1" applyAlignment="1"/>
    <xf numFmtId="0" fontId="6" fillId="27" borderId="1" xfId="5" applyFont="1" applyFill="1">
      <alignment horizontal="center"/>
    </xf>
    <xf numFmtId="0" fontId="5" fillId="2" borderId="1" xfId="6" applyFont="1" applyFill="1" applyBorder="1" applyAlignment="1">
      <alignment horizontal="center" vertical="center" wrapText="1"/>
    </xf>
    <xf numFmtId="0" fontId="6" fillId="26" borderId="1" xfId="3" applyFont="1" applyFill="1">
      <alignment horizontal="center"/>
    </xf>
    <xf numFmtId="0" fontId="6" fillId="14" borderId="1" xfId="0" applyFont="1" applyFill="1" applyBorder="1" applyAlignment="1">
      <alignment horizontal="left"/>
    </xf>
    <xf numFmtId="0" fontId="8" fillId="26" borderId="1" xfId="3" applyFont="1" applyFill="1">
      <alignment horizontal="center"/>
    </xf>
    <xf numFmtId="0" fontId="6" fillId="12" borderId="1" xfId="0" applyFont="1" applyFill="1" applyBorder="1" applyAlignment="1">
      <alignment horizontal="left"/>
    </xf>
    <xf numFmtId="0" fontId="8" fillId="12" borderId="1" xfId="3" applyFont="1" applyFill="1">
      <alignment horizontal="center"/>
    </xf>
    <xf numFmtId="0" fontId="8" fillId="14" borderId="1" xfId="3" applyFont="1" applyFill="1">
      <alignment horizontal="center"/>
    </xf>
    <xf numFmtId="0" fontId="6" fillId="26" borderId="1" xfId="0" applyFont="1" applyFill="1" applyBorder="1" applyAlignment="1">
      <alignment horizontal="left"/>
    </xf>
    <xf numFmtId="0" fontId="6" fillId="26" borderId="1" xfId="0" applyFont="1" applyFill="1" applyBorder="1" applyAlignment="1">
      <alignment horizontal="center"/>
    </xf>
    <xf numFmtId="0" fontId="6" fillId="26" borderId="1" xfId="0" applyFont="1" applyFill="1" applyBorder="1"/>
    <xf numFmtId="0" fontId="6" fillId="28" borderId="1" xfId="5" applyFont="1" applyFill="1" applyAlignment="1">
      <alignment horizontal="left" indent="1"/>
    </xf>
    <xf numFmtId="0" fontId="6" fillId="28" borderId="1" xfId="5" applyFont="1" applyFill="1">
      <alignment horizontal="center"/>
    </xf>
    <xf numFmtId="0" fontId="6" fillId="28" borderId="1" xfId="0" applyFont="1" applyFill="1" applyBorder="1"/>
    <xf numFmtId="0" fontId="6" fillId="28" borderId="1" xfId="3" applyFont="1" applyFill="1" applyAlignment="1">
      <alignment horizontal="left" indent="1"/>
    </xf>
    <xf numFmtId="0" fontId="6" fillId="28" borderId="1" xfId="0" applyFont="1" applyFill="1" applyBorder="1" applyAlignment="1">
      <alignment horizontal="center"/>
    </xf>
    <xf numFmtId="0" fontId="6" fillId="28" borderId="1" xfId="3" applyFont="1" applyFill="1">
      <alignment horizontal="center"/>
    </xf>
    <xf numFmtId="0" fontId="6" fillId="28" borderId="1" xfId="3" applyFont="1" applyFill="1" applyAlignment="1">
      <alignment horizontal="left" wrapText="1" indent="1"/>
    </xf>
    <xf numFmtId="0" fontId="6" fillId="28" borderId="1" xfId="0" applyFont="1" applyFill="1" applyBorder="1" applyAlignment="1">
      <alignment horizontal="center" vertical="center"/>
    </xf>
    <xf numFmtId="0" fontId="9" fillId="0" borderId="0" xfId="0" applyFont="1"/>
    <xf numFmtId="0" fontId="10" fillId="22" borderId="1" xfId="0" applyFont="1" applyFill="1" applyBorder="1"/>
    <xf numFmtId="0" fontId="10" fillId="22" borderId="1" xfId="5" applyFont="1" applyFill="1">
      <alignment horizontal="center"/>
    </xf>
    <xf numFmtId="0" fontId="10" fillId="22" borderId="1" xfId="5" applyFont="1" applyFill="1" applyAlignment="1">
      <alignment horizontal="left" wrapText="1" indent="1"/>
    </xf>
    <xf numFmtId="0" fontId="6" fillId="19" borderId="1" xfId="5" applyFont="1" applyFill="1" applyAlignment="1"/>
    <xf numFmtId="0" fontId="6" fillId="14" borderId="1" xfId="5" applyFont="1" applyFill="1" applyAlignment="1">
      <alignment wrapText="1"/>
    </xf>
    <xf numFmtId="0" fontId="6" fillId="20" borderId="1" xfId="5" applyFont="1" applyFill="1" applyAlignment="1">
      <alignment wrapText="1"/>
    </xf>
    <xf numFmtId="0" fontId="6" fillId="24" borderId="1" xfId="0" applyFont="1" applyFill="1" applyBorder="1"/>
    <xf numFmtId="0" fontId="0" fillId="18" borderId="1" xfId="3" applyFont="1" applyFill="1">
      <alignment horizontal="center"/>
    </xf>
    <xf numFmtId="0" fontId="0" fillId="29" borderId="1" xfId="3" applyFont="1" applyFill="1">
      <alignment horizontal="center"/>
    </xf>
    <xf numFmtId="0" fontId="0" fillId="15" borderId="1" xfId="3" applyFont="1" applyFill="1">
      <alignment horizontal="center"/>
    </xf>
    <xf numFmtId="0" fontId="0" fillId="11" borderId="1" xfId="3" applyFont="1" applyFill="1">
      <alignment horizontal="center"/>
    </xf>
    <xf numFmtId="0" fontId="0" fillId="22" borderId="1" xfId="3" applyFont="1" applyFill="1">
      <alignment horizontal="center"/>
    </xf>
    <xf numFmtId="0" fontId="0" fillId="26" borderId="1" xfId="3" applyFont="1" applyFill="1">
      <alignment horizontal="center"/>
    </xf>
    <xf numFmtId="0" fontId="0" fillId="15" borderId="1" xfId="3" applyFont="1" applyFill="1" applyAlignment="1">
      <alignment horizontal="center" wrapText="1"/>
    </xf>
    <xf numFmtId="0" fontId="0" fillId="29" borderId="1" xfId="3" applyFont="1" applyFill="1" applyAlignment="1">
      <alignment horizontal="center" wrapText="1"/>
    </xf>
    <xf numFmtId="0" fontId="0" fillId="30" borderId="1" xfId="3" applyFont="1" applyFill="1">
      <alignment horizontal="center"/>
    </xf>
    <xf numFmtId="0" fontId="0" fillId="30" borderId="1" xfId="0" applyFill="1" applyBorder="1" applyAlignment="1">
      <alignment horizontal="center" wrapText="1"/>
    </xf>
    <xf numFmtId="0" fontId="0" fillId="31" borderId="1" xfId="3" applyFont="1" applyFill="1">
      <alignment horizontal="center"/>
    </xf>
    <xf numFmtId="0" fontId="0" fillId="18" borderId="1" xfId="3" applyFont="1" applyFill="1" applyAlignment="1">
      <alignment horizontal="center" wrapText="1"/>
    </xf>
    <xf numFmtId="0" fontId="0" fillId="11" borderId="1" xfId="3" applyFont="1" applyFill="1" applyAlignment="1">
      <alignment horizontal="center" wrapText="1"/>
    </xf>
    <xf numFmtId="0" fontId="0" fillId="22" borderId="1" xfId="3" applyFont="1" applyFill="1" applyAlignment="1">
      <alignment horizontal="center" wrapText="1"/>
    </xf>
    <xf numFmtId="0" fontId="0" fillId="26" borderId="1" xfId="3" applyFont="1" applyFill="1" applyAlignment="1">
      <alignment horizontal="center" wrapText="1"/>
    </xf>
    <xf numFmtId="0" fontId="0" fillId="26" borderId="1" xfId="0" applyFill="1" applyBorder="1" applyAlignment="1">
      <alignment horizontal="center" wrapText="1"/>
    </xf>
    <xf numFmtId="0" fontId="0" fillId="33" borderId="1" xfId="3" applyFont="1" applyFill="1">
      <alignment horizontal="center"/>
    </xf>
    <xf numFmtId="0" fontId="0" fillId="33" borderId="1" xfId="3" applyFont="1" applyFill="1" applyAlignment="1">
      <alignment horizontal="center" wrapText="1"/>
    </xf>
    <xf numFmtId="0" fontId="1" fillId="11" borderId="1" xfId="8" applyFill="1" applyBorder="1" applyAlignment="1">
      <alignment horizontal="center" vertical="center"/>
    </xf>
    <xf numFmtId="0" fontId="1" fillId="29" borderId="1" xfId="8" applyFill="1" applyBorder="1" applyAlignment="1">
      <alignment horizontal="center" vertical="center"/>
    </xf>
    <xf numFmtId="0" fontId="1" fillId="15" borderId="1" xfId="8" applyFill="1" applyBorder="1" applyAlignment="1">
      <alignment horizontal="center" vertical="center"/>
    </xf>
    <xf numFmtId="0" fontId="0" fillId="14" borderId="1" xfId="3" applyFont="1" applyFill="1" applyAlignment="1">
      <alignment horizontal="center" wrapText="1"/>
    </xf>
    <xf numFmtId="0" fontId="0" fillId="12" borderId="1" xfId="3" applyFont="1" applyFill="1">
      <alignment horizontal="center"/>
    </xf>
    <xf numFmtId="0" fontId="0" fillId="29" borderId="1" xfId="0" applyFill="1" applyBorder="1" applyAlignment="1">
      <alignment horizontal="center" wrapText="1"/>
    </xf>
    <xf numFmtId="0" fontId="0" fillId="30" borderId="1" xfId="3" applyFont="1" applyFill="1" applyAlignment="1">
      <alignment horizontal="center" wrapText="1"/>
    </xf>
    <xf numFmtId="0" fontId="0" fillId="19" borderId="1" xfId="3" applyFont="1" applyFill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" xfId="3" applyFont="1" applyFill="1">
      <alignment horizontal="center"/>
    </xf>
    <xf numFmtId="0" fontId="0" fillId="9" borderId="1" xfId="3" applyFont="1" applyFill="1" applyAlignment="1">
      <alignment horizontal="center" wrapText="1"/>
    </xf>
    <xf numFmtId="0" fontId="0" fillId="22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26" borderId="1" xfId="0" applyFill="1" applyBorder="1" applyAlignment="1">
      <alignment horizontal="center" vertical="center" wrapText="1"/>
    </xf>
    <xf numFmtId="0" fontId="7" fillId="30" borderId="1" xfId="5" applyFont="1" applyFill="1">
      <alignment horizontal="center"/>
    </xf>
    <xf numFmtId="0" fontId="0" fillId="14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0" borderId="1" xfId="3" applyFont="1" applyFill="1">
      <alignment horizontal="center"/>
    </xf>
    <xf numFmtId="0" fontId="0" fillId="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1" xfId="3" applyFont="1" applyAlignment="1">
      <alignment vertical="center" wrapText="1"/>
    </xf>
    <xf numFmtId="0" fontId="6" fillId="0" borderId="0" xfId="3" applyFont="1" applyBorder="1" applyAlignment="1"/>
    <xf numFmtId="0" fontId="6" fillId="0" borderId="3" xfId="3" applyFont="1" applyBorder="1">
      <alignment horizontal="center"/>
    </xf>
    <xf numFmtId="0" fontId="6" fillId="0" borderId="0" xfId="3" applyFont="1" applyBorder="1" applyAlignment="1">
      <alignment wrapText="1"/>
    </xf>
    <xf numFmtId="0" fontId="6" fillId="0" borderId="0" xfId="3" applyFont="1" applyBorder="1">
      <alignment horizontal="center"/>
    </xf>
    <xf numFmtId="0" fontId="6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6" fillId="30" borderId="1" xfId="5" applyFont="1" applyFill="1" applyAlignment="1"/>
    <xf numFmtId="0" fontId="6" fillId="30" borderId="1" xfId="5" applyFont="1" applyFill="1">
      <alignment horizontal="center"/>
    </xf>
    <xf numFmtId="0" fontId="6" fillId="30" borderId="1" xfId="0" applyFont="1" applyFill="1" applyBorder="1"/>
    <xf numFmtId="0" fontId="6" fillId="26" borderId="1" xfId="5" applyFont="1" applyFill="1" applyAlignment="1"/>
    <xf numFmtId="0" fontId="6" fillId="26" borderId="1" xfId="5" applyFont="1" applyFill="1">
      <alignment horizontal="center"/>
    </xf>
  </cellXfs>
  <cellStyles count="9">
    <cellStyle name="20% - 강조색6" xfId="8" builtinId="50"/>
    <cellStyle name="강조색1" xfId="6" builtinId="29"/>
    <cellStyle name="강조색2" xfId="1" builtinId="33"/>
    <cellStyle name="강조색3" xfId="7" builtinId="37"/>
    <cellStyle name="강조색4" xfId="2" builtinId="41"/>
    <cellStyle name="강조색6" xfId="4" builtinId="49"/>
    <cellStyle name="기본" xfId="3" xr:uid="{00000000-0005-0000-0000-000006000000}"/>
    <cellStyle name="테이블 기본" xfId="5" xr:uid="{00000000-0005-0000-0000-000007000000}"/>
    <cellStyle name="표준" xfId="0" builtinId="0"/>
  </cellStyles>
  <dxfs count="37"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_Buff_Charac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ff.CM"/>
      <sheetName val="BuffEffect.CM"/>
      <sheetName val="Buff.T"/>
      <sheetName val="BuffEffect.T"/>
      <sheetName val="Buff.A"/>
      <sheetName val="BuffEffect.A"/>
      <sheetName val="Buff.R"/>
      <sheetName val="BuffEffect.R"/>
      <sheetName val="Buff.S"/>
      <sheetName val="BuffEffect.S"/>
    </sheetNames>
    <sheetDataSet>
      <sheetData sheetId="0">
        <row r="1">
          <cell r="A1" t="str">
            <v>#ID</v>
          </cell>
          <cell r="B1" t="str">
            <v>#조건</v>
          </cell>
          <cell r="C1" t="str">
            <v>#조건 값
(백분율)</v>
          </cell>
          <cell r="D1" t="str">
            <v>#지속시간
천분율</v>
          </cell>
          <cell r="E1" t="str">
            <v>#맥스
스택</v>
          </cell>
          <cell r="F1" t="str">
            <v>#추가
스택</v>
          </cell>
          <cell r="G1" t="str">
            <v>#Buff Effect</v>
          </cell>
          <cell r="H1" t="str">
            <v>#END
Effect</v>
          </cell>
          <cell r="I1" t="str">
            <v>#Ture버프
해제불가</v>
          </cell>
          <cell r="J1" t="str">
            <v>#사망
버프삭제</v>
          </cell>
          <cell r="K1" t="str">
            <v>#버프,
디버프</v>
          </cell>
          <cell r="L1" t="str">
            <v>#프리팹</v>
          </cell>
          <cell r="M1" t="str">
            <v>#아이콘</v>
          </cell>
          <cell r="N1" t="str">
            <v>#이름</v>
          </cell>
          <cell r="O1" t="str">
            <v>#설명</v>
          </cell>
        </row>
        <row r="2">
          <cell r="A2" t="str">
            <v>Id</v>
          </cell>
          <cell r="B2" t="str">
            <v>ActiveCondition</v>
          </cell>
          <cell r="C2" t="str">
            <v>ConditionValue</v>
          </cell>
          <cell r="D2" t="str">
            <v>Duration</v>
          </cell>
          <cell r="E2" t="str">
            <v>MaxStack</v>
          </cell>
          <cell r="F2" t="str">
            <v>AddStack</v>
          </cell>
          <cell r="G2" t="str">
            <v>Effects</v>
          </cell>
          <cell r="H2" t="str">
            <v>EndEffects</v>
          </cell>
          <cell r="I2" t="str">
            <v>Removeable</v>
          </cell>
          <cell r="J2" t="str">
            <v>RemoveDead</v>
          </cell>
          <cell r="K2" t="str">
            <v>BuffType</v>
          </cell>
          <cell r="L2" t="str">
            <v>Prefabs</v>
          </cell>
          <cell r="M2" t="str">
            <v>Icon</v>
          </cell>
          <cell r="N2" t="str">
            <v>Name</v>
          </cell>
          <cell r="O2" t="str">
            <v>Desc</v>
          </cell>
        </row>
        <row r="3">
          <cell r="A3" t="str">
            <v>*string</v>
          </cell>
          <cell r="B3" t="str">
            <v>ActiveCondition?</v>
          </cell>
          <cell r="C3" t="str">
            <v>string</v>
          </cell>
          <cell r="D3" t="str">
            <v>int</v>
          </cell>
          <cell r="E3" t="str">
            <v>int</v>
          </cell>
          <cell r="F3" t="str">
            <v>int</v>
          </cell>
          <cell r="G3" t="str">
            <v>[$BuffEffect]</v>
          </cell>
          <cell r="H3" t="str">
            <v>[$SkillEffect]</v>
          </cell>
          <cell r="I3" t="str">
            <v>bool</v>
          </cell>
          <cell r="J3" t="str">
            <v>bool</v>
          </cell>
          <cell r="K3" t="str">
            <v>bool</v>
          </cell>
          <cell r="L3" t="str">
            <v>[string]</v>
          </cell>
          <cell r="M3" t="str">
            <v>string</v>
          </cell>
          <cell r="N3" t="str">
            <v>string</v>
          </cell>
          <cell r="O3" t="str">
            <v>string</v>
          </cell>
        </row>
        <row r="4">
          <cell r="A4" t="str">
            <v>common</v>
          </cell>
          <cell r="B4" t="str">
            <v>common</v>
          </cell>
          <cell r="C4" t="str">
            <v>common</v>
          </cell>
          <cell r="D4" t="str">
            <v>common</v>
          </cell>
          <cell r="E4" t="str">
            <v>common</v>
          </cell>
          <cell r="F4" t="str">
            <v>common</v>
          </cell>
          <cell r="G4" t="str">
            <v>common</v>
          </cell>
          <cell r="H4" t="str">
            <v>common</v>
          </cell>
          <cell r="I4" t="str">
            <v>common</v>
          </cell>
          <cell r="J4" t="str">
            <v>common</v>
          </cell>
          <cell r="K4" t="str">
            <v>common</v>
          </cell>
          <cell r="L4" t="str">
            <v>client</v>
          </cell>
          <cell r="M4" t="str">
            <v>client</v>
          </cell>
          <cell r="N4" t="str">
            <v>client</v>
          </cell>
          <cell r="O4" t="str">
            <v>client</v>
          </cell>
        </row>
        <row r="5">
          <cell r="A5" t="str">
            <v>comingsoon</v>
          </cell>
          <cell r="B5"/>
          <cell r="C5"/>
          <cell r="D5">
            <v>0</v>
          </cell>
          <cell r="E5">
            <v>0</v>
          </cell>
          <cell r="F5">
            <v>0</v>
          </cell>
          <cell r="G5" t="str">
            <v>comingsoon</v>
          </cell>
          <cell r="H5"/>
          <cell r="I5" t="b">
            <v>0</v>
          </cell>
          <cell r="J5" t="b">
            <v>0</v>
          </cell>
          <cell r="K5" t="b">
            <v>1</v>
          </cell>
          <cell r="L5"/>
          <cell r="M5"/>
          <cell r="N5"/>
          <cell r="O5"/>
        </row>
        <row r="6">
          <cell r="A6" t="str">
            <v>comingsoon.test.buff.01</v>
          </cell>
          <cell r="B6"/>
          <cell r="C6"/>
          <cell r="D6">
            <v>10000</v>
          </cell>
          <cell r="E6">
            <v>0</v>
          </cell>
          <cell r="F6">
            <v>0</v>
          </cell>
          <cell r="G6" t="str">
            <v>comingsoon.test.buff.buffeffect.01</v>
          </cell>
          <cell r="H6"/>
          <cell r="I6" t="b">
            <v>0</v>
          </cell>
          <cell r="J6" t="b">
            <v>0</v>
          </cell>
          <cell r="K6" t="b">
            <v>1</v>
          </cell>
          <cell r="L6"/>
          <cell r="M6" t="str">
            <v>icon_battle_damagederate</v>
          </cell>
          <cell r="N6"/>
          <cell r="O6"/>
        </row>
        <row r="7">
          <cell r="A7" t="str">
            <v>comingsoon.test.buff.02</v>
          </cell>
          <cell r="B7"/>
          <cell r="C7"/>
          <cell r="D7">
            <v>10000</v>
          </cell>
          <cell r="E7">
            <v>0</v>
          </cell>
          <cell r="F7">
            <v>0</v>
          </cell>
          <cell r="G7" t="str">
            <v>comingsoon.test.buff.buffeffect.02</v>
          </cell>
          <cell r="H7"/>
          <cell r="I7" t="b">
            <v>0</v>
          </cell>
          <cell r="J7" t="b">
            <v>0</v>
          </cell>
          <cell r="K7" t="b">
            <v>1</v>
          </cell>
          <cell r="L7"/>
          <cell r="M7" t="str">
            <v>icon_battle_damagederate</v>
          </cell>
          <cell r="N7"/>
          <cell r="O7"/>
        </row>
        <row r="8">
          <cell r="A8" t="str">
            <v>resist.cc</v>
          </cell>
          <cell r="B8"/>
          <cell r="C8"/>
          <cell r="D8">
            <v>0</v>
          </cell>
          <cell r="E8">
            <v>0</v>
          </cell>
          <cell r="F8">
            <v>0</v>
          </cell>
          <cell r="G8" t="str">
            <v>resist.cc</v>
          </cell>
          <cell r="H8"/>
          <cell r="I8" t="b">
            <v>0</v>
          </cell>
          <cell r="J8" t="b">
            <v>0</v>
          </cell>
          <cell r="K8" t="b">
            <v>1</v>
          </cell>
          <cell r="L8"/>
          <cell r="M8"/>
          <cell r="N8"/>
          <cell r="O8"/>
        </row>
        <row r="9">
          <cell r="A9" t="str">
            <v>ccimmune</v>
          </cell>
          <cell r="B9"/>
          <cell r="C9"/>
          <cell r="D9">
            <v>20000</v>
          </cell>
          <cell r="E9">
            <v>0</v>
          </cell>
          <cell r="F9">
            <v>0</v>
          </cell>
          <cell r="G9" t="str">
            <v>ccimmune</v>
          </cell>
          <cell r="H9"/>
          <cell r="I9" t="b">
            <v>0</v>
          </cell>
          <cell r="J9" t="b">
            <v>0</v>
          </cell>
          <cell r="K9" t="b">
            <v>1</v>
          </cell>
          <cell r="L9" t="str">
            <v>Effect/Prefab/10_buff/EFF_buff_invincible
Effect/Prefab/10_buff/EFF_immune</v>
          </cell>
          <cell r="M9" t="str">
            <v>icon_battle_ccimmune</v>
          </cell>
          <cell r="N9" t="str">
            <v>Buff.Name.CCImmune</v>
          </cell>
          <cell r="O9" t="str">
            <v>Buff.Desc.CCImmune</v>
          </cell>
        </row>
        <row r="10">
          <cell r="A10" t="str">
            <v>damageimmune</v>
          </cell>
          <cell r="B10"/>
          <cell r="C10"/>
          <cell r="D10">
            <v>5000</v>
          </cell>
          <cell r="E10">
            <v>0</v>
          </cell>
          <cell r="F10">
            <v>0</v>
          </cell>
          <cell r="G10" t="str">
            <v>damageimmune
burndamageimmune
poisondamageimmune
bleeddamageimmune</v>
          </cell>
          <cell r="H10"/>
          <cell r="I10" t="b">
            <v>0</v>
          </cell>
          <cell r="J10" t="b">
            <v>0</v>
          </cell>
          <cell r="K10" t="b">
            <v>1</v>
          </cell>
          <cell r="L10" t="str">
            <v>Effect/Prefab/10_buff/EFF_buff_invincible
Effect/Prefab/10_buff/EFF_immune</v>
          </cell>
          <cell r="M10" t="str">
            <v>icon_battle_damageimmune</v>
          </cell>
          <cell r="N10" t="str">
            <v>Buff.Name.DamageImmune</v>
          </cell>
          <cell r="O10" t="str">
            <v>Buff.Desc.DamageImmune</v>
          </cell>
        </row>
        <row r="11">
          <cell r="A11" t="str">
            <v>normaldamageimmune</v>
          </cell>
          <cell r="B11"/>
          <cell r="C11"/>
          <cell r="D11">
            <v>5000</v>
          </cell>
          <cell r="E11">
            <v>0</v>
          </cell>
          <cell r="F11">
            <v>0</v>
          </cell>
          <cell r="G11" t="str">
            <v>damageimmune</v>
          </cell>
          <cell r="H11"/>
          <cell r="I11" t="b">
            <v>0</v>
          </cell>
          <cell r="J11" t="b">
            <v>0</v>
          </cell>
          <cell r="K11" t="b">
            <v>1</v>
          </cell>
          <cell r="L11" t="str">
            <v>Effect/Prefab/10_buff/EFF_buff_invincible
Effect/Prefab/10_buff/EFF_immune</v>
          </cell>
          <cell r="M11" t="str">
            <v>icon_battle_damageimmune</v>
          </cell>
          <cell r="N11" t="str">
            <v>Buff.Name.NormalDamageImmune</v>
          </cell>
          <cell r="O11" t="str">
            <v>Buff.Desc.NormalDamageImmune</v>
          </cell>
        </row>
        <row r="12">
          <cell r="A12" t="str">
            <v>dotdamageimmune</v>
          </cell>
          <cell r="B12"/>
          <cell r="C12"/>
          <cell r="D12">
            <v>5000</v>
          </cell>
          <cell r="E12">
            <v>0</v>
          </cell>
          <cell r="F12">
            <v>0</v>
          </cell>
          <cell r="G12" t="str">
            <v>burndamageimmune
poisondamageimmune
bleeddamageimmune</v>
          </cell>
          <cell r="H12"/>
          <cell r="I12" t="b">
            <v>0</v>
          </cell>
          <cell r="J12" t="b">
            <v>0</v>
          </cell>
          <cell r="K12" t="b">
            <v>1</v>
          </cell>
          <cell r="L12" t="str">
            <v>Effect/Prefab/10_buff/EFF_buff_invincible
Effect/Prefab/10_buff/EFF_immune</v>
          </cell>
          <cell r="M12" t="str">
            <v>icon_battle_damageimmune</v>
          </cell>
          <cell r="N12" t="str">
            <v>Buff.Name.DotDamageImmune</v>
          </cell>
          <cell r="O12" t="str">
            <v>Buff.Desc.DotDamageImmune</v>
          </cell>
        </row>
        <row r="13">
          <cell r="A13" t="str">
            <v>pre.damageimmune</v>
          </cell>
          <cell r="B13"/>
          <cell r="C13"/>
          <cell r="D13">
            <v>0</v>
          </cell>
          <cell r="E13">
            <v>0</v>
          </cell>
          <cell r="F13">
            <v>0</v>
          </cell>
          <cell r="G13" t="str">
            <v>damageimmune
burndamageimmune
poisondamageimmune
bleeddamageimmune</v>
          </cell>
          <cell r="H13"/>
          <cell r="I13" t="b">
            <v>0</v>
          </cell>
          <cell r="J13" t="b">
            <v>0</v>
          </cell>
          <cell r="K13" t="b">
            <v>1</v>
          </cell>
          <cell r="L13" t="str">
            <v>Effect/Prefab/10_buff/EFF_buff_invincible
Effect/Prefab/10_buff/EFF_immune</v>
          </cell>
          <cell r="M13" t="str">
            <v>icon_battle_damageimmune</v>
          </cell>
          <cell r="N13" t="str">
            <v>Buff.Name.DamageImmune</v>
          </cell>
          <cell r="O13" t="str">
            <v>Buff.Desc.DamageImmune</v>
          </cell>
        </row>
        <row r="14">
          <cell r="A14" t="str">
            <v>pre.normaldamageimmune</v>
          </cell>
          <cell r="B14"/>
          <cell r="C14"/>
          <cell r="D14">
            <v>0</v>
          </cell>
          <cell r="E14">
            <v>0</v>
          </cell>
          <cell r="F14">
            <v>0</v>
          </cell>
          <cell r="G14" t="str">
            <v>damageimmune</v>
          </cell>
          <cell r="H14"/>
          <cell r="I14" t="b">
            <v>0</v>
          </cell>
          <cell r="J14" t="b">
            <v>0</v>
          </cell>
          <cell r="K14" t="b">
            <v>1</v>
          </cell>
          <cell r="L14" t="str">
            <v>Effect/Prefab/10_buff/EFF_buff_invincible
Effect/Prefab/10_buff/EFF_immune</v>
          </cell>
          <cell r="M14" t="str">
            <v>icon_battle_damageimmune</v>
          </cell>
          <cell r="N14" t="str">
            <v>Buff.Name.NormalDamageImmune</v>
          </cell>
          <cell r="O14" t="str">
            <v>Buff.Desc.NormalDamageImmune</v>
          </cell>
        </row>
        <row r="15">
          <cell r="A15" t="str">
            <v>pre.dotdamageimmune</v>
          </cell>
          <cell r="B15"/>
          <cell r="C15"/>
          <cell r="D15">
            <v>0</v>
          </cell>
          <cell r="E15">
            <v>0</v>
          </cell>
          <cell r="F15">
            <v>0</v>
          </cell>
          <cell r="G15" t="str">
            <v>burndamageimmune
poisondamageimmune
bleeddamageimmune</v>
          </cell>
          <cell r="H15"/>
          <cell r="I15" t="b">
            <v>0</v>
          </cell>
          <cell r="J15" t="b">
            <v>0</v>
          </cell>
          <cell r="K15" t="b">
            <v>1</v>
          </cell>
          <cell r="L15" t="str">
            <v>Effect/Prefab/10_buff/EFF_buff_invincible
Effect/Prefab/10_buff/EFF_immune</v>
          </cell>
          <cell r="M15" t="str">
            <v>icon_battle_damageimmune</v>
          </cell>
          <cell r="N15" t="str">
            <v>Buff.Name.DotDamageImmune</v>
          </cell>
          <cell r="O15" t="str">
            <v>Buff.Desc.DotDamageImmune</v>
          </cell>
        </row>
        <row r="16">
          <cell r="A16" t="str">
            <v>guardrate25</v>
          </cell>
          <cell r="B16"/>
          <cell r="C16"/>
          <cell r="D16">
            <v>0</v>
          </cell>
          <cell r="E16">
            <v>0</v>
          </cell>
          <cell r="F16">
            <v>0</v>
          </cell>
          <cell r="G16" t="str">
            <v>guardrate25</v>
          </cell>
          <cell r="H16"/>
          <cell r="I16" t="b">
            <v>0</v>
          </cell>
          <cell r="J16" t="b">
            <v>0</v>
          </cell>
          <cell r="K16" t="b">
            <v>1</v>
          </cell>
          <cell r="L16" t="str">
            <v>Effect/Prefab/10_buff/EFF_buff_up</v>
          </cell>
          <cell r="M16" t="str">
            <v>icon_battle_guard</v>
          </cell>
          <cell r="N16" t="str">
            <v>Buff.Name.GuardUp</v>
          </cell>
          <cell r="O16" t="str">
            <v>Buff.Desc.GuardUp</v>
          </cell>
        </row>
        <row r="17">
          <cell r="A17" t="str">
            <v>guardrate28</v>
          </cell>
          <cell r="B17"/>
          <cell r="C17"/>
          <cell r="D17">
            <v>0</v>
          </cell>
          <cell r="E17">
            <v>0</v>
          </cell>
          <cell r="F17">
            <v>0</v>
          </cell>
          <cell r="G17" t="str">
            <v>guardrate28</v>
          </cell>
          <cell r="H17"/>
          <cell r="I17" t="b">
            <v>0</v>
          </cell>
          <cell r="J17" t="b">
            <v>0</v>
          </cell>
          <cell r="K17" t="b">
            <v>1</v>
          </cell>
          <cell r="L17" t="str">
            <v>Effect/Prefab/10_buff/EFF_buff_up</v>
          </cell>
          <cell r="M17" t="str">
            <v>icon_battle_guard</v>
          </cell>
          <cell r="N17" t="str">
            <v>Buff.Name.GuardUp</v>
          </cell>
          <cell r="O17" t="str">
            <v>Buff.Desc.GuardUp</v>
          </cell>
        </row>
        <row r="18">
          <cell r="A18" t="str">
            <v>guardrate30</v>
          </cell>
          <cell r="B18"/>
          <cell r="C18"/>
          <cell r="D18">
            <v>0</v>
          </cell>
          <cell r="E18">
            <v>0</v>
          </cell>
          <cell r="F18">
            <v>0</v>
          </cell>
          <cell r="G18" t="str">
            <v>guardrate30</v>
          </cell>
          <cell r="H18"/>
          <cell r="I18" t="b">
            <v>0</v>
          </cell>
          <cell r="J18" t="b">
            <v>0</v>
          </cell>
          <cell r="K18" t="b">
            <v>1</v>
          </cell>
          <cell r="L18" t="str">
            <v>Effect/Prefab/10_buff/EFF_buff_up</v>
          </cell>
          <cell r="M18" t="str">
            <v>icon_battle_guard</v>
          </cell>
          <cell r="N18" t="str">
            <v>Buff.Name.GuardUp</v>
          </cell>
          <cell r="O18" t="str">
            <v>Buff.Desc.GuardUp</v>
          </cell>
        </row>
        <row r="19">
          <cell r="A19" t="str">
            <v>guardrate35</v>
          </cell>
          <cell r="B19"/>
          <cell r="C19"/>
          <cell r="D19">
            <v>0</v>
          </cell>
          <cell r="E19">
            <v>0</v>
          </cell>
          <cell r="F19">
            <v>0</v>
          </cell>
          <cell r="G19" t="str">
            <v>guardrate35</v>
          </cell>
          <cell r="H19"/>
          <cell r="I19" t="b">
            <v>0</v>
          </cell>
          <cell r="J19" t="b">
            <v>0</v>
          </cell>
          <cell r="K19" t="b">
            <v>1</v>
          </cell>
          <cell r="L19" t="str">
            <v>Effect/Prefab/10_buff/EFF_buff_up</v>
          </cell>
          <cell r="M19" t="str">
            <v>icon_battle_guard</v>
          </cell>
          <cell r="N19" t="str">
            <v>Buff.Name.GuardUp</v>
          </cell>
          <cell r="O19" t="str">
            <v>Buff.Desc.GuardUp</v>
          </cell>
        </row>
        <row r="20">
          <cell r="A20" t="str">
            <v>guardrate40</v>
          </cell>
          <cell r="B20"/>
          <cell r="C20"/>
          <cell r="D20">
            <v>0</v>
          </cell>
          <cell r="E20">
            <v>0</v>
          </cell>
          <cell r="F20">
            <v>0</v>
          </cell>
          <cell r="G20" t="str">
            <v>guardrate40</v>
          </cell>
          <cell r="H20"/>
          <cell r="I20" t="b">
            <v>0</v>
          </cell>
          <cell r="J20" t="b">
            <v>0</v>
          </cell>
          <cell r="K20" t="b">
            <v>1</v>
          </cell>
          <cell r="L20" t="str">
            <v>Effect/Prefab/10_buff/EFF_buff_up</v>
          </cell>
          <cell r="M20" t="str">
            <v>icon_battle_guard</v>
          </cell>
          <cell r="N20" t="str">
            <v>Buff.Name.GuardUp</v>
          </cell>
          <cell r="O20" t="str">
            <v>Buff.Desc.GuardUp</v>
          </cell>
        </row>
        <row r="21">
          <cell r="A21" t="str">
            <v>guardrate45</v>
          </cell>
          <cell r="B21"/>
          <cell r="C21"/>
          <cell r="D21">
            <v>0</v>
          </cell>
          <cell r="E21">
            <v>0</v>
          </cell>
          <cell r="F21">
            <v>0</v>
          </cell>
          <cell r="G21" t="str">
            <v>guardrate45</v>
          </cell>
          <cell r="H21"/>
          <cell r="I21" t="b">
            <v>0</v>
          </cell>
          <cell r="J21" t="b">
            <v>0</v>
          </cell>
          <cell r="K21" t="b">
            <v>1</v>
          </cell>
          <cell r="L21" t="str">
            <v>Effect/Prefab/10_buff/EFF_buff_up</v>
          </cell>
          <cell r="M21" t="str">
            <v>icon_battle_guard</v>
          </cell>
          <cell r="N21" t="str">
            <v>Buff.Name.GuardUp</v>
          </cell>
          <cell r="O21" t="str">
            <v>Buff.Desc.GuardUp</v>
          </cell>
        </row>
        <row r="22">
          <cell r="A22" t="str">
            <v>guardrate50</v>
          </cell>
          <cell r="B22"/>
          <cell r="C22"/>
          <cell r="D22">
            <v>0</v>
          </cell>
          <cell r="E22">
            <v>0</v>
          </cell>
          <cell r="F22">
            <v>0</v>
          </cell>
          <cell r="G22" t="str">
            <v>guardrate50</v>
          </cell>
          <cell r="H22"/>
          <cell r="I22" t="b">
            <v>0</v>
          </cell>
          <cell r="J22" t="b">
            <v>0</v>
          </cell>
          <cell r="K22" t="b">
            <v>1</v>
          </cell>
          <cell r="L22" t="str">
            <v>Effect/Prefab/10_buff/EFF_buff_up</v>
          </cell>
          <cell r="M22" t="str">
            <v>icon_battle_guard</v>
          </cell>
          <cell r="N22" t="str">
            <v>Buff.Name.GuardUp</v>
          </cell>
          <cell r="O22" t="str">
            <v>Buff.Desc.GuardUp</v>
          </cell>
        </row>
        <row r="23">
          <cell r="A23" t="str">
            <v>guardrate100</v>
          </cell>
          <cell r="B23"/>
          <cell r="C23"/>
          <cell r="D23">
            <v>0</v>
          </cell>
          <cell r="E23">
            <v>0</v>
          </cell>
          <cell r="F23">
            <v>0</v>
          </cell>
          <cell r="G23" t="str">
            <v>guardrate100</v>
          </cell>
          <cell r="H23"/>
          <cell r="I23" t="b">
            <v>0</v>
          </cell>
          <cell r="J23" t="b">
            <v>0</v>
          </cell>
          <cell r="K23" t="b">
            <v>1</v>
          </cell>
          <cell r="L23" t="str">
            <v>Effect/Prefab/10_buff/EFF_buff_up</v>
          </cell>
          <cell r="M23" t="str">
            <v>icon_battle_guard</v>
          </cell>
          <cell r="N23" t="str">
            <v>Buff.Name.GuardUp</v>
          </cell>
          <cell r="O23" t="str">
            <v>Buff.Desc.GuardUp</v>
          </cell>
        </row>
        <row r="24">
          <cell r="A24" t="str">
            <v>critical.20</v>
          </cell>
          <cell r="B24"/>
          <cell r="C24"/>
          <cell r="D24">
            <v>0</v>
          </cell>
          <cell r="E24">
            <v>0</v>
          </cell>
          <cell r="F24">
            <v>0</v>
          </cell>
          <cell r="G24" t="str">
            <v>critical.20</v>
          </cell>
          <cell r="H24"/>
          <cell r="I24" t="b">
            <v>0</v>
          </cell>
          <cell r="J24" t="b">
            <v>0</v>
          </cell>
          <cell r="K24" t="b">
            <v>1</v>
          </cell>
          <cell r="L24"/>
          <cell r="M24" t="str">
            <v>icon_battle_critical</v>
          </cell>
          <cell r="N24" t="str">
            <v>Buff.Name.CriticalUp</v>
          </cell>
          <cell r="O24" t="str">
            <v>Buff.Desc.CriticalUp</v>
          </cell>
        </row>
        <row r="25">
          <cell r="A25" t="str">
            <v>critical.30</v>
          </cell>
          <cell r="B25"/>
          <cell r="C25"/>
          <cell r="D25">
            <v>0</v>
          </cell>
          <cell r="E25">
            <v>0</v>
          </cell>
          <cell r="F25">
            <v>0</v>
          </cell>
          <cell r="G25" t="str">
            <v>critical.30</v>
          </cell>
          <cell r="H25"/>
          <cell r="I25" t="b">
            <v>0</v>
          </cell>
          <cell r="J25" t="b">
            <v>0</v>
          </cell>
          <cell r="K25" t="b">
            <v>1</v>
          </cell>
          <cell r="L25"/>
          <cell r="M25" t="str">
            <v>icon_battle_critical</v>
          </cell>
          <cell r="N25" t="str">
            <v>Buff.Name.CriticalUp</v>
          </cell>
          <cell r="O25" t="str">
            <v>Buff.Desc.CriticalUp</v>
          </cell>
        </row>
        <row r="26">
          <cell r="A26" t="str">
            <v>critical.35</v>
          </cell>
          <cell r="B26"/>
          <cell r="C26"/>
          <cell r="D26">
            <v>0</v>
          </cell>
          <cell r="E26">
            <v>0</v>
          </cell>
          <cell r="F26">
            <v>0</v>
          </cell>
          <cell r="G26" t="str">
            <v>critical.35</v>
          </cell>
          <cell r="H26"/>
          <cell r="I26" t="b">
            <v>0</v>
          </cell>
          <cell r="J26" t="b">
            <v>0</v>
          </cell>
          <cell r="K26" t="b">
            <v>1</v>
          </cell>
          <cell r="L26"/>
          <cell r="M26" t="str">
            <v>icon_battle_critical</v>
          </cell>
          <cell r="N26" t="str">
            <v>Buff.Name.CriticalUp</v>
          </cell>
          <cell r="O26" t="str">
            <v>Buff.Desc.CriticalUp</v>
          </cell>
        </row>
        <row r="27">
          <cell r="A27" t="str">
            <v>critical.40</v>
          </cell>
          <cell r="B27"/>
          <cell r="C27"/>
          <cell r="D27">
            <v>0</v>
          </cell>
          <cell r="E27">
            <v>0</v>
          </cell>
          <cell r="F27">
            <v>0</v>
          </cell>
          <cell r="G27" t="str">
            <v>critical.40</v>
          </cell>
          <cell r="H27"/>
          <cell r="I27" t="b">
            <v>0</v>
          </cell>
          <cell r="J27" t="b">
            <v>0</v>
          </cell>
          <cell r="K27" t="b">
            <v>1</v>
          </cell>
          <cell r="L27"/>
          <cell r="M27" t="str">
            <v>icon_battle_critical</v>
          </cell>
          <cell r="N27" t="str">
            <v>Buff.Name.CriticalUp</v>
          </cell>
          <cell r="O27" t="str">
            <v>Buff.Desc.CriticalUp</v>
          </cell>
        </row>
        <row r="28">
          <cell r="A28" t="str">
            <v>critical.45</v>
          </cell>
          <cell r="B28"/>
          <cell r="C28"/>
          <cell r="D28">
            <v>0</v>
          </cell>
          <cell r="E28">
            <v>0</v>
          </cell>
          <cell r="F28">
            <v>0</v>
          </cell>
          <cell r="G28" t="str">
            <v>critical.45</v>
          </cell>
          <cell r="H28"/>
          <cell r="I28" t="b">
            <v>0</v>
          </cell>
          <cell r="J28" t="b">
            <v>0</v>
          </cell>
          <cell r="K28" t="b">
            <v>1</v>
          </cell>
          <cell r="L28"/>
          <cell r="M28" t="str">
            <v>icon_battle_critical</v>
          </cell>
          <cell r="N28" t="str">
            <v>Buff.Name.CriticalUp</v>
          </cell>
          <cell r="O28" t="str">
            <v>Buff.Desc.CriticalUp</v>
          </cell>
        </row>
        <row r="29">
          <cell r="A29" t="str">
            <v>critical.50</v>
          </cell>
          <cell r="B29"/>
          <cell r="C29"/>
          <cell r="D29">
            <v>0</v>
          </cell>
          <cell r="E29">
            <v>0</v>
          </cell>
          <cell r="F29">
            <v>0</v>
          </cell>
          <cell r="G29" t="str">
            <v>critical.50</v>
          </cell>
          <cell r="H29"/>
          <cell r="I29" t="b">
            <v>0</v>
          </cell>
          <cell r="J29" t="b">
            <v>0</v>
          </cell>
          <cell r="K29" t="b">
            <v>1</v>
          </cell>
          <cell r="L29"/>
          <cell r="M29" t="str">
            <v>icon_battle_critical</v>
          </cell>
          <cell r="N29" t="str">
            <v>Buff.Name.CriticalUp</v>
          </cell>
          <cell r="O29" t="str">
            <v>Buff.Desc.CriticalUp</v>
          </cell>
        </row>
        <row r="30">
          <cell r="A30" t="str">
            <v>critical.60</v>
          </cell>
          <cell r="B30"/>
          <cell r="C30"/>
          <cell r="D30">
            <v>0</v>
          </cell>
          <cell r="E30">
            <v>0</v>
          </cell>
          <cell r="F30">
            <v>0</v>
          </cell>
          <cell r="G30" t="str">
            <v>critical.60</v>
          </cell>
          <cell r="H30"/>
          <cell r="I30" t="b">
            <v>0</v>
          </cell>
          <cell r="J30" t="b">
            <v>0</v>
          </cell>
          <cell r="K30" t="b">
            <v>1</v>
          </cell>
          <cell r="L30"/>
          <cell r="M30" t="str">
            <v>icon_battle_critical</v>
          </cell>
          <cell r="N30" t="str">
            <v>Buff.Name.CriticalUp</v>
          </cell>
          <cell r="O30" t="str">
            <v>Buff.Desc.CriticalUp</v>
          </cell>
        </row>
        <row r="31">
          <cell r="A31" t="str">
            <v>critical.100</v>
          </cell>
          <cell r="B31"/>
          <cell r="C31"/>
          <cell r="D31">
            <v>0</v>
          </cell>
          <cell r="E31">
            <v>0</v>
          </cell>
          <cell r="F31">
            <v>0</v>
          </cell>
          <cell r="G31" t="str">
            <v>critical.100</v>
          </cell>
          <cell r="H31"/>
          <cell r="I31" t="b">
            <v>0</v>
          </cell>
          <cell r="J31" t="b">
            <v>0</v>
          </cell>
          <cell r="K31" t="b">
            <v>1</v>
          </cell>
          <cell r="L31"/>
          <cell r="M31" t="str">
            <v>icon_battle_critical</v>
          </cell>
          <cell r="N31" t="str">
            <v>Buff.Name.CriticalUp</v>
          </cell>
          <cell r="O31" t="str">
            <v>Buff.Desc.CriticalUp</v>
          </cell>
        </row>
        <row r="32">
          <cell r="A32" t="str">
            <v>ignoredefense.10</v>
          </cell>
          <cell r="B32"/>
          <cell r="C32"/>
          <cell r="D32">
            <v>0</v>
          </cell>
          <cell r="E32">
            <v>0</v>
          </cell>
          <cell r="F32">
            <v>0</v>
          </cell>
          <cell r="G32" t="str">
            <v>ignoredefense.10</v>
          </cell>
          <cell r="H32"/>
          <cell r="I32" t="b">
            <v>0</v>
          </cell>
          <cell r="J32" t="b">
            <v>0</v>
          </cell>
          <cell r="K32" t="b">
            <v>1</v>
          </cell>
          <cell r="L32"/>
          <cell r="M32" t="str">
            <v>icon_battle_ignoredefense</v>
          </cell>
          <cell r="N32" t="str">
            <v>Buff.Name.IgnoredefenseUp</v>
          </cell>
          <cell r="O32" t="str">
            <v>Buff.Desc.IgnoredefenseUp</v>
          </cell>
        </row>
        <row r="33">
          <cell r="A33" t="str">
            <v>ignoredefense.20</v>
          </cell>
          <cell r="B33"/>
          <cell r="C33"/>
          <cell r="D33">
            <v>0</v>
          </cell>
          <cell r="E33">
            <v>0</v>
          </cell>
          <cell r="F33">
            <v>0</v>
          </cell>
          <cell r="G33" t="str">
            <v>ignoredefense.20</v>
          </cell>
          <cell r="H33"/>
          <cell r="I33" t="b">
            <v>0</v>
          </cell>
          <cell r="J33" t="b">
            <v>0</v>
          </cell>
          <cell r="K33" t="b">
            <v>1</v>
          </cell>
          <cell r="L33"/>
          <cell r="M33" t="str">
            <v>icon_battle_ignoredefense</v>
          </cell>
          <cell r="N33" t="str">
            <v>Buff.Name.IgnoredefenseUp</v>
          </cell>
          <cell r="O33" t="str">
            <v>Buff.Desc.IgnoredefenseUp</v>
          </cell>
        </row>
        <row r="34">
          <cell r="A34" t="str">
            <v>ignoredefense.25</v>
          </cell>
          <cell r="B34"/>
          <cell r="C34"/>
          <cell r="D34">
            <v>0</v>
          </cell>
          <cell r="E34">
            <v>0</v>
          </cell>
          <cell r="F34">
            <v>0</v>
          </cell>
          <cell r="G34" t="str">
            <v>ignoredefense.25</v>
          </cell>
          <cell r="H34"/>
          <cell r="I34" t="b">
            <v>0</v>
          </cell>
          <cell r="J34" t="b">
            <v>0</v>
          </cell>
          <cell r="K34" t="b">
            <v>1</v>
          </cell>
          <cell r="L34"/>
          <cell r="M34" t="str">
            <v>icon_battle_ignoredefense</v>
          </cell>
          <cell r="N34" t="str">
            <v>Buff.Name.IgnoredefenseUp</v>
          </cell>
          <cell r="O34" t="str">
            <v>Buff.Desc.IgnoredefenseUp</v>
          </cell>
        </row>
        <row r="35">
          <cell r="A35" t="str">
            <v>ignoredefense.30</v>
          </cell>
          <cell r="B35"/>
          <cell r="C35"/>
          <cell r="D35">
            <v>0</v>
          </cell>
          <cell r="E35">
            <v>0</v>
          </cell>
          <cell r="F35">
            <v>0</v>
          </cell>
          <cell r="G35" t="str">
            <v>ignoredefense.30</v>
          </cell>
          <cell r="H35"/>
          <cell r="I35" t="b">
            <v>0</v>
          </cell>
          <cell r="J35" t="b">
            <v>0</v>
          </cell>
          <cell r="K35" t="b">
            <v>1</v>
          </cell>
          <cell r="L35"/>
          <cell r="M35" t="str">
            <v>icon_battle_ignoredefense</v>
          </cell>
          <cell r="N35" t="str">
            <v>Buff.Name.IgnoredefenseUp</v>
          </cell>
          <cell r="O35" t="str">
            <v>Buff.Desc.IgnoredefenseUp</v>
          </cell>
        </row>
        <row r="36">
          <cell r="A36" t="str">
            <v>ignoredefense.35</v>
          </cell>
          <cell r="B36"/>
          <cell r="C36"/>
          <cell r="D36">
            <v>0</v>
          </cell>
          <cell r="E36">
            <v>0</v>
          </cell>
          <cell r="F36">
            <v>0</v>
          </cell>
          <cell r="G36" t="str">
            <v>ignoredefense.35</v>
          </cell>
          <cell r="H36"/>
          <cell r="I36" t="b">
            <v>0</v>
          </cell>
          <cell r="J36" t="b">
            <v>0</v>
          </cell>
          <cell r="K36" t="b">
            <v>1</v>
          </cell>
          <cell r="L36"/>
          <cell r="M36" t="str">
            <v>icon_battle_ignoredefense</v>
          </cell>
          <cell r="N36" t="str">
            <v>Buff.Name.IgnoredefenseUp</v>
          </cell>
          <cell r="O36" t="str">
            <v>Buff.Desc.IgnoredefenseUp</v>
          </cell>
        </row>
        <row r="37">
          <cell r="A37" t="str">
            <v>ignoredefense.40</v>
          </cell>
          <cell r="B37"/>
          <cell r="C37"/>
          <cell r="D37">
            <v>0</v>
          </cell>
          <cell r="E37">
            <v>0</v>
          </cell>
          <cell r="F37">
            <v>0</v>
          </cell>
          <cell r="G37" t="str">
            <v>ignoredefense.40</v>
          </cell>
          <cell r="H37"/>
          <cell r="I37" t="b">
            <v>0</v>
          </cell>
          <cell r="J37" t="b">
            <v>0</v>
          </cell>
          <cell r="K37" t="b">
            <v>1</v>
          </cell>
          <cell r="L37"/>
          <cell r="M37" t="str">
            <v>icon_battle_ignoredefense</v>
          </cell>
          <cell r="N37" t="str">
            <v>Buff.Name.IgnoredefenseUp</v>
          </cell>
          <cell r="O37" t="str">
            <v>Buff.Desc.IgnoredefenseUp</v>
          </cell>
        </row>
        <row r="38">
          <cell r="A38" t="str">
            <v>ignoredefense.45</v>
          </cell>
          <cell r="B38"/>
          <cell r="C38"/>
          <cell r="D38">
            <v>0</v>
          </cell>
          <cell r="E38">
            <v>0</v>
          </cell>
          <cell r="F38">
            <v>0</v>
          </cell>
          <cell r="G38" t="str">
            <v>ignoredefense.45</v>
          </cell>
          <cell r="H38"/>
          <cell r="I38" t="b">
            <v>0</v>
          </cell>
          <cell r="J38" t="b">
            <v>0</v>
          </cell>
          <cell r="K38" t="b">
            <v>1</v>
          </cell>
          <cell r="L38"/>
          <cell r="M38" t="str">
            <v>icon_battle_ignoredefense</v>
          </cell>
          <cell r="N38" t="str">
            <v>Buff.Name.IgnoredefenseUp</v>
          </cell>
          <cell r="O38" t="str">
            <v>Buff.Desc.IgnoredefenseUp</v>
          </cell>
        </row>
        <row r="39">
          <cell r="A39" t="str">
            <v>ignoredefense.50</v>
          </cell>
          <cell r="B39"/>
          <cell r="C39"/>
          <cell r="D39">
            <v>0</v>
          </cell>
          <cell r="E39">
            <v>0</v>
          </cell>
          <cell r="F39">
            <v>0</v>
          </cell>
          <cell r="G39" t="str">
            <v>ignoredefense.50</v>
          </cell>
          <cell r="H39"/>
          <cell r="I39" t="b">
            <v>0</v>
          </cell>
          <cell r="J39" t="b">
            <v>0</v>
          </cell>
          <cell r="K39" t="b">
            <v>1</v>
          </cell>
          <cell r="L39"/>
          <cell r="M39" t="str">
            <v>icon_battle_ignoredefense</v>
          </cell>
          <cell r="N39" t="str">
            <v>Buff.Name.IgnoredefenseUp</v>
          </cell>
          <cell r="O39" t="str">
            <v>Buff.Desc.IgnoredefenseUp</v>
          </cell>
        </row>
        <row r="40">
          <cell r="A40" t="str">
            <v>ignoredefense.55</v>
          </cell>
          <cell r="B40"/>
          <cell r="C40"/>
          <cell r="D40">
            <v>0</v>
          </cell>
          <cell r="E40">
            <v>0</v>
          </cell>
          <cell r="F40">
            <v>0</v>
          </cell>
          <cell r="G40" t="str">
            <v>ignoredefense.55</v>
          </cell>
          <cell r="H40"/>
          <cell r="I40" t="b">
            <v>0</v>
          </cell>
          <cell r="J40" t="b">
            <v>0</v>
          </cell>
          <cell r="K40" t="b">
            <v>1</v>
          </cell>
          <cell r="L40"/>
          <cell r="M40" t="str">
            <v>icon_battle_ignoredefense</v>
          </cell>
          <cell r="N40" t="str">
            <v>Buff.Name.IgnoredefenseUp</v>
          </cell>
          <cell r="O40" t="str">
            <v>Buff.Desc.IgnoredefenseUp</v>
          </cell>
        </row>
        <row r="41">
          <cell r="A41" t="str">
            <v>ignoredefense.60</v>
          </cell>
          <cell r="B41"/>
          <cell r="C41"/>
          <cell r="D41">
            <v>0</v>
          </cell>
          <cell r="E41">
            <v>0</v>
          </cell>
          <cell r="F41">
            <v>0</v>
          </cell>
          <cell r="G41" t="str">
            <v>ignoredefense.60</v>
          </cell>
          <cell r="H41"/>
          <cell r="I41" t="b">
            <v>0</v>
          </cell>
          <cell r="J41" t="b">
            <v>0</v>
          </cell>
          <cell r="K41" t="b">
            <v>1</v>
          </cell>
          <cell r="L41"/>
          <cell r="M41" t="str">
            <v>icon_battle_ignoredefense</v>
          </cell>
          <cell r="N41" t="str">
            <v>Buff.Name.IgnoredefenseUp</v>
          </cell>
          <cell r="O41" t="str">
            <v>Buff.Desc.IgnoredefenseUp</v>
          </cell>
        </row>
        <row r="42">
          <cell r="A42" t="str">
            <v>ignoredefense.65</v>
          </cell>
          <cell r="B42"/>
          <cell r="C42"/>
          <cell r="D42">
            <v>0</v>
          </cell>
          <cell r="E42">
            <v>0</v>
          </cell>
          <cell r="F42">
            <v>0</v>
          </cell>
          <cell r="G42" t="str">
            <v>ignoredefense.65</v>
          </cell>
          <cell r="H42"/>
          <cell r="I42" t="b">
            <v>0</v>
          </cell>
          <cell r="J42" t="b">
            <v>0</v>
          </cell>
          <cell r="K42" t="b">
            <v>1</v>
          </cell>
          <cell r="L42"/>
          <cell r="M42" t="str">
            <v>icon_battle_ignoredefense</v>
          </cell>
          <cell r="N42" t="str">
            <v>Buff.Name.IgnoredefenseUp</v>
          </cell>
          <cell r="O42" t="str">
            <v>Buff.Desc.IgnoredefenseUp</v>
          </cell>
        </row>
        <row r="43">
          <cell r="A43" t="str">
            <v>ignoredefense.70</v>
          </cell>
          <cell r="B43"/>
          <cell r="C43"/>
          <cell r="D43">
            <v>0</v>
          </cell>
          <cell r="E43">
            <v>0</v>
          </cell>
          <cell r="F43">
            <v>0</v>
          </cell>
          <cell r="G43" t="str">
            <v>ignoredefense.70</v>
          </cell>
          <cell r="H43"/>
          <cell r="I43" t="b">
            <v>0</v>
          </cell>
          <cell r="J43" t="b">
            <v>0</v>
          </cell>
          <cell r="K43" t="b">
            <v>1</v>
          </cell>
          <cell r="L43"/>
          <cell r="M43" t="str">
            <v>icon_battle_ignoredefense</v>
          </cell>
          <cell r="N43" t="str">
            <v>Buff.Name.IgnoredefenseUp</v>
          </cell>
          <cell r="O43" t="str">
            <v>Buff.Desc.IgnoredefenseUp</v>
          </cell>
        </row>
        <row r="44">
          <cell r="A44" t="str">
            <v>ignoredefense.75</v>
          </cell>
          <cell r="B44"/>
          <cell r="C44"/>
          <cell r="D44">
            <v>0</v>
          </cell>
          <cell r="E44">
            <v>0</v>
          </cell>
          <cell r="F44">
            <v>0</v>
          </cell>
          <cell r="G44" t="str">
            <v>ignoredefense.75</v>
          </cell>
          <cell r="H44"/>
          <cell r="I44" t="b">
            <v>0</v>
          </cell>
          <cell r="J44" t="b">
            <v>0</v>
          </cell>
          <cell r="K44" t="b">
            <v>1</v>
          </cell>
          <cell r="L44"/>
          <cell r="M44" t="str">
            <v>icon_battle_ignoredefense</v>
          </cell>
          <cell r="N44" t="str">
            <v>Buff.Name.IgnoredefenseUp</v>
          </cell>
          <cell r="O44" t="str">
            <v>Buff.Desc.IgnoredefenseUp</v>
          </cell>
        </row>
        <row r="45">
          <cell r="A45" t="str">
            <v>ignoredefense.80</v>
          </cell>
          <cell r="B45"/>
          <cell r="C45"/>
          <cell r="D45">
            <v>0</v>
          </cell>
          <cell r="E45">
            <v>0</v>
          </cell>
          <cell r="F45">
            <v>0</v>
          </cell>
          <cell r="G45" t="str">
            <v>ignoredefense.80</v>
          </cell>
          <cell r="H45"/>
          <cell r="I45" t="b">
            <v>0</v>
          </cell>
          <cell r="J45" t="b">
            <v>0</v>
          </cell>
          <cell r="K45" t="b">
            <v>1</v>
          </cell>
          <cell r="L45"/>
          <cell r="M45" t="str">
            <v>icon_battle_ignoredefense</v>
          </cell>
          <cell r="N45" t="str">
            <v>Buff.Name.IgnoredefenseUp</v>
          </cell>
          <cell r="O45" t="str">
            <v>Buff.Desc.IgnoredefenseUp</v>
          </cell>
        </row>
        <row r="46">
          <cell r="A46" t="str">
            <v>ignoredefense.85</v>
          </cell>
          <cell r="B46"/>
          <cell r="C46"/>
          <cell r="D46">
            <v>0</v>
          </cell>
          <cell r="E46">
            <v>0</v>
          </cell>
          <cell r="F46">
            <v>0</v>
          </cell>
          <cell r="G46" t="str">
            <v>ignoredefense.85</v>
          </cell>
          <cell r="H46"/>
          <cell r="I46" t="b">
            <v>0</v>
          </cell>
          <cell r="J46" t="b">
            <v>0</v>
          </cell>
          <cell r="K46" t="b">
            <v>1</v>
          </cell>
          <cell r="L46"/>
          <cell r="M46" t="str">
            <v>icon_battle_ignoredefense</v>
          </cell>
          <cell r="N46" t="str">
            <v>Buff.Name.IgnoredefenseUp</v>
          </cell>
          <cell r="O46" t="str">
            <v>Buff.Desc.IgnoredefenseUp</v>
          </cell>
        </row>
        <row r="47">
          <cell r="A47" t="str">
            <v>ignoredefense.90</v>
          </cell>
          <cell r="B47"/>
          <cell r="C47"/>
          <cell r="D47">
            <v>0</v>
          </cell>
          <cell r="E47">
            <v>0</v>
          </cell>
          <cell r="F47">
            <v>0</v>
          </cell>
          <cell r="G47" t="str">
            <v>ignoredefense.90</v>
          </cell>
          <cell r="H47"/>
          <cell r="I47" t="b">
            <v>0</v>
          </cell>
          <cell r="J47" t="b">
            <v>0</v>
          </cell>
          <cell r="K47" t="b">
            <v>1</v>
          </cell>
          <cell r="L47"/>
          <cell r="M47" t="str">
            <v>icon_battle_ignoredefense</v>
          </cell>
          <cell r="N47" t="str">
            <v>Buff.Name.IgnoredefenseUp</v>
          </cell>
          <cell r="O47" t="str">
            <v>Buff.Desc.IgnoredefenseUp</v>
          </cell>
        </row>
        <row r="48">
          <cell r="A48" t="str">
            <v>ignoredefense.95</v>
          </cell>
          <cell r="B48"/>
          <cell r="C48"/>
          <cell r="D48">
            <v>0</v>
          </cell>
          <cell r="E48">
            <v>0</v>
          </cell>
          <cell r="F48">
            <v>0</v>
          </cell>
          <cell r="G48" t="str">
            <v>ignoredefense.95</v>
          </cell>
          <cell r="H48"/>
          <cell r="I48" t="b">
            <v>0</v>
          </cell>
          <cell r="J48" t="b">
            <v>0</v>
          </cell>
          <cell r="K48" t="b">
            <v>1</v>
          </cell>
          <cell r="L48"/>
          <cell r="M48" t="str">
            <v>icon_battle_ignoredefense</v>
          </cell>
          <cell r="N48" t="str">
            <v>Buff.Name.IgnoredefenseUp</v>
          </cell>
          <cell r="O48" t="str">
            <v>Buff.Desc.IgnoredefenseUp</v>
          </cell>
        </row>
        <row r="49">
          <cell r="A49" t="str">
            <v>ignoredefense.100</v>
          </cell>
          <cell r="B49"/>
          <cell r="C49"/>
          <cell r="D49">
            <v>0</v>
          </cell>
          <cell r="E49">
            <v>0</v>
          </cell>
          <cell r="F49">
            <v>0</v>
          </cell>
          <cell r="G49" t="str">
            <v>ignoredefense.100</v>
          </cell>
          <cell r="H49"/>
          <cell r="I49" t="b">
            <v>0</v>
          </cell>
          <cell r="J49" t="b">
            <v>0</v>
          </cell>
          <cell r="K49" t="b">
            <v>1</v>
          </cell>
          <cell r="L49"/>
          <cell r="M49" t="str">
            <v>icon_battle_ignoredefense</v>
          </cell>
          <cell r="N49" t="str">
            <v>Buff.Name.IgnoredefenseUp</v>
          </cell>
          <cell r="O49" t="str">
            <v>Buff.Desc.IgnoredefenseUp</v>
          </cell>
        </row>
        <row r="50">
          <cell r="A50" t="str">
            <v>evasion.50</v>
          </cell>
          <cell r="B50"/>
          <cell r="C50"/>
          <cell r="D50">
            <v>0</v>
          </cell>
          <cell r="E50">
            <v>0</v>
          </cell>
          <cell r="F50">
            <v>0</v>
          </cell>
          <cell r="G50" t="str">
            <v>evasion.50</v>
          </cell>
          <cell r="H50"/>
          <cell r="I50" t="b">
            <v>0</v>
          </cell>
          <cell r="J50" t="b">
            <v>0</v>
          </cell>
          <cell r="K50" t="b">
            <v>1</v>
          </cell>
          <cell r="L50"/>
          <cell r="M50" t="str">
            <v>icon_battle_evasion</v>
          </cell>
          <cell r="N50" t="str">
            <v>Buff.Name.EvasionUp</v>
          </cell>
          <cell r="O50" t="str">
            <v>Buff.Desc.EvasionUp</v>
          </cell>
        </row>
        <row r="51">
          <cell r="A51" t="str">
            <v>evasion.100</v>
          </cell>
          <cell r="B51"/>
          <cell r="C51"/>
          <cell r="D51">
            <v>0</v>
          </cell>
          <cell r="E51">
            <v>0</v>
          </cell>
          <cell r="F51">
            <v>0</v>
          </cell>
          <cell r="G51" t="str">
            <v>evasion.100</v>
          </cell>
          <cell r="H51"/>
          <cell r="I51" t="b">
            <v>0</v>
          </cell>
          <cell r="J51" t="b">
            <v>0</v>
          </cell>
          <cell r="K51" t="b">
            <v>1</v>
          </cell>
          <cell r="L51"/>
          <cell r="M51" t="str">
            <v>icon_battle_evasion</v>
          </cell>
          <cell r="N51" t="str">
            <v>Buff.Name.EvasionUp</v>
          </cell>
          <cell r="O51" t="str">
            <v>Buff.Desc.EvasionUp</v>
          </cell>
        </row>
        <row r="52">
          <cell r="A52" t="str">
            <v>accuracy.20</v>
          </cell>
          <cell r="B52"/>
          <cell r="C52"/>
          <cell r="D52">
            <v>0</v>
          </cell>
          <cell r="E52">
            <v>0</v>
          </cell>
          <cell r="F52">
            <v>0</v>
          </cell>
          <cell r="G52" t="str">
            <v>accuracy.20</v>
          </cell>
          <cell r="H52"/>
          <cell r="I52" t="b">
            <v>0</v>
          </cell>
          <cell r="J52" t="b">
            <v>0</v>
          </cell>
          <cell r="K52" t="b">
            <v>1</v>
          </cell>
          <cell r="L52"/>
          <cell r="M52" t="str">
            <v>icon_battle_accuracy</v>
          </cell>
          <cell r="N52" t="str">
            <v>Buff.Name.AccuracyUp</v>
          </cell>
          <cell r="O52" t="str">
            <v>Buff.Desc.AccuracyUp</v>
          </cell>
        </row>
        <row r="53">
          <cell r="A53" t="str">
            <v>accuracy.30</v>
          </cell>
          <cell r="B53"/>
          <cell r="C53"/>
          <cell r="D53">
            <v>0</v>
          </cell>
          <cell r="E53">
            <v>0</v>
          </cell>
          <cell r="F53">
            <v>0</v>
          </cell>
          <cell r="G53" t="str">
            <v>accuracy.30</v>
          </cell>
          <cell r="H53"/>
          <cell r="I53" t="b">
            <v>0</v>
          </cell>
          <cell r="J53" t="b">
            <v>0</v>
          </cell>
          <cell r="K53" t="b">
            <v>1</v>
          </cell>
          <cell r="L53"/>
          <cell r="M53" t="str">
            <v>icon_battle_accuracy</v>
          </cell>
          <cell r="N53" t="str">
            <v>Buff.Name.AccuracyUp</v>
          </cell>
          <cell r="O53" t="str">
            <v>Buff.Desc.AccuracyUp</v>
          </cell>
        </row>
        <row r="54">
          <cell r="A54" t="str">
            <v>accuracy.50</v>
          </cell>
          <cell r="B54"/>
          <cell r="C54"/>
          <cell r="D54">
            <v>0</v>
          </cell>
          <cell r="E54">
            <v>0</v>
          </cell>
          <cell r="F54">
            <v>0</v>
          </cell>
          <cell r="G54" t="str">
            <v>accuracy.50</v>
          </cell>
          <cell r="H54"/>
          <cell r="I54" t="b">
            <v>0</v>
          </cell>
          <cell r="J54" t="b">
            <v>0</v>
          </cell>
          <cell r="K54" t="b">
            <v>1</v>
          </cell>
          <cell r="L54"/>
          <cell r="M54" t="str">
            <v>icon_battle_accuracy</v>
          </cell>
          <cell r="N54" t="str">
            <v>Buff.Name.AccuracyUp</v>
          </cell>
          <cell r="O54" t="str">
            <v>Buff.Desc.AccuracyUp</v>
          </cell>
        </row>
        <row r="55">
          <cell r="A55" t="str">
            <v>accuracy.100</v>
          </cell>
          <cell r="B55"/>
          <cell r="C55"/>
          <cell r="D55">
            <v>0</v>
          </cell>
          <cell r="E55">
            <v>0</v>
          </cell>
          <cell r="F55">
            <v>0</v>
          </cell>
          <cell r="G55" t="str">
            <v>accuracy.100</v>
          </cell>
          <cell r="H55"/>
          <cell r="I55" t="b">
            <v>0</v>
          </cell>
          <cell r="J55" t="b">
            <v>0</v>
          </cell>
          <cell r="K55" t="b">
            <v>1</v>
          </cell>
          <cell r="L55"/>
          <cell r="M55" t="str">
            <v>icon_battle_accuracy</v>
          </cell>
          <cell r="N55" t="str">
            <v>Buff.Name.AccuracyUp</v>
          </cell>
          <cell r="O55" t="str">
            <v>Buff.Desc.AccuracyUp</v>
          </cell>
        </row>
        <row r="56">
          <cell r="A56" t="str">
            <v>knockback50</v>
          </cell>
          <cell r="B56"/>
          <cell r="C56"/>
          <cell r="D56">
            <v>50</v>
          </cell>
          <cell r="E56">
            <v>0</v>
          </cell>
          <cell r="F56">
            <v>0</v>
          </cell>
          <cell r="G56" t="str">
            <v>knockback</v>
          </cell>
          <cell r="H56"/>
          <cell r="I56" t="b">
            <v>0</v>
          </cell>
          <cell r="J56" t="b">
            <v>0</v>
          </cell>
          <cell r="K56" t="b">
            <v>0</v>
          </cell>
          <cell r="L56"/>
          <cell r="M56"/>
          <cell r="N56"/>
          <cell r="O56"/>
        </row>
        <row r="57">
          <cell r="A57" t="str">
            <v>knockback100</v>
          </cell>
          <cell r="B57"/>
          <cell r="C57"/>
          <cell r="D57">
            <v>100</v>
          </cell>
          <cell r="E57">
            <v>0</v>
          </cell>
          <cell r="F57">
            <v>0</v>
          </cell>
          <cell r="G57" t="str">
            <v>knockback</v>
          </cell>
          <cell r="H57"/>
          <cell r="I57" t="b">
            <v>0</v>
          </cell>
          <cell r="J57" t="b">
            <v>0</v>
          </cell>
          <cell r="K57" t="b">
            <v>0</v>
          </cell>
          <cell r="L57"/>
          <cell r="M57"/>
          <cell r="N57"/>
          <cell r="O57"/>
        </row>
        <row r="58">
          <cell r="A58" t="str">
            <v>knockback150</v>
          </cell>
          <cell r="B58"/>
          <cell r="C58"/>
          <cell r="D58">
            <v>150</v>
          </cell>
          <cell r="E58">
            <v>0</v>
          </cell>
          <cell r="F58">
            <v>0</v>
          </cell>
          <cell r="G58" t="str">
            <v>knockback</v>
          </cell>
          <cell r="H58"/>
          <cell r="I58" t="b">
            <v>0</v>
          </cell>
          <cell r="J58" t="b">
            <v>0</v>
          </cell>
          <cell r="K58" t="b">
            <v>0</v>
          </cell>
          <cell r="L58"/>
          <cell r="M58"/>
          <cell r="N58"/>
          <cell r="O58"/>
        </row>
        <row r="59">
          <cell r="A59" t="str">
            <v>knockback200</v>
          </cell>
          <cell r="B59"/>
          <cell r="C59"/>
          <cell r="D59">
            <v>200</v>
          </cell>
          <cell r="E59">
            <v>0</v>
          </cell>
          <cell r="F59">
            <v>0</v>
          </cell>
          <cell r="G59" t="str">
            <v>knockback</v>
          </cell>
          <cell r="H59"/>
          <cell r="I59" t="b">
            <v>0</v>
          </cell>
          <cell r="J59" t="b">
            <v>0</v>
          </cell>
          <cell r="K59" t="b">
            <v>0</v>
          </cell>
          <cell r="L59"/>
          <cell r="M59"/>
          <cell r="N59"/>
          <cell r="O59"/>
        </row>
        <row r="60">
          <cell r="A60" t="str">
            <v>knockback250</v>
          </cell>
          <cell r="B60"/>
          <cell r="C60"/>
          <cell r="D60">
            <v>250</v>
          </cell>
          <cell r="E60">
            <v>0</v>
          </cell>
          <cell r="F60">
            <v>0</v>
          </cell>
          <cell r="G60" t="str">
            <v>knockback</v>
          </cell>
          <cell r="H60"/>
          <cell r="I60" t="b">
            <v>0</v>
          </cell>
          <cell r="J60" t="b">
            <v>0</v>
          </cell>
          <cell r="K60" t="b">
            <v>0</v>
          </cell>
          <cell r="L60"/>
          <cell r="M60"/>
          <cell r="N60"/>
          <cell r="O60"/>
        </row>
        <row r="61">
          <cell r="A61" t="str">
            <v>knockback300</v>
          </cell>
          <cell r="B61"/>
          <cell r="C61"/>
          <cell r="D61">
            <v>300</v>
          </cell>
          <cell r="E61">
            <v>0</v>
          </cell>
          <cell r="F61">
            <v>0</v>
          </cell>
          <cell r="G61" t="str">
            <v>knockback</v>
          </cell>
          <cell r="H61"/>
          <cell r="I61" t="b">
            <v>0</v>
          </cell>
          <cell r="J61" t="b">
            <v>0</v>
          </cell>
          <cell r="K61" t="b">
            <v>0</v>
          </cell>
          <cell r="L61"/>
          <cell r="M61"/>
          <cell r="N61"/>
          <cell r="O61"/>
        </row>
        <row r="62">
          <cell r="A62" t="str">
            <v>pushed100</v>
          </cell>
          <cell r="B62"/>
          <cell r="C62"/>
          <cell r="D62">
            <v>100</v>
          </cell>
          <cell r="E62">
            <v>0</v>
          </cell>
          <cell r="F62">
            <v>0</v>
          </cell>
          <cell r="G62" t="str">
            <v>pushed</v>
          </cell>
          <cell r="H62"/>
          <cell r="I62" t="b">
            <v>0</v>
          </cell>
          <cell r="J62" t="b">
            <v>0</v>
          </cell>
          <cell r="K62" t="b">
            <v>0</v>
          </cell>
          <cell r="L62"/>
          <cell r="M62"/>
          <cell r="N62"/>
          <cell r="O62"/>
        </row>
        <row r="63">
          <cell r="A63" t="str">
            <v>pushed150</v>
          </cell>
          <cell r="B63"/>
          <cell r="C63"/>
          <cell r="D63">
            <v>150</v>
          </cell>
          <cell r="E63">
            <v>0</v>
          </cell>
          <cell r="F63">
            <v>0</v>
          </cell>
          <cell r="G63" t="str">
            <v>pushed</v>
          </cell>
          <cell r="H63"/>
          <cell r="I63" t="b">
            <v>0</v>
          </cell>
          <cell r="J63" t="b">
            <v>0</v>
          </cell>
          <cell r="K63" t="b">
            <v>0</v>
          </cell>
          <cell r="L63"/>
          <cell r="M63"/>
          <cell r="N63"/>
          <cell r="O63"/>
        </row>
        <row r="64">
          <cell r="A64" t="str">
            <v>pushed200</v>
          </cell>
          <cell r="B64"/>
          <cell r="C64"/>
          <cell r="D64">
            <v>200</v>
          </cell>
          <cell r="E64">
            <v>0</v>
          </cell>
          <cell r="F64">
            <v>0</v>
          </cell>
          <cell r="G64" t="str">
            <v>pushed</v>
          </cell>
          <cell r="H64"/>
          <cell r="I64" t="b">
            <v>0</v>
          </cell>
          <cell r="J64" t="b">
            <v>0</v>
          </cell>
          <cell r="K64" t="b">
            <v>0</v>
          </cell>
          <cell r="L64"/>
          <cell r="M64"/>
          <cell r="N64"/>
          <cell r="O64"/>
        </row>
        <row r="65">
          <cell r="A65" t="str">
            <v>exile.end.buff</v>
          </cell>
          <cell r="B65"/>
          <cell r="C65"/>
          <cell r="D65">
            <v>1000</v>
          </cell>
          <cell r="E65">
            <v>0</v>
          </cell>
          <cell r="F65">
            <v>0</v>
          </cell>
          <cell r="G65" t="str">
            <v>none</v>
          </cell>
          <cell r="H65"/>
          <cell r="I65" t="b">
            <v>0</v>
          </cell>
          <cell r="J65" t="b">
            <v>0</v>
          </cell>
          <cell r="K65" t="b">
            <v>0</v>
          </cell>
          <cell r="L65" t="str">
            <v>Effect/Prefab/10_buff/EFF_debuff_exile_ed</v>
          </cell>
          <cell r="M65"/>
          <cell r="N65"/>
          <cell r="O65"/>
        </row>
        <row r="66">
          <cell r="A66" t="str">
            <v>info.ccimmune</v>
          </cell>
          <cell r="B66"/>
          <cell r="C66"/>
          <cell r="D66">
            <v>0</v>
          </cell>
          <cell r="E66">
            <v>0</v>
          </cell>
          <cell r="F66">
            <v>0</v>
          </cell>
          <cell r="G66" t="str">
            <v>none</v>
          </cell>
          <cell r="H66"/>
          <cell r="I66" t="b">
            <v>0</v>
          </cell>
          <cell r="J66" t="b">
            <v>0</v>
          </cell>
          <cell r="K66" t="b">
            <v>1</v>
          </cell>
          <cell r="L66"/>
          <cell r="M66" t="str">
            <v>icon_battle_ccimmune</v>
          </cell>
          <cell r="N66" t="str">
            <v>Buff.Name.CCImmune</v>
          </cell>
          <cell r="O66" t="str">
            <v>Buff.Desc.CCImmune</v>
          </cell>
        </row>
        <row r="67">
          <cell r="A67" t="str">
            <v>info.damageimmune</v>
          </cell>
          <cell r="B67"/>
          <cell r="C67"/>
          <cell r="D67">
            <v>0</v>
          </cell>
          <cell r="E67">
            <v>0</v>
          </cell>
          <cell r="F67">
            <v>0</v>
          </cell>
          <cell r="G67" t="str">
            <v>none</v>
          </cell>
          <cell r="H67"/>
          <cell r="I67" t="b">
            <v>0</v>
          </cell>
          <cell r="J67" t="b">
            <v>0</v>
          </cell>
          <cell r="K67" t="b">
            <v>1</v>
          </cell>
          <cell r="L67"/>
          <cell r="M67" t="str">
            <v>icon_battle_damageimmune</v>
          </cell>
          <cell r="N67" t="str">
            <v>Buff.Name.DamageImmune</v>
          </cell>
          <cell r="O67" t="str">
            <v>Buff.Desc.DamageImmune</v>
          </cell>
        </row>
        <row r="68">
          <cell r="A68" t="str">
            <v>info.normaldamageimmune</v>
          </cell>
          <cell r="B68"/>
          <cell r="C68"/>
          <cell r="D68">
            <v>0</v>
          </cell>
          <cell r="E68">
            <v>0</v>
          </cell>
          <cell r="F68">
            <v>0</v>
          </cell>
          <cell r="G68" t="str">
            <v>none</v>
          </cell>
          <cell r="H68"/>
          <cell r="I68" t="b">
            <v>0</v>
          </cell>
          <cell r="J68" t="b">
            <v>0</v>
          </cell>
          <cell r="K68" t="b">
            <v>1</v>
          </cell>
          <cell r="L68"/>
          <cell r="M68" t="str">
            <v>icon_battle_damageimmune</v>
          </cell>
          <cell r="N68" t="str">
            <v>Buff.Name.NormalDamageImmune</v>
          </cell>
          <cell r="O68" t="str">
            <v>Buff.Desc.NormalDamageImmune</v>
          </cell>
        </row>
        <row r="69">
          <cell r="A69" t="str">
            <v>info.airborne</v>
          </cell>
          <cell r="B69"/>
          <cell r="C69"/>
          <cell r="D69">
            <v>0</v>
          </cell>
          <cell r="E69">
            <v>0</v>
          </cell>
          <cell r="F69">
            <v>0</v>
          </cell>
          <cell r="G69" t="str">
            <v>none</v>
          </cell>
          <cell r="H69"/>
          <cell r="I69" t="b">
            <v>0</v>
          </cell>
          <cell r="J69" t="b">
            <v>0</v>
          </cell>
          <cell r="K69" t="b">
            <v>0</v>
          </cell>
          <cell r="L69"/>
          <cell r="M69" t="str">
            <v>icon_cha_skill_backstep_u</v>
          </cell>
          <cell r="N69" t="str">
            <v>Buff.Name.Airborne</v>
          </cell>
          <cell r="O69" t="str">
            <v>Buff.Desc.Airborne</v>
          </cell>
        </row>
        <row r="70">
          <cell r="A70" t="str">
            <v>info.pull</v>
          </cell>
          <cell r="B70"/>
          <cell r="C70"/>
          <cell r="D70">
            <v>0</v>
          </cell>
          <cell r="E70">
            <v>0</v>
          </cell>
          <cell r="F70">
            <v>0</v>
          </cell>
          <cell r="G70" t="str">
            <v>none</v>
          </cell>
          <cell r="H70"/>
          <cell r="I70" t="b">
            <v>0</v>
          </cell>
          <cell r="J70" t="b">
            <v>0</v>
          </cell>
          <cell r="K70" t="b">
            <v>0</v>
          </cell>
          <cell r="L70"/>
          <cell r="M70" t="str">
            <v>icon_battle_grab</v>
          </cell>
          <cell r="N70" t="str">
            <v>Buff.Name.Pull</v>
          </cell>
          <cell r="O70" t="str">
            <v>Buff.Desc.Pull</v>
          </cell>
        </row>
        <row r="71">
          <cell r="A71" t="str">
            <v>info.knockback</v>
          </cell>
          <cell r="B71"/>
          <cell r="C71"/>
          <cell r="D71">
            <v>0</v>
          </cell>
          <cell r="E71">
            <v>0</v>
          </cell>
          <cell r="F71">
            <v>0</v>
          </cell>
          <cell r="G71" t="str">
            <v>none</v>
          </cell>
          <cell r="H71"/>
          <cell r="I71" t="b">
            <v>0</v>
          </cell>
          <cell r="J71" t="b">
            <v>0</v>
          </cell>
          <cell r="K71" t="b">
            <v>0</v>
          </cell>
          <cell r="L71"/>
          <cell r="M71" t="str">
            <v>icon_battle_knockback</v>
          </cell>
          <cell r="N71" t="str">
            <v>Buff.Name.KnockBack</v>
          </cell>
          <cell r="O71" t="str">
            <v>Buff.Desc.KnockBack</v>
          </cell>
        </row>
        <row r="72">
          <cell r="A72" t="str">
            <v>info.pushed</v>
          </cell>
          <cell r="B72"/>
          <cell r="C72"/>
          <cell r="D72">
            <v>0</v>
          </cell>
          <cell r="E72">
            <v>0</v>
          </cell>
          <cell r="F72">
            <v>0</v>
          </cell>
          <cell r="G72" t="str">
            <v>none</v>
          </cell>
          <cell r="H72"/>
          <cell r="I72" t="b">
            <v>0</v>
          </cell>
          <cell r="J72" t="b">
            <v>0</v>
          </cell>
          <cell r="K72" t="b">
            <v>1</v>
          </cell>
          <cell r="L72"/>
          <cell r="M72" t="str">
            <v>icon_cha_skill_backstep_u</v>
          </cell>
          <cell r="N72" t="str">
            <v>Buff.Name.Pushed</v>
          </cell>
          <cell r="O72" t="str">
            <v>Buff.Desc.Pushed</v>
          </cell>
        </row>
        <row r="73">
          <cell r="A73" t="str">
            <v>info.blackhole</v>
          </cell>
          <cell r="B73"/>
          <cell r="C73"/>
          <cell r="D73">
            <v>0</v>
          </cell>
          <cell r="E73">
            <v>0</v>
          </cell>
          <cell r="F73">
            <v>0</v>
          </cell>
          <cell r="G73" t="str">
            <v>none</v>
          </cell>
          <cell r="H73"/>
          <cell r="I73" t="b">
            <v>0</v>
          </cell>
          <cell r="J73" t="b">
            <v>0</v>
          </cell>
          <cell r="K73" t="b">
            <v>0</v>
          </cell>
          <cell r="L73"/>
          <cell r="M73" t="str">
            <v>icon_battle_black_hole</v>
          </cell>
          <cell r="N73" t="str">
            <v>Buff.Name.BlackHole</v>
          </cell>
          <cell r="O73" t="str">
            <v>Buff.Desc.BlackHole</v>
          </cell>
        </row>
        <row r="74">
          <cell r="A74" t="str">
            <v>info.target.attacker</v>
          </cell>
          <cell r="B74"/>
          <cell r="C74"/>
          <cell r="D74">
            <v>0</v>
          </cell>
          <cell r="E74">
            <v>0</v>
          </cell>
          <cell r="F74">
            <v>0</v>
          </cell>
          <cell r="G74" t="str">
            <v>none</v>
          </cell>
          <cell r="H74"/>
          <cell r="I74" t="b">
            <v>0</v>
          </cell>
          <cell r="J74" t="b">
            <v>0</v>
          </cell>
          <cell r="K74" t="b">
            <v>1</v>
          </cell>
          <cell r="L74"/>
          <cell r="M74" t="str">
            <v>icon_battle_target_attacker</v>
          </cell>
          <cell r="N74" t="str">
            <v>Buff.Name.TargetClass.Attacker</v>
          </cell>
          <cell r="O74" t="str">
            <v>Buff.Desc.TargetClass.Attacker</v>
          </cell>
        </row>
        <row r="75">
          <cell r="A75" t="str">
            <v>info.target.tanker</v>
          </cell>
          <cell r="B75"/>
          <cell r="C75"/>
          <cell r="D75">
            <v>0</v>
          </cell>
          <cell r="E75">
            <v>0</v>
          </cell>
          <cell r="F75">
            <v>0</v>
          </cell>
          <cell r="G75" t="str">
            <v>none</v>
          </cell>
          <cell r="H75"/>
          <cell r="I75" t="b">
            <v>0</v>
          </cell>
          <cell r="J75" t="b">
            <v>0</v>
          </cell>
          <cell r="K75" t="b">
            <v>1</v>
          </cell>
          <cell r="L75"/>
          <cell r="M75" t="str">
            <v>icon_battle_target_tanker</v>
          </cell>
          <cell r="N75" t="str">
            <v>Buff.Name.TargetClass.Tanker</v>
          </cell>
          <cell r="O75" t="str">
            <v>Buff.Desc.TargetClass.Tanker</v>
          </cell>
        </row>
        <row r="76">
          <cell r="A76" t="str">
            <v>info.target.supporter</v>
          </cell>
          <cell r="B76"/>
          <cell r="C76"/>
          <cell r="D76">
            <v>0</v>
          </cell>
          <cell r="E76">
            <v>0</v>
          </cell>
          <cell r="F76">
            <v>0</v>
          </cell>
          <cell r="G76" t="str">
            <v>none</v>
          </cell>
          <cell r="H76"/>
          <cell r="I76" t="b">
            <v>0</v>
          </cell>
          <cell r="J76" t="b">
            <v>0</v>
          </cell>
          <cell r="K76" t="b">
            <v>1</v>
          </cell>
          <cell r="L76"/>
          <cell r="M76" t="str">
            <v>icon_battle_target_supporter</v>
          </cell>
          <cell r="N76" t="str">
            <v>Buff.Name.TargetClass.Supporter</v>
          </cell>
          <cell r="O76" t="str">
            <v>Buff.Desc.TargetClass.Supporter</v>
          </cell>
        </row>
        <row r="77">
          <cell r="A77" t="str">
            <v>info.target.ranger</v>
          </cell>
          <cell r="B77"/>
          <cell r="C77"/>
          <cell r="D77">
            <v>0</v>
          </cell>
          <cell r="E77">
            <v>0</v>
          </cell>
          <cell r="F77">
            <v>0</v>
          </cell>
          <cell r="G77" t="str">
            <v>none</v>
          </cell>
          <cell r="H77"/>
          <cell r="I77" t="b">
            <v>0</v>
          </cell>
          <cell r="J77" t="b">
            <v>0</v>
          </cell>
          <cell r="K77" t="b">
            <v>1</v>
          </cell>
          <cell r="L77"/>
          <cell r="M77" t="str">
            <v>icon_battle_target_ranger</v>
          </cell>
          <cell r="N77" t="str">
            <v>Buff.Name.TargetClass.Ranger</v>
          </cell>
          <cell r="O77" t="str">
            <v>Buff.Desc.TargetClass.Ranger</v>
          </cell>
        </row>
        <row r="78">
          <cell r="A78" t="str">
            <v>info.targetattack.attacker</v>
          </cell>
          <cell r="B78"/>
          <cell r="C78"/>
          <cell r="D78">
            <v>0</v>
          </cell>
          <cell r="E78">
            <v>0</v>
          </cell>
          <cell r="F78">
            <v>0</v>
          </cell>
          <cell r="G78" t="str">
            <v>none</v>
          </cell>
          <cell r="H78"/>
          <cell r="I78" t="b">
            <v>0</v>
          </cell>
          <cell r="J78" t="b">
            <v>0</v>
          </cell>
          <cell r="K78" t="b">
            <v>1</v>
          </cell>
          <cell r="L78"/>
          <cell r="M78" t="str">
            <v>icon_battle_defense_attacker</v>
          </cell>
          <cell r="N78" t="str">
            <v>Buff.Name.TargetAttackClass.Attacker</v>
          </cell>
          <cell r="O78" t="str">
            <v>Buff.Desc.TargetAttackClass.Attacker</v>
          </cell>
        </row>
        <row r="79">
          <cell r="A79" t="str">
            <v>info.targetattack</v>
          </cell>
          <cell r="B79"/>
          <cell r="C79"/>
          <cell r="D79">
            <v>0</v>
          </cell>
          <cell r="E79">
            <v>0</v>
          </cell>
          <cell r="F79">
            <v>0</v>
          </cell>
          <cell r="G79" t="str">
            <v>none</v>
          </cell>
          <cell r="H79"/>
          <cell r="I79" t="b">
            <v>0</v>
          </cell>
          <cell r="J79" t="b">
            <v>0</v>
          </cell>
          <cell r="K79" t="b">
            <v>1</v>
          </cell>
          <cell r="L79"/>
          <cell r="M79" t="str">
            <v>icon_battle_defense_tanker</v>
          </cell>
          <cell r="N79" t="str">
            <v>Buff.Name.TargetAttackClass.Tanker</v>
          </cell>
          <cell r="O79" t="str">
            <v>Buff.Desc.TargetAttackClass.Tanker</v>
          </cell>
        </row>
        <row r="80">
          <cell r="A80" t="str">
            <v>info.targetattack.supporter</v>
          </cell>
          <cell r="B80"/>
          <cell r="C80"/>
          <cell r="D80">
            <v>0</v>
          </cell>
          <cell r="E80">
            <v>0</v>
          </cell>
          <cell r="F80">
            <v>0</v>
          </cell>
          <cell r="G80" t="str">
            <v>none</v>
          </cell>
          <cell r="H80"/>
          <cell r="I80" t="b">
            <v>0</v>
          </cell>
          <cell r="J80" t="b">
            <v>0</v>
          </cell>
          <cell r="K80" t="b">
            <v>1</v>
          </cell>
          <cell r="L80"/>
          <cell r="M80" t="str">
            <v>icon_battle_defense_supporter</v>
          </cell>
          <cell r="N80" t="str">
            <v>Buff.Name.TargetAttackClass.Supporter</v>
          </cell>
          <cell r="O80" t="str">
            <v>Buff.Desc.TargetAttackClass.Supporter</v>
          </cell>
        </row>
        <row r="81">
          <cell r="A81" t="str">
            <v>info.targetattack.ranger</v>
          </cell>
          <cell r="B81"/>
          <cell r="C81"/>
          <cell r="D81">
            <v>0</v>
          </cell>
          <cell r="E81">
            <v>0</v>
          </cell>
          <cell r="F81">
            <v>0</v>
          </cell>
          <cell r="G81" t="str">
            <v>none</v>
          </cell>
          <cell r="H81"/>
          <cell r="I81" t="b">
            <v>0</v>
          </cell>
          <cell r="J81" t="b">
            <v>0</v>
          </cell>
          <cell r="K81" t="b">
            <v>1</v>
          </cell>
          <cell r="L81"/>
          <cell r="M81" t="str">
            <v>icon_battle_defense_ranger</v>
          </cell>
          <cell r="N81" t="str">
            <v>Buff.Name.TargetAttackClass.Ranger</v>
          </cell>
          <cell r="O81" t="str">
            <v>Buff.Desc.TargetAttackClass.Ranger</v>
          </cell>
        </row>
        <row r="82">
          <cell r="A82" t="str">
            <v>info.link</v>
          </cell>
          <cell r="B82"/>
          <cell r="C82"/>
          <cell r="D82">
            <v>0</v>
          </cell>
          <cell r="E82">
            <v>0</v>
          </cell>
          <cell r="F82">
            <v>0</v>
          </cell>
          <cell r="G82" t="str">
            <v>none</v>
          </cell>
          <cell r="H82"/>
          <cell r="I82" t="b">
            <v>0</v>
          </cell>
          <cell r="J82" t="b">
            <v>0</v>
          </cell>
          <cell r="K82" t="b">
            <v>1</v>
          </cell>
          <cell r="L82"/>
          <cell r="M82" t="str">
            <v>icon_battle_link</v>
          </cell>
          <cell r="N82" t="str">
            <v>Buff.Name.Link</v>
          </cell>
          <cell r="O82" t="str">
            <v>Buff.Desc.Link</v>
          </cell>
        </row>
        <row r="83">
          <cell r="A83" t="str">
            <v>info.linkenemy</v>
          </cell>
          <cell r="B83"/>
          <cell r="C83"/>
          <cell r="D83">
            <v>0</v>
          </cell>
          <cell r="E83">
            <v>0</v>
          </cell>
          <cell r="F83">
            <v>0</v>
          </cell>
          <cell r="G83" t="str">
            <v>none</v>
          </cell>
          <cell r="H83"/>
          <cell r="I83" t="b">
            <v>0</v>
          </cell>
          <cell r="J83" t="b">
            <v>0</v>
          </cell>
          <cell r="K83" t="b">
            <v>0</v>
          </cell>
          <cell r="L83"/>
          <cell r="M83" t="str">
            <v>icon_battle_link</v>
          </cell>
          <cell r="N83" t="str">
            <v>Buff.Name.Link</v>
          </cell>
          <cell r="O83" t="str">
            <v>Buff.Desc.Link</v>
          </cell>
        </row>
        <row r="84">
          <cell r="A84" t="str">
            <v>info.stun</v>
          </cell>
          <cell r="B84"/>
          <cell r="C84"/>
          <cell r="D84">
            <v>0</v>
          </cell>
          <cell r="E84">
            <v>0</v>
          </cell>
          <cell r="F84">
            <v>0</v>
          </cell>
          <cell r="G84" t="str">
            <v>none</v>
          </cell>
          <cell r="H84"/>
          <cell r="I84" t="b">
            <v>0</v>
          </cell>
          <cell r="J84" t="b">
            <v>0</v>
          </cell>
          <cell r="K84" t="b">
            <v>0</v>
          </cell>
          <cell r="L84"/>
          <cell r="M84" t="str">
            <v>icon_battle_stun</v>
          </cell>
          <cell r="N84" t="str">
            <v>Buff.Name.Stun</v>
          </cell>
          <cell r="O84" t="str">
            <v>Buff.Desc.Stun</v>
          </cell>
        </row>
        <row r="85">
          <cell r="A85" t="str">
            <v>info.blind</v>
          </cell>
          <cell r="B85"/>
          <cell r="C85"/>
          <cell r="D85">
            <v>0</v>
          </cell>
          <cell r="E85">
            <v>0</v>
          </cell>
          <cell r="F85">
            <v>0</v>
          </cell>
          <cell r="G85" t="str">
            <v>none</v>
          </cell>
          <cell r="H85"/>
          <cell r="I85" t="b">
            <v>0</v>
          </cell>
          <cell r="J85" t="b">
            <v>0</v>
          </cell>
          <cell r="K85" t="b">
            <v>0</v>
          </cell>
          <cell r="L85"/>
          <cell r="M85" t="str">
            <v>icon_battle_blindess</v>
          </cell>
          <cell r="N85" t="str">
            <v>Buff.Name.Blindess</v>
          </cell>
          <cell r="O85" t="str">
            <v>Buff.Desc.Blindess</v>
          </cell>
        </row>
        <row r="86">
          <cell r="A86" t="str">
            <v>info.silence</v>
          </cell>
          <cell r="B86"/>
          <cell r="C86"/>
          <cell r="D86">
            <v>0</v>
          </cell>
          <cell r="E86">
            <v>0</v>
          </cell>
          <cell r="F86">
            <v>0</v>
          </cell>
          <cell r="G86" t="str">
            <v>none</v>
          </cell>
          <cell r="H86"/>
          <cell r="I86" t="b">
            <v>0</v>
          </cell>
          <cell r="J86" t="b">
            <v>0</v>
          </cell>
          <cell r="K86" t="b">
            <v>0</v>
          </cell>
          <cell r="L86"/>
          <cell r="M86" t="str">
            <v>icon_battle_silence</v>
          </cell>
          <cell r="N86" t="str">
            <v>Buff.Name.Silence</v>
          </cell>
          <cell r="O86" t="str">
            <v>Buff.Desc.Silence</v>
          </cell>
        </row>
        <row r="87">
          <cell r="A87" t="str">
            <v>info.fear</v>
          </cell>
          <cell r="B87"/>
          <cell r="C87"/>
          <cell r="D87">
            <v>0</v>
          </cell>
          <cell r="E87">
            <v>0</v>
          </cell>
          <cell r="F87">
            <v>0</v>
          </cell>
          <cell r="G87" t="str">
            <v>none</v>
          </cell>
          <cell r="H87"/>
          <cell r="I87" t="b">
            <v>0</v>
          </cell>
          <cell r="J87" t="b">
            <v>0</v>
          </cell>
          <cell r="K87" t="b">
            <v>0</v>
          </cell>
          <cell r="L87"/>
          <cell r="M87" t="str">
            <v>icon_battle_fear</v>
          </cell>
          <cell r="N87" t="str">
            <v>Buff.Name.Fear</v>
          </cell>
          <cell r="O87" t="str">
            <v>Buff.Desc.Fear</v>
          </cell>
        </row>
        <row r="88">
          <cell r="A88" t="str">
            <v>info.freeze</v>
          </cell>
          <cell r="B88"/>
          <cell r="C88"/>
          <cell r="D88">
            <v>0</v>
          </cell>
          <cell r="E88">
            <v>0</v>
          </cell>
          <cell r="F88">
            <v>0</v>
          </cell>
          <cell r="G88" t="str">
            <v>none</v>
          </cell>
          <cell r="H88"/>
          <cell r="I88" t="b">
            <v>0</v>
          </cell>
          <cell r="J88" t="b">
            <v>0</v>
          </cell>
          <cell r="K88" t="b">
            <v>0</v>
          </cell>
          <cell r="L88"/>
          <cell r="M88" t="str">
            <v>icon_battle_freezing</v>
          </cell>
          <cell r="N88" t="str">
            <v>Buff.Name.Freeze</v>
          </cell>
          <cell r="O88" t="str">
            <v>Buff.Desc.Freeze</v>
          </cell>
        </row>
        <row r="89">
          <cell r="A89" t="str">
            <v>info.exile</v>
          </cell>
          <cell r="B89"/>
          <cell r="C89"/>
          <cell r="D89">
            <v>0</v>
          </cell>
          <cell r="E89">
            <v>0</v>
          </cell>
          <cell r="F89">
            <v>0</v>
          </cell>
          <cell r="G89" t="str">
            <v>none</v>
          </cell>
          <cell r="H89"/>
          <cell r="I89" t="b">
            <v>0</v>
          </cell>
          <cell r="J89" t="b">
            <v>0</v>
          </cell>
          <cell r="K89" t="b">
            <v>0</v>
          </cell>
          <cell r="L89"/>
          <cell r="M89" t="str">
            <v>icon_battle_exile</v>
          </cell>
          <cell r="N89" t="str">
            <v>Buff.Name.exile</v>
          </cell>
          <cell r="O89" t="str">
            <v>Buff.Desc.exile</v>
          </cell>
        </row>
        <row r="90">
          <cell r="A90" t="str">
            <v>info.taunt</v>
          </cell>
          <cell r="B90"/>
          <cell r="C90"/>
          <cell r="D90">
            <v>0</v>
          </cell>
          <cell r="E90">
            <v>0</v>
          </cell>
          <cell r="F90">
            <v>0</v>
          </cell>
          <cell r="G90" t="str">
            <v>none</v>
          </cell>
          <cell r="H90"/>
          <cell r="I90" t="b">
            <v>0</v>
          </cell>
          <cell r="J90" t="b">
            <v>0</v>
          </cell>
          <cell r="K90" t="b">
            <v>0</v>
          </cell>
          <cell r="L90"/>
          <cell r="M90" t="str">
            <v>icon_battle_provoke</v>
          </cell>
          <cell r="N90" t="str">
            <v>Buff.Name.Provoke</v>
          </cell>
          <cell r="O90" t="str">
            <v>Buff.Desc.Provoke</v>
          </cell>
        </row>
        <row r="91">
          <cell r="A91" t="str">
            <v>info.aggro</v>
          </cell>
          <cell r="B91"/>
          <cell r="C91"/>
          <cell r="D91">
            <v>0</v>
          </cell>
          <cell r="E91">
            <v>0</v>
          </cell>
          <cell r="F91">
            <v>0</v>
          </cell>
          <cell r="G91" t="str">
            <v>none</v>
          </cell>
          <cell r="H91"/>
          <cell r="I91" t="b">
            <v>0</v>
          </cell>
          <cell r="J91" t="b">
            <v>0</v>
          </cell>
          <cell r="K91" t="b">
            <v>0</v>
          </cell>
          <cell r="L91"/>
          <cell r="M91" t="str">
            <v>icon_battle_provoke</v>
          </cell>
          <cell r="N91" t="str">
            <v>Buff.Name.Aggro</v>
          </cell>
          <cell r="O91" t="str">
            <v>Buff.Desc.Aggro</v>
          </cell>
        </row>
        <row r="92">
          <cell r="A92" t="str">
            <v>info.aggrobuff</v>
          </cell>
          <cell r="B92"/>
          <cell r="C92"/>
          <cell r="D92">
            <v>0</v>
          </cell>
          <cell r="E92">
            <v>0</v>
          </cell>
          <cell r="F92">
            <v>0</v>
          </cell>
          <cell r="G92" t="str">
            <v>none</v>
          </cell>
          <cell r="H92"/>
          <cell r="I92" t="b">
            <v>0</v>
          </cell>
          <cell r="J92" t="b">
            <v>0</v>
          </cell>
          <cell r="K92" t="b">
            <v>1</v>
          </cell>
          <cell r="L92"/>
          <cell r="M92" t="str">
            <v>icon_battle_provoke</v>
          </cell>
          <cell r="N92" t="str">
            <v>Buff.Name.Aggro</v>
          </cell>
          <cell r="O92" t="str">
            <v>Buff.Desc.Aggrobuff</v>
          </cell>
        </row>
        <row r="93">
          <cell r="A93" t="str">
            <v>info.reflect</v>
          </cell>
          <cell r="B93"/>
          <cell r="C93"/>
          <cell r="D93">
            <v>0</v>
          </cell>
          <cell r="E93">
            <v>0</v>
          </cell>
          <cell r="F93">
            <v>0</v>
          </cell>
          <cell r="G93" t="str">
            <v>none</v>
          </cell>
          <cell r="H93"/>
          <cell r="I93" t="b">
            <v>0</v>
          </cell>
          <cell r="J93" t="b">
            <v>0</v>
          </cell>
          <cell r="K93" t="b">
            <v>0</v>
          </cell>
          <cell r="L93"/>
          <cell r="M93" t="str">
            <v>icon_battle_reflection</v>
          </cell>
          <cell r="N93" t="str">
            <v>Buff.Name.Reflection</v>
          </cell>
          <cell r="O93" t="str">
            <v>Buff.Desc.Reflection</v>
          </cell>
        </row>
        <row r="94">
          <cell r="A94" t="str">
            <v>info.shield</v>
          </cell>
          <cell r="B94"/>
          <cell r="C94"/>
          <cell r="D94">
            <v>0</v>
          </cell>
          <cell r="E94">
            <v>0</v>
          </cell>
          <cell r="F94">
            <v>0</v>
          </cell>
          <cell r="G94" t="str">
            <v>none</v>
          </cell>
          <cell r="H94"/>
          <cell r="I94" t="b">
            <v>0</v>
          </cell>
          <cell r="J94" t="b">
            <v>0</v>
          </cell>
          <cell r="K94" t="b">
            <v>1</v>
          </cell>
          <cell r="L94"/>
          <cell r="M94" t="str">
            <v>icon_battle_shield</v>
          </cell>
          <cell r="N94" t="str">
            <v>Buff.Name.Shield</v>
          </cell>
          <cell r="O94" t="str">
            <v>Buff.Desc.Shield</v>
          </cell>
        </row>
        <row r="95">
          <cell r="A95" t="str">
            <v>info.reflect.shield</v>
          </cell>
          <cell r="B95"/>
          <cell r="C95"/>
          <cell r="D95">
            <v>0</v>
          </cell>
          <cell r="E95">
            <v>0</v>
          </cell>
          <cell r="F95">
            <v>0</v>
          </cell>
          <cell r="G95" t="str">
            <v>none</v>
          </cell>
          <cell r="H95"/>
          <cell r="I95" t="b">
            <v>0</v>
          </cell>
          <cell r="J95" t="b">
            <v>0</v>
          </cell>
          <cell r="K95" t="b">
            <v>1</v>
          </cell>
          <cell r="L95"/>
          <cell r="M95" t="str">
            <v>icon_battle_reflection_2</v>
          </cell>
          <cell r="N95" t="str">
            <v>Buff.Name.Reflect.Shield</v>
          </cell>
          <cell r="O95" t="str">
            <v>Buff.Desc.Reflect.Shield</v>
          </cell>
        </row>
        <row r="96">
          <cell r="A96" t="str">
            <v>info.barrier</v>
          </cell>
          <cell r="B96"/>
          <cell r="C96"/>
          <cell r="D96">
            <v>0</v>
          </cell>
          <cell r="E96">
            <v>0</v>
          </cell>
          <cell r="F96">
            <v>0</v>
          </cell>
          <cell r="G96" t="str">
            <v>none</v>
          </cell>
          <cell r="H96"/>
          <cell r="I96" t="b">
            <v>0</v>
          </cell>
          <cell r="J96" t="b">
            <v>0</v>
          </cell>
          <cell r="K96" t="b">
            <v>1</v>
          </cell>
          <cell r="L96"/>
          <cell r="M96" t="str">
            <v>icon_battle_hitbarrier_1</v>
          </cell>
          <cell r="N96" t="str">
            <v>Buff.Name.Barrier</v>
          </cell>
          <cell r="O96" t="str">
            <v>Buff.Desc.Barrier</v>
          </cell>
        </row>
        <row r="97">
          <cell r="A97" t="str">
            <v>info.attackup</v>
          </cell>
          <cell r="B97"/>
          <cell r="C97"/>
          <cell r="D97">
            <v>0</v>
          </cell>
          <cell r="E97">
            <v>0</v>
          </cell>
          <cell r="F97">
            <v>0</v>
          </cell>
          <cell r="G97" t="str">
            <v>none</v>
          </cell>
          <cell r="H97"/>
          <cell r="I97" t="b">
            <v>0</v>
          </cell>
          <cell r="J97" t="b">
            <v>0</v>
          </cell>
          <cell r="K97" t="b">
            <v>1</v>
          </cell>
          <cell r="L97"/>
          <cell r="M97" t="str">
            <v>icon_battle_attack</v>
          </cell>
          <cell r="N97" t="str">
            <v>Buff.Name.AttackUp</v>
          </cell>
          <cell r="O97" t="str">
            <v>Buff.Desc.AttackUp</v>
          </cell>
        </row>
        <row r="98">
          <cell r="A98" t="str">
            <v>info.defup</v>
          </cell>
          <cell r="B98"/>
          <cell r="C98"/>
          <cell r="D98">
            <v>0</v>
          </cell>
          <cell r="E98">
            <v>0</v>
          </cell>
          <cell r="F98">
            <v>0</v>
          </cell>
          <cell r="G98" t="str">
            <v>none</v>
          </cell>
          <cell r="H98"/>
          <cell r="I98" t="b">
            <v>0</v>
          </cell>
          <cell r="J98" t="b">
            <v>0</v>
          </cell>
          <cell r="K98" t="b">
            <v>1</v>
          </cell>
          <cell r="L98"/>
          <cell r="M98" t="str">
            <v>icon_battle_defense</v>
          </cell>
          <cell r="N98" t="str">
            <v>Buff.Name.DefenseUp</v>
          </cell>
          <cell r="O98" t="str">
            <v>Buff.Desc.DefenseUp</v>
          </cell>
        </row>
        <row r="99">
          <cell r="A99" t="str">
            <v>info.criup</v>
          </cell>
          <cell r="B99"/>
          <cell r="C99"/>
          <cell r="D99">
            <v>0</v>
          </cell>
          <cell r="E99">
            <v>0</v>
          </cell>
          <cell r="F99">
            <v>0</v>
          </cell>
          <cell r="G99" t="str">
            <v>none</v>
          </cell>
          <cell r="H99"/>
          <cell r="I99" t="b">
            <v>0</v>
          </cell>
          <cell r="J99" t="b">
            <v>0</v>
          </cell>
          <cell r="K99" t="b">
            <v>1</v>
          </cell>
          <cell r="L99"/>
          <cell r="M99" t="str">
            <v>icon_battle_critical</v>
          </cell>
          <cell r="N99" t="str">
            <v>Buff.Name.CriticalUp</v>
          </cell>
          <cell r="O99" t="str">
            <v>Buff.Desc.CriticalUp</v>
          </cell>
        </row>
        <row r="100">
          <cell r="A100" t="str">
            <v>info.damagerateup</v>
          </cell>
          <cell r="B100"/>
          <cell r="C100"/>
          <cell r="D100">
            <v>0</v>
          </cell>
          <cell r="E100">
            <v>0</v>
          </cell>
          <cell r="F100">
            <v>0</v>
          </cell>
          <cell r="G100" t="str">
            <v>none</v>
          </cell>
          <cell r="H100"/>
          <cell r="I100" t="b">
            <v>0</v>
          </cell>
          <cell r="J100" t="b">
            <v>0</v>
          </cell>
          <cell r="K100" t="b">
            <v>1</v>
          </cell>
          <cell r="L100"/>
          <cell r="M100" t="str">
            <v>icon_battle_damagerate</v>
          </cell>
          <cell r="N100" t="str">
            <v>Buff.Name.DamageRateUp</v>
          </cell>
          <cell r="O100" t="str">
            <v>Buff.Desc.DamageRateUp</v>
          </cell>
        </row>
        <row r="101">
          <cell r="A101" t="str">
            <v>info.attackspeedup</v>
          </cell>
          <cell r="B101"/>
          <cell r="C101"/>
          <cell r="D101">
            <v>0</v>
          </cell>
          <cell r="E101">
            <v>0</v>
          </cell>
          <cell r="F101">
            <v>0</v>
          </cell>
          <cell r="G101" t="str">
            <v>none</v>
          </cell>
          <cell r="H101"/>
          <cell r="I101" t="b">
            <v>0</v>
          </cell>
          <cell r="J101" t="b">
            <v>0</v>
          </cell>
          <cell r="K101" t="b">
            <v>1</v>
          </cell>
          <cell r="L101"/>
          <cell r="M101" t="str">
            <v>icon_battle_attackspeed</v>
          </cell>
          <cell r="N101" t="str">
            <v>Buff.Name.AttackSpeedUp</v>
          </cell>
          <cell r="O101" t="str">
            <v>Buff.Desc.AttackSpeedUp</v>
          </cell>
        </row>
        <row r="102">
          <cell r="A102" t="str">
            <v>info.attackdown</v>
          </cell>
          <cell r="B102"/>
          <cell r="C102"/>
          <cell r="D102">
            <v>0</v>
          </cell>
          <cell r="E102">
            <v>0</v>
          </cell>
          <cell r="F102">
            <v>0</v>
          </cell>
          <cell r="G102" t="str">
            <v>none</v>
          </cell>
          <cell r="H102"/>
          <cell r="I102" t="b">
            <v>0</v>
          </cell>
          <cell r="J102" t="b">
            <v>0</v>
          </cell>
          <cell r="K102" t="b">
            <v>0</v>
          </cell>
          <cell r="L102"/>
          <cell r="M102" t="str">
            <v>icon_battle_attack</v>
          </cell>
          <cell r="N102" t="str">
            <v>Buff.Name.AttackDown</v>
          </cell>
          <cell r="O102" t="str">
            <v>Buff.Desc.AttackDown</v>
          </cell>
        </row>
        <row r="103">
          <cell r="A103" t="str">
            <v>info.damagederatedown</v>
          </cell>
          <cell r="B103"/>
          <cell r="C103"/>
          <cell r="D103">
            <v>0</v>
          </cell>
          <cell r="E103">
            <v>0</v>
          </cell>
          <cell r="F103">
            <v>0</v>
          </cell>
          <cell r="G103" t="str">
            <v>none</v>
          </cell>
          <cell r="H103"/>
          <cell r="I103" t="b">
            <v>0</v>
          </cell>
          <cell r="J103" t="b">
            <v>0</v>
          </cell>
          <cell r="K103" t="b">
            <v>0</v>
          </cell>
          <cell r="L103"/>
          <cell r="M103" t="str">
            <v>icon_battle_damagederate</v>
          </cell>
          <cell r="N103" t="str">
            <v>Buff.Name.DamageDerateDown</v>
          </cell>
          <cell r="O103" t="str">
            <v>Buff.Desc.DamageDerateDown</v>
          </cell>
        </row>
        <row r="104">
          <cell r="A104" t="str">
            <v>info.freeze.patricia.01</v>
          </cell>
          <cell r="B104"/>
          <cell r="C104"/>
          <cell r="D104">
            <v>4000</v>
          </cell>
          <cell r="E104">
            <v>0</v>
          </cell>
          <cell r="F104">
            <v>0</v>
          </cell>
          <cell r="G104" t="str">
            <v>none</v>
          </cell>
          <cell r="H104"/>
          <cell r="I104" t="b">
            <v>0</v>
          </cell>
          <cell r="J104" t="b">
            <v>0</v>
          </cell>
          <cell r="K104" t="b">
            <v>0</v>
          </cell>
          <cell r="L104"/>
          <cell r="M104" t="str">
            <v>icon_battle_freezing</v>
          </cell>
          <cell r="N104" t="str">
            <v>Buff.Name.Freeze</v>
          </cell>
          <cell r="O104" t="str">
            <v>Buff.Desc.Freeze</v>
          </cell>
        </row>
        <row r="105">
          <cell r="A105" t="str">
            <v>info.freeze.patricia.02</v>
          </cell>
          <cell r="B105"/>
          <cell r="C105"/>
          <cell r="D105">
            <v>6000</v>
          </cell>
          <cell r="E105">
            <v>0</v>
          </cell>
          <cell r="F105">
            <v>0</v>
          </cell>
          <cell r="G105" t="str">
            <v>none</v>
          </cell>
          <cell r="H105"/>
          <cell r="I105" t="b">
            <v>0</v>
          </cell>
          <cell r="J105" t="b">
            <v>0</v>
          </cell>
          <cell r="K105" t="b">
            <v>0</v>
          </cell>
          <cell r="L105"/>
          <cell r="M105" t="str">
            <v>icon_battle_freezing</v>
          </cell>
          <cell r="N105" t="str">
            <v>Buff.Name.Freeze</v>
          </cell>
          <cell r="O105" t="str">
            <v>Buff.Desc.Freeze</v>
          </cell>
        </row>
        <row r="106">
          <cell r="A106" t="str">
            <v>info.addattack.paralysis</v>
          </cell>
          <cell r="B106"/>
          <cell r="C106"/>
          <cell r="D106">
            <v>0</v>
          </cell>
          <cell r="E106">
            <v>0</v>
          </cell>
          <cell r="F106">
            <v>0</v>
          </cell>
          <cell r="G106" t="str">
            <v>none</v>
          </cell>
          <cell r="H106"/>
          <cell r="I106" t="b">
            <v>0</v>
          </cell>
          <cell r="J106" t="b">
            <v>0</v>
          </cell>
          <cell r="K106" t="b">
            <v>1</v>
          </cell>
          <cell r="L106"/>
          <cell r="M106" t="str">
            <v>icon_battle_addattack_paralysis</v>
          </cell>
          <cell r="N106" t="str">
            <v>Buff.Name.AddAttack.Paralysis</v>
          </cell>
          <cell r="O106" t="str">
            <v>Buff.Desc.AddAttack.Paralysis</v>
          </cell>
        </row>
        <row r="107">
          <cell r="A107" t="str">
            <v>info.addattack.eletric</v>
          </cell>
          <cell r="B107"/>
          <cell r="C107"/>
          <cell r="D107">
            <v>0</v>
          </cell>
          <cell r="E107">
            <v>0</v>
          </cell>
          <cell r="F107">
            <v>0</v>
          </cell>
          <cell r="G107" t="str">
            <v>none</v>
          </cell>
          <cell r="H107"/>
          <cell r="I107" t="b">
            <v>0</v>
          </cell>
          <cell r="J107" t="b">
            <v>0</v>
          </cell>
          <cell r="K107" t="b">
            <v>1</v>
          </cell>
          <cell r="L107"/>
          <cell r="M107" t="str">
            <v>icon_battle_addattack_electric</v>
          </cell>
          <cell r="N107" t="str">
            <v>Buff.Name.AddAttack.Electric</v>
          </cell>
          <cell r="O107" t="str">
            <v>Buff.Desc.AddAttack.Electric</v>
          </cell>
        </row>
        <row r="108">
          <cell r="A108" t="str">
            <v>info.addattack.poison</v>
          </cell>
          <cell r="B108"/>
          <cell r="C108"/>
          <cell r="D108">
            <v>0</v>
          </cell>
          <cell r="E108">
            <v>0</v>
          </cell>
          <cell r="F108">
            <v>0</v>
          </cell>
          <cell r="G108" t="str">
            <v>none</v>
          </cell>
          <cell r="H108"/>
          <cell r="I108" t="b">
            <v>0</v>
          </cell>
          <cell r="J108" t="b">
            <v>0</v>
          </cell>
          <cell r="K108" t="b">
            <v>1</v>
          </cell>
          <cell r="L108"/>
          <cell r="M108" t="str">
            <v>icon_battle_addattack_poison</v>
          </cell>
          <cell r="N108" t="str">
            <v>Buff.Name.AddAttack.Poison</v>
          </cell>
          <cell r="O108" t="str">
            <v>Buff.Desc.AddAttack.Poison</v>
          </cell>
        </row>
        <row r="109">
          <cell r="A109" t="str">
            <v>sample.dot.burn</v>
          </cell>
          <cell r="B109"/>
          <cell r="C109"/>
          <cell r="D109">
            <v>10000</v>
          </cell>
          <cell r="E109">
            <v>0</v>
          </cell>
          <cell r="F109">
            <v>0</v>
          </cell>
          <cell r="G109" t="str">
            <v>sample.dot.burn</v>
          </cell>
          <cell r="H109"/>
          <cell r="I109" t="b">
            <v>0</v>
          </cell>
          <cell r="J109" t="b">
            <v>0</v>
          </cell>
          <cell r="K109" t="b">
            <v>0</v>
          </cell>
          <cell r="L109" t="str">
            <v>Effect/Prefab/10_buff/EFF_debuff_fire</v>
          </cell>
          <cell r="M109" t="str">
            <v>icon_battle_burn</v>
          </cell>
          <cell r="N109" t="str">
            <v>Buff.Name.burn</v>
          </cell>
          <cell r="O109" t="str">
            <v>Buff.Desc.burn</v>
          </cell>
        </row>
        <row r="110">
          <cell r="A110" t="str">
            <v>sample.dot.poison</v>
          </cell>
          <cell r="B110"/>
          <cell r="C110"/>
          <cell r="D110">
            <v>10000</v>
          </cell>
          <cell r="E110">
            <v>0</v>
          </cell>
          <cell r="F110">
            <v>0</v>
          </cell>
          <cell r="G110" t="str">
            <v>sample.dot.poison</v>
          </cell>
          <cell r="H110"/>
          <cell r="I110" t="b">
            <v>0</v>
          </cell>
          <cell r="J110" t="b">
            <v>0</v>
          </cell>
          <cell r="K110" t="b">
            <v>0</v>
          </cell>
          <cell r="L110" t="str">
            <v xml:space="preserve">Effect/Prefab/10_buff/EFF_debuff_poison </v>
          </cell>
          <cell r="M110" t="str">
            <v>icon_battle_poison</v>
          </cell>
          <cell r="N110" t="str">
            <v>Buff.Name.Poison</v>
          </cell>
          <cell r="O110" t="str">
            <v>Buff.Desc.Poison</v>
          </cell>
        </row>
        <row r="111">
          <cell r="A111" t="str">
            <v>sample.dot.bleed</v>
          </cell>
          <cell r="B111"/>
          <cell r="C111"/>
          <cell r="D111">
            <v>10000</v>
          </cell>
          <cell r="E111">
            <v>0</v>
          </cell>
          <cell r="F111">
            <v>0</v>
          </cell>
          <cell r="G111" t="str">
            <v>sample.dot.bleed</v>
          </cell>
          <cell r="H111"/>
          <cell r="I111" t="b">
            <v>0</v>
          </cell>
          <cell r="J111" t="b">
            <v>0</v>
          </cell>
          <cell r="K111" t="b">
            <v>0</v>
          </cell>
          <cell r="L111" t="str">
            <v>Effect/Prefab/10_buff/EFF_debuff_bleeding</v>
          </cell>
          <cell r="M111" t="str">
            <v>icon_battle_bleeding</v>
          </cell>
          <cell r="N111" t="str">
            <v>Buff.Name.Bleeding</v>
          </cell>
          <cell r="O111" t="str">
            <v>Buff.Desc.Bleeding</v>
          </cell>
        </row>
        <row r="112">
          <cell r="A112" t="str">
            <v>sample.cooldown</v>
          </cell>
          <cell r="B112"/>
          <cell r="C112"/>
          <cell r="D112">
            <v>0</v>
          </cell>
          <cell r="E112">
            <v>0</v>
          </cell>
          <cell r="F112">
            <v>0</v>
          </cell>
          <cell r="G112" t="str">
            <v>none</v>
          </cell>
          <cell r="H112"/>
          <cell r="I112" t="b">
            <v>0</v>
          </cell>
          <cell r="J112" t="b">
            <v>0</v>
          </cell>
          <cell r="K112" t="b">
            <v>1</v>
          </cell>
          <cell r="L112" t="str">
            <v>Effect/Prefab/10_buff/EFF_buff_up</v>
          </cell>
          <cell r="M112" t="str">
            <v>icon_battle_cooldown</v>
          </cell>
          <cell r="N112" t="str">
            <v>Buff.Name.CooldownDown</v>
          </cell>
          <cell r="O112" t="str">
            <v>Buff.Desc.CooldownDown</v>
          </cell>
        </row>
        <row r="113">
          <cell r="A113" t="str">
            <v>sample.coolup</v>
          </cell>
          <cell r="B113"/>
          <cell r="C113"/>
          <cell r="D113">
            <v>0</v>
          </cell>
          <cell r="E113">
            <v>0</v>
          </cell>
          <cell r="F113">
            <v>0</v>
          </cell>
          <cell r="G113" t="str">
            <v>none</v>
          </cell>
          <cell r="H113"/>
          <cell r="I113" t="b">
            <v>0</v>
          </cell>
          <cell r="J113" t="b">
            <v>0</v>
          </cell>
          <cell r="K113" t="b">
            <v>0</v>
          </cell>
          <cell r="L113" t="str">
            <v>Effect/Prefab/10_buff/EFF_debuff_down</v>
          </cell>
          <cell r="M113" t="str">
            <v>icon_battle_cooldown</v>
          </cell>
          <cell r="N113" t="str">
            <v>Buff.Name.CooldownUp</v>
          </cell>
          <cell r="O113" t="str">
            <v>Buff.Desc.CooldownUp</v>
          </cell>
        </row>
        <row r="114">
          <cell r="A114" t="str">
            <v>sample.knockback</v>
          </cell>
          <cell r="B114"/>
          <cell r="C114"/>
          <cell r="D114">
            <v>50</v>
          </cell>
          <cell r="E114">
            <v>0</v>
          </cell>
          <cell r="F114">
            <v>0</v>
          </cell>
          <cell r="G114" t="str">
            <v>knockback</v>
          </cell>
          <cell r="H114"/>
          <cell r="I114" t="b">
            <v>0</v>
          </cell>
          <cell r="J114" t="b">
            <v>0</v>
          </cell>
          <cell r="K114" t="b">
            <v>0</v>
          </cell>
          <cell r="L114"/>
          <cell r="M114"/>
          <cell r="N114"/>
          <cell r="O114"/>
        </row>
        <row r="115">
          <cell r="A115" t="str">
            <v>BattleTile.Atk</v>
          </cell>
          <cell r="B115"/>
          <cell r="C115"/>
          <cell r="D115">
            <v>0</v>
          </cell>
          <cell r="E115">
            <v>0</v>
          </cell>
          <cell r="F115">
            <v>0</v>
          </cell>
          <cell r="G115" t="str">
            <v>BattleTile.Atk.BuffEffect</v>
          </cell>
          <cell r="H115"/>
          <cell r="I115" t="b">
            <v>0</v>
          </cell>
          <cell r="J115" t="b">
            <v>0</v>
          </cell>
          <cell r="K115" t="b">
            <v>1</v>
          </cell>
          <cell r="L115" t="str">
            <v>Effect/Prefab/05.UI/EFF_battle_tile_start</v>
          </cell>
          <cell r="M115"/>
          <cell r="N115" t="str">
            <v>Buff.Name.AttackUp</v>
          </cell>
          <cell r="O115"/>
        </row>
        <row r="116">
          <cell r="A116" t="str">
            <v>BattleTile.Def</v>
          </cell>
          <cell r="B116"/>
          <cell r="C116"/>
          <cell r="D116">
            <v>0</v>
          </cell>
          <cell r="E116">
            <v>0</v>
          </cell>
          <cell r="F116">
            <v>0</v>
          </cell>
          <cell r="G116" t="str">
            <v>BattleTile.Def.BuffEffect</v>
          </cell>
          <cell r="H116"/>
          <cell r="I116" t="b">
            <v>0</v>
          </cell>
          <cell r="J116" t="b">
            <v>0</v>
          </cell>
          <cell r="K116" t="b">
            <v>1</v>
          </cell>
          <cell r="L116" t="str">
            <v>Effect/Prefab/05.UI/EFF_battle_tile_start</v>
          </cell>
          <cell r="M116"/>
          <cell r="N116" t="str">
            <v>Buff.Name.DefenseUp</v>
          </cell>
          <cell r="O116"/>
        </row>
        <row r="117">
          <cell r="A117" t="str">
            <v>BattleTile.MaxHp</v>
          </cell>
          <cell r="B117"/>
          <cell r="C117"/>
          <cell r="D117">
            <v>0</v>
          </cell>
          <cell r="E117">
            <v>0</v>
          </cell>
          <cell r="F117">
            <v>0</v>
          </cell>
          <cell r="G117" t="str">
            <v>BattleTile.MaxHp.BuffEffect</v>
          </cell>
          <cell r="H117"/>
          <cell r="I117" t="b">
            <v>0</v>
          </cell>
          <cell r="J117" t="b">
            <v>0</v>
          </cell>
          <cell r="K117" t="b">
            <v>1</v>
          </cell>
          <cell r="L117" t="str">
            <v>Effect/Prefab/05.UI/EFF_battle_tile_start</v>
          </cell>
          <cell r="M117"/>
          <cell r="N117" t="str">
            <v>Buff.Name.HpUp</v>
          </cell>
          <cell r="O117"/>
        </row>
        <row r="118">
          <cell r="A118" t="str">
            <v>BattleTile.Recharge</v>
          </cell>
          <cell r="B118"/>
          <cell r="C118"/>
          <cell r="D118">
            <v>0</v>
          </cell>
          <cell r="E118">
            <v>0</v>
          </cell>
          <cell r="F118">
            <v>0</v>
          </cell>
          <cell r="G118" t="str">
            <v>BattleTile.Recharge.BuffEffect</v>
          </cell>
          <cell r="H118"/>
          <cell r="I118" t="b">
            <v>0</v>
          </cell>
          <cell r="J118" t="b">
            <v>0</v>
          </cell>
          <cell r="K118" t="b">
            <v>1</v>
          </cell>
          <cell r="L118" t="str">
            <v>Effect/Prefab/05.UI/EFF_battle_tile_start</v>
          </cell>
          <cell r="M118"/>
          <cell r="N118" t="str">
            <v>Buff.Name.EPRechargeRateUP</v>
          </cell>
          <cell r="O118"/>
        </row>
        <row r="119">
          <cell r="A119" t="str">
            <v>BattleTile.Atk.Faction</v>
          </cell>
          <cell r="B119"/>
          <cell r="C119"/>
          <cell r="D119">
            <v>0</v>
          </cell>
          <cell r="E119">
            <v>0</v>
          </cell>
          <cell r="F119">
            <v>0</v>
          </cell>
          <cell r="G119" t="str">
            <v>BattleTile.Atk.Faction.BuffEffect</v>
          </cell>
          <cell r="H119"/>
          <cell r="I119" t="b">
            <v>0</v>
          </cell>
          <cell r="J119" t="b">
            <v>0</v>
          </cell>
          <cell r="K119" t="b">
            <v>1</v>
          </cell>
          <cell r="L119" t="str">
            <v>Effect/Prefab/05.UI/EFF_battle_tile_start</v>
          </cell>
          <cell r="M119"/>
          <cell r="N119" t="str">
            <v>Buff.Name.AttackUp</v>
          </cell>
          <cell r="O119"/>
        </row>
        <row r="120">
          <cell r="A120" t="str">
            <v>BattleTile.Def.Faction</v>
          </cell>
          <cell r="B120"/>
          <cell r="C120"/>
          <cell r="D120">
            <v>0</v>
          </cell>
          <cell r="E120">
            <v>0</v>
          </cell>
          <cell r="F120">
            <v>0</v>
          </cell>
          <cell r="G120" t="str">
            <v>BattleTile.Def.Faction.BuffEffect</v>
          </cell>
          <cell r="H120"/>
          <cell r="I120" t="b">
            <v>0</v>
          </cell>
          <cell r="J120" t="b">
            <v>0</v>
          </cell>
          <cell r="K120" t="b">
            <v>1</v>
          </cell>
          <cell r="L120" t="str">
            <v>Effect/Prefab/05.UI/EFF_battle_tile_start</v>
          </cell>
          <cell r="M120"/>
          <cell r="N120" t="str">
            <v>Buff.Name.DefenseUp</v>
          </cell>
          <cell r="O120"/>
        </row>
        <row r="121">
          <cell r="A121" t="str">
            <v>BattleTile.MaxHp.Faction</v>
          </cell>
          <cell r="B121"/>
          <cell r="C121"/>
          <cell r="D121">
            <v>0</v>
          </cell>
          <cell r="E121">
            <v>0</v>
          </cell>
          <cell r="F121">
            <v>0</v>
          </cell>
          <cell r="G121" t="str">
            <v>BattleTile.MaxHp.Faction.BuffEffect</v>
          </cell>
          <cell r="H121"/>
          <cell r="I121" t="b">
            <v>0</v>
          </cell>
          <cell r="J121" t="b">
            <v>0</v>
          </cell>
          <cell r="K121" t="b">
            <v>1</v>
          </cell>
          <cell r="L121" t="str">
            <v>Effect/Prefab/05.UI/EFF_battle_tile_start</v>
          </cell>
          <cell r="M121"/>
          <cell r="N121" t="str">
            <v>Buff.Name.HpUp</v>
          </cell>
          <cell r="O121"/>
        </row>
        <row r="122">
          <cell r="A122" t="str">
            <v>EventCharacter.Buff</v>
          </cell>
          <cell r="B122"/>
          <cell r="C122"/>
          <cell r="D122">
            <v>0</v>
          </cell>
          <cell r="E122">
            <v>0</v>
          </cell>
          <cell r="F122">
            <v>0</v>
          </cell>
          <cell r="G122" t="str">
            <v>EventCharacter.Atk.BuffEffect
EventCharacter.Def.BuffEffect
EventCharacter.MaxHp.BuffEffect</v>
          </cell>
          <cell r="H122"/>
          <cell r="I122" t="b">
            <v>0</v>
          </cell>
          <cell r="J122" t="b">
            <v>0</v>
          </cell>
          <cell r="K122" t="b">
            <v>1</v>
          </cell>
          <cell r="L122"/>
          <cell r="M122"/>
          <cell r="N122"/>
          <cell r="O122"/>
        </row>
        <row r="123">
          <cell r="A123" t="str">
            <v>Monster.Debuff.01</v>
          </cell>
          <cell r="B123"/>
          <cell r="C123"/>
          <cell r="D123">
            <v>0</v>
          </cell>
          <cell r="E123">
            <v>0</v>
          </cell>
          <cell r="F123">
            <v>0</v>
          </cell>
          <cell r="G123" t="str">
            <v>Monster.Debuff.01.Atk.Down.Buffeffect
Monster.Debuff.01.Def.Down.Buffeffect</v>
          </cell>
          <cell r="H123"/>
          <cell r="I123" t="b">
            <v>0</v>
          </cell>
          <cell r="J123" t="b">
            <v>0</v>
          </cell>
          <cell r="K123" t="b">
            <v>1</v>
          </cell>
          <cell r="L123"/>
          <cell r="M123"/>
          <cell r="N123"/>
          <cell r="O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</row>
        <row r="125">
          <cell r="A125" t="str">
            <v>Attribute.R.dmgrate.buff</v>
          </cell>
          <cell r="B125" t="str">
            <v>AttributeType</v>
          </cell>
          <cell r="C125" t="str">
            <v>AttributeRed</v>
          </cell>
          <cell r="D125">
            <v>0</v>
          </cell>
          <cell r="E125">
            <v>0</v>
          </cell>
          <cell r="F125">
            <v>0</v>
          </cell>
          <cell r="G125" t="str">
            <v>Attribute.R.dmgrate.buff.buffeffect</v>
          </cell>
          <cell r="H125"/>
          <cell r="I125" t="b">
            <v>0</v>
          </cell>
          <cell r="J125" t="b">
            <v>0</v>
          </cell>
          <cell r="K125" t="b">
            <v>1</v>
          </cell>
          <cell r="L125"/>
          <cell r="M125"/>
          <cell r="N125" t="str">
            <v>Buff.Name.DamageRateUp</v>
          </cell>
          <cell r="O125"/>
        </row>
        <row r="126">
          <cell r="A126" t="str">
            <v>Attribute.R.dmgderate.buff</v>
          </cell>
          <cell r="B126" t="str">
            <v>AttributeType</v>
          </cell>
          <cell r="C126" t="str">
            <v>AttributeRed</v>
          </cell>
          <cell r="D126">
            <v>0</v>
          </cell>
          <cell r="E126">
            <v>0</v>
          </cell>
          <cell r="F126">
            <v>0</v>
          </cell>
          <cell r="G126" t="str">
            <v>Attribute.R.dmgderate.buff.buffeffect</v>
          </cell>
          <cell r="H126"/>
          <cell r="I126" t="b">
            <v>0</v>
          </cell>
          <cell r="J126" t="b">
            <v>0</v>
          </cell>
          <cell r="K126" t="b">
            <v>1</v>
          </cell>
          <cell r="L126"/>
          <cell r="M126"/>
          <cell r="N126" t="str">
            <v>Buff.Name.DamageDerateUp</v>
          </cell>
          <cell r="O126"/>
        </row>
        <row r="127">
          <cell r="A127" t="str">
            <v>Attribute.G.dmgrate.buff</v>
          </cell>
          <cell r="B127" t="str">
            <v>AttributeType</v>
          </cell>
          <cell r="C127" t="str">
            <v>AttributeGreen</v>
          </cell>
          <cell r="D127">
            <v>0</v>
          </cell>
          <cell r="E127">
            <v>0</v>
          </cell>
          <cell r="F127">
            <v>0</v>
          </cell>
          <cell r="G127" t="str">
            <v>Attribute.G.dmgrate.buff.buffeffect</v>
          </cell>
          <cell r="H127"/>
          <cell r="I127" t="b">
            <v>0</v>
          </cell>
          <cell r="J127" t="b">
            <v>0</v>
          </cell>
          <cell r="K127" t="b">
            <v>1</v>
          </cell>
          <cell r="L127"/>
          <cell r="M127"/>
          <cell r="N127" t="str">
            <v>Buff.Name.DamageRateUp</v>
          </cell>
          <cell r="O127"/>
        </row>
        <row r="128">
          <cell r="A128" t="str">
            <v>Attribute.G.dmgderate.buff</v>
          </cell>
          <cell r="B128" t="str">
            <v>AttributeType</v>
          </cell>
          <cell r="C128" t="str">
            <v>AttributeGreen</v>
          </cell>
          <cell r="D128">
            <v>0</v>
          </cell>
          <cell r="E128">
            <v>0</v>
          </cell>
          <cell r="F128">
            <v>0</v>
          </cell>
          <cell r="G128" t="str">
            <v>Attribute.G.dmgderate.buff.buffeffect</v>
          </cell>
          <cell r="H128"/>
          <cell r="I128" t="b">
            <v>0</v>
          </cell>
          <cell r="J128" t="b">
            <v>0</v>
          </cell>
          <cell r="K128" t="b">
            <v>1</v>
          </cell>
          <cell r="L128"/>
          <cell r="M128"/>
          <cell r="N128" t="str">
            <v>Buff.Name.DamageDerateUp</v>
          </cell>
          <cell r="O128"/>
        </row>
        <row r="129">
          <cell r="A129" t="str">
            <v>Attribute.B.dmgrate.buff</v>
          </cell>
          <cell r="B129" t="str">
            <v>AttributeType</v>
          </cell>
          <cell r="C129" t="str">
            <v>AttributeBlue</v>
          </cell>
          <cell r="D129">
            <v>0</v>
          </cell>
          <cell r="E129">
            <v>0</v>
          </cell>
          <cell r="F129">
            <v>0</v>
          </cell>
          <cell r="G129" t="str">
            <v>Attribute.B.dmgrate.buff.buffeffect</v>
          </cell>
          <cell r="H129"/>
          <cell r="I129" t="b">
            <v>0</v>
          </cell>
          <cell r="J129" t="b">
            <v>0</v>
          </cell>
          <cell r="K129" t="b">
            <v>1</v>
          </cell>
          <cell r="L129"/>
          <cell r="M129"/>
          <cell r="N129" t="str">
            <v>Buff.Name.DamageRateUp</v>
          </cell>
          <cell r="O129"/>
        </row>
        <row r="130">
          <cell r="A130" t="str">
            <v>Attribute.B.dmgderate.buff</v>
          </cell>
          <cell r="B130" t="str">
            <v>AttributeType</v>
          </cell>
          <cell r="C130" t="str">
            <v>AttributeBlue</v>
          </cell>
          <cell r="D130">
            <v>0</v>
          </cell>
          <cell r="E130">
            <v>0</v>
          </cell>
          <cell r="F130">
            <v>0</v>
          </cell>
          <cell r="G130" t="str">
            <v>Attribute.B.dmgderate.buff.buffeffect</v>
          </cell>
          <cell r="H130"/>
          <cell r="I130" t="b">
            <v>0</v>
          </cell>
          <cell r="J130" t="b">
            <v>0</v>
          </cell>
          <cell r="K130" t="b">
            <v>1</v>
          </cell>
          <cell r="L130"/>
          <cell r="M130"/>
          <cell r="N130" t="str">
            <v>Buff.Name.DamageDerateUp</v>
          </cell>
          <cell r="O130"/>
        </row>
        <row r="131">
          <cell r="A131" t="str">
            <v>Attribute.GD.dmgrate.buff</v>
          </cell>
          <cell r="B131" t="str">
            <v>AttributeType</v>
          </cell>
          <cell r="C131" t="str">
            <v>AttributeGold</v>
          </cell>
          <cell r="D131">
            <v>0</v>
          </cell>
          <cell r="E131">
            <v>0</v>
          </cell>
          <cell r="F131">
            <v>0</v>
          </cell>
          <cell r="G131" t="str">
            <v>Attribute.GD.dmgrate.buff.buffeffect</v>
          </cell>
          <cell r="H131"/>
          <cell r="I131" t="b">
            <v>0</v>
          </cell>
          <cell r="J131" t="b">
            <v>0</v>
          </cell>
          <cell r="K131" t="b">
            <v>1</v>
          </cell>
          <cell r="L131"/>
          <cell r="M131"/>
          <cell r="N131" t="str">
            <v>Buff.Name.DamageRateUp</v>
          </cell>
          <cell r="O131"/>
        </row>
        <row r="132">
          <cell r="A132" t="str">
            <v>Attribute.GD.dmgderate.buff</v>
          </cell>
          <cell r="B132" t="str">
            <v>AttributeType</v>
          </cell>
          <cell r="C132" t="str">
            <v>AttributeGold</v>
          </cell>
          <cell r="D132">
            <v>0</v>
          </cell>
          <cell r="E132">
            <v>0</v>
          </cell>
          <cell r="F132">
            <v>0</v>
          </cell>
          <cell r="G132" t="str">
            <v>Attribute.GD.dmgderate.buff.buffeffect</v>
          </cell>
          <cell r="H132"/>
          <cell r="I132" t="b">
            <v>0</v>
          </cell>
          <cell r="J132" t="b">
            <v>0</v>
          </cell>
          <cell r="K132" t="b">
            <v>1</v>
          </cell>
          <cell r="L132"/>
          <cell r="M132"/>
          <cell r="N132" t="str">
            <v>Buff.Name.DamageDerateUp</v>
          </cell>
          <cell r="O132"/>
        </row>
        <row r="133">
          <cell r="A133" t="str">
            <v>Attribute.P.dmgrate.buff</v>
          </cell>
          <cell r="B133" t="str">
            <v>AttributeType</v>
          </cell>
          <cell r="C133" t="str">
            <v>AttributePurple</v>
          </cell>
          <cell r="D133">
            <v>0</v>
          </cell>
          <cell r="E133">
            <v>0</v>
          </cell>
          <cell r="F133">
            <v>0</v>
          </cell>
          <cell r="G133" t="str">
            <v>Attribute.P.dmgrate.buff.buffeffect</v>
          </cell>
          <cell r="H133"/>
          <cell r="I133" t="b">
            <v>0</v>
          </cell>
          <cell r="J133" t="b">
            <v>0</v>
          </cell>
          <cell r="K133" t="b">
            <v>1</v>
          </cell>
          <cell r="L133"/>
          <cell r="M133"/>
          <cell r="N133" t="str">
            <v>Buff.Name.DamageRateUp</v>
          </cell>
          <cell r="O133"/>
        </row>
        <row r="134">
          <cell r="A134" t="str">
            <v>Attribute.P.dmgderate.buff</v>
          </cell>
          <cell r="B134" t="str">
            <v>AttributeType</v>
          </cell>
          <cell r="C134" t="str">
            <v>AttributePurple</v>
          </cell>
          <cell r="D134">
            <v>0</v>
          </cell>
          <cell r="E134">
            <v>0</v>
          </cell>
          <cell r="F134">
            <v>0</v>
          </cell>
          <cell r="G134" t="str">
            <v>Attribute.P.dmgderate.buff.buffeffect</v>
          </cell>
          <cell r="H134"/>
          <cell r="I134" t="b">
            <v>0</v>
          </cell>
          <cell r="J134" t="b">
            <v>0</v>
          </cell>
          <cell r="K134" t="b">
            <v>1</v>
          </cell>
          <cell r="L134"/>
          <cell r="M134"/>
          <cell r="N134" t="str">
            <v>Buff.Name.DamageDerateUp</v>
          </cell>
          <cell r="O134"/>
        </row>
        <row r="136">
          <cell r="A136" t="str">
            <v>Atk.Up</v>
          </cell>
          <cell r="B136"/>
          <cell r="C136"/>
          <cell r="D136">
            <v>0</v>
          </cell>
          <cell r="E136">
            <v>0</v>
          </cell>
          <cell r="F136">
            <v>0</v>
          </cell>
          <cell r="G136" t="str">
            <v>none</v>
          </cell>
          <cell r="H136"/>
          <cell r="I136" t="b">
            <v>0</v>
          </cell>
          <cell r="J136" t="b">
            <v>0</v>
          </cell>
          <cell r="K136" t="b">
            <v>1</v>
          </cell>
          <cell r="L136" t="str">
            <v>Effect/Prefab/10_buff/EFF_buff_up</v>
          </cell>
          <cell r="M136" t="str">
            <v>icon_battle_attack</v>
          </cell>
          <cell r="N136" t="str">
            <v>Buff.Name.Atk.Up.00</v>
          </cell>
          <cell r="O136" t="str">
            <v>Buff.Desc.Atk.Up.00</v>
          </cell>
        </row>
        <row r="137">
          <cell r="A137" t="str">
            <v>Atk.Up.01</v>
          </cell>
          <cell r="B137"/>
          <cell r="C137"/>
          <cell r="D137">
            <v>0</v>
          </cell>
          <cell r="E137">
            <v>0</v>
          </cell>
          <cell r="F137">
            <v>0</v>
          </cell>
          <cell r="G137" t="str">
            <v>none</v>
          </cell>
          <cell r="H137"/>
          <cell r="I137" t="b">
            <v>0</v>
          </cell>
          <cell r="J137" t="b">
            <v>0</v>
          </cell>
          <cell r="K137" t="b">
            <v>1</v>
          </cell>
          <cell r="L137" t="str">
            <v>Effect/Prefab/10_buff/EFF_buff_up</v>
          </cell>
          <cell r="M137" t="str">
            <v>icon_battle_attack</v>
          </cell>
          <cell r="N137" t="str">
            <v>Buff.Name.Atk.Up.01</v>
          </cell>
          <cell r="O137" t="str">
            <v>Buff.Desc.Atk.Up.01</v>
          </cell>
        </row>
        <row r="138">
          <cell r="A138" t="str">
            <v>Atk.Up.02</v>
          </cell>
          <cell r="B138"/>
          <cell r="C138"/>
          <cell r="D138">
            <v>0</v>
          </cell>
          <cell r="E138">
            <v>0</v>
          </cell>
          <cell r="F138">
            <v>0</v>
          </cell>
          <cell r="G138" t="str">
            <v>none</v>
          </cell>
          <cell r="H138"/>
          <cell r="I138" t="b">
            <v>0</v>
          </cell>
          <cell r="J138" t="b">
            <v>0</v>
          </cell>
          <cell r="K138" t="b">
            <v>1</v>
          </cell>
          <cell r="L138" t="str">
            <v>Effect/Prefab/10_buff/EFF_buff_up</v>
          </cell>
          <cell r="M138" t="str">
            <v>icon_battle_attack</v>
          </cell>
          <cell r="N138" t="str">
            <v>Buff.Name.Atk.Up.02</v>
          </cell>
          <cell r="O138" t="str">
            <v>Buff.Desc.Atk.Up.02</v>
          </cell>
        </row>
        <row r="139">
          <cell r="A139" t="str">
            <v>Atk.Up.03</v>
          </cell>
          <cell r="B139"/>
          <cell r="C139"/>
          <cell r="D139">
            <v>0</v>
          </cell>
          <cell r="E139">
            <v>0</v>
          </cell>
          <cell r="F139">
            <v>0</v>
          </cell>
          <cell r="G139" t="str">
            <v>none</v>
          </cell>
          <cell r="H139"/>
          <cell r="I139" t="b">
            <v>0</v>
          </cell>
          <cell r="J139" t="b">
            <v>0</v>
          </cell>
          <cell r="K139" t="b">
            <v>1</v>
          </cell>
          <cell r="L139" t="str">
            <v>Effect/Prefab/10_buff/EFF_buff_up</v>
          </cell>
          <cell r="M139" t="str">
            <v>icon_battle_attack</v>
          </cell>
          <cell r="N139" t="str">
            <v>Buff.Name.Atk.Up.03</v>
          </cell>
          <cell r="O139" t="str">
            <v>Buff.Desc.Atk.Up.03</v>
          </cell>
        </row>
        <row r="140">
          <cell r="A140" t="str">
            <v>Atk.Up.04</v>
          </cell>
          <cell r="B140"/>
          <cell r="C140"/>
          <cell r="D140">
            <v>0</v>
          </cell>
          <cell r="E140">
            <v>0</v>
          </cell>
          <cell r="F140">
            <v>0</v>
          </cell>
          <cell r="G140" t="str">
            <v>none</v>
          </cell>
          <cell r="H140"/>
          <cell r="I140" t="b">
            <v>0</v>
          </cell>
          <cell r="J140" t="b">
            <v>0</v>
          </cell>
          <cell r="K140" t="b">
            <v>1</v>
          </cell>
          <cell r="L140" t="str">
            <v>Effect/Prefab/10_buff/EFF_buff_up</v>
          </cell>
          <cell r="M140" t="str">
            <v>icon_battle_attack</v>
          </cell>
          <cell r="N140" t="str">
            <v>Buff.Name.Atk.Up.04</v>
          </cell>
          <cell r="O140" t="str">
            <v>Buff.Desc.Atk.Up.04</v>
          </cell>
        </row>
        <row r="141">
          <cell r="A141" t="str">
            <v>Atk.Up.05</v>
          </cell>
          <cell r="B141"/>
          <cell r="C141"/>
          <cell r="D141">
            <v>0</v>
          </cell>
          <cell r="E141">
            <v>0</v>
          </cell>
          <cell r="F141">
            <v>0</v>
          </cell>
          <cell r="G141" t="str">
            <v>none</v>
          </cell>
          <cell r="H141"/>
          <cell r="I141" t="b">
            <v>0</v>
          </cell>
          <cell r="J141" t="b">
            <v>0</v>
          </cell>
          <cell r="K141" t="b">
            <v>1</v>
          </cell>
          <cell r="L141" t="str">
            <v>Effect/Prefab/10_buff/EFF_buff_up</v>
          </cell>
          <cell r="M141" t="str">
            <v>icon_battle_attack</v>
          </cell>
          <cell r="N141" t="str">
            <v>Buff.Name.Atk.Up.05</v>
          </cell>
          <cell r="O141" t="str">
            <v>Buff.Desc.Atk.Up.05</v>
          </cell>
        </row>
        <row r="142">
          <cell r="A142" t="str">
            <v>Def.Up</v>
          </cell>
          <cell r="B142"/>
          <cell r="C142"/>
          <cell r="D142">
            <v>0</v>
          </cell>
          <cell r="E142">
            <v>0</v>
          </cell>
          <cell r="F142">
            <v>0</v>
          </cell>
          <cell r="G142" t="str">
            <v>none</v>
          </cell>
          <cell r="H142"/>
          <cell r="I142" t="b">
            <v>0</v>
          </cell>
          <cell r="J142" t="b">
            <v>0</v>
          </cell>
          <cell r="K142" t="b">
            <v>1</v>
          </cell>
          <cell r="L142" t="str">
            <v>Effect/Prefab/10_buff/EFF_buff_up</v>
          </cell>
          <cell r="M142" t="str">
            <v>icon_battle_defense</v>
          </cell>
          <cell r="N142" t="str">
            <v>Buff.Name.Def.Up.00</v>
          </cell>
          <cell r="O142" t="str">
            <v>Buff.Desc.Def.Up.00</v>
          </cell>
        </row>
        <row r="143">
          <cell r="A143" t="str">
            <v>Def.Up.01</v>
          </cell>
          <cell r="B143"/>
          <cell r="C143"/>
          <cell r="D143">
            <v>0</v>
          </cell>
          <cell r="E143">
            <v>0</v>
          </cell>
          <cell r="F143">
            <v>0</v>
          </cell>
          <cell r="G143" t="str">
            <v>none</v>
          </cell>
          <cell r="H143"/>
          <cell r="I143" t="b">
            <v>0</v>
          </cell>
          <cell r="J143" t="b">
            <v>0</v>
          </cell>
          <cell r="K143" t="b">
            <v>1</v>
          </cell>
          <cell r="L143" t="str">
            <v>Effect/Prefab/10_buff/EFF_buff_up</v>
          </cell>
          <cell r="M143" t="str">
            <v>icon_battle_defense</v>
          </cell>
          <cell r="N143" t="str">
            <v>Buff.Name.Def.Up.01</v>
          </cell>
          <cell r="O143" t="str">
            <v>Buff.Desc.Def.Up.01</v>
          </cell>
        </row>
        <row r="144">
          <cell r="A144" t="str">
            <v>Def.Up.02</v>
          </cell>
          <cell r="B144"/>
          <cell r="C144"/>
          <cell r="D144">
            <v>0</v>
          </cell>
          <cell r="E144">
            <v>0</v>
          </cell>
          <cell r="F144">
            <v>0</v>
          </cell>
          <cell r="G144" t="str">
            <v>none</v>
          </cell>
          <cell r="H144"/>
          <cell r="I144" t="b">
            <v>0</v>
          </cell>
          <cell r="J144" t="b">
            <v>0</v>
          </cell>
          <cell r="K144" t="b">
            <v>1</v>
          </cell>
          <cell r="L144" t="str">
            <v>Effect/Prefab/10_buff/EFF_buff_up</v>
          </cell>
          <cell r="M144" t="str">
            <v>icon_battle_defense</v>
          </cell>
          <cell r="N144" t="str">
            <v>Buff.Name.Def.Up.02</v>
          </cell>
          <cell r="O144" t="str">
            <v>Buff.Desc.Def.Up.02</v>
          </cell>
        </row>
        <row r="145">
          <cell r="A145" t="str">
            <v>Def.Up.03</v>
          </cell>
          <cell r="B145"/>
          <cell r="C145"/>
          <cell r="D145">
            <v>0</v>
          </cell>
          <cell r="E145">
            <v>0</v>
          </cell>
          <cell r="F145">
            <v>0</v>
          </cell>
          <cell r="G145" t="str">
            <v>none</v>
          </cell>
          <cell r="H145"/>
          <cell r="I145" t="b">
            <v>0</v>
          </cell>
          <cell r="J145" t="b">
            <v>0</v>
          </cell>
          <cell r="K145" t="b">
            <v>1</v>
          </cell>
          <cell r="L145" t="str">
            <v>Effect/Prefab/10_buff/EFF_buff_up</v>
          </cell>
          <cell r="M145" t="str">
            <v>icon_battle_defense</v>
          </cell>
          <cell r="N145" t="str">
            <v>Buff.Name.Def.Up.03</v>
          </cell>
          <cell r="O145" t="str">
            <v>Buff.Desc.Def.Up.03</v>
          </cell>
        </row>
        <row r="146">
          <cell r="A146" t="str">
            <v>Def.Up.04</v>
          </cell>
          <cell r="B146"/>
          <cell r="C146"/>
          <cell r="D146">
            <v>0</v>
          </cell>
          <cell r="E146">
            <v>0</v>
          </cell>
          <cell r="F146">
            <v>0</v>
          </cell>
          <cell r="G146" t="str">
            <v>none</v>
          </cell>
          <cell r="H146"/>
          <cell r="I146" t="b">
            <v>0</v>
          </cell>
          <cell r="J146" t="b">
            <v>0</v>
          </cell>
          <cell r="K146" t="b">
            <v>1</v>
          </cell>
          <cell r="L146" t="str">
            <v>Effect/Prefab/10_buff/EFF_buff_up</v>
          </cell>
          <cell r="M146" t="str">
            <v>icon_battle_defense</v>
          </cell>
          <cell r="N146" t="str">
            <v>Buff.Name.Def.Up.04</v>
          </cell>
          <cell r="O146" t="str">
            <v>Buff.Desc.Def.Up.04</v>
          </cell>
        </row>
        <row r="147">
          <cell r="A147" t="str">
            <v>Def.Up.05</v>
          </cell>
          <cell r="B147"/>
          <cell r="C147"/>
          <cell r="D147">
            <v>0</v>
          </cell>
          <cell r="E147">
            <v>0</v>
          </cell>
          <cell r="F147">
            <v>0</v>
          </cell>
          <cell r="G147" t="str">
            <v>none</v>
          </cell>
          <cell r="H147"/>
          <cell r="I147" t="b">
            <v>0</v>
          </cell>
          <cell r="J147" t="b">
            <v>0</v>
          </cell>
          <cell r="K147" t="b">
            <v>1</v>
          </cell>
          <cell r="L147" t="str">
            <v>Effect/Prefab/10_buff/EFF_buff_up</v>
          </cell>
          <cell r="M147" t="str">
            <v>icon_battle_defense</v>
          </cell>
          <cell r="N147" t="str">
            <v>Buff.Name.Def.Up.05</v>
          </cell>
          <cell r="O147" t="str">
            <v>Buff.Desc.Def.Up.05</v>
          </cell>
        </row>
        <row r="148">
          <cell r="A148" t="str">
            <v>Critical.Up</v>
          </cell>
          <cell r="B148"/>
          <cell r="C148"/>
          <cell r="D148">
            <v>0</v>
          </cell>
          <cell r="E148">
            <v>0</v>
          </cell>
          <cell r="F148">
            <v>0</v>
          </cell>
          <cell r="G148" t="str">
            <v>none</v>
          </cell>
          <cell r="H148"/>
          <cell r="I148" t="b">
            <v>0</v>
          </cell>
          <cell r="J148" t="b">
            <v>0</v>
          </cell>
          <cell r="K148" t="b">
            <v>1</v>
          </cell>
          <cell r="L148" t="str">
            <v>Effect/Prefab/10_buff/EFF_buff_up</v>
          </cell>
          <cell r="M148" t="str">
            <v>icon_battle_critical</v>
          </cell>
          <cell r="N148" t="str">
            <v>Buff.Name.Critical.Up.00</v>
          </cell>
          <cell r="O148" t="str">
            <v>Buff.Desc.Critical.Up.00</v>
          </cell>
        </row>
        <row r="149">
          <cell r="A149" t="str">
            <v>Critical.Up.01</v>
          </cell>
          <cell r="B149"/>
          <cell r="C149"/>
          <cell r="D149">
            <v>0</v>
          </cell>
          <cell r="E149">
            <v>0</v>
          </cell>
          <cell r="F149">
            <v>0</v>
          </cell>
          <cell r="G149" t="str">
            <v>none</v>
          </cell>
          <cell r="H149"/>
          <cell r="I149" t="b">
            <v>0</v>
          </cell>
          <cell r="J149" t="b">
            <v>0</v>
          </cell>
          <cell r="K149" t="b">
            <v>1</v>
          </cell>
          <cell r="L149" t="str">
            <v>Effect/Prefab/10_buff/EFF_buff_up</v>
          </cell>
          <cell r="M149" t="str">
            <v>icon_battle_critical</v>
          </cell>
          <cell r="N149" t="str">
            <v>Buff.Name.Critical.Up.01</v>
          </cell>
          <cell r="O149" t="str">
            <v>Buff.Desc.Critical.Up.01</v>
          </cell>
        </row>
        <row r="150">
          <cell r="A150" t="str">
            <v>Critical.Up.02</v>
          </cell>
          <cell r="B150"/>
          <cell r="C150"/>
          <cell r="D150">
            <v>0</v>
          </cell>
          <cell r="E150">
            <v>0</v>
          </cell>
          <cell r="F150">
            <v>0</v>
          </cell>
          <cell r="G150" t="str">
            <v>none</v>
          </cell>
          <cell r="H150"/>
          <cell r="I150" t="b">
            <v>0</v>
          </cell>
          <cell r="J150" t="b">
            <v>0</v>
          </cell>
          <cell r="K150" t="b">
            <v>1</v>
          </cell>
          <cell r="L150" t="str">
            <v>Effect/Prefab/10_buff/EFF_buff_up</v>
          </cell>
          <cell r="M150" t="str">
            <v>icon_battle_critical</v>
          </cell>
          <cell r="N150" t="str">
            <v>Buff.Name.Critical.Up.02</v>
          </cell>
          <cell r="O150" t="str">
            <v>Buff.Desc.Critical.Up.02</v>
          </cell>
        </row>
        <row r="151">
          <cell r="A151" t="str">
            <v>Critical.Up.03</v>
          </cell>
          <cell r="B151"/>
          <cell r="C151"/>
          <cell r="D151">
            <v>0</v>
          </cell>
          <cell r="E151">
            <v>0</v>
          </cell>
          <cell r="F151">
            <v>0</v>
          </cell>
          <cell r="G151" t="str">
            <v>none</v>
          </cell>
          <cell r="H151"/>
          <cell r="I151" t="b">
            <v>0</v>
          </cell>
          <cell r="J151" t="b">
            <v>0</v>
          </cell>
          <cell r="K151" t="b">
            <v>1</v>
          </cell>
          <cell r="L151" t="str">
            <v>Effect/Prefab/10_buff/EFF_buff_up</v>
          </cell>
          <cell r="M151" t="str">
            <v>icon_battle_critical</v>
          </cell>
          <cell r="N151" t="str">
            <v>Buff.Name.Critical.Up.03</v>
          </cell>
          <cell r="O151" t="str">
            <v>Buff.Desc.Critical.Up.03</v>
          </cell>
        </row>
        <row r="152">
          <cell r="A152" t="str">
            <v>Critical.Up.04</v>
          </cell>
          <cell r="B152"/>
          <cell r="C152"/>
          <cell r="D152">
            <v>0</v>
          </cell>
          <cell r="E152">
            <v>0</v>
          </cell>
          <cell r="F152">
            <v>0</v>
          </cell>
          <cell r="G152" t="str">
            <v>none</v>
          </cell>
          <cell r="H152"/>
          <cell r="I152" t="b">
            <v>0</v>
          </cell>
          <cell r="J152" t="b">
            <v>0</v>
          </cell>
          <cell r="K152" t="b">
            <v>1</v>
          </cell>
          <cell r="L152" t="str">
            <v>Effect/Prefab/10_buff/EFF_buff_up</v>
          </cell>
          <cell r="M152" t="str">
            <v>icon_battle_critical</v>
          </cell>
          <cell r="N152" t="str">
            <v>Buff.Name.Critical.Up.04</v>
          </cell>
          <cell r="O152" t="str">
            <v>Buff.Desc.Critical.Up.04</v>
          </cell>
        </row>
        <row r="153">
          <cell r="A153" t="str">
            <v>Critical.Up.05</v>
          </cell>
          <cell r="B153"/>
          <cell r="C153"/>
          <cell r="D153">
            <v>0</v>
          </cell>
          <cell r="E153">
            <v>0</v>
          </cell>
          <cell r="F153">
            <v>0</v>
          </cell>
          <cell r="G153" t="str">
            <v>none</v>
          </cell>
          <cell r="H153"/>
          <cell r="I153" t="b">
            <v>0</v>
          </cell>
          <cell r="J153" t="b">
            <v>0</v>
          </cell>
          <cell r="K153" t="b">
            <v>1</v>
          </cell>
          <cell r="L153" t="str">
            <v>Effect/Prefab/10_buff/EFF_buff_up</v>
          </cell>
          <cell r="M153" t="str">
            <v>icon_battle_critical</v>
          </cell>
          <cell r="N153" t="str">
            <v>Buff.Name.Critical.Up.05</v>
          </cell>
          <cell r="O153" t="str">
            <v>Buff.Desc.Critical.Up.05</v>
          </cell>
        </row>
        <row r="154">
          <cell r="A154" t="str">
            <v>CriticalDamage.Up</v>
          </cell>
          <cell r="B154"/>
          <cell r="C154"/>
          <cell r="D154">
            <v>0</v>
          </cell>
          <cell r="E154">
            <v>0</v>
          </cell>
          <cell r="F154">
            <v>0</v>
          </cell>
          <cell r="G154" t="str">
            <v>none</v>
          </cell>
          <cell r="H154"/>
          <cell r="I154" t="b">
            <v>0</v>
          </cell>
          <cell r="J154" t="b">
            <v>0</v>
          </cell>
          <cell r="K154" t="b">
            <v>1</v>
          </cell>
          <cell r="L154" t="str">
            <v>Effect/Prefab/10_buff/EFF_buff_up</v>
          </cell>
          <cell r="M154" t="str">
            <v>icon_battle_criticaldamage</v>
          </cell>
          <cell r="N154" t="str">
            <v>Buff.Name.CriticalDamage.Up.00</v>
          </cell>
          <cell r="O154" t="str">
            <v>Buff.Desc.CriticalDamage.Up.00</v>
          </cell>
        </row>
        <row r="155">
          <cell r="A155" t="str">
            <v>CriticalDamage.Up.01</v>
          </cell>
          <cell r="B155"/>
          <cell r="C155"/>
          <cell r="D155">
            <v>0</v>
          </cell>
          <cell r="E155">
            <v>0</v>
          </cell>
          <cell r="F155">
            <v>0</v>
          </cell>
          <cell r="G155" t="str">
            <v>none</v>
          </cell>
          <cell r="H155"/>
          <cell r="I155" t="b">
            <v>0</v>
          </cell>
          <cell r="J155" t="b">
            <v>0</v>
          </cell>
          <cell r="K155" t="b">
            <v>1</v>
          </cell>
          <cell r="L155" t="str">
            <v>Effect/Prefab/10_buff/EFF_buff_up</v>
          </cell>
          <cell r="M155" t="str">
            <v>icon_battle_criticaldamage</v>
          </cell>
          <cell r="N155" t="str">
            <v>Buff.Name.CriticalDamage.Up.01</v>
          </cell>
          <cell r="O155" t="str">
            <v>Buff.Desc.CriticalDamage.Up.01</v>
          </cell>
        </row>
        <row r="156">
          <cell r="A156" t="str">
            <v>CriticalDamage.Up.02</v>
          </cell>
          <cell r="B156"/>
          <cell r="C156"/>
          <cell r="D156">
            <v>0</v>
          </cell>
          <cell r="E156">
            <v>0</v>
          </cell>
          <cell r="F156">
            <v>0</v>
          </cell>
          <cell r="G156" t="str">
            <v>none</v>
          </cell>
          <cell r="H156"/>
          <cell r="I156" t="b">
            <v>0</v>
          </cell>
          <cell r="J156" t="b">
            <v>0</v>
          </cell>
          <cell r="K156" t="b">
            <v>1</v>
          </cell>
          <cell r="L156" t="str">
            <v>Effect/Prefab/10_buff/EFF_buff_up</v>
          </cell>
          <cell r="M156" t="str">
            <v>icon_battle_criticaldamage</v>
          </cell>
          <cell r="N156" t="str">
            <v>Buff.Name.CriticalDamage.Up.02</v>
          </cell>
          <cell r="O156" t="str">
            <v>Buff.Desc.CriticalDamage.Up.02</v>
          </cell>
        </row>
        <row r="157">
          <cell r="A157" t="str">
            <v>CriticalDamage.Up.03</v>
          </cell>
          <cell r="B157"/>
          <cell r="C157"/>
          <cell r="D157">
            <v>0</v>
          </cell>
          <cell r="E157">
            <v>0</v>
          </cell>
          <cell r="F157">
            <v>0</v>
          </cell>
          <cell r="G157" t="str">
            <v>none</v>
          </cell>
          <cell r="H157"/>
          <cell r="I157" t="b">
            <v>0</v>
          </cell>
          <cell r="J157" t="b">
            <v>0</v>
          </cell>
          <cell r="K157" t="b">
            <v>1</v>
          </cell>
          <cell r="L157" t="str">
            <v>Effect/Prefab/10_buff/EFF_buff_up</v>
          </cell>
          <cell r="M157" t="str">
            <v>icon_battle_criticaldamage</v>
          </cell>
          <cell r="N157" t="str">
            <v>Buff.Name.CriticalDamage.Up.03</v>
          </cell>
          <cell r="O157" t="str">
            <v>Buff.Desc.CriticalDamage.Up.03</v>
          </cell>
        </row>
        <row r="158">
          <cell r="A158" t="str">
            <v>CriticalDamage.Up.04</v>
          </cell>
          <cell r="B158"/>
          <cell r="C158"/>
          <cell r="D158">
            <v>0</v>
          </cell>
          <cell r="E158">
            <v>0</v>
          </cell>
          <cell r="F158">
            <v>0</v>
          </cell>
          <cell r="G158" t="str">
            <v>none</v>
          </cell>
          <cell r="H158"/>
          <cell r="I158" t="b">
            <v>0</v>
          </cell>
          <cell r="J158" t="b">
            <v>0</v>
          </cell>
          <cell r="K158" t="b">
            <v>1</v>
          </cell>
          <cell r="L158" t="str">
            <v>Effect/Prefab/10_buff/EFF_buff_up</v>
          </cell>
          <cell r="M158" t="str">
            <v>icon_battle_criticaldamage</v>
          </cell>
          <cell r="N158" t="str">
            <v>Buff.Name.CriticalDamage.Up.04</v>
          </cell>
          <cell r="O158" t="str">
            <v>Buff.Desc.CriticalDamage.Up.04</v>
          </cell>
        </row>
        <row r="159">
          <cell r="A159" t="str">
            <v>CriticalDamage.Up.05</v>
          </cell>
          <cell r="B159"/>
          <cell r="C159"/>
          <cell r="D159">
            <v>0</v>
          </cell>
          <cell r="E159">
            <v>0</v>
          </cell>
          <cell r="F159">
            <v>0</v>
          </cell>
          <cell r="G159" t="str">
            <v>none</v>
          </cell>
          <cell r="H159"/>
          <cell r="I159" t="b">
            <v>0</v>
          </cell>
          <cell r="J159" t="b">
            <v>0</v>
          </cell>
          <cell r="K159" t="b">
            <v>1</v>
          </cell>
          <cell r="L159" t="str">
            <v>Effect/Prefab/10_buff/EFF_buff_up</v>
          </cell>
          <cell r="M159" t="str">
            <v>icon_battle_criticaldamage</v>
          </cell>
          <cell r="N159" t="str">
            <v>Buff.Name.CriticalDamage.Up.05</v>
          </cell>
          <cell r="O159" t="str">
            <v>Buff.Desc.CriticalDamage.Up.05</v>
          </cell>
        </row>
        <row r="160">
          <cell r="A160" t="str">
            <v>AtkSpeed.Up</v>
          </cell>
          <cell r="B160"/>
          <cell r="C160"/>
          <cell r="D160">
            <v>0</v>
          </cell>
          <cell r="E160">
            <v>0</v>
          </cell>
          <cell r="F160">
            <v>0</v>
          </cell>
          <cell r="G160" t="str">
            <v>none</v>
          </cell>
          <cell r="H160"/>
          <cell r="I160" t="b">
            <v>0</v>
          </cell>
          <cell r="J160" t="b">
            <v>0</v>
          </cell>
          <cell r="K160" t="b">
            <v>1</v>
          </cell>
          <cell r="L160" t="str">
            <v>Effect/Prefab/10_buff/EFF_buff_up</v>
          </cell>
          <cell r="M160" t="str">
            <v>icon_battle_attackspeed</v>
          </cell>
          <cell r="N160" t="str">
            <v>Buff.Name.AtkSpeed.Up.00</v>
          </cell>
          <cell r="O160" t="str">
            <v>Buff.Desc.AtkSpeed.Up.00</v>
          </cell>
        </row>
        <row r="161">
          <cell r="A161" t="str">
            <v>AtkSpeed.Up.01</v>
          </cell>
          <cell r="B161"/>
          <cell r="C161"/>
          <cell r="D161">
            <v>0</v>
          </cell>
          <cell r="E161">
            <v>0</v>
          </cell>
          <cell r="F161">
            <v>0</v>
          </cell>
          <cell r="G161" t="str">
            <v>none</v>
          </cell>
          <cell r="H161"/>
          <cell r="I161" t="b">
            <v>0</v>
          </cell>
          <cell r="J161" t="b">
            <v>0</v>
          </cell>
          <cell r="K161" t="b">
            <v>1</v>
          </cell>
          <cell r="L161" t="str">
            <v>Effect/Prefab/10_buff/EFF_buff_up</v>
          </cell>
          <cell r="M161" t="str">
            <v>icon_battle_attackspeed</v>
          </cell>
          <cell r="N161" t="str">
            <v>Buff.Name.AtkSpeed.Up.01</v>
          </cell>
          <cell r="O161" t="str">
            <v>Buff.Desc.AtkSpeed.Up.01</v>
          </cell>
        </row>
        <row r="162">
          <cell r="A162" t="str">
            <v>AtkSpeed.Up.02</v>
          </cell>
          <cell r="B162"/>
          <cell r="C162"/>
          <cell r="D162">
            <v>0</v>
          </cell>
          <cell r="E162">
            <v>0</v>
          </cell>
          <cell r="F162">
            <v>0</v>
          </cell>
          <cell r="G162" t="str">
            <v>none</v>
          </cell>
          <cell r="H162"/>
          <cell r="I162" t="b">
            <v>0</v>
          </cell>
          <cell r="J162" t="b">
            <v>0</v>
          </cell>
          <cell r="K162" t="b">
            <v>1</v>
          </cell>
          <cell r="L162" t="str">
            <v>Effect/Prefab/10_buff/EFF_buff_up</v>
          </cell>
          <cell r="M162" t="str">
            <v>icon_battle_attackspeed</v>
          </cell>
          <cell r="N162" t="str">
            <v>Buff.Name.AtkSpeed.Up.02</v>
          </cell>
          <cell r="O162" t="str">
            <v>Buff.Desc.AtkSpeed.Up.02</v>
          </cell>
        </row>
        <row r="163">
          <cell r="A163" t="str">
            <v>AtkSpeed.Up.03</v>
          </cell>
          <cell r="B163"/>
          <cell r="C163"/>
          <cell r="D163">
            <v>0</v>
          </cell>
          <cell r="E163">
            <v>0</v>
          </cell>
          <cell r="F163">
            <v>0</v>
          </cell>
          <cell r="G163" t="str">
            <v>none</v>
          </cell>
          <cell r="H163"/>
          <cell r="I163" t="b">
            <v>0</v>
          </cell>
          <cell r="J163" t="b">
            <v>0</v>
          </cell>
          <cell r="K163" t="b">
            <v>1</v>
          </cell>
          <cell r="L163" t="str">
            <v>Effect/Prefab/10_buff/EFF_buff_up</v>
          </cell>
          <cell r="M163" t="str">
            <v>icon_battle_attackspeed</v>
          </cell>
          <cell r="N163" t="str">
            <v>Buff.Name.AtkSpeed.Up.03</v>
          </cell>
          <cell r="O163" t="str">
            <v>Buff.Desc.AtkSpeed.Up.03</v>
          </cell>
        </row>
        <row r="164">
          <cell r="A164" t="str">
            <v>AtkSpeed.Up.04</v>
          </cell>
          <cell r="B164"/>
          <cell r="C164"/>
          <cell r="D164">
            <v>0</v>
          </cell>
          <cell r="E164">
            <v>0</v>
          </cell>
          <cell r="F164">
            <v>0</v>
          </cell>
          <cell r="G164" t="str">
            <v>none</v>
          </cell>
          <cell r="H164"/>
          <cell r="I164" t="b">
            <v>0</v>
          </cell>
          <cell r="J164" t="b">
            <v>0</v>
          </cell>
          <cell r="K164" t="b">
            <v>1</v>
          </cell>
          <cell r="L164" t="str">
            <v>Effect/Prefab/10_buff/EFF_buff_up</v>
          </cell>
          <cell r="M164" t="str">
            <v>icon_battle_attackspeed</v>
          </cell>
          <cell r="N164" t="str">
            <v>Buff.Name.AtkSpeed.Up.04</v>
          </cell>
          <cell r="O164" t="str">
            <v>Buff.Desc.AtkSpeed.Up.04</v>
          </cell>
        </row>
        <row r="165">
          <cell r="A165" t="str">
            <v>AtkSpeed.Up.05</v>
          </cell>
          <cell r="B165"/>
          <cell r="C165"/>
          <cell r="D165">
            <v>0</v>
          </cell>
          <cell r="E165">
            <v>0</v>
          </cell>
          <cell r="F165">
            <v>0</v>
          </cell>
          <cell r="G165" t="str">
            <v>none</v>
          </cell>
          <cell r="H165"/>
          <cell r="I165" t="b">
            <v>0</v>
          </cell>
          <cell r="J165" t="b">
            <v>0</v>
          </cell>
          <cell r="K165" t="b">
            <v>1</v>
          </cell>
          <cell r="L165" t="str">
            <v>Effect/Prefab/10_buff/EFF_buff_up</v>
          </cell>
          <cell r="M165" t="str">
            <v>icon_battle_attackspeed</v>
          </cell>
          <cell r="N165" t="str">
            <v>Buff.Name.AtkSpeed.Up.05</v>
          </cell>
          <cell r="O165" t="str">
            <v>Buff.Desc.AtkSpeed.Up.05</v>
          </cell>
        </row>
        <row r="166">
          <cell r="A166" t="str">
            <v>Accuracy.Up</v>
          </cell>
          <cell r="B166"/>
          <cell r="C166"/>
          <cell r="D166">
            <v>0</v>
          </cell>
          <cell r="E166">
            <v>0</v>
          </cell>
          <cell r="F166">
            <v>0</v>
          </cell>
          <cell r="G166" t="str">
            <v>none</v>
          </cell>
          <cell r="H166"/>
          <cell r="I166" t="b">
            <v>0</v>
          </cell>
          <cell r="J166" t="b">
            <v>0</v>
          </cell>
          <cell r="K166" t="b">
            <v>1</v>
          </cell>
          <cell r="L166" t="str">
            <v>Effect/Prefab/10_buff/EFF_buff_up</v>
          </cell>
          <cell r="M166" t="str">
            <v>icon_battle_accuracy</v>
          </cell>
          <cell r="N166" t="str">
            <v>Buff.Name.Accuracy.Up.00</v>
          </cell>
          <cell r="O166" t="str">
            <v>Buff.Desc.Accuracy.Up.00</v>
          </cell>
        </row>
        <row r="167">
          <cell r="A167" t="str">
            <v>Accuracy.Up.01</v>
          </cell>
          <cell r="B167"/>
          <cell r="C167"/>
          <cell r="D167">
            <v>0</v>
          </cell>
          <cell r="E167">
            <v>0</v>
          </cell>
          <cell r="F167">
            <v>0</v>
          </cell>
          <cell r="G167" t="str">
            <v>none</v>
          </cell>
          <cell r="H167"/>
          <cell r="I167" t="b">
            <v>0</v>
          </cell>
          <cell r="J167" t="b">
            <v>0</v>
          </cell>
          <cell r="K167" t="b">
            <v>1</v>
          </cell>
          <cell r="L167" t="str">
            <v>Effect/Prefab/10_buff/EFF_buff_up</v>
          </cell>
          <cell r="M167" t="str">
            <v>icon_battle_accuracy</v>
          </cell>
          <cell r="N167" t="str">
            <v>Buff.Name.Accuracy.Up.01</v>
          </cell>
          <cell r="O167" t="str">
            <v>Buff.Desc.Accuracy.Up.01</v>
          </cell>
        </row>
        <row r="168">
          <cell r="A168" t="str">
            <v>Accuracy.Up.02</v>
          </cell>
          <cell r="B168"/>
          <cell r="C168"/>
          <cell r="D168">
            <v>0</v>
          </cell>
          <cell r="E168">
            <v>0</v>
          </cell>
          <cell r="F168">
            <v>0</v>
          </cell>
          <cell r="G168" t="str">
            <v>none</v>
          </cell>
          <cell r="H168"/>
          <cell r="I168" t="b">
            <v>0</v>
          </cell>
          <cell r="J168" t="b">
            <v>0</v>
          </cell>
          <cell r="K168" t="b">
            <v>1</v>
          </cell>
          <cell r="L168" t="str">
            <v>Effect/Prefab/10_buff/EFF_buff_up</v>
          </cell>
          <cell r="M168" t="str">
            <v>icon_battle_accuracy</v>
          </cell>
          <cell r="N168" t="str">
            <v>Buff.Name.Accuracy.Up.02</v>
          </cell>
          <cell r="O168" t="str">
            <v>Buff.Desc.Accuracy.Up.02</v>
          </cell>
        </row>
        <row r="169">
          <cell r="A169" t="str">
            <v>Accuracy.Up.03</v>
          </cell>
          <cell r="B169"/>
          <cell r="C169"/>
          <cell r="D169">
            <v>0</v>
          </cell>
          <cell r="E169">
            <v>0</v>
          </cell>
          <cell r="F169">
            <v>0</v>
          </cell>
          <cell r="G169" t="str">
            <v>none</v>
          </cell>
          <cell r="H169"/>
          <cell r="I169" t="b">
            <v>0</v>
          </cell>
          <cell r="J169" t="b">
            <v>0</v>
          </cell>
          <cell r="K169" t="b">
            <v>1</v>
          </cell>
          <cell r="L169" t="str">
            <v>Effect/Prefab/10_buff/EFF_buff_up</v>
          </cell>
          <cell r="M169" t="str">
            <v>icon_battle_accuracy</v>
          </cell>
          <cell r="N169" t="str">
            <v>Buff.Name.Accuracy.Up.03</v>
          </cell>
          <cell r="O169" t="str">
            <v>Buff.Desc.Accuracy.Up.03</v>
          </cell>
        </row>
        <row r="170">
          <cell r="A170" t="str">
            <v>Accuracy.Up.04</v>
          </cell>
          <cell r="B170"/>
          <cell r="C170"/>
          <cell r="D170">
            <v>0</v>
          </cell>
          <cell r="E170">
            <v>0</v>
          </cell>
          <cell r="F170">
            <v>0</v>
          </cell>
          <cell r="G170" t="str">
            <v>none</v>
          </cell>
          <cell r="H170"/>
          <cell r="I170" t="b">
            <v>0</v>
          </cell>
          <cell r="J170" t="b">
            <v>0</v>
          </cell>
          <cell r="K170" t="b">
            <v>1</v>
          </cell>
          <cell r="L170" t="str">
            <v>Effect/Prefab/10_buff/EFF_buff_up</v>
          </cell>
          <cell r="M170" t="str">
            <v>icon_battle_accuracy</v>
          </cell>
          <cell r="N170" t="str">
            <v>Buff.Name.Accuracy.Up.04</v>
          </cell>
          <cell r="O170" t="str">
            <v>Buff.Desc.Accuracy.Up.04</v>
          </cell>
        </row>
        <row r="171">
          <cell r="A171" t="str">
            <v>Accuracy.Up.05</v>
          </cell>
          <cell r="B171"/>
          <cell r="C171"/>
          <cell r="D171">
            <v>0</v>
          </cell>
          <cell r="E171">
            <v>0</v>
          </cell>
          <cell r="F171">
            <v>0</v>
          </cell>
          <cell r="G171" t="str">
            <v>none</v>
          </cell>
          <cell r="H171"/>
          <cell r="I171" t="b">
            <v>0</v>
          </cell>
          <cell r="J171" t="b">
            <v>0</v>
          </cell>
          <cell r="K171" t="b">
            <v>1</v>
          </cell>
          <cell r="L171" t="str">
            <v>Effect/Prefab/10_buff/EFF_buff_up</v>
          </cell>
          <cell r="M171" t="str">
            <v>icon_battle_accuracy</v>
          </cell>
          <cell r="N171" t="str">
            <v>Buff.Name.Accuracy.Up.05</v>
          </cell>
          <cell r="O171" t="str">
            <v>Buff.Desc.Accuracy.Up.05</v>
          </cell>
        </row>
        <row r="172">
          <cell r="A172" t="str">
            <v>Evasion.Up</v>
          </cell>
          <cell r="B172"/>
          <cell r="C172"/>
          <cell r="D172">
            <v>0</v>
          </cell>
          <cell r="E172">
            <v>0</v>
          </cell>
          <cell r="F172">
            <v>0</v>
          </cell>
          <cell r="G172" t="str">
            <v>none</v>
          </cell>
          <cell r="H172"/>
          <cell r="I172" t="b">
            <v>0</v>
          </cell>
          <cell r="J172" t="b">
            <v>0</v>
          </cell>
          <cell r="K172" t="b">
            <v>1</v>
          </cell>
          <cell r="L172" t="str">
            <v>Effect/Prefab/10_buff/EFF_buff_up</v>
          </cell>
          <cell r="M172" t="str">
            <v>icon_battle_evasion</v>
          </cell>
          <cell r="N172" t="str">
            <v>Buff.Name.Evasion.Up.00</v>
          </cell>
          <cell r="O172" t="str">
            <v>Buff.Desc.Evasion.Up.00</v>
          </cell>
        </row>
        <row r="173">
          <cell r="A173" t="str">
            <v>Evasion.Up.01</v>
          </cell>
          <cell r="B173"/>
          <cell r="C173"/>
          <cell r="D173">
            <v>0</v>
          </cell>
          <cell r="E173">
            <v>0</v>
          </cell>
          <cell r="F173">
            <v>0</v>
          </cell>
          <cell r="G173" t="str">
            <v>none</v>
          </cell>
          <cell r="H173"/>
          <cell r="I173" t="b">
            <v>0</v>
          </cell>
          <cell r="J173" t="b">
            <v>0</v>
          </cell>
          <cell r="K173" t="b">
            <v>1</v>
          </cell>
          <cell r="L173" t="str">
            <v>Effect/Prefab/10_buff/EFF_buff_up</v>
          </cell>
          <cell r="M173" t="str">
            <v>icon_battle_evasion</v>
          </cell>
          <cell r="N173" t="str">
            <v>Buff.Name.Evasion.Up.01</v>
          </cell>
          <cell r="O173" t="str">
            <v>Buff.Desc.Evasion.Up.01</v>
          </cell>
        </row>
        <row r="174">
          <cell r="A174" t="str">
            <v>Evasion.Up.02</v>
          </cell>
          <cell r="B174"/>
          <cell r="C174"/>
          <cell r="D174">
            <v>0</v>
          </cell>
          <cell r="E174">
            <v>0</v>
          </cell>
          <cell r="F174">
            <v>0</v>
          </cell>
          <cell r="G174" t="str">
            <v>none</v>
          </cell>
          <cell r="H174"/>
          <cell r="I174" t="b">
            <v>0</v>
          </cell>
          <cell r="J174" t="b">
            <v>0</v>
          </cell>
          <cell r="K174" t="b">
            <v>1</v>
          </cell>
          <cell r="L174" t="str">
            <v>Effect/Prefab/10_buff/EFF_buff_up</v>
          </cell>
          <cell r="M174" t="str">
            <v>icon_battle_evasion</v>
          </cell>
          <cell r="N174" t="str">
            <v>Buff.Name.Evasion.Up.02</v>
          </cell>
          <cell r="O174" t="str">
            <v>Buff.Desc.Evasion.Up.02</v>
          </cell>
        </row>
        <row r="175">
          <cell r="A175" t="str">
            <v>Evasion.Up.03</v>
          </cell>
          <cell r="B175"/>
          <cell r="C175"/>
          <cell r="D175">
            <v>0</v>
          </cell>
          <cell r="E175">
            <v>0</v>
          </cell>
          <cell r="F175">
            <v>0</v>
          </cell>
          <cell r="G175" t="str">
            <v>none</v>
          </cell>
          <cell r="H175"/>
          <cell r="I175" t="b">
            <v>0</v>
          </cell>
          <cell r="J175" t="b">
            <v>0</v>
          </cell>
          <cell r="K175" t="b">
            <v>1</v>
          </cell>
          <cell r="L175" t="str">
            <v>Effect/Prefab/10_buff/EFF_buff_up</v>
          </cell>
          <cell r="M175" t="str">
            <v>icon_battle_evasion</v>
          </cell>
          <cell r="N175" t="str">
            <v>Buff.Name.Evasion.Up.03</v>
          </cell>
          <cell r="O175" t="str">
            <v>Buff.Desc.Evasion.Up.03</v>
          </cell>
        </row>
        <row r="176">
          <cell r="A176" t="str">
            <v>Evasion.Up.04</v>
          </cell>
          <cell r="B176"/>
          <cell r="C176"/>
          <cell r="D176">
            <v>0</v>
          </cell>
          <cell r="E176">
            <v>0</v>
          </cell>
          <cell r="F176">
            <v>0</v>
          </cell>
          <cell r="G176" t="str">
            <v>none</v>
          </cell>
          <cell r="H176"/>
          <cell r="I176" t="b">
            <v>0</v>
          </cell>
          <cell r="J176" t="b">
            <v>0</v>
          </cell>
          <cell r="K176" t="b">
            <v>1</v>
          </cell>
          <cell r="L176" t="str">
            <v>Effect/Prefab/10_buff/EFF_buff_up</v>
          </cell>
          <cell r="M176" t="str">
            <v>icon_battle_evasion</v>
          </cell>
          <cell r="N176" t="str">
            <v>Buff.Name.Evasion.Up.04</v>
          </cell>
          <cell r="O176" t="str">
            <v>Buff.Desc.Evasion.Up.04</v>
          </cell>
        </row>
        <row r="177">
          <cell r="A177" t="str">
            <v>Evasion.Up.05</v>
          </cell>
          <cell r="B177"/>
          <cell r="C177"/>
          <cell r="D177">
            <v>0</v>
          </cell>
          <cell r="E177">
            <v>0</v>
          </cell>
          <cell r="F177">
            <v>0</v>
          </cell>
          <cell r="G177" t="str">
            <v>none</v>
          </cell>
          <cell r="H177"/>
          <cell r="I177" t="b">
            <v>0</v>
          </cell>
          <cell r="J177" t="b">
            <v>0</v>
          </cell>
          <cell r="K177" t="b">
            <v>1</v>
          </cell>
          <cell r="L177" t="str">
            <v>Effect/Prefab/10_buff/EFF_buff_up</v>
          </cell>
          <cell r="M177" t="str">
            <v>icon_battle_evasion</v>
          </cell>
          <cell r="N177" t="str">
            <v>Buff.Name.Evasion.Up.05</v>
          </cell>
          <cell r="O177" t="str">
            <v>Buff.Desc.Evasion.Up.05</v>
          </cell>
        </row>
        <row r="178">
          <cell r="A178" t="str">
            <v>Damage.Up</v>
          </cell>
          <cell r="B178"/>
          <cell r="C178"/>
          <cell r="D178">
            <v>0</v>
          </cell>
          <cell r="E178">
            <v>0</v>
          </cell>
          <cell r="F178">
            <v>0</v>
          </cell>
          <cell r="G178" t="str">
            <v>none</v>
          </cell>
          <cell r="H178"/>
          <cell r="I178" t="b">
            <v>0</v>
          </cell>
          <cell r="J178" t="b">
            <v>0</v>
          </cell>
          <cell r="K178" t="b">
            <v>1</v>
          </cell>
          <cell r="L178" t="str">
            <v>Effect/Prefab/10_buff/EFF_buff_up</v>
          </cell>
          <cell r="M178" t="str">
            <v>icon_battle_damagerate</v>
          </cell>
          <cell r="N178" t="str">
            <v>Buff.Name.Damage.Up.00</v>
          </cell>
          <cell r="O178" t="str">
            <v>Buff.Desc.Damage.Up.00</v>
          </cell>
        </row>
        <row r="179">
          <cell r="A179" t="str">
            <v>Damage.Up.01</v>
          </cell>
          <cell r="B179"/>
          <cell r="C179"/>
          <cell r="D179">
            <v>0</v>
          </cell>
          <cell r="E179">
            <v>0</v>
          </cell>
          <cell r="F179">
            <v>0</v>
          </cell>
          <cell r="G179" t="str">
            <v>none</v>
          </cell>
          <cell r="H179"/>
          <cell r="I179" t="b">
            <v>0</v>
          </cell>
          <cell r="J179" t="b">
            <v>0</v>
          </cell>
          <cell r="K179" t="b">
            <v>1</v>
          </cell>
          <cell r="L179" t="str">
            <v>Effect/Prefab/10_buff/EFF_buff_up</v>
          </cell>
          <cell r="M179" t="str">
            <v>icon_battle_damagerate</v>
          </cell>
          <cell r="N179" t="str">
            <v>Buff.Name.Damage.Up.01</v>
          </cell>
          <cell r="O179" t="str">
            <v>Buff.Desc.Damage.Up.01</v>
          </cell>
        </row>
        <row r="180">
          <cell r="A180" t="str">
            <v>Damage.Up.02</v>
          </cell>
          <cell r="B180"/>
          <cell r="C180"/>
          <cell r="D180">
            <v>0</v>
          </cell>
          <cell r="E180">
            <v>0</v>
          </cell>
          <cell r="F180">
            <v>0</v>
          </cell>
          <cell r="G180" t="str">
            <v>none</v>
          </cell>
          <cell r="H180"/>
          <cell r="I180" t="b">
            <v>0</v>
          </cell>
          <cell r="J180" t="b">
            <v>0</v>
          </cell>
          <cell r="K180" t="b">
            <v>1</v>
          </cell>
          <cell r="L180" t="str">
            <v>Effect/Prefab/10_buff/EFF_buff_up</v>
          </cell>
          <cell r="M180" t="str">
            <v>icon_battle_damagerate</v>
          </cell>
          <cell r="N180" t="str">
            <v>Buff.Name.Damage.Up.02</v>
          </cell>
          <cell r="O180" t="str">
            <v>Buff.Desc.Damage.Up.02</v>
          </cell>
        </row>
        <row r="181">
          <cell r="A181" t="str">
            <v>Damage.Up.03</v>
          </cell>
          <cell r="B181"/>
          <cell r="C181"/>
          <cell r="D181">
            <v>0</v>
          </cell>
          <cell r="E181">
            <v>0</v>
          </cell>
          <cell r="F181">
            <v>0</v>
          </cell>
          <cell r="G181" t="str">
            <v>none</v>
          </cell>
          <cell r="H181"/>
          <cell r="I181" t="b">
            <v>0</v>
          </cell>
          <cell r="J181" t="b">
            <v>0</v>
          </cell>
          <cell r="K181" t="b">
            <v>1</v>
          </cell>
          <cell r="L181" t="str">
            <v>Effect/Prefab/10_buff/EFF_buff_up</v>
          </cell>
          <cell r="M181" t="str">
            <v>icon_battle_damagerate</v>
          </cell>
          <cell r="N181" t="str">
            <v>Buff.Name.Damage.Up.03</v>
          </cell>
          <cell r="O181" t="str">
            <v>Buff.Desc.Damage.Up.03</v>
          </cell>
        </row>
        <row r="182">
          <cell r="A182" t="str">
            <v>Damage.Up.04</v>
          </cell>
          <cell r="B182"/>
          <cell r="C182"/>
          <cell r="D182">
            <v>0</v>
          </cell>
          <cell r="E182">
            <v>0</v>
          </cell>
          <cell r="F182">
            <v>0</v>
          </cell>
          <cell r="G182" t="str">
            <v>none</v>
          </cell>
          <cell r="H182"/>
          <cell r="I182" t="b">
            <v>0</v>
          </cell>
          <cell r="J182" t="b">
            <v>0</v>
          </cell>
          <cell r="K182" t="b">
            <v>1</v>
          </cell>
          <cell r="L182" t="str">
            <v>Effect/Prefab/10_buff/EFF_buff_up</v>
          </cell>
          <cell r="M182" t="str">
            <v>icon_battle_damagerate</v>
          </cell>
          <cell r="N182" t="str">
            <v>Buff.Name.Damage.Up.04</v>
          </cell>
          <cell r="O182" t="str">
            <v>Buff.Desc.Damage.Up.04</v>
          </cell>
        </row>
        <row r="183">
          <cell r="A183" t="str">
            <v>Damage.Up.05</v>
          </cell>
          <cell r="B183"/>
          <cell r="C183"/>
          <cell r="D183">
            <v>0</v>
          </cell>
          <cell r="E183">
            <v>0</v>
          </cell>
          <cell r="F183">
            <v>0</v>
          </cell>
          <cell r="G183" t="str">
            <v>none</v>
          </cell>
          <cell r="H183"/>
          <cell r="I183" t="b">
            <v>0</v>
          </cell>
          <cell r="J183" t="b">
            <v>0</v>
          </cell>
          <cell r="K183" t="b">
            <v>1</v>
          </cell>
          <cell r="L183" t="str">
            <v>Effect/Prefab/10_buff/EFF_buff_up</v>
          </cell>
          <cell r="M183" t="str">
            <v>icon_battle_damagerate</v>
          </cell>
          <cell r="N183" t="str">
            <v>Buff.Name.Damage.Up.05</v>
          </cell>
          <cell r="O183" t="str">
            <v>Buff.Desc.Damage.Up.05</v>
          </cell>
        </row>
        <row r="184">
          <cell r="A184" t="str">
            <v>SingleDamage.Up</v>
          </cell>
          <cell r="B184"/>
          <cell r="C184"/>
          <cell r="D184">
            <v>0</v>
          </cell>
          <cell r="E184">
            <v>0</v>
          </cell>
          <cell r="F184">
            <v>0</v>
          </cell>
          <cell r="G184" t="str">
            <v>none</v>
          </cell>
          <cell r="H184"/>
          <cell r="I184" t="b">
            <v>0</v>
          </cell>
          <cell r="J184" t="b">
            <v>0</v>
          </cell>
          <cell r="K184" t="b">
            <v>1</v>
          </cell>
          <cell r="L184" t="str">
            <v>Effect/Prefab/10_buff/EFF_buff_up</v>
          </cell>
          <cell r="M184" t="str">
            <v>icon_battle_attack</v>
          </cell>
          <cell r="N184" t="str">
            <v>Buff.Name.SingleDamage.Up.00</v>
          </cell>
          <cell r="O184" t="str">
            <v>Buff.Desc.SingleDamage.Up.00</v>
          </cell>
        </row>
        <row r="185">
          <cell r="A185" t="str">
            <v>SingleDamage.Up.01</v>
          </cell>
          <cell r="B185"/>
          <cell r="C185"/>
          <cell r="D185">
            <v>0</v>
          </cell>
          <cell r="E185">
            <v>0</v>
          </cell>
          <cell r="F185">
            <v>0</v>
          </cell>
          <cell r="G185" t="str">
            <v>none</v>
          </cell>
          <cell r="H185"/>
          <cell r="I185" t="b">
            <v>0</v>
          </cell>
          <cell r="J185" t="b">
            <v>0</v>
          </cell>
          <cell r="K185" t="b">
            <v>1</v>
          </cell>
          <cell r="L185" t="str">
            <v>Effect/Prefab/10_buff/EFF_buff_up</v>
          </cell>
          <cell r="M185" t="str">
            <v>icon_battle_attack</v>
          </cell>
          <cell r="N185" t="str">
            <v>Buff.Name.SingleDamage.Up.01</v>
          </cell>
          <cell r="O185" t="str">
            <v>Buff.Desc.SingleDamage.Up.01</v>
          </cell>
        </row>
        <row r="186">
          <cell r="A186" t="str">
            <v>SingleDamage.Up.02</v>
          </cell>
          <cell r="B186"/>
          <cell r="C186"/>
          <cell r="D186">
            <v>0</v>
          </cell>
          <cell r="E186">
            <v>0</v>
          </cell>
          <cell r="F186">
            <v>0</v>
          </cell>
          <cell r="G186" t="str">
            <v>none</v>
          </cell>
          <cell r="H186"/>
          <cell r="I186" t="b">
            <v>0</v>
          </cell>
          <cell r="J186" t="b">
            <v>0</v>
          </cell>
          <cell r="K186" t="b">
            <v>1</v>
          </cell>
          <cell r="L186" t="str">
            <v>Effect/Prefab/10_buff/EFF_buff_up</v>
          </cell>
          <cell r="M186" t="str">
            <v>icon_battle_attack</v>
          </cell>
          <cell r="N186" t="str">
            <v>Buff.Name.SingleDamage.Up.02</v>
          </cell>
          <cell r="O186" t="str">
            <v>Buff.Desc.SingleDamage.Up.02</v>
          </cell>
        </row>
        <row r="187">
          <cell r="A187" t="str">
            <v>SingleDamage.Up.03</v>
          </cell>
          <cell r="B187"/>
          <cell r="C187"/>
          <cell r="D187">
            <v>0</v>
          </cell>
          <cell r="E187">
            <v>0</v>
          </cell>
          <cell r="F187">
            <v>0</v>
          </cell>
          <cell r="G187" t="str">
            <v>none</v>
          </cell>
          <cell r="H187"/>
          <cell r="I187" t="b">
            <v>0</v>
          </cell>
          <cell r="J187" t="b">
            <v>0</v>
          </cell>
          <cell r="K187" t="b">
            <v>1</v>
          </cell>
          <cell r="L187" t="str">
            <v>Effect/Prefab/10_buff/EFF_buff_up</v>
          </cell>
          <cell r="M187" t="str">
            <v>icon_battle_attack</v>
          </cell>
          <cell r="N187" t="str">
            <v>Buff.Name.SingleDamage.Up.03</v>
          </cell>
          <cell r="O187" t="str">
            <v>Buff.Desc.SingleDamage.Up.03</v>
          </cell>
        </row>
        <row r="188">
          <cell r="A188" t="str">
            <v>SingleDamage.Up.04</v>
          </cell>
          <cell r="B188"/>
          <cell r="C188"/>
          <cell r="D188">
            <v>0</v>
          </cell>
          <cell r="E188">
            <v>0</v>
          </cell>
          <cell r="F188">
            <v>0</v>
          </cell>
          <cell r="G188" t="str">
            <v>none</v>
          </cell>
          <cell r="H188"/>
          <cell r="I188" t="b">
            <v>0</v>
          </cell>
          <cell r="J188" t="b">
            <v>0</v>
          </cell>
          <cell r="K188" t="b">
            <v>1</v>
          </cell>
          <cell r="L188" t="str">
            <v>Effect/Prefab/10_buff/EFF_buff_up</v>
          </cell>
          <cell r="M188" t="str">
            <v>icon_battle_attack</v>
          </cell>
          <cell r="N188" t="str">
            <v>Buff.Name.SingleDamage.Up.04</v>
          </cell>
          <cell r="O188" t="str">
            <v>Buff.Desc.SingleDamage.Up.04</v>
          </cell>
        </row>
        <row r="189">
          <cell r="A189" t="str">
            <v>SingleDamage.Up.05</v>
          </cell>
          <cell r="B189"/>
          <cell r="C189"/>
          <cell r="D189">
            <v>0</v>
          </cell>
          <cell r="E189">
            <v>0</v>
          </cell>
          <cell r="F189">
            <v>0</v>
          </cell>
          <cell r="G189" t="str">
            <v>none</v>
          </cell>
          <cell r="H189"/>
          <cell r="I189" t="b">
            <v>0</v>
          </cell>
          <cell r="J189" t="b">
            <v>0</v>
          </cell>
          <cell r="K189" t="b">
            <v>1</v>
          </cell>
          <cell r="L189" t="str">
            <v>Effect/Prefab/10_buff/EFF_buff_up</v>
          </cell>
          <cell r="M189" t="str">
            <v>icon_battle_attack</v>
          </cell>
          <cell r="N189" t="str">
            <v>Buff.Name.SingleDamage.Up.05</v>
          </cell>
          <cell r="O189" t="str">
            <v>Buff.Desc.SingleDamage.Up.05</v>
          </cell>
        </row>
        <row r="190">
          <cell r="A190" t="str">
            <v>AreaDamage.Up</v>
          </cell>
          <cell r="B190"/>
          <cell r="C190"/>
          <cell r="D190">
            <v>0</v>
          </cell>
          <cell r="E190">
            <v>0</v>
          </cell>
          <cell r="F190">
            <v>0</v>
          </cell>
          <cell r="G190" t="str">
            <v>none</v>
          </cell>
          <cell r="H190"/>
          <cell r="I190" t="b">
            <v>0</v>
          </cell>
          <cell r="J190" t="b">
            <v>0</v>
          </cell>
          <cell r="K190" t="b">
            <v>1</v>
          </cell>
          <cell r="L190" t="str">
            <v>Effect/Prefab/10_buff/EFF_buff_up</v>
          </cell>
          <cell r="M190" t="str">
            <v>icon_battle_areadamage</v>
          </cell>
          <cell r="N190" t="str">
            <v>Buff.Name.AreaDamage.Up.00</v>
          </cell>
          <cell r="O190" t="str">
            <v>Buff.Desc.AreaDamage.Up.00</v>
          </cell>
        </row>
        <row r="191">
          <cell r="A191" t="str">
            <v>AreaDamage.Up.01</v>
          </cell>
          <cell r="B191"/>
          <cell r="C191"/>
          <cell r="D191">
            <v>0</v>
          </cell>
          <cell r="E191">
            <v>0</v>
          </cell>
          <cell r="F191">
            <v>0</v>
          </cell>
          <cell r="G191" t="str">
            <v>none</v>
          </cell>
          <cell r="H191"/>
          <cell r="I191" t="b">
            <v>0</v>
          </cell>
          <cell r="J191" t="b">
            <v>0</v>
          </cell>
          <cell r="K191" t="b">
            <v>1</v>
          </cell>
          <cell r="L191" t="str">
            <v>Effect/Prefab/10_buff/EFF_buff_up</v>
          </cell>
          <cell r="M191" t="str">
            <v>icon_battle_areadamage</v>
          </cell>
          <cell r="N191" t="str">
            <v>Buff.Name.AreaDamage.Up.01</v>
          </cell>
          <cell r="O191" t="str">
            <v>Buff.Desc.AreaDamage.Up.01</v>
          </cell>
        </row>
        <row r="192">
          <cell r="A192" t="str">
            <v>AreaDamage.Up.02</v>
          </cell>
          <cell r="B192"/>
          <cell r="C192"/>
          <cell r="D192">
            <v>0</v>
          </cell>
          <cell r="E192">
            <v>0</v>
          </cell>
          <cell r="F192">
            <v>0</v>
          </cell>
          <cell r="G192" t="str">
            <v>none</v>
          </cell>
          <cell r="H192"/>
          <cell r="I192" t="b">
            <v>0</v>
          </cell>
          <cell r="J192" t="b">
            <v>0</v>
          </cell>
          <cell r="K192" t="b">
            <v>1</v>
          </cell>
          <cell r="L192" t="str">
            <v>Effect/Prefab/10_buff/EFF_buff_up</v>
          </cell>
          <cell r="M192" t="str">
            <v>icon_battle_areadamage</v>
          </cell>
          <cell r="N192" t="str">
            <v>Buff.Name.AreaDamage.Up.02</v>
          </cell>
          <cell r="O192" t="str">
            <v>Buff.Desc.AreaDamage.Up.02</v>
          </cell>
        </row>
        <row r="193">
          <cell r="A193" t="str">
            <v>AreaDamage.Up.03</v>
          </cell>
          <cell r="B193"/>
          <cell r="C193"/>
          <cell r="D193">
            <v>0</v>
          </cell>
          <cell r="E193">
            <v>0</v>
          </cell>
          <cell r="F193">
            <v>0</v>
          </cell>
          <cell r="G193" t="str">
            <v>none</v>
          </cell>
          <cell r="H193"/>
          <cell r="I193" t="b">
            <v>0</v>
          </cell>
          <cell r="J193" t="b">
            <v>0</v>
          </cell>
          <cell r="K193" t="b">
            <v>1</v>
          </cell>
          <cell r="L193" t="str">
            <v>Effect/Prefab/10_buff/EFF_buff_up</v>
          </cell>
          <cell r="M193" t="str">
            <v>icon_battle_areadamage</v>
          </cell>
          <cell r="N193" t="str">
            <v>Buff.Name.AreaDamage.Up.03</v>
          </cell>
          <cell r="O193" t="str">
            <v>Buff.Desc.AreaDamage.Up.03</v>
          </cell>
        </row>
        <row r="194">
          <cell r="A194" t="str">
            <v>AreaDamage.Up.04</v>
          </cell>
          <cell r="B194"/>
          <cell r="C194"/>
          <cell r="D194">
            <v>0</v>
          </cell>
          <cell r="E194">
            <v>0</v>
          </cell>
          <cell r="F194">
            <v>0</v>
          </cell>
          <cell r="G194" t="str">
            <v>none</v>
          </cell>
          <cell r="H194"/>
          <cell r="I194" t="b">
            <v>0</v>
          </cell>
          <cell r="J194" t="b">
            <v>0</v>
          </cell>
          <cell r="K194" t="b">
            <v>1</v>
          </cell>
          <cell r="L194" t="str">
            <v>Effect/Prefab/10_buff/EFF_buff_up</v>
          </cell>
          <cell r="M194" t="str">
            <v>icon_battle_areadamage</v>
          </cell>
          <cell r="N194" t="str">
            <v>Buff.Name.AreaDamage.Up.04</v>
          </cell>
          <cell r="O194" t="str">
            <v>Buff.Desc.AreaDamage.Up.04</v>
          </cell>
        </row>
        <row r="195">
          <cell r="A195" t="str">
            <v>AreaDamage.Up.05</v>
          </cell>
          <cell r="B195"/>
          <cell r="C195"/>
          <cell r="D195">
            <v>0</v>
          </cell>
          <cell r="E195">
            <v>0</v>
          </cell>
          <cell r="F195">
            <v>0</v>
          </cell>
          <cell r="G195" t="str">
            <v>none</v>
          </cell>
          <cell r="H195"/>
          <cell r="I195" t="b">
            <v>0</v>
          </cell>
          <cell r="J195" t="b">
            <v>0</v>
          </cell>
          <cell r="K195" t="b">
            <v>1</v>
          </cell>
          <cell r="L195" t="str">
            <v>Effect/Prefab/10_buff/EFF_buff_up</v>
          </cell>
          <cell r="M195" t="str">
            <v>icon_battle_areadamage</v>
          </cell>
          <cell r="N195" t="str">
            <v>Buff.Name.AreaDamage.Up.05</v>
          </cell>
          <cell r="O195" t="str">
            <v>Buff.Desc.AreaDamage.Up.05</v>
          </cell>
        </row>
        <row r="196">
          <cell r="A196" t="str">
            <v>MeleeDamage.Up</v>
          </cell>
          <cell r="B196"/>
          <cell r="C196"/>
          <cell r="D196">
            <v>0</v>
          </cell>
          <cell r="E196">
            <v>0</v>
          </cell>
          <cell r="F196">
            <v>0</v>
          </cell>
          <cell r="G196" t="str">
            <v>none</v>
          </cell>
          <cell r="H196"/>
          <cell r="I196" t="b">
            <v>0</v>
          </cell>
          <cell r="J196" t="b">
            <v>0</v>
          </cell>
          <cell r="K196" t="b">
            <v>1</v>
          </cell>
          <cell r="L196" t="str">
            <v>Effect/Prefab/10_buff/EFF_buff_up</v>
          </cell>
          <cell r="M196" t="str">
            <v>icon_battle_meleedamage</v>
          </cell>
          <cell r="N196" t="str">
            <v>Buff.Name.MeleeDamage.Up.00</v>
          </cell>
          <cell r="O196" t="str">
            <v>Buff.Desc.MeleeDamage.Up.00</v>
          </cell>
        </row>
        <row r="197">
          <cell r="A197" t="str">
            <v>MeleeDamage.Up.01</v>
          </cell>
          <cell r="B197"/>
          <cell r="C197"/>
          <cell r="D197">
            <v>0</v>
          </cell>
          <cell r="E197">
            <v>0</v>
          </cell>
          <cell r="F197">
            <v>0</v>
          </cell>
          <cell r="G197" t="str">
            <v>none</v>
          </cell>
          <cell r="H197"/>
          <cell r="I197" t="b">
            <v>0</v>
          </cell>
          <cell r="J197" t="b">
            <v>0</v>
          </cell>
          <cell r="K197" t="b">
            <v>1</v>
          </cell>
          <cell r="L197" t="str">
            <v>Effect/Prefab/10_buff/EFF_buff_up</v>
          </cell>
          <cell r="M197" t="str">
            <v>icon_battle_meleedamage</v>
          </cell>
          <cell r="N197" t="str">
            <v>Buff.Name.MeleeDamage.Up.01</v>
          </cell>
          <cell r="O197" t="str">
            <v>Buff.Desc.MeleeDamage.Up.01</v>
          </cell>
        </row>
        <row r="198">
          <cell r="A198" t="str">
            <v>MeleeDamage.Up.02</v>
          </cell>
          <cell r="B198"/>
          <cell r="C198"/>
          <cell r="D198">
            <v>0</v>
          </cell>
          <cell r="E198">
            <v>0</v>
          </cell>
          <cell r="F198">
            <v>0</v>
          </cell>
          <cell r="G198" t="str">
            <v>none</v>
          </cell>
          <cell r="H198"/>
          <cell r="I198" t="b">
            <v>0</v>
          </cell>
          <cell r="J198" t="b">
            <v>0</v>
          </cell>
          <cell r="K198" t="b">
            <v>1</v>
          </cell>
          <cell r="L198" t="str">
            <v>Effect/Prefab/10_buff/EFF_buff_up</v>
          </cell>
          <cell r="M198" t="str">
            <v>icon_battle_meleedamage</v>
          </cell>
          <cell r="N198" t="str">
            <v>Buff.Name.MeleeDamage.Up.02</v>
          </cell>
          <cell r="O198" t="str">
            <v>Buff.Desc.MeleeDamage.Up.02</v>
          </cell>
        </row>
        <row r="199">
          <cell r="A199" t="str">
            <v>MeleeDamage.Up.03</v>
          </cell>
          <cell r="B199"/>
          <cell r="C199"/>
          <cell r="D199">
            <v>0</v>
          </cell>
          <cell r="E199">
            <v>0</v>
          </cell>
          <cell r="F199">
            <v>0</v>
          </cell>
          <cell r="G199" t="str">
            <v>none</v>
          </cell>
          <cell r="H199"/>
          <cell r="I199" t="b">
            <v>0</v>
          </cell>
          <cell r="J199" t="b">
            <v>0</v>
          </cell>
          <cell r="K199" t="b">
            <v>1</v>
          </cell>
          <cell r="L199" t="str">
            <v>Effect/Prefab/10_buff/EFF_buff_up</v>
          </cell>
          <cell r="M199" t="str">
            <v>icon_battle_meleedamage</v>
          </cell>
          <cell r="N199" t="str">
            <v>Buff.Name.MeleeDamage.Up.03</v>
          </cell>
          <cell r="O199" t="str">
            <v>Buff.Desc.MeleeDamage.Up.03</v>
          </cell>
        </row>
        <row r="200">
          <cell r="A200" t="str">
            <v>MeleeDamage.Up.04</v>
          </cell>
          <cell r="B200"/>
          <cell r="C200"/>
          <cell r="D200">
            <v>0</v>
          </cell>
          <cell r="E200">
            <v>0</v>
          </cell>
          <cell r="F200">
            <v>0</v>
          </cell>
          <cell r="G200" t="str">
            <v>none</v>
          </cell>
          <cell r="H200"/>
          <cell r="I200" t="b">
            <v>0</v>
          </cell>
          <cell r="J200" t="b">
            <v>0</v>
          </cell>
          <cell r="K200" t="b">
            <v>1</v>
          </cell>
          <cell r="L200" t="str">
            <v>Effect/Prefab/10_buff/EFF_buff_up</v>
          </cell>
          <cell r="M200" t="str">
            <v>icon_battle_meleedamage</v>
          </cell>
          <cell r="N200" t="str">
            <v>Buff.Name.MeleeDamage.Up.04</v>
          </cell>
          <cell r="O200" t="str">
            <v>Buff.Desc.MeleeDamage.Up.04</v>
          </cell>
        </row>
        <row r="201">
          <cell r="A201" t="str">
            <v>MeleeDamage.Up.05</v>
          </cell>
          <cell r="B201"/>
          <cell r="C201"/>
          <cell r="D201">
            <v>0</v>
          </cell>
          <cell r="E201">
            <v>0</v>
          </cell>
          <cell r="F201">
            <v>0</v>
          </cell>
          <cell r="G201" t="str">
            <v>none</v>
          </cell>
          <cell r="H201"/>
          <cell r="I201" t="b">
            <v>0</v>
          </cell>
          <cell r="J201" t="b">
            <v>0</v>
          </cell>
          <cell r="K201" t="b">
            <v>1</v>
          </cell>
          <cell r="L201" t="str">
            <v>Effect/Prefab/10_buff/EFF_buff_up</v>
          </cell>
          <cell r="M201" t="str">
            <v>icon_battle_meleedamage</v>
          </cell>
          <cell r="N201" t="str">
            <v>Buff.Name.MeleeDamage.Up.05</v>
          </cell>
          <cell r="O201" t="str">
            <v>Buff.Desc.MeleeDamage.Up.05</v>
          </cell>
        </row>
        <row r="202">
          <cell r="A202" t="str">
            <v>RangeDamage.Up</v>
          </cell>
          <cell r="B202"/>
          <cell r="C202"/>
          <cell r="D202">
            <v>0</v>
          </cell>
          <cell r="E202">
            <v>0</v>
          </cell>
          <cell r="F202">
            <v>0</v>
          </cell>
          <cell r="G202" t="str">
            <v>none</v>
          </cell>
          <cell r="H202"/>
          <cell r="I202" t="b">
            <v>0</v>
          </cell>
          <cell r="J202" t="b">
            <v>0</v>
          </cell>
          <cell r="K202" t="b">
            <v>1</v>
          </cell>
          <cell r="L202" t="str">
            <v>Effect/Prefab/10_buff/EFF_buff_up</v>
          </cell>
          <cell r="M202" t="str">
            <v>icon_battle_rangedamage</v>
          </cell>
          <cell r="N202" t="str">
            <v>Buff.Name.RangeDamage.Up.00</v>
          </cell>
          <cell r="O202" t="str">
            <v>Buff.Desc.RangeDamage.Up.00</v>
          </cell>
        </row>
        <row r="203">
          <cell r="A203" t="str">
            <v>RangeDamage.Up.01</v>
          </cell>
          <cell r="B203"/>
          <cell r="C203"/>
          <cell r="D203">
            <v>0</v>
          </cell>
          <cell r="E203">
            <v>0</v>
          </cell>
          <cell r="F203">
            <v>0</v>
          </cell>
          <cell r="G203" t="str">
            <v>none</v>
          </cell>
          <cell r="H203"/>
          <cell r="I203" t="b">
            <v>0</v>
          </cell>
          <cell r="J203" t="b">
            <v>0</v>
          </cell>
          <cell r="K203" t="b">
            <v>1</v>
          </cell>
          <cell r="L203" t="str">
            <v>Effect/Prefab/10_buff/EFF_buff_up</v>
          </cell>
          <cell r="M203" t="str">
            <v>icon_battle_rangedamage</v>
          </cell>
          <cell r="N203" t="str">
            <v>Buff.Name.RangeDamage.Up.01</v>
          </cell>
          <cell r="O203" t="str">
            <v>Buff.Desc.RangeDamage.Up.01</v>
          </cell>
        </row>
        <row r="204">
          <cell r="A204" t="str">
            <v>RangeDamage.Up.02</v>
          </cell>
          <cell r="B204"/>
          <cell r="C204"/>
          <cell r="D204">
            <v>0</v>
          </cell>
          <cell r="E204">
            <v>0</v>
          </cell>
          <cell r="F204">
            <v>0</v>
          </cell>
          <cell r="G204" t="str">
            <v>none</v>
          </cell>
          <cell r="H204"/>
          <cell r="I204" t="b">
            <v>0</v>
          </cell>
          <cell r="J204" t="b">
            <v>0</v>
          </cell>
          <cell r="K204" t="b">
            <v>1</v>
          </cell>
          <cell r="L204" t="str">
            <v>Effect/Prefab/10_buff/EFF_buff_up</v>
          </cell>
          <cell r="M204" t="str">
            <v>icon_battle_rangedamage</v>
          </cell>
          <cell r="N204" t="str">
            <v>Buff.Name.RangeDamage.Up.02</v>
          </cell>
          <cell r="O204" t="str">
            <v>Buff.Desc.RangeDamage.Up.02</v>
          </cell>
        </row>
        <row r="205">
          <cell r="A205" t="str">
            <v>RangeDamage.Up.03</v>
          </cell>
          <cell r="B205"/>
          <cell r="C205"/>
          <cell r="D205">
            <v>0</v>
          </cell>
          <cell r="E205">
            <v>0</v>
          </cell>
          <cell r="F205">
            <v>0</v>
          </cell>
          <cell r="G205" t="str">
            <v>none</v>
          </cell>
          <cell r="H205"/>
          <cell r="I205" t="b">
            <v>0</v>
          </cell>
          <cell r="J205" t="b">
            <v>0</v>
          </cell>
          <cell r="K205" t="b">
            <v>1</v>
          </cell>
          <cell r="L205" t="str">
            <v>Effect/Prefab/10_buff/EFF_buff_up</v>
          </cell>
          <cell r="M205" t="str">
            <v>icon_battle_rangedamage</v>
          </cell>
          <cell r="N205" t="str">
            <v>Buff.Name.RangeDamage.Up.03</v>
          </cell>
          <cell r="O205" t="str">
            <v>Buff.Desc.RangeDamage.Up.03</v>
          </cell>
        </row>
        <row r="206">
          <cell r="A206" t="str">
            <v>RangeDamage.Up.04</v>
          </cell>
          <cell r="B206"/>
          <cell r="C206"/>
          <cell r="D206">
            <v>0</v>
          </cell>
          <cell r="E206">
            <v>0</v>
          </cell>
          <cell r="F206">
            <v>0</v>
          </cell>
          <cell r="G206" t="str">
            <v>none</v>
          </cell>
          <cell r="H206"/>
          <cell r="I206" t="b">
            <v>0</v>
          </cell>
          <cell r="J206" t="b">
            <v>0</v>
          </cell>
          <cell r="K206" t="b">
            <v>1</v>
          </cell>
          <cell r="L206" t="str">
            <v>Effect/Prefab/10_buff/EFF_buff_up</v>
          </cell>
          <cell r="M206" t="str">
            <v>icon_battle_rangedamage</v>
          </cell>
          <cell r="N206" t="str">
            <v>Buff.Name.RangeDamage.Up.04</v>
          </cell>
          <cell r="O206" t="str">
            <v>Buff.Desc.RangeDamage.Up.04</v>
          </cell>
        </row>
        <row r="207">
          <cell r="A207" t="str">
            <v>RangeDamage.Up.05</v>
          </cell>
          <cell r="B207"/>
          <cell r="C207"/>
          <cell r="D207">
            <v>0</v>
          </cell>
          <cell r="E207">
            <v>0</v>
          </cell>
          <cell r="F207">
            <v>0</v>
          </cell>
          <cell r="G207" t="str">
            <v>none</v>
          </cell>
          <cell r="H207"/>
          <cell r="I207" t="b">
            <v>0</v>
          </cell>
          <cell r="J207" t="b">
            <v>0</v>
          </cell>
          <cell r="K207" t="b">
            <v>1</v>
          </cell>
          <cell r="L207" t="str">
            <v>Effect/Prefab/10_buff/EFF_buff_up</v>
          </cell>
          <cell r="M207" t="str">
            <v>icon_battle_rangedamage</v>
          </cell>
          <cell r="N207" t="str">
            <v>Buff.Name.RangeDamage.Up.05</v>
          </cell>
          <cell r="O207" t="str">
            <v>Buff.Desc.RangeDamage.Up.05</v>
          </cell>
        </row>
        <row r="208">
          <cell r="A208" t="str">
            <v>DotDamage.Up</v>
          </cell>
          <cell r="B208"/>
          <cell r="C208"/>
          <cell r="D208">
            <v>0</v>
          </cell>
          <cell r="E208">
            <v>0</v>
          </cell>
          <cell r="F208">
            <v>0</v>
          </cell>
          <cell r="G208" t="str">
            <v>none</v>
          </cell>
          <cell r="H208"/>
          <cell r="I208" t="b">
            <v>0</v>
          </cell>
          <cell r="J208" t="b">
            <v>0</v>
          </cell>
          <cell r="K208" t="b">
            <v>1</v>
          </cell>
          <cell r="L208" t="str">
            <v>Effect/Prefab/10_buff/EFF_buff_up</v>
          </cell>
          <cell r="M208" t="str">
            <v>icon_battle_dot_crt</v>
          </cell>
          <cell r="N208" t="str">
            <v>Buff.Name.DotDamage.Up.00</v>
          </cell>
          <cell r="O208" t="str">
            <v>Buff.Desc.DotDamage.Up.00</v>
          </cell>
        </row>
        <row r="209">
          <cell r="A209" t="str">
            <v>DotDamage.Up.01</v>
          </cell>
          <cell r="B209"/>
          <cell r="C209"/>
          <cell r="D209">
            <v>0</v>
          </cell>
          <cell r="E209">
            <v>0</v>
          </cell>
          <cell r="F209">
            <v>0</v>
          </cell>
          <cell r="G209" t="str">
            <v>none</v>
          </cell>
          <cell r="H209"/>
          <cell r="I209" t="b">
            <v>0</v>
          </cell>
          <cell r="J209" t="b">
            <v>0</v>
          </cell>
          <cell r="K209" t="b">
            <v>1</v>
          </cell>
          <cell r="L209" t="str">
            <v>Effect/Prefab/10_buff/EFF_buff_up</v>
          </cell>
          <cell r="M209" t="str">
            <v>icon_battle_dot_crt</v>
          </cell>
          <cell r="N209" t="str">
            <v>Buff.Name.DotDamage.Up.01</v>
          </cell>
          <cell r="O209" t="str">
            <v>Buff.Desc.DotDamage.Up.01</v>
          </cell>
        </row>
        <row r="210">
          <cell r="A210" t="str">
            <v>DotDamage.Up.02</v>
          </cell>
          <cell r="B210"/>
          <cell r="C210"/>
          <cell r="D210">
            <v>0</v>
          </cell>
          <cell r="E210">
            <v>0</v>
          </cell>
          <cell r="F210">
            <v>0</v>
          </cell>
          <cell r="G210" t="str">
            <v>none</v>
          </cell>
          <cell r="H210"/>
          <cell r="I210" t="b">
            <v>0</v>
          </cell>
          <cell r="J210" t="b">
            <v>0</v>
          </cell>
          <cell r="K210" t="b">
            <v>1</v>
          </cell>
          <cell r="L210" t="str">
            <v>Effect/Prefab/10_buff/EFF_buff_up</v>
          </cell>
          <cell r="M210" t="str">
            <v>icon_battle_dot_crt</v>
          </cell>
          <cell r="N210" t="str">
            <v>Buff.Name.DotDamage.Up.02</v>
          </cell>
          <cell r="O210" t="str">
            <v>Buff.Desc.DotDamage.Up.02</v>
          </cell>
        </row>
        <row r="211">
          <cell r="A211" t="str">
            <v>DotDamage.Up.03</v>
          </cell>
          <cell r="B211"/>
          <cell r="C211"/>
          <cell r="D211">
            <v>0</v>
          </cell>
          <cell r="E211">
            <v>0</v>
          </cell>
          <cell r="F211">
            <v>0</v>
          </cell>
          <cell r="G211" t="str">
            <v>none</v>
          </cell>
          <cell r="H211"/>
          <cell r="I211" t="b">
            <v>0</v>
          </cell>
          <cell r="J211" t="b">
            <v>0</v>
          </cell>
          <cell r="K211" t="b">
            <v>1</v>
          </cell>
          <cell r="L211" t="str">
            <v>Effect/Prefab/10_buff/EFF_buff_up</v>
          </cell>
          <cell r="M211" t="str">
            <v>icon_battle_dot_crt</v>
          </cell>
          <cell r="N211" t="str">
            <v>Buff.Name.DotDamage.Up.03</v>
          </cell>
          <cell r="O211" t="str">
            <v>Buff.Desc.DotDamage.Up.03</v>
          </cell>
        </row>
        <row r="212">
          <cell r="A212" t="str">
            <v>DotDamage.Up.04</v>
          </cell>
          <cell r="B212"/>
          <cell r="C212"/>
          <cell r="D212">
            <v>0</v>
          </cell>
          <cell r="E212">
            <v>0</v>
          </cell>
          <cell r="F212">
            <v>0</v>
          </cell>
          <cell r="G212" t="str">
            <v>none</v>
          </cell>
          <cell r="H212"/>
          <cell r="I212" t="b">
            <v>0</v>
          </cell>
          <cell r="J212" t="b">
            <v>0</v>
          </cell>
          <cell r="K212" t="b">
            <v>1</v>
          </cell>
          <cell r="L212" t="str">
            <v>Effect/Prefab/10_buff/EFF_buff_up</v>
          </cell>
          <cell r="M212" t="str">
            <v>icon_battle_dot_crt</v>
          </cell>
          <cell r="N212" t="str">
            <v>Buff.Name.DotDamage.Up.04</v>
          </cell>
          <cell r="O212" t="str">
            <v>Buff.Desc.DotDamage.Up.04</v>
          </cell>
        </row>
        <row r="213">
          <cell r="A213" t="str">
            <v>DotDamage.Up.05</v>
          </cell>
          <cell r="B213"/>
          <cell r="C213"/>
          <cell r="D213">
            <v>0</v>
          </cell>
          <cell r="E213">
            <v>0</v>
          </cell>
          <cell r="F213">
            <v>0</v>
          </cell>
          <cell r="G213" t="str">
            <v>none</v>
          </cell>
          <cell r="H213"/>
          <cell r="I213" t="b">
            <v>0</v>
          </cell>
          <cell r="J213" t="b">
            <v>0</v>
          </cell>
          <cell r="K213" t="b">
            <v>1</v>
          </cell>
          <cell r="L213" t="str">
            <v>Effect/Prefab/10_buff/EFF_buff_up</v>
          </cell>
          <cell r="M213" t="str">
            <v>icon_battle_dot_crt</v>
          </cell>
          <cell r="N213" t="str">
            <v>Buff.Name.DotDamage.Up.05</v>
          </cell>
          <cell r="O213" t="str">
            <v>Buff.Desc.DotDamage.Up.05</v>
          </cell>
        </row>
        <row r="214">
          <cell r="A214" t="str">
            <v>Reduce.Damage.Up</v>
          </cell>
          <cell r="B214"/>
          <cell r="C214"/>
          <cell r="D214">
            <v>0</v>
          </cell>
          <cell r="E214">
            <v>0</v>
          </cell>
          <cell r="F214">
            <v>0</v>
          </cell>
          <cell r="G214" t="str">
            <v>none</v>
          </cell>
          <cell r="H214"/>
          <cell r="I214" t="b">
            <v>0</v>
          </cell>
          <cell r="J214" t="b">
            <v>0</v>
          </cell>
          <cell r="K214" t="b">
            <v>1</v>
          </cell>
          <cell r="L214" t="str">
            <v>Effect/Prefab/10_buff/EFF_buff_up</v>
          </cell>
          <cell r="M214" t="str">
            <v>icon_battle_effect_res</v>
          </cell>
          <cell r="N214" t="str">
            <v>Buff.Name.Reduce.Damage.Up.00</v>
          </cell>
          <cell r="O214" t="str">
            <v>Buff.Desc.Reduce.Damage.Up.00</v>
          </cell>
        </row>
        <row r="215">
          <cell r="A215" t="str">
            <v>Reduce.Damage.Up.01</v>
          </cell>
          <cell r="B215"/>
          <cell r="C215"/>
          <cell r="D215">
            <v>0</v>
          </cell>
          <cell r="E215">
            <v>0</v>
          </cell>
          <cell r="F215">
            <v>0</v>
          </cell>
          <cell r="G215" t="str">
            <v>none</v>
          </cell>
          <cell r="H215"/>
          <cell r="I215" t="b">
            <v>0</v>
          </cell>
          <cell r="J215" t="b">
            <v>0</v>
          </cell>
          <cell r="K215" t="b">
            <v>1</v>
          </cell>
          <cell r="L215" t="str">
            <v>Effect/Prefab/10_buff/EFF_buff_up</v>
          </cell>
          <cell r="M215" t="str">
            <v>icon_battle_effect_res</v>
          </cell>
          <cell r="N215" t="str">
            <v>Buff.Name.Reduce.Damage.Up.01</v>
          </cell>
          <cell r="O215" t="str">
            <v>Buff.Desc.Reduce.Damage.Up.01</v>
          </cell>
        </row>
        <row r="216">
          <cell r="A216" t="str">
            <v>Reduce.Damage.Up.02</v>
          </cell>
          <cell r="B216"/>
          <cell r="C216"/>
          <cell r="D216">
            <v>0</v>
          </cell>
          <cell r="E216">
            <v>0</v>
          </cell>
          <cell r="F216">
            <v>0</v>
          </cell>
          <cell r="G216" t="str">
            <v>none</v>
          </cell>
          <cell r="H216"/>
          <cell r="I216" t="b">
            <v>0</v>
          </cell>
          <cell r="J216" t="b">
            <v>0</v>
          </cell>
          <cell r="K216" t="b">
            <v>1</v>
          </cell>
          <cell r="L216" t="str">
            <v>Effect/Prefab/10_buff/EFF_buff_up</v>
          </cell>
          <cell r="M216" t="str">
            <v>icon_battle_effect_res</v>
          </cell>
          <cell r="N216" t="str">
            <v>Buff.Name.Reduce.Damage.Up.02</v>
          </cell>
          <cell r="O216" t="str">
            <v>Buff.Desc.Reduce.Damage.Up.02</v>
          </cell>
        </row>
        <row r="217">
          <cell r="A217" t="str">
            <v>Reduce.Damage.Up.03</v>
          </cell>
          <cell r="B217"/>
          <cell r="C217"/>
          <cell r="D217">
            <v>0</v>
          </cell>
          <cell r="E217">
            <v>0</v>
          </cell>
          <cell r="F217">
            <v>0</v>
          </cell>
          <cell r="G217" t="str">
            <v>none</v>
          </cell>
          <cell r="H217"/>
          <cell r="I217" t="b">
            <v>0</v>
          </cell>
          <cell r="J217" t="b">
            <v>0</v>
          </cell>
          <cell r="K217" t="b">
            <v>1</v>
          </cell>
          <cell r="L217" t="str">
            <v>Effect/Prefab/10_buff/EFF_buff_up</v>
          </cell>
          <cell r="M217" t="str">
            <v>icon_battle_effect_res</v>
          </cell>
          <cell r="N217" t="str">
            <v>Buff.Name.Reduce.Damage.Up.03</v>
          </cell>
          <cell r="O217" t="str">
            <v>Buff.Desc.Reduce.Damage.Up.03</v>
          </cell>
        </row>
        <row r="218">
          <cell r="A218" t="str">
            <v>Reduce.Damage.Up.04</v>
          </cell>
          <cell r="B218"/>
          <cell r="C218"/>
          <cell r="D218">
            <v>0</v>
          </cell>
          <cell r="E218">
            <v>0</v>
          </cell>
          <cell r="F218">
            <v>0</v>
          </cell>
          <cell r="G218" t="str">
            <v>none</v>
          </cell>
          <cell r="H218"/>
          <cell r="I218" t="b">
            <v>0</v>
          </cell>
          <cell r="J218" t="b">
            <v>0</v>
          </cell>
          <cell r="K218" t="b">
            <v>1</v>
          </cell>
          <cell r="L218" t="str">
            <v>Effect/Prefab/10_buff/EFF_buff_up</v>
          </cell>
          <cell r="M218" t="str">
            <v>icon_battle_effect_res</v>
          </cell>
          <cell r="N218" t="str">
            <v>Buff.Name.Reduce.Damage.Up.04</v>
          </cell>
          <cell r="O218" t="str">
            <v>Buff.Desc.Reduce.Damage.Up.04</v>
          </cell>
        </row>
        <row r="219">
          <cell r="A219" t="str">
            <v>Reduce.Damage.Up.05</v>
          </cell>
          <cell r="B219"/>
          <cell r="C219"/>
          <cell r="D219">
            <v>0</v>
          </cell>
          <cell r="E219">
            <v>0</v>
          </cell>
          <cell r="F219">
            <v>0</v>
          </cell>
          <cell r="G219" t="str">
            <v>none</v>
          </cell>
          <cell r="H219"/>
          <cell r="I219" t="b">
            <v>0</v>
          </cell>
          <cell r="J219" t="b">
            <v>0</v>
          </cell>
          <cell r="K219" t="b">
            <v>1</v>
          </cell>
          <cell r="L219" t="str">
            <v>Effect/Prefab/10_buff/EFF_buff_up</v>
          </cell>
          <cell r="M219" t="str">
            <v>icon_battle_effect_res</v>
          </cell>
          <cell r="N219" t="str">
            <v>Buff.Name.Reduce.Damage.Up.05</v>
          </cell>
          <cell r="O219" t="str">
            <v>Buff.Desc.Reduce.Damage.Up.05</v>
          </cell>
        </row>
        <row r="220">
          <cell r="A220" t="str">
            <v>Reduce.SingleDamage.Up</v>
          </cell>
          <cell r="B220"/>
          <cell r="C220"/>
          <cell r="D220">
            <v>0</v>
          </cell>
          <cell r="E220">
            <v>0</v>
          </cell>
          <cell r="F220">
            <v>0</v>
          </cell>
          <cell r="G220" t="str">
            <v>none</v>
          </cell>
          <cell r="H220"/>
          <cell r="I220" t="b">
            <v>0</v>
          </cell>
          <cell r="J220" t="b">
            <v>0</v>
          </cell>
          <cell r="K220" t="b">
            <v>1</v>
          </cell>
          <cell r="L220" t="str">
            <v>Effect/Prefab/10_buff/EFF_buff_up</v>
          </cell>
          <cell r="M220" t="str">
            <v>icon_battle_damageimmune</v>
          </cell>
          <cell r="N220" t="str">
            <v>Buff.Name.Reduce.SingleDamage.Up.00</v>
          </cell>
          <cell r="O220" t="str">
            <v>Buff.Desc.Reduce.SingleDamage.Up.00</v>
          </cell>
        </row>
        <row r="221">
          <cell r="A221" t="str">
            <v>Reduce.SingleDamage.Up.01</v>
          </cell>
          <cell r="B221"/>
          <cell r="C221"/>
          <cell r="D221">
            <v>0</v>
          </cell>
          <cell r="E221">
            <v>0</v>
          </cell>
          <cell r="F221">
            <v>0</v>
          </cell>
          <cell r="G221" t="str">
            <v>none</v>
          </cell>
          <cell r="H221"/>
          <cell r="I221" t="b">
            <v>0</v>
          </cell>
          <cell r="J221" t="b">
            <v>0</v>
          </cell>
          <cell r="K221" t="b">
            <v>1</v>
          </cell>
          <cell r="L221" t="str">
            <v>Effect/Prefab/10_buff/EFF_buff_up</v>
          </cell>
          <cell r="M221" t="str">
            <v>icon_battle_damageimmune</v>
          </cell>
          <cell r="N221" t="str">
            <v>Buff.Name.Reduce.SingleDamage.Up.01</v>
          </cell>
          <cell r="O221" t="str">
            <v>Buff.Desc.Reduce.SingleDamage.Up.01</v>
          </cell>
        </row>
        <row r="222">
          <cell r="A222" t="str">
            <v>Reduce.SingleDamage.Up.02</v>
          </cell>
          <cell r="B222"/>
          <cell r="C222"/>
          <cell r="D222">
            <v>0</v>
          </cell>
          <cell r="E222">
            <v>0</v>
          </cell>
          <cell r="F222">
            <v>0</v>
          </cell>
          <cell r="G222" t="str">
            <v>none</v>
          </cell>
          <cell r="H222"/>
          <cell r="I222" t="b">
            <v>0</v>
          </cell>
          <cell r="J222" t="b">
            <v>0</v>
          </cell>
          <cell r="K222" t="b">
            <v>1</v>
          </cell>
          <cell r="L222" t="str">
            <v>Effect/Prefab/10_buff/EFF_buff_up</v>
          </cell>
          <cell r="M222" t="str">
            <v>icon_battle_damageimmune</v>
          </cell>
          <cell r="N222" t="str">
            <v>Buff.Name.Reduce.SingleDamage.Up.02</v>
          </cell>
          <cell r="O222" t="str">
            <v>Buff.Desc.Reduce.SingleDamage.Up.02</v>
          </cell>
        </row>
        <row r="223">
          <cell r="A223" t="str">
            <v>Reduce.SingleDamage.Up.03</v>
          </cell>
          <cell r="B223"/>
          <cell r="C223"/>
          <cell r="D223">
            <v>0</v>
          </cell>
          <cell r="E223">
            <v>0</v>
          </cell>
          <cell r="F223">
            <v>0</v>
          </cell>
          <cell r="G223" t="str">
            <v>none</v>
          </cell>
          <cell r="H223"/>
          <cell r="I223" t="b">
            <v>0</v>
          </cell>
          <cell r="J223" t="b">
            <v>0</v>
          </cell>
          <cell r="K223" t="b">
            <v>1</v>
          </cell>
          <cell r="L223" t="str">
            <v>Effect/Prefab/10_buff/EFF_buff_up</v>
          </cell>
          <cell r="M223" t="str">
            <v>icon_battle_damageimmune</v>
          </cell>
          <cell r="N223" t="str">
            <v>Buff.Name.Reduce.SingleDamage.Up.03</v>
          </cell>
          <cell r="O223" t="str">
            <v>Buff.Desc.Reduce.SingleDamage.Up.03</v>
          </cell>
        </row>
        <row r="224">
          <cell r="A224" t="str">
            <v>Reduce.SingleDamage.Up.04</v>
          </cell>
          <cell r="B224"/>
          <cell r="C224"/>
          <cell r="D224">
            <v>0</v>
          </cell>
          <cell r="E224">
            <v>0</v>
          </cell>
          <cell r="F224">
            <v>0</v>
          </cell>
          <cell r="G224" t="str">
            <v>none</v>
          </cell>
          <cell r="H224"/>
          <cell r="I224" t="b">
            <v>0</v>
          </cell>
          <cell r="J224" t="b">
            <v>0</v>
          </cell>
          <cell r="K224" t="b">
            <v>1</v>
          </cell>
          <cell r="L224" t="str">
            <v>Effect/Prefab/10_buff/EFF_buff_up</v>
          </cell>
          <cell r="M224" t="str">
            <v>icon_battle_damageimmune</v>
          </cell>
          <cell r="N224" t="str">
            <v>Buff.Name.Reduce.SingleDamage.Up.04</v>
          </cell>
          <cell r="O224" t="str">
            <v>Buff.Desc.Reduce.SingleDamage.Up.04</v>
          </cell>
        </row>
        <row r="225">
          <cell r="A225" t="str">
            <v>Reduce.SingleDamage.Up.05</v>
          </cell>
          <cell r="B225"/>
          <cell r="C225"/>
          <cell r="D225">
            <v>0</v>
          </cell>
          <cell r="E225">
            <v>0</v>
          </cell>
          <cell r="F225">
            <v>0</v>
          </cell>
          <cell r="G225" t="str">
            <v>none</v>
          </cell>
          <cell r="H225"/>
          <cell r="I225" t="b">
            <v>0</v>
          </cell>
          <cell r="J225" t="b">
            <v>0</v>
          </cell>
          <cell r="K225" t="b">
            <v>1</v>
          </cell>
          <cell r="L225" t="str">
            <v>Effect/Prefab/10_buff/EFF_buff_up</v>
          </cell>
          <cell r="M225" t="str">
            <v>icon_battle_damageimmune</v>
          </cell>
          <cell r="N225" t="str">
            <v>Buff.Name.Reduce.SingleDamage.Up.05</v>
          </cell>
          <cell r="O225" t="str">
            <v>Buff.Desc.Reduce.SingleDamage.Up.05</v>
          </cell>
        </row>
        <row r="226">
          <cell r="A226" t="str">
            <v>Reduce.AreaDamage.Up</v>
          </cell>
          <cell r="B226"/>
          <cell r="C226"/>
          <cell r="D226">
            <v>0</v>
          </cell>
          <cell r="E226">
            <v>0</v>
          </cell>
          <cell r="F226">
            <v>0</v>
          </cell>
          <cell r="G226" t="str">
            <v>none</v>
          </cell>
          <cell r="H226"/>
          <cell r="I226" t="b">
            <v>0</v>
          </cell>
          <cell r="J226" t="b">
            <v>0</v>
          </cell>
          <cell r="K226" t="b">
            <v>1</v>
          </cell>
          <cell r="L226" t="str">
            <v>Effect/Prefab/10_buff/EFF_buff_up</v>
          </cell>
          <cell r="M226" t="str">
            <v>icon_battle_damageimmune</v>
          </cell>
          <cell r="N226" t="str">
            <v>Buff.Name.Reduce.AreaDamage.Up.00</v>
          </cell>
          <cell r="O226" t="str">
            <v>Buff.Desc.Reduce.AreaDamage.Up.00</v>
          </cell>
        </row>
        <row r="227">
          <cell r="A227" t="str">
            <v>Reduce.AreaDamage.Up.01</v>
          </cell>
          <cell r="B227"/>
          <cell r="C227"/>
          <cell r="D227">
            <v>0</v>
          </cell>
          <cell r="E227">
            <v>0</v>
          </cell>
          <cell r="F227">
            <v>0</v>
          </cell>
          <cell r="G227" t="str">
            <v>none</v>
          </cell>
          <cell r="H227"/>
          <cell r="I227" t="b">
            <v>0</v>
          </cell>
          <cell r="J227" t="b">
            <v>0</v>
          </cell>
          <cell r="K227" t="b">
            <v>1</v>
          </cell>
          <cell r="L227" t="str">
            <v>Effect/Prefab/10_buff/EFF_buff_up</v>
          </cell>
          <cell r="M227" t="str">
            <v>icon_battle_damageimmune</v>
          </cell>
          <cell r="N227" t="str">
            <v>Buff.Name.Reduce.AreaDamage.Up.01</v>
          </cell>
          <cell r="O227" t="str">
            <v>Buff.Desc.Reduce.AreaDamage.Up.01</v>
          </cell>
        </row>
        <row r="228">
          <cell r="A228" t="str">
            <v>Reduce.AreaDamage.Up.02</v>
          </cell>
          <cell r="B228"/>
          <cell r="C228"/>
          <cell r="D228">
            <v>0</v>
          </cell>
          <cell r="E228">
            <v>0</v>
          </cell>
          <cell r="F228">
            <v>0</v>
          </cell>
          <cell r="G228" t="str">
            <v>none</v>
          </cell>
          <cell r="H228"/>
          <cell r="I228" t="b">
            <v>0</v>
          </cell>
          <cell r="J228" t="b">
            <v>0</v>
          </cell>
          <cell r="K228" t="b">
            <v>1</v>
          </cell>
          <cell r="L228" t="str">
            <v>Effect/Prefab/10_buff/EFF_buff_up</v>
          </cell>
          <cell r="M228" t="str">
            <v>icon_battle_damageimmune</v>
          </cell>
          <cell r="N228" t="str">
            <v>Buff.Name.Reduce.AreaDamage.Up.02</v>
          </cell>
          <cell r="O228" t="str">
            <v>Buff.Desc.Reduce.AreaDamage.Up.02</v>
          </cell>
        </row>
        <row r="229">
          <cell r="A229" t="str">
            <v>Reduce.AreaDamage.Up.03</v>
          </cell>
          <cell r="B229"/>
          <cell r="C229"/>
          <cell r="D229">
            <v>0</v>
          </cell>
          <cell r="E229">
            <v>0</v>
          </cell>
          <cell r="F229">
            <v>0</v>
          </cell>
          <cell r="G229" t="str">
            <v>none</v>
          </cell>
          <cell r="H229"/>
          <cell r="I229" t="b">
            <v>0</v>
          </cell>
          <cell r="J229" t="b">
            <v>0</v>
          </cell>
          <cell r="K229" t="b">
            <v>1</v>
          </cell>
          <cell r="L229" t="str">
            <v>Effect/Prefab/10_buff/EFF_buff_up</v>
          </cell>
          <cell r="M229" t="str">
            <v>icon_battle_damageimmune</v>
          </cell>
          <cell r="N229" t="str">
            <v>Buff.Name.Reduce.AreaDamage.Up.03</v>
          </cell>
          <cell r="O229" t="str">
            <v>Buff.Desc.Reduce.AreaDamage.Up.03</v>
          </cell>
        </row>
        <row r="230">
          <cell r="A230" t="str">
            <v>Reduce.AreaDamage.Up.04</v>
          </cell>
          <cell r="B230"/>
          <cell r="C230"/>
          <cell r="D230">
            <v>0</v>
          </cell>
          <cell r="E230">
            <v>0</v>
          </cell>
          <cell r="F230">
            <v>0</v>
          </cell>
          <cell r="G230" t="str">
            <v>none</v>
          </cell>
          <cell r="H230"/>
          <cell r="I230" t="b">
            <v>0</v>
          </cell>
          <cell r="J230" t="b">
            <v>0</v>
          </cell>
          <cell r="K230" t="b">
            <v>1</v>
          </cell>
          <cell r="L230" t="str">
            <v>Effect/Prefab/10_buff/EFF_buff_up</v>
          </cell>
          <cell r="M230" t="str">
            <v>icon_battle_damageimmune</v>
          </cell>
          <cell r="N230" t="str">
            <v>Buff.Name.Reduce.AreaDamage.Up.04</v>
          </cell>
          <cell r="O230" t="str">
            <v>Buff.Desc.Reduce.AreaDamage.Up.04</v>
          </cell>
        </row>
        <row r="231">
          <cell r="A231" t="str">
            <v>Reduce.AreaDamage.Up.05</v>
          </cell>
          <cell r="B231"/>
          <cell r="C231"/>
          <cell r="D231">
            <v>0</v>
          </cell>
          <cell r="E231">
            <v>0</v>
          </cell>
          <cell r="F231">
            <v>0</v>
          </cell>
          <cell r="G231" t="str">
            <v>none</v>
          </cell>
          <cell r="H231"/>
          <cell r="I231" t="b">
            <v>0</v>
          </cell>
          <cell r="J231" t="b">
            <v>0</v>
          </cell>
          <cell r="K231" t="b">
            <v>1</v>
          </cell>
          <cell r="L231" t="str">
            <v>Effect/Prefab/10_buff/EFF_buff_up</v>
          </cell>
          <cell r="M231" t="str">
            <v>icon_battle_damageimmune</v>
          </cell>
          <cell r="N231" t="str">
            <v>Buff.Name.Reduce.AreaDamage.Up.05</v>
          </cell>
          <cell r="O231" t="str">
            <v>Buff.Desc.Reduce.AreaDamage.Up.05</v>
          </cell>
        </row>
        <row r="232">
          <cell r="A232" t="str">
            <v>Reduce.MeleeDamage.Up</v>
          </cell>
          <cell r="B232"/>
          <cell r="C232"/>
          <cell r="D232">
            <v>0</v>
          </cell>
          <cell r="E232">
            <v>0</v>
          </cell>
          <cell r="F232">
            <v>0</v>
          </cell>
          <cell r="G232" t="str">
            <v>none</v>
          </cell>
          <cell r="H232"/>
          <cell r="I232" t="b">
            <v>0</v>
          </cell>
          <cell r="J232" t="b">
            <v>0</v>
          </cell>
          <cell r="K232" t="b">
            <v>1</v>
          </cell>
          <cell r="L232" t="str">
            <v>Effect/Prefab/10_buff/EFF_buff_up</v>
          </cell>
          <cell r="M232" t="str">
            <v>icon_battle_damageimmune</v>
          </cell>
          <cell r="N232" t="str">
            <v>Buff.Name.Reduce.MeleeDamage.Up.00</v>
          </cell>
          <cell r="O232" t="str">
            <v>Buff.Desc.Reduce.MeleeDamage.Up.00</v>
          </cell>
        </row>
        <row r="233">
          <cell r="A233" t="str">
            <v>Reduce.MeleeDamage.Up.01</v>
          </cell>
          <cell r="B233"/>
          <cell r="C233"/>
          <cell r="D233">
            <v>0</v>
          </cell>
          <cell r="E233">
            <v>0</v>
          </cell>
          <cell r="F233">
            <v>0</v>
          </cell>
          <cell r="G233" t="str">
            <v>none</v>
          </cell>
          <cell r="H233"/>
          <cell r="I233" t="b">
            <v>0</v>
          </cell>
          <cell r="J233" t="b">
            <v>0</v>
          </cell>
          <cell r="K233" t="b">
            <v>1</v>
          </cell>
          <cell r="L233" t="str">
            <v>Effect/Prefab/10_buff/EFF_buff_up</v>
          </cell>
          <cell r="M233" t="str">
            <v>icon_battle_damageimmune</v>
          </cell>
          <cell r="N233" t="str">
            <v>Buff.Name.Reduce.MeleeDamage.Up.01</v>
          </cell>
          <cell r="O233" t="str">
            <v>Buff.Desc.Reduce.MeleeDamage.Up.01</v>
          </cell>
        </row>
        <row r="234">
          <cell r="A234" t="str">
            <v>Reduce.MeleeDamage.Up.02</v>
          </cell>
          <cell r="B234"/>
          <cell r="C234"/>
          <cell r="D234">
            <v>0</v>
          </cell>
          <cell r="E234">
            <v>0</v>
          </cell>
          <cell r="F234">
            <v>0</v>
          </cell>
          <cell r="G234" t="str">
            <v>none</v>
          </cell>
          <cell r="H234"/>
          <cell r="I234" t="b">
            <v>0</v>
          </cell>
          <cell r="J234" t="b">
            <v>0</v>
          </cell>
          <cell r="K234" t="b">
            <v>1</v>
          </cell>
          <cell r="L234" t="str">
            <v>Effect/Prefab/10_buff/EFF_buff_up</v>
          </cell>
          <cell r="M234" t="str">
            <v>icon_battle_damageimmune</v>
          </cell>
          <cell r="N234" t="str">
            <v>Buff.Name.Reduce.MeleeDamage.Up.02</v>
          </cell>
          <cell r="O234" t="str">
            <v>Buff.Desc.Reduce.MeleeDamage.Up.02</v>
          </cell>
        </row>
        <row r="235">
          <cell r="A235" t="str">
            <v>Reduce.MeleeDamage.Up.03</v>
          </cell>
          <cell r="B235"/>
          <cell r="C235"/>
          <cell r="D235">
            <v>0</v>
          </cell>
          <cell r="E235">
            <v>0</v>
          </cell>
          <cell r="F235">
            <v>0</v>
          </cell>
          <cell r="G235" t="str">
            <v>none</v>
          </cell>
          <cell r="H235"/>
          <cell r="I235" t="b">
            <v>0</v>
          </cell>
          <cell r="J235" t="b">
            <v>0</v>
          </cell>
          <cell r="K235" t="b">
            <v>1</v>
          </cell>
          <cell r="L235" t="str">
            <v>Effect/Prefab/10_buff/EFF_buff_up</v>
          </cell>
          <cell r="M235" t="str">
            <v>icon_battle_damageimmune</v>
          </cell>
          <cell r="N235" t="str">
            <v>Buff.Name.Reduce.MeleeDamage.Up.03</v>
          </cell>
          <cell r="O235" t="str">
            <v>Buff.Desc.Reduce.MeleeDamage.Up.03</v>
          </cell>
        </row>
        <row r="236">
          <cell r="A236" t="str">
            <v>Reduce.MeleeDamage.Up.04</v>
          </cell>
          <cell r="B236"/>
          <cell r="C236"/>
          <cell r="D236">
            <v>0</v>
          </cell>
          <cell r="E236">
            <v>0</v>
          </cell>
          <cell r="F236">
            <v>0</v>
          </cell>
          <cell r="G236" t="str">
            <v>none</v>
          </cell>
          <cell r="H236"/>
          <cell r="I236" t="b">
            <v>0</v>
          </cell>
          <cell r="J236" t="b">
            <v>0</v>
          </cell>
          <cell r="K236" t="b">
            <v>1</v>
          </cell>
          <cell r="L236" t="str">
            <v>Effect/Prefab/10_buff/EFF_buff_up</v>
          </cell>
          <cell r="M236" t="str">
            <v>icon_battle_damageimmune</v>
          </cell>
          <cell r="N236" t="str">
            <v>Buff.Name.Reduce.MeleeDamage.Up.04</v>
          </cell>
          <cell r="O236" t="str">
            <v>Buff.Desc.Reduce.MeleeDamage.Up.04</v>
          </cell>
        </row>
        <row r="237">
          <cell r="A237" t="str">
            <v>Reduce.MeleeDamage.Up.05</v>
          </cell>
          <cell r="B237"/>
          <cell r="C237"/>
          <cell r="D237">
            <v>0</v>
          </cell>
          <cell r="E237">
            <v>0</v>
          </cell>
          <cell r="F237">
            <v>0</v>
          </cell>
          <cell r="G237" t="str">
            <v>none</v>
          </cell>
          <cell r="H237"/>
          <cell r="I237" t="b">
            <v>0</v>
          </cell>
          <cell r="J237" t="b">
            <v>0</v>
          </cell>
          <cell r="K237" t="b">
            <v>1</v>
          </cell>
          <cell r="L237" t="str">
            <v>Effect/Prefab/10_buff/EFF_buff_up</v>
          </cell>
          <cell r="M237" t="str">
            <v>icon_battle_damageimmune</v>
          </cell>
          <cell r="N237" t="str">
            <v>Buff.Name.Reduce.MeleeDamage.Up.05</v>
          </cell>
          <cell r="O237" t="str">
            <v>Buff.Desc.Reduce.MeleeDamage.Up.05</v>
          </cell>
        </row>
        <row r="238">
          <cell r="A238" t="str">
            <v>Reduce.RangeDamage.Up</v>
          </cell>
          <cell r="B238"/>
          <cell r="C238"/>
          <cell r="D238">
            <v>0</v>
          </cell>
          <cell r="E238">
            <v>0</v>
          </cell>
          <cell r="F238">
            <v>0</v>
          </cell>
          <cell r="G238" t="str">
            <v>none</v>
          </cell>
          <cell r="H238"/>
          <cell r="I238" t="b">
            <v>0</v>
          </cell>
          <cell r="J238" t="b">
            <v>0</v>
          </cell>
          <cell r="K238" t="b">
            <v>1</v>
          </cell>
          <cell r="L238" t="str">
            <v>Effect/Prefab/10_buff/EFF_buff_up</v>
          </cell>
          <cell r="M238" t="str">
            <v>icon_battle_damageimmune</v>
          </cell>
          <cell r="N238" t="str">
            <v>Buff.Name.Reduce.RangeDamage.Up.00</v>
          </cell>
          <cell r="O238" t="str">
            <v>Buff.Desc.Reduce.RangeDamage.Up.00</v>
          </cell>
        </row>
        <row r="239">
          <cell r="A239" t="str">
            <v>Reduce.RangeDamage.Up.01</v>
          </cell>
          <cell r="B239"/>
          <cell r="C239"/>
          <cell r="D239">
            <v>0</v>
          </cell>
          <cell r="E239">
            <v>0</v>
          </cell>
          <cell r="F239">
            <v>0</v>
          </cell>
          <cell r="G239" t="str">
            <v>none</v>
          </cell>
          <cell r="H239"/>
          <cell r="I239" t="b">
            <v>0</v>
          </cell>
          <cell r="J239" t="b">
            <v>0</v>
          </cell>
          <cell r="K239" t="b">
            <v>1</v>
          </cell>
          <cell r="L239" t="str">
            <v>Effect/Prefab/10_buff/EFF_buff_up</v>
          </cell>
          <cell r="M239" t="str">
            <v>icon_battle_damageimmune</v>
          </cell>
          <cell r="N239" t="str">
            <v>Buff.Name.Reduce.RangeDamage.Up.01</v>
          </cell>
          <cell r="O239" t="str">
            <v>Buff.Desc.Reduce.RangeDamage.Up.01</v>
          </cell>
        </row>
        <row r="240">
          <cell r="A240" t="str">
            <v>Reduce.RangeDamage.Up.02</v>
          </cell>
          <cell r="B240"/>
          <cell r="C240"/>
          <cell r="D240">
            <v>0</v>
          </cell>
          <cell r="E240">
            <v>0</v>
          </cell>
          <cell r="F240">
            <v>0</v>
          </cell>
          <cell r="G240" t="str">
            <v>none</v>
          </cell>
          <cell r="H240"/>
          <cell r="I240" t="b">
            <v>0</v>
          </cell>
          <cell r="J240" t="b">
            <v>0</v>
          </cell>
          <cell r="K240" t="b">
            <v>1</v>
          </cell>
          <cell r="L240" t="str">
            <v>Effect/Prefab/10_buff/EFF_buff_up</v>
          </cell>
          <cell r="M240" t="str">
            <v>icon_battle_damageimmune</v>
          </cell>
          <cell r="N240" t="str">
            <v>Buff.Name.Reduce.RangeDamage.Up.02</v>
          </cell>
          <cell r="O240" t="str">
            <v>Buff.Desc.Reduce.RangeDamage.Up.02</v>
          </cell>
        </row>
        <row r="241">
          <cell r="A241" t="str">
            <v>Reduce.RangeDamage.Up.03</v>
          </cell>
          <cell r="B241"/>
          <cell r="C241"/>
          <cell r="D241">
            <v>0</v>
          </cell>
          <cell r="E241">
            <v>0</v>
          </cell>
          <cell r="F241">
            <v>0</v>
          </cell>
          <cell r="G241" t="str">
            <v>none</v>
          </cell>
          <cell r="H241"/>
          <cell r="I241" t="b">
            <v>0</v>
          </cell>
          <cell r="J241" t="b">
            <v>0</v>
          </cell>
          <cell r="K241" t="b">
            <v>1</v>
          </cell>
          <cell r="L241" t="str">
            <v>Effect/Prefab/10_buff/EFF_buff_up</v>
          </cell>
          <cell r="M241" t="str">
            <v>icon_battle_damageimmune</v>
          </cell>
          <cell r="N241" t="str">
            <v>Buff.Name.Reduce.RangeDamage.Up.03</v>
          </cell>
          <cell r="O241" t="str">
            <v>Buff.Desc.Reduce.RangeDamage.Up.03</v>
          </cell>
        </row>
        <row r="242">
          <cell r="A242" t="str">
            <v>Reduce.RangeDamage.Up.04</v>
          </cell>
          <cell r="B242"/>
          <cell r="C242"/>
          <cell r="D242">
            <v>0</v>
          </cell>
          <cell r="E242">
            <v>0</v>
          </cell>
          <cell r="F242">
            <v>0</v>
          </cell>
          <cell r="G242" t="str">
            <v>none</v>
          </cell>
          <cell r="H242"/>
          <cell r="I242" t="b">
            <v>0</v>
          </cell>
          <cell r="J242" t="b">
            <v>0</v>
          </cell>
          <cell r="K242" t="b">
            <v>1</v>
          </cell>
          <cell r="L242" t="str">
            <v>Effect/Prefab/10_buff/EFF_buff_up</v>
          </cell>
          <cell r="M242" t="str">
            <v>icon_battle_damageimmune</v>
          </cell>
          <cell r="N242" t="str">
            <v>Buff.Name.Reduce.RangeDamage.Up.04</v>
          </cell>
          <cell r="O242" t="str">
            <v>Buff.Desc.Reduce.RangeDamage.Up.04</v>
          </cell>
        </row>
        <row r="243">
          <cell r="A243" t="str">
            <v>Reduce.RangeDamage.Up.05</v>
          </cell>
          <cell r="B243"/>
          <cell r="C243"/>
          <cell r="D243">
            <v>0</v>
          </cell>
          <cell r="E243">
            <v>0</v>
          </cell>
          <cell r="F243">
            <v>0</v>
          </cell>
          <cell r="G243" t="str">
            <v>none</v>
          </cell>
          <cell r="H243"/>
          <cell r="I243" t="b">
            <v>0</v>
          </cell>
          <cell r="J243" t="b">
            <v>0</v>
          </cell>
          <cell r="K243" t="b">
            <v>1</v>
          </cell>
          <cell r="L243" t="str">
            <v>Effect/Prefab/10_buff/EFF_buff_up</v>
          </cell>
          <cell r="M243" t="str">
            <v>icon_battle_damageimmune</v>
          </cell>
          <cell r="N243" t="str">
            <v>Buff.Name.Reduce.RangeDamage.Up.05</v>
          </cell>
          <cell r="O243" t="str">
            <v>Buff.Desc.Reduce.RangeDamage.Up.05</v>
          </cell>
        </row>
        <row r="244">
          <cell r="A244" t="str">
            <v>Reduce.DotDamage.Up</v>
          </cell>
          <cell r="B244"/>
          <cell r="C244"/>
          <cell r="D244">
            <v>0</v>
          </cell>
          <cell r="E244">
            <v>0</v>
          </cell>
          <cell r="F244">
            <v>0</v>
          </cell>
          <cell r="G244" t="str">
            <v>none</v>
          </cell>
          <cell r="H244"/>
          <cell r="I244" t="b">
            <v>0</v>
          </cell>
          <cell r="J244" t="b">
            <v>0</v>
          </cell>
          <cell r="K244" t="b">
            <v>1</v>
          </cell>
          <cell r="L244" t="str">
            <v>Effect/Prefab/10_buff/EFF_buff_up</v>
          </cell>
          <cell r="M244" t="str">
            <v>icon_battle_damageimmune</v>
          </cell>
          <cell r="N244" t="str">
            <v>Buff.Name.Reduce.DotDamage.Up.00</v>
          </cell>
          <cell r="O244" t="str">
            <v>Buff.Desc.Reduce.DotDamage.Up.00</v>
          </cell>
        </row>
        <row r="245">
          <cell r="A245" t="str">
            <v>Reduce.DotDamage.Up.01</v>
          </cell>
          <cell r="B245"/>
          <cell r="C245"/>
          <cell r="D245">
            <v>0</v>
          </cell>
          <cell r="E245">
            <v>0</v>
          </cell>
          <cell r="F245">
            <v>0</v>
          </cell>
          <cell r="G245" t="str">
            <v>none</v>
          </cell>
          <cell r="H245"/>
          <cell r="I245" t="b">
            <v>0</v>
          </cell>
          <cell r="J245" t="b">
            <v>0</v>
          </cell>
          <cell r="K245" t="b">
            <v>1</v>
          </cell>
          <cell r="L245" t="str">
            <v>Effect/Prefab/10_buff/EFF_buff_up</v>
          </cell>
          <cell r="M245" t="str">
            <v>icon_battle_damageimmune</v>
          </cell>
          <cell r="N245" t="str">
            <v>Buff.Name.Reduce.DotDamage.Up.01</v>
          </cell>
          <cell r="O245" t="str">
            <v>Buff.Desc.Reduce.DotDamage.Up.01</v>
          </cell>
        </row>
        <row r="246">
          <cell r="A246" t="str">
            <v>Reduce.DotDamage.Up.02</v>
          </cell>
          <cell r="B246"/>
          <cell r="C246"/>
          <cell r="D246">
            <v>0</v>
          </cell>
          <cell r="E246">
            <v>0</v>
          </cell>
          <cell r="F246">
            <v>0</v>
          </cell>
          <cell r="G246" t="str">
            <v>none</v>
          </cell>
          <cell r="H246"/>
          <cell r="I246" t="b">
            <v>0</v>
          </cell>
          <cell r="J246" t="b">
            <v>0</v>
          </cell>
          <cell r="K246" t="b">
            <v>1</v>
          </cell>
          <cell r="L246" t="str">
            <v>Effect/Prefab/10_buff/EFF_buff_up</v>
          </cell>
          <cell r="M246" t="str">
            <v>icon_battle_damageimmune</v>
          </cell>
          <cell r="N246" t="str">
            <v>Buff.Name.Reduce.DotDamage.Up.02</v>
          </cell>
          <cell r="O246" t="str">
            <v>Buff.Desc.Reduce.DotDamage.Up.02</v>
          </cell>
        </row>
        <row r="247">
          <cell r="A247" t="str">
            <v>Reduce.DotDamage.Up.03</v>
          </cell>
          <cell r="B247"/>
          <cell r="C247"/>
          <cell r="D247">
            <v>0</v>
          </cell>
          <cell r="E247">
            <v>0</v>
          </cell>
          <cell r="F247">
            <v>0</v>
          </cell>
          <cell r="G247" t="str">
            <v>none</v>
          </cell>
          <cell r="H247"/>
          <cell r="I247" t="b">
            <v>0</v>
          </cell>
          <cell r="J247" t="b">
            <v>0</v>
          </cell>
          <cell r="K247" t="b">
            <v>1</v>
          </cell>
          <cell r="L247" t="str">
            <v>Effect/Prefab/10_buff/EFF_buff_up</v>
          </cell>
          <cell r="M247" t="str">
            <v>icon_battle_damageimmune</v>
          </cell>
          <cell r="N247" t="str">
            <v>Buff.Name.Reduce.DotDamage.Up.03</v>
          </cell>
          <cell r="O247" t="str">
            <v>Buff.Desc.Reduce.DotDamage.Up.03</v>
          </cell>
        </row>
        <row r="248">
          <cell r="A248" t="str">
            <v>Reduce.DotDamage.Up.04</v>
          </cell>
          <cell r="B248"/>
          <cell r="C248"/>
          <cell r="D248">
            <v>0</v>
          </cell>
          <cell r="E248">
            <v>0</v>
          </cell>
          <cell r="F248">
            <v>0</v>
          </cell>
          <cell r="G248" t="str">
            <v>none</v>
          </cell>
          <cell r="H248"/>
          <cell r="I248" t="b">
            <v>0</v>
          </cell>
          <cell r="J248" t="b">
            <v>0</v>
          </cell>
          <cell r="K248" t="b">
            <v>1</v>
          </cell>
          <cell r="L248" t="str">
            <v>Effect/Prefab/10_buff/EFF_buff_up</v>
          </cell>
          <cell r="M248" t="str">
            <v>icon_battle_damageimmune</v>
          </cell>
          <cell r="N248" t="str">
            <v>Buff.Name.Reduce.DotDamage.Up.04</v>
          </cell>
          <cell r="O248" t="str">
            <v>Buff.Desc.Reduce.DotDamage.Up.04</v>
          </cell>
        </row>
        <row r="249">
          <cell r="A249" t="str">
            <v>Reduce.DotDamage.Up.05</v>
          </cell>
          <cell r="B249"/>
          <cell r="C249"/>
          <cell r="D249">
            <v>0</v>
          </cell>
          <cell r="E249">
            <v>0</v>
          </cell>
          <cell r="F249">
            <v>0</v>
          </cell>
          <cell r="G249" t="str">
            <v>none</v>
          </cell>
          <cell r="H249"/>
          <cell r="I249" t="b">
            <v>0</v>
          </cell>
          <cell r="J249" t="b">
            <v>0</v>
          </cell>
          <cell r="K249" t="b">
            <v>1</v>
          </cell>
          <cell r="L249" t="str">
            <v>Effect/Prefab/10_buff/EFF_buff_up</v>
          </cell>
          <cell r="M249" t="str">
            <v>icon_battle_damageimmune</v>
          </cell>
          <cell r="N249" t="str">
            <v>Buff.Name.Reduce.DotDamage.Up.05</v>
          </cell>
          <cell r="O249" t="str">
            <v>Buff.Desc.Reduce.DotDamage.Up.05</v>
          </cell>
        </row>
        <row r="250">
          <cell r="A250" t="str">
            <v>GuardRate.Up</v>
          </cell>
          <cell r="B250"/>
          <cell r="C250"/>
          <cell r="D250">
            <v>0</v>
          </cell>
          <cell r="E250">
            <v>0</v>
          </cell>
          <cell r="F250">
            <v>0</v>
          </cell>
          <cell r="G250" t="str">
            <v>none</v>
          </cell>
          <cell r="H250"/>
          <cell r="I250" t="b">
            <v>0</v>
          </cell>
          <cell r="J250" t="b">
            <v>0</v>
          </cell>
          <cell r="K250" t="b">
            <v>1</v>
          </cell>
          <cell r="L250" t="str">
            <v>Effect/Prefab/10_buff/EFF_buff_up</v>
          </cell>
          <cell r="M250" t="str">
            <v>icon_battle_guard</v>
          </cell>
          <cell r="N250" t="str">
            <v>Buff.Name.GuardRate.Up.00</v>
          </cell>
          <cell r="O250" t="str">
            <v>Buff.Desc.GuardRate.Up.00</v>
          </cell>
        </row>
        <row r="251">
          <cell r="A251" t="str">
            <v>GuardRate.Up.01</v>
          </cell>
          <cell r="B251"/>
          <cell r="C251"/>
          <cell r="D251">
            <v>0</v>
          </cell>
          <cell r="E251">
            <v>0</v>
          </cell>
          <cell r="F251">
            <v>0</v>
          </cell>
          <cell r="G251" t="str">
            <v>none</v>
          </cell>
          <cell r="H251"/>
          <cell r="I251" t="b">
            <v>0</v>
          </cell>
          <cell r="J251" t="b">
            <v>0</v>
          </cell>
          <cell r="K251" t="b">
            <v>1</v>
          </cell>
          <cell r="L251" t="str">
            <v>Effect/Prefab/10_buff/EFF_buff_up</v>
          </cell>
          <cell r="M251" t="str">
            <v>icon_battle_guard</v>
          </cell>
          <cell r="N251" t="str">
            <v>Buff.Name.GuardRate.Up.01</v>
          </cell>
          <cell r="O251" t="str">
            <v>Buff.Desc.GuardRate.Up.01</v>
          </cell>
        </row>
        <row r="252">
          <cell r="A252" t="str">
            <v>GuardRate.Up.02</v>
          </cell>
          <cell r="B252"/>
          <cell r="C252"/>
          <cell r="D252">
            <v>0</v>
          </cell>
          <cell r="E252">
            <v>0</v>
          </cell>
          <cell r="F252">
            <v>0</v>
          </cell>
          <cell r="G252" t="str">
            <v>none</v>
          </cell>
          <cell r="H252"/>
          <cell r="I252" t="b">
            <v>0</v>
          </cell>
          <cell r="J252" t="b">
            <v>0</v>
          </cell>
          <cell r="K252" t="b">
            <v>1</v>
          </cell>
          <cell r="L252" t="str">
            <v>Effect/Prefab/10_buff/EFF_buff_up</v>
          </cell>
          <cell r="M252" t="str">
            <v>icon_battle_guard</v>
          </cell>
          <cell r="N252" t="str">
            <v>Buff.Name.GuardRate.Up.02</v>
          </cell>
          <cell r="O252" t="str">
            <v>Buff.Desc.GuardRate.Up.02</v>
          </cell>
        </row>
        <row r="253">
          <cell r="A253" t="str">
            <v>GuardRate.Up.03</v>
          </cell>
          <cell r="B253"/>
          <cell r="C253"/>
          <cell r="D253">
            <v>0</v>
          </cell>
          <cell r="E253">
            <v>0</v>
          </cell>
          <cell r="F253">
            <v>0</v>
          </cell>
          <cell r="G253" t="str">
            <v>none</v>
          </cell>
          <cell r="H253"/>
          <cell r="I253" t="b">
            <v>0</v>
          </cell>
          <cell r="J253" t="b">
            <v>0</v>
          </cell>
          <cell r="K253" t="b">
            <v>1</v>
          </cell>
          <cell r="L253" t="str">
            <v>Effect/Prefab/10_buff/EFF_buff_up</v>
          </cell>
          <cell r="M253" t="str">
            <v>icon_battle_guard</v>
          </cell>
          <cell r="N253" t="str">
            <v>Buff.Name.GuardRate.Up.03</v>
          </cell>
          <cell r="O253" t="str">
            <v>Buff.Desc.GuardRate.Up.03</v>
          </cell>
        </row>
        <row r="254">
          <cell r="A254" t="str">
            <v>GuardRate.Up.04</v>
          </cell>
          <cell r="B254"/>
          <cell r="C254"/>
          <cell r="D254">
            <v>0</v>
          </cell>
          <cell r="E254">
            <v>0</v>
          </cell>
          <cell r="F254">
            <v>0</v>
          </cell>
          <cell r="G254" t="str">
            <v>none</v>
          </cell>
          <cell r="H254"/>
          <cell r="I254" t="b">
            <v>0</v>
          </cell>
          <cell r="J254" t="b">
            <v>0</v>
          </cell>
          <cell r="K254" t="b">
            <v>1</v>
          </cell>
          <cell r="L254" t="str">
            <v>Effect/Prefab/10_buff/EFF_buff_up</v>
          </cell>
          <cell r="M254" t="str">
            <v>icon_battle_guard</v>
          </cell>
          <cell r="N254" t="str">
            <v>Buff.Name.GuardRate.Up.04</v>
          </cell>
          <cell r="O254" t="str">
            <v>Buff.Desc.GuardRate.Up.04</v>
          </cell>
        </row>
        <row r="255">
          <cell r="A255" t="str">
            <v>GuardRate.Up.05</v>
          </cell>
          <cell r="B255"/>
          <cell r="C255"/>
          <cell r="D255">
            <v>0</v>
          </cell>
          <cell r="E255">
            <v>0</v>
          </cell>
          <cell r="F255">
            <v>0</v>
          </cell>
          <cell r="G255" t="str">
            <v>none</v>
          </cell>
          <cell r="H255"/>
          <cell r="I255" t="b">
            <v>0</v>
          </cell>
          <cell r="J255" t="b">
            <v>0</v>
          </cell>
          <cell r="K255" t="b">
            <v>1</v>
          </cell>
          <cell r="L255" t="str">
            <v>Effect/Prefab/10_buff/EFF_buff_up</v>
          </cell>
          <cell r="M255" t="str">
            <v>icon_battle_guard</v>
          </cell>
          <cell r="N255" t="str">
            <v>Buff.Name.GuardRate.Up.05</v>
          </cell>
          <cell r="O255" t="str">
            <v>Buff.Desc.GuardRate.Up.05</v>
          </cell>
        </row>
        <row r="256">
          <cell r="A256" t="str">
            <v>GuardReduce.Up</v>
          </cell>
          <cell r="B256"/>
          <cell r="C256"/>
          <cell r="D256">
            <v>0</v>
          </cell>
          <cell r="E256">
            <v>0</v>
          </cell>
          <cell r="F256">
            <v>0</v>
          </cell>
          <cell r="G256" t="str">
            <v>none</v>
          </cell>
          <cell r="H256"/>
          <cell r="I256" t="b">
            <v>0</v>
          </cell>
          <cell r="J256" t="b">
            <v>0</v>
          </cell>
          <cell r="K256" t="b">
            <v>1</v>
          </cell>
          <cell r="L256" t="str">
            <v>Effect/Prefab/10_buff/EFF_buff_up</v>
          </cell>
          <cell r="M256" t="str">
            <v>icon_battle_guardreduce</v>
          </cell>
          <cell r="N256" t="str">
            <v>Buff.Name.GuardReduce.Up.00</v>
          </cell>
          <cell r="O256" t="str">
            <v>Buff.Desc.GuardReduce.Up.00</v>
          </cell>
        </row>
        <row r="257">
          <cell r="A257" t="str">
            <v>GuardReduce.Up.01</v>
          </cell>
          <cell r="B257"/>
          <cell r="C257"/>
          <cell r="D257">
            <v>0</v>
          </cell>
          <cell r="E257">
            <v>0</v>
          </cell>
          <cell r="F257">
            <v>0</v>
          </cell>
          <cell r="G257" t="str">
            <v>none</v>
          </cell>
          <cell r="H257"/>
          <cell r="I257" t="b">
            <v>0</v>
          </cell>
          <cell r="J257" t="b">
            <v>0</v>
          </cell>
          <cell r="K257" t="b">
            <v>1</v>
          </cell>
          <cell r="L257" t="str">
            <v>Effect/Prefab/10_buff/EFF_buff_up</v>
          </cell>
          <cell r="M257" t="str">
            <v>icon_battle_guardreduce</v>
          </cell>
          <cell r="N257" t="str">
            <v>Buff.Name.GuardReduce.Up.01</v>
          </cell>
          <cell r="O257" t="str">
            <v>Buff.Desc.GuardReduce.Up.01</v>
          </cell>
        </row>
        <row r="258">
          <cell r="A258" t="str">
            <v>GuardReduce.Up.02</v>
          </cell>
          <cell r="B258"/>
          <cell r="C258"/>
          <cell r="D258">
            <v>0</v>
          </cell>
          <cell r="E258">
            <v>0</v>
          </cell>
          <cell r="F258">
            <v>0</v>
          </cell>
          <cell r="G258" t="str">
            <v>none</v>
          </cell>
          <cell r="H258"/>
          <cell r="I258" t="b">
            <v>0</v>
          </cell>
          <cell r="J258" t="b">
            <v>0</v>
          </cell>
          <cell r="K258" t="b">
            <v>1</v>
          </cell>
          <cell r="L258" t="str">
            <v>Effect/Prefab/10_buff/EFF_buff_up</v>
          </cell>
          <cell r="M258" t="str">
            <v>icon_battle_guardreduce</v>
          </cell>
          <cell r="N258" t="str">
            <v>Buff.Name.GuardReduce.Up.02</v>
          </cell>
          <cell r="O258" t="str">
            <v>Buff.Desc.GuardReduce.Up.02</v>
          </cell>
        </row>
        <row r="259">
          <cell r="A259" t="str">
            <v>GuardReduce.Up.03</v>
          </cell>
          <cell r="B259"/>
          <cell r="C259"/>
          <cell r="D259">
            <v>0</v>
          </cell>
          <cell r="E259">
            <v>0</v>
          </cell>
          <cell r="F259">
            <v>0</v>
          </cell>
          <cell r="G259" t="str">
            <v>none</v>
          </cell>
          <cell r="H259"/>
          <cell r="I259" t="b">
            <v>0</v>
          </cell>
          <cell r="J259" t="b">
            <v>0</v>
          </cell>
          <cell r="K259" t="b">
            <v>1</v>
          </cell>
          <cell r="L259" t="str">
            <v>Effect/Prefab/10_buff/EFF_buff_up</v>
          </cell>
          <cell r="M259" t="str">
            <v>icon_battle_guardreduce</v>
          </cell>
          <cell r="N259" t="str">
            <v>Buff.Name.GuardReduce.Up.03</v>
          </cell>
          <cell r="O259" t="str">
            <v>Buff.Desc.GuardReduce.Up.03</v>
          </cell>
        </row>
        <row r="260">
          <cell r="A260" t="str">
            <v>GuardReduce.Up.04</v>
          </cell>
          <cell r="B260"/>
          <cell r="C260"/>
          <cell r="D260">
            <v>0</v>
          </cell>
          <cell r="E260">
            <v>0</v>
          </cell>
          <cell r="F260">
            <v>0</v>
          </cell>
          <cell r="G260" t="str">
            <v>none</v>
          </cell>
          <cell r="H260"/>
          <cell r="I260" t="b">
            <v>0</v>
          </cell>
          <cell r="J260" t="b">
            <v>0</v>
          </cell>
          <cell r="K260" t="b">
            <v>1</v>
          </cell>
          <cell r="L260" t="str">
            <v>Effect/Prefab/10_buff/EFF_buff_up</v>
          </cell>
          <cell r="M260" t="str">
            <v>icon_battle_guardreduce</v>
          </cell>
          <cell r="N260" t="str">
            <v>Buff.Name.GuardReduce.Up.04</v>
          </cell>
          <cell r="O260" t="str">
            <v>Buff.Desc.GuardReduce.Up.04</v>
          </cell>
        </row>
        <row r="261">
          <cell r="A261" t="str">
            <v>GuardReduce.Up.05</v>
          </cell>
          <cell r="B261"/>
          <cell r="C261"/>
          <cell r="D261">
            <v>0</v>
          </cell>
          <cell r="E261">
            <v>0</v>
          </cell>
          <cell r="F261">
            <v>0</v>
          </cell>
          <cell r="G261" t="str">
            <v>none</v>
          </cell>
          <cell r="H261"/>
          <cell r="I261" t="b">
            <v>0</v>
          </cell>
          <cell r="J261" t="b">
            <v>0</v>
          </cell>
          <cell r="K261" t="b">
            <v>1</v>
          </cell>
          <cell r="L261" t="str">
            <v>Effect/Prefab/10_buff/EFF_buff_up</v>
          </cell>
          <cell r="M261" t="str">
            <v>icon_battle_guardreduce</v>
          </cell>
          <cell r="N261" t="str">
            <v>Buff.Name.GuardReduce.Up.05</v>
          </cell>
          <cell r="O261" t="str">
            <v>Buff.Desc.GuardReduce.Up.05</v>
          </cell>
        </row>
        <row r="262">
          <cell r="A262" t="str">
            <v>CriticalResist.Up</v>
          </cell>
          <cell r="B262"/>
          <cell r="C262"/>
          <cell r="D262">
            <v>0</v>
          </cell>
          <cell r="E262">
            <v>0</v>
          </cell>
          <cell r="F262">
            <v>0</v>
          </cell>
          <cell r="G262" t="str">
            <v>none</v>
          </cell>
          <cell r="H262"/>
          <cell r="I262" t="b">
            <v>0</v>
          </cell>
          <cell r="J262" t="b">
            <v>0</v>
          </cell>
          <cell r="K262" t="b">
            <v>1</v>
          </cell>
          <cell r="L262" t="str">
            <v>Effect/Prefab/10_buff/EFF_buff_up</v>
          </cell>
          <cell r="M262" t="str">
            <v>icon_battle_effect_res</v>
          </cell>
          <cell r="N262" t="str">
            <v>Buff.Name.CriticalResist.Up.00</v>
          </cell>
          <cell r="O262" t="str">
            <v>Buff.Desc.CriticalResist.Up.00</v>
          </cell>
        </row>
        <row r="263">
          <cell r="A263" t="str">
            <v>CriticalResist.Up.01</v>
          </cell>
          <cell r="B263"/>
          <cell r="C263"/>
          <cell r="D263">
            <v>0</v>
          </cell>
          <cell r="E263">
            <v>0</v>
          </cell>
          <cell r="F263">
            <v>0</v>
          </cell>
          <cell r="G263" t="str">
            <v>none</v>
          </cell>
          <cell r="H263"/>
          <cell r="I263" t="b">
            <v>0</v>
          </cell>
          <cell r="J263" t="b">
            <v>0</v>
          </cell>
          <cell r="K263" t="b">
            <v>1</v>
          </cell>
          <cell r="L263" t="str">
            <v>Effect/Prefab/10_buff/EFF_buff_up</v>
          </cell>
          <cell r="M263" t="str">
            <v>icon_battle_effect_res</v>
          </cell>
          <cell r="N263" t="str">
            <v>Buff.Name.CriticalResist.Up.01</v>
          </cell>
          <cell r="O263" t="str">
            <v>Buff.Desc.CriticalResist.Up.01</v>
          </cell>
        </row>
        <row r="264">
          <cell r="A264" t="str">
            <v>CriticalResist.Up.02</v>
          </cell>
          <cell r="B264"/>
          <cell r="C264"/>
          <cell r="D264">
            <v>0</v>
          </cell>
          <cell r="E264">
            <v>0</v>
          </cell>
          <cell r="F264">
            <v>0</v>
          </cell>
          <cell r="G264" t="str">
            <v>none</v>
          </cell>
          <cell r="H264"/>
          <cell r="I264" t="b">
            <v>0</v>
          </cell>
          <cell r="J264" t="b">
            <v>0</v>
          </cell>
          <cell r="K264" t="b">
            <v>1</v>
          </cell>
          <cell r="L264" t="str">
            <v>Effect/Prefab/10_buff/EFF_buff_up</v>
          </cell>
          <cell r="M264" t="str">
            <v>icon_battle_effect_res</v>
          </cell>
          <cell r="N264" t="str">
            <v>Buff.Name.CriticalResist.Up.02</v>
          </cell>
          <cell r="O264" t="str">
            <v>Buff.Desc.CriticalResist.Up.02</v>
          </cell>
        </row>
        <row r="265">
          <cell r="A265" t="str">
            <v>CriticalResist.Up.03</v>
          </cell>
          <cell r="B265"/>
          <cell r="C265"/>
          <cell r="D265">
            <v>0</v>
          </cell>
          <cell r="E265">
            <v>0</v>
          </cell>
          <cell r="F265">
            <v>0</v>
          </cell>
          <cell r="G265" t="str">
            <v>none</v>
          </cell>
          <cell r="H265"/>
          <cell r="I265" t="b">
            <v>0</v>
          </cell>
          <cell r="J265" t="b">
            <v>0</v>
          </cell>
          <cell r="K265" t="b">
            <v>1</v>
          </cell>
          <cell r="L265" t="str">
            <v>Effect/Prefab/10_buff/EFF_buff_up</v>
          </cell>
          <cell r="M265" t="str">
            <v>icon_battle_effect_res</v>
          </cell>
          <cell r="N265" t="str">
            <v>Buff.Name.CriticalResist.Up.03</v>
          </cell>
          <cell r="O265" t="str">
            <v>Buff.Desc.CriticalResist.Up.03</v>
          </cell>
        </row>
        <row r="266">
          <cell r="A266" t="str">
            <v>CriticalResist.Up.04</v>
          </cell>
          <cell r="B266"/>
          <cell r="C266"/>
          <cell r="D266">
            <v>0</v>
          </cell>
          <cell r="E266">
            <v>0</v>
          </cell>
          <cell r="F266">
            <v>0</v>
          </cell>
          <cell r="G266" t="str">
            <v>none</v>
          </cell>
          <cell r="H266"/>
          <cell r="I266" t="b">
            <v>0</v>
          </cell>
          <cell r="J266" t="b">
            <v>0</v>
          </cell>
          <cell r="K266" t="b">
            <v>1</v>
          </cell>
          <cell r="L266" t="str">
            <v>Effect/Prefab/10_buff/EFF_buff_up</v>
          </cell>
          <cell r="M266" t="str">
            <v>icon_battle_effect_res</v>
          </cell>
          <cell r="N266" t="str">
            <v>Buff.Name.CriticalResist.Up.04</v>
          </cell>
          <cell r="O266" t="str">
            <v>Buff.Desc.CriticalResist.Up.04</v>
          </cell>
        </row>
        <row r="267">
          <cell r="A267" t="str">
            <v>CriticalResist.Up.05</v>
          </cell>
          <cell r="B267"/>
          <cell r="C267"/>
          <cell r="D267">
            <v>0</v>
          </cell>
          <cell r="E267">
            <v>0</v>
          </cell>
          <cell r="F267">
            <v>0</v>
          </cell>
          <cell r="G267" t="str">
            <v>none</v>
          </cell>
          <cell r="H267"/>
          <cell r="I267" t="b">
            <v>0</v>
          </cell>
          <cell r="J267" t="b">
            <v>0</v>
          </cell>
          <cell r="K267" t="b">
            <v>1</v>
          </cell>
          <cell r="L267" t="str">
            <v>Effect/Prefab/10_buff/EFF_buff_up</v>
          </cell>
          <cell r="M267" t="str">
            <v>icon_battle_effect_res</v>
          </cell>
          <cell r="N267" t="str">
            <v>Buff.Name.CriticalResist.Up.05</v>
          </cell>
          <cell r="O267" t="str">
            <v>Buff.Desc.CriticalResist.Up.05</v>
          </cell>
        </row>
        <row r="268">
          <cell r="A268" t="str">
            <v>HealRate.Up</v>
          </cell>
          <cell r="B268"/>
          <cell r="C268"/>
          <cell r="D268">
            <v>0</v>
          </cell>
          <cell r="E268">
            <v>0</v>
          </cell>
          <cell r="F268">
            <v>0</v>
          </cell>
          <cell r="G268" t="str">
            <v>none</v>
          </cell>
          <cell r="H268"/>
          <cell r="I268" t="b">
            <v>0</v>
          </cell>
          <cell r="J268" t="b">
            <v>0</v>
          </cell>
          <cell r="K268" t="b">
            <v>1</v>
          </cell>
          <cell r="L268" t="str">
            <v>Effect/Prefab/10_buff/EFF_buff_up</v>
          </cell>
          <cell r="M268" t="str">
            <v>icon_battle_recovery</v>
          </cell>
          <cell r="N268" t="str">
            <v>Buff.Name.HealRate.Up.00</v>
          </cell>
          <cell r="O268" t="str">
            <v>Buff.Desc.HealRate.Up.00</v>
          </cell>
        </row>
        <row r="269">
          <cell r="A269" t="str">
            <v>HealRate.Up.01</v>
          </cell>
          <cell r="B269"/>
          <cell r="C269"/>
          <cell r="D269">
            <v>0</v>
          </cell>
          <cell r="E269">
            <v>0</v>
          </cell>
          <cell r="F269">
            <v>0</v>
          </cell>
          <cell r="G269" t="str">
            <v>none</v>
          </cell>
          <cell r="H269"/>
          <cell r="I269" t="b">
            <v>0</v>
          </cell>
          <cell r="J269" t="b">
            <v>0</v>
          </cell>
          <cell r="K269" t="b">
            <v>1</v>
          </cell>
          <cell r="L269" t="str">
            <v>Effect/Prefab/10_buff/EFF_buff_up</v>
          </cell>
          <cell r="M269" t="str">
            <v>icon_battle_recovery</v>
          </cell>
          <cell r="N269" t="str">
            <v>Buff.Name.HealRate.Up.01</v>
          </cell>
          <cell r="O269" t="str">
            <v>Buff.Desc.HealRate.Up.01</v>
          </cell>
        </row>
        <row r="270">
          <cell r="A270" t="str">
            <v>HealRate.Up.02</v>
          </cell>
          <cell r="B270"/>
          <cell r="C270"/>
          <cell r="D270">
            <v>0</v>
          </cell>
          <cell r="E270">
            <v>0</v>
          </cell>
          <cell r="F270">
            <v>0</v>
          </cell>
          <cell r="G270" t="str">
            <v>none</v>
          </cell>
          <cell r="H270"/>
          <cell r="I270" t="b">
            <v>0</v>
          </cell>
          <cell r="J270" t="b">
            <v>0</v>
          </cell>
          <cell r="K270" t="b">
            <v>1</v>
          </cell>
          <cell r="L270" t="str">
            <v>Effect/Prefab/10_buff/EFF_buff_up</v>
          </cell>
          <cell r="M270" t="str">
            <v>icon_battle_recovery</v>
          </cell>
          <cell r="N270" t="str">
            <v>Buff.Name.HealRate.Up.02</v>
          </cell>
          <cell r="O270" t="str">
            <v>Buff.Desc.HealRate.Up.02</v>
          </cell>
        </row>
        <row r="271">
          <cell r="A271" t="str">
            <v>HealRate.Up.03</v>
          </cell>
          <cell r="B271"/>
          <cell r="C271"/>
          <cell r="D271">
            <v>0</v>
          </cell>
          <cell r="E271">
            <v>0</v>
          </cell>
          <cell r="F271">
            <v>0</v>
          </cell>
          <cell r="G271" t="str">
            <v>none</v>
          </cell>
          <cell r="H271"/>
          <cell r="I271" t="b">
            <v>0</v>
          </cell>
          <cell r="J271" t="b">
            <v>0</v>
          </cell>
          <cell r="K271" t="b">
            <v>1</v>
          </cell>
          <cell r="L271" t="str">
            <v>Effect/Prefab/10_buff/EFF_buff_up</v>
          </cell>
          <cell r="M271" t="str">
            <v>icon_battle_recovery</v>
          </cell>
          <cell r="N271" t="str">
            <v>Buff.Name.HealRate.Up.03</v>
          </cell>
          <cell r="O271" t="str">
            <v>Buff.Desc.HealRate.Up.03</v>
          </cell>
        </row>
        <row r="272">
          <cell r="A272" t="str">
            <v>HealRate.Up.04</v>
          </cell>
          <cell r="B272"/>
          <cell r="C272"/>
          <cell r="D272">
            <v>0</v>
          </cell>
          <cell r="E272">
            <v>0</v>
          </cell>
          <cell r="F272">
            <v>0</v>
          </cell>
          <cell r="G272" t="str">
            <v>none</v>
          </cell>
          <cell r="H272"/>
          <cell r="I272" t="b">
            <v>0</v>
          </cell>
          <cell r="J272" t="b">
            <v>0</v>
          </cell>
          <cell r="K272" t="b">
            <v>1</v>
          </cell>
          <cell r="L272" t="str">
            <v>Effect/Prefab/10_buff/EFF_buff_up</v>
          </cell>
          <cell r="M272" t="str">
            <v>icon_battle_recovery</v>
          </cell>
          <cell r="N272" t="str">
            <v>Buff.Name.HealRate.Up.04</v>
          </cell>
          <cell r="O272" t="str">
            <v>Buff.Desc.HealRate.Up.04</v>
          </cell>
        </row>
        <row r="273">
          <cell r="A273" t="str">
            <v>HealRate.Up.05</v>
          </cell>
          <cell r="B273"/>
          <cell r="C273"/>
          <cell r="D273">
            <v>0</v>
          </cell>
          <cell r="E273">
            <v>0</v>
          </cell>
          <cell r="F273">
            <v>0</v>
          </cell>
          <cell r="G273" t="str">
            <v>none</v>
          </cell>
          <cell r="H273"/>
          <cell r="I273" t="b">
            <v>0</v>
          </cell>
          <cell r="J273" t="b">
            <v>0</v>
          </cell>
          <cell r="K273" t="b">
            <v>1</v>
          </cell>
          <cell r="L273" t="str">
            <v>Effect/Prefab/10_buff/EFF_buff_up</v>
          </cell>
          <cell r="M273" t="str">
            <v>icon_battle_recovery</v>
          </cell>
          <cell r="N273" t="str">
            <v>Buff.Name.HealRate.Up.05</v>
          </cell>
          <cell r="O273" t="str">
            <v>Buff.Desc.HealRate.Up.05</v>
          </cell>
        </row>
        <row r="274">
          <cell r="A274" t="str">
            <v>ReceiveHealRate.Up</v>
          </cell>
          <cell r="B274"/>
          <cell r="C274"/>
          <cell r="D274">
            <v>0</v>
          </cell>
          <cell r="E274">
            <v>0</v>
          </cell>
          <cell r="F274">
            <v>0</v>
          </cell>
          <cell r="G274" t="str">
            <v>none</v>
          </cell>
          <cell r="H274"/>
          <cell r="I274" t="b">
            <v>0</v>
          </cell>
          <cell r="J274" t="b">
            <v>0</v>
          </cell>
          <cell r="K274" t="b">
            <v>1</v>
          </cell>
          <cell r="L274" t="str">
            <v>Effect/Prefab/10_buff/EFF_buff_up</v>
          </cell>
          <cell r="M274" t="str">
            <v>icon_battle_receiverecovery</v>
          </cell>
          <cell r="N274" t="str">
            <v>Buff.Name.ReceiveHealRate.Up.00</v>
          </cell>
          <cell r="O274" t="str">
            <v>Buff.Desc.ReceiveHealRate.Up.00</v>
          </cell>
        </row>
        <row r="275">
          <cell r="A275" t="str">
            <v>ReceiveHealRate.Up.01</v>
          </cell>
          <cell r="B275"/>
          <cell r="C275"/>
          <cell r="D275">
            <v>0</v>
          </cell>
          <cell r="E275">
            <v>0</v>
          </cell>
          <cell r="F275">
            <v>0</v>
          </cell>
          <cell r="G275" t="str">
            <v>none</v>
          </cell>
          <cell r="H275"/>
          <cell r="I275" t="b">
            <v>0</v>
          </cell>
          <cell r="J275" t="b">
            <v>0</v>
          </cell>
          <cell r="K275" t="b">
            <v>1</v>
          </cell>
          <cell r="L275" t="str">
            <v>Effect/Prefab/10_buff/EFF_buff_up</v>
          </cell>
          <cell r="M275" t="str">
            <v>icon_battle_receiverecovery</v>
          </cell>
          <cell r="N275" t="str">
            <v>Buff.Name.ReceiveHealRate.Up.01</v>
          </cell>
          <cell r="O275" t="str">
            <v>Buff.Desc.ReceiveHealRate.Up.01</v>
          </cell>
        </row>
        <row r="276">
          <cell r="A276" t="str">
            <v>ReceiveHealRate.Up.02</v>
          </cell>
          <cell r="B276"/>
          <cell r="C276"/>
          <cell r="D276">
            <v>0</v>
          </cell>
          <cell r="E276">
            <v>0</v>
          </cell>
          <cell r="F276">
            <v>0</v>
          </cell>
          <cell r="G276" t="str">
            <v>none</v>
          </cell>
          <cell r="H276"/>
          <cell r="I276" t="b">
            <v>0</v>
          </cell>
          <cell r="J276" t="b">
            <v>0</v>
          </cell>
          <cell r="K276" t="b">
            <v>1</v>
          </cell>
          <cell r="L276" t="str">
            <v>Effect/Prefab/10_buff/EFF_buff_up</v>
          </cell>
          <cell r="M276" t="str">
            <v>icon_battle_receiverecovery</v>
          </cell>
          <cell r="N276" t="str">
            <v>Buff.Name.ReceiveHealRate.Up.02</v>
          </cell>
          <cell r="O276" t="str">
            <v>Buff.Desc.ReceiveHealRate.Up.02</v>
          </cell>
        </row>
        <row r="277">
          <cell r="A277" t="str">
            <v>ReceiveHealRate.Up.03</v>
          </cell>
          <cell r="B277"/>
          <cell r="C277"/>
          <cell r="D277">
            <v>0</v>
          </cell>
          <cell r="E277">
            <v>0</v>
          </cell>
          <cell r="F277">
            <v>0</v>
          </cell>
          <cell r="G277" t="str">
            <v>none</v>
          </cell>
          <cell r="H277"/>
          <cell r="I277" t="b">
            <v>0</v>
          </cell>
          <cell r="J277" t="b">
            <v>0</v>
          </cell>
          <cell r="K277" t="b">
            <v>1</v>
          </cell>
          <cell r="L277" t="str">
            <v>Effect/Prefab/10_buff/EFF_buff_up</v>
          </cell>
          <cell r="M277" t="str">
            <v>icon_battle_receiverecovery</v>
          </cell>
          <cell r="N277" t="str">
            <v>Buff.Name.ReceiveHealRate.Up.03</v>
          </cell>
          <cell r="O277" t="str">
            <v>Buff.Desc.ReceiveHealRate.Up.03</v>
          </cell>
        </row>
        <row r="278">
          <cell r="A278" t="str">
            <v>ReceiveHealRate.Up.04</v>
          </cell>
          <cell r="B278"/>
          <cell r="C278"/>
          <cell r="D278">
            <v>0</v>
          </cell>
          <cell r="E278">
            <v>0</v>
          </cell>
          <cell r="F278">
            <v>0</v>
          </cell>
          <cell r="G278" t="str">
            <v>none</v>
          </cell>
          <cell r="H278"/>
          <cell r="I278" t="b">
            <v>0</v>
          </cell>
          <cell r="J278" t="b">
            <v>0</v>
          </cell>
          <cell r="K278" t="b">
            <v>1</v>
          </cell>
          <cell r="L278" t="str">
            <v>Effect/Prefab/10_buff/EFF_buff_up</v>
          </cell>
          <cell r="M278" t="str">
            <v>icon_battle_receiverecovery</v>
          </cell>
          <cell r="N278" t="str">
            <v>Buff.Name.ReceiveHealRate.Up.04</v>
          </cell>
          <cell r="O278" t="str">
            <v>Buff.Desc.ReceiveHealRate.Up.04</v>
          </cell>
        </row>
        <row r="279">
          <cell r="A279" t="str">
            <v>ReceiveHealRate.Up.05</v>
          </cell>
          <cell r="B279"/>
          <cell r="C279"/>
          <cell r="D279">
            <v>0</v>
          </cell>
          <cell r="E279">
            <v>0</v>
          </cell>
          <cell r="F279">
            <v>0</v>
          </cell>
          <cell r="G279" t="str">
            <v>none</v>
          </cell>
          <cell r="H279"/>
          <cell r="I279" t="b">
            <v>0</v>
          </cell>
          <cell r="J279" t="b">
            <v>0</v>
          </cell>
          <cell r="K279" t="b">
            <v>1</v>
          </cell>
          <cell r="L279" t="str">
            <v>Effect/Prefab/10_buff/EFF_buff_up</v>
          </cell>
          <cell r="M279" t="str">
            <v>icon_battle_receiverecovery</v>
          </cell>
          <cell r="N279" t="str">
            <v>Buff.Name.ReceiveHealRate.Up.05</v>
          </cell>
          <cell r="O279" t="str">
            <v>Buff.Desc.ReceiveHealRate.Up.05</v>
          </cell>
        </row>
        <row r="280">
          <cell r="A280" t="str">
            <v>RechargeRate.Up</v>
          </cell>
          <cell r="B280"/>
          <cell r="C280"/>
          <cell r="D280">
            <v>0</v>
          </cell>
          <cell r="E280">
            <v>0</v>
          </cell>
          <cell r="F280">
            <v>0</v>
          </cell>
          <cell r="G280" t="str">
            <v>none</v>
          </cell>
          <cell r="H280"/>
          <cell r="I280" t="b">
            <v>0</v>
          </cell>
          <cell r="J280" t="b">
            <v>0</v>
          </cell>
          <cell r="K280" t="b">
            <v>1</v>
          </cell>
          <cell r="L280" t="str">
            <v>Effect/Prefab/10_buff/EFF_buff_up</v>
          </cell>
          <cell r="M280" t="str">
            <v>icon_battle_eprechargerate</v>
          </cell>
          <cell r="N280" t="str">
            <v>Buff.Name.RechargeRate.Up.00</v>
          </cell>
          <cell r="O280" t="str">
            <v>Buff.Desc.RechargeRate.Up.00</v>
          </cell>
        </row>
        <row r="281">
          <cell r="A281" t="str">
            <v>RechargeRate.Up.01</v>
          </cell>
          <cell r="B281"/>
          <cell r="C281"/>
          <cell r="D281">
            <v>0</v>
          </cell>
          <cell r="E281">
            <v>0</v>
          </cell>
          <cell r="F281">
            <v>0</v>
          </cell>
          <cell r="G281" t="str">
            <v>none</v>
          </cell>
          <cell r="H281"/>
          <cell r="I281" t="b">
            <v>0</v>
          </cell>
          <cell r="J281" t="b">
            <v>0</v>
          </cell>
          <cell r="K281" t="b">
            <v>1</v>
          </cell>
          <cell r="L281" t="str">
            <v>Effect/Prefab/10_buff/EFF_buff_up</v>
          </cell>
          <cell r="M281" t="str">
            <v>icon_battle_eprechargerate</v>
          </cell>
          <cell r="N281" t="str">
            <v>Buff.Name.RechargeRate.Up.01</v>
          </cell>
          <cell r="O281" t="str">
            <v>Buff.Desc.RechargeRate.Up.01</v>
          </cell>
        </row>
        <row r="282">
          <cell r="A282" t="str">
            <v>RechargeRate.Up.02</v>
          </cell>
          <cell r="B282"/>
          <cell r="C282"/>
          <cell r="D282">
            <v>0</v>
          </cell>
          <cell r="E282">
            <v>0</v>
          </cell>
          <cell r="F282">
            <v>0</v>
          </cell>
          <cell r="G282" t="str">
            <v>none</v>
          </cell>
          <cell r="H282"/>
          <cell r="I282" t="b">
            <v>0</v>
          </cell>
          <cell r="J282" t="b">
            <v>0</v>
          </cell>
          <cell r="K282" t="b">
            <v>1</v>
          </cell>
          <cell r="L282" t="str">
            <v>Effect/Prefab/10_buff/EFF_buff_up</v>
          </cell>
          <cell r="M282" t="str">
            <v>icon_battle_eprechargerate</v>
          </cell>
          <cell r="N282" t="str">
            <v>Buff.Name.RechargeRate.Up.02</v>
          </cell>
          <cell r="O282" t="str">
            <v>Buff.Desc.RechargeRate.Up.02</v>
          </cell>
        </row>
        <row r="283">
          <cell r="A283" t="str">
            <v>RechargeRate.Up.03</v>
          </cell>
          <cell r="B283"/>
          <cell r="C283"/>
          <cell r="D283">
            <v>0</v>
          </cell>
          <cell r="E283">
            <v>0</v>
          </cell>
          <cell r="F283">
            <v>0</v>
          </cell>
          <cell r="G283" t="str">
            <v>none</v>
          </cell>
          <cell r="H283"/>
          <cell r="I283" t="b">
            <v>0</v>
          </cell>
          <cell r="J283" t="b">
            <v>0</v>
          </cell>
          <cell r="K283" t="b">
            <v>1</v>
          </cell>
          <cell r="L283" t="str">
            <v>Effect/Prefab/10_buff/EFF_buff_up</v>
          </cell>
          <cell r="M283" t="str">
            <v>icon_battle_eprechargerate</v>
          </cell>
          <cell r="N283" t="str">
            <v>Buff.Name.RechargeRate.Up.03</v>
          </cell>
          <cell r="O283" t="str">
            <v>Buff.Desc.RechargeRate.Up.03</v>
          </cell>
        </row>
        <row r="284">
          <cell r="A284" t="str">
            <v>RechargeRate.Up.04</v>
          </cell>
          <cell r="B284"/>
          <cell r="C284"/>
          <cell r="D284">
            <v>0</v>
          </cell>
          <cell r="E284">
            <v>0</v>
          </cell>
          <cell r="F284">
            <v>0</v>
          </cell>
          <cell r="G284" t="str">
            <v>none</v>
          </cell>
          <cell r="H284"/>
          <cell r="I284" t="b">
            <v>0</v>
          </cell>
          <cell r="J284" t="b">
            <v>0</v>
          </cell>
          <cell r="K284" t="b">
            <v>1</v>
          </cell>
          <cell r="L284" t="str">
            <v>Effect/Prefab/10_buff/EFF_buff_up</v>
          </cell>
          <cell r="M284" t="str">
            <v>icon_battle_eprechargerate</v>
          </cell>
          <cell r="N284" t="str">
            <v>Buff.Name.RechargeRate.Up.04</v>
          </cell>
          <cell r="O284" t="str">
            <v>Buff.Desc.RechargeRate.Up.04</v>
          </cell>
        </row>
        <row r="285">
          <cell r="A285" t="str">
            <v>RechargeRate.Up.05</v>
          </cell>
          <cell r="B285"/>
          <cell r="C285"/>
          <cell r="D285">
            <v>0</v>
          </cell>
          <cell r="E285">
            <v>0</v>
          </cell>
          <cell r="F285">
            <v>0</v>
          </cell>
          <cell r="G285" t="str">
            <v>none</v>
          </cell>
          <cell r="H285"/>
          <cell r="I285" t="b">
            <v>0</v>
          </cell>
          <cell r="J285" t="b">
            <v>0</v>
          </cell>
          <cell r="K285" t="b">
            <v>1</v>
          </cell>
          <cell r="L285" t="str">
            <v>Effect/Prefab/10_buff/EFF_buff_up</v>
          </cell>
          <cell r="M285" t="str">
            <v>icon_battle_eprechargerate</v>
          </cell>
          <cell r="N285" t="str">
            <v>Buff.Name.RechargeRate.Up.05</v>
          </cell>
          <cell r="O285" t="str">
            <v>Buff.Desc.RechargeRate.Up.05</v>
          </cell>
        </row>
        <row r="286">
          <cell r="A286" t="str">
            <v>AccelerationSkillTime.Up</v>
          </cell>
          <cell r="B286"/>
          <cell r="C286"/>
          <cell r="D286">
            <v>0</v>
          </cell>
          <cell r="E286">
            <v>0</v>
          </cell>
          <cell r="F286">
            <v>0</v>
          </cell>
          <cell r="G286" t="str">
            <v>none</v>
          </cell>
          <cell r="H286"/>
          <cell r="I286" t="b">
            <v>0</v>
          </cell>
          <cell r="J286" t="b">
            <v>0</v>
          </cell>
          <cell r="K286" t="b">
            <v>1</v>
          </cell>
          <cell r="L286" t="str">
            <v>Effect/Prefab/10_buff/EFF_buff_up</v>
          </cell>
          <cell r="M286" t="str">
            <v>icon_battle_cooldown</v>
          </cell>
          <cell r="N286" t="str">
            <v>Buff.Name.AccelerationSkillTime.Up.00</v>
          </cell>
          <cell r="O286" t="str">
            <v>Buff.Desc.AccelerationSkillTime.Up.00</v>
          </cell>
        </row>
        <row r="287">
          <cell r="A287" t="str">
            <v>AccelerationSkillTime.Up.01</v>
          </cell>
          <cell r="B287"/>
          <cell r="C287"/>
          <cell r="D287">
            <v>0</v>
          </cell>
          <cell r="E287">
            <v>0</v>
          </cell>
          <cell r="F287">
            <v>0</v>
          </cell>
          <cell r="G287" t="str">
            <v>none</v>
          </cell>
          <cell r="H287"/>
          <cell r="I287" t="b">
            <v>0</v>
          </cell>
          <cell r="J287" t="b">
            <v>0</v>
          </cell>
          <cell r="K287" t="b">
            <v>1</v>
          </cell>
          <cell r="L287" t="str">
            <v>Effect/Prefab/10_buff/EFF_buff_up</v>
          </cell>
          <cell r="M287" t="str">
            <v>icon_battle_cooldown</v>
          </cell>
          <cell r="N287" t="str">
            <v>Buff.Name.AccelerationSkillTime.Up.01</v>
          </cell>
          <cell r="O287" t="str">
            <v>Buff.Desc.AccelerationSkillTime.Up.01</v>
          </cell>
        </row>
        <row r="288">
          <cell r="A288" t="str">
            <v>AccelerationSkillTime.Up.02</v>
          </cell>
          <cell r="B288"/>
          <cell r="C288"/>
          <cell r="D288">
            <v>0</v>
          </cell>
          <cell r="E288">
            <v>0</v>
          </cell>
          <cell r="F288">
            <v>0</v>
          </cell>
          <cell r="G288" t="str">
            <v>none</v>
          </cell>
          <cell r="H288"/>
          <cell r="I288" t="b">
            <v>0</v>
          </cell>
          <cell r="J288" t="b">
            <v>0</v>
          </cell>
          <cell r="K288" t="b">
            <v>1</v>
          </cell>
          <cell r="L288" t="str">
            <v>Effect/Prefab/10_buff/EFF_buff_up</v>
          </cell>
          <cell r="M288" t="str">
            <v>icon_battle_cooldown</v>
          </cell>
          <cell r="N288" t="str">
            <v>Buff.Name.AccelerationSkillTime.Up.02</v>
          </cell>
          <cell r="O288" t="str">
            <v>Buff.Desc.AccelerationSkillTime.Up.02</v>
          </cell>
        </row>
        <row r="289">
          <cell r="A289" t="str">
            <v>AccelerationSkillTime.Up.03</v>
          </cell>
          <cell r="B289"/>
          <cell r="C289"/>
          <cell r="D289">
            <v>0</v>
          </cell>
          <cell r="E289">
            <v>0</v>
          </cell>
          <cell r="F289">
            <v>0</v>
          </cell>
          <cell r="G289" t="str">
            <v>none</v>
          </cell>
          <cell r="H289"/>
          <cell r="I289" t="b">
            <v>0</v>
          </cell>
          <cell r="J289" t="b">
            <v>0</v>
          </cell>
          <cell r="K289" t="b">
            <v>1</v>
          </cell>
          <cell r="L289" t="str">
            <v>Effect/Prefab/10_buff/EFF_buff_up</v>
          </cell>
          <cell r="M289" t="str">
            <v>icon_battle_cooldown</v>
          </cell>
          <cell r="N289" t="str">
            <v>Buff.Name.AccelerationSkillTime.Up.03</v>
          </cell>
          <cell r="O289" t="str">
            <v>Buff.Desc.AccelerationSkillTime.Up.03</v>
          </cell>
        </row>
        <row r="290">
          <cell r="A290" t="str">
            <v>AccelerationSkillTime.Up.04</v>
          </cell>
          <cell r="B290"/>
          <cell r="C290"/>
          <cell r="D290">
            <v>0</v>
          </cell>
          <cell r="E290">
            <v>0</v>
          </cell>
          <cell r="F290">
            <v>0</v>
          </cell>
          <cell r="G290" t="str">
            <v>none</v>
          </cell>
          <cell r="H290"/>
          <cell r="I290" t="b">
            <v>0</v>
          </cell>
          <cell r="J290" t="b">
            <v>0</v>
          </cell>
          <cell r="K290" t="b">
            <v>1</v>
          </cell>
          <cell r="L290" t="str">
            <v>Effect/Prefab/10_buff/EFF_buff_up</v>
          </cell>
          <cell r="M290" t="str">
            <v>icon_battle_cooldown</v>
          </cell>
          <cell r="N290" t="str">
            <v>Buff.Name.AccelerationSkillTime.Up.04</v>
          </cell>
          <cell r="O290" t="str">
            <v>Buff.Desc.AccelerationSkillTime.Up.04</v>
          </cell>
        </row>
        <row r="291">
          <cell r="A291" t="str">
            <v>AccelerationSkillTime.Up.05</v>
          </cell>
          <cell r="B291"/>
          <cell r="C291"/>
          <cell r="D291">
            <v>0</v>
          </cell>
          <cell r="E291">
            <v>0</v>
          </cell>
          <cell r="F291">
            <v>0</v>
          </cell>
          <cell r="G291" t="str">
            <v>none</v>
          </cell>
          <cell r="H291"/>
          <cell r="I291" t="b">
            <v>0</v>
          </cell>
          <cell r="J291" t="b">
            <v>0</v>
          </cell>
          <cell r="K291" t="b">
            <v>1</v>
          </cell>
          <cell r="L291" t="str">
            <v>Effect/Prefab/10_buff/EFF_buff_up</v>
          </cell>
          <cell r="M291" t="str">
            <v>icon_battle_cooldown</v>
          </cell>
          <cell r="N291" t="str">
            <v>Buff.Name.AccelerationSkillTime.Up.05</v>
          </cell>
          <cell r="O291" t="str">
            <v>Buff.Desc.AccelerationSkillTime.Up.05</v>
          </cell>
        </row>
        <row r="292">
          <cell r="A292" t="str">
            <v>NormalDamage.Up</v>
          </cell>
          <cell r="B292"/>
          <cell r="C292"/>
          <cell r="D292">
            <v>0</v>
          </cell>
          <cell r="E292">
            <v>0</v>
          </cell>
          <cell r="F292">
            <v>0</v>
          </cell>
          <cell r="G292" t="str">
            <v>none</v>
          </cell>
          <cell r="H292"/>
          <cell r="I292" t="b">
            <v>0</v>
          </cell>
          <cell r="J292" t="b">
            <v>0</v>
          </cell>
          <cell r="K292" t="b">
            <v>1</v>
          </cell>
          <cell r="L292" t="str">
            <v>Effect/Prefab/10_buff/EFF_buff_up</v>
          </cell>
          <cell r="M292" t="str">
            <v>icon_battle_attack</v>
          </cell>
          <cell r="N292" t="str">
            <v>Buff.Name.NormalDamage.Up.00</v>
          </cell>
          <cell r="O292" t="str">
            <v>Buff.Desc.NormalDamage.Up.00</v>
          </cell>
        </row>
        <row r="293">
          <cell r="A293" t="str">
            <v>NormalDamage.Up.01</v>
          </cell>
          <cell r="B293"/>
          <cell r="C293"/>
          <cell r="D293">
            <v>0</v>
          </cell>
          <cell r="E293">
            <v>0</v>
          </cell>
          <cell r="F293">
            <v>0</v>
          </cell>
          <cell r="G293" t="str">
            <v>none</v>
          </cell>
          <cell r="H293"/>
          <cell r="I293" t="b">
            <v>0</v>
          </cell>
          <cell r="J293" t="b">
            <v>0</v>
          </cell>
          <cell r="K293" t="b">
            <v>1</v>
          </cell>
          <cell r="L293" t="str">
            <v>Effect/Prefab/10_buff/EFF_buff_up</v>
          </cell>
          <cell r="M293" t="str">
            <v>icon_battle_attack</v>
          </cell>
          <cell r="N293" t="str">
            <v>Buff.Name.NormalDamage.Up.01</v>
          </cell>
          <cell r="O293" t="str">
            <v>Buff.Desc.NormalDamage.Up.01</v>
          </cell>
        </row>
        <row r="294">
          <cell r="A294" t="str">
            <v>NormalDamage.Up.02</v>
          </cell>
          <cell r="B294"/>
          <cell r="C294"/>
          <cell r="D294">
            <v>0</v>
          </cell>
          <cell r="E294">
            <v>0</v>
          </cell>
          <cell r="F294">
            <v>0</v>
          </cell>
          <cell r="G294" t="str">
            <v>none</v>
          </cell>
          <cell r="H294"/>
          <cell r="I294" t="b">
            <v>0</v>
          </cell>
          <cell r="J294" t="b">
            <v>0</v>
          </cell>
          <cell r="K294" t="b">
            <v>1</v>
          </cell>
          <cell r="L294" t="str">
            <v>Effect/Prefab/10_buff/EFF_buff_up</v>
          </cell>
          <cell r="M294" t="str">
            <v>icon_battle_attack</v>
          </cell>
          <cell r="N294" t="str">
            <v>Buff.Name.NormalDamage.Up.02</v>
          </cell>
          <cell r="O294" t="str">
            <v>Buff.Desc.NormalDamage.Up.02</v>
          </cell>
        </row>
        <row r="295">
          <cell r="A295" t="str">
            <v>NormalDamage.Up.03</v>
          </cell>
          <cell r="B295"/>
          <cell r="C295"/>
          <cell r="D295">
            <v>0</v>
          </cell>
          <cell r="E295">
            <v>0</v>
          </cell>
          <cell r="F295">
            <v>0</v>
          </cell>
          <cell r="G295" t="str">
            <v>none</v>
          </cell>
          <cell r="H295"/>
          <cell r="I295" t="b">
            <v>0</v>
          </cell>
          <cell r="J295" t="b">
            <v>0</v>
          </cell>
          <cell r="K295" t="b">
            <v>1</v>
          </cell>
          <cell r="L295" t="str">
            <v>Effect/Prefab/10_buff/EFF_buff_up</v>
          </cell>
          <cell r="M295" t="str">
            <v>icon_battle_attack</v>
          </cell>
          <cell r="N295" t="str">
            <v>Buff.Name.NormalDamage.Up.03</v>
          </cell>
          <cell r="O295" t="str">
            <v>Buff.Desc.NormalDamage.Up.03</v>
          </cell>
        </row>
        <row r="296">
          <cell r="A296" t="str">
            <v>NormalDamage.Up.04</v>
          </cell>
          <cell r="B296"/>
          <cell r="C296"/>
          <cell r="D296">
            <v>0</v>
          </cell>
          <cell r="E296">
            <v>0</v>
          </cell>
          <cell r="F296">
            <v>0</v>
          </cell>
          <cell r="G296" t="str">
            <v>none</v>
          </cell>
          <cell r="H296"/>
          <cell r="I296" t="b">
            <v>0</v>
          </cell>
          <cell r="J296" t="b">
            <v>0</v>
          </cell>
          <cell r="K296" t="b">
            <v>1</v>
          </cell>
          <cell r="L296" t="str">
            <v>Effect/Prefab/10_buff/EFF_buff_up</v>
          </cell>
          <cell r="M296" t="str">
            <v>icon_battle_attack</v>
          </cell>
          <cell r="N296" t="str">
            <v>Buff.Name.NormalDamage.Up.04</v>
          </cell>
          <cell r="O296" t="str">
            <v>Buff.Desc.NormalDamage.Up.04</v>
          </cell>
        </row>
        <row r="297">
          <cell r="A297" t="str">
            <v>NormalDamage.Up.05</v>
          </cell>
          <cell r="B297"/>
          <cell r="C297"/>
          <cell r="D297">
            <v>0</v>
          </cell>
          <cell r="E297">
            <v>0</v>
          </cell>
          <cell r="F297">
            <v>0</v>
          </cell>
          <cell r="G297" t="str">
            <v>none</v>
          </cell>
          <cell r="H297"/>
          <cell r="I297" t="b">
            <v>0</v>
          </cell>
          <cell r="J297" t="b">
            <v>0</v>
          </cell>
          <cell r="K297" t="b">
            <v>1</v>
          </cell>
          <cell r="L297" t="str">
            <v>Effect/Prefab/10_buff/EFF_buff_up</v>
          </cell>
          <cell r="M297" t="str">
            <v>icon_battle_attack</v>
          </cell>
          <cell r="N297" t="str">
            <v>Buff.Name.NormalDamage.Up.05</v>
          </cell>
          <cell r="O297" t="str">
            <v>Buff.Desc.NormalDamage.Up.05</v>
          </cell>
        </row>
        <row r="298">
          <cell r="A298" t="str">
            <v>NormalDamage.Up.06</v>
          </cell>
          <cell r="B298"/>
          <cell r="C298"/>
          <cell r="D298">
            <v>0</v>
          </cell>
          <cell r="E298">
            <v>0</v>
          </cell>
          <cell r="F298">
            <v>0</v>
          </cell>
          <cell r="G298" t="str">
            <v>none</v>
          </cell>
          <cell r="H298"/>
          <cell r="I298" t="b">
            <v>0</v>
          </cell>
          <cell r="J298" t="b">
            <v>0</v>
          </cell>
          <cell r="K298" t="b">
            <v>1</v>
          </cell>
          <cell r="L298" t="str">
            <v>Effect/Prefab/10_buff/EFF_buff_up</v>
          </cell>
          <cell r="M298" t="str">
            <v>icon_battle_attack</v>
          </cell>
          <cell r="N298" t="str">
            <v>Buff.Name.NormalDamage.Up.06</v>
          </cell>
          <cell r="O298" t="str">
            <v>Buff.Desc.NormalDamage.Up.06</v>
          </cell>
        </row>
        <row r="299">
          <cell r="A299" t="str">
            <v>NormalDamage.Up.07</v>
          </cell>
          <cell r="B299"/>
          <cell r="C299"/>
          <cell r="D299">
            <v>0</v>
          </cell>
          <cell r="E299">
            <v>0</v>
          </cell>
          <cell r="F299">
            <v>0</v>
          </cell>
          <cell r="G299" t="str">
            <v>none</v>
          </cell>
          <cell r="H299"/>
          <cell r="I299" t="b">
            <v>0</v>
          </cell>
          <cell r="J299" t="b">
            <v>0</v>
          </cell>
          <cell r="K299" t="b">
            <v>1</v>
          </cell>
          <cell r="L299" t="str">
            <v>Effect/Prefab/10_buff/EFF_buff_up</v>
          </cell>
          <cell r="M299" t="str">
            <v>icon_battle_attack</v>
          </cell>
          <cell r="N299" t="str">
            <v>Buff.Name.NormalDamage.Up.07</v>
          </cell>
          <cell r="O299" t="str">
            <v>Buff.Desc.NormalDamage.Up.07</v>
          </cell>
        </row>
        <row r="300">
          <cell r="A300" t="str">
            <v>NormalDamage.Up.08</v>
          </cell>
          <cell r="B300"/>
          <cell r="C300"/>
          <cell r="D300">
            <v>0</v>
          </cell>
          <cell r="E300">
            <v>0</v>
          </cell>
          <cell r="F300">
            <v>0</v>
          </cell>
          <cell r="G300" t="str">
            <v>none</v>
          </cell>
          <cell r="H300"/>
          <cell r="I300" t="b">
            <v>0</v>
          </cell>
          <cell r="J300" t="b">
            <v>0</v>
          </cell>
          <cell r="K300" t="b">
            <v>1</v>
          </cell>
          <cell r="L300" t="str">
            <v>Effect/Prefab/10_buff/EFF_buff_up</v>
          </cell>
          <cell r="M300" t="str">
            <v>icon_battle_attack</v>
          </cell>
          <cell r="N300" t="str">
            <v>Buff.Name.NormalDamage.Up.08</v>
          </cell>
          <cell r="O300" t="str">
            <v>Buff.Desc.NormalDamage.Up.08</v>
          </cell>
        </row>
        <row r="301">
          <cell r="A301" t="str">
            <v>NormalDamage.Up.09</v>
          </cell>
          <cell r="B301"/>
          <cell r="C301"/>
          <cell r="D301">
            <v>0</v>
          </cell>
          <cell r="E301">
            <v>0</v>
          </cell>
          <cell r="F301">
            <v>0</v>
          </cell>
          <cell r="G301" t="str">
            <v>none</v>
          </cell>
          <cell r="H301"/>
          <cell r="I301" t="b">
            <v>0</v>
          </cell>
          <cell r="J301" t="b">
            <v>0</v>
          </cell>
          <cell r="K301" t="b">
            <v>1</v>
          </cell>
          <cell r="L301" t="str">
            <v>Effect/Prefab/10_buff/EFF_buff_up</v>
          </cell>
          <cell r="M301" t="str">
            <v>icon_battle_attack</v>
          </cell>
          <cell r="N301" t="str">
            <v>Buff.Name.NormalDamage.Up.09</v>
          </cell>
          <cell r="O301" t="str">
            <v>Buff.Desc.NormalDamage.Up.09</v>
          </cell>
        </row>
        <row r="302">
          <cell r="A302" t="str">
            <v>NormalDamage.Up.10</v>
          </cell>
          <cell r="B302"/>
          <cell r="C302"/>
          <cell r="D302">
            <v>0</v>
          </cell>
          <cell r="E302">
            <v>0</v>
          </cell>
          <cell r="F302">
            <v>0</v>
          </cell>
          <cell r="G302" t="str">
            <v>none</v>
          </cell>
          <cell r="H302"/>
          <cell r="I302" t="b">
            <v>0</v>
          </cell>
          <cell r="J302" t="b">
            <v>0</v>
          </cell>
          <cell r="K302" t="b">
            <v>1</v>
          </cell>
          <cell r="L302" t="str">
            <v>Effect/Prefab/10_buff/EFF_buff_up</v>
          </cell>
          <cell r="M302" t="str">
            <v>icon_battle_attack</v>
          </cell>
          <cell r="N302" t="str">
            <v>Buff.Name.NormalDamage.Up.10</v>
          </cell>
          <cell r="O302" t="str">
            <v>Buff.Desc.NormalDamage.Up.10</v>
          </cell>
        </row>
        <row r="303">
          <cell r="A303" t="str">
            <v>GuardDerate.Up</v>
          </cell>
          <cell r="B303"/>
          <cell r="C303"/>
          <cell r="D303">
            <v>0</v>
          </cell>
          <cell r="E303">
            <v>0</v>
          </cell>
          <cell r="F303">
            <v>0</v>
          </cell>
          <cell r="G303" t="str">
            <v>none</v>
          </cell>
          <cell r="H303"/>
          <cell r="I303" t="b">
            <v>0</v>
          </cell>
          <cell r="J303" t="b">
            <v>0</v>
          </cell>
          <cell r="K303" t="b">
            <v>1</v>
          </cell>
          <cell r="L303" t="str">
            <v>Effect/Prefab/10_buff/EFF_buff_up</v>
          </cell>
          <cell r="M303" t="str">
            <v>icon_battle_ignoredefense</v>
          </cell>
          <cell r="N303" t="str">
            <v>Buff.Name.GuardDerate.Up.00</v>
          </cell>
          <cell r="O303" t="str">
            <v>Buff.Desc.GuardDerate.Up.00</v>
          </cell>
        </row>
        <row r="304">
          <cell r="A304" t="str">
            <v>GuardDerate.Up.01</v>
          </cell>
          <cell r="B304"/>
          <cell r="C304"/>
          <cell r="D304">
            <v>0</v>
          </cell>
          <cell r="E304">
            <v>0</v>
          </cell>
          <cell r="F304">
            <v>0</v>
          </cell>
          <cell r="G304" t="str">
            <v>none</v>
          </cell>
          <cell r="H304"/>
          <cell r="I304" t="b">
            <v>0</v>
          </cell>
          <cell r="J304" t="b">
            <v>0</v>
          </cell>
          <cell r="K304" t="b">
            <v>1</v>
          </cell>
          <cell r="L304" t="str">
            <v>Effect/Prefab/10_buff/EFF_buff_up</v>
          </cell>
          <cell r="M304" t="str">
            <v>icon_battle_ignoredefense</v>
          </cell>
          <cell r="N304" t="str">
            <v>Buff.Name.GuardDerate.Up.01</v>
          </cell>
          <cell r="O304" t="str">
            <v>Buff.Desc.GuardDerate.Up.01</v>
          </cell>
        </row>
        <row r="305">
          <cell r="A305" t="str">
            <v>GuardDerate.Up.02</v>
          </cell>
          <cell r="B305"/>
          <cell r="C305"/>
          <cell r="D305">
            <v>0</v>
          </cell>
          <cell r="E305">
            <v>0</v>
          </cell>
          <cell r="F305">
            <v>0</v>
          </cell>
          <cell r="G305" t="str">
            <v>none</v>
          </cell>
          <cell r="H305"/>
          <cell r="I305" t="b">
            <v>0</v>
          </cell>
          <cell r="J305" t="b">
            <v>0</v>
          </cell>
          <cell r="K305" t="b">
            <v>1</v>
          </cell>
          <cell r="L305" t="str">
            <v>Effect/Prefab/10_buff/EFF_buff_up</v>
          </cell>
          <cell r="M305" t="str">
            <v>icon_battle_ignoredefense</v>
          </cell>
          <cell r="N305" t="str">
            <v>Buff.Name.GuardDerate.Up.02</v>
          </cell>
          <cell r="O305" t="str">
            <v>Buff.Desc.GuardDerate.Up.02</v>
          </cell>
        </row>
        <row r="306">
          <cell r="A306" t="str">
            <v>GuardDerate.Up.03</v>
          </cell>
          <cell r="B306"/>
          <cell r="C306"/>
          <cell r="D306">
            <v>0</v>
          </cell>
          <cell r="E306">
            <v>0</v>
          </cell>
          <cell r="F306">
            <v>0</v>
          </cell>
          <cell r="G306" t="str">
            <v>none</v>
          </cell>
          <cell r="H306"/>
          <cell r="I306" t="b">
            <v>0</v>
          </cell>
          <cell r="J306" t="b">
            <v>0</v>
          </cell>
          <cell r="K306" t="b">
            <v>1</v>
          </cell>
          <cell r="L306" t="str">
            <v>Effect/Prefab/10_buff/EFF_buff_up</v>
          </cell>
          <cell r="M306" t="str">
            <v>icon_battle_ignoredefense</v>
          </cell>
          <cell r="N306" t="str">
            <v>Buff.Name.GuardDerate.Up.03</v>
          </cell>
          <cell r="O306" t="str">
            <v>Buff.Desc.GuardDerate.Up.03</v>
          </cell>
        </row>
        <row r="307">
          <cell r="A307" t="str">
            <v>GuardDerate.Up.04</v>
          </cell>
          <cell r="B307"/>
          <cell r="C307"/>
          <cell r="D307">
            <v>0</v>
          </cell>
          <cell r="E307">
            <v>0</v>
          </cell>
          <cell r="F307">
            <v>0</v>
          </cell>
          <cell r="G307" t="str">
            <v>none</v>
          </cell>
          <cell r="H307"/>
          <cell r="I307" t="b">
            <v>0</v>
          </cell>
          <cell r="J307" t="b">
            <v>0</v>
          </cell>
          <cell r="K307" t="b">
            <v>1</v>
          </cell>
          <cell r="L307" t="str">
            <v>Effect/Prefab/10_buff/EFF_buff_up</v>
          </cell>
          <cell r="M307" t="str">
            <v>icon_battle_ignoredefense</v>
          </cell>
          <cell r="N307" t="str">
            <v>Buff.Name.GuardDerate.Up.04</v>
          </cell>
          <cell r="O307" t="str">
            <v>Buff.Desc.GuardDerate.Up.04</v>
          </cell>
        </row>
        <row r="308">
          <cell r="A308" t="str">
            <v>GuardDerate.Up.05</v>
          </cell>
          <cell r="B308"/>
          <cell r="C308"/>
          <cell r="D308">
            <v>0</v>
          </cell>
          <cell r="E308">
            <v>0</v>
          </cell>
          <cell r="F308">
            <v>0</v>
          </cell>
          <cell r="G308" t="str">
            <v>none</v>
          </cell>
          <cell r="H308"/>
          <cell r="I308" t="b">
            <v>0</v>
          </cell>
          <cell r="J308" t="b">
            <v>0</v>
          </cell>
          <cell r="K308" t="b">
            <v>1</v>
          </cell>
          <cell r="L308" t="str">
            <v>Effect/Prefab/10_buff/EFF_buff_up</v>
          </cell>
          <cell r="M308" t="str">
            <v>icon_battle_ignoredefense</v>
          </cell>
          <cell r="N308" t="str">
            <v>Buff.Name.GuardDerate.Up.05</v>
          </cell>
          <cell r="O308" t="str">
            <v>Buff.Desc.GuardDerate.Up.05</v>
          </cell>
        </row>
        <row r="309">
          <cell r="A309" t="str">
            <v>ActiveDamage.Up</v>
          </cell>
          <cell r="B309"/>
          <cell r="C309"/>
          <cell r="D309">
            <v>0</v>
          </cell>
          <cell r="E309">
            <v>0</v>
          </cell>
          <cell r="F309">
            <v>0</v>
          </cell>
          <cell r="G309" t="str">
            <v>none</v>
          </cell>
          <cell r="H309"/>
          <cell r="I309" t="b">
            <v>0</v>
          </cell>
          <cell r="J309" t="b">
            <v>0</v>
          </cell>
          <cell r="K309" t="b">
            <v>1</v>
          </cell>
          <cell r="L309" t="str">
            <v>Effect/Prefab/10_buff/EFF_buff_up</v>
          </cell>
          <cell r="M309" t="str">
            <v>icon_battle_skill_damage</v>
          </cell>
          <cell r="N309" t="str">
            <v>Buff.Name.ActiveDamage.Up.00</v>
          </cell>
          <cell r="O309" t="str">
            <v>Buff.Desc.ActiveDamage.Up.00</v>
          </cell>
        </row>
        <row r="310">
          <cell r="A310" t="str">
            <v>ActiveDamage.Up.01</v>
          </cell>
          <cell r="B310"/>
          <cell r="C310"/>
          <cell r="D310">
            <v>0</v>
          </cell>
          <cell r="E310">
            <v>0</v>
          </cell>
          <cell r="F310">
            <v>0</v>
          </cell>
          <cell r="G310" t="str">
            <v>none</v>
          </cell>
          <cell r="H310"/>
          <cell r="I310" t="b">
            <v>0</v>
          </cell>
          <cell r="J310" t="b">
            <v>0</v>
          </cell>
          <cell r="K310" t="b">
            <v>1</v>
          </cell>
          <cell r="L310" t="str">
            <v>Effect/Prefab/10_buff/EFF_buff_up</v>
          </cell>
          <cell r="M310" t="str">
            <v>icon_battle_skill_damage</v>
          </cell>
          <cell r="N310" t="str">
            <v>Buff.Name.ActiveDamage.Up.01</v>
          </cell>
          <cell r="O310" t="str">
            <v>Buff.Desc.ActiveDamage.Up.01</v>
          </cell>
        </row>
        <row r="311">
          <cell r="A311" t="str">
            <v>ActiveDamage.Up.02</v>
          </cell>
          <cell r="B311"/>
          <cell r="C311"/>
          <cell r="D311">
            <v>0</v>
          </cell>
          <cell r="E311">
            <v>0</v>
          </cell>
          <cell r="F311">
            <v>0</v>
          </cell>
          <cell r="G311" t="str">
            <v>none</v>
          </cell>
          <cell r="H311"/>
          <cell r="I311" t="b">
            <v>0</v>
          </cell>
          <cell r="J311" t="b">
            <v>0</v>
          </cell>
          <cell r="K311" t="b">
            <v>1</v>
          </cell>
          <cell r="L311" t="str">
            <v>Effect/Prefab/10_buff/EFF_buff_up</v>
          </cell>
          <cell r="M311" t="str">
            <v>icon_battle_skill_damage</v>
          </cell>
          <cell r="N311" t="str">
            <v>Buff.Name.ActiveDamage.Up.02</v>
          </cell>
          <cell r="O311" t="str">
            <v>Buff.Desc.ActiveDamage.Up.02</v>
          </cell>
        </row>
        <row r="312">
          <cell r="A312" t="str">
            <v>ActiveDamage.Up.03</v>
          </cell>
          <cell r="B312"/>
          <cell r="C312"/>
          <cell r="D312">
            <v>0</v>
          </cell>
          <cell r="E312">
            <v>0</v>
          </cell>
          <cell r="F312">
            <v>0</v>
          </cell>
          <cell r="G312" t="str">
            <v>none</v>
          </cell>
          <cell r="H312"/>
          <cell r="I312" t="b">
            <v>0</v>
          </cell>
          <cell r="J312" t="b">
            <v>0</v>
          </cell>
          <cell r="K312" t="b">
            <v>1</v>
          </cell>
          <cell r="L312" t="str">
            <v>Effect/Prefab/10_buff/EFF_buff_up</v>
          </cell>
          <cell r="M312" t="str">
            <v>icon_battle_skill_damage</v>
          </cell>
          <cell r="N312" t="str">
            <v>Buff.Name.ActiveDamage.Up.03</v>
          </cell>
          <cell r="O312" t="str">
            <v>Buff.Desc.ActiveDamage.Up.03</v>
          </cell>
        </row>
        <row r="313">
          <cell r="A313" t="str">
            <v>ActiveDamage.Up.04</v>
          </cell>
          <cell r="B313"/>
          <cell r="C313"/>
          <cell r="D313">
            <v>0</v>
          </cell>
          <cell r="E313">
            <v>0</v>
          </cell>
          <cell r="F313">
            <v>0</v>
          </cell>
          <cell r="G313" t="str">
            <v>none</v>
          </cell>
          <cell r="H313"/>
          <cell r="I313" t="b">
            <v>0</v>
          </cell>
          <cell r="J313" t="b">
            <v>0</v>
          </cell>
          <cell r="K313" t="b">
            <v>1</v>
          </cell>
          <cell r="L313" t="str">
            <v>Effect/Prefab/10_buff/EFF_buff_up</v>
          </cell>
          <cell r="M313" t="str">
            <v>icon_battle_skill_damage</v>
          </cell>
          <cell r="N313" t="str">
            <v>Buff.Name.ActiveDamage.Up.04</v>
          </cell>
          <cell r="O313" t="str">
            <v>Buff.Desc.ActiveDamage.Up.04</v>
          </cell>
        </row>
        <row r="314">
          <cell r="A314" t="str">
            <v>ActiveDamage.Up.05</v>
          </cell>
          <cell r="B314"/>
          <cell r="C314"/>
          <cell r="D314">
            <v>0</v>
          </cell>
          <cell r="E314">
            <v>0</v>
          </cell>
          <cell r="F314">
            <v>0</v>
          </cell>
          <cell r="G314" t="str">
            <v>none</v>
          </cell>
          <cell r="H314"/>
          <cell r="I314" t="b">
            <v>0</v>
          </cell>
          <cell r="J314" t="b">
            <v>0</v>
          </cell>
          <cell r="K314" t="b">
            <v>1</v>
          </cell>
          <cell r="L314" t="str">
            <v>Effect/Prefab/10_buff/EFF_buff_up</v>
          </cell>
          <cell r="M314" t="str">
            <v>icon_battle_skill_damage</v>
          </cell>
          <cell r="N314" t="str">
            <v>Buff.Name.ActiveDamage.Up.05</v>
          </cell>
          <cell r="O314" t="str">
            <v>Buff.Desc.ActiveDamage.Up.05</v>
          </cell>
        </row>
        <row r="315">
          <cell r="A315" t="str">
            <v>UltDamage.Up</v>
          </cell>
          <cell r="B315"/>
          <cell r="C315"/>
          <cell r="D315">
            <v>0</v>
          </cell>
          <cell r="E315">
            <v>0</v>
          </cell>
          <cell r="F315">
            <v>0</v>
          </cell>
          <cell r="G315" t="str">
            <v>none</v>
          </cell>
          <cell r="H315"/>
          <cell r="I315" t="b">
            <v>0</v>
          </cell>
          <cell r="J315" t="b">
            <v>0</v>
          </cell>
          <cell r="K315" t="b">
            <v>1</v>
          </cell>
          <cell r="L315" t="str">
            <v>Effect/Prefab/10_buff/EFF_buff_up</v>
          </cell>
          <cell r="M315" t="str">
            <v>icon_battle_skill_damage</v>
          </cell>
          <cell r="N315" t="str">
            <v>Buff.Name.UltDamage.Up.00</v>
          </cell>
          <cell r="O315" t="str">
            <v>Buff.Desc.UltDamage.Up.00</v>
          </cell>
        </row>
        <row r="316">
          <cell r="A316" t="str">
            <v>UltDamage.Up.01</v>
          </cell>
          <cell r="B316"/>
          <cell r="C316"/>
          <cell r="D316">
            <v>0</v>
          </cell>
          <cell r="E316">
            <v>0</v>
          </cell>
          <cell r="F316">
            <v>0</v>
          </cell>
          <cell r="G316" t="str">
            <v>none</v>
          </cell>
          <cell r="H316"/>
          <cell r="I316" t="b">
            <v>0</v>
          </cell>
          <cell r="J316" t="b">
            <v>0</v>
          </cell>
          <cell r="K316" t="b">
            <v>1</v>
          </cell>
          <cell r="L316" t="str">
            <v>Effect/Prefab/10_buff/EFF_buff_up</v>
          </cell>
          <cell r="M316" t="str">
            <v>icon_battle_skill_damage</v>
          </cell>
          <cell r="N316" t="str">
            <v>Buff.Name.UltDamage.Up.01</v>
          </cell>
          <cell r="O316" t="str">
            <v>Buff.Desc.UltDamage.Up.01</v>
          </cell>
        </row>
        <row r="317">
          <cell r="A317" t="str">
            <v>UltDamage.Up.02</v>
          </cell>
          <cell r="B317"/>
          <cell r="C317"/>
          <cell r="D317">
            <v>0</v>
          </cell>
          <cell r="E317">
            <v>0</v>
          </cell>
          <cell r="F317">
            <v>0</v>
          </cell>
          <cell r="G317" t="str">
            <v>none</v>
          </cell>
          <cell r="H317"/>
          <cell r="I317" t="b">
            <v>0</v>
          </cell>
          <cell r="J317" t="b">
            <v>0</v>
          </cell>
          <cell r="K317" t="b">
            <v>1</v>
          </cell>
          <cell r="L317" t="str">
            <v>Effect/Prefab/10_buff/EFF_buff_up</v>
          </cell>
          <cell r="M317" t="str">
            <v>icon_battle_skill_damage</v>
          </cell>
          <cell r="N317" t="str">
            <v>Buff.Name.UltDamage.Up.02</v>
          </cell>
          <cell r="O317" t="str">
            <v>Buff.Desc.UltDamage.Up.02</v>
          </cell>
        </row>
        <row r="318">
          <cell r="A318" t="str">
            <v>UltDamage.Up.03</v>
          </cell>
          <cell r="B318"/>
          <cell r="C318"/>
          <cell r="D318">
            <v>0</v>
          </cell>
          <cell r="E318">
            <v>0</v>
          </cell>
          <cell r="F318">
            <v>0</v>
          </cell>
          <cell r="G318" t="str">
            <v>none</v>
          </cell>
          <cell r="H318"/>
          <cell r="I318" t="b">
            <v>0</v>
          </cell>
          <cell r="J318" t="b">
            <v>0</v>
          </cell>
          <cell r="K318" t="b">
            <v>1</v>
          </cell>
          <cell r="L318" t="str">
            <v>Effect/Prefab/10_buff/EFF_buff_up</v>
          </cell>
          <cell r="M318" t="str">
            <v>icon_battle_skill_damage</v>
          </cell>
          <cell r="N318" t="str">
            <v>Buff.Name.UltDamage.Up.03</v>
          </cell>
          <cell r="O318" t="str">
            <v>Buff.Desc.UltDamage.Up.03</v>
          </cell>
        </row>
        <row r="319">
          <cell r="A319" t="str">
            <v>UltDamage.Up.04</v>
          </cell>
          <cell r="B319"/>
          <cell r="C319"/>
          <cell r="D319">
            <v>0</v>
          </cell>
          <cell r="E319">
            <v>0</v>
          </cell>
          <cell r="F319">
            <v>0</v>
          </cell>
          <cell r="G319" t="str">
            <v>none</v>
          </cell>
          <cell r="H319"/>
          <cell r="I319" t="b">
            <v>0</v>
          </cell>
          <cell r="J319" t="b">
            <v>0</v>
          </cell>
          <cell r="K319" t="b">
            <v>1</v>
          </cell>
          <cell r="L319" t="str">
            <v>Effect/Prefab/10_buff/EFF_buff_up</v>
          </cell>
          <cell r="M319" t="str">
            <v>icon_battle_skill_damage</v>
          </cell>
          <cell r="N319" t="str">
            <v>Buff.Name.UltDamage.Up.04</v>
          </cell>
          <cell r="O319" t="str">
            <v>Buff.Desc.UltDamage.Up.04</v>
          </cell>
        </row>
        <row r="320">
          <cell r="A320" t="str">
            <v>UltDamage.Up.05</v>
          </cell>
          <cell r="B320"/>
          <cell r="C320"/>
          <cell r="D320">
            <v>0</v>
          </cell>
          <cell r="E320">
            <v>0</v>
          </cell>
          <cell r="F320">
            <v>0</v>
          </cell>
          <cell r="G320" t="str">
            <v>none</v>
          </cell>
          <cell r="H320"/>
          <cell r="I320" t="b">
            <v>0</v>
          </cell>
          <cell r="J320" t="b">
            <v>0</v>
          </cell>
          <cell r="K320" t="b">
            <v>1</v>
          </cell>
          <cell r="L320" t="str">
            <v>Effect/Prefab/10_buff/EFF_buff_up</v>
          </cell>
          <cell r="M320" t="str">
            <v>icon_battle_skill_damage</v>
          </cell>
          <cell r="N320" t="str">
            <v>Buff.Name.UltDamage.Up.05</v>
          </cell>
          <cell r="O320" t="str">
            <v>Buff.Desc.UltDamage.Up.05</v>
          </cell>
        </row>
        <row r="321">
          <cell r="A321" t="str">
            <v>IgnoreDefense.Up.00</v>
          </cell>
          <cell r="B321"/>
          <cell r="C321"/>
          <cell r="D321">
            <v>0</v>
          </cell>
          <cell r="E321">
            <v>0</v>
          </cell>
          <cell r="F321">
            <v>0</v>
          </cell>
          <cell r="G321" t="str">
            <v>none</v>
          </cell>
          <cell r="H321"/>
          <cell r="I321" t="b">
            <v>0</v>
          </cell>
          <cell r="J321" t="b">
            <v>0</v>
          </cell>
          <cell r="K321" t="b">
            <v>1</v>
          </cell>
          <cell r="L321" t="str">
            <v>Effect/Prefab/10_buff/EFF_buff_up</v>
          </cell>
          <cell r="M321" t="str">
            <v>icon_battle_ignoredefense</v>
          </cell>
          <cell r="N321" t="str">
            <v>Buff.Name.IgnoreDefense.Up.00</v>
          </cell>
          <cell r="O321" t="str">
            <v>Buff.Desc.IgnoreDefense.Up.00</v>
          </cell>
        </row>
        <row r="322">
          <cell r="A322"/>
        </row>
        <row r="323">
          <cell r="A323" t="str">
            <v>Atk.Down</v>
          </cell>
          <cell r="B323"/>
          <cell r="C323"/>
          <cell r="D323">
            <v>0</v>
          </cell>
          <cell r="E323">
            <v>0</v>
          </cell>
          <cell r="F323">
            <v>0</v>
          </cell>
          <cell r="G323" t="str">
            <v>none</v>
          </cell>
          <cell r="H323"/>
          <cell r="I323" t="b">
            <v>0</v>
          </cell>
          <cell r="J323" t="b">
            <v>0</v>
          </cell>
          <cell r="K323" t="b">
            <v>0</v>
          </cell>
          <cell r="L323" t="str">
            <v>Effect/Prefab/10_buff/EFF_debuff_down</v>
          </cell>
          <cell r="M323" t="str">
            <v>icon_battle_attack</v>
          </cell>
          <cell r="N323" t="str">
            <v>Buff.Name.Atk.Down.00</v>
          </cell>
          <cell r="O323" t="str">
            <v>Buff.Desc.Atk.Down.00</v>
          </cell>
        </row>
        <row r="324">
          <cell r="A324" t="str">
            <v>Atk.Down.01</v>
          </cell>
          <cell r="B324"/>
          <cell r="C324"/>
          <cell r="D324">
            <v>0</v>
          </cell>
          <cell r="E324">
            <v>0</v>
          </cell>
          <cell r="F324">
            <v>0</v>
          </cell>
          <cell r="G324" t="str">
            <v>none</v>
          </cell>
          <cell r="H324"/>
          <cell r="I324" t="b">
            <v>0</v>
          </cell>
          <cell r="J324" t="b">
            <v>0</v>
          </cell>
          <cell r="K324" t="b">
            <v>0</v>
          </cell>
          <cell r="L324" t="str">
            <v>Effect/Prefab/10_buff/EFF_debuff_atk_down</v>
          </cell>
          <cell r="M324" t="str">
            <v>icon_battle_attack</v>
          </cell>
          <cell r="N324" t="str">
            <v>Buff.Name.Atk.Down.01</v>
          </cell>
          <cell r="O324" t="str">
            <v>Buff.Desc.Atk.Down.01</v>
          </cell>
        </row>
        <row r="325">
          <cell r="A325" t="str">
            <v>Atk.Down.02</v>
          </cell>
          <cell r="B325"/>
          <cell r="C325"/>
          <cell r="D325">
            <v>0</v>
          </cell>
          <cell r="E325">
            <v>0</v>
          </cell>
          <cell r="F325">
            <v>0</v>
          </cell>
          <cell r="G325" t="str">
            <v>none</v>
          </cell>
          <cell r="H325"/>
          <cell r="I325" t="b">
            <v>0</v>
          </cell>
          <cell r="J325" t="b">
            <v>0</v>
          </cell>
          <cell r="K325" t="b">
            <v>0</v>
          </cell>
          <cell r="L325" t="str">
            <v>Effect/Prefab/10_buff/EFF_debuff_atk_down</v>
          </cell>
          <cell r="M325" t="str">
            <v>icon_battle_attack</v>
          </cell>
          <cell r="N325" t="str">
            <v>Buff.Name.Atk.Down.02</v>
          </cell>
          <cell r="O325" t="str">
            <v>Buff.Desc.Atk.Down.02</v>
          </cell>
        </row>
        <row r="326">
          <cell r="A326" t="str">
            <v>Atk.Down.03</v>
          </cell>
          <cell r="B326"/>
          <cell r="C326"/>
          <cell r="D326">
            <v>0</v>
          </cell>
          <cell r="E326">
            <v>0</v>
          </cell>
          <cell r="F326">
            <v>0</v>
          </cell>
          <cell r="G326" t="str">
            <v>none</v>
          </cell>
          <cell r="H326"/>
          <cell r="I326" t="b">
            <v>0</v>
          </cell>
          <cell r="J326" t="b">
            <v>0</v>
          </cell>
          <cell r="K326" t="b">
            <v>0</v>
          </cell>
          <cell r="L326" t="str">
            <v>Effect/Prefab/10_buff/EFF_debuff_atk_down</v>
          </cell>
          <cell r="M326" t="str">
            <v>icon_battle_attack</v>
          </cell>
          <cell r="N326" t="str">
            <v>Buff.Name.Atk.Down.03</v>
          </cell>
          <cell r="O326" t="str">
            <v>Buff.Desc.Atk.Down.03</v>
          </cell>
        </row>
        <row r="327">
          <cell r="A327" t="str">
            <v>Atk.Down.04</v>
          </cell>
          <cell r="B327"/>
          <cell r="C327"/>
          <cell r="D327">
            <v>0</v>
          </cell>
          <cell r="E327">
            <v>0</v>
          </cell>
          <cell r="F327">
            <v>0</v>
          </cell>
          <cell r="G327" t="str">
            <v>none</v>
          </cell>
          <cell r="H327"/>
          <cell r="I327" t="b">
            <v>0</v>
          </cell>
          <cell r="J327" t="b">
            <v>0</v>
          </cell>
          <cell r="K327" t="b">
            <v>0</v>
          </cell>
          <cell r="L327" t="str">
            <v>Effect/Prefab/10_buff/EFF_debuff_atk_down</v>
          </cell>
          <cell r="M327" t="str">
            <v>icon_battle_attack</v>
          </cell>
          <cell r="N327" t="str">
            <v>Buff.Name.Atk.Down.04</v>
          </cell>
          <cell r="O327" t="str">
            <v>Buff.Desc.Atk.Down.04</v>
          </cell>
        </row>
        <row r="328">
          <cell r="A328" t="str">
            <v>Atk.Down.05</v>
          </cell>
          <cell r="B328"/>
          <cell r="C328"/>
          <cell r="D328">
            <v>0</v>
          </cell>
          <cell r="E328">
            <v>0</v>
          </cell>
          <cell r="F328">
            <v>0</v>
          </cell>
          <cell r="G328" t="str">
            <v>none</v>
          </cell>
          <cell r="H328"/>
          <cell r="I328" t="b">
            <v>0</v>
          </cell>
          <cell r="J328" t="b">
            <v>0</v>
          </cell>
          <cell r="K328" t="b">
            <v>0</v>
          </cell>
          <cell r="L328" t="str">
            <v>Effect/Prefab/10_buff/EFF_debuff_atk_down</v>
          </cell>
          <cell r="M328" t="str">
            <v>icon_battle_attack</v>
          </cell>
          <cell r="N328" t="str">
            <v>Buff.Name.Atk.Down.05</v>
          </cell>
          <cell r="O328" t="str">
            <v>Buff.Desc.Atk.Down.05</v>
          </cell>
        </row>
        <row r="329">
          <cell r="A329" t="str">
            <v>Def.Down</v>
          </cell>
          <cell r="B329"/>
          <cell r="C329"/>
          <cell r="D329">
            <v>0</v>
          </cell>
          <cell r="E329">
            <v>0</v>
          </cell>
          <cell r="F329">
            <v>0</v>
          </cell>
          <cell r="G329" t="str">
            <v>none</v>
          </cell>
          <cell r="H329"/>
          <cell r="I329" t="b">
            <v>0</v>
          </cell>
          <cell r="J329" t="b">
            <v>0</v>
          </cell>
          <cell r="K329" t="b">
            <v>0</v>
          </cell>
          <cell r="L329" t="str">
            <v>Effect/Prefab/10_buff/EFF_debuff_down</v>
          </cell>
          <cell r="M329" t="str">
            <v>icon_battle_defense</v>
          </cell>
          <cell r="N329" t="str">
            <v>Buff.Name.Def.Down.00</v>
          </cell>
          <cell r="O329" t="str">
            <v>Buff.Desc.Def.Down.00</v>
          </cell>
        </row>
        <row r="330">
          <cell r="A330" t="str">
            <v>Def.Down.01</v>
          </cell>
          <cell r="B330"/>
          <cell r="C330"/>
          <cell r="D330">
            <v>0</v>
          </cell>
          <cell r="E330">
            <v>0</v>
          </cell>
          <cell r="F330">
            <v>0</v>
          </cell>
          <cell r="G330" t="str">
            <v>none</v>
          </cell>
          <cell r="H330"/>
          <cell r="I330" t="b">
            <v>0</v>
          </cell>
          <cell r="J330" t="b">
            <v>0</v>
          </cell>
          <cell r="K330" t="b">
            <v>0</v>
          </cell>
          <cell r="L330" t="str">
            <v>Effect/Prefab/10_buff/EFF_debuff_defdown</v>
          </cell>
          <cell r="M330" t="str">
            <v>icon_battle_defense</v>
          </cell>
          <cell r="N330" t="str">
            <v>Buff.Name.Def.Down.01</v>
          </cell>
          <cell r="O330" t="str">
            <v>Buff.Desc.Def.Down.01</v>
          </cell>
        </row>
        <row r="331">
          <cell r="A331" t="str">
            <v>Def.Down.02</v>
          </cell>
          <cell r="B331"/>
          <cell r="C331"/>
          <cell r="D331">
            <v>0</v>
          </cell>
          <cell r="E331">
            <v>0</v>
          </cell>
          <cell r="F331">
            <v>0</v>
          </cell>
          <cell r="G331" t="str">
            <v>none</v>
          </cell>
          <cell r="H331"/>
          <cell r="I331" t="b">
            <v>0</v>
          </cell>
          <cell r="J331" t="b">
            <v>0</v>
          </cell>
          <cell r="K331" t="b">
            <v>0</v>
          </cell>
          <cell r="L331" t="str">
            <v>Effect/Prefab/10_buff/EFF_debuff_defdown</v>
          </cell>
          <cell r="M331" t="str">
            <v>icon_battle_defense</v>
          </cell>
          <cell r="N331" t="str">
            <v>Buff.Name.Def.Down.02</v>
          </cell>
          <cell r="O331" t="str">
            <v>Buff.Desc.Def.Down.02</v>
          </cell>
        </row>
        <row r="332">
          <cell r="A332" t="str">
            <v>Def.Down.03</v>
          </cell>
          <cell r="B332"/>
          <cell r="C332"/>
          <cell r="D332">
            <v>0</v>
          </cell>
          <cell r="E332">
            <v>0</v>
          </cell>
          <cell r="F332">
            <v>0</v>
          </cell>
          <cell r="G332" t="str">
            <v>none</v>
          </cell>
          <cell r="H332"/>
          <cell r="I332" t="b">
            <v>0</v>
          </cell>
          <cell r="J332" t="b">
            <v>0</v>
          </cell>
          <cell r="K332" t="b">
            <v>0</v>
          </cell>
          <cell r="L332" t="str">
            <v>Effect/Prefab/10_buff/EFF_debuff_defdown</v>
          </cell>
          <cell r="M332" t="str">
            <v>icon_battle_defense</v>
          </cell>
          <cell r="N332" t="str">
            <v>Buff.Name.Def.Down.03</v>
          </cell>
          <cell r="O332" t="str">
            <v>Buff.Desc.Def.Down.03</v>
          </cell>
        </row>
        <row r="333">
          <cell r="A333" t="str">
            <v>Def.Down.04</v>
          </cell>
          <cell r="B333"/>
          <cell r="C333"/>
          <cell r="D333">
            <v>0</v>
          </cell>
          <cell r="E333">
            <v>0</v>
          </cell>
          <cell r="F333">
            <v>0</v>
          </cell>
          <cell r="G333" t="str">
            <v>none</v>
          </cell>
          <cell r="H333"/>
          <cell r="I333" t="b">
            <v>0</v>
          </cell>
          <cell r="J333" t="b">
            <v>0</v>
          </cell>
          <cell r="K333" t="b">
            <v>0</v>
          </cell>
          <cell r="L333" t="str">
            <v>Effect/Prefab/10_buff/EFF_debuff_defdown</v>
          </cell>
          <cell r="M333" t="str">
            <v>icon_battle_defense</v>
          </cell>
          <cell r="N333" t="str">
            <v>Buff.Name.Def.Down.04</v>
          </cell>
          <cell r="O333" t="str">
            <v>Buff.Desc.Def.Down.04</v>
          </cell>
        </row>
        <row r="334">
          <cell r="A334" t="str">
            <v>Def.Down.05</v>
          </cell>
          <cell r="B334"/>
          <cell r="C334"/>
          <cell r="D334">
            <v>0</v>
          </cell>
          <cell r="E334">
            <v>0</v>
          </cell>
          <cell r="F334">
            <v>0</v>
          </cell>
          <cell r="G334" t="str">
            <v>none</v>
          </cell>
          <cell r="H334"/>
          <cell r="I334" t="b">
            <v>0</v>
          </cell>
          <cell r="J334" t="b">
            <v>0</v>
          </cell>
          <cell r="K334" t="b">
            <v>0</v>
          </cell>
          <cell r="L334" t="str">
            <v>Effect/Prefab/10_buff/EFF_debuff_defdown</v>
          </cell>
          <cell r="M334" t="str">
            <v>icon_battle_defense</v>
          </cell>
          <cell r="N334" t="str">
            <v>Buff.Name.Def.Down.05</v>
          </cell>
          <cell r="O334" t="str">
            <v>Buff.Desc.Def.Down.05</v>
          </cell>
        </row>
        <row r="335">
          <cell r="A335" t="str">
            <v>Critical.Down</v>
          </cell>
          <cell r="B335"/>
          <cell r="C335"/>
          <cell r="D335">
            <v>0</v>
          </cell>
          <cell r="E335">
            <v>0</v>
          </cell>
          <cell r="F335">
            <v>0</v>
          </cell>
          <cell r="G335" t="str">
            <v>none</v>
          </cell>
          <cell r="H335"/>
          <cell r="I335" t="b">
            <v>0</v>
          </cell>
          <cell r="J335" t="b">
            <v>0</v>
          </cell>
          <cell r="K335" t="b">
            <v>0</v>
          </cell>
          <cell r="L335" t="str">
            <v>Effect/Prefab/10_buff/EFF_debuff_down</v>
          </cell>
          <cell r="M335" t="str">
            <v>icon_battle_critical</v>
          </cell>
          <cell r="N335" t="str">
            <v>Buff.Name.Critical.Down.00</v>
          </cell>
          <cell r="O335" t="str">
            <v>Buff.Desc.Critical.Down.00</v>
          </cell>
        </row>
        <row r="336">
          <cell r="A336" t="str">
            <v>Critical.Down.01</v>
          </cell>
          <cell r="B336"/>
          <cell r="C336"/>
          <cell r="D336">
            <v>0</v>
          </cell>
          <cell r="E336">
            <v>0</v>
          </cell>
          <cell r="F336">
            <v>0</v>
          </cell>
          <cell r="G336" t="str">
            <v>none</v>
          </cell>
          <cell r="H336"/>
          <cell r="I336" t="b">
            <v>0</v>
          </cell>
          <cell r="J336" t="b">
            <v>0</v>
          </cell>
          <cell r="K336" t="b">
            <v>0</v>
          </cell>
          <cell r="L336" t="str">
            <v>Effect/Prefab/10_buff/EFF_debuff_down</v>
          </cell>
          <cell r="M336" t="str">
            <v>icon_battle_critical</v>
          </cell>
          <cell r="N336" t="str">
            <v>Buff.Name.Critical.Down.01</v>
          </cell>
          <cell r="O336" t="str">
            <v>Buff.Desc.Critical.Down.01</v>
          </cell>
        </row>
        <row r="337">
          <cell r="A337" t="str">
            <v>Critical.Down.02</v>
          </cell>
          <cell r="B337"/>
          <cell r="C337"/>
          <cell r="D337">
            <v>0</v>
          </cell>
          <cell r="E337">
            <v>0</v>
          </cell>
          <cell r="F337">
            <v>0</v>
          </cell>
          <cell r="G337" t="str">
            <v>none</v>
          </cell>
          <cell r="H337"/>
          <cell r="I337" t="b">
            <v>0</v>
          </cell>
          <cell r="J337" t="b">
            <v>0</v>
          </cell>
          <cell r="K337" t="b">
            <v>0</v>
          </cell>
          <cell r="L337" t="str">
            <v>Effect/Prefab/10_buff/EFF_debuff_down</v>
          </cell>
          <cell r="M337" t="str">
            <v>icon_battle_critical</v>
          </cell>
          <cell r="N337" t="str">
            <v>Buff.Name.Critical.Down.02</v>
          </cell>
          <cell r="O337" t="str">
            <v>Buff.Desc.Critical.Down.02</v>
          </cell>
        </row>
        <row r="338">
          <cell r="A338" t="str">
            <v>Critical.Down.03</v>
          </cell>
          <cell r="B338"/>
          <cell r="C338"/>
          <cell r="D338">
            <v>0</v>
          </cell>
          <cell r="E338">
            <v>0</v>
          </cell>
          <cell r="F338">
            <v>0</v>
          </cell>
          <cell r="G338" t="str">
            <v>none</v>
          </cell>
          <cell r="H338"/>
          <cell r="I338" t="b">
            <v>0</v>
          </cell>
          <cell r="J338" t="b">
            <v>0</v>
          </cell>
          <cell r="K338" t="b">
            <v>0</v>
          </cell>
          <cell r="L338" t="str">
            <v>Effect/Prefab/10_buff/EFF_debuff_down</v>
          </cell>
          <cell r="M338" t="str">
            <v>icon_battle_critical</v>
          </cell>
          <cell r="N338" t="str">
            <v>Buff.Name.Critical.Down.03</v>
          </cell>
          <cell r="O338" t="str">
            <v>Buff.Desc.Critical.Down.03</v>
          </cell>
        </row>
        <row r="339">
          <cell r="A339" t="str">
            <v>Critical.Down.04</v>
          </cell>
          <cell r="B339"/>
          <cell r="C339"/>
          <cell r="D339">
            <v>0</v>
          </cell>
          <cell r="E339">
            <v>0</v>
          </cell>
          <cell r="F339">
            <v>0</v>
          </cell>
          <cell r="G339" t="str">
            <v>none</v>
          </cell>
          <cell r="H339"/>
          <cell r="I339" t="b">
            <v>0</v>
          </cell>
          <cell r="J339" t="b">
            <v>0</v>
          </cell>
          <cell r="K339" t="b">
            <v>0</v>
          </cell>
          <cell r="L339" t="str">
            <v>Effect/Prefab/10_buff/EFF_debuff_down</v>
          </cell>
          <cell r="M339" t="str">
            <v>icon_battle_critical</v>
          </cell>
          <cell r="N339" t="str">
            <v>Buff.Name.Critical.Down.04</v>
          </cell>
          <cell r="O339" t="str">
            <v>Buff.Desc.Critical.Down.04</v>
          </cell>
        </row>
        <row r="340">
          <cell r="A340" t="str">
            <v>Critical.Down.05</v>
          </cell>
          <cell r="B340"/>
          <cell r="C340"/>
          <cell r="D340">
            <v>0</v>
          </cell>
          <cell r="E340">
            <v>0</v>
          </cell>
          <cell r="F340">
            <v>0</v>
          </cell>
          <cell r="G340" t="str">
            <v>none</v>
          </cell>
          <cell r="H340"/>
          <cell r="I340" t="b">
            <v>0</v>
          </cell>
          <cell r="J340" t="b">
            <v>0</v>
          </cell>
          <cell r="K340" t="b">
            <v>0</v>
          </cell>
          <cell r="L340" t="str">
            <v>Effect/Prefab/10_buff/EFF_debuff_down</v>
          </cell>
          <cell r="M340" t="str">
            <v>icon_battle_critical</v>
          </cell>
          <cell r="N340" t="str">
            <v>Buff.Name.Critical.Down.05</v>
          </cell>
          <cell r="O340" t="str">
            <v>Buff.Desc.Critical.Down.05</v>
          </cell>
        </row>
        <row r="341">
          <cell r="A341" t="str">
            <v>CriticalDamage.Down</v>
          </cell>
          <cell r="B341"/>
          <cell r="C341"/>
          <cell r="D341">
            <v>0</v>
          </cell>
          <cell r="E341">
            <v>0</v>
          </cell>
          <cell r="F341">
            <v>0</v>
          </cell>
          <cell r="G341" t="str">
            <v>none</v>
          </cell>
          <cell r="H341"/>
          <cell r="I341" t="b">
            <v>0</v>
          </cell>
          <cell r="J341" t="b">
            <v>0</v>
          </cell>
          <cell r="K341" t="b">
            <v>0</v>
          </cell>
          <cell r="L341" t="str">
            <v>Effect/Prefab/10_buff/EFF_debuff_down</v>
          </cell>
          <cell r="M341" t="str">
            <v>icon_battle_criticaldamage</v>
          </cell>
          <cell r="N341" t="str">
            <v>Buff.Name.CriticalDamage.Down.00</v>
          </cell>
          <cell r="O341" t="str">
            <v>Buff.Desc.CriticalDamage.Down.00</v>
          </cell>
        </row>
        <row r="342">
          <cell r="A342" t="str">
            <v>CriticalDamage.Down.01</v>
          </cell>
          <cell r="B342"/>
          <cell r="C342"/>
          <cell r="D342">
            <v>0</v>
          </cell>
          <cell r="E342">
            <v>0</v>
          </cell>
          <cell r="F342">
            <v>0</v>
          </cell>
          <cell r="G342" t="str">
            <v>none</v>
          </cell>
          <cell r="H342"/>
          <cell r="I342" t="b">
            <v>0</v>
          </cell>
          <cell r="J342" t="b">
            <v>0</v>
          </cell>
          <cell r="K342" t="b">
            <v>0</v>
          </cell>
          <cell r="L342" t="str">
            <v>Effect/Prefab/10_buff/EFF_debuff_down</v>
          </cell>
          <cell r="M342" t="str">
            <v>icon_battle_criticaldamage</v>
          </cell>
          <cell r="N342" t="str">
            <v>Buff.Name.CriticalDamage.Down.01</v>
          </cell>
          <cell r="O342" t="str">
            <v>Buff.Desc.CriticalDamage.Down.01</v>
          </cell>
        </row>
        <row r="343">
          <cell r="A343" t="str">
            <v>CriticalDamage.Down.02</v>
          </cell>
          <cell r="B343"/>
          <cell r="C343"/>
          <cell r="D343">
            <v>0</v>
          </cell>
          <cell r="E343">
            <v>0</v>
          </cell>
          <cell r="F343">
            <v>0</v>
          </cell>
          <cell r="G343" t="str">
            <v>none</v>
          </cell>
          <cell r="H343"/>
          <cell r="I343" t="b">
            <v>0</v>
          </cell>
          <cell r="J343" t="b">
            <v>0</v>
          </cell>
          <cell r="K343" t="b">
            <v>0</v>
          </cell>
          <cell r="L343" t="str">
            <v>Effect/Prefab/10_buff/EFF_debuff_down</v>
          </cell>
          <cell r="M343" t="str">
            <v>icon_battle_criticaldamage</v>
          </cell>
          <cell r="N343" t="str">
            <v>Buff.Name.CriticalDamage.Down.02</v>
          </cell>
          <cell r="O343" t="str">
            <v>Buff.Desc.CriticalDamage.Down.02</v>
          </cell>
        </row>
        <row r="344">
          <cell r="A344" t="str">
            <v>CriticalDamage.Down.03</v>
          </cell>
          <cell r="B344"/>
          <cell r="C344"/>
          <cell r="D344">
            <v>0</v>
          </cell>
          <cell r="E344">
            <v>0</v>
          </cell>
          <cell r="F344">
            <v>0</v>
          </cell>
          <cell r="G344" t="str">
            <v>none</v>
          </cell>
          <cell r="H344"/>
          <cell r="I344" t="b">
            <v>0</v>
          </cell>
          <cell r="J344" t="b">
            <v>0</v>
          </cell>
          <cell r="K344" t="b">
            <v>0</v>
          </cell>
          <cell r="L344" t="str">
            <v>Effect/Prefab/10_buff/EFF_debuff_down</v>
          </cell>
          <cell r="M344" t="str">
            <v>icon_battle_criticaldamage</v>
          </cell>
          <cell r="N344" t="str">
            <v>Buff.Name.CriticalDamage.Down.03</v>
          </cell>
          <cell r="O344" t="str">
            <v>Buff.Desc.CriticalDamage.Down.03</v>
          </cell>
        </row>
        <row r="345">
          <cell r="A345" t="str">
            <v>CriticalDamage.Down.04</v>
          </cell>
          <cell r="B345"/>
          <cell r="C345"/>
          <cell r="D345">
            <v>0</v>
          </cell>
          <cell r="E345">
            <v>0</v>
          </cell>
          <cell r="F345">
            <v>0</v>
          </cell>
          <cell r="G345" t="str">
            <v>none</v>
          </cell>
          <cell r="H345"/>
          <cell r="I345" t="b">
            <v>0</v>
          </cell>
          <cell r="J345" t="b">
            <v>0</v>
          </cell>
          <cell r="K345" t="b">
            <v>0</v>
          </cell>
          <cell r="L345" t="str">
            <v>Effect/Prefab/10_buff/EFF_debuff_down</v>
          </cell>
          <cell r="M345" t="str">
            <v>icon_battle_criticaldamage</v>
          </cell>
          <cell r="N345" t="str">
            <v>Buff.Name.CriticalDamage.Down.04</v>
          </cell>
          <cell r="O345" t="str">
            <v>Buff.Desc.CriticalDamage.Down.04</v>
          </cell>
        </row>
        <row r="346">
          <cell r="A346" t="str">
            <v>CriticalDamage.Down.05</v>
          </cell>
          <cell r="B346"/>
          <cell r="C346"/>
          <cell r="D346">
            <v>0</v>
          </cell>
          <cell r="E346">
            <v>0</v>
          </cell>
          <cell r="F346">
            <v>0</v>
          </cell>
          <cell r="G346" t="str">
            <v>none</v>
          </cell>
          <cell r="H346"/>
          <cell r="I346" t="b">
            <v>0</v>
          </cell>
          <cell r="J346" t="b">
            <v>0</v>
          </cell>
          <cell r="K346" t="b">
            <v>0</v>
          </cell>
          <cell r="L346" t="str">
            <v>Effect/Prefab/10_buff/EFF_debuff_down</v>
          </cell>
          <cell r="M346" t="str">
            <v>icon_battle_criticaldamage</v>
          </cell>
          <cell r="N346" t="str">
            <v>Buff.Name.CriticalDamage.Down.05</v>
          </cell>
          <cell r="O346" t="str">
            <v>Buff.Desc.CriticalDamage.Down.05</v>
          </cell>
        </row>
        <row r="347">
          <cell r="A347" t="str">
            <v>AtkSpeed.Down</v>
          </cell>
          <cell r="B347"/>
          <cell r="C347"/>
          <cell r="D347">
            <v>0</v>
          </cell>
          <cell r="E347">
            <v>0</v>
          </cell>
          <cell r="F347">
            <v>0</v>
          </cell>
          <cell r="G347" t="str">
            <v>none</v>
          </cell>
          <cell r="H347"/>
          <cell r="I347" t="b">
            <v>0</v>
          </cell>
          <cell r="J347" t="b">
            <v>0</v>
          </cell>
          <cell r="K347" t="b">
            <v>0</v>
          </cell>
          <cell r="L347" t="str">
            <v>Effect/Prefab/10_buff/EFF_debuff_down</v>
          </cell>
          <cell r="M347" t="str">
            <v>icon_battle_attackspeed</v>
          </cell>
          <cell r="N347" t="str">
            <v>Buff.Name.AtkSpeed.Down.00</v>
          </cell>
          <cell r="O347" t="str">
            <v>Buff.Desc.AtkSpeed.Down.00</v>
          </cell>
        </row>
        <row r="348">
          <cell r="A348" t="str">
            <v>AtkSpeed.Down.01</v>
          </cell>
          <cell r="B348"/>
          <cell r="C348"/>
          <cell r="D348">
            <v>0</v>
          </cell>
          <cell r="E348">
            <v>0</v>
          </cell>
          <cell r="F348">
            <v>0</v>
          </cell>
          <cell r="G348" t="str">
            <v>none</v>
          </cell>
          <cell r="H348"/>
          <cell r="I348" t="b">
            <v>0</v>
          </cell>
          <cell r="J348" t="b">
            <v>0</v>
          </cell>
          <cell r="K348" t="b">
            <v>0</v>
          </cell>
          <cell r="L348" t="str">
            <v>Effect/Prefab/10_buff/EFF_debuff_down</v>
          </cell>
          <cell r="M348" t="str">
            <v>icon_battle_attackspeed</v>
          </cell>
          <cell r="N348" t="str">
            <v>Buff.Name.AtkSpeed.Down.01</v>
          </cell>
          <cell r="O348" t="str">
            <v>Buff.Desc.AtkSpeed.Down.01</v>
          </cell>
        </row>
        <row r="349">
          <cell r="A349" t="str">
            <v>AtkSpeed.Down.02</v>
          </cell>
          <cell r="B349"/>
          <cell r="C349"/>
          <cell r="D349">
            <v>0</v>
          </cell>
          <cell r="E349">
            <v>0</v>
          </cell>
          <cell r="F349">
            <v>0</v>
          </cell>
          <cell r="G349" t="str">
            <v>none</v>
          </cell>
          <cell r="H349"/>
          <cell r="I349" t="b">
            <v>0</v>
          </cell>
          <cell r="J349" t="b">
            <v>0</v>
          </cell>
          <cell r="K349" t="b">
            <v>0</v>
          </cell>
          <cell r="L349" t="str">
            <v>Effect/Prefab/10_buff/EFF_debuff_down</v>
          </cell>
          <cell r="M349" t="str">
            <v>icon_battle_attackspeed</v>
          </cell>
          <cell r="N349" t="str">
            <v>Buff.Name.AtkSpeed.Down.02</v>
          </cell>
          <cell r="O349" t="str">
            <v>Buff.Desc.AtkSpeed.Down.02</v>
          </cell>
        </row>
        <row r="350">
          <cell r="A350" t="str">
            <v>AtkSpeed.Down.03</v>
          </cell>
          <cell r="B350"/>
          <cell r="C350"/>
          <cell r="D350">
            <v>0</v>
          </cell>
          <cell r="E350">
            <v>0</v>
          </cell>
          <cell r="F350">
            <v>0</v>
          </cell>
          <cell r="G350" t="str">
            <v>none</v>
          </cell>
          <cell r="H350"/>
          <cell r="I350" t="b">
            <v>0</v>
          </cell>
          <cell r="J350" t="b">
            <v>0</v>
          </cell>
          <cell r="K350" t="b">
            <v>0</v>
          </cell>
          <cell r="L350" t="str">
            <v>Effect/Prefab/10_buff/EFF_debuff_down</v>
          </cell>
          <cell r="M350" t="str">
            <v>icon_battle_attackspeed</v>
          </cell>
          <cell r="N350" t="str">
            <v>Buff.Name.AtkSpeed.Down.03</v>
          </cell>
          <cell r="O350" t="str">
            <v>Buff.Desc.AtkSpeed.Down.03</v>
          </cell>
        </row>
        <row r="351">
          <cell r="A351" t="str">
            <v>AtkSpeed.Down.04</v>
          </cell>
          <cell r="B351"/>
          <cell r="C351"/>
          <cell r="D351">
            <v>0</v>
          </cell>
          <cell r="E351">
            <v>0</v>
          </cell>
          <cell r="F351">
            <v>0</v>
          </cell>
          <cell r="G351" t="str">
            <v>none</v>
          </cell>
          <cell r="H351"/>
          <cell r="I351" t="b">
            <v>0</v>
          </cell>
          <cell r="J351" t="b">
            <v>0</v>
          </cell>
          <cell r="K351" t="b">
            <v>0</v>
          </cell>
          <cell r="L351" t="str">
            <v>Effect/Prefab/10_buff/EFF_debuff_down</v>
          </cell>
          <cell r="M351" t="str">
            <v>icon_battle_attackspeed</v>
          </cell>
          <cell r="N351" t="str">
            <v>Buff.Name.AtkSpeed.Down.04</v>
          </cell>
          <cell r="O351" t="str">
            <v>Buff.Desc.AtkSpeed.Down.04</v>
          </cell>
        </row>
        <row r="352">
          <cell r="A352" t="str">
            <v>AtkSpeed.Down.05</v>
          </cell>
          <cell r="B352"/>
          <cell r="C352"/>
          <cell r="D352">
            <v>0</v>
          </cell>
          <cell r="E352">
            <v>0</v>
          </cell>
          <cell r="F352">
            <v>0</v>
          </cell>
          <cell r="G352" t="str">
            <v>none</v>
          </cell>
          <cell r="H352"/>
          <cell r="I352" t="b">
            <v>0</v>
          </cell>
          <cell r="J352" t="b">
            <v>0</v>
          </cell>
          <cell r="K352" t="b">
            <v>0</v>
          </cell>
          <cell r="L352" t="str">
            <v>Effect/Prefab/10_buff/EFF_debuff_down</v>
          </cell>
          <cell r="M352" t="str">
            <v>icon_battle_attackspeed</v>
          </cell>
          <cell r="N352" t="str">
            <v>Buff.Name.AtkSpeed.Down.05</v>
          </cell>
          <cell r="O352" t="str">
            <v>Buff.Desc.AtkSpeed.Down.05</v>
          </cell>
        </row>
        <row r="353">
          <cell r="A353" t="str">
            <v>Accuracy.Down</v>
          </cell>
          <cell r="B353"/>
          <cell r="C353"/>
          <cell r="D353">
            <v>0</v>
          </cell>
          <cell r="E353">
            <v>0</v>
          </cell>
          <cell r="F353">
            <v>0</v>
          </cell>
          <cell r="G353" t="str">
            <v>none</v>
          </cell>
          <cell r="H353"/>
          <cell r="I353" t="b">
            <v>0</v>
          </cell>
          <cell r="J353" t="b">
            <v>0</v>
          </cell>
          <cell r="K353" t="b">
            <v>0</v>
          </cell>
          <cell r="L353" t="str">
            <v>Effect/Prefab/10_buff/EFF_debuff_down</v>
          </cell>
          <cell r="M353" t="str">
            <v>icon_battle_accuracy</v>
          </cell>
          <cell r="N353" t="str">
            <v>Buff.Name.Accuracy.Down.00</v>
          </cell>
          <cell r="O353" t="str">
            <v>Buff.Desc.Accuracy.Down.00</v>
          </cell>
        </row>
        <row r="354">
          <cell r="A354" t="str">
            <v>Accuracy.Down.01</v>
          </cell>
          <cell r="B354"/>
          <cell r="C354"/>
          <cell r="D354">
            <v>0</v>
          </cell>
          <cell r="E354">
            <v>0</v>
          </cell>
          <cell r="F354">
            <v>0</v>
          </cell>
          <cell r="G354" t="str">
            <v>none</v>
          </cell>
          <cell r="H354"/>
          <cell r="I354" t="b">
            <v>0</v>
          </cell>
          <cell r="J354" t="b">
            <v>0</v>
          </cell>
          <cell r="K354" t="b">
            <v>0</v>
          </cell>
          <cell r="L354" t="str">
            <v>Effect/Prefab/10_buff/EFF_debuff_down</v>
          </cell>
          <cell r="M354" t="str">
            <v>icon_battle_accuracy</v>
          </cell>
          <cell r="N354" t="str">
            <v>Buff.Name.Accuracy.Down.01</v>
          </cell>
          <cell r="O354" t="str">
            <v>Buff.Desc.Accuracy.Down.01</v>
          </cell>
        </row>
        <row r="355">
          <cell r="A355" t="str">
            <v>Accuracy.Down.02</v>
          </cell>
          <cell r="B355"/>
          <cell r="C355"/>
          <cell r="D355">
            <v>0</v>
          </cell>
          <cell r="E355">
            <v>0</v>
          </cell>
          <cell r="F355">
            <v>0</v>
          </cell>
          <cell r="G355" t="str">
            <v>none</v>
          </cell>
          <cell r="H355"/>
          <cell r="I355" t="b">
            <v>0</v>
          </cell>
          <cell r="J355" t="b">
            <v>0</v>
          </cell>
          <cell r="K355" t="b">
            <v>0</v>
          </cell>
          <cell r="L355" t="str">
            <v>Effect/Prefab/10_buff/EFF_debuff_down</v>
          </cell>
          <cell r="M355" t="str">
            <v>icon_battle_accuracy</v>
          </cell>
          <cell r="N355" t="str">
            <v>Buff.Name.Accuracy.Down.02</v>
          </cell>
          <cell r="O355" t="str">
            <v>Buff.Desc.Accuracy.Down.02</v>
          </cell>
        </row>
        <row r="356">
          <cell r="A356" t="str">
            <v>Accuracy.Down.03</v>
          </cell>
          <cell r="B356"/>
          <cell r="C356"/>
          <cell r="D356">
            <v>0</v>
          </cell>
          <cell r="E356">
            <v>0</v>
          </cell>
          <cell r="F356">
            <v>0</v>
          </cell>
          <cell r="G356" t="str">
            <v>none</v>
          </cell>
          <cell r="H356"/>
          <cell r="I356" t="b">
            <v>0</v>
          </cell>
          <cell r="J356" t="b">
            <v>0</v>
          </cell>
          <cell r="K356" t="b">
            <v>0</v>
          </cell>
          <cell r="L356" t="str">
            <v>Effect/Prefab/10_buff/EFF_debuff_down</v>
          </cell>
          <cell r="M356" t="str">
            <v>icon_battle_accuracy</v>
          </cell>
          <cell r="N356" t="str">
            <v>Buff.Name.Accuracy.Down.03</v>
          </cell>
          <cell r="O356" t="str">
            <v>Buff.Desc.Accuracy.Down.03</v>
          </cell>
        </row>
        <row r="357">
          <cell r="A357" t="str">
            <v>Accuracy.Down.04</v>
          </cell>
          <cell r="B357"/>
          <cell r="C357"/>
          <cell r="D357">
            <v>0</v>
          </cell>
          <cell r="E357">
            <v>0</v>
          </cell>
          <cell r="F357">
            <v>0</v>
          </cell>
          <cell r="G357" t="str">
            <v>none</v>
          </cell>
          <cell r="H357"/>
          <cell r="I357" t="b">
            <v>0</v>
          </cell>
          <cell r="J357" t="b">
            <v>0</v>
          </cell>
          <cell r="K357" t="b">
            <v>0</v>
          </cell>
          <cell r="L357" t="str">
            <v>Effect/Prefab/10_buff/EFF_debuff_down</v>
          </cell>
          <cell r="M357" t="str">
            <v>icon_battle_accuracy</v>
          </cell>
          <cell r="N357" t="str">
            <v>Buff.Name.Accuracy.Down.04</v>
          </cell>
          <cell r="O357" t="str">
            <v>Buff.Desc.Accuracy.Down.04</v>
          </cell>
        </row>
        <row r="358">
          <cell r="A358" t="str">
            <v>Accuracy.Down.05</v>
          </cell>
          <cell r="B358"/>
          <cell r="C358"/>
          <cell r="D358">
            <v>0</v>
          </cell>
          <cell r="E358">
            <v>0</v>
          </cell>
          <cell r="F358">
            <v>0</v>
          </cell>
          <cell r="G358" t="str">
            <v>none</v>
          </cell>
          <cell r="H358"/>
          <cell r="I358" t="b">
            <v>0</v>
          </cell>
          <cell r="J358" t="b">
            <v>0</v>
          </cell>
          <cell r="K358" t="b">
            <v>0</v>
          </cell>
          <cell r="L358" t="str">
            <v>Effect/Prefab/10_buff/EFF_debuff_down</v>
          </cell>
          <cell r="M358" t="str">
            <v>icon_battle_accuracy</v>
          </cell>
          <cell r="N358" t="str">
            <v>Buff.Name.Accuracy.Down.05</v>
          </cell>
          <cell r="O358" t="str">
            <v>Buff.Desc.Accuracy.Down.05</v>
          </cell>
        </row>
        <row r="359">
          <cell r="A359" t="str">
            <v>Evasion.Down</v>
          </cell>
          <cell r="B359"/>
          <cell r="C359"/>
          <cell r="D359">
            <v>0</v>
          </cell>
          <cell r="E359">
            <v>0</v>
          </cell>
          <cell r="F359">
            <v>0</v>
          </cell>
          <cell r="G359" t="str">
            <v>none</v>
          </cell>
          <cell r="H359"/>
          <cell r="I359" t="b">
            <v>0</v>
          </cell>
          <cell r="J359" t="b">
            <v>0</v>
          </cell>
          <cell r="K359" t="b">
            <v>0</v>
          </cell>
          <cell r="L359" t="str">
            <v>Effect/Prefab/10_buff/EFF_debuff_down</v>
          </cell>
          <cell r="M359" t="str">
            <v>icon_battle_evasion</v>
          </cell>
          <cell r="N359" t="str">
            <v>Buff.Name.Evasion.Down.00</v>
          </cell>
          <cell r="O359" t="str">
            <v>Buff.Desc.Evasion.Down.00</v>
          </cell>
        </row>
        <row r="360">
          <cell r="A360" t="str">
            <v>Evasion.Down.01</v>
          </cell>
          <cell r="B360"/>
          <cell r="C360"/>
          <cell r="D360">
            <v>0</v>
          </cell>
          <cell r="E360">
            <v>0</v>
          </cell>
          <cell r="F360">
            <v>0</v>
          </cell>
          <cell r="G360" t="str">
            <v>none</v>
          </cell>
          <cell r="H360"/>
          <cell r="I360" t="b">
            <v>0</v>
          </cell>
          <cell r="J360" t="b">
            <v>0</v>
          </cell>
          <cell r="K360" t="b">
            <v>0</v>
          </cell>
          <cell r="L360" t="str">
            <v>Effect/Prefab/10_buff/EFF_debuff_down</v>
          </cell>
          <cell r="M360" t="str">
            <v>icon_battle_evasion</v>
          </cell>
          <cell r="N360" t="str">
            <v>Buff.Name.Evasion.Down.01</v>
          </cell>
          <cell r="O360" t="str">
            <v>Buff.Desc.Evasion.Down.01</v>
          </cell>
        </row>
        <row r="361">
          <cell r="A361" t="str">
            <v>Evasion.Down.02</v>
          </cell>
          <cell r="B361"/>
          <cell r="C361"/>
          <cell r="D361">
            <v>0</v>
          </cell>
          <cell r="E361">
            <v>0</v>
          </cell>
          <cell r="F361">
            <v>0</v>
          </cell>
          <cell r="G361" t="str">
            <v>none</v>
          </cell>
          <cell r="H361"/>
          <cell r="I361" t="b">
            <v>0</v>
          </cell>
          <cell r="J361" t="b">
            <v>0</v>
          </cell>
          <cell r="K361" t="b">
            <v>0</v>
          </cell>
          <cell r="L361" t="str">
            <v>Effect/Prefab/10_buff/EFF_debuff_down</v>
          </cell>
          <cell r="M361" t="str">
            <v>icon_battle_evasion</v>
          </cell>
          <cell r="N361" t="str">
            <v>Buff.Name.Evasion.Down.02</v>
          </cell>
          <cell r="O361" t="str">
            <v>Buff.Desc.Evasion.Down.02</v>
          </cell>
        </row>
        <row r="362">
          <cell r="A362" t="str">
            <v>Evasion.Down.03</v>
          </cell>
          <cell r="B362"/>
          <cell r="C362"/>
          <cell r="D362">
            <v>0</v>
          </cell>
          <cell r="E362">
            <v>0</v>
          </cell>
          <cell r="F362">
            <v>0</v>
          </cell>
          <cell r="G362" t="str">
            <v>none</v>
          </cell>
          <cell r="H362"/>
          <cell r="I362" t="b">
            <v>0</v>
          </cell>
          <cell r="J362" t="b">
            <v>0</v>
          </cell>
          <cell r="K362" t="b">
            <v>0</v>
          </cell>
          <cell r="L362" t="str">
            <v>Effect/Prefab/10_buff/EFF_debuff_down</v>
          </cell>
          <cell r="M362" t="str">
            <v>icon_battle_evasion</v>
          </cell>
          <cell r="N362" t="str">
            <v>Buff.Name.Evasion.Down.03</v>
          </cell>
          <cell r="O362" t="str">
            <v>Buff.Desc.Evasion.Down.03</v>
          </cell>
        </row>
        <row r="363">
          <cell r="A363" t="str">
            <v>Evasion.Down.04</v>
          </cell>
          <cell r="B363"/>
          <cell r="C363"/>
          <cell r="D363">
            <v>0</v>
          </cell>
          <cell r="E363">
            <v>0</v>
          </cell>
          <cell r="F363">
            <v>0</v>
          </cell>
          <cell r="G363" t="str">
            <v>none</v>
          </cell>
          <cell r="H363"/>
          <cell r="I363" t="b">
            <v>0</v>
          </cell>
          <cell r="J363" t="b">
            <v>0</v>
          </cell>
          <cell r="K363" t="b">
            <v>0</v>
          </cell>
          <cell r="L363" t="str">
            <v>Effect/Prefab/10_buff/EFF_debuff_down</v>
          </cell>
          <cell r="M363" t="str">
            <v>icon_battle_evasion</v>
          </cell>
          <cell r="N363" t="str">
            <v>Buff.Name.Evasion.Down.04</v>
          </cell>
          <cell r="O363" t="str">
            <v>Buff.Desc.Evasion.Down.04</v>
          </cell>
        </row>
        <row r="364">
          <cell r="A364" t="str">
            <v>Evasion.Down.05</v>
          </cell>
          <cell r="B364"/>
          <cell r="C364"/>
          <cell r="D364">
            <v>0</v>
          </cell>
          <cell r="E364">
            <v>0</v>
          </cell>
          <cell r="F364">
            <v>0</v>
          </cell>
          <cell r="G364" t="str">
            <v>none</v>
          </cell>
          <cell r="H364"/>
          <cell r="I364" t="b">
            <v>0</v>
          </cell>
          <cell r="J364" t="b">
            <v>0</v>
          </cell>
          <cell r="K364" t="b">
            <v>0</v>
          </cell>
          <cell r="L364" t="str">
            <v>Effect/Prefab/10_buff/EFF_debuff_down</v>
          </cell>
          <cell r="M364" t="str">
            <v>icon_battle_evasion</v>
          </cell>
          <cell r="N364" t="str">
            <v>Buff.Name.Evasion.Down.05</v>
          </cell>
          <cell r="O364" t="str">
            <v>Buff.Desc.Evasion.Down.05</v>
          </cell>
        </row>
        <row r="365">
          <cell r="A365" t="str">
            <v>Damage.Down</v>
          </cell>
          <cell r="B365"/>
          <cell r="C365"/>
          <cell r="D365">
            <v>0</v>
          </cell>
          <cell r="E365">
            <v>0</v>
          </cell>
          <cell r="F365">
            <v>0</v>
          </cell>
          <cell r="G365" t="str">
            <v>none</v>
          </cell>
          <cell r="H365"/>
          <cell r="I365" t="b">
            <v>0</v>
          </cell>
          <cell r="J365" t="b">
            <v>0</v>
          </cell>
          <cell r="K365" t="b">
            <v>0</v>
          </cell>
          <cell r="L365" t="str">
            <v>Effect/Prefab/10_buff/EFF_debuff_down</v>
          </cell>
          <cell r="M365" t="str">
            <v>icon_battle_damagederate</v>
          </cell>
          <cell r="N365" t="str">
            <v>Buff.Name.Damage.Down.00</v>
          </cell>
          <cell r="O365" t="str">
            <v>Buff.Desc.Damage.Down.00</v>
          </cell>
        </row>
        <row r="366">
          <cell r="A366" t="str">
            <v>Damage.Down.01</v>
          </cell>
          <cell r="B366"/>
          <cell r="C366"/>
          <cell r="D366">
            <v>0</v>
          </cell>
          <cell r="E366">
            <v>0</v>
          </cell>
          <cell r="F366">
            <v>0</v>
          </cell>
          <cell r="G366" t="str">
            <v>none</v>
          </cell>
          <cell r="H366"/>
          <cell r="I366" t="b">
            <v>0</v>
          </cell>
          <cell r="J366" t="b">
            <v>0</v>
          </cell>
          <cell r="K366" t="b">
            <v>0</v>
          </cell>
          <cell r="L366" t="str">
            <v>Effect/Prefab/10_buff/EFF_debuff_down</v>
          </cell>
          <cell r="M366" t="str">
            <v>icon_battle_damagederate</v>
          </cell>
          <cell r="N366" t="str">
            <v>Buff.Name.Damage.Down.01</v>
          </cell>
          <cell r="O366" t="str">
            <v>Buff.Desc.Damage.Down.01</v>
          </cell>
        </row>
        <row r="367">
          <cell r="A367" t="str">
            <v>Damage.Down.02</v>
          </cell>
          <cell r="B367"/>
          <cell r="C367"/>
          <cell r="D367">
            <v>0</v>
          </cell>
          <cell r="E367">
            <v>0</v>
          </cell>
          <cell r="F367">
            <v>0</v>
          </cell>
          <cell r="G367" t="str">
            <v>none</v>
          </cell>
          <cell r="H367"/>
          <cell r="I367" t="b">
            <v>0</v>
          </cell>
          <cell r="J367" t="b">
            <v>0</v>
          </cell>
          <cell r="K367" t="b">
            <v>0</v>
          </cell>
          <cell r="L367" t="str">
            <v>Effect/Prefab/10_buff/EFF_debuff_down</v>
          </cell>
          <cell r="M367" t="str">
            <v>icon_battle_damagederate</v>
          </cell>
          <cell r="N367" t="str">
            <v>Buff.Name.Damage.Down.02</v>
          </cell>
          <cell r="O367" t="str">
            <v>Buff.Desc.Damage.Down.02</v>
          </cell>
        </row>
        <row r="368">
          <cell r="A368" t="str">
            <v>Damage.Down.03</v>
          </cell>
          <cell r="B368"/>
          <cell r="C368"/>
          <cell r="D368">
            <v>0</v>
          </cell>
          <cell r="E368">
            <v>0</v>
          </cell>
          <cell r="F368">
            <v>0</v>
          </cell>
          <cell r="G368" t="str">
            <v>none</v>
          </cell>
          <cell r="H368"/>
          <cell r="I368" t="b">
            <v>0</v>
          </cell>
          <cell r="J368" t="b">
            <v>0</v>
          </cell>
          <cell r="K368" t="b">
            <v>0</v>
          </cell>
          <cell r="L368" t="str">
            <v>Effect/Prefab/10_buff/EFF_debuff_down</v>
          </cell>
          <cell r="M368" t="str">
            <v>icon_battle_damagederate</v>
          </cell>
          <cell r="N368" t="str">
            <v>Buff.Name.Damage.Down.03</v>
          </cell>
          <cell r="O368" t="str">
            <v>Buff.Desc.Damage.Down.03</v>
          </cell>
        </row>
        <row r="369">
          <cell r="A369" t="str">
            <v>Damage.Down.04</v>
          </cell>
          <cell r="B369"/>
          <cell r="C369"/>
          <cell r="D369">
            <v>0</v>
          </cell>
          <cell r="E369">
            <v>0</v>
          </cell>
          <cell r="F369">
            <v>0</v>
          </cell>
          <cell r="G369" t="str">
            <v>none</v>
          </cell>
          <cell r="H369"/>
          <cell r="I369" t="b">
            <v>0</v>
          </cell>
          <cell r="J369" t="b">
            <v>0</v>
          </cell>
          <cell r="K369" t="b">
            <v>0</v>
          </cell>
          <cell r="L369" t="str">
            <v>Effect/Prefab/10_buff/EFF_debuff_down</v>
          </cell>
          <cell r="M369" t="str">
            <v>icon_battle_damagederate</v>
          </cell>
          <cell r="N369" t="str">
            <v>Buff.Name.Damage.Down.04</v>
          </cell>
          <cell r="O369" t="str">
            <v>Buff.Desc.Damage.Down.04</v>
          </cell>
        </row>
        <row r="370">
          <cell r="A370" t="str">
            <v>Damage.Down.05</v>
          </cell>
          <cell r="B370"/>
          <cell r="C370"/>
          <cell r="D370">
            <v>0</v>
          </cell>
          <cell r="E370">
            <v>0</v>
          </cell>
          <cell r="F370">
            <v>0</v>
          </cell>
          <cell r="G370" t="str">
            <v>none</v>
          </cell>
          <cell r="H370"/>
          <cell r="I370" t="b">
            <v>0</v>
          </cell>
          <cell r="J370" t="b">
            <v>0</v>
          </cell>
          <cell r="K370" t="b">
            <v>0</v>
          </cell>
          <cell r="L370" t="str">
            <v>Effect/Prefab/10_buff/EFF_debuff_down</v>
          </cell>
          <cell r="M370" t="str">
            <v>icon_battle_damagederate</v>
          </cell>
          <cell r="N370" t="str">
            <v>Buff.Name.Damage.Down.05</v>
          </cell>
          <cell r="O370" t="str">
            <v>Buff.Desc.Damage.Down.05</v>
          </cell>
        </row>
        <row r="371">
          <cell r="A371" t="str">
            <v>SingleDamage.Down</v>
          </cell>
          <cell r="B371"/>
          <cell r="C371"/>
          <cell r="D371">
            <v>0</v>
          </cell>
          <cell r="E371">
            <v>0</v>
          </cell>
          <cell r="F371">
            <v>0</v>
          </cell>
          <cell r="G371" t="str">
            <v>none</v>
          </cell>
          <cell r="H371"/>
          <cell r="I371" t="b">
            <v>0</v>
          </cell>
          <cell r="J371" t="b">
            <v>0</v>
          </cell>
          <cell r="K371" t="b">
            <v>0</v>
          </cell>
          <cell r="L371" t="str">
            <v>Effect/Prefab/10_buff/EFF_debuff_down</v>
          </cell>
          <cell r="M371" t="str">
            <v>icon_battle_damagerate</v>
          </cell>
          <cell r="N371" t="str">
            <v>Buff.Name.SingleDamage.Down.00</v>
          </cell>
          <cell r="O371" t="str">
            <v>Buff.Desc.SingleDamage.Down.00</v>
          </cell>
        </row>
        <row r="372">
          <cell r="A372" t="str">
            <v>SingleDamage.Down.01</v>
          </cell>
          <cell r="B372"/>
          <cell r="C372"/>
          <cell r="D372">
            <v>0</v>
          </cell>
          <cell r="E372">
            <v>0</v>
          </cell>
          <cell r="F372">
            <v>0</v>
          </cell>
          <cell r="G372" t="str">
            <v>none</v>
          </cell>
          <cell r="H372"/>
          <cell r="I372" t="b">
            <v>0</v>
          </cell>
          <cell r="J372" t="b">
            <v>0</v>
          </cell>
          <cell r="K372" t="b">
            <v>0</v>
          </cell>
          <cell r="L372" t="str">
            <v>Effect/Prefab/10_buff/EFF_debuff_down</v>
          </cell>
          <cell r="M372" t="str">
            <v>icon_battle_damagerate</v>
          </cell>
          <cell r="N372" t="str">
            <v>Buff.Name.SingleDamage.Down.01</v>
          </cell>
          <cell r="O372" t="str">
            <v>Buff.Desc.SingleDamage.Down.01</v>
          </cell>
        </row>
        <row r="373">
          <cell r="A373" t="str">
            <v>SingleDamage.Down.02</v>
          </cell>
          <cell r="B373"/>
          <cell r="C373"/>
          <cell r="D373">
            <v>0</v>
          </cell>
          <cell r="E373">
            <v>0</v>
          </cell>
          <cell r="F373">
            <v>0</v>
          </cell>
          <cell r="G373" t="str">
            <v>none</v>
          </cell>
          <cell r="H373"/>
          <cell r="I373" t="b">
            <v>0</v>
          </cell>
          <cell r="J373" t="b">
            <v>0</v>
          </cell>
          <cell r="K373" t="b">
            <v>0</v>
          </cell>
          <cell r="L373" t="str">
            <v>Effect/Prefab/10_buff/EFF_debuff_down</v>
          </cell>
          <cell r="M373" t="str">
            <v>icon_battle_damagerate</v>
          </cell>
          <cell r="N373" t="str">
            <v>Buff.Name.SingleDamage.Down.02</v>
          </cell>
          <cell r="O373" t="str">
            <v>Buff.Desc.SingleDamage.Down.02</v>
          </cell>
        </row>
        <row r="374">
          <cell r="A374" t="str">
            <v>SingleDamage.Down.03</v>
          </cell>
          <cell r="B374"/>
          <cell r="C374"/>
          <cell r="D374">
            <v>0</v>
          </cell>
          <cell r="E374">
            <v>0</v>
          </cell>
          <cell r="F374">
            <v>0</v>
          </cell>
          <cell r="G374" t="str">
            <v>none</v>
          </cell>
          <cell r="H374"/>
          <cell r="I374" t="b">
            <v>0</v>
          </cell>
          <cell r="J374" t="b">
            <v>0</v>
          </cell>
          <cell r="K374" t="b">
            <v>0</v>
          </cell>
          <cell r="L374" t="str">
            <v>Effect/Prefab/10_buff/EFF_debuff_down</v>
          </cell>
          <cell r="M374" t="str">
            <v>icon_battle_damagerate</v>
          </cell>
          <cell r="N374" t="str">
            <v>Buff.Name.SingleDamage.Down.03</v>
          </cell>
          <cell r="O374" t="str">
            <v>Buff.Desc.SingleDamage.Down.03</v>
          </cell>
        </row>
        <row r="375">
          <cell r="A375" t="str">
            <v>SingleDamage.Down.04</v>
          </cell>
          <cell r="B375"/>
          <cell r="C375"/>
          <cell r="D375">
            <v>0</v>
          </cell>
          <cell r="E375">
            <v>0</v>
          </cell>
          <cell r="F375">
            <v>0</v>
          </cell>
          <cell r="G375" t="str">
            <v>none</v>
          </cell>
          <cell r="H375"/>
          <cell r="I375" t="b">
            <v>0</v>
          </cell>
          <cell r="J375" t="b">
            <v>0</v>
          </cell>
          <cell r="K375" t="b">
            <v>0</v>
          </cell>
          <cell r="L375" t="str">
            <v>Effect/Prefab/10_buff/EFF_debuff_down</v>
          </cell>
          <cell r="M375" t="str">
            <v>icon_battle_damagerate</v>
          </cell>
          <cell r="N375" t="str">
            <v>Buff.Name.SingleDamage.Down.04</v>
          </cell>
          <cell r="O375" t="str">
            <v>Buff.Desc.SingleDamage.Down.04</v>
          </cell>
        </row>
        <row r="376">
          <cell r="A376" t="str">
            <v>SingleDamage.Down.05</v>
          </cell>
          <cell r="B376"/>
          <cell r="C376"/>
          <cell r="D376">
            <v>0</v>
          </cell>
          <cell r="E376">
            <v>0</v>
          </cell>
          <cell r="F376">
            <v>0</v>
          </cell>
          <cell r="G376" t="str">
            <v>none</v>
          </cell>
          <cell r="H376"/>
          <cell r="I376" t="b">
            <v>0</v>
          </cell>
          <cell r="J376" t="b">
            <v>0</v>
          </cell>
          <cell r="K376" t="b">
            <v>0</v>
          </cell>
          <cell r="L376" t="str">
            <v>Effect/Prefab/10_buff/EFF_debuff_down</v>
          </cell>
          <cell r="M376" t="str">
            <v>icon_battle_damagerate</v>
          </cell>
          <cell r="N376" t="str">
            <v>Buff.Name.SingleDamage.Down.05</v>
          </cell>
          <cell r="O376" t="str">
            <v>Buff.Desc.SingleDamage.Down.05</v>
          </cell>
        </row>
        <row r="377">
          <cell r="A377" t="str">
            <v>AreaDamage.Down</v>
          </cell>
          <cell r="B377"/>
          <cell r="C377"/>
          <cell r="D377">
            <v>0</v>
          </cell>
          <cell r="E377">
            <v>0</v>
          </cell>
          <cell r="F377">
            <v>0</v>
          </cell>
          <cell r="G377" t="str">
            <v>none</v>
          </cell>
          <cell r="H377"/>
          <cell r="I377" t="b">
            <v>0</v>
          </cell>
          <cell r="J377" t="b">
            <v>0</v>
          </cell>
          <cell r="K377" t="b">
            <v>0</v>
          </cell>
          <cell r="L377" t="str">
            <v>Effect/Prefab/10_buff/EFF_debuff_down</v>
          </cell>
          <cell r="M377" t="str">
            <v>icon_battle_areadamage</v>
          </cell>
          <cell r="N377" t="str">
            <v>Buff.Name.AreaDamage.Down.00</v>
          </cell>
          <cell r="O377" t="str">
            <v>Buff.Desc.AreaDamage.Down.00</v>
          </cell>
        </row>
        <row r="378">
          <cell r="A378" t="str">
            <v>AreaDamage.Down.01</v>
          </cell>
          <cell r="B378"/>
          <cell r="C378"/>
          <cell r="D378">
            <v>0</v>
          </cell>
          <cell r="E378">
            <v>0</v>
          </cell>
          <cell r="F378">
            <v>0</v>
          </cell>
          <cell r="G378" t="str">
            <v>none</v>
          </cell>
          <cell r="H378"/>
          <cell r="I378" t="b">
            <v>0</v>
          </cell>
          <cell r="J378" t="b">
            <v>0</v>
          </cell>
          <cell r="K378" t="b">
            <v>0</v>
          </cell>
          <cell r="L378" t="str">
            <v>Effect/Prefab/10_buff/EFF_debuff_down</v>
          </cell>
          <cell r="M378" t="str">
            <v>icon_battle_areadamage</v>
          </cell>
          <cell r="N378" t="str">
            <v>Buff.Name.AreaDamage.Down.01</v>
          </cell>
          <cell r="O378" t="str">
            <v>Buff.Desc.AreaDamage.Down.01</v>
          </cell>
        </row>
        <row r="379">
          <cell r="A379" t="str">
            <v>AreaDamage.Down.02</v>
          </cell>
          <cell r="B379"/>
          <cell r="C379"/>
          <cell r="D379">
            <v>0</v>
          </cell>
          <cell r="E379">
            <v>0</v>
          </cell>
          <cell r="F379">
            <v>0</v>
          </cell>
          <cell r="G379" t="str">
            <v>none</v>
          </cell>
          <cell r="H379"/>
          <cell r="I379" t="b">
            <v>0</v>
          </cell>
          <cell r="J379" t="b">
            <v>0</v>
          </cell>
          <cell r="K379" t="b">
            <v>0</v>
          </cell>
          <cell r="L379" t="str">
            <v>Effect/Prefab/10_buff/EFF_debuff_down</v>
          </cell>
          <cell r="M379" t="str">
            <v>icon_battle_areadamage</v>
          </cell>
          <cell r="N379" t="str">
            <v>Buff.Name.AreaDamage.Down.02</v>
          </cell>
          <cell r="O379" t="str">
            <v>Buff.Desc.AreaDamage.Down.02</v>
          </cell>
        </row>
        <row r="380">
          <cell r="A380" t="str">
            <v>AreaDamage.Down.03</v>
          </cell>
          <cell r="B380"/>
          <cell r="C380"/>
          <cell r="D380">
            <v>0</v>
          </cell>
          <cell r="E380">
            <v>0</v>
          </cell>
          <cell r="F380">
            <v>0</v>
          </cell>
          <cell r="G380" t="str">
            <v>none</v>
          </cell>
          <cell r="H380"/>
          <cell r="I380" t="b">
            <v>0</v>
          </cell>
          <cell r="J380" t="b">
            <v>0</v>
          </cell>
          <cell r="K380" t="b">
            <v>0</v>
          </cell>
          <cell r="L380" t="str">
            <v>Effect/Prefab/10_buff/EFF_debuff_down</v>
          </cell>
          <cell r="M380" t="str">
            <v>icon_battle_areadamage</v>
          </cell>
          <cell r="N380" t="str">
            <v>Buff.Name.AreaDamage.Down.03</v>
          </cell>
          <cell r="O380" t="str">
            <v>Buff.Desc.AreaDamage.Down.03</v>
          </cell>
        </row>
        <row r="381">
          <cell r="A381" t="str">
            <v>AreaDamage.Down.04</v>
          </cell>
          <cell r="B381"/>
          <cell r="C381"/>
          <cell r="D381">
            <v>0</v>
          </cell>
          <cell r="E381">
            <v>0</v>
          </cell>
          <cell r="F381">
            <v>0</v>
          </cell>
          <cell r="G381" t="str">
            <v>none</v>
          </cell>
          <cell r="H381"/>
          <cell r="I381" t="b">
            <v>0</v>
          </cell>
          <cell r="J381" t="b">
            <v>0</v>
          </cell>
          <cell r="K381" t="b">
            <v>0</v>
          </cell>
          <cell r="L381" t="str">
            <v>Effect/Prefab/10_buff/EFF_debuff_down</v>
          </cell>
          <cell r="M381" t="str">
            <v>icon_battle_areadamage</v>
          </cell>
          <cell r="N381" t="str">
            <v>Buff.Name.AreaDamage.Down.04</v>
          </cell>
          <cell r="O381" t="str">
            <v>Buff.Desc.AreaDamage.Down.04</v>
          </cell>
        </row>
        <row r="382">
          <cell r="A382" t="str">
            <v>AreaDamage.Down.05</v>
          </cell>
          <cell r="B382"/>
          <cell r="C382"/>
          <cell r="D382">
            <v>0</v>
          </cell>
          <cell r="E382">
            <v>0</v>
          </cell>
          <cell r="F382">
            <v>0</v>
          </cell>
          <cell r="G382" t="str">
            <v>none</v>
          </cell>
          <cell r="H382"/>
          <cell r="I382" t="b">
            <v>0</v>
          </cell>
          <cell r="J382" t="b">
            <v>0</v>
          </cell>
          <cell r="K382" t="b">
            <v>0</v>
          </cell>
          <cell r="L382" t="str">
            <v>Effect/Prefab/10_buff/EFF_debuff_down</v>
          </cell>
          <cell r="M382" t="str">
            <v>icon_battle_areadamage</v>
          </cell>
          <cell r="N382" t="str">
            <v>Buff.Name.AreaDamage.Down.05</v>
          </cell>
          <cell r="O382" t="str">
            <v>Buff.Desc.AreaDamage.Down.05</v>
          </cell>
        </row>
        <row r="383">
          <cell r="A383" t="str">
            <v>MeleeDamage.Down</v>
          </cell>
          <cell r="B383"/>
          <cell r="C383"/>
          <cell r="D383">
            <v>0</v>
          </cell>
          <cell r="E383">
            <v>0</v>
          </cell>
          <cell r="F383">
            <v>0</v>
          </cell>
          <cell r="G383" t="str">
            <v>none</v>
          </cell>
          <cell r="H383"/>
          <cell r="I383" t="b">
            <v>0</v>
          </cell>
          <cell r="J383" t="b">
            <v>0</v>
          </cell>
          <cell r="K383" t="b">
            <v>0</v>
          </cell>
          <cell r="L383" t="str">
            <v>Effect/Prefab/10_buff/EFF_debuff_down</v>
          </cell>
          <cell r="M383" t="str">
            <v>icon_battle_meleedamage</v>
          </cell>
          <cell r="N383" t="str">
            <v>Buff.Name.MeleeDamage.Down.00</v>
          </cell>
          <cell r="O383" t="str">
            <v>Buff.Desc.MeleeDamage.Down.00</v>
          </cell>
        </row>
        <row r="384">
          <cell r="A384" t="str">
            <v>MeleeDamage.Down.01</v>
          </cell>
          <cell r="B384"/>
          <cell r="C384"/>
          <cell r="D384">
            <v>0</v>
          </cell>
          <cell r="E384">
            <v>0</v>
          </cell>
          <cell r="F384">
            <v>0</v>
          </cell>
          <cell r="G384" t="str">
            <v>none</v>
          </cell>
          <cell r="H384"/>
          <cell r="I384" t="b">
            <v>0</v>
          </cell>
          <cell r="J384" t="b">
            <v>0</v>
          </cell>
          <cell r="K384" t="b">
            <v>0</v>
          </cell>
          <cell r="L384" t="str">
            <v>Effect/Prefab/10_buff/EFF_debuff_down</v>
          </cell>
          <cell r="M384" t="str">
            <v>icon_battle_meleedamage</v>
          </cell>
          <cell r="N384" t="str">
            <v>Buff.Name.MeleeDamage.Down.01</v>
          </cell>
          <cell r="O384" t="str">
            <v>Buff.Desc.MeleeDamage.Down.01</v>
          </cell>
        </row>
        <row r="385">
          <cell r="A385" t="str">
            <v>MeleeDamage.Down.02</v>
          </cell>
          <cell r="B385"/>
          <cell r="C385"/>
          <cell r="D385">
            <v>0</v>
          </cell>
          <cell r="E385">
            <v>0</v>
          </cell>
          <cell r="F385">
            <v>0</v>
          </cell>
          <cell r="G385" t="str">
            <v>none</v>
          </cell>
          <cell r="H385"/>
          <cell r="I385" t="b">
            <v>0</v>
          </cell>
          <cell r="J385" t="b">
            <v>0</v>
          </cell>
          <cell r="K385" t="b">
            <v>0</v>
          </cell>
          <cell r="L385" t="str">
            <v>Effect/Prefab/10_buff/EFF_debuff_down</v>
          </cell>
          <cell r="M385" t="str">
            <v>icon_battle_meleedamage</v>
          </cell>
          <cell r="N385" t="str">
            <v>Buff.Name.MeleeDamage.Down.02</v>
          </cell>
          <cell r="O385" t="str">
            <v>Buff.Desc.MeleeDamage.Down.02</v>
          </cell>
        </row>
        <row r="386">
          <cell r="A386" t="str">
            <v>MeleeDamage.Down.03</v>
          </cell>
          <cell r="B386"/>
          <cell r="C386"/>
          <cell r="D386">
            <v>0</v>
          </cell>
          <cell r="E386">
            <v>0</v>
          </cell>
          <cell r="F386">
            <v>0</v>
          </cell>
          <cell r="G386" t="str">
            <v>none</v>
          </cell>
          <cell r="H386"/>
          <cell r="I386" t="b">
            <v>0</v>
          </cell>
          <cell r="J386" t="b">
            <v>0</v>
          </cell>
          <cell r="K386" t="b">
            <v>0</v>
          </cell>
          <cell r="L386" t="str">
            <v>Effect/Prefab/10_buff/EFF_debuff_down</v>
          </cell>
          <cell r="M386" t="str">
            <v>icon_battle_meleedamage</v>
          </cell>
          <cell r="N386" t="str">
            <v>Buff.Name.MeleeDamage.Down.03</v>
          </cell>
          <cell r="O386" t="str">
            <v>Buff.Desc.MeleeDamage.Down.03</v>
          </cell>
        </row>
        <row r="387">
          <cell r="A387" t="str">
            <v>MeleeDamage.Down.04</v>
          </cell>
          <cell r="B387"/>
          <cell r="C387"/>
          <cell r="D387">
            <v>0</v>
          </cell>
          <cell r="E387">
            <v>0</v>
          </cell>
          <cell r="F387">
            <v>0</v>
          </cell>
          <cell r="G387" t="str">
            <v>none</v>
          </cell>
          <cell r="H387"/>
          <cell r="I387" t="b">
            <v>0</v>
          </cell>
          <cell r="J387" t="b">
            <v>0</v>
          </cell>
          <cell r="K387" t="b">
            <v>0</v>
          </cell>
          <cell r="L387" t="str">
            <v>Effect/Prefab/10_buff/EFF_debuff_down</v>
          </cell>
          <cell r="M387" t="str">
            <v>icon_battle_meleedamage</v>
          </cell>
          <cell r="N387" t="str">
            <v>Buff.Name.MeleeDamage.Down.04</v>
          </cell>
          <cell r="O387" t="str">
            <v>Buff.Desc.MeleeDamage.Down.04</v>
          </cell>
        </row>
        <row r="388">
          <cell r="A388" t="str">
            <v>MeleeDamage.Down.05</v>
          </cell>
          <cell r="B388"/>
          <cell r="C388"/>
          <cell r="D388">
            <v>0</v>
          </cell>
          <cell r="E388">
            <v>0</v>
          </cell>
          <cell r="F388">
            <v>0</v>
          </cell>
          <cell r="G388" t="str">
            <v>none</v>
          </cell>
          <cell r="H388"/>
          <cell r="I388" t="b">
            <v>0</v>
          </cell>
          <cell r="J388" t="b">
            <v>0</v>
          </cell>
          <cell r="K388" t="b">
            <v>0</v>
          </cell>
          <cell r="L388" t="str">
            <v>Effect/Prefab/10_buff/EFF_debuff_down</v>
          </cell>
          <cell r="M388" t="str">
            <v>icon_battle_meleedamage</v>
          </cell>
          <cell r="N388" t="str">
            <v>Buff.Name.MeleeDamage.Down.05</v>
          </cell>
          <cell r="O388" t="str">
            <v>Buff.Desc.MeleeDamage.Down.05</v>
          </cell>
        </row>
        <row r="389">
          <cell r="A389" t="str">
            <v>RangeDamage.Down</v>
          </cell>
          <cell r="B389"/>
          <cell r="C389"/>
          <cell r="D389">
            <v>0</v>
          </cell>
          <cell r="E389">
            <v>0</v>
          </cell>
          <cell r="F389">
            <v>0</v>
          </cell>
          <cell r="G389" t="str">
            <v>none</v>
          </cell>
          <cell r="H389"/>
          <cell r="I389" t="b">
            <v>0</v>
          </cell>
          <cell r="J389" t="b">
            <v>0</v>
          </cell>
          <cell r="K389" t="b">
            <v>0</v>
          </cell>
          <cell r="L389" t="str">
            <v>Effect/Prefab/10_buff/EFF_debuff_down</v>
          </cell>
          <cell r="M389" t="str">
            <v>icon_battle_rangedamage</v>
          </cell>
          <cell r="N389" t="str">
            <v>Buff.Name.RangeDamage.Down.00</v>
          </cell>
          <cell r="O389" t="str">
            <v>Buff.Desc.RangeDamage.Down.00</v>
          </cell>
        </row>
        <row r="390">
          <cell r="A390" t="str">
            <v>RangeDamage.Down.01</v>
          </cell>
          <cell r="B390"/>
          <cell r="C390"/>
          <cell r="D390">
            <v>0</v>
          </cell>
          <cell r="E390">
            <v>0</v>
          </cell>
          <cell r="F390">
            <v>0</v>
          </cell>
          <cell r="G390" t="str">
            <v>none</v>
          </cell>
          <cell r="H390"/>
          <cell r="I390" t="b">
            <v>0</v>
          </cell>
          <cell r="J390" t="b">
            <v>0</v>
          </cell>
          <cell r="K390" t="b">
            <v>0</v>
          </cell>
          <cell r="L390" t="str">
            <v>Effect/Prefab/10_buff/EFF_debuff_down</v>
          </cell>
          <cell r="M390" t="str">
            <v>icon_battle_rangedamage</v>
          </cell>
          <cell r="N390" t="str">
            <v>Buff.Name.RangeDamage.Down.01</v>
          </cell>
          <cell r="O390" t="str">
            <v>Buff.Desc.RangeDamage.Down.01</v>
          </cell>
        </row>
        <row r="391">
          <cell r="A391" t="str">
            <v>RangeDamage.Down.02</v>
          </cell>
          <cell r="B391"/>
          <cell r="C391"/>
          <cell r="D391">
            <v>0</v>
          </cell>
          <cell r="E391">
            <v>0</v>
          </cell>
          <cell r="F391">
            <v>0</v>
          </cell>
          <cell r="G391" t="str">
            <v>none</v>
          </cell>
          <cell r="H391"/>
          <cell r="I391" t="b">
            <v>0</v>
          </cell>
          <cell r="J391" t="b">
            <v>0</v>
          </cell>
          <cell r="K391" t="b">
            <v>0</v>
          </cell>
          <cell r="L391" t="str">
            <v>Effect/Prefab/10_buff/EFF_debuff_down</v>
          </cell>
          <cell r="M391" t="str">
            <v>icon_battle_rangedamage</v>
          </cell>
          <cell r="N391" t="str">
            <v>Buff.Name.RangeDamage.Down.02</v>
          </cell>
          <cell r="O391" t="str">
            <v>Buff.Desc.RangeDamage.Down.02</v>
          </cell>
        </row>
        <row r="392">
          <cell r="A392" t="str">
            <v>RangeDamage.Down.03</v>
          </cell>
          <cell r="B392"/>
          <cell r="C392"/>
          <cell r="D392">
            <v>0</v>
          </cell>
          <cell r="E392">
            <v>0</v>
          </cell>
          <cell r="F392">
            <v>0</v>
          </cell>
          <cell r="G392" t="str">
            <v>none</v>
          </cell>
          <cell r="H392"/>
          <cell r="I392" t="b">
            <v>0</v>
          </cell>
          <cell r="J392" t="b">
            <v>0</v>
          </cell>
          <cell r="K392" t="b">
            <v>0</v>
          </cell>
          <cell r="L392" t="str">
            <v>Effect/Prefab/10_buff/EFF_debuff_down</v>
          </cell>
          <cell r="M392" t="str">
            <v>icon_battle_rangedamage</v>
          </cell>
          <cell r="N392" t="str">
            <v>Buff.Name.RangeDamage.Down.03</v>
          </cell>
          <cell r="O392" t="str">
            <v>Buff.Desc.RangeDamage.Down.03</v>
          </cell>
        </row>
        <row r="393">
          <cell r="A393" t="str">
            <v>RangeDamage.Down.04</v>
          </cell>
          <cell r="B393"/>
          <cell r="C393"/>
          <cell r="D393">
            <v>0</v>
          </cell>
          <cell r="E393">
            <v>0</v>
          </cell>
          <cell r="F393">
            <v>0</v>
          </cell>
          <cell r="G393" t="str">
            <v>none</v>
          </cell>
          <cell r="H393"/>
          <cell r="I393" t="b">
            <v>0</v>
          </cell>
          <cell r="J393" t="b">
            <v>0</v>
          </cell>
          <cell r="K393" t="b">
            <v>0</v>
          </cell>
          <cell r="L393" t="str">
            <v>Effect/Prefab/10_buff/EFF_debuff_down</v>
          </cell>
          <cell r="M393" t="str">
            <v>icon_battle_rangedamage</v>
          </cell>
          <cell r="N393" t="str">
            <v>Buff.Name.RangeDamage.Down.04</v>
          </cell>
          <cell r="O393" t="str">
            <v>Buff.Desc.RangeDamage.Down.04</v>
          </cell>
        </row>
        <row r="394">
          <cell r="A394" t="str">
            <v>RangeDamage.Down.05</v>
          </cell>
          <cell r="B394"/>
          <cell r="C394"/>
          <cell r="D394">
            <v>0</v>
          </cell>
          <cell r="E394">
            <v>0</v>
          </cell>
          <cell r="F394">
            <v>0</v>
          </cell>
          <cell r="G394" t="str">
            <v>none</v>
          </cell>
          <cell r="H394"/>
          <cell r="I394" t="b">
            <v>0</v>
          </cell>
          <cell r="J394" t="b">
            <v>0</v>
          </cell>
          <cell r="K394" t="b">
            <v>0</v>
          </cell>
          <cell r="L394" t="str">
            <v>Effect/Prefab/10_buff/EFF_debuff_down</v>
          </cell>
          <cell r="M394" t="str">
            <v>icon_battle_rangedamage</v>
          </cell>
          <cell r="N394" t="str">
            <v>Buff.Name.RangeDamage.Down.05</v>
          </cell>
          <cell r="O394" t="str">
            <v>Buff.Desc.RangeDamage.Down.05</v>
          </cell>
        </row>
        <row r="395">
          <cell r="A395" t="str">
            <v>DotDamage.Down</v>
          </cell>
          <cell r="B395"/>
          <cell r="C395"/>
          <cell r="D395">
            <v>0</v>
          </cell>
          <cell r="E395">
            <v>0</v>
          </cell>
          <cell r="F395">
            <v>0</v>
          </cell>
          <cell r="G395" t="str">
            <v>none</v>
          </cell>
          <cell r="H395"/>
          <cell r="I395" t="b">
            <v>0</v>
          </cell>
          <cell r="J395" t="b">
            <v>0</v>
          </cell>
          <cell r="K395" t="b">
            <v>0</v>
          </cell>
          <cell r="L395" t="str">
            <v>Effect/Prefab/10_buff/EFF_debuff_down</v>
          </cell>
          <cell r="M395" t="str">
            <v>icon_battle_dot_crt</v>
          </cell>
          <cell r="N395" t="str">
            <v>Buff.Name.DotDamage.Down.00</v>
          </cell>
          <cell r="O395" t="str">
            <v>Buff.Desc.DotDamage.Down.00</v>
          </cell>
        </row>
        <row r="396">
          <cell r="A396" t="str">
            <v>DotDamage.Down.01</v>
          </cell>
          <cell r="B396"/>
          <cell r="C396"/>
          <cell r="D396">
            <v>0</v>
          </cell>
          <cell r="E396">
            <v>0</v>
          </cell>
          <cell r="F396">
            <v>0</v>
          </cell>
          <cell r="G396" t="str">
            <v>none</v>
          </cell>
          <cell r="H396"/>
          <cell r="I396" t="b">
            <v>0</v>
          </cell>
          <cell r="J396" t="b">
            <v>0</v>
          </cell>
          <cell r="K396" t="b">
            <v>0</v>
          </cell>
          <cell r="L396" t="str">
            <v>Effect/Prefab/10_buff/EFF_debuff_down</v>
          </cell>
          <cell r="M396" t="str">
            <v>icon_battle_dot_crt</v>
          </cell>
          <cell r="N396" t="str">
            <v>Buff.Name.DotDamage.Down.01</v>
          </cell>
          <cell r="O396" t="str">
            <v>Buff.Desc.DotDamage.Down.01</v>
          </cell>
        </row>
        <row r="397">
          <cell r="A397" t="str">
            <v>DotDamage.Down.02</v>
          </cell>
          <cell r="B397"/>
          <cell r="C397"/>
          <cell r="D397">
            <v>0</v>
          </cell>
          <cell r="E397">
            <v>0</v>
          </cell>
          <cell r="F397">
            <v>0</v>
          </cell>
          <cell r="G397" t="str">
            <v>none</v>
          </cell>
          <cell r="H397"/>
          <cell r="I397" t="b">
            <v>0</v>
          </cell>
          <cell r="J397" t="b">
            <v>0</v>
          </cell>
          <cell r="K397" t="b">
            <v>0</v>
          </cell>
          <cell r="L397" t="str">
            <v>Effect/Prefab/10_buff/EFF_debuff_down</v>
          </cell>
          <cell r="M397" t="str">
            <v>icon_battle_dot_crt</v>
          </cell>
          <cell r="N397" t="str">
            <v>Buff.Name.DotDamage.Down.02</v>
          </cell>
          <cell r="O397" t="str">
            <v>Buff.Desc.DotDamage.Down.02</v>
          </cell>
        </row>
        <row r="398">
          <cell r="A398" t="str">
            <v>DotDamage.Down.03</v>
          </cell>
          <cell r="B398"/>
          <cell r="C398"/>
          <cell r="D398">
            <v>0</v>
          </cell>
          <cell r="E398">
            <v>0</v>
          </cell>
          <cell r="F398">
            <v>0</v>
          </cell>
          <cell r="G398" t="str">
            <v>none</v>
          </cell>
          <cell r="H398"/>
          <cell r="I398" t="b">
            <v>0</v>
          </cell>
          <cell r="J398" t="b">
            <v>0</v>
          </cell>
          <cell r="K398" t="b">
            <v>0</v>
          </cell>
          <cell r="L398" t="str">
            <v>Effect/Prefab/10_buff/EFF_debuff_down</v>
          </cell>
          <cell r="M398" t="str">
            <v>icon_battle_dot_crt</v>
          </cell>
          <cell r="N398" t="str">
            <v>Buff.Name.DotDamage.Down.03</v>
          </cell>
          <cell r="O398" t="str">
            <v>Buff.Desc.DotDamage.Down.03</v>
          </cell>
        </row>
        <row r="399">
          <cell r="A399" t="str">
            <v>DotDamage.Down.04</v>
          </cell>
          <cell r="B399"/>
          <cell r="C399"/>
          <cell r="D399">
            <v>0</v>
          </cell>
          <cell r="E399">
            <v>0</v>
          </cell>
          <cell r="F399">
            <v>0</v>
          </cell>
          <cell r="G399" t="str">
            <v>none</v>
          </cell>
          <cell r="H399"/>
          <cell r="I399" t="b">
            <v>0</v>
          </cell>
          <cell r="J399" t="b">
            <v>0</v>
          </cell>
          <cell r="K399" t="b">
            <v>0</v>
          </cell>
          <cell r="L399" t="str">
            <v>Effect/Prefab/10_buff/EFF_debuff_down</v>
          </cell>
          <cell r="M399" t="str">
            <v>icon_battle_dot_crt</v>
          </cell>
          <cell r="N399" t="str">
            <v>Buff.Name.DotDamage.Down.04</v>
          </cell>
          <cell r="O399" t="str">
            <v>Buff.Desc.DotDamage.Down.04</v>
          </cell>
        </row>
        <row r="400">
          <cell r="A400" t="str">
            <v>DotDamage.Down.05</v>
          </cell>
          <cell r="B400"/>
          <cell r="C400"/>
          <cell r="D400">
            <v>0</v>
          </cell>
          <cell r="E400">
            <v>0</v>
          </cell>
          <cell r="F400">
            <v>0</v>
          </cell>
          <cell r="G400" t="str">
            <v>none</v>
          </cell>
          <cell r="H400"/>
          <cell r="I400" t="b">
            <v>0</v>
          </cell>
          <cell r="J400" t="b">
            <v>0</v>
          </cell>
          <cell r="K400" t="b">
            <v>0</v>
          </cell>
          <cell r="L400" t="str">
            <v>Effect/Prefab/10_buff/EFF_debuff_down</v>
          </cell>
          <cell r="M400" t="str">
            <v>icon_battle_dot_crt</v>
          </cell>
          <cell r="N400" t="str">
            <v>Buff.Name.DotDamage.Down.05</v>
          </cell>
          <cell r="O400" t="str">
            <v>Buff.Desc.DotDamage.Down.05</v>
          </cell>
        </row>
        <row r="401">
          <cell r="A401" t="str">
            <v>Reduce.Damage.Down</v>
          </cell>
          <cell r="B401"/>
          <cell r="C401"/>
          <cell r="D401">
            <v>0</v>
          </cell>
          <cell r="E401">
            <v>0</v>
          </cell>
          <cell r="F401">
            <v>0</v>
          </cell>
          <cell r="G401" t="str">
            <v>none</v>
          </cell>
          <cell r="H401"/>
          <cell r="I401" t="b">
            <v>0</v>
          </cell>
          <cell r="J401" t="b">
            <v>0</v>
          </cell>
          <cell r="K401" t="b">
            <v>0</v>
          </cell>
          <cell r="L401" t="str">
            <v>Effect/Prefab/10_buff/EFF_debuff_down</v>
          </cell>
          <cell r="M401" t="str">
            <v>icon_battle_damageimmune</v>
          </cell>
          <cell r="N401" t="str">
            <v>Buff.Name.Reduce.Damage.Down.00</v>
          </cell>
          <cell r="O401" t="str">
            <v>Buff.Desc.Reduce.Damage.Down.00</v>
          </cell>
        </row>
        <row r="402">
          <cell r="A402" t="str">
            <v>Reduce.Damage.Down.01</v>
          </cell>
          <cell r="B402"/>
          <cell r="C402"/>
          <cell r="D402">
            <v>0</v>
          </cell>
          <cell r="E402">
            <v>0</v>
          </cell>
          <cell r="F402">
            <v>0</v>
          </cell>
          <cell r="G402" t="str">
            <v>none</v>
          </cell>
          <cell r="H402"/>
          <cell r="I402" t="b">
            <v>0</v>
          </cell>
          <cell r="J402" t="b">
            <v>0</v>
          </cell>
          <cell r="K402" t="b">
            <v>0</v>
          </cell>
          <cell r="L402" t="str">
            <v>Effect/Prefab/10_buff/EFF_debuff_down</v>
          </cell>
          <cell r="M402" t="str">
            <v>icon_battle_damageimmune</v>
          </cell>
          <cell r="N402" t="str">
            <v>Buff.Name.Reduce.Damage.Down.01</v>
          </cell>
          <cell r="O402" t="str">
            <v>Buff.Desc.Reduce.Damage.Down.01</v>
          </cell>
        </row>
        <row r="403">
          <cell r="A403" t="str">
            <v>Reduce.Damage.Down.02</v>
          </cell>
          <cell r="B403"/>
          <cell r="C403"/>
          <cell r="D403">
            <v>0</v>
          </cell>
          <cell r="E403">
            <v>0</v>
          </cell>
          <cell r="F403">
            <v>0</v>
          </cell>
          <cell r="G403" t="str">
            <v>none</v>
          </cell>
          <cell r="H403"/>
          <cell r="I403" t="b">
            <v>0</v>
          </cell>
          <cell r="J403" t="b">
            <v>0</v>
          </cell>
          <cell r="K403" t="b">
            <v>0</v>
          </cell>
          <cell r="L403" t="str">
            <v>Effect/Prefab/10_buff/EFF_debuff_down</v>
          </cell>
          <cell r="M403" t="str">
            <v>icon_battle_damageimmune</v>
          </cell>
          <cell r="N403" t="str">
            <v>Buff.Name.Reduce.Damage.Down.02</v>
          </cell>
          <cell r="O403" t="str">
            <v>Buff.Desc.Reduce.Damage.Down.02</v>
          </cell>
        </row>
        <row r="404">
          <cell r="A404" t="str">
            <v>Reduce.Damage.Down.03</v>
          </cell>
          <cell r="B404"/>
          <cell r="C404"/>
          <cell r="D404">
            <v>0</v>
          </cell>
          <cell r="E404">
            <v>0</v>
          </cell>
          <cell r="F404">
            <v>0</v>
          </cell>
          <cell r="G404" t="str">
            <v>none</v>
          </cell>
          <cell r="H404"/>
          <cell r="I404" t="b">
            <v>0</v>
          </cell>
          <cell r="J404" t="b">
            <v>0</v>
          </cell>
          <cell r="K404" t="b">
            <v>0</v>
          </cell>
          <cell r="L404" t="str">
            <v>Effect/Prefab/10_buff/EFF_debuff_down</v>
          </cell>
          <cell r="M404" t="str">
            <v>icon_battle_damageimmune</v>
          </cell>
          <cell r="N404" t="str">
            <v>Buff.Name.Reduce.Damage.Down.03</v>
          </cell>
          <cell r="O404" t="str">
            <v>Buff.Desc.Reduce.Damage.Down.03</v>
          </cell>
        </row>
        <row r="405">
          <cell r="A405" t="str">
            <v>Reduce.Damage.Down.04</v>
          </cell>
          <cell r="B405"/>
          <cell r="C405"/>
          <cell r="D405">
            <v>0</v>
          </cell>
          <cell r="E405">
            <v>0</v>
          </cell>
          <cell r="F405">
            <v>0</v>
          </cell>
          <cell r="G405" t="str">
            <v>none</v>
          </cell>
          <cell r="H405"/>
          <cell r="I405" t="b">
            <v>0</v>
          </cell>
          <cell r="J405" t="b">
            <v>0</v>
          </cell>
          <cell r="K405" t="b">
            <v>0</v>
          </cell>
          <cell r="L405" t="str">
            <v>Effect/Prefab/10_buff/EFF_debuff_down</v>
          </cell>
          <cell r="M405" t="str">
            <v>icon_battle_damageimmune</v>
          </cell>
          <cell r="N405" t="str">
            <v>Buff.Name.Reduce.Damage.Down.04</v>
          </cell>
          <cell r="O405" t="str">
            <v>Buff.Desc.Reduce.Damage.Down.04</v>
          </cell>
        </row>
        <row r="406">
          <cell r="A406" t="str">
            <v>Reduce.Damage.Down.05</v>
          </cell>
          <cell r="B406"/>
          <cell r="C406"/>
          <cell r="D406">
            <v>0</v>
          </cell>
          <cell r="E406">
            <v>0</v>
          </cell>
          <cell r="F406">
            <v>0</v>
          </cell>
          <cell r="G406" t="str">
            <v>none</v>
          </cell>
          <cell r="H406"/>
          <cell r="I406" t="b">
            <v>0</v>
          </cell>
          <cell r="J406" t="b">
            <v>0</v>
          </cell>
          <cell r="K406" t="b">
            <v>0</v>
          </cell>
          <cell r="L406" t="str">
            <v>Effect/Prefab/10_buff/EFF_debuff_down</v>
          </cell>
          <cell r="M406" t="str">
            <v>icon_battle_damageimmune</v>
          </cell>
          <cell r="N406" t="str">
            <v>Buff.Name.Reduce.Damage.Down.05</v>
          </cell>
          <cell r="O406" t="str">
            <v>Buff.Desc.Reduce.Damage.Down.05</v>
          </cell>
        </row>
        <row r="407">
          <cell r="A407" t="str">
            <v>Reduce.SingleDamage.Down</v>
          </cell>
          <cell r="B407"/>
          <cell r="C407"/>
          <cell r="D407">
            <v>0</v>
          </cell>
          <cell r="E407">
            <v>0</v>
          </cell>
          <cell r="F407">
            <v>0</v>
          </cell>
          <cell r="G407" t="str">
            <v>none</v>
          </cell>
          <cell r="H407"/>
          <cell r="I407" t="b">
            <v>0</v>
          </cell>
          <cell r="J407" t="b">
            <v>0</v>
          </cell>
          <cell r="K407" t="b">
            <v>0</v>
          </cell>
          <cell r="L407" t="str">
            <v>Effect/Prefab/10_buff/EFF_debuff_down</v>
          </cell>
          <cell r="M407" t="str">
            <v>icon_battle_damageimmune</v>
          </cell>
          <cell r="N407" t="str">
            <v>Buff.Name.Reduce.SingleDamage.Down.00</v>
          </cell>
          <cell r="O407" t="str">
            <v>Buff.Desc.Reduce.SingleDamage.Down.00</v>
          </cell>
        </row>
        <row r="408">
          <cell r="A408" t="str">
            <v>Reduce.SingleDamage.Down.01</v>
          </cell>
          <cell r="B408"/>
          <cell r="C408"/>
          <cell r="D408">
            <v>0</v>
          </cell>
          <cell r="E408">
            <v>0</v>
          </cell>
          <cell r="F408">
            <v>0</v>
          </cell>
          <cell r="G408" t="str">
            <v>none</v>
          </cell>
          <cell r="H408"/>
          <cell r="I408" t="b">
            <v>0</v>
          </cell>
          <cell r="J408" t="b">
            <v>0</v>
          </cell>
          <cell r="K408" t="b">
            <v>0</v>
          </cell>
          <cell r="L408" t="str">
            <v>Effect/Prefab/10_buff/EFF_debuff_down</v>
          </cell>
          <cell r="M408" t="str">
            <v>icon_battle_damageimmune</v>
          </cell>
          <cell r="N408" t="str">
            <v>Buff.Name.Reduce.SingleDamage.Down.01</v>
          </cell>
          <cell r="O408" t="str">
            <v>Buff.Desc.Reduce.SingleDamage.Down.01</v>
          </cell>
        </row>
        <row r="409">
          <cell r="A409" t="str">
            <v>Reduce.SingleDamage.Down.02</v>
          </cell>
          <cell r="B409"/>
          <cell r="C409"/>
          <cell r="D409">
            <v>0</v>
          </cell>
          <cell r="E409">
            <v>0</v>
          </cell>
          <cell r="F409">
            <v>0</v>
          </cell>
          <cell r="G409" t="str">
            <v>none</v>
          </cell>
          <cell r="H409"/>
          <cell r="I409" t="b">
            <v>0</v>
          </cell>
          <cell r="J409" t="b">
            <v>0</v>
          </cell>
          <cell r="K409" t="b">
            <v>0</v>
          </cell>
          <cell r="L409" t="str">
            <v>Effect/Prefab/10_buff/EFF_debuff_down</v>
          </cell>
          <cell r="M409" t="str">
            <v>icon_battle_damageimmune</v>
          </cell>
          <cell r="N409" t="str">
            <v>Buff.Name.Reduce.SingleDamage.Down.02</v>
          </cell>
          <cell r="O409" t="str">
            <v>Buff.Desc.Reduce.SingleDamage.Down.02</v>
          </cell>
        </row>
        <row r="410">
          <cell r="A410" t="str">
            <v>Reduce.SingleDamage.Down.03</v>
          </cell>
          <cell r="B410"/>
          <cell r="C410"/>
          <cell r="D410">
            <v>0</v>
          </cell>
          <cell r="E410">
            <v>0</v>
          </cell>
          <cell r="F410">
            <v>0</v>
          </cell>
          <cell r="G410" t="str">
            <v>none</v>
          </cell>
          <cell r="H410"/>
          <cell r="I410" t="b">
            <v>0</v>
          </cell>
          <cell r="J410" t="b">
            <v>0</v>
          </cell>
          <cell r="K410" t="b">
            <v>0</v>
          </cell>
          <cell r="L410" t="str">
            <v>Effect/Prefab/10_buff/EFF_debuff_down</v>
          </cell>
          <cell r="M410" t="str">
            <v>icon_battle_damageimmune</v>
          </cell>
          <cell r="N410" t="str">
            <v>Buff.Name.Reduce.SingleDamage.Down.03</v>
          </cell>
          <cell r="O410" t="str">
            <v>Buff.Desc.Reduce.SingleDamage.Down.03</v>
          </cell>
        </row>
        <row r="411">
          <cell r="A411" t="str">
            <v>Reduce.SingleDamage.Down.04</v>
          </cell>
          <cell r="B411"/>
          <cell r="C411"/>
          <cell r="D411">
            <v>0</v>
          </cell>
          <cell r="E411">
            <v>0</v>
          </cell>
          <cell r="F411">
            <v>0</v>
          </cell>
          <cell r="G411" t="str">
            <v>none</v>
          </cell>
          <cell r="H411"/>
          <cell r="I411" t="b">
            <v>0</v>
          </cell>
          <cell r="J411" t="b">
            <v>0</v>
          </cell>
          <cell r="K411" t="b">
            <v>0</v>
          </cell>
          <cell r="L411" t="str">
            <v>Effect/Prefab/10_buff/EFF_debuff_down</v>
          </cell>
          <cell r="M411" t="str">
            <v>icon_battle_damageimmune</v>
          </cell>
          <cell r="N411" t="str">
            <v>Buff.Name.Reduce.SingleDamage.Down.04</v>
          </cell>
          <cell r="O411" t="str">
            <v>Buff.Desc.Reduce.SingleDamage.Down.04</v>
          </cell>
        </row>
        <row r="412">
          <cell r="A412" t="str">
            <v>Reduce.SingleDamage.Down.05</v>
          </cell>
          <cell r="B412"/>
          <cell r="C412"/>
          <cell r="D412">
            <v>0</v>
          </cell>
          <cell r="E412">
            <v>0</v>
          </cell>
          <cell r="F412">
            <v>0</v>
          </cell>
          <cell r="G412" t="str">
            <v>none</v>
          </cell>
          <cell r="H412"/>
          <cell r="I412" t="b">
            <v>0</v>
          </cell>
          <cell r="J412" t="b">
            <v>0</v>
          </cell>
          <cell r="K412" t="b">
            <v>0</v>
          </cell>
          <cell r="L412" t="str">
            <v>Effect/Prefab/10_buff/EFF_debuff_down</v>
          </cell>
          <cell r="M412" t="str">
            <v>icon_battle_damageimmune</v>
          </cell>
          <cell r="N412" t="str">
            <v>Buff.Name.Reduce.SingleDamage.Down.05</v>
          </cell>
          <cell r="O412" t="str">
            <v>Buff.Desc.Reduce.SingleDamage.Down.05</v>
          </cell>
        </row>
        <row r="413">
          <cell r="A413" t="str">
            <v>Reduce.Active.Damage.Down</v>
          </cell>
          <cell r="B413"/>
          <cell r="C413"/>
          <cell r="D413">
            <v>0</v>
          </cell>
          <cell r="E413">
            <v>0</v>
          </cell>
          <cell r="F413">
            <v>0</v>
          </cell>
          <cell r="G413" t="str">
            <v>none</v>
          </cell>
          <cell r="H413"/>
          <cell r="I413" t="b">
            <v>0</v>
          </cell>
          <cell r="J413" t="b">
            <v>0</v>
          </cell>
          <cell r="K413" t="b">
            <v>0</v>
          </cell>
          <cell r="L413" t="str">
            <v>Effect/Prefab/10_buff/EFF_debuff_down</v>
          </cell>
          <cell r="M413" t="str">
            <v>icon_battle_damageimmune</v>
          </cell>
          <cell r="N413" t="str">
            <v>Buff.Name.Reduce.Active.Damage.Down.00</v>
          </cell>
          <cell r="O413" t="str">
            <v>Buff.Desc.Reduce.Active.Damage.Down.00</v>
          </cell>
        </row>
        <row r="414">
          <cell r="A414" t="str">
            <v>Reduce.Active.Damage.Down.01</v>
          </cell>
          <cell r="B414"/>
          <cell r="C414"/>
          <cell r="D414">
            <v>0</v>
          </cell>
          <cell r="E414">
            <v>0</v>
          </cell>
          <cell r="F414">
            <v>0</v>
          </cell>
          <cell r="G414" t="str">
            <v>none</v>
          </cell>
          <cell r="H414"/>
          <cell r="I414" t="b">
            <v>0</v>
          </cell>
          <cell r="J414" t="b">
            <v>0</v>
          </cell>
          <cell r="K414" t="b">
            <v>0</v>
          </cell>
          <cell r="L414" t="str">
            <v>Effect/Prefab/10_buff/EFF_debuff_down</v>
          </cell>
          <cell r="M414" t="str">
            <v>icon_battle_damageimmune</v>
          </cell>
          <cell r="N414" t="str">
            <v>Buff.Name.Reduce.Active.Damage.Down.01</v>
          </cell>
          <cell r="O414" t="str">
            <v>Buff.Desc.Reduce.Active.Damage.Down.01</v>
          </cell>
        </row>
        <row r="415">
          <cell r="A415" t="str">
            <v>Reduce.Active.Damage.Down.02</v>
          </cell>
          <cell r="B415"/>
          <cell r="C415"/>
          <cell r="D415">
            <v>0</v>
          </cell>
          <cell r="E415">
            <v>0</v>
          </cell>
          <cell r="F415">
            <v>0</v>
          </cell>
          <cell r="G415" t="str">
            <v>none</v>
          </cell>
          <cell r="H415"/>
          <cell r="I415" t="b">
            <v>0</v>
          </cell>
          <cell r="J415" t="b">
            <v>0</v>
          </cell>
          <cell r="K415" t="b">
            <v>0</v>
          </cell>
          <cell r="L415" t="str">
            <v>Effect/Prefab/10_buff/EFF_debuff_down</v>
          </cell>
          <cell r="M415" t="str">
            <v>icon_battle_damageimmune</v>
          </cell>
          <cell r="N415" t="str">
            <v>Buff.Name.Reduce.Active.Damage.Down.02</v>
          </cell>
          <cell r="O415" t="str">
            <v>Buff.Desc.Reduce.Active.Damage.Down.02</v>
          </cell>
        </row>
        <row r="416">
          <cell r="A416" t="str">
            <v>Reduce.Active.Damage.Down.03</v>
          </cell>
          <cell r="B416"/>
          <cell r="C416"/>
          <cell r="D416">
            <v>0</v>
          </cell>
          <cell r="E416">
            <v>0</v>
          </cell>
          <cell r="F416">
            <v>0</v>
          </cell>
          <cell r="G416" t="str">
            <v>none</v>
          </cell>
          <cell r="H416"/>
          <cell r="I416" t="b">
            <v>0</v>
          </cell>
          <cell r="J416" t="b">
            <v>0</v>
          </cell>
          <cell r="K416" t="b">
            <v>0</v>
          </cell>
          <cell r="L416" t="str">
            <v>Effect/Prefab/10_buff/EFF_debuff_down</v>
          </cell>
          <cell r="M416" t="str">
            <v>icon_battle_damageimmune</v>
          </cell>
          <cell r="N416" t="str">
            <v>Buff.Name.Reduce.Active.Damage.Down.03</v>
          </cell>
          <cell r="O416" t="str">
            <v>Buff.Desc.Reduce.Active.Damage.Down.03</v>
          </cell>
        </row>
        <row r="417">
          <cell r="A417" t="str">
            <v>Reduce.Active.Damage.Down.04</v>
          </cell>
          <cell r="B417"/>
          <cell r="C417"/>
          <cell r="D417">
            <v>0</v>
          </cell>
          <cell r="E417">
            <v>0</v>
          </cell>
          <cell r="F417">
            <v>0</v>
          </cell>
          <cell r="G417" t="str">
            <v>none</v>
          </cell>
          <cell r="H417"/>
          <cell r="I417" t="b">
            <v>0</v>
          </cell>
          <cell r="J417" t="b">
            <v>0</v>
          </cell>
          <cell r="K417" t="b">
            <v>0</v>
          </cell>
          <cell r="L417" t="str">
            <v>Effect/Prefab/10_buff/EFF_debuff_down</v>
          </cell>
          <cell r="M417" t="str">
            <v>icon_battle_damageimmune</v>
          </cell>
          <cell r="N417" t="str">
            <v>Buff.Name.Reduce.Active.Damage.Down.04</v>
          </cell>
          <cell r="O417" t="str">
            <v>Buff.Desc.Reduce.Active.Damage.Down.04</v>
          </cell>
        </row>
        <row r="418">
          <cell r="A418" t="str">
            <v>Reduce.Active.Damage.Down.05</v>
          </cell>
          <cell r="B418"/>
          <cell r="C418"/>
          <cell r="D418">
            <v>0</v>
          </cell>
          <cell r="E418">
            <v>0</v>
          </cell>
          <cell r="F418">
            <v>0</v>
          </cell>
          <cell r="G418" t="str">
            <v>none</v>
          </cell>
          <cell r="H418"/>
          <cell r="I418" t="b">
            <v>0</v>
          </cell>
          <cell r="J418" t="b">
            <v>0</v>
          </cell>
          <cell r="K418" t="b">
            <v>0</v>
          </cell>
          <cell r="L418" t="str">
            <v>Effect/Prefab/10_buff/EFF_debuff_down</v>
          </cell>
          <cell r="M418" t="str">
            <v>icon_battle_damageimmune</v>
          </cell>
          <cell r="N418" t="str">
            <v>Buff.Name.Reduce.Active.Damage.Down.05</v>
          </cell>
          <cell r="O418" t="str">
            <v>Buff.Desc.Reduce.Active.Damage.Down.05</v>
          </cell>
        </row>
        <row r="419">
          <cell r="A419" t="str">
            <v>Reduce.Ultimate.Damage.Down</v>
          </cell>
          <cell r="B419"/>
          <cell r="C419"/>
          <cell r="D419">
            <v>0</v>
          </cell>
          <cell r="E419">
            <v>0</v>
          </cell>
          <cell r="F419">
            <v>0</v>
          </cell>
          <cell r="G419" t="str">
            <v>none</v>
          </cell>
          <cell r="H419"/>
          <cell r="I419" t="b">
            <v>0</v>
          </cell>
          <cell r="J419" t="b">
            <v>0</v>
          </cell>
          <cell r="K419" t="b">
            <v>0</v>
          </cell>
          <cell r="L419" t="str">
            <v>Effect/Prefab/10_buff/EFF_debuff_down</v>
          </cell>
          <cell r="M419" t="str">
            <v>icon_battle_damageimmune</v>
          </cell>
          <cell r="N419" t="str">
            <v>Buff.Name.Reduce.Ultimate.Damage.Down.00</v>
          </cell>
          <cell r="O419" t="str">
            <v>Buff.Desc.Reduce.Ultimate.Damage.Down.00</v>
          </cell>
        </row>
        <row r="420">
          <cell r="A420" t="str">
            <v>Reduce.Ultimate.Damage.Down.01</v>
          </cell>
          <cell r="B420"/>
          <cell r="C420"/>
          <cell r="D420">
            <v>0</v>
          </cell>
          <cell r="E420">
            <v>0</v>
          </cell>
          <cell r="F420">
            <v>0</v>
          </cell>
          <cell r="G420" t="str">
            <v>none</v>
          </cell>
          <cell r="H420"/>
          <cell r="I420" t="b">
            <v>0</v>
          </cell>
          <cell r="J420" t="b">
            <v>0</v>
          </cell>
          <cell r="K420" t="b">
            <v>0</v>
          </cell>
          <cell r="L420" t="str">
            <v>Effect/Prefab/10_buff/EFF_debuff_down</v>
          </cell>
          <cell r="M420" t="str">
            <v>icon_battle_damageimmune</v>
          </cell>
          <cell r="N420" t="str">
            <v>Buff.Name.Reduce.Ultimate.Damage.Down.01</v>
          </cell>
          <cell r="O420" t="str">
            <v>Buff.Desc.Reduce.Ultimate.Damage.Down.01</v>
          </cell>
        </row>
        <row r="421">
          <cell r="A421" t="str">
            <v>Reduce.Ultimate.Damage.Down.02</v>
          </cell>
          <cell r="B421"/>
          <cell r="C421"/>
          <cell r="D421">
            <v>0</v>
          </cell>
          <cell r="E421">
            <v>0</v>
          </cell>
          <cell r="F421">
            <v>0</v>
          </cell>
          <cell r="G421" t="str">
            <v>none</v>
          </cell>
          <cell r="H421"/>
          <cell r="I421" t="b">
            <v>0</v>
          </cell>
          <cell r="J421" t="b">
            <v>0</v>
          </cell>
          <cell r="K421" t="b">
            <v>0</v>
          </cell>
          <cell r="L421" t="str">
            <v>Effect/Prefab/10_buff/EFF_debuff_down</v>
          </cell>
          <cell r="M421" t="str">
            <v>icon_battle_damageimmune</v>
          </cell>
          <cell r="N421" t="str">
            <v>Buff.Name.Reduce.Ultimate.Damage.Down.02</v>
          </cell>
          <cell r="O421" t="str">
            <v>Buff.Desc.Reduce.Ultimate.Damage.Down.02</v>
          </cell>
        </row>
        <row r="422">
          <cell r="A422" t="str">
            <v>Reduce.Ultimate.Damage.Down.03</v>
          </cell>
          <cell r="B422"/>
          <cell r="C422"/>
          <cell r="D422">
            <v>0</v>
          </cell>
          <cell r="E422">
            <v>0</v>
          </cell>
          <cell r="F422">
            <v>0</v>
          </cell>
          <cell r="G422" t="str">
            <v>none</v>
          </cell>
          <cell r="H422"/>
          <cell r="I422" t="b">
            <v>0</v>
          </cell>
          <cell r="J422" t="b">
            <v>0</v>
          </cell>
          <cell r="K422" t="b">
            <v>0</v>
          </cell>
          <cell r="L422" t="str">
            <v>Effect/Prefab/10_buff/EFF_debuff_down</v>
          </cell>
          <cell r="M422" t="str">
            <v>icon_battle_damageimmune</v>
          </cell>
          <cell r="N422" t="str">
            <v>Buff.Name.Reduce.Ultimate.Damage.Down.03</v>
          </cell>
          <cell r="O422" t="str">
            <v>Buff.Desc.Reduce.Ultimate.Damage.Down.03</v>
          </cell>
        </row>
        <row r="423">
          <cell r="A423" t="str">
            <v>Reduce.Ultimate.Damage.Down.04</v>
          </cell>
          <cell r="B423"/>
          <cell r="C423"/>
          <cell r="D423">
            <v>0</v>
          </cell>
          <cell r="E423">
            <v>0</v>
          </cell>
          <cell r="F423">
            <v>0</v>
          </cell>
          <cell r="G423" t="str">
            <v>none</v>
          </cell>
          <cell r="H423"/>
          <cell r="I423" t="b">
            <v>0</v>
          </cell>
          <cell r="J423" t="b">
            <v>0</v>
          </cell>
          <cell r="K423" t="b">
            <v>0</v>
          </cell>
          <cell r="L423" t="str">
            <v>Effect/Prefab/10_buff/EFF_debuff_down</v>
          </cell>
          <cell r="M423" t="str">
            <v>icon_battle_damageimmune</v>
          </cell>
          <cell r="N423" t="str">
            <v>Buff.Name.Reduce.Ultimate.Damage.Down.04</v>
          </cell>
          <cell r="O423" t="str">
            <v>Buff.Desc.Reduce.Ultimate.Damage.Down.04</v>
          </cell>
        </row>
        <row r="424">
          <cell r="A424" t="str">
            <v>Reduce.Ultimate.Damage.Down.05</v>
          </cell>
          <cell r="B424"/>
          <cell r="C424"/>
          <cell r="D424">
            <v>0</v>
          </cell>
          <cell r="E424">
            <v>0</v>
          </cell>
          <cell r="F424">
            <v>0</v>
          </cell>
          <cell r="G424" t="str">
            <v>none</v>
          </cell>
          <cell r="H424"/>
          <cell r="I424" t="b">
            <v>0</v>
          </cell>
          <cell r="J424" t="b">
            <v>0</v>
          </cell>
          <cell r="K424" t="b">
            <v>0</v>
          </cell>
          <cell r="L424" t="str">
            <v>Effect/Prefab/10_buff/EFF_debuff_down</v>
          </cell>
          <cell r="M424" t="str">
            <v>icon_battle_damageimmune</v>
          </cell>
          <cell r="N424" t="str">
            <v>Buff.Name.Reduce.Ultimate.Damage.Down.05</v>
          </cell>
          <cell r="O424" t="str">
            <v>Buff.Desc.Reduce.Ultimate.Damage.Down.05</v>
          </cell>
        </row>
        <row r="425">
          <cell r="A425" t="str">
            <v>Reduce.AreaDamage.Down</v>
          </cell>
          <cell r="B425"/>
          <cell r="C425"/>
          <cell r="D425">
            <v>0</v>
          </cell>
          <cell r="E425">
            <v>0</v>
          </cell>
          <cell r="F425">
            <v>0</v>
          </cell>
          <cell r="G425" t="str">
            <v>none</v>
          </cell>
          <cell r="H425"/>
          <cell r="I425" t="b">
            <v>0</v>
          </cell>
          <cell r="J425" t="b">
            <v>0</v>
          </cell>
          <cell r="K425" t="b">
            <v>0</v>
          </cell>
          <cell r="L425" t="str">
            <v>Effect/Prefab/10_buff/EFF_debuff_down</v>
          </cell>
          <cell r="M425" t="str">
            <v>icon_battle_damageimmune</v>
          </cell>
          <cell r="N425" t="str">
            <v>Buff.Name.Reduce.AreaDamage.Down.00</v>
          </cell>
          <cell r="O425" t="str">
            <v>Buff.Desc.Reduce.AreaDamage.Down.00</v>
          </cell>
        </row>
        <row r="426">
          <cell r="A426" t="str">
            <v>Reduce.AreaDamage.Down.01</v>
          </cell>
          <cell r="B426"/>
          <cell r="C426"/>
          <cell r="D426">
            <v>0</v>
          </cell>
          <cell r="E426">
            <v>0</v>
          </cell>
          <cell r="F426">
            <v>0</v>
          </cell>
          <cell r="G426" t="str">
            <v>none</v>
          </cell>
          <cell r="H426"/>
          <cell r="I426" t="b">
            <v>0</v>
          </cell>
          <cell r="J426" t="b">
            <v>0</v>
          </cell>
          <cell r="K426" t="b">
            <v>0</v>
          </cell>
          <cell r="L426" t="str">
            <v>Effect/Prefab/10_buff/EFF_debuff_down</v>
          </cell>
          <cell r="M426" t="str">
            <v>icon_battle_damageimmune</v>
          </cell>
          <cell r="N426" t="str">
            <v>Buff.Name.Reduce.AreaDamage.Down.01</v>
          </cell>
          <cell r="O426" t="str">
            <v>Buff.Desc.Reduce.AreaDamage.Down.01</v>
          </cell>
        </row>
        <row r="427">
          <cell r="A427" t="str">
            <v>Reduce.AreaDamage.Down.02</v>
          </cell>
          <cell r="B427"/>
          <cell r="C427"/>
          <cell r="D427">
            <v>0</v>
          </cell>
          <cell r="E427">
            <v>0</v>
          </cell>
          <cell r="F427">
            <v>0</v>
          </cell>
          <cell r="G427" t="str">
            <v>none</v>
          </cell>
          <cell r="H427"/>
          <cell r="I427" t="b">
            <v>0</v>
          </cell>
          <cell r="J427" t="b">
            <v>0</v>
          </cell>
          <cell r="K427" t="b">
            <v>0</v>
          </cell>
          <cell r="L427" t="str">
            <v>Effect/Prefab/10_buff/EFF_debuff_down</v>
          </cell>
          <cell r="M427" t="str">
            <v>icon_battle_damageimmune</v>
          </cell>
          <cell r="N427" t="str">
            <v>Buff.Name.Reduce.AreaDamage.Down.02</v>
          </cell>
          <cell r="O427" t="str">
            <v>Buff.Desc.Reduce.AreaDamage.Down.02</v>
          </cell>
        </row>
        <row r="428">
          <cell r="A428" t="str">
            <v>Reduce.AreaDamage.Down.03</v>
          </cell>
          <cell r="B428"/>
          <cell r="C428"/>
          <cell r="D428">
            <v>0</v>
          </cell>
          <cell r="E428">
            <v>0</v>
          </cell>
          <cell r="F428">
            <v>0</v>
          </cell>
          <cell r="G428" t="str">
            <v>none</v>
          </cell>
          <cell r="H428"/>
          <cell r="I428" t="b">
            <v>0</v>
          </cell>
          <cell r="J428" t="b">
            <v>0</v>
          </cell>
          <cell r="K428" t="b">
            <v>0</v>
          </cell>
          <cell r="L428" t="str">
            <v>Effect/Prefab/10_buff/EFF_debuff_down</v>
          </cell>
          <cell r="M428" t="str">
            <v>icon_battle_damageimmune</v>
          </cell>
          <cell r="N428" t="str">
            <v>Buff.Name.Reduce.AreaDamage.Down.03</v>
          </cell>
          <cell r="O428" t="str">
            <v>Buff.Desc.Reduce.AreaDamage.Down.03</v>
          </cell>
        </row>
        <row r="429">
          <cell r="A429" t="str">
            <v>Reduce.AreaDamage.Down.04</v>
          </cell>
          <cell r="B429"/>
          <cell r="C429"/>
          <cell r="D429">
            <v>0</v>
          </cell>
          <cell r="E429">
            <v>0</v>
          </cell>
          <cell r="F429">
            <v>0</v>
          </cell>
          <cell r="G429" t="str">
            <v>none</v>
          </cell>
          <cell r="H429"/>
          <cell r="I429" t="b">
            <v>0</v>
          </cell>
          <cell r="J429" t="b">
            <v>0</v>
          </cell>
          <cell r="K429" t="b">
            <v>0</v>
          </cell>
          <cell r="L429" t="str">
            <v>Effect/Prefab/10_buff/EFF_debuff_down</v>
          </cell>
          <cell r="M429" t="str">
            <v>icon_battle_damageimmune</v>
          </cell>
          <cell r="N429" t="str">
            <v>Buff.Name.Reduce.AreaDamage.Down.04</v>
          </cell>
          <cell r="O429" t="str">
            <v>Buff.Desc.Reduce.AreaDamage.Down.04</v>
          </cell>
        </row>
        <row r="430">
          <cell r="A430" t="str">
            <v>Reduce.AreaDamage.Down.05</v>
          </cell>
          <cell r="B430"/>
          <cell r="C430"/>
          <cell r="D430">
            <v>0</v>
          </cell>
          <cell r="E430">
            <v>0</v>
          </cell>
          <cell r="F430">
            <v>0</v>
          </cell>
          <cell r="G430" t="str">
            <v>none</v>
          </cell>
          <cell r="H430"/>
          <cell r="I430" t="b">
            <v>0</v>
          </cell>
          <cell r="J430" t="b">
            <v>0</v>
          </cell>
          <cell r="K430" t="b">
            <v>0</v>
          </cell>
          <cell r="L430" t="str">
            <v>Effect/Prefab/10_buff/EFF_debuff_down</v>
          </cell>
          <cell r="M430" t="str">
            <v>icon_battle_damageimmune</v>
          </cell>
          <cell r="N430" t="str">
            <v>Buff.Name.Reduce.AreaDamage.Down.05</v>
          </cell>
          <cell r="O430" t="str">
            <v>Buff.Desc.Reduce.AreaDamage.Down.05</v>
          </cell>
        </row>
        <row r="431">
          <cell r="A431" t="str">
            <v>Reduce.MeleeDamage.Down</v>
          </cell>
          <cell r="B431"/>
          <cell r="C431"/>
          <cell r="D431">
            <v>0</v>
          </cell>
          <cell r="E431">
            <v>0</v>
          </cell>
          <cell r="F431">
            <v>0</v>
          </cell>
          <cell r="G431" t="str">
            <v>none</v>
          </cell>
          <cell r="H431"/>
          <cell r="I431" t="b">
            <v>0</v>
          </cell>
          <cell r="J431" t="b">
            <v>0</v>
          </cell>
          <cell r="K431" t="b">
            <v>0</v>
          </cell>
          <cell r="L431" t="str">
            <v>Effect/Prefab/10_buff/EFF_debuff_down</v>
          </cell>
          <cell r="M431" t="str">
            <v>icon_battle_damageimmune</v>
          </cell>
          <cell r="N431" t="str">
            <v>Buff.Name.Reduce.MeleeDamage.Down.00</v>
          </cell>
          <cell r="O431" t="str">
            <v>Buff.Desc.Reduce.MeleeDamage.Down.00</v>
          </cell>
        </row>
        <row r="432">
          <cell r="A432" t="str">
            <v>Reduce.MeleeDamage.Down.01</v>
          </cell>
          <cell r="B432"/>
          <cell r="C432"/>
          <cell r="D432">
            <v>0</v>
          </cell>
          <cell r="E432">
            <v>0</v>
          </cell>
          <cell r="F432">
            <v>0</v>
          </cell>
          <cell r="G432" t="str">
            <v>none</v>
          </cell>
          <cell r="H432"/>
          <cell r="I432" t="b">
            <v>0</v>
          </cell>
          <cell r="J432" t="b">
            <v>0</v>
          </cell>
          <cell r="K432" t="b">
            <v>0</v>
          </cell>
          <cell r="L432" t="str">
            <v>Effect/Prefab/10_buff/EFF_debuff_down</v>
          </cell>
          <cell r="M432" t="str">
            <v>icon_battle_damageimmune</v>
          </cell>
          <cell r="N432" t="str">
            <v>Buff.Name.Reduce.MeleeDamage.Down.01</v>
          </cell>
          <cell r="O432" t="str">
            <v>Buff.Desc.Reduce.MeleeDamage.Down.01</v>
          </cell>
        </row>
        <row r="433">
          <cell r="A433" t="str">
            <v>Reduce.MeleeDamage.Down.02</v>
          </cell>
          <cell r="B433"/>
          <cell r="C433"/>
          <cell r="D433">
            <v>0</v>
          </cell>
          <cell r="E433">
            <v>0</v>
          </cell>
          <cell r="F433">
            <v>0</v>
          </cell>
          <cell r="G433" t="str">
            <v>none</v>
          </cell>
          <cell r="H433"/>
          <cell r="I433" t="b">
            <v>0</v>
          </cell>
          <cell r="J433" t="b">
            <v>0</v>
          </cell>
          <cell r="K433" t="b">
            <v>0</v>
          </cell>
          <cell r="L433" t="str">
            <v>Effect/Prefab/10_buff/EFF_debuff_down</v>
          </cell>
          <cell r="M433" t="str">
            <v>icon_battle_damageimmune</v>
          </cell>
          <cell r="N433" t="str">
            <v>Buff.Name.Reduce.MeleeDamage.Down.02</v>
          </cell>
          <cell r="O433" t="str">
            <v>Buff.Desc.Reduce.MeleeDamage.Down.02</v>
          </cell>
        </row>
        <row r="434">
          <cell r="A434" t="str">
            <v>Reduce.MeleeDamage.Down.03</v>
          </cell>
          <cell r="B434"/>
          <cell r="C434"/>
          <cell r="D434">
            <v>0</v>
          </cell>
          <cell r="E434">
            <v>0</v>
          </cell>
          <cell r="F434">
            <v>0</v>
          </cell>
          <cell r="G434" t="str">
            <v>none</v>
          </cell>
          <cell r="H434"/>
          <cell r="I434" t="b">
            <v>0</v>
          </cell>
          <cell r="J434" t="b">
            <v>0</v>
          </cell>
          <cell r="K434" t="b">
            <v>0</v>
          </cell>
          <cell r="L434" t="str">
            <v>Effect/Prefab/10_buff/EFF_debuff_down</v>
          </cell>
          <cell r="M434" t="str">
            <v>icon_battle_damageimmune</v>
          </cell>
          <cell r="N434" t="str">
            <v>Buff.Name.Reduce.MeleeDamage.Down.03</v>
          </cell>
          <cell r="O434" t="str">
            <v>Buff.Desc.Reduce.MeleeDamage.Down.03</v>
          </cell>
        </row>
        <row r="435">
          <cell r="A435" t="str">
            <v>Reduce.MeleeDamage.Down.04</v>
          </cell>
          <cell r="B435"/>
          <cell r="C435"/>
          <cell r="D435">
            <v>0</v>
          </cell>
          <cell r="E435">
            <v>0</v>
          </cell>
          <cell r="F435">
            <v>0</v>
          </cell>
          <cell r="G435" t="str">
            <v>none</v>
          </cell>
          <cell r="H435"/>
          <cell r="I435" t="b">
            <v>0</v>
          </cell>
          <cell r="J435" t="b">
            <v>0</v>
          </cell>
          <cell r="K435" t="b">
            <v>0</v>
          </cell>
          <cell r="L435" t="str">
            <v>Effect/Prefab/10_buff/EFF_debuff_down</v>
          </cell>
          <cell r="M435" t="str">
            <v>icon_battle_damageimmune</v>
          </cell>
          <cell r="N435" t="str">
            <v>Buff.Name.Reduce.MeleeDamage.Down.04</v>
          </cell>
          <cell r="O435" t="str">
            <v>Buff.Desc.Reduce.MeleeDamage.Down.04</v>
          </cell>
        </row>
        <row r="436">
          <cell r="A436" t="str">
            <v>Reduce.MeleeDamage.Down.05</v>
          </cell>
          <cell r="B436"/>
          <cell r="C436"/>
          <cell r="D436">
            <v>0</v>
          </cell>
          <cell r="E436">
            <v>0</v>
          </cell>
          <cell r="F436">
            <v>0</v>
          </cell>
          <cell r="G436" t="str">
            <v>none</v>
          </cell>
          <cell r="H436"/>
          <cell r="I436" t="b">
            <v>0</v>
          </cell>
          <cell r="J436" t="b">
            <v>0</v>
          </cell>
          <cell r="K436" t="b">
            <v>0</v>
          </cell>
          <cell r="L436" t="str">
            <v>Effect/Prefab/10_buff/EFF_debuff_down</v>
          </cell>
          <cell r="M436" t="str">
            <v>icon_battle_damageimmune</v>
          </cell>
          <cell r="N436" t="str">
            <v>Buff.Name.Reduce.MeleeDamage.Down.05</v>
          </cell>
          <cell r="O436" t="str">
            <v>Buff.Desc.Reduce.MeleeDamage.Down.05</v>
          </cell>
        </row>
        <row r="437">
          <cell r="A437" t="str">
            <v>Reduce.RangeDamage.Down</v>
          </cell>
          <cell r="B437"/>
          <cell r="C437"/>
          <cell r="D437">
            <v>0</v>
          </cell>
          <cell r="E437">
            <v>0</v>
          </cell>
          <cell r="F437">
            <v>0</v>
          </cell>
          <cell r="G437" t="str">
            <v>none</v>
          </cell>
          <cell r="H437"/>
          <cell r="I437" t="b">
            <v>0</v>
          </cell>
          <cell r="J437" t="b">
            <v>0</v>
          </cell>
          <cell r="K437" t="b">
            <v>0</v>
          </cell>
          <cell r="L437" t="str">
            <v>Effect/Prefab/10_buff/EFF_debuff_down</v>
          </cell>
          <cell r="M437" t="str">
            <v>icon_battle_damageimmune</v>
          </cell>
          <cell r="N437" t="str">
            <v>Buff.Name.Reduce.RangeDamage.Down.00</v>
          </cell>
          <cell r="O437" t="str">
            <v>Buff.Desc.Reduce.RangeDamage.Down.00</v>
          </cell>
        </row>
        <row r="438">
          <cell r="A438" t="str">
            <v>Reduce.RangeDamage.Down.01</v>
          </cell>
          <cell r="B438"/>
          <cell r="C438"/>
          <cell r="D438">
            <v>0</v>
          </cell>
          <cell r="E438">
            <v>0</v>
          </cell>
          <cell r="F438">
            <v>0</v>
          </cell>
          <cell r="G438" t="str">
            <v>none</v>
          </cell>
          <cell r="H438"/>
          <cell r="I438" t="b">
            <v>0</v>
          </cell>
          <cell r="J438" t="b">
            <v>0</v>
          </cell>
          <cell r="K438" t="b">
            <v>0</v>
          </cell>
          <cell r="L438" t="str">
            <v>Effect/Prefab/10_buff/EFF_debuff_down</v>
          </cell>
          <cell r="M438" t="str">
            <v>icon_battle_damageimmune</v>
          </cell>
          <cell r="N438" t="str">
            <v>Buff.Name.Reduce.RangeDamage.Down.01</v>
          </cell>
          <cell r="O438" t="str">
            <v>Buff.Desc.Reduce.RangeDamage.Down.01</v>
          </cell>
        </row>
        <row r="439">
          <cell r="A439" t="str">
            <v>Reduce.RangeDamage.Down.02</v>
          </cell>
          <cell r="B439"/>
          <cell r="C439"/>
          <cell r="D439">
            <v>0</v>
          </cell>
          <cell r="E439">
            <v>0</v>
          </cell>
          <cell r="F439">
            <v>0</v>
          </cell>
          <cell r="G439" t="str">
            <v>none</v>
          </cell>
          <cell r="H439"/>
          <cell r="I439" t="b">
            <v>0</v>
          </cell>
          <cell r="J439" t="b">
            <v>0</v>
          </cell>
          <cell r="K439" t="b">
            <v>0</v>
          </cell>
          <cell r="L439" t="str">
            <v>Effect/Prefab/10_buff/EFF_debuff_down</v>
          </cell>
          <cell r="M439" t="str">
            <v>icon_battle_damageimmune</v>
          </cell>
          <cell r="N439" t="str">
            <v>Buff.Name.Reduce.RangeDamage.Down.02</v>
          </cell>
          <cell r="O439" t="str">
            <v>Buff.Desc.Reduce.RangeDamage.Down.02</v>
          </cell>
        </row>
        <row r="440">
          <cell r="A440" t="str">
            <v>Reduce.RangeDamage.Down.03</v>
          </cell>
          <cell r="B440"/>
          <cell r="C440"/>
          <cell r="D440">
            <v>0</v>
          </cell>
          <cell r="E440">
            <v>0</v>
          </cell>
          <cell r="F440">
            <v>0</v>
          </cell>
          <cell r="G440" t="str">
            <v>none</v>
          </cell>
          <cell r="H440"/>
          <cell r="I440" t="b">
            <v>0</v>
          </cell>
          <cell r="J440" t="b">
            <v>0</v>
          </cell>
          <cell r="K440" t="b">
            <v>0</v>
          </cell>
          <cell r="L440" t="str">
            <v>Effect/Prefab/10_buff/EFF_debuff_down</v>
          </cell>
          <cell r="M440" t="str">
            <v>icon_battle_damageimmune</v>
          </cell>
          <cell r="N440" t="str">
            <v>Buff.Name.Reduce.RangeDamage.Down.03</v>
          </cell>
          <cell r="O440" t="str">
            <v>Buff.Desc.Reduce.RangeDamage.Down.03</v>
          </cell>
        </row>
        <row r="441">
          <cell r="A441" t="str">
            <v>Reduce.RangeDamage.Down.04</v>
          </cell>
          <cell r="B441"/>
          <cell r="C441"/>
          <cell r="D441">
            <v>0</v>
          </cell>
          <cell r="E441">
            <v>0</v>
          </cell>
          <cell r="F441">
            <v>0</v>
          </cell>
          <cell r="G441" t="str">
            <v>none</v>
          </cell>
          <cell r="H441"/>
          <cell r="I441" t="b">
            <v>0</v>
          </cell>
          <cell r="J441" t="b">
            <v>0</v>
          </cell>
          <cell r="K441" t="b">
            <v>0</v>
          </cell>
          <cell r="L441" t="str">
            <v>Effect/Prefab/10_buff/EFF_debuff_down</v>
          </cell>
          <cell r="M441" t="str">
            <v>icon_battle_damageimmune</v>
          </cell>
          <cell r="N441" t="str">
            <v>Buff.Name.Reduce.RangeDamage.Down.04</v>
          </cell>
          <cell r="O441" t="str">
            <v>Buff.Desc.Reduce.RangeDamage.Down.04</v>
          </cell>
        </row>
        <row r="442">
          <cell r="A442" t="str">
            <v>Reduce.RangeDamage.Down.05</v>
          </cell>
          <cell r="B442"/>
          <cell r="C442"/>
          <cell r="D442">
            <v>0</v>
          </cell>
          <cell r="E442">
            <v>0</v>
          </cell>
          <cell r="F442">
            <v>0</v>
          </cell>
          <cell r="G442" t="str">
            <v>none</v>
          </cell>
          <cell r="H442"/>
          <cell r="I442" t="b">
            <v>0</v>
          </cell>
          <cell r="J442" t="b">
            <v>0</v>
          </cell>
          <cell r="K442" t="b">
            <v>0</v>
          </cell>
          <cell r="L442" t="str">
            <v>Effect/Prefab/10_buff/EFF_debuff_down</v>
          </cell>
          <cell r="M442" t="str">
            <v>icon_battle_damageimmune</v>
          </cell>
          <cell r="N442" t="str">
            <v>Buff.Name.Reduce.RangeDamage.Down.05</v>
          </cell>
          <cell r="O442" t="str">
            <v>Buff.Desc.Reduce.RangeDamage.Down.05</v>
          </cell>
        </row>
        <row r="443">
          <cell r="A443" t="str">
            <v>Reduce.DotDamage.Down</v>
          </cell>
          <cell r="B443"/>
          <cell r="C443"/>
          <cell r="D443">
            <v>0</v>
          </cell>
          <cell r="E443">
            <v>0</v>
          </cell>
          <cell r="F443">
            <v>0</v>
          </cell>
          <cell r="G443" t="str">
            <v>none</v>
          </cell>
          <cell r="H443"/>
          <cell r="I443" t="b">
            <v>0</v>
          </cell>
          <cell r="J443" t="b">
            <v>0</v>
          </cell>
          <cell r="K443" t="b">
            <v>0</v>
          </cell>
          <cell r="L443" t="str">
            <v>Effect/Prefab/10_buff/EFF_debuff_down</v>
          </cell>
          <cell r="M443" t="str">
            <v>icon_battle_damageimmune</v>
          </cell>
          <cell r="N443" t="str">
            <v>Buff.Name.Reduce.DotDamage.Down.00</v>
          </cell>
          <cell r="O443" t="str">
            <v>Buff.Desc.Reduce.DotDamage.Down.00</v>
          </cell>
        </row>
        <row r="444">
          <cell r="A444" t="str">
            <v>Reduce.DotDamage.Down.01</v>
          </cell>
          <cell r="B444"/>
          <cell r="C444"/>
          <cell r="D444">
            <v>0</v>
          </cell>
          <cell r="E444">
            <v>0</v>
          </cell>
          <cell r="F444">
            <v>0</v>
          </cell>
          <cell r="G444" t="str">
            <v>none</v>
          </cell>
          <cell r="H444"/>
          <cell r="I444" t="b">
            <v>0</v>
          </cell>
          <cell r="J444" t="b">
            <v>0</v>
          </cell>
          <cell r="K444" t="b">
            <v>0</v>
          </cell>
          <cell r="L444" t="str">
            <v>Effect/Prefab/10_buff/EFF_debuff_down</v>
          </cell>
          <cell r="M444" t="str">
            <v>icon_battle_damageimmune</v>
          </cell>
          <cell r="N444" t="str">
            <v>Buff.Name.Reduce.DotDamage.Down.01</v>
          </cell>
          <cell r="O444" t="str">
            <v>Buff.Desc.Reduce.DotDamage.Down.01</v>
          </cell>
        </row>
        <row r="445">
          <cell r="A445" t="str">
            <v>Reduce.DotDamage.Down.02</v>
          </cell>
          <cell r="B445"/>
          <cell r="C445"/>
          <cell r="D445">
            <v>0</v>
          </cell>
          <cell r="E445">
            <v>0</v>
          </cell>
          <cell r="F445">
            <v>0</v>
          </cell>
          <cell r="G445" t="str">
            <v>none</v>
          </cell>
          <cell r="H445"/>
          <cell r="I445" t="b">
            <v>0</v>
          </cell>
          <cell r="J445" t="b">
            <v>0</v>
          </cell>
          <cell r="K445" t="b">
            <v>0</v>
          </cell>
          <cell r="L445" t="str">
            <v>Effect/Prefab/10_buff/EFF_debuff_down</v>
          </cell>
          <cell r="M445" t="str">
            <v>icon_battle_damageimmune</v>
          </cell>
          <cell r="N445" t="str">
            <v>Buff.Name.Reduce.DotDamage.Down.02</v>
          </cell>
          <cell r="O445" t="str">
            <v>Buff.Desc.Reduce.DotDamage.Down.02</v>
          </cell>
        </row>
        <row r="446">
          <cell r="A446" t="str">
            <v>Reduce.DotDamage.Down.03</v>
          </cell>
          <cell r="B446"/>
          <cell r="C446"/>
          <cell r="D446">
            <v>0</v>
          </cell>
          <cell r="E446">
            <v>0</v>
          </cell>
          <cell r="F446">
            <v>0</v>
          </cell>
          <cell r="G446" t="str">
            <v>none</v>
          </cell>
          <cell r="H446"/>
          <cell r="I446" t="b">
            <v>0</v>
          </cell>
          <cell r="J446" t="b">
            <v>0</v>
          </cell>
          <cell r="K446" t="b">
            <v>0</v>
          </cell>
          <cell r="L446" t="str">
            <v>Effect/Prefab/10_buff/EFF_debuff_down</v>
          </cell>
          <cell r="M446" t="str">
            <v>icon_battle_damageimmune</v>
          </cell>
          <cell r="N446" t="str">
            <v>Buff.Name.Reduce.DotDamage.Down.03</v>
          </cell>
          <cell r="O446" t="str">
            <v>Buff.Desc.Reduce.DotDamage.Down.03</v>
          </cell>
        </row>
        <row r="447">
          <cell r="A447" t="str">
            <v>Reduce.DotDamage.Down.04</v>
          </cell>
          <cell r="B447"/>
          <cell r="C447"/>
          <cell r="D447">
            <v>0</v>
          </cell>
          <cell r="E447">
            <v>0</v>
          </cell>
          <cell r="F447">
            <v>0</v>
          </cell>
          <cell r="G447" t="str">
            <v>none</v>
          </cell>
          <cell r="H447"/>
          <cell r="I447" t="b">
            <v>0</v>
          </cell>
          <cell r="J447" t="b">
            <v>0</v>
          </cell>
          <cell r="K447" t="b">
            <v>0</v>
          </cell>
          <cell r="L447" t="str">
            <v>Effect/Prefab/10_buff/EFF_debuff_down</v>
          </cell>
          <cell r="M447" t="str">
            <v>icon_battle_damageimmune</v>
          </cell>
          <cell r="N447" t="str">
            <v>Buff.Name.Reduce.DotDamage.Down.04</v>
          </cell>
          <cell r="O447" t="str">
            <v>Buff.Desc.Reduce.DotDamage.Down.04</v>
          </cell>
        </row>
        <row r="448">
          <cell r="A448" t="str">
            <v>Reduce.DotDamage.Down.05</v>
          </cell>
          <cell r="B448"/>
          <cell r="C448"/>
          <cell r="D448">
            <v>0</v>
          </cell>
          <cell r="E448">
            <v>0</v>
          </cell>
          <cell r="F448">
            <v>0</v>
          </cell>
          <cell r="G448" t="str">
            <v>none</v>
          </cell>
          <cell r="H448"/>
          <cell r="I448" t="b">
            <v>0</v>
          </cell>
          <cell r="J448" t="b">
            <v>0</v>
          </cell>
          <cell r="K448" t="b">
            <v>0</v>
          </cell>
          <cell r="L448" t="str">
            <v>Effect/Prefab/10_buff/EFF_debuff_down</v>
          </cell>
          <cell r="M448" t="str">
            <v>icon_battle_damageimmune</v>
          </cell>
          <cell r="N448" t="str">
            <v>Buff.Name.Reduce.DotDamage.Down.05</v>
          </cell>
          <cell r="O448" t="str">
            <v>Buff.Desc.Reduce.DotDamage.Down.05</v>
          </cell>
        </row>
        <row r="449">
          <cell r="A449" t="str">
            <v>Reduce.DotDamage.Down.06</v>
          </cell>
          <cell r="B449"/>
          <cell r="C449"/>
          <cell r="D449">
            <v>0</v>
          </cell>
          <cell r="E449">
            <v>0</v>
          </cell>
          <cell r="F449">
            <v>0</v>
          </cell>
          <cell r="G449" t="str">
            <v>none</v>
          </cell>
          <cell r="H449"/>
          <cell r="I449" t="b">
            <v>0</v>
          </cell>
          <cell r="J449" t="b">
            <v>0</v>
          </cell>
          <cell r="K449" t="b">
            <v>0</v>
          </cell>
          <cell r="L449" t="str">
            <v>Effect/Prefab/10_buff/EFF_debuff_down</v>
          </cell>
          <cell r="M449" t="str">
            <v>icon_battle_damageimmune</v>
          </cell>
          <cell r="N449" t="str">
            <v>Buff.Name.Reduce.DotDamage.Down.06</v>
          </cell>
          <cell r="O449" t="str">
            <v>Buff.Desc.Reduce.DotDamage.Down.06</v>
          </cell>
        </row>
        <row r="450">
          <cell r="A450" t="str">
            <v>Reduce.DotDamage.Down.07</v>
          </cell>
          <cell r="B450"/>
          <cell r="C450"/>
          <cell r="D450">
            <v>0</v>
          </cell>
          <cell r="E450">
            <v>0</v>
          </cell>
          <cell r="F450">
            <v>0</v>
          </cell>
          <cell r="G450" t="str">
            <v>none</v>
          </cell>
          <cell r="H450"/>
          <cell r="I450" t="b">
            <v>0</v>
          </cell>
          <cell r="J450" t="b">
            <v>0</v>
          </cell>
          <cell r="K450" t="b">
            <v>0</v>
          </cell>
          <cell r="L450" t="str">
            <v>Effect/Prefab/10_buff/EFF_debuff_down</v>
          </cell>
          <cell r="M450" t="str">
            <v>icon_battle_damageimmune</v>
          </cell>
          <cell r="N450" t="str">
            <v>Buff.Name.Reduce.DotDamage.Down.07</v>
          </cell>
          <cell r="O450" t="str">
            <v>Buff.Desc.Reduce.DotDamage.Down.07</v>
          </cell>
        </row>
        <row r="451">
          <cell r="A451" t="str">
            <v>Reduce.DotDamage.Down.08</v>
          </cell>
          <cell r="B451"/>
          <cell r="C451"/>
          <cell r="D451">
            <v>0</v>
          </cell>
          <cell r="E451">
            <v>0</v>
          </cell>
          <cell r="F451">
            <v>0</v>
          </cell>
          <cell r="G451" t="str">
            <v>none</v>
          </cell>
          <cell r="H451"/>
          <cell r="I451" t="b">
            <v>0</v>
          </cell>
          <cell r="J451" t="b">
            <v>0</v>
          </cell>
          <cell r="K451" t="b">
            <v>0</v>
          </cell>
          <cell r="L451" t="str">
            <v>Effect/Prefab/10_buff/EFF_debuff_down</v>
          </cell>
          <cell r="M451" t="str">
            <v>icon_battle_damageimmune</v>
          </cell>
          <cell r="N451" t="str">
            <v>Buff.Name.Reduce.DotDamage.Down.08</v>
          </cell>
          <cell r="O451" t="str">
            <v>Buff.Desc.Reduce.DotDamage.Down.08</v>
          </cell>
        </row>
        <row r="452">
          <cell r="A452" t="str">
            <v>Reduce.DotDamage.Down.09</v>
          </cell>
          <cell r="B452"/>
          <cell r="C452"/>
          <cell r="D452">
            <v>0</v>
          </cell>
          <cell r="E452">
            <v>0</v>
          </cell>
          <cell r="F452">
            <v>0</v>
          </cell>
          <cell r="G452" t="str">
            <v>none</v>
          </cell>
          <cell r="H452"/>
          <cell r="I452" t="b">
            <v>0</v>
          </cell>
          <cell r="J452" t="b">
            <v>0</v>
          </cell>
          <cell r="K452" t="b">
            <v>0</v>
          </cell>
          <cell r="L452" t="str">
            <v>Effect/Prefab/10_buff/EFF_debuff_down</v>
          </cell>
          <cell r="M452" t="str">
            <v>icon_battle_damageimmune</v>
          </cell>
          <cell r="N452" t="str">
            <v>Buff.Name.Reduce.DotDamage.Down.09</v>
          </cell>
          <cell r="O452" t="str">
            <v>Buff.Desc.Reduce.DotDamage.Down.09</v>
          </cell>
        </row>
        <row r="453">
          <cell r="A453" t="str">
            <v>Reduce.DotDamage.Down.10</v>
          </cell>
          <cell r="B453"/>
          <cell r="C453"/>
          <cell r="D453">
            <v>0</v>
          </cell>
          <cell r="E453">
            <v>0</v>
          </cell>
          <cell r="F453">
            <v>0</v>
          </cell>
          <cell r="G453" t="str">
            <v>none</v>
          </cell>
          <cell r="H453"/>
          <cell r="I453" t="b">
            <v>0</v>
          </cell>
          <cell r="J453" t="b">
            <v>0</v>
          </cell>
          <cell r="K453" t="b">
            <v>0</v>
          </cell>
          <cell r="L453" t="str">
            <v>Effect/Prefab/10_buff/EFF_debuff_down</v>
          </cell>
          <cell r="M453" t="str">
            <v>icon_battle_damageimmune</v>
          </cell>
          <cell r="N453" t="str">
            <v>Buff.Name.Reduce.DotDamage.Down.10</v>
          </cell>
          <cell r="O453" t="str">
            <v>Buff.Desc.Reduce.DotDamage.Down.10</v>
          </cell>
        </row>
        <row r="454">
          <cell r="A454" t="str">
            <v>GuardRate.Down</v>
          </cell>
          <cell r="B454"/>
          <cell r="C454"/>
          <cell r="D454">
            <v>0</v>
          </cell>
          <cell r="E454">
            <v>0</v>
          </cell>
          <cell r="F454">
            <v>0</v>
          </cell>
          <cell r="G454" t="str">
            <v>none</v>
          </cell>
          <cell r="H454"/>
          <cell r="I454" t="b">
            <v>0</v>
          </cell>
          <cell r="J454" t="b">
            <v>0</v>
          </cell>
          <cell r="K454" t="b">
            <v>0</v>
          </cell>
          <cell r="L454" t="str">
            <v>Effect/Prefab/10_buff/EFF_debuff_down</v>
          </cell>
          <cell r="M454" t="str">
            <v>icon_battle_guardreduce</v>
          </cell>
          <cell r="N454" t="str">
            <v>Buff.Name.GuardRate.Down.00</v>
          </cell>
          <cell r="O454" t="str">
            <v>Buff.Desc.GuardRate.Down.00</v>
          </cell>
        </row>
        <row r="455">
          <cell r="A455" t="str">
            <v>GuardRate.Down.01</v>
          </cell>
          <cell r="B455"/>
          <cell r="C455"/>
          <cell r="D455">
            <v>0</v>
          </cell>
          <cell r="E455">
            <v>0</v>
          </cell>
          <cell r="F455">
            <v>0</v>
          </cell>
          <cell r="G455" t="str">
            <v>none</v>
          </cell>
          <cell r="H455"/>
          <cell r="I455" t="b">
            <v>0</v>
          </cell>
          <cell r="J455" t="b">
            <v>0</v>
          </cell>
          <cell r="K455" t="b">
            <v>0</v>
          </cell>
          <cell r="L455" t="str">
            <v>Effect/Prefab/10_buff/EFF_debuff_down</v>
          </cell>
          <cell r="M455" t="str">
            <v>icon_battle_guardreduce</v>
          </cell>
          <cell r="N455" t="str">
            <v>Buff.Name.GuardRate.Down.01</v>
          </cell>
          <cell r="O455" t="str">
            <v>Buff.Desc.GuardRate.Down.01</v>
          </cell>
        </row>
        <row r="456">
          <cell r="A456" t="str">
            <v>GuardRate.Down.02</v>
          </cell>
          <cell r="B456"/>
          <cell r="C456"/>
          <cell r="D456">
            <v>0</v>
          </cell>
          <cell r="E456">
            <v>0</v>
          </cell>
          <cell r="F456">
            <v>0</v>
          </cell>
          <cell r="G456" t="str">
            <v>none</v>
          </cell>
          <cell r="H456"/>
          <cell r="I456" t="b">
            <v>0</v>
          </cell>
          <cell r="J456" t="b">
            <v>0</v>
          </cell>
          <cell r="K456" t="b">
            <v>0</v>
          </cell>
          <cell r="L456" t="str">
            <v>Effect/Prefab/10_buff/EFF_debuff_down</v>
          </cell>
          <cell r="M456" t="str">
            <v>icon_battle_guardreduce</v>
          </cell>
          <cell r="N456" t="str">
            <v>Buff.Name.GuardRate.Down.02</v>
          </cell>
          <cell r="O456" t="str">
            <v>Buff.Desc.GuardRate.Down.02</v>
          </cell>
        </row>
        <row r="457">
          <cell r="A457" t="str">
            <v>GuardRate.Down.03</v>
          </cell>
          <cell r="B457"/>
          <cell r="C457"/>
          <cell r="D457">
            <v>0</v>
          </cell>
          <cell r="E457">
            <v>0</v>
          </cell>
          <cell r="F457">
            <v>0</v>
          </cell>
          <cell r="G457" t="str">
            <v>none</v>
          </cell>
          <cell r="H457"/>
          <cell r="I457" t="b">
            <v>0</v>
          </cell>
          <cell r="J457" t="b">
            <v>0</v>
          </cell>
          <cell r="K457" t="b">
            <v>0</v>
          </cell>
          <cell r="L457" t="str">
            <v>Effect/Prefab/10_buff/EFF_debuff_down</v>
          </cell>
          <cell r="M457" t="str">
            <v>icon_battle_guardreduce</v>
          </cell>
          <cell r="N457" t="str">
            <v>Buff.Name.GuardRate.Down.03</v>
          </cell>
          <cell r="O457" t="str">
            <v>Buff.Desc.GuardRate.Down.03</v>
          </cell>
        </row>
        <row r="458">
          <cell r="A458" t="str">
            <v>GuardRate.Down.04</v>
          </cell>
          <cell r="B458"/>
          <cell r="C458"/>
          <cell r="D458">
            <v>0</v>
          </cell>
          <cell r="E458">
            <v>0</v>
          </cell>
          <cell r="F458">
            <v>0</v>
          </cell>
          <cell r="G458" t="str">
            <v>none</v>
          </cell>
          <cell r="H458"/>
          <cell r="I458" t="b">
            <v>0</v>
          </cell>
          <cell r="J458" t="b">
            <v>0</v>
          </cell>
          <cell r="K458" t="b">
            <v>0</v>
          </cell>
          <cell r="L458" t="str">
            <v>Effect/Prefab/10_buff/EFF_debuff_down</v>
          </cell>
          <cell r="M458" t="str">
            <v>icon_battle_guardreduce</v>
          </cell>
          <cell r="N458" t="str">
            <v>Buff.Name.GuardRate.Down.04</v>
          </cell>
          <cell r="O458" t="str">
            <v>Buff.Desc.GuardRate.Down.04</v>
          </cell>
        </row>
        <row r="459">
          <cell r="A459" t="str">
            <v>GuardRate.Down.05</v>
          </cell>
          <cell r="B459"/>
          <cell r="C459"/>
          <cell r="D459">
            <v>0</v>
          </cell>
          <cell r="E459">
            <v>0</v>
          </cell>
          <cell r="F459">
            <v>0</v>
          </cell>
          <cell r="G459" t="str">
            <v>none</v>
          </cell>
          <cell r="H459"/>
          <cell r="I459" t="b">
            <v>0</v>
          </cell>
          <cell r="J459" t="b">
            <v>0</v>
          </cell>
          <cell r="K459" t="b">
            <v>0</v>
          </cell>
          <cell r="L459" t="str">
            <v>Effect/Prefab/10_buff/EFF_debuff_down</v>
          </cell>
          <cell r="M459" t="str">
            <v>icon_battle_guardreduce</v>
          </cell>
          <cell r="N459" t="str">
            <v>Buff.Name.GuardRate.Down.05</v>
          </cell>
          <cell r="O459" t="str">
            <v>Buff.Desc.GuardRate.Down.05</v>
          </cell>
        </row>
        <row r="460">
          <cell r="A460" t="str">
            <v>GuardReduce.Down</v>
          </cell>
          <cell r="B460"/>
          <cell r="C460"/>
          <cell r="D460">
            <v>0</v>
          </cell>
          <cell r="E460">
            <v>0</v>
          </cell>
          <cell r="F460">
            <v>0</v>
          </cell>
          <cell r="G460" t="str">
            <v>none</v>
          </cell>
          <cell r="H460"/>
          <cell r="I460" t="b">
            <v>0</v>
          </cell>
          <cell r="J460" t="b">
            <v>0</v>
          </cell>
          <cell r="K460" t="b">
            <v>0</v>
          </cell>
          <cell r="L460" t="str">
            <v>Effect/Prefab/10_buff/EFF_debuff_down</v>
          </cell>
          <cell r="M460" t="str">
            <v>icon_battle_guardreduce</v>
          </cell>
          <cell r="N460" t="str">
            <v>Buff.Name.GuardReduce.Down.00</v>
          </cell>
          <cell r="O460" t="str">
            <v>Buff.Desc.GuardReduce.Down.00</v>
          </cell>
        </row>
        <row r="461">
          <cell r="A461" t="str">
            <v>GuardReduce.Down.01</v>
          </cell>
          <cell r="B461"/>
          <cell r="C461"/>
          <cell r="D461">
            <v>0</v>
          </cell>
          <cell r="E461">
            <v>0</v>
          </cell>
          <cell r="F461">
            <v>0</v>
          </cell>
          <cell r="G461" t="str">
            <v>none</v>
          </cell>
          <cell r="H461"/>
          <cell r="I461" t="b">
            <v>0</v>
          </cell>
          <cell r="J461" t="b">
            <v>0</v>
          </cell>
          <cell r="K461" t="b">
            <v>0</v>
          </cell>
          <cell r="L461" t="str">
            <v>Effect/Prefab/10_buff/EFF_debuff_down</v>
          </cell>
          <cell r="M461" t="str">
            <v>icon_battle_guardreduce</v>
          </cell>
          <cell r="N461" t="str">
            <v>Buff.Name.GuardReduce.Down.01</v>
          </cell>
          <cell r="O461" t="str">
            <v>Buff.Desc.GuardReduce.Down.01</v>
          </cell>
        </row>
        <row r="462">
          <cell r="A462" t="str">
            <v>GuardReduce.Down.02</v>
          </cell>
          <cell r="B462"/>
          <cell r="C462"/>
          <cell r="D462">
            <v>0</v>
          </cell>
          <cell r="E462">
            <v>0</v>
          </cell>
          <cell r="F462">
            <v>0</v>
          </cell>
          <cell r="G462" t="str">
            <v>none</v>
          </cell>
          <cell r="H462"/>
          <cell r="I462" t="b">
            <v>0</v>
          </cell>
          <cell r="J462" t="b">
            <v>0</v>
          </cell>
          <cell r="K462" t="b">
            <v>0</v>
          </cell>
          <cell r="L462" t="str">
            <v>Effect/Prefab/10_buff/EFF_debuff_down</v>
          </cell>
          <cell r="M462" t="str">
            <v>icon_battle_guardreduce</v>
          </cell>
          <cell r="N462" t="str">
            <v>Buff.Name.GuardReduce.Down.02</v>
          </cell>
          <cell r="O462" t="str">
            <v>Buff.Desc.GuardReduce.Down.02</v>
          </cell>
        </row>
        <row r="463">
          <cell r="A463" t="str">
            <v>GuardReduce.Down.03</v>
          </cell>
          <cell r="B463"/>
          <cell r="C463"/>
          <cell r="D463">
            <v>0</v>
          </cell>
          <cell r="E463">
            <v>0</v>
          </cell>
          <cell r="F463">
            <v>0</v>
          </cell>
          <cell r="G463" t="str">
            <v>none</v>
          </cell>
          <cell r="H463"/>
          <cell r="I463" t="b">
            <v>0</v>
          </cell>
          <cell r="J463" t="b">
            <v>0</v>
          </cell>
          <cell r="K463" t="b">
            <v>0</v>
          </cell>
          <cell r="L463" t="str">
            <v>Effect/Prefab/10_buff/EFF_debuff_down</v>
          </cell>
          <cell r="M463" t="str">
            <v>icon_battle_guardreduce</v>
          </cell>
          <cell r="N463" t="str">
            <v>Buff.Name.GuardReduce.Down.03</v>
          </cell>
          <cell r="O463" t="str">
            <v>Buff.Desc.GuardReduce.Down.03</v>
          </cell>
        </row>
        <row r="464">
          <cell r="A464" t="str">
            <v>GuardReduce.Down.04</v>
          </cell>
          <cell r="B464"/>
          <cell r="C464"/>
          <cell r="D464">
            <v>0</v>
          </cell>
          <cell r="E464">
            <v>0</v>
          </cell>
          <cell r="F464">
            <v>0</v>
          </cell>
          <cell r="G464" t="str">
            <v>none</v>
          </cell>
          <cell r="H464"/>
          <cell r="I464" t="b">
            <v>0</v>
          </cell>
          <cell r="J464" t="b">
            <v>0</v>
          </cell>
          <cell r="K464" t="b">
            <v>0</v>
          </cell>
          <cell r="L464" t="str">
            <v>Effect/Prefab/10_buff/EFF_debuff_down</v>
          </cell>
          <cell r="M464" t="str">
            <v>icon_battle_guardreduce</v>
          </cell>
          <cell r="N464" t="str">
            <v>Buff.Name.GuardReduce.Down.04</v>
          </cell>
          <cell r="O464" t="str">
            <v>Buff.Desc.GuardReduce.Down.04</v>
          </cell>
        </row>
        <row r="465">
          <cell r="A465" t="str">
            <v>GuardReduce.Down.05</v>
          </cell>
          <cell r="B465"/>
          <cell r="C465"/>
          <cell r="D465">
            <v>0</v>
          </cell>
          <cell r="E465">
            <v>0</v>
          </cell>
          <cell r="F465">
            <v>0</v>
          </cell>
          <cell r="G465" t="str">
            <v>none</v>
          </cell>
          <cell r="H465"/>
          <cell r="I465" t="b">
            <v>0</v>
          </cell>
          <cell r="J465" t="b">
            <v>0</v>
          </cell>
          <cell r="K465" t="b">
            <v>0</v>
          </cell>
          <cell r="L465" t="str">
            <v>Effect/Prefab/10_buff/EFF_debuff_down</v>
          </cell>
          <cell r="M465" t="str">
            <v>icon_battle_guardreduce</v>
          </cell>
          <cell r="N465" t="str">
            <v>Buff.Name.GuardReduce.Down.05</v>
          </cell>
          <cell r="O465" t="str">
            <v>Buff.Desc.GuardReduce.Down.05</v>
          </cell>
        </row>
        <row r="466">
          <cell r="A466" t="str">
            <v>CriticalResist.Down</v>
          </cell>
          <cell r="B466"/>
          <cell r="C466"/>
          <cell r="D466">
            <v>0</v>
          </cell>
          <cell r="E466">
            <v>0</v>
          </cell>
          <cell r="F466">
            <v>0</v>
          </cell>
          <cell r="G466" t="str">
            <v>none</v>
          </cell>
          <cell r="H466"/>
          <cell r="I466" t="b">
            <v>0</v>
          </cell>
          <cell r="J466" t="b">
            <v>0</v>
          </cell>
          <cell r="K466" t="b">
            <v>0</v>
          </cell>
          <cell r="L466" t="str">
            <v>Effect/Prefab/10_buff/EFF_debuff_down</v>
          </cell>
          <cell r="M466" t="str">
            <v>icon_battle_critical</v>
          </cell>
          <cell r="N466" t="str">
            <v>Buff.Name.CriticalResist.Down.00</v>
          </cell>
          <cell r="O466" t="str">
            <v>Buff.Desc.CriticalResist.Down.00</v>
          </cell>
        </row>
        <row r="467">
          <cell r="A467" t="str">
            <v>CriticalResist.Down.01</v>
          </cell>
          <cell r="B467"/>
          <cell r="C467"/>
          <cell r="D467">
            <v>0</v>
          </cell>
          <cell r="E467">
            <v>0</v>
          </cell>
          <cell r="F467">
            <v>0</v>
          </cell>
          <cell r="G467" t="str">
            <v>none</v>
          </cell>
          <cell r="H467"/>
          <cell r="I467" t="b">
            <v>0</v>
          </cell>
          <cell r="J467" t="b">
            <v>0</v>
          </cell>
          <cell r="K467" t="b">
            <v>0</v>
          </cell>
          <cell r="L467" t="str">
            <v>Effect/Prefab/10_buff/EFF_debuff_down</v>
          </cell>
          <cell r="M467" t="str">
            <v>icon_battle_critical</v>
          </cell>
          <cell r="N467" t="str">
            <v>Buff.Name.CriticalResist.Down.01</v>
          </cell>
          <cell r="O467" t="str">
            <v>Buff.Desc.CriticalResist.Down.01</v>
          </cell>
        </row>
        <row r="468">
          <cell r="A468" t="str">
            <v>CriticalResist.Down.02</v>
          </cell>
          <cell r="B468"/>
          <cell r="C468"/>
          <cell r="D468">
            <v>0</v>
          </cell>
          <cell r="E468">
            <v>0</v>
          </cell>
          <cell r="F468">
            <v>0</v>
          </cell>
          <cell r="G468" t="str">
            <v>none</v>
          </cell>
          <cell r="H468"/>
          <cell r="I468" t="b">
            <v>0</v>
          </cell>
          <cell r="J468" t="b">
            <v>0</v>
          </cell>
          <cell r="K468" t="b">
            <v>0</v>
          </cell>
          <cell r="L468" t="str">
            <v>Effect/Prefab/10_buff/EFF_debuff_down</v>
          </cell>
          <cell r="M468" t="str">
            <v>icon_battle_critical</v>
          </cell>
          <cell r="N468" t="str">
            <v>Buff.Name.CriticalResist.Down.02</v>
          </cell>
          <cell r="O468" t="str">
            <v>Buff.Desc.CriticalResist.Down.02</v>
          </cell>
        </row>
        <row r="469">
          <cell r="A469" t="str">
            <v>CriticalResist.Down.03</v>
          </cell>
          <cell r="B469"/>
          <cell r="C469"/>
          <cell r="D469">
            <v>0</v>
          </cell>
          <cell r="E469">
            <v>0</v>
          </cell>
          <cell r="F469">
            <v>0</v>
          </cell>
          <cell r="G469" t="str">
            <v>none</v>
          </cell>
          <cell r="H469"/>
          <cell r="I469" t="b">
            <v>0</v>
          </cell>
          <cell r="J469" t="b">
            <v>0</v>
          </cell>
          <cell r="K469" t="b">
            <v>0</v>
          </cell>
          <cell r="L469" t="str">
            <v>Effect/Prefab/10_buff/EFF_debuff_down</v>
          </cell>
          <cell r="M469" t="str">
            <v>icon_battle_critical</v>
          </cell>
          <cell r="N469" t="str">
            <v>Buff.Name.CriticalResist.Down.03</v>
          </cell>
          <cell r="O469" t="str">
            <v>Buff.Desc.CriticalResist.Down.03</v>
          </cell>
        </row>
        <row r="470">
          <cell r="A470" t="str">
            <v>CriticalResist.Down.04</v>
          </cell>
          <cell r="B470"/>
          <cell r="C470"/>
          <cell r="D470">
            <v>0</v>
          </cell>
          <cell r="E470">
            <v>0</v>
          </cell>
          <cell r="F470">
            <v>0</v>
          </cell>
          <cell r="G470" t="str">
            <v>none</v>
          </cell>
          <cell r="H470"/>
          <cell r="I470" t="b">
            <v>0</v>
          </cell>
          <cell r="J470" t="b">
            <v>0</v>
          </cell>
          <cell r="K470" t="b">
            <v>0</v>
          </cell>
          <cell r="L470" t="str">
            <v>Effect/Prefab/10_buff/EFF_debuff_down</v>
          </cell>
          <cell r="M470" t="str">
            <v>icon_battle_critical</v>
          </cell>
          <cell r="N470" t="str">
            <v>Buff.Name.CriticalResist.Down.04</v>
          </cell>
          <cell r="O470" t="str">
            <v>Buff.Desc.CriticalResist.Down.04</v>
          </cell>
        </row>
        <row r="471">
          <cell r="A471" t="str">
            <v>CriticalResist.Down.05</v>
          </cell>
          <cell r="B471"/>
          <cell r="C471"/>
          <cell r="D471">
            <v>0</v>
          </cell>
          <cell r="E471">
            <v>0</v>
          </cell>
          <cell r="F471">
            <v>0</v>
          </cell>
          <cell r="G471" t="str">
            <v>none</v>
          </cell>
          <cell r="H471"/>
          <cell r="I471" t="b">
            <v>0</v>
          </cell>
          <cell r="J471" t="b">
            <v>0</v>
          </cell>
          <cell r="K471" t="b">
            <v>0</v>
          </cell>
          <cell r="L471" t="str">
            <v>Effect/Prefab/10_buff/EFF_debuff_down</v>
          </cell>
          <cell r="M471" t="str">
            <v>icon_battle_critical</v>
          </cell>
          <cell r="N471" t="str">
            <v>Buff.Name.CriticalResist.Down.05</v>
          </cell>
          <cell r="O471" t="str">
            <v>Buff.Desc.CriticalResist.Down.05</v>
          </cell>
        </row>
        <row r="472">
          <cell r="A472" t="str">
            <v>CriticalResist.Down.06</v>
          </cell>
          <cell r="B472"/>
          <cell r="C472"/>
          <cell r="D472">
            <v>0</v>
          </cell>
          <cell r="E472">
            <v>0</v>
          </cell>
          <cell r="F472">
            <v>0</v>
          </cell>
          <cell r="G472" t="str">
            <v>none</v>
          </cell>
          <cell r="H472"/>
          <cell r="I472" t="b">
            <v>0</v>
          </cell>
          <cell r="J472" t="b">
            <v>0</v>
          </cell>
          <cell r="K472" t="b">
            <v>0</v>
          </cell>
          <cell r="L472" t="str">
            <v>Effect/Prefab/10_buff/EFF_debuff_down</v>
          </cell>
          <cell r="M472" t="str">
            <v>icon_battle_critical</v>
          </cell>
          <cell r="N472" t="str">
            <v>Buff.Name.CriticalResist.Down.06</v>
          </cell>
          <cell r="O472" t="str">
            <v>Buff.Desc.CriticalResist.Down.06</v>
          </cell>
        </row>
        <row r="473">
          <cell r="A473" t="str">
            <v>CriticalResist.Down.07</v>
          </cell>
          <cell r="B473"/>
          <cell r="C473"/>
          <cell r="D473">
            <v>0</v>
          </cell>
          <cell r="E473">
            <v>0</v>
          </cell>
          <cell r="F473">
            <v>0</v>
          </cell>
          <cell r="G473" t="str">
            <v>none</v>
          </cell>
          <cell r="H473"/>
          <cell r="I473" t="b">
            <v>0</v>
          </cell>
          <cell r="J473" t="b">
            <v>0</v>
          </cell>
          <cell r="K473" t="b">
            <v>0</v>
          </cell>
          <cell r="L473" t="str">
            <v>Effect/Prefab/10_buff/EFF_debuff_down</v>
          </cell>
          <cell r="M473" t="str">
            <v>icon_battle_critical</v>
          </cell>
          <cell r="N473" t="str">
            <v>Buff.Name.CriticalResist.Down.07</v>
          </cell>
          <cell r="O473" t="str">
            <v>Buff.Desc.CriticalResist.Down.07</v>
          </cell>
        </row>
        <row r="474">
          <cell r="A474" t="str">
            <v>CriticalResist.Down.08</v>
          </cell>
          <cell r="B474"/>
          <cell r="C474"/>
          <cell r="D474">
            <v>0</v>
          </cell>
          <cell r="E474">
            <v>0</v>
          </cell>
          <cell r="F474">
            <v>0</v>
          </cell>
          <cell r="G474" t="str">
            <v>none</v>
          </cell>
          <cell r="H474"/>
          <cell r="I474" t="b">
            <v>0</v>
          </cell>
          <cell r="J474" t="b">
            <v>0</v>
          </cell>
          <cell r="K474" t="b">
            <v>0</v>
          </cell>
          <cell r="L474" t="str">
            <v>Effect/Prefab/10_buff/EFF_debuff_down</v>
          </cell>
          <cell r="M474" t="str">
            <v>icon_battle_critical</v>
          </cell>
          <cell r="N474" t="str">
            <v>Buff.Name.CriticalResist.Down.08</v>
          </cell>
          <cell r="O474" t="str">
            <v>Buff.Desc.CriticalResist.Down.08</v>
          </cell>
        </row>
        <row r="475">
          <cell r="A475" t="str">
            <v>CriticalResist.Down.09</v>
          </cell>
          <cell r="B475"/>
          <cell r="C475"/>
          <cell r="D475">
            <v>0</v>
          </cell>
          <cell r="E475">
            <v>0</v>
          </cell>
          <cell r="F475">
            <v>0</v>
          </cell>
          <cell r="G475" t="str">
            <v>none</v>
          </cell>
          <cell r="H475"/>
          <cell r="I475" t="b">
            <v>0</v>
          </cell>
          <cell r="J475" t="b">
            <v>0</v>
          </cell>
          <cell r="K475" t="b">
            <v>0</v>
          </cell>
          <cell r="L475" t="str">
            <v>Effect/Prefab/10_buff/EFF_debuff_down</v>
          </cell>
          <cell r="M475" t="str">
            <v>icon_battle_critical</v>
          </cell>
          <cell r="N475" t="str">
            <v>Buff.Name.CriticalResist.Down.09</v>
          </cell>
          <cell r="O475" t="str">
            <v>Buff.Desc.CriticalResist.Down.09</v>
          </cell>
        </row>
        <row r="476">
          <cell r="A476" t="str">
            <v>CriticalResist.Down.10</v>
          </cell>
          <cell r="B476"/>
          <cell r="C476"/>
          <cell r="D476">
            <v>0</v>
          </cell>
          <cell r="E476">
            <v>0</v>
          </cell>
          <cell r="F476">
            <v>0</v>
          </cell>
          <cell r="G476" t="str">
            <v>none</v>
          </cell>
          <cell r="H476"/>
          <cell r="I476" t="b">
            <v>0</v>
          </cell>
          <cell r="J476" t="b">
            <v>0</v>
          </cell>
          <cell r="K476" t="b">
            <v>0</v>
          </cell>
          <cell r="L476" t="str">
            <v>Effect/Prefab/10_buff/EFF_debuff_down</v>
          </cell>
          <cell r="M476" t="str">
            <v>icon_battle_critical</v>
          </cell>
          <cell r="N476" t="str">
            <v>Buff.Name.CriticalResist.Down.10</v>
          </cell>
          <cell r="O476" t="str">
            <v>Buff.Desc.CriticalResist.Down.10</v>
          </cell>
        </row>
        <row r="477">
          <cell r="A477" t="str">
            <v>HealRate.Down</v>
          </cell>
          <cell r="B477"/>
          <cell r="C477"/>
          <cell r="D477">
            <v>0</v>
          </cell>
          <cell r="E477">
            <v>0</v>
          </cell>
          <cell r="F477">
            <v>0</v>
          </cell>
          <cell r="G477" t="str">
            <v>none</v>
          </cell>
          <cell r="H477"/>
          <cell r="I477" t="b">
            <v>0</v>
          </cell>
          <cell r="J477" t="b">
            <v>0</v>
          </cell>
          <cell r="K477" t="b">
            <v>0</v>
          </cell>
          <cell r="L477" t="str">
            <v>Effect/Prefab/10_buff/EFF_debuff_down</v>
          </cell>
          <cell r="M477" t="str">
            <v>icon_battle_recovery</v>
          </cell>
          <cell r="N477" t="str">
            <v>Buff.Name.HealRate.Down.00</v>
          </cell>
          <cell r="O477" t="str">
            <v>Buff.Desc.HealRate.Down.00</v>
          </cell>
        </row>
        <row r="478">
          <cell r="A478" t="str">
            <v>HealRate.Down.01</v>
          </cell>
          <cell r="B478"/>
          <cell r="C478"/>
          <cell r="D478">
            <v>0</v>
          </cell>
          <cell r="E478">
            <v>0</v>
          </cell>
          <cell r="F478">
            <v>0</v>
          </cell>
          <cell r="G478" t="str">
            <v>none</v>
          </cell>
          <cell r="H478"/>
          <cell r="I478" t="b">
            <v>0</v>
          </cell>
          <cell r="J478" t="b">
            <v>0</v>
          </cell>
          <cell r="K478" t="b">
            <v>0</v>
          </cell>
          <cell r="L478" t="str">
            <v>Effect/Prefab/10_buff/EFF_debuff_down</v>
          </cell>
          <cell r="M478" t="str">
            <v>icon_battle_recovery</v>
          </cell>
          <cell r="N478" t="str">
            <v>Buff.Name.HealRate.Down.01</v>
          </cell>
          <cell r="O478" t="str">
            <v>Buff.Desc.HealRate.Down.01</v>
          </cell>
        </row>
        <row r="479">
          <cell r="A479" t="str">
            <v>HealRate.Down.02</v>
          </cell>
          <cell r="B479"/>
          <cell r="C479"/>
          <cell r="D479">
            <v>0</v>
          </cell>
          <cell r="E479">
            <v>0</v>
          </cell>
          <cell r="F479">
            <v>0</v>
          </cell>
          <cell r="G479" t="str">
            <v>none</v>
          </cell>
          <cell r="H479"/>
          <cell r="I479" t="b">
            <v>0</v>
          </cell>
          <cell r="J479" t="b">
            <v>0</v>
          </cell>
          <cell r="K479" t="b">
            <v>0</v>
          </cell>
          <cell r="L479" t="str">
            <v>Effect/Prefab/10_buff/EFF_debuff_down</v>
          </cell>
          <cell r="M479" t="str">
            <v>icon_battle_recovery</v>
          </cell>
          <cell r="N479" t="str">
            <v>Buff.Name.HealRate.Down.02</v>
          </cell>
          <cell r="O479" t="str">
            <v>Buff.Desc.HealRate.Down.02</v>
          </cell>
        </row>
        <row r="480">
          <cell r="A480" t="str">
            <v>HealRate.Down.03</v>
          </cell>
          <cell r="B480"/>
          <cell r="C480"/>
          <cell r="D480">
            <v>0</v>
          </cell>
          <cell r="E480">
            <v>0</v>
          </cell>
          <cell r="F480">
            <v>0</v>
          </cell>
          <cell r="G480" t="str">
            <v>none</v>
          </cell>
          <cell r="H480"/>
          <cell r="I480" t="b">
            <v>0</v>
          </cell>
          <cell r="J480" t="b">
            <v>0</v>
          </cell>
          <cell r="K480" t="b">
            <v>0</v>
          </cell>
          <cell r="L480" t="str">
            <v>Effect/Prefab/10_buff/EFF_debuff_down</v>
          </cell>
          <cell r="M480" t="str">
            <v>icon_battle_recovery</v>
          </cell>
          <cell r="N480" t="str">
            <v>Buff.Name.HealRate.Down.03</v>
          </cell>
          <cell r="O480" t="str">
            <v>Buff.Desc.HealRate.Down.03</v>
          </cell>
        </row>
        <row r="481">
          <cell r="A481" t="str">
            <v>HealRate.Down.04</v>
          </cell>
          <cell r="B481"/>
          <cell r="C481"/>
          <cell r="D481">
            <v>0</v>
          </cell>
          <cell r="E481">
            <v>0</v>
          </cell>
          <cell r="F481">
            <v>0</v>
          </cell>
          <cell r="G481" t="str">
            <v>none</v>
          </cell>
          <cell r="H481"/>
          <cell r="I481" t="b">
            <v>0</v>
          </cell>
          <cell r="J481" t="b">
            <v>0</v>
          </cell>
          <cell r="K481" t="b">
            <v>0</v>
          </cell>
          <cell r="L481" t="str">
            <v>Effect/Prefab/10_buff/EFF_debuff_down</v>
          </cell>
          <cell r="M481" t="str">
            <v>icon_battle_recovery</v>
          </cell>
          <cell r="N481" t="str">
            <v>Buff.Name.HealRate.Down.04</v>
          </cell>
          <cell r="O481" t="str">
            <v>Buff.Desc.HealRate.Down.04</v>
          </cell>
        </row>
        <row r="482">
          <cell r="A482" t="str">
            <v>HealRate.Down.05</v>
          </cell>
          <cell r="B482"/>
          <cell r="C482"/>
          <cell r="D482">
            <v>0</v>
          </cell>
          <cell r="E482">
            <v>0</v>
          </cell>
          <cell r="F482">
            <v>0</v>
          </cell>
          <cell r="G482" t="str">
            <v>none</v>
          </cell>
          <cell r="H482"/>
          <cell r="I482" t="b">
            <v>0</v>
          </cell>
          <cell r="J482" t="b">
            <v>0</v>
          </cell>
          <cell r="K482" t="b">
            <v>0</v>
          </cell>
          <cell r="L482" t="str">
            <v>Effect/Prefab/10_buff/EFF_debuff_down</v>
          </cell>
          <cell r="M482" t="str">
            <v>icon_battle_recovery</v>
          </cell>
          <cell r="N482" t="str">
            <v>Buff.Name.HealRate.Down.05</v>
          </cell>
          <cell r="O482" t="str">
            <v>Buff.Desc.HealRate.Down.05</v>
          </cell>
        </row>
        <row r="483">
          <cell r="A483" t="str">
            <v>Wound</v>
          </cell>
          <cell r="B483"/>
          <cell r="C483"/>
          <cell r="D483">
            <v>0</v>
          </cell>
          <cell r="E483">
            <v>0</v>
          </cell>
          <cell r="F483">
            <v>0</v>
          </cell>
          <cell r="G483" t="str">
            <v>none</v>
          </cell>
          <cell r="H483"/>
          <cell r="I483" t="b">
            <v>0</v>
          </cell>
          <cell r="J483" t="b">
            <v>0</v>
          </cell>
          <cell r="K483" t="b">
            <v>0</v>
          </cell>
          <cell r="L483" t="str">
            <v>Effect/Prefab/10_buff/EFF_debuff_down</v>
          </cell>
          <cell r="M483" t="str">
            <v>icon_battle_wound</v>
          </cell>
          <cell r="N483" t="str">
            <v>Buff.Name.Wound</v>
          </cell>
          <cell r="O483" t="str">
            <v>Buff.Desc.Wound</v>
          </cell>
        </row>
        <row r="484">
          <cell r="A484" t="str">
            <v>ReceiveHealRate.Down</v>
          </cell>
          <cell r="B484"/>
          <cell r="C484"/>
          <cell r="D484">
            <v>0</v>
          </cell>
          <cell r="E484">
            <v>0</v>
          </cell>
          <cell r="F484">
            <v>0</v>
          </cell>
          <cell r="G484" t="str">
            <v>none</v>
          </cell>
          <cell r="H484"/>
          <cell r="I484" t="b">
            <v>0</v>
          </cell>
          <cell r="J484" t="b">
            <v>0</v>
          </cell>
          <cell r="K484" t="b">
            <v>0</v>
          </cell>
          <cell r="L484" t="str">
            <v>Effect/Prefab/10_buff/EFF_debuff_down</v>
          </cell>
          <cell r="M484" t="str">
            <v>icon_battle_receiverecovery</v>
          </cell>
          <cell r="N484" t="str">
            <v>Buff.Name.ReceiveHealRate.Down.00</v>
          </cell>
          <cell r="O484" t="str">
            <v>Buff.Desc.ReceiveHealRate.Down.00</v>
          </cell>
        </row>
        <row r="485">
          <cell r="A485" t="str">
            <v>ReceiveHealRate.Down.01</v>
          </cell>
          <cell r="B485"/>
          <cell r="C485"/>
          <cell r="D485">
            <v>0</v>
          </cell>
          <cell r="E485">
            <v>0</v>
          </cell>
          <cell r="F485">
            <v>0</v>
          </cell>
          <cell r="G485" t="str">
            <v>none</v>
          </cell>
          <cell r="H485"/>
          <cell r="I485" t="b">
            <v>0</v>
          </cell>
          <cell r="J485" t="b">
            <v>0</v>
          </cell>
          <cell r="K485" t="b">
            <v>0</v>
          </cell>
          <cell r="L485" t="str">
            <v>Effect/Prefab/10_buff/EFF_debuff_down</v>
          </cell>
          <cell r="M485" t="str">
            <v>icon_battle_receiverecovery</v>
          </cell>
          <cell r="N485" t="str">
            <v>Buff.Name.ReceiveHealRate.Down.01</v>
          </cell>
          <cell r="O485" t="str">
            <v>Buff.Desc.ReceiveHealRate.Down.01</v>
          </cell>
        </row>
        <row r="486">
          <cell r="A486" t="str">
            <v>ReceiveHealRate.Down.02</v>
          </cell>
          <cell r="B486"/>
          <cell r="C486"/>
          <cell r="D486">
            <v>0</v>
          </cell>
          <cell r="E486">
            <v>0</v>
          </cell>
          <cell r="F486">
            <v>0</v>
          </cell>
          <cell r="G486" t="str">
            <v>none</v>
          </cell>
          <cell r="H486"/>
          <cell r="I486" t="b">
            <v>0</v>
          </cell>
          <cell r="J486" t="b">
            <v>0</v>
          </cell>
          <cell r="K486" t="b">
            <v>0</v>
          </cell>
          <cell r="L486" t="str">
            <v>Effect/Prefab/10_buff/EFF_debuff_down</v>
          </cell>
          <cell r="M486" t="str">
            <v>icon_battle_receiverecovery</v>
          </cell>
          <cell r="N486" t="str">
            <v>Buff.Name.ReceiveHealRate.Down.02</v>
          </cell>
          <cell r="O486" t="str">
            <v>Buff.Desc.ReceiveHealRate.Down.02</v>
          </cell>
        </row>
        <row r="487">
          <cell r="A487" t="str">
            <v>ReceiveHealRate.Down.03</v>
          </cell>
          <cell r="B487"/>
          <cell r="C487"/>
          <cell r="D487">
            <v>0</v>
          </cell>
          <cell r="E487">
            <v>0</v>
          </cell>
          <cell r="F487">
            <v>0</v>
          </cell>
          <cell r="G487" t="str">
            <v>none</v>
          </cell>
          <cell r="H487"/>
          <cell r="I487" t="b">
            <v>0</v>
          </cell>
          <cell r="J487" t="b">
            <v>0</v>
          </cell>
          <cell r="K487" t="b">
            <v>0</v>
          </cell>
          <cell r="L487" t="str">
            <v>Effect/Prefab/10_buff/EFF_debuff_down</v>
          </cell>
          <cell r="M487" t="str">
            <v>icon_battle_receiverecovery</v>
          </cell>
          <cell r="N487" t="str">
            <v>Buff.Name.ReceiveHealRate.Down.03</v>
          </cell>
          <cell r="O487" t="str">
            <v>Buff.Desc.ReceiveHealRate.Down.03</v>
          </cell>
        </row>
        <row r="488">
          <cell r="A488" t="str">
            <v>ReceiveHealRate.Down.04</v>
          </cell>
          <cell r="B488"/>
          <cell r="C488"/>
          <cell r="D488">
            <v>0</v>
          </cell>
          <cell r="E488">
            <v>0</v>
          </cell>
          <cell r="F488">
            <v>0</v>
          </cell>
          <cell r="G488" t="str">
            <v>none</v>
          </cell>
          <cell r="H488"/>
          <cell r="I488" t="b">
            <v>0</v>
          </cell>
          <cell r="J488" t="b">
            <v>0</v>
          </cell>
          <cell r="K488" t="b">
            <v>0</v>
          </cell>
          <cell r="L488" t="str">
            <v>Effect/Prefab/10_buff/EFF_debuff_down</v>
          </cell>
          <cell r="M488" t="str">
            <v>icon_battle_receiverecovery</v>
          </cell>
          <cell r="N488" t="str">
            <v>Buff.Name.ReceiveHealRate.Down.04</v>
          </cell>
          <cell r="O488" t="str">
            <v>Buff.Desc.ReceiveHealRate.Down.04</v>
          </cell>
        </row>
        <row r="489">
          <cell r="A489" t="str">
            <v>ReceiveHealRate.Down.05</v>
          </cell>
          <cell r="B489"/>
          <cell r="C489"/>
          <cell r="D489">
            <v>0</v>
          </cell>
          <cell r="E489">
            <v>0</v>
          </cell>
          <cell r="F489">
            <v>0</v>
          </cell>
          <cell r="G489" t="str">
            <v>none</v>
          </cell>
          <cell r="H489"/>
          <cell r="I489" t="b">
            <v>0</v>
          </cell>
          <cell r="J489" t="b">
            <v>0</v>
          </cell>
          <cell r="K489" t="b">
            <v>0</v>
          </cell>
          <cell r="L489" t="str">
            <v>Effect/Prefab/10_buff/EFF_debuff_down</v>
          </cell>
          <cell r="M489" t="str">
            <v>icon_battle_receiverecovery</v>
          </cell>
          <cell r="N489" t="str">
            <v>Buff.Name.ReceiveHealRate.Down.05</v>
          </cell>
          <cell r="O489" t="str">
            <v>Buff.Desc.ReceiveHealRate.Down.05</v>
          </cell>
        </row>
        <row r="490">
          <cell r="A490" t="str">
            <v>ReceiveHealRate.Down.06</v>
          </cell>
          <cell r="B490"/>
          <cell r="C490"/>
          <cell r="D490">
            <v>0</v>
          </cell>
          <cell r="E490">
            <v>0</v>
          </cell>
          <cell r="F490">
            <v>0</v>
          </cell>
          <cell r="G490" t="str">
            <v>none</v>
          </cell>
          <cell r="H490"/>
          <cell r="I490" t="b">
            <v>0</v>
          </cell>
          <cell r="J490" t="b">
            <v>0</v>
          </cell>
          <cell r="K490" t="b">
            <v>0</v>
          </cell>
          <cell r="L490" t="str">
            <v>Effect/Prefab/10_buff/EFF_debuff_down</v>
          </cell>
          <cell r="M490" t="str">
            <v>icon_battle_receiverecovery</v>
          </cell>
          <cell r="N490" t="str">
            <v>Buff.Name.ReceiveHealRate.Down.06</v>
          </cell>
          <cell r="O490" t="str">
            <v>Buff.Desc.ReceiveHealRate.Down.06</v>
          </cell>
        </row>
        <row r="491">
          <cell r="A491" t="str">
            <v>ReceiveHealRate.Down.07</v>
          </cell>
          <cell r="B491"/>
          <cell r="C491"/>
          <cell r="D491">
            <v>0</v>
          </cell>
          <cell r="E491">
            <v>0</v>
          </cell>
          <cell r="F491">
            <v>0</v>
          </cell>
          <cell r="G491" t="str">
            <v>none</v>
          </cell>
          <cell r="H491"/>
          <cell r="I491" t="b">
            <v>0</v>
          </cell>
          <cell r="J491" t="b">
            <v>0</v>
          </cell>
          <cell r="K491" t="b">
            <v>0</v>
          </cell>
          <cell r="L491" t="str">
            <v>Effect/Prefab/10_buff/EFF_debuff_down</v>
          </cell>
          <cell r="M491" t="str">
            <v>icon_battle_receiverecovery</v>
          </cell>
          <cell r="N491" t="str">
            <v>Buff.Name.ReceiveHealRate.Down.07</v>
          </cell>
          <cell r="O491" t="str">
            <v>Buff.Desc.ReceiveHealRate.Down.07</v>
          </cell>
        </row>
        <row r="492">
          <cell r="A492" t="str">
            <v>ReceiveHealRate.Down.08</v>
          </cell>
          <cell r="B492"/>
          <cell r="C492"/>
          <cell r="D492">
            <v>0</v>
          </cell>
          <cell r="E492">
            <v>0</v>
          </cell>
          <cell r="F492">
            <v>0</v>
          </cell>
          <cell r="G492" t="str">
            <v>none</v>
          </cell>
          <cell r="H492"/>
          <cell r="I492" t="b">
            <v>0</v>
          </cell>
          <cell r="J492" t="b">
            <v>0</v>
          </cell>
          <cell r="K492" t="b">
            <v>0</v>
          </cell>
          <cell r="L492" t="str">
            <v>Effect/Prefab/10_buff/EFF_debuff_down</v>
          </cell>
          <cell r="M492" t="str">
            <v>icon_battle_receiverecovery</v>
          </cell>
          <cell r="N492" t="str">
            <v>Buff.Name.ReceiveHealRate.Down.08</v>
          </cell>
          <cell r="O492" t="str">
            <v>Buff.Desc.ReceiveHealRate.Down.08</v>
          </cell>
        </row>
        <row r="493">
          <cell r="A493" t="str">
            <v>ReceiveHealRate.Down.09</v>
          </cell>
          <cell r="B493"/>
          <cell r="C493"/>
          <cell r="D493">
            <v>0</v>
          </cell>
          <cell r="E493">
            <v>0</v>
          </cell>
          <cell r="F493">
            <v>0</v>
          </cell>
          <cell r="G493" t="str">
            <v>none</v>
          </cell>
          <cell r="H493"/>
          <cell r="I493" t="b">
            <v>0</v>
          </cell>
          <cell r="J493" t="b">
            <v>0</v>
          </cell>
          <cell r="K493" t="b">
            <v>0</v>
          </cell>
          <cell r="L493" t="str">
            <v>Effect/Prefab/10_buff/EFF_debuff_down</v>
          </cell>
          <cell r="M493" t="str">
            <v>icon_battle_receiverecovery</v>
          </cell>
          <cell r="N493" t="str">
            <v>Buff.Name.ReceiveHealRate.Down.09</v>
          </cell>
          <cell r="O493" t="str">
            <v>Buff.Desc.ReceiveHealRate.Down.09</v>
          </cell>
        </row>
        <row r="494">
          <cell r="A494" t="str">
            <v>ReceiveHealRate.Down.10</v>
          </cell>
          <cell r="B494"/>
          <cell r="C494"/>
          <cell r="D494">
            <v>0</v>
          </cell>
          <cell r="E494">
            <v>0</v>
          </cell>
          <cell r="F494">
            <v>0</v>
          </cell>
          <cell r="G494" t="str">
            <v>none</v>
          </cell>
          <cell r="H494"/>
          <cell r="I494" t="b">
            <v>0</v>
          </cell>
          <cell r="J494" t="b">
            <v>0</v>
          </cell>
          <cell r="K494" t="b">
            <v>0</v>
          </cell>
          <cell r="L494" t="str">
            <v>Effect/Prefab/10_buff/EFF_debuff_down</v>
          </cell>
          <cell r="M494" t="str">
            <v>icon_battle_receiverecovery</v>
          </cell>
          <cell r="N494" t="str">
            <v>Buff.Name.ReceiveHealRate.Down.10</v>
          </cell>
          <cell r="O494" t="str">
            <v>Buff.Desc.ReceiveHealRate.Down.10</v>
          </cell>
        </row>
        <row r="495">
          <cell r="A495" t="str">
            <v>RechargeRate.Down</v>
          </cell>
          <cell r="B495"/>
          <cell r="C495"/>
          <cell r="D495">
            <v>0</v>
          </cell>
          <cell r="E495">
            <v>0</v>
          </cell>
          <cell r="F495">
            <v>0</v>
          </cell>
          <cell r="G495" t="str">
            <v>none</v>
          </cell>
          <cell r="H495"/>
          <cell r="I495" t="b">
            <v>0</v>
          </cell>
          <cell r="J495" t="b">
            <v>0</v>
          </cell>
          <cell r="K495" t="b">
            <v>0</v>
          </cell>
          <cell r="L495" t="str">
            <v>Effect/Prefab/10_buff/EFF_debuff_down</v>
          </cell>
          <cell r="M495" t="str">
            <v>icon_battle_eprechargerate_down</v>
          </cell>
          <cell r="N495" t="str">
            <v>Buff.Name.RechargeRate.Down.00</v>
          </cell>
          <cell r="O495" t="str">
            <v>Buff.Desc.RechargeRate.Down.00</v>
          </cell>
        </row>
        <row r="496">
          <cell r="A496" t="str">
            <v>RechargeRate.Down.01</v>
          </cell>
          <cell r="B496"/>
          <cell r="C496"/>
          <cell r="D496">
            <v>0</v>
          </cell>
          <cell r="E496">
            <v>0</v>
          </cell>
          <cell r="F496">
            <v>0</v>
          </cell>
          <cell r="G496" t="str">
            <v>none</v>
          </cell>
          <cell r="H496"/>
          <cell r="I496" t="b">
            <v>0</v>
          </cell>
          <cell r="J496" t="b">
            <v>0</v>
          </cell>
          <cell r="K496" t="b">
            <v>0</v>
          </cell>
          <cell r="L496" t="str">
            <v>Effect/Prefab/10_buff/EFF_debuff_down</v>
          </cell>
          <cell r="M496" t="str">
            <v>icon_battle_eprechargerate_down</v>
          </cell>
          <cell r="N496" t="str">
            <v>Buff.Name.RechargeRate.Down.01</v>
          </cell>
          <cell r="O496" t="str">
            <v>Buff.Desc.RechargeRate.Down.01</v>
          </cell>
        </row>
        <row r="497">
          <cell r="A497" t="str">
            <v>RechargeRate.Down.02</v>
          </cell>
          <cell r="B497"/>
          <cell r="C497"/>
          <cell r="D497">
            <v>0</v>
          </cell>
          <cell r="E497">
            <v>0</v>
          </cell>
          <cell r="F497">
            <v>0</v>
          </cell>
          <cell r="G497" t="str">
            <v>none</v>
          </cell>
          <cell r="H497"/>
          <cell r="I497" t="b">
            <v>0</v>
          </cell>
          <cell r="J497" t="b">
            <v>0</v>
          </cell>
          <cell r="K497" t="b">
            <v>0</v>
          </cell>
          <cell r="L497" t="str">
            <v>Effect/Prefab/10_buff/EFF_debuff_down</v>
          </cell>
          <cell r="M497" t="str">
            <v>icon_battle_eprechargerate_down</v>
          </cell>
          <cell r="N497" t="str">
            <v>Buff.Name.RechargeRate.Down.02</v>
          </cell>
          <cell r="O497" t="str">
            <v>Buff.Desc.RechargeRate.Down.02</v>
          </cell>
        </row>
        <row r="498">
          <cell r="A498" t="str">
            <v>RechargeRate.Down.03</v>
          </cell>
          <cell r="B498"/>
          <cell r="C498"/>
          <cell r="D498">
            <v>0</v>
          </cell>
          <cell r="E498">
            <v>0</v>
          </cell>
          <cell r="F498">
            <v>0</v>
          </cell>
          <cell r="G498" t="str">
            <v>none</v>
          </cell>
          <cell r="H498"/>
          <cell r="I498" t="b">
            <v>0</v>
          </cell>
          <cell r="J498" t="b">
            <v>0</v>
          </cell>
          <cell r="K498" t="b">
            <v>0</v>
          </cell>
          <cell r="L498" t="str">
            <v>Effect/Prefab/10_buff/EFF_debuff_down</v>
          </cell>
          <cell r="M498" t="str">
            <v>icon_battle_eprechargerate_down</v>
          </cell>
          <cell r="N498" t="str">
            <v>Buff.Name.RechargeRate.Down.03</v>
          </cell>
          <cell r="O498" t="str">
            <v>Buff.Desc.RechargeRate.Down.03</v>
          </cell>
        </row>
        <row r="499">
          <cell r="A499" t="str">
            <v>RechargeRate.Down.04</v>
          </cell>
          <cell r="B499"/>
          <cell r="C499"/>
          <cell r="D499">
            <v>0</v>
          </cell>
          <cell r="E499">
            <v>0</v>
          </cell>
          <cell r="F499">
            <v>0</v>
          </cell>
          <cell r="G499" t="str">
            <v>none</v>
          </cell>
          <cell r="H499"/>
          <cell r="I499" t="b">
            <v>0</v>
          </cell>
          <cell r="J499" t="b">
            <v>0</v>
          </cell>
          <cell r="K499" t="b">
            <v>0</v>
          </cell>
          <cell r="L499" t="str">
            <v>Effect/Prefab/10_buff/EFF_debuff_down</v>
          </cell>
          <cell r="M499" t="str">
            <v>icon_battle_eprechargerate_down</v>
          </cell>
          <cell r="N499" t="str">
            <v>Buff.Name.RechargeRate.Down.04</v>
          </cell>
          <cell r="O499" t="str">
            <v>Buff.Desc.RechargeRate.Down.04</v>
          </cell>
        </row>
        <row r="500">
          <cell r="A500" t="str">
            <v>RechargeRate.Down.05</v>
          </cell>
          <cell r="B500"/>
          <cell r="C500"/>
          <cell r="D500">
            <v>0</v>
          </cell>
          <cell r="E500">
            <v>0</v>
          </cell>
          <cell r="F500">
            <v>0</v>
          </cell>
          <cell r="G500" t="str">
            <v>none</v>
          </cell>
          <cell r="H500"/>
          <cell r="I500" t="b">
            <v>0</v>
          </cell>
          <cell r="J500" t="b">
            <v>0</v>
          </cell>
          <cell r="K500" t="b">
            <v>0</v>
          </cell>
          <cell r="L500" t="str">
            <v>Effect/Prefab/10_buff/EFF_debuff_down</v>
          </cell>
          <cell r="M500" t="str">
            <v>icon_battle_eprechargerate_down</v>
          </cell>
          <cell r="N500" t="str">
            <v>Buff.Name.RechargeRate.Down.05</v>
          </cell>
          <cell r="O500" t="str">
            <v>Buff.Desc.RechargeRate.Down.05</v>
          </cell>
        </row>
        <row r="501">
          <cell r="A501" t="str">
            <v>AccelerationSkillTime.Down</v>
          </cell>
          <cell r="B501"/>
          <cell r="C501"/>
          <cell r="D501">
            <v>0</v>
          </cell>
          <cell r="E501">
            <v>0</v>
          </cell>
          <cell r="F501">
            <v>0</v>
          </cell>
          <cell r="G501" t="str">
            <v>none</v>
          </cell>
          <cell r="H501"/>
          <cell r="I501" t="b">
            <v>0</v>
          </cell>
          <cell r="J501" t="b">
            <v>0</v>
          </cell>
          <cell r="K501" t="b">
            <v>0</v>
          </cell>
          <cell r="L501" t="str">
            <v>Effect/Prefab/10_buff/EFF_debuff_down</v>
          </cell>
          <cell r="M501" t="str">
            <v>icon_battle_cooldown</v>
          </cell>
          <cell r="N501" t="str">
            <v>Buff.Name.AccelerationSkillTime.Down.00</v>
          </cell>
          <cell r="O501" t="str">
            <v>Buff.Desc.AccelerationSkillTime.Down.00</v>
          </cell>
        </row>
        <row r="502">
          <cell r="A502" t="str">
            <v>AccelerationSkillTime.Down.01</v>
          </cell>
          <cell r="B502"/>
          <cell r="C502"/>
          <cell r="D502">
            <v>0</v>
          </cell>
          <cell r="E502">
            <v>0</v>
          </cell>
          <cell r="F502">
            <v>0</v>
          </cell>
          <cell r="G502" t="str">
            <v>none</v>
          </cell>
          <cell r="H502"/>
          <cell r="I502" t="b">
            <v>0</v>
          </cell>
          <cell r="J502" t="b">
            <v>0</v>
          </cell>
          <cell r="K502" t="b">
            <v>0</v>
          </cell>
          <cell r="L502" t="str">
            <v>Effect/Prefab/10_buff/EFF_debuff_down</v>
          </cell>
          <cell r="M502" t="str">
            <v>icon_battle_cooldown</v>
          </cell>
          <cell r="N502" t="str">
            <v>Buff.Name.AccelerationSkillTime.Down.01</v>
          </cell>
          <cell r="O502" t="str">
            <v>Buff.Desc.AccelerationSkillTime.Down.01</v>
          </cell>
        </row>
        <row r="503">
          <cell r="A503" t="str">
            <v>AccelerationSkillTime.Down.02</v>
          </cell>
          <cell r="B503"/>
          <cell r="C503"/>
          <cell r="D503">
            <v>0</v>
          </cell>
          <cell r="E503">
            <v>0</v>
          </cell>
          <cell r="F503">
            <v>0</v>
          </cell>
          <cell r="G503" t="str">
            <v>none</v>
          </cell>
          <cell r="H503"/>
          <cell r="I503" t="b">
            <v>0</v>
          </cell>
          <cell r="J503" t="b">
            <v>0</v>
          </cell>
          <cell r="K503" t="b">
            <v>0</v>
          </cell>
          <cell r="L503" t="str">
            <v>Effect/Prefab/10_buff/EFF_debuff_down</v>
          </cell>
          <cell r="M503" t="str">
            <v>icon_battle_cooldown</v>
          </cell>
          <cell r="N503" t="str">
            <v>Buff.Name.AccelerationSkillTime.Down.02</v>
          </cell>
          <cell r="O503" t="str">
            <v>Buff.Desc.AccelerationSkillTime.Down.02</v>
          </cell>
        </row>
        <row r="504">
          <cell r="A504" t="str">
            <v>AccelerationSkillTime.Down.03</v>
          </cell>
          <cell r="B504"/>
          <cell r="C504"/>
          <cell r="D504">
            <v>0</v>
          </cell>
          <cell r="E504">
            <v>0</v>
          </cell>
          <cell r="F504">
            <v>0</v>
          </cell>
          <cell r="G504" t="str">
            <v>none</v>
          </cell>
          <cell r="H504"/>
          <cell r="I504" t="b">
            <v>0</v>
          </cell>
          <cell r="J504" t="b">
            <v>0</v>
          </cell>
          <cell r="K504" t="b">
            <v>0</v>
          </cell>
          <cell r="L504" t="str">
            <v>Effect/Prefab/10_buff/EFF_debuff_down</v>
          </cell>
          <cell r="M504" t="str">
            <v>icon_battle_cooldown</v>
          </cell>
          <cell r="N504" t="str">
            <v>Buff.Name.AccelerationSkillTime.Down.03</v>
          </cell>
          <cell r="O504" t="str">
            <v>Buff.Desc.AccelerationSkillTime.Down.03</v>
          </cell>
        </row>
        <row r="505">
          <cell r="A505" t="str">
            <v>AccelerationSkillTime.Down.04</v>
          </cell>
          <cell r="B505"/>
          <cell r="C505"/>
          <cell r="D505">
            <v>0</v>
          </cell>
          <cell r="E505">
            <v>0</v>
          </cell>
          <cell r="F505">
            <v>0</v>
          </cell>
          <cell r="G505" t="str">
            <v>none</v>
          </cell>
          <cell r="H505"/>
          <cell r="I505" t="b">
            <v>0</v>
          </cell>
          <cell r="J505" t="b">
            <v>0</v>
          </cell>
          <cell r="K505" t="b">
            <v>0</v>
          </cell>
          <cell r="L505" t="str">
            <v>Effect/Prefab/10_buff/EFF_debuff_down</v>
          </cell>
          <cell r="M505" t="str">
            <v>icon_battle_cooldown</v>
          </cell>
          <cell r="N505" t="str">
            <v>Buff.Name.AccelerationSkillTime.Down.04</v>
          </cell>
          <cell r="O505" t="str">
            <v>Buff.Desc.AccelerationSkillTime.Down.04</v>
          </cell>
        </row>
        <row r="506">
          <cell r="A506" t="str">
            <v>AccelerationSkillTime.Down.05</v>
          </cell>
          <cell r="B506"/>
          <cell r="C506"/>
          <cell r="D506">
            <v>0</v>
          </cell>
          <cell r="E506">
            <v>0</v>
          </cell>
          <cell r="F506">
            <v>0</v>
          </cell>
          <cell r="G506" t="str">
            <v>none</v>
          </cell>
          <cell r="H506"/>
          <cell r="I506" t="b">
            <v>0</v>
          </cell>
          <cell r="J506" t="b">
            <v>0</v>
          </cell>
          <cell r="K506" t="b">
            <v>0</v>
          </cell>
          <cell r="L506" t="str">
            <v>Effect/Prefab/10_buff/EFF_debuff_down</v>
          </cell>
          <cell r="M506" t="str">
            <v>icon_battle_cooldown</v>
          </cell>
          <cell r="N506" t="str">
            <v>Buff.Name.AccelerationSkillTime.Down.05</v>
          </cell>
          <cell r="O506" t="str">
            <v>Buff.Desc.AccelerationSkillTime.Down.05</v>
          </cell>
        </row>
        <row r="507">
          <cell r="A507" t="str">
            <v>ReceiveNormalDamage.Up</v>
          </cell>
          <cell r="B507"/>
          <cell r="C507"/>
          <cell r="D507">
            <v>0</v>
          </cell>
          <cell r="E507">
            <v>0</v>
          </cell>
          <cell r="F507">
            <v>0</v>
          </cell>
          <cell r="G507" t="str">
            <v>none</v>
          </cell>
          <cell r="H507"/>
          <cell r="I507" t="b">
            <v>0</v>
          </cell>
          <cell r="J507" t="b">
            <v>0</v>
          </cell>
          <cell r="K507" t="b">
            <v>0</v>
          </cell>
          <cell r="L507" t="str">
            <v>Effect/Prefab/10_buff/EFF_debuff_down</v>
          </cell>
          <cell r="M507" t="str">
            <v>icon_battle_damageimmune</v>
          </cell>
          <cell r="N507" t="str">
            <v>Buff.Name.ReceiveNormalDamage.Up.00</v>
          </cell>
          <cell r="O507" t="str">
            <v>Buff.Desc.ReceiveNormalDamage.Up.00</v>
          </cell>
        </row>
        <row r="508">
          <cell r="A508" t="str">
            <v>ReceiveNormalDamage.Up.01</v>
          </cell>
          <cell r="B508"/>
          <cell r="C508"/>
          <cell r="D508">
            <v>0</v>
          </cell>
          <cell r="E508">
            <v>0</v>
          </cell>
          <cell r="F508">
            <v>0</v>
          </cell>
          <cell r="G508" t="str">
            <v>none</v>
          </cell>
          <cell r="H508"/>
          <cell r="I508" t="b">
            <v>0</v>
          </cell>
          <cell r="J508" t="b">
            <v>0</v>
          </cell>
          <cell r="K508" t="b">
            <v>0</v>
          </cell>
          <cell r="L508" t="str">
            <v>Effect/Prefab/10_buff/EFF_debuff_down</v>
          </cell>
          <cell r="M508" t="str">
            <v>icon_battle_damageimmune</v>
          </cell>
          <cell r="N508" t="str">
            <v>Buff.Name.ReceiveNormalDamage.Up.01</v>
          </cell>
          <cell r="O508" t="str">
            <v>Buff.Desc.ReceiveNormalDamage.Up.01</v>
          </cell>
        </row>
        <row r="509">
          <cell r="A509" t="str">
            <v>ReceiveNormalDamage.Up.02</v>
          </cell>
          <cell r="B509"/>
          <cell r="C509"/>
          <cell r="D509">
            <v>0</v>
          </cell>
          <cell r="E509">
            <v>0</v>
          </cell>
          <cell r="F509">
            <v>0</v>
          </cell>
          <cell r="G509" t="str">
            <v>none</v>
          </cell>
          <cell r="H509"/>
          <cell r="I509" t="b">
            <v>0</v>
          </cell>
          <cell r="J509" t="b">
            <v>0</v>
          </cell>
          <cell r="K509" t="b">
            <v>0</v>
          </cell>
          <cell r="L509" t="str">
            <v>Effect/Prefab/10_buff/EFF_debuff_down</v>
          </cell>
          <cell r="M509" t="str">
            <v>icon_battle_damageimmune</v>
          </cell>
          <cell r="N509" t="str">
            <v>Buff.Name.ReceiveNormalDamage.Up.02</v>
          </cell>
          <cell r="O509" t="str">
            <v>Buff.Desc.ReceiveNormalDamage.Up.02</v>
          </cell>
        </row>
        <row r="510">
          <cell r="A510" t="str">
            <v>ReceiveNormalDamage.Up.03</v>
          </cell>
          <cell r="B510"/>
          <cell r="C510"/>
          <cell r="D510">
            <v>0</v>
          </cell>
          <cell r="E510">
            <v>0</v>
          </cell>
          <cell r="F510">
            <v>0</v>
          </cell>
          <cell r="G510" t="str">
            <v>none</v>
          </cell>
          <cell r="H510"/>
          <cell r="I510" t="b">
            <v>0</v>
          </cell>
          <cell r="J510" t="b">
            <v>0</v>
          </cell>
          <cell r="K510" t="b">
            <v>0</v>
          </cell>
          <cell r="L510" t="str">
            <v>Effect/Prefab/10_buff/EFF_debuff_down</v>
          </cell>
          <cell r="M510" t="str">
            <v>icon_battle_damageimmune</v>
          </cell>
          <cell r="N510" t="str">
            <v>Buff.Name.ReceiveNormalDamage.Up.03</v>
          </cell>
          <cell r="O510" t="str">
            <v>Buff.Desc.ReceiveNormalDamage.Up.03</v>
          </cell>
        </row>
        <row r="511">
          <cell r="A511" t="str">
            <v>ReceiveNormalDamage.Up.04</v>
          </cell>
          <cell r="B511"/>
          <cell r="C511"/>
          <cell r="D511">
            <v>0</v>
          </cell>
          <cell r="E511">
            <v>0</v>
          </cell>
          <cell r="F511">
            <v>0</v>
          </cell>
          <cell r="G511" t="str">
            <v>none</v>
          </cell>
          <cell r="H511"/>
          <cell r="I511" t="b">
            <v>0</v>
          </cell>
          <cell r="J511" t="b">
            <v>0</v>
          </cell>
          <cell r="K511" t="b">
            <v>0</v>
          </cell>
          <cell r="L511" t="str">
            <v>Effect/Prefab/10_buff/EFF_debuff_down</v>
          </cell>
          <cell r="M511" t="str">
            <v>icon_battle_damageimmune</v>
          </cell>
          <cell r="N511" t="str">
            <v>Buff.Name.ReceiveNormalDamage.Up.04</v>
          </cell>
          <cell r="O511" t="str">
            <v>Buff.Desc.ReceiveNormalDamage.Up.04</v>
          </cell>
        </row>
        <row r="512">
          <cell r="A512" t="str">
            <v>ReceiveNormalDamage.Up.05</v>
          </cell>
          <cell r="B512"/>
          <cell r="C512"/>
          <cell r="D512">
            <v>0</v>
          </cell>
          <cell r="E512">
            <v>0</v>
          </cell>
          <cell r="F512">
            <v>0</v>
          </cell>
          <cell r="G512" t="str">
            <v>none</v>
          </cell>
          <cell r="H512"/>
          <cell r="I512" t="b">
            <v>0</v>
          </cell>
          <cell r="J512" t="b">
            <v>0</v>
          </cell>
          <cell r="K512" t="b">
            <v>0</v>
          </cell>
          <cell r="L512" t="str">
            <v>Effect/Prefab/10_buff/EFF_debuff_down</v>
          </cell>
          <cell r="M512" t="str">
            <v>icon_battle_damageimmune</v>
          </cell>
          <cell r="N512" t="str">
            <v>Buff.Name.ReceiveNormalDamage.Up.05</v>
          </cell>
          <cell r="O512" t="str">
            <v>Buff.Desc.ReceiveNormalDamage.Up.05</v>
          </cell>
        </row>
        <row r="513">
          <cell r="A513" t="str">
            <v>ReceiveNormalDamage.Up.06</v>
          </cell>
          <cell r="B513"/>
          <cell r="C513"/>
          <cell r="D513">
            <v>0</v>
          </cell>
          <cell r="E513">
            <v>0</v>
          </cell>
          <cell r="F513">
            <v>0</v>
          </cell>
          <cell r="G513" t="str">
            <v>none</v>
          </cell>
          <cell r="H513"/>
          <cell r="I513" t="b">
            <v>0</v>
          </cell>
          <cell r="J513" t="b">
            <v>0</v>
          </cell>
          <cell r="K513" t="b">
            <v>0</v>
          </cell>
          <cell r="L513" t="str">
            <v>Effect/Prefab/10_buff/EFF_debuff_down</v>
          </cell>
          <cell r="M513" t="str">
            <v>icon_battle_damageimmune</v>
          </cell>
          <cell r="N513" t="str">
            <v>Buff.Name.ReceiveNormalDamage.Up.06</v>
          </cell>
          <cell r="O513" t="str">
            <v>Buff.Desc.ReceiveNormalDamage.Up.06</v>
          </cell>
        </row>
        <row r="514">
          <cell r="A514" t="str">
            <v>ReceiveNormalDamage.Up.07</v>
          </cell>
          <cell r="B514"/>
          <cell r="C514"/>
          <cell r="D514">
            <v>0</v>
          </cell>
          <cell r="E514">
            <v>0</v>
          </cell>
          <cell r="F514">
            <v>0</v>
          </cell>
          <cell r="G514" t="str">
            <v>none</v>
          </cell>
          <cell r="H514"/>
          <cell r="I514" t="b">
            <v>0</v>
          </cell>
          <cell r="J514" t="b">
            <v>0</v>
          </cell>
          <cell r="K514" t="b">
            <v>0</v>
          </cell>
          <cell r="L514" t="str">
            <v>Effect/Prefab/10_buff/EFF_debuff_down</v>
          </cell>
          <cell r="M514" t="str">
            <v>icon_battle_damageimmune</v>
          </cell>
          <cell r="N514" t="str">
            <v>Buff.Name.ReceiveNormalDamage.Up.07</v>
          </cell>
          <cell r="O514" t="str">
            <v>Buff.Desc.ReceiveNormalDamage.Up.07</v>
          </cell>
        </row>
        <row r="515">
          <cell r="A515" t="str">
            <v>ReceiveNormalDamage.Up.08</v>
          </cell>
          <cell r="B515"/>
          <cell r="C515"/>
          <cell r="D515">
            <v>0</v>
          </cell>
          <cell r="E515">
            <v>0</v>
          </cell>
          <cell r="F515">
            <v>0</v>
          </cell>
          <cell r="G515" t="str">
            <v>none</v>
          </cell>
          <cell r="H515"/>
          <cell r="I515" t="b">
            <v>0</v>
          </cell>
          <cell r="J515" t="b">
            <v>0</v>
          </cell>
          <cell r="K515" t="b">
            <v>0</v>
          </cell>
          <cell r="L515" t="str">
            <v>Effect/Prefab/10_buff/EFF_debuff_down</v>
          </cell>
          <cell r="M515" t="str">
            <v>icon_battle_damageimmune</v>
          </cell>
          <cell r="N515" t="str">
            <v>Buff.Name.ReceiveNormalDamage.Up.08</v>
          </cell>
          <cell r="O515" t="str">
            <v>Buff.Desc.ReceiveNormalDamage.Up.08</v>
          </cell>
        </row>
        <row r="516">
          <cell r="A516" t="str">
            <v>ReceiveNormalDamage.Up.09</v>
          </cell>
          <cell r="B516"/>
          <cell r="C516"/>
          <cell r="D516">
            <v>0</v>
          </cell>
          <cell r="E516">
            <v>0</v>
          </cell>
          <cell r="F516">
            <v>0</v>
          </cell>
          <cell r="G516" t="str">
            <v>none</v>
          </cell>
          <cell r="H516"/>
          <cell r="I516" t="b">
            <v>0</v>
          </cell>
          <cell r="J516" t="b">
            <v>0</v>
          </cell>
          <cell r="K516" t="b">
            <v>0</v>
          </cell>
          <cell r="L516" t="str">
            <v>Effect/Prefab/10_buff/EFF_debuff_down</v>
          </cell>
          <cell r="M516" t="str">
            <v>icon_battle_damageimmune</v>
          </cell>
          <cell r="N516" t="str">
            <v>Buff.Name.ReceiveNormalDamage.Up.09</v>
          </cell>
          <cell r="O516" t="str">
            <v>Buff.Desc.ReceiveNormalDamage.Up.09</v>
          </cell>
        </row>
        <row r="517">
          <cell r="A517" t="str">
            <v>ReceiveNormalDamage.Up.10</v>
          </cell>
          <cell r="B517"/>
          <cell r="C517"/>
          <cell r="D517">
            <v>0</v>
          </cell>
          <cell r="E517">
            <v>0</v>
          </cell>
          <cell r="F517">
            <v>0</v>
          </cell>
          <cell r="G517" t="str">
            <v>none</v>
          </cell>
          <cell r="H517"/>
          <cell r="I517" t="b">
            <v>0</v>
          </cell>
          <cell r="J517" t="b">
            <v>0</v>
          </cell>
          <cell r="K517" t="b">
            <v>0</v>
          </cell>
          <cell r="L517" t="str">
            <v>Effect/Prefab/10_buff/EFF_debuff_down</v>
          </cell>
          <cell r="M517" t="str">
            <v>icon_battle_damageimmune</v>
          </cell>
          <cell r="N517" t="str">
            <v>Buff.Name.ReceiveNormalDamage.Up.10</v>
          </cell>
          <cell r="O517" t="str">
            <v>Buff.Desc.ReceiveNormalDamage.Up.10</v>
          </cell>
        </row>
        <row r="518">
          <cell r="A518" t="str">
            <v>Critical.Damage.Derate.Down</v>
          </cell>
          <cell r="B518"/>
          <cell r="C518"/>
          <cell r="D518">
            <v>0</v>
          </cell>
          <cell r="E518">
            <v>0</v>
          </cell>
          <cell r="F518">
            <v>0</v>
          </cell>
          <cell r="G518" t="str">
            <v>none</v>
          </cell>
          <cell r="H518"/>
          <cell r="I518" t="b">
            <v>0</v>
          </cell>
          <cell r="J518" t="b">
            <v>0</v>
          </cell>
          <cell r="K518" t="b">
            <v>0</v>
          </cell>
          <cell r="L518" t="str">
            <v>Effect/Prefab/10_buff/EFF_debuff_down</v>
          </cell>
          <cell r="M518" t="str">
            <v>icon_battle_critical</v>
          </cell>
          <cell r="N518" t="str">
            <v>Buff.Name.Critical.Damage.Derate.Down.00</v>
          </cell>
          <cell r="O518" t="str">
            <v>Buff.Desc.Critical.Damage.Derate.Down.00</v>
          </cell>
        </row>
        <row r="519">
          <cell r="A519" t="str">
            <v>Critical.Damage.Derate.Down.01</v>
          </cell>
          <cell r="B519"/>
          <cell r="C519"/>
          <cell r="D519">
            <v>0</v>
          </cell>
          <cell r="E519">
            <v>0</v>
          </cell>
          <cell r="F519">
            <v>0</v>
          </cell>
          <cell r="G519" t="str">
            <v>none</v>
          </cell>
          <cell r="H519"/>
          <cell r="I519" t="b">
            <v>0</v>
          </cell>
          <cell r="J519" t="b">
            <v>0</v>
          </cell>
          <cell r="K519" t="b">
            <v>0</v>
          </cell>
          <cell r="L519" t="str">
            <v>Effect/Prefab/10_buff/EFF_debuff_down</v>
          </cell>
          <cell r="M519" t="str">
            <v>icon_battle_critical</v>
          </cell>
          <cell r="N519" t="str">
            <v>Buff.Name.Critical.Damage.Derate.Down.01</v>
          </cell>
          <cell r="O519" t="str">
            <v>Buff.Desc.Critical.Damage.Derate.Down.01</v>
          </cell>
        </row>
        <row r="520">
          <cell r="A520" t="str">
            <v>Critical.Damage.Derate.Down.02</v>
          </cell>
          <cell r="B520"/>
          <cell r="C520"/>
          <cell r="D520">
            <v>0</v>
          </cell>
          <cell r="E520">
            <v>0</v>
          </cell>
          <cell r="F520">
            <v>0</v>
          </cell>
          <cell r="G520" t="str">
            <v>none</v>
          </cell>
          <cell r="H520"/>
          <cell r="I520" t="b">
            <v>0</v>
          </cell>
          <cell r="J520" t="b">
            <v>0</v>
          </cell>
          <cell r="K520" t="b">
            <v>0</v>
          </cell>
          <cell r="L520" t="str">
            <v>Effect/Prefab/10_buff/EFF_debuff_down</v>
          </cell>
          <cell r="M520" t="str">
            <v>icon_battle_critical</v>
          </cell>
          <cell r="N520" t="str">
            <v>Buff.Name.Critical.Damage.Derate.Down.02</v>
          </cell>
          <cell r="O520" t="str">
            <v>Buff.Desc.Critical.Damage.Derate.Down.02</v>
          </cell>
        </row>
        <row r="521">
          <cell r="A521" t="str">
            <v>Critical.Damage.Derate.Down.03</v>
          </cell>
          <cell r="B521"/>
          <cell r="C521"/>
          <cell r="D521">
            <v>0</v>
          </cell>
          <cell r="E521">
            <v>0</v>
          </cell>
          <cell r="F521">
            <v>0</v>
          </cell>
          <cell r="G521" t="str">
            <v>none</v>
          </cell>
          <cell r="H521"/>
          <cell r="I521" t="b">
            <v>0</v>
          </cell>
          <cell r="J521" t="b">
            <v>0</v>
          </cell>
          <cell r="K521" t="b">
            <v>0</v>
          </cell>
          <cell r="L521" t="str">
            <v>Effect/Prefab/10_buff/EFF_debuff_down</v>
          </cell>
          <cell r="M521" t="str">
            <v>icon_battle_critical</v>
          </cell>
          <cell r="N521" t="str">
            <v>Buff.Name.Critical.Damage.Derate.Down.03</v>
          </cell>
          <cell r="O521" t="str">
            <v>Buff.Desc.Critical.Damage.Derate.Down.03</v>
          </cell>
        </row>
        <row r="522">
          <cell r="A522" t="str">
            <v>Critical.Damage.Derate.Down.04</v>
          </cell>
          <cell r="B522"/>
          <cell r="C522"/>
          <cell r="D522">
            <v>0</v>
          </cell>
          <cell r="E522">
            <v>0</v>
          </cell>
          <cell r="F522">
            <v>0</v>
          </cell>
          <cell r="G522" t="str">
            <v>none</v>
          </cell>
          <cell r="H522"/>
          <cell r="I522" t="b">
            <v>0</v>
          </cell>
          <cell r="J522" t="b">
            <v>0</v>
          </cell>
          <cell r="K522" t="b">
            <v>0</v>
          </cell>
          <cell r="L522" t="str">
            <v>Effect/Prefab/10_buff/EFF_debuff_down</v>
          </cell>
          <cell r="M522" t="str">
            <v>icon_battle_critical</v>
          </cell>
          <cell r="N522" t="str">
            <v>Buff.Name.Critical.Damage.Derate.Down.04</v>
          </cell>
          <cell r="O522" t="str">
            <v>Buff.Desc.Critical.Damage.Derate.Down.04</v>
          </cell>
        </row>
        <row r="523">
          <cell r="A523" t="str">
            <v>Critical.Damage.Derate.Down.05</v>
          </cell>
          <cell r="B523"/>
          <cell r="C523"/>
          <cell r="D523">
            <v>0</v>
          </cell>
          <cell r="E523">
            <v>0</v>
          </cell>
          <cell r="F523">
            <v>0</v>
          </cell>
          <cell r="G523" t="str">
            <v>none</v>
          </cell>
          <cell r="H523"/>
          <cell r="I523" t="b">
            <v>0</v>
          </cell>
          <cell r="J523" t="b">
            <v>0</v>
          </cell>
          <cell r="K523" t="b">
            <v>0</v>
          </cell>
          <cell r="L523" t="str">
            <v>Effect/Prefab/10_buff/EFF_debuff_down</v>
          </cell>
          <cell r="M523" t="str">
            <v>icon_battle_critical</v>
          </cell>
          <cell r="N523" t="str">
            <v>Buff.Name.Critical.Damage.Derate.Down.05</v>
          </cell>
          <cell r="O523" t="str">
            <v>Buff.Desc.Critical.Damage.Derate.Down.05</v>
          </cell>
        </row>
        <row r="524">
          <cell r="A524" t="str">
            <v>NormalDamageDerate.Down</v>
          </cell>
          <cell r="B524"/>
          <cell r="C524"/>
          <cell r="D524">
            <v>0</v>
          </cell>
          <cell r="E524">
            <v>0</v>
          </cell>
          <cell r="F524">
            <v>0</v>
          </cell>
          <cell r="G524" t="str">
            <v>none</v>
          </cell>
          <cell r="H524"/>
          <cell r="I524" t="b">
            <v>0</v>
          </cell>
          <cell r="J524" t="b">
            <v>0</v>
          </cell>
          <cell r="K524" t="b">
            <v>0</v>
          </cell>
          <cell r="L524" t="str">
            <v>Effect/Prefab/10_buff/EFF_debuff_down</v>
          </cell>
          <cell r="M524" t="str">
            <v>icon_battle_attack</v>
          </cell>
          <cell r="N524" t="str">
            <v>Buff.Name.NormalDamageDerate.Down.00</v>
          </cell>
          <cell r="O524" t="str">
            <v>Buff.Desc.NormalDamageDerate.Down.00</v>
          </cell>
        </row>
        <row r="525">
          <cell r="A525" t="str">
            <v>NormalDamageDerate.Down.01</v>
          </cell>
          <cell r="B525"/>
          <cell r="C525"/>
          <cell r="D525">
            <v>0</v>
          </cell>
          <cell r="E525">
            <v>0</v>
          </cell>
          <cell r="F525">
            <v>0</v>
          </cell>
          <cell r="G525" t="str">
            <v>none</v>
          </cell>
          <cell r="H525"/>
          <cell r="I525" t="b">
            <v>0</v>
          </cell>
          <cell r="J525" t="b">
            <v>0</v>
          </cell>
          <cell r="K525" t="b">
            <v>0</v>
          </cell>
          <cell r="L525" t="str">
            <v>Effect/Prefab/10_buff/EFF_debuff_down</v>
          </cell>
          <cell r="M525" t="str">
            <v>icon_battle_attack</v>
          </cell>
          <cell r="N525" t="str">
            <v>Buff.Name.NormalDamageDerate.Down.01</v>
          </cell>
          <cell r="O525" t="str">
            <v>Buff.Desc.NormalDamageDerate.Down.01</v>
          </cell>
        </row>
        <row r="526">
          <cell r="A526" t="str">
            <v>NormalDamageDerate.Down.02</v>
          </cell>
          <cell r="B526"/>
          <cell r="C526"/>
          <cell r="D526">
            <v>0</v>
          </cell>
          <cell r="E526">
            <v>0</v>
          </cell>
          <cell r="F526">
            <v>0</v>
          </cell>
          <cell r="G526" t="str">
            <v>none</v>
          </cell>
          <cell r="H526"/>
          <cell r="I526" t="b">
            <v>0</v>
          </cell>
          <cell r="J526" t="b">
            <v>0</v>
          </cell>
          <cell r="K526" t="b">
            <v>0</v>
          </cell>
          <cell r="L526" t="str">
            <v>Effect/Prefab/10_buff/EFF_debuff_down</v>
          </cell>
          <cell r="M526" t="str">
            <v>icon_battle_attack</v>
          </cell>
          <cell r="N526" t="str">
            <v>Buff.Name.NormalDamageDerate.Down.02</v>
          </cell>
          <cell r="O526" t="str">
            <v>Buff.Desc.NormalDamageDerate.Down.02</v>
          </cell>
        </row>
        <row r="527">
          <cell r="A527" t="str">
            <v>NormalDamageDerate.Down.03</v>
          </cell>
          <cell r="B527"/>
          <cell r="C527"/>
          <cell r="D527">
            <v>0</v>
          </cell>
          <cell r="E527">
            <v>0</v>
          </cell>
          <cell r="F527">
            <v>0</v>
          </cell>
          <cell r="G527" t="str">
            <v>none</v>
          </cell>
          <cell r="H527"/>
          <cell r="I527" t="b">
            <v>0</v>
          </cell>
          <cell r="J527" t="b">
            <v>0</v>
          </cell>
          <cell r="K527" t="b">
            <v>0</v>
          </cell>
          <cell r="L527" t="str">
            <v>Effect/Prefab/10_buff/EFF_debuff_down</v>
          </cell>
          <cell r="M527" t="str">
            <v>icon_battle_attack</v>
          </cell>
          <cell r="N527" t="str">
            <v>Buff.Name.NormalDamageDerate.Down.03</v>
          </cell>
          <cell r="O527" t="str">
            <v>Buff.Desc.NormalDamageDerate.Down.03</v>
          </cell>
        </row>
        <row r="528">
          <cell r="A528" t="str">
            <v>NormalDamageDerate.Down.04</v>
          </cell>
          <cell r="B528"/>
          <cell r="C528"/>
          <cell r="D528">
            <v>0</v>
          </cell>
          <cell r="E528">
            <v>0</v>
          </cell>
          <cell r="F528">
            <v>0</v>
          </cell>
          <cell r="G528" t="str">
            <v>none</v>
          </cell>
          <cell r="H528"/>
          <cell r="I528" t="b">
            <v>0</v>
          </cell>
          <cell r="J528" t="b">
            <v>0</v>
          </cell>
          <cell r="K528" t="b">
            <v>0</v>
          </cell>
          <cell r="L528" t="str">
            <v>Effect/Prefab/10_buff/EFF_debuff_down</v>
          </cell>
          <cell r="M528" t="str">
            <v>icon_battle_attack</v>
          </cell>
          <cell r="N528" t="str">
            <v>Buff.Name.NormalDamageDerate.Down.04</v>
          </cell>
          <cell r="O528" t="str">
            <v>Buff.Desc.NormalDamageDerate.Down.04</v>
          </cell>
        </row>
        <row r="529">
          <cell r="A529" t="str">
            <v>NormalDamageDerate.Down.05</v>
          </cell>
          <cell r="B529"/>
          <cell r="C529"/>
          <cell r="D529">
            <v>0</v>
          </cell>
          <cell r="E529">
            <v>0</v>
          </cell>
          <cell r="F529">
            <v>0</v>
          </cell>
          <cell r="G529" t="str">
            <v>none</v>
          </cell>
          <cell r="H529"/>
          <cell r="I529" t="b">
            <v>0</v>
          </cell>
          <cell r="J529" t="b">
            <v>0</v>
          </cell>
          <cell r="K529" t="b">
            <v>0</v>
          </cell>
          <cell r="L529" t="str">
            <v>Effect/Prefab/10_buff/EFF_debuff_down</v>
          </cell>
          <cell r="M529" t="str">
            <v>icon_battle_attack</v>
          </cell>
          <cell r="N529" t="str">
            <v>Buff.Name.NormalDamageDerate.Down.05</v>
          </cell>
          <cell r="O529" t="str">
            <v>Buff.Desc.NormalDamageDerate.Down.05</v>
          </cell>
        </row>
        <row r="530">
          <cell r="A530" t="str">
            <v>NormalDamageDerate.Down.06</v>
          </cell>
          <cell r="B530"/>
          <cell r="C530"/>
          <cell r="D530">
            <v>0</v>
          </cell>
          <cell r="E530">
            <v>0</v>
          </cell>
          <cell r="F530">
            <v>0</v>
          </cell>
          <cell r="G530" t="str">
            <v>none</v>
          </cell>
          <cell r="H530"/>
          <cell r="I530" t="b">
            <v>0</v>
          </cell>
          <cell r="J530" t="b">
            <v>0</v>
          </cell>
          <cell r="K530" t="b">
            <v>0</v>
          </cell>
          <cell r="L530" t="str">
            <v>Effect/Prefab/10_buff/EFF_debuff_down</v>
          </cell>
          <cell r="M530" t="str">
            <v>icon_battle_attack</v>
          </cell>
          <cell r="N530" t="str">
            <v>Buff.Name.NormalDamageDerate.Down.06</v>
          </cell>
          <cell r="O530" t="str">
            <v>Buff.Desc.NormalDamageDerate.Down.06</v>
          </cell>
        </row>
        <row r="531">
          <cell r="A531" t="str">
            <v>NormalDamageDerate.Down.07</v>
          </cell>
          <cell r="B531"/>
          <cell r="C531"/>
          <cell r="D531">
            <v>0</v>
          </cell>
          <cell r="E531">
            <v>0</v>
          </cell>
          <cell r="F531">
            <v>0</v>
          </cell>
          <cell r="G531" t="str">
            <v>none</v>
          </cell>
          <cell r="H531"/>
          <cell r="I531" t="b">
            <v>0</v>
          </cell>
          <cell r="J531" t="b">
            <v>0</v>
          </cell>
          <cell r="K531" t="b">
            <v>0</v>
          </cell>
          <cell r="L531" t="str">
            <v>Effect/Prefab/10_buff/EFF_debuff_down</v>
          </cell>
          <cell r="M531" t="str">
            <v>icon_battle_attack</v>
          </cell>
          <cell r="N531" t="str">
            <v>Buff.Name.NormalDamageDerate.Down.07</v>
          </cell>
          <cell r="O531" t="str">
            <v>Buff.Desc.NormalDamageDerate.Down.07</v>
          </cell>
        </row>
        <row r="532">
          <cell r="A532" t="str">
            <v>NormalDamageDerate.Down.08</v>
          </cell>
          <cell r="B532"/>
          <cell r="C532"/>
          <cell r="D532">
            <v>0</v>
          </cell>
          <cell r="E532">
            <v>0</v>
          </cell>
          <cell r="F532">
            <v>0</v>
          </cell>
          <cell r="G532" t="str">
            <v>none</v>
          </cell>
          <cell r="H532"/>
          <cell r="I532" t="b">
            <v>0</v>
          </cell>
          <cell r="J532" t="b">
            <v>0</v>
          </cell>
          <cell r="K532" t="b">
            <v>0</v>
          </cell>
          <cell r="L532" t="str">
            <v>Effect/Prefab/10_buff/EFF_debuff_down</v>
          </cell>
          <cell r="M532" t="str">
            <v>icon_battle_attack</v>
          </cell>
          <cell r="N532" t="str">
            <v>Buff.Name.NormalDamageDerate.Down.08</v>
          </cell>
          <cell r="O532" t="str">
            <v>Buff.Desc.NormalDamageDerate.Down.08</v>
          </cell>
        </row>
        <row r="533">
          <cell r="A533" t="str">
            <v>NormalDamageDerate.Down.09</v>
          </cell>
          <cell r="B533"/>
          <cell r="C533"/>
          <cell r="D533">
            <v>0</v>
          </cell>
          <cell r="E533">
            <v>0</v>
          </cell>
          <cell r="F533">
            <v>0</v>
          </cell>
          <cell r="G533" t="str">
            <v>none</v>
          </cell>
          <cell r="H533"/>
          <cell r="I533" t="b">
            <v>0</v>
          </cell>
          <cell r="J533" t="b">
            <v>0</v>
          </cell>
          <cell r="K533" t="b">
            <v>0</v>
          </cell>
          <cell r="L533" t="str">
            <v>Effect/Prefab/10_buff/EFF_debuff_down</v>
          </cell>
          <cell r="M533" t="str">
            <v>icon_battle_attack</v>
          </cell>
          <cell r="N533" t="str">
            <v>Buff.Name.NormalDamageDerate.Down.09</v>
          </cell>
          <cell r="O533" t="str">
            <v>Buff.Desc.NormalDamageDerate.Down.09</v>
          </cell>
        </row>
        <row r="534">
          <cell r="A534" t="str">
            <v>NormalDamageDerate.Down.10</v>
          </cell>
          <cell r="B534"/>
          <cell r="C534"/>
          <cell r="D534">
            <v>0</v>
          </cell>
          <cell r="E534">
            <v>0</v>
          </cell>
          <cell r="F534">
            <v>0</v>
          </cell>
          <cell r="G534" t="str">
            <v>none</v>
          </cell>
          <cell r="H534"/>
          <cell r="I534" t="b">
            <v>0</v>
          </cell>
          <cell r="J534" t="b">
            <v>0</v>
          </cell>
          <cell r="K534" t="b">
            <v>0</v>
          </cell>
          <cell r="L534" t="str">
            <v>Effect/Prefab/10_buff/EFF_debuff_down</v>
          </cell>
          <cell r="M534" t="str">
            <v>icon_battle_attack</v>
          </cell>
          <cell r="N534" t="str">
            <v>Buff.Name.NormalDamageDerate.Down.10</v>
          </cell>
          <cell r="O534" t="str">
            <v>Buff.Desc.NormalDamageDerate.Down.10</v>
          </cell>
        </row>
        <row r="535">
          <cell r="A535" t="str">
            <v>ActiveDamage.Down</v>
          </cell>
          <cell r="B535"/>
          <cell r="C535"/>
          <cell r="D535">
            <v>0</v>
          </cell>
          <cell r="E535">
            <v>0</v>
          </cell>
          <cell r="F535">
            <v>0</v>
          </cell>
          <cell r="G535" t="str">
            <v>none</v>
          </cell>
          <cell r="H535"/>
          <cell r="I535" t="b">
            <v>0</v>
          </cell>
          <cell r="J535" t="b">
            <v>0</v>
          </cell>
          <cell r="K535" t="b">
            <v>0</v>
          </cell>
          <cell r="L535" t="str">
            <v>Effect/Prefab/10_buff/EFF_debuff_down</v>
          </cell>
          <cell r="M535" t="str">
            <v>icon_battle_critical</v>
          </cell>
          <cell r="N535" t="str">
            <v>Buff.Name.Critical.Damage.Derate.Down.00</v>
          </cell>
          <cell r="O535" t="str">
            <v>Buff.Desc.Critical.Damage.Derate.Down.00</v>
          </cell>
        </row>
        <row r="536">
          <cell r="A536" t="str">
            <v>ActiveDamage.Down.01</v>
          </cell>
          <cell r="B536"/>
          <cell r="C536"/>
          <cell r="D536">
            <v>0</v>
          </cell>
          <cell r="E536">
            <v>0</v>
          </cell>
          <cell r="F536">
            <v>0</v>
          </cell>
          <cell r="G536" t="str">
            <v>none</v>
          </cell>
          <cell r="H536"/>
          <cell r="I536" t="b">
            <v>0</v>
          </cell>
          <cell r="J536" t="b">
            <v>0</v>
          </cell>
          <cell r="K536" t="b">
            <v>0</v>
          </cell>
          <cell r="L536" t="str">
            <v>Effect/Prefab/10_buff/EFF_debuff_down</v>
          </cell>
          <cell r="M536" t="str">
            <v>icon_battle_critical</v>
          </cell>
          <cell r="N536" t="str">
            <v>Buff.Name.Critical.Damage.Derate.Down.01</v>
          </cell>
          <cell r="O536" t="str">
            <v>Buff.Desc.Critical.Damage.Derate.Down.01</v>
          </cell>
        </row>
        <row r="537">
          <cell r="A537" t="str">
            <v>ActiveDamage.Down.02</v>
          </cell>
          <cell r="B537"/>
          <cell r="C537"/>
          <cell r="D537">
            <v>0</v>
          </cell>
          <cell r="E537">
            <v>0</v>
          </cell>
          <cell r="F537">
            <v>0</v>
          </cell>
          <cell r="G537" t="str">
            <v>none</v>
          </cell>
          <cell r="H537"/>
          <cell r="I537" t="b">
            <v>0</v>
          </cell>
          <cell r="J537" t="b">
            <v>0</v>
          </cell>
          <cell r="K537" t="b">
            <v>0</v>
          </cell>
          <cell r="L537" t="str">
            <v>Effect/Prefab/10_buff/EFF_debuff_down</v>
          </cell>
          <cell r="M537" t="str">
            <v>icon_battle_critical</v>
          </cell>
          <cell r="N537" t="str">
            <v>Buff.Name.Critical.Damage.Derate.Down.02</v>
          </cell>
          <cell r="O537" t="str">
            <v>Buff.Desc.Critical.Damage.Derate.Down.02</v>
          </cell>
        </row>
        <row r="538">
          <cell r="A538" t="str">
            <v>ActiveDamage.Down.03</v>
          </cell>
          <cell r="B538"/>
          <cell r="C538"/>
          <cell r="D538">
            <v>0</v>
          </cell>
          <cell r="E538">
            <v>0</v>
          </cell>
          <cell r="F538">
            <v>0</v>
          </cell>
          <cell r="G538" t="str">
            <v>none</v>
          </cell>
          <cell r="H538"/>
          <cell r="I538" t="b">
            <v>0</v>
          </cell>
          <cell r="J538" t="b">
            <v>0</v>
          </cell>
          <cell r="K538" t="b">
            <v>0</v>
          </cell>
          <cell r="L538" t="str">
            <v>Effect/Prefab/10_buff/EFF_debuff_down</v>
          </cell>
          <cell r="M538" t="str">
            <v>icon_battle_critical</v>
          </cell>
          <cell r="N538" t="str">
            <v>Buff.Name.Critical.Damage.Derate.Down.03</v>
          </cell>
          <cell r="O538" t="str">
            <v>Buff.Desc.Critical.Damage.Derate.Down.03</v>
          </cell>
        </row>
        <row r="539">
          <cell r="A539" t="str">
            <v>ActiveDamage.Down.04</v>
          </cell>
          <cell r="B539"/>
          <cell r="C539"/>
          <cell r="D539">
            <v>0</v>
          </cell>
          <cell r="E539">
            <v>0</v>
          </cell>
          <cell r="F539">
            <v>0</v>
          </cell>
          <cell r="G539" t="str">
            <v>none</v>
          </cell>
          <cell r="H539"/>
          <cell r="I539" t="b">
            <v>0</v>
          </cell>
          <cell r="J539" t="b">
            <v>0</v>
          </cell>
          <cell r="K539" t="b">
            <v>0</v>
          </cell>
          <cell r="L539" t="str">
            <v>Effect/Prefab/10_buff/EFF_debuff_down</v>
          </cell>
          <cell r="M539" t="str">
            <v>icon_battle_critical</v>
          </cell>
          <cell r="N539" t="str">
            <v>Buff.Name.Critical.Damage.Derate.Down.04</v>
          </cell>
          <cell r="O539" t="str">
            <v>Buff.Desc.Critical.Damage.Derate.Down.04</v>
          </cell>
        </row>
        <row r="540">
          <cell r="A540" t="str">
            <v>ActiveDamage.Down.05</v>
          </cell>
          <cell r="B540"/>
          <cell r="C540"/>
          <cell r="D540">
            <v>0</v>
          </cell>
          <cell r="E540">
            <v>0</v>
          </cell>
          <cell r="F540">
            <v>0</v>
          </cell>
          <cell r="G540" t="str">
            <v>none</v>
          </cell>
          <cell r="H540"/>
          <cell r="I540" t="b">
            <v>0</v>
          </cell>
          <cell r="J540" t="b">
            <v>0</v>
          </cell>
          <cell r="K540" t="b">
            <v>0</v>
          </cell>
          <cell r="L540" t="str">
            <v>Effect/Prefab/10_buff/EFF_debuff_down</v>
          </cell>
          <cell r="M540" t="str">
            <v>icon_battle_critical</v>
          </cell>
          <cell r="N540" t="str">
            <v>Buff.Name.Critical.Damage.Derate.Down.05</v>
          </cell>
          <cell r="O540" t="str">
            <v>Buff.Desc.Critical.Damage.Derate.Down.05</v>
          </cell>
        </row>
        <row r="541">
          <cell r="A541" t="str">
            <v>UltDamage.Down</v>
          </cell>
          <cell r="B541"/>
          <cell r="C541"/>
          <cell r="D541">
            <v>0</v>
          </cell>
          <cell r="E541">
            <v>0</v>
          </cell>
          <cell r="F541">
            <v>0</v>
          </cell>
          <cell r="G541" t="str">
            <v>none</v>
          </cell>
          <cell r="H541"/>
          <cell r="I541" t="b">
            <v>0</v>
          </cell>
          <cell r="J541" t="b">
            <v>0</v>
          </cell>
          <cell r="K541" t="b">
            <v>0</v>
          </cell>
          <cell r="L541" t="str">
            <v>Effect/Prefab/10_buff/EFF_debuff_down</v>
          </cell>
          <cell r="M541" t="str">
            <v>icon_battle_attack</v>
          </cell>
          <cell r="N541" t="str">
            <v>Buff.Name.NormalDamageDerate.Down.00</v>
          </cell>
          <cell r="O541" t="str">
            <v>Buff.Desc.NormalDamageDerate.Down.00</v>
          </cell>
        </row>
        <row r="542">
          <cell r="A542" t="str">
            <v>UltDamage.Down.01</v>
          </cell>
          <cell r="B542"/>
          <cell r="C542"/>
          <cell r="D542">
            <v>0</v>
          </cell>
          <cell r="E542">
            <v>0</v>
          </cell>
          <cell r="F542">
            <v>0</v>
          </cell>
          <cell r="G542" t="str">
            <v>none</v>
          </cell>
          <cell r="H542"/>
          <cell r="I542" t="b">
            <v>0</v>
          </cell>
          <cell r="J542" t="b">
            <v>0</v>
          </cell>
          <cell r="K542" t="b">
            <v>0</v>
          </cell>
          <cell r="L542" t="str">
            <v>Effect/Prefab/10_buff/EFF_debuff_down</v>
          </cell>
          <cell r="M542" t="str">
            <v>icon_battle_attack</v>
          </cell>
          <cell r="N542" t="str">
            <v>Buff.Name.NormalDamageDerate.Down.01</v>
          </cell>
          <cell r="O542" t="str">
            <v>Buff.Desc.NormalDamageDerate.Down.01</v>
          </cell>
        </row>
        <row r="543">
          <cell r="A543" t="str">
            <v>UltDamage.Down.02</v>
          </cell>
          <cell r="B543"/>
          <cell r="C543"/>
          <cell r="D543">
            <v>0</v>
          </cell>
          <cell r="E543">
            <v>0</v>
          </cell>
          <cell r="F543">
            <v>0</v>
          </cell>
          <cell r="G543" t="str">
            <v>none</v>
          </cell>
          <cell r="H543"/>
          <cell r="I543" t="b">
            <v>0</v>
          </cell>
          <cell r="J543" t="b">
            <v>0</v>
          </cell>
          <cell r="K543" t="b">
            <v>0</v>
          </cell>
          <cell r="L543" t="str">
            <v>Effect/Prefab/10_buff/EFF_debuff_down</v>
          </cell>
          <cell r="M543" t="str">
            <v>icon_battle_attack</v>
          </cell>
          <cell r="N543" t="str">
            <v>Buff.Name.NormalDamageDerate.Down.02</v>
          </cell>
          <cell r="O543" t="str">
            <v>Buff.Desc.NormalDamageDerate.Down.02</v>
          </cell>
        </row>
        <row r="544">
          <cell r="A544" t="str">
            <v>UltDamage.Down.03</v>
          </cell>
          <cell r="B544"/>
          <cell r="C544"/>
          <cell r="D544">
            <v>0</v>
          </cell>
          <cell r="E544">
            <v>0</v>
          </cell>
          <cell r="F544">
            <v>0</v>
          </cell>
          <cell r="G544" t="str">
            <v>none</v>
          </cell>
          <cell r="H544"/>
          <cell r="I544" t="b">
            <v>0</v>
          </cell>
          <cell r="J544" t="b">
            <v>0</v>
          </cell>
          <cell r="K544" t="b">
            <v>0</v>
          </cell>
          <cell r="L544" t="str">
            <v>Effect/Prefab/10_buff/EFF_debuff_down</v>
          </cell>
          <cell r="M544" t="str">
            <v>icon_battle_attack</v>
          </cell>
          <cell r="N544" t="str">
            <v>Buff.Name.NormalDamageDerate.Down.03</v>
          </cell>
          <cell r="O544" t="str">
            <v>Buff.Desc.NormalDamageDerate.Down.03</v>
          </cell>
        </row>
        <row r="545">
          <cell r="A545" t="str">
            <v>UltDamage.Down.04</v>
          </cell>
          <cell r="B545"/>
          <cell r="C545"/>
          <cell r="D545">
            <v>0</v>
          </cell>
          <cell r="E545">
            <v>0</v>
          </cell>
          <cell r="F545">
            <v>0</v>
          </cell>
          <cell r="G545" t="str">
            <v>none</v>
          </cell>
          <cell r="H545"/>
          <cell r="I545" t="b">
            <v>0</v>
          </cell>
          <cell r="J545" t="b">
            <v>0</v>
          </cell>
          <cell r="K545" t="b">
            <v>0</v>
          </cell>
          <cell r="L545" t="str">
            <v>Effect/Prefab/10_buff/EFF_debuff_down</v>
          </cell>
          <cell r="M545" t="str">
            <v>icon_battle_attack</v>
          </cell>
          <cell r="N545" t="str">
            <v>Buff.Name.NormalDamageDerate.Down.04</v>
          </cell>
          <cell r="O545" t="str">
            <v>Buff.Desc.NormalDamageDerate.Down.04</v>
          </cell>
        </row>
        <row r="546">
          <cell r="A546" t="str">
            <v>UltDamage.Down.05</v>
          </cell>
          <cell r="B546"/>
          <cell r="C546"/>
          <cell r="D546">
            <v>0</v>
          </cell>
          <cell r="E546">
            <v>0</v>
          </cell>
          <cell r="F546">
            <v>0</v>
          </cell>
          <cell r="G546" t="str">
            <v>none</v>
          </cell>
          <cell r="H546"/>
          <cell r="I546" t="b">
            <v>0</v>
          </cell>
          <cell r="J546" t="b">
            <v>0</v>
          </cell>
          <cell r="K546" t="b">
            <v>0</v>
          </cell>
          <cell r="L546" t="str">
            <v>Effect/Prefab/10_buff/EFF_debuff_down</v>
          </cell>
          <cell r="M546" t="str">
            <v>icon_battle_attack</v>
          </cell>
          <cell r="N546" t="str">
            <v>Buff.Name.NormalDamageDerate.Down.05</v>
          </cell>
          <cell r="O546" t="str">
            <v>Buff.Desc.NormalDamageDerate.Down.05</v>
          </cell>
        </row>
        <row r="547">
          <cell r="A547"/>
        </row>
        <row r="548">
          <cell r="A548" t="str">
            <v>Info.Burn</v>
          </cell>
          <cell r="B548"/>
          <cell r="C548"/>
          <cell r="D548">
            <v>0</v>
          </cell>
          <cell r="E548">
            <v>0</v>
          </cell>
          <cell r="F548">
            <v>0</v>
          </cell>
          <cell r="G548" t="str">
            <v>none</v>
          </cell>
          <cell r="H548"/>
          <cell r="I548" t="b">
            <v>0</v>
          </cell>
          <cell r="J548" t="b">
            <v>0</v>
          </cell>
          <cell r="K548" t="b">
            <v>0</v>
          </cell>
          <cell r="L548" t="str">
            <v>Effect/Prefab/10_buff/EFF_debuff_fire</v>
          </cell>
          <cell r="M548" t="str">
            <v>icon_battle_burn</v>
          </cell>
          <cell r="N548" t="str">
            <v>Buff.Name.burn</v>
          </cell>
          <cell r="O548" t="str">
            <v>Buff.Desc.burn</v>
          </cell>
        </row>
        <row r="549">
          <cell r="A549" t="str">
            <v>Burn.01</v>
          </cell>
          <cell r="B549"/>
          <cell r="C549"/>
          <cell r="D549">
            <v>0</v>
          </cell>
          <cell r="E549">
            <v>0</v>
          </cell>
          <cell r="F549">
            <v>0</v>
          </cell>
          <cell r="G549" t="str">
            <v>none</v>
          </cell>
          <cell r="H549"/>
          <cell r="I549" t="b">
            <v>0</v>
          </cell>
          <cell r="J549" t="b">
            <v>0</v>
          </cell>
          <cell r="K549" t="b">
            <v>0</v>
          </cell>
          <cell r="L549" t="str">
            <v>Effect/Prefab/10_buff/EFF_debuff_fire</v>
          </cell>
          <cell r="M549" t="str">
            <v>icon_battle_burn</v>
          </cell>
          <cell r="N549" t="str">
            <v>Buff.Name.Burn.01</v>
          </cell>
          <cell r="O549" t="str">
            <v>Buff.Desc.Burn.01</v>
          </cell>
        </row>
        <row r="550">
          <cell r="A550" t="str">
            <v>Burn.02</v>
          </cell>
          <cell r="B550"/>
          <cell r="C550"/>
          <cell r="D550">
            <v>0</v>
          </cell>
          <cell r="E550">
            <v>0</v>
          </cell>
          <cell r="F550">
            <v>0</v>
          </cell>
          <cell r="G550" t="str">
            <v>none</v>
          </cell>
          <cell r="H550"/>
          <cell r="I550" t="b">
            <v>0</v>
          </cell>
          <cell r="J550" t="b">
            <v>0</v>
          </cell>
          <cell r="K550" t="b">
            <v>0</v>
          </cell>
          <cell r="L550" t="str">
            <v>Effect/Prefab/10_buff/EFF_debuff_fire</v>
          </cell>
          <cell r="M550" t="str">
            <v>icon_battle_burn</v>
          </cell>
          <cell r="N550" t="str">
            <v>Buff.Name.Burn.02</v>
          </cell>
          <cell r="O550" t="str">
            <v>Buff.Desc.Burn.02</v>
          </cell>
        </row>
        <row r="551">
          <cell r="A551" t="str">
            <v>Burn.03</v>
          </cell>
          <cell r="B551"/>
          <cell r="C551"/>
          <cell r="D551">
            <v>0</v>
          </cell>
          <cell r="E551">
            <v>0</v>
          </cell>
          <cell r="F551">
            <v>0</v>
          </cell>
          <cell r="G551" t="str">
            <v>none</v>
          </cell>
          <cell r="H551"/>
          <cell r="I551" t="b">
            <v>0</v>
          </cell>
          <cell r="J551" t="b">
            <v>0</v>
          </cell>
          <cell r="K551" t="b">
            <v>0</v>
          </cell>
          <cell r="L551" t="str">
            <v>Effect/Prefab/10_buff/EFF_debuff_fire</v>
          </cell>
          <cell r="M551" t="str">
            <v>icon_battle_burn</v>
          </cell>
          <cell r="N551" t="str">
            <v>Buff.Name.Burn.03</v>
          </cell>
          <cell r="O551" t="str">
            <v>Buff.Desc.Burn.03</v>
          </cell>
        </row>
        <row r="552">
          <cell r="A552" t="str">
            <v>Burn.04</v>
          </cell>
          <cell r="B552"/>
          <cell r="C552"/>
          <cell r="D552">
            <v>0</v>
          </cell>
          <cell r="E552">
            <v>0</v>
          </cell>
          <cell r="F552">
            <v>0</v>
          </cell>
          <cell r="G552" t="str">
            <v>none</v>
          </cell>
          <cell r="H552"/>
          <cell r="I552" t="b">
            <v>0</v>
          </cell>
          <cell r="J552" t="b">
            <v>0</v>
          </cell>
          <cell r="K552" t="b">
            <v>0</v>
          </cell>
          <cell r="L552" t="str">
            <v>Effect/Prefab/10_buff/EFF_debuff_fire</v>
          </cell>
          <cell r="M552" t="str">
            <v>icon_battle_burn</v>
          </cell>
          <cell r="N552" t="str">
            <v>Buff.Name.Burn.04</v>
          </cell>
          <cell r="O552" t="str">
            <v>Buff.Desc.Burn.04</v>
          </cell>
        </row>
        <row r="553">
          <cell r="A553" t="str">
            <v>Burn.05</v>
          </cell>
          <cell r="B553"/>
          <cell r="C553"/>
          <cell r="D553">
            <v>0</v>
          </cell>
          <cell r="E553">
            <v>0</v>
          </cell>
          <cell r="F553">
            <v>0</v>
          </cell>
          <cell r="G553" t="str">
            <v>none</v>
          </cell>
          <cell r="H553"/>
          <cell r="I553" t="b">
            <v>0</v>
          </cell>
          <cell r="J553" t="b">
            <v>0</v>
          </cell>
          <cell r="K553" t="b">
            <v>0</v>
          </cell>
          <cell r="L553" t="str">
            <v>Effect/Prefab/10_buff/EFF_debuff_fire</v>
          </cell>
          <cell r="M553" t="str">
            <v>icon_battle_burn</v>
          </cell>
          <cell r="N553" t="str">
            <v>Buff.Name.Burn.05</v>
          </cell>
          <cell r="O553" t="str">
            <v>Buff.Desc.Burn.05</v>
          </cell>
        </row>
        <row r="554">
          <cell r="A554" t="str">
            <v>Info.Frost</v>
          </cell>
          <cell r="B554"/>
          <cell r="C554"/>
          <cell r="D554">
            <v>0</v>
          </cell>
          <cell r="E554">
            <v>0</v>
          </cell>
          <cell r="F554">
            <v>0</v>
          </cell>
          <cell r="G554" t="str">
            <v>none</v>
          </cell>
          <cell r="H554"/>
          <cell r="I554" t="b">
            <v>0</v>
          </cell>
          <cell r="J554" t="b">
            <v>0</v>
          </cell>
          <cell r="K554" t="b">
            <v>0</v>
          </cell>
          <cell r="L554" t="str">
            <v>Effect/Prefab/10_buff/EFF_debuff_down</v>
          </cell>
          <cell r="M554" t="str">
            <v>icon_battle_frostbite</v>
          </cell>
          <cell r="N554" t="str">
            <v>Buff.Name.frostbite</v>
          </cell>
          <cell r="O554" t="str">
            <v>Buff.Desc.frostbite</v>
          </cell>
        </row>
        <row r="555">
          <cell r="A555" t="str">
            <v>Frost.01</v>
          </cell>
          <cell r="B555"/>
          <cell r="C555"/>
          <cell r="D555">
            <v>0</v>
          </cell>
          <cell r="E555">
            <v>0</v>
          </cell>
          <cell r="F555">
            <v>0</v>
          </cell>
          <cell r="G555" t="str">
            <v>none</v>
          </cell>
          <cell r="H555"/>
          <cell r="I555" t="b">
            <v>0</v>
          </cell>
          <cell r="J555" t="b">
            <v>0</v>
          </cell>
          <cell r="K555" t="b">
            <v>0</v>
          </cell>
          <cell r="L555" t="str">
            <v>Effect/Prefab/10_buff/EFF_debuff_down</v>
          </cell>
          <cell r="M555" t="str">
            <v>icon_battle_frostbite</v>
          </cell>
          <cell r="N555" t="str">
            <v>Buff.Name.Frost.01</v>
          </cell>
          <cell r="O555" t="str">
            <v>Buff.Desc.Frost.01</v>
          </cell>
        </row>
        <row r="556">
          <cell r="A556" t="str">
            <v>Frost.02</v>
          </cell>
          <cell r="B556"/>
          <cell r="C556"/>
          <cell r="D556">
            <v>0</v>
          </cell>
          <cell r="E556">
            <v>0</v>
          </cell>
          <cell r="F556">
            <v>0</v>
          </cell>
          <cell r="G556" t="str">
            <v>none</v>
          </cell>
          <cell r="H556"/>
          <cell r="I556" t="b">
            <v>0</v>
          </cell>
          <cell r="J556" t="b">
            <v>0</v>
          </cell>
          <cell r="K556" t="b">
            <v>0</v>
          </cell>
          <cell r="L556" t="str">
            <v>Effect/Prefab/10_buff/EFF_debuff_down</v>
          </cell>
          <cell r="M556" t="str">
            <v>icon_battle_frostbite</v>
          </cell>
          <cell r="N556" t="str">
            <v>Buff.Name.Frost.02</v>
          </cell>
          <cell r="O556" t="str">
            <v>Buff.Desc.Frost.02</v>
          </cell>
        </row>
        <row r="557">
          <cell r="A557" t="str">
            <v>Frost.03</v>
          </cell>
          <cell r="B557"/>
          <cell r="C557"/>
          <cell r="D557">
            <v>0</v>
          </cell>
          <cell r="E557">
            <v>0</v>
          </cell>
          <cell r="F557">
            <v>0</v>
          </cell>
          <cell r="G557" t="str">
            <v>none</v>
          </cell>
          <cell r="H557"/>
          <cell r="I557" t="b">
            <v>0</v>
          </cell>
          <cell r="J557" t="b">
            <v>0</v>
          </cell>
          <cell r="K557" t="b">
            <v>0</v>
          </cell>
          <cell r="L557" t="str">
            <v>Effect/Prefab/10_buff/EFF_debuff_down</v>
          </cell>
          <cell r="M557" t="str">
            <v>icon_battle_frostbite</v>
          </cell>
          <cell r="N557" t="str">
            <v>Buff.Name.Frost.03</v>
          </cell>
          <cell r="O557" t="str">
            <v>Buff.Desc.Frost.03</v>
          </cell>
        </row>
        <row r="558">
          <cell r="A558" t="str">
            <v>Frost.04</v>
          </cell>
          <cell r="B558"/>
          <cell r="C558"/>
          <cell r="D558">
            <v>0</v>
          </cell>
          <cell r="E558">
            <v>0</v>
          </cell>
          <cell r="F558">
            <v>0</v>
          </cell>
          <cell r="G558" t="str">
            <v>none</v>
          </cell>
          <cell r="H558"/>
          <cell r="I558" t="b">
            <v>0</v>
          </cell>
          <cell r="J558" t="b">
            <v>0</v>
          </cell>
          <cell r="K558" t="b">
            <v>0</v>
          </cell>
          <cell r="L558" t="str">
            <v>Effect/Prefab/10_buff/EFF_debuff_down</v>
          </cell>
          <cell r="M558" t="str">
            <v>icon_battle_frostbite</v>
          </cell>
          <cell r="N558" t="str">
            <v>Buff.Name.Frost.04</v>
          </cell>
          <cell r="O558" t="str">
            <v>Buff.Desc.Frost.04</v>
          </cell>
        </row>
        <row r="559">
          <cell r="A559" t="str">
            <v>Frost.05</v>
          </cell>
          <cell r="B559"/>
          <cell r="C559"/>
          <cell r="D559">
            <v>0</v>
          </cell>
          <cell r="E559">
            <v>0</v>
          </cell>
          <cell r="F559">
            <v>0</v>
          </cell>
          <cell r="G559" t="str">
            <v>none</v>
          </cell>
          <cell r="H559"/>
          <cell r="I559" t="b">
            <v>0</v>
          </cell>
          <cell r="J559" t="b">
            <v>0</v>
          </cell>
          <cell r="K559" t="b">
            <v>0</v>
          </cell>
          <cell r="L559" t="str">
            <v>Effect/Prefab/10_buff/EFF_debuff_down</v>
          </cell>
          <cell r="M559" t="str">
            <v>icon_battle_frostbite</v>
          </cell>
          <cell r="N559" t="str">
            <v>Buff.Name.Frost.05</v>
          </cell>
          <cell r="O559" t="str">
            <v>Buff.Desc.Frost.05</v>
          </cell>
        </row>
        <row r="560">
          <cell r="A560" t="str">
            <v>Frost.06</v>
          </cell>
          <cell r="B560"/>
          <cell r="C560"/>
          <cell r="D560">
            <v>0</v>
          </cell>
          <cell r="E560">
            <v>0</v>
          </cell>
          <cell r="F560">
            <v>0</v>
          </cell>
          <cell r="G560" t="str">
            <v>none</v>
          </cell>
          <cell r="H560"/>
          <cell r="I560" t="b">
            <v>0</v>
          </cell>
          <cell r="J560" t="b">
            <v>0</v>
          </cell>
          <cell r="K560" t="b">
            <v>0</v>
          </cell>
          <cell r="L560" t="str">
            <v>Effect/Prefab/10_buff/EFF_debuff_down</v>
          </cell>
          <cell r="M560" t="str">
            <v>icon_battle_frostbite</v>
          </cell>
          <cell r="N560" t="str">
            <v>Buff.Name.Frost.01</v>
          </cell>
          <cell r="O560" t="str">
            <v>Buff.Desc.Frost.01</v>
          </cell>
        </row>
        <row r="561">
          <cell r="A561" t="str">
            <v>Frost.07</v>
          </cell>
          <cell r="B561"/>
          <cell r="C561"/>
          <cell r="D561">
            <v>0</v>
          </cell>
          <cell r="E561">
            <v>0</v>
          </cell>
          <cell r="F561">
            <v>0</v>
          </cell>
          <cell r="G561" t="str">
            <v>none</v>
          </cell>
          <cell r="H561"/>
          <cell r="I561" t="b">
            <v>0</v>
          </cell>
          <cell r="J561" t="b">
            <v>0</v>
          </cell>
          <cell r="K561" t="b">
            <v>0</v>
          </cell>
          <cell r="L561" t="str">
            <v>Effect/Prefab/10_buff/EFF_debuff_down</v>
          </cell>
          <cell r="M561" t="str">
            <v>icon_battle_frostbite</v>
          </cell>
          <cell r="N561" t="str">
            <v>Buff.Name.Frost.02</v>
          </cell>
          <cell r="O561" t="str">
            <v>Buff.Desc.Frost.02</v>
          </cell>
        </row>
        <row r="562">
          <cell r="A562" t="str">
            <v>Frost.08</v>
          </cell>
          <cell r="B562"/>
          <cell r="C562"/>
          <cell r="D562">
            <v>0</v>
          </cell>
          <cell r="E562">
            <v>0</v>
          </cell>
          <cell r="F562">
            <v>0</v>
          </cell>
          <cell r="G562" t="str">
            <v>none</v>
          </cell>
          <cell r="H562"/>
          <cell r="I562" t="b">
            <v>0</v>
          </cell>
          <cell r="J562" t="b">
            <v>0</v>
          </cell>
          <cell r="K562" t="b">
            <v>0</v>
          </cell>
          <cell r="L562" t="str">
            <v>Effect/Prefab/10_buff/EFF_debuff_down</v>
          </cell>
          <cell r="M562" t="str">
            <v>icon_battle_frostbite</v>
          </cell>
          <cell r="N562" t="str">
            <v>Buff.Name.Frost.03</v>
          </cell>
          <cell r="O562" t="str">
            <v>Buff.Desc.Frost.03</v>
          </cell>
        </row>
        <row r="563">
          <cell r="A563" t="str">
            <v>Frost.09</v>
          </cell>
          <cell r="B563"/>
          <cell r="C563"/>
          <cell r="D563">
            <v>0</v>
          </cell>
          <cell r="E563">
            <v>0</v>
          </cell>
          <cell r="F563">
            <v>0</v>
          </cell>
          <cell r="G563" t="str">
            <v>none</v>
          </cell>
          <cell r="H563"/>
          <cell r="I563" t="b">
            <v>0</v>
          </cell>
          <cell r="J563" t="b">
            <v>0</v>
          </cell>
          <cell r="K563" t="b">
            <v>0</v>
          </cell>
          <cell r="L563" t="str">
            <v>Effect/Prefab/10_buff/EFF_debuff_down</v>
          </cell>
          <cell r="M563" t="str">
            <v>icon_battle_frostbite</v>
          </cell>
          <cell r="N563" t="str">
            <v>Buff.Name.Frost.04</v>
          </cell>
          <cell r="O563" t="str">
            <v>Buff.Desc.Frost.04</v>
          </cell>
        </row>
        <row r="564">
          <cell r="A564" t="str">
            <v>Frost.10</v>
          </cell>
          <cell r="B564"/>
          <cell r="C564"/>
          <cell r="D564">
            <v>0</v>
          </cell>
          <cell r="E564">
            <v>0</v>
          </cell>
          <cell r="F564">
            <v>0</v>
          </cell>
          <cell r="G564" t="str">
            <v>none</v>
          </cell>
          <cell r="H564"/>
          <cell r="I564" t="b">
            <v>0</v>
          </cell>
          <cell r="J564" t="b">
            <v>0</v>
          </cell>
          <cell r="K564" t="b">
            <v>0</v>
          </cell>
          <cell r="L564" t="str">
            <v>Effect/Prefab/10_buff/EFF_debuff_down</v>
          </cell>
          <cell r="M564" t="str">
            <v>icon_battle_frostbite</v>
          </cell>
          <cell r="N564" t="str">
            <v>Buff.Name.Frost.05</v>
          </cell>
          <cell r="O564" t="str">
            <v>Buff.Desc.Frost.05</v>
          </cell>
        </row>
        <row r="565">
          <cell r="A565" t="str">
            <v>Info.Poison</v>
          </cell>
          <cell r="B565"/>
          <cell r="C565"/>
          <cell r="D565">
            <v>0</v>
          </cell>
          <cell r="E565">
            <v>0</v>
          </cell>
          <cell r="F565">
            <v>0</v>
          </cell>
          <cell r="G565" t="str">
            <v>none</v>
          </cell>
          <cell r="H565"/>
          <cell r="I565" t="b">
            <v>0</v>
          </cell>
          <cell r="J565" t="b">
            <v>0</v>
          </cell>
          <cell r="K565" t="b">
            <v>0</v>
          </cell>
          <cell r="L565" t="str">
            <v xml:space="preserve">Effect/Prefab/10_buff/EFF_debuff_poison </v>
          </cell>
          <cell r="M565" t="str">
            <v>icon_battle_poison</v>
          </cell>
          <cell r="N565" t="str">
            <v>Buff.Name.Poison</v>
          </cell>
          <cell r="O565" t="str">
            <v>Buff.Desc.Poison</v>
          </cell>
        </row>
        <row r="566">
          <cell r="A566" t="str">
            <v>Poison.01</v>
          </cell>
          <cell r="B566"/>
          <cell r="C566"/>
          <cell r="D566">
            <v>0</v>
          </cell>
          <cell r="E566">
            <v>0</v>
          </cell>
          <cell r="F566">
            <v>0</v>
          </cell>
          <cell r="G566" t="str">
            <v>none</v>
          </cell>
          <cell r="H566"/>
          <cell r="I566" t="b">
            <v>0</v>
          </cell>
          <cell r="J566" t="b">
            <v>0</v>
          </cell>
          <cell r="K566" t="b">
            <v>0</v>
          </cell>
          <cell r="L566" t="str">
            <v xml:space="preserve">Effect/Prefab/10_buff/EFF_debuff_poison </v>
          </cell>
          <cell r="M566" t="str">
            <v>icon_battle_poison</v>
          </cell>
          <cell r="N566" t="str">
            <v>Buff.Name.Poison.01</v>
          </cell>
          <cell r="O566" t="str">
            <v>Buff.Desc.Poison.01</v>
          </cell>
        </row>
        <row r="567">
          <cell r="A567" t="str">
            <v>Poison.02</v>
          </cell>
          <cell r="B567"/>
          <cell r="C567"/>
          <cell r="D567">
            <v>0</v>
          </cell>
          <cell r="E567">
            <v>0</v>
          </cell>
          <cell r="F567">
            <v>0</v>
          </cell>
          <cell r="G567" t="str">
            <v>none</v>
          </cell>
          <cell r="H567"/>
          <cell r="I567" t="b">
            <v>0</v>
          </cell>
          <cell r="J567" t="b">
            <v>0</v>
          </cell>
          <cell r="K567" t="b">
            <v>0</v>
          </cell>
          <cell r="L567" t="str">
            <v xml:space="preserve">Effect/Prefab/10_buff/EFF_debuff_poison </v>
          </cell>
          <cell r="M567" t="str">
            <v>icon_battle_poison</v>
          </cell>
          <cell r="N567" t="str">
            <v>Buff.Name.Poison.02</v>
          </cell>
          <cell r="O567" t="str">
            <v>Buff.Desc.Poison.02</v>
          </cell>
        </row>
        <row r="568">
          <cell r="A568" t="str">
            <v>Poison.03</v>
          </cell>
          <cell r="B568"/>
          <cell r="C568"/>
          <cell r="D568">
            <v>0</v>
          </cell>
          <cell r="E568">
            <v>0</v>
          </cell>
          <cell r="F568">
            <v>0</v>
          </cell>
          <cell r="G568" t="str">
            <v>none</v>
          </cell>
          <cell r="H568"/>
          <cell r="I568" t="b">
            <v>0</v>
          </cell>
          <cell r="J568" t="b">
            <v>0</v>
          </cell>
          <cell r="K568" t="b">
            <v>0</v>
          </cell>
          <cell r="L568" t="str">
            <v xml:space="preserve">Effect/Prefab/10_buff/EFF_debuff_poison </v>
          </cell>
          <cell r="M568" t="str">
            <v>icon_battle_poison</v>
          </cell>
          <cell r="N568" t="str">
            <v>Buff.Name.Poison.03</v>
          </cell>
          <cell r="O568" t="str">
            <v>Buff.Desc.Poison.03</v>
          </cell>
        </row>
        <row r="569">
          <cell r="A569" t="str">
            <v>Poison.04</v>
          </cell>
          <cell r="B569"/>
          <cell r="C569"/>
          <cell r="D569">
            <v>0</v>
          </cell>
          <cell r="E569">
            <v>0</v>
          </cell>
          <cell r="F569">
            <v>0</v>
          </cell>
          <cell r="G569" t="str">
            <v>none</v>
          </cell>
          <cell r="H569"/>
          <cell r="I569" t="b">
            <v>0</v>
          </cell>
          <cell r="J569" t="b">
            <v>0</v>
          </cell>
          <cell r="K569" t="b">
            <v>0</v>
          </cell>
          <cell r="L569" t="str">
            <v xml:space="preserve">Effect/Prefab/10_buff/EFF_debuff_poison </v>
          </cell>
          <cell r="M569" t="str">
            <v>icon_battle_poison</v>
          </cell>
          <cell r="N569" t="str">
            <v>Buff.Name.Poison.04</v>
          </cell>
          <cell r="O569" t="str">
            <v>Buff.Desc.Poison.04</v>
          </cell>
        </row>
        <row r="570">
          <cell r="A570" t="str">
            <v>Poison.05</v>
          </cell>
          <cell r="B570"/>
          <cell r="C570"/>
          <cell r="D570">
            <v>0</v>
          </cell>
          <cell r="E570">
            <v>0</v>
          </cell>
          <cell r="F570">
            <v>0</v>
          </cell>
          <cell r="G570" t="str">
            <v>none</v>
          </cell>
          <cell r="H570"/>
          <cell r="I570" t="b">
            <v>0</v>
          </cell>
          <cell r="J570" t="b">
            <v>0</v>
          </cell>
          <cell r="K570" t="b">
            <v>0</v>
          </cell>
          <cell r="L570" t="str">
            <v xml:space="preserve">Effect/Prefab/10_buff/EFF_debuff_poison </v>
          </cell>
          <cell r="M570" t="str">
            <v>icon_battle_poison</v>
          </cell>
          <cell r="N570" t="str">
            <v>Buff.Name.Poison.05</v>
          </cell>
          <cell r="O570" t="str">
            <v>Buff.Desc.Poison.05</v>
          </cell>
        </row>
        <row r="571">
          <cell r="A571" t="str">
            <v>Info.Bleed</v>
          </cell>
          <cell r="B571"/>
          <cell r="C571"/>
          <cell r="D571">
            <v>0</v>
          </cell>
          <cell r="E571">
            <v>0</v>
          </cell>
          <cell r="F571">
            <v>0</v>
          </cell>
          <cell r="G571" t="str">
            <v>none</v>
          </cell>
          <cell r="H571"/>
          <cell r="I571" t="b">
            <v>0</v>
          </cell>
          <cell r="J571" t="b">
            <v>0</v>
          </cell>
          <cell r="K571" t="b">
            <v>0</v>
          </cell>
          <cell r="L571" t="str">
            <v>Effect/Prefab/10_buff/EFF_debuff_bleeding</v>
          </cell>
          <cell r="M571" t="str">
            <v>icon_battle_bleeding</v>
          </cell>
          <cell r="N571" t="str">
            <v>Buff.Name.Bleeding</v>
          </cell>
          <cell r="O571" t="str">
            <v>Buff.Desc.Bleeding</v>
          </cell>
        </row>
        <row r="572">
          <cell r="A572" t="str">
            <v>Bleed.01</v>
          </cell>
          <cell r="B572"/>
          <cell r="C572"/>
          <cell r="D572">
            <v>0</v>
          </cell>
          <cell r="E572">
            <v>0</v>
          </cell>
          <cell r="F572">
            <v>0</v>
          </cell>
          <cell r="G572" t="str">
            <v>none</v>
          </cell>
          <cell r="H572"/>
          <cell r="I572" t="b">
            <v>0</v>
          </cell>
          <cell r="J572" t="b">
            <v>0</v>
          </cell>
          <cell r="K572" t="b">
            <v>0</v>
          </cell>
          <cell r="L572" t="str">
            <v>Effect/Prefab/10_buff/EFF_debuff_bleeding</v>
          </cell>
          <cell r="M572" t="str">
            <v>icon_battle_bleeding</v>
          </cell>
          <cell r="N572" t="str">
            <v>Buff.Name.Bleed.01</v>
          </cell>
          <cell r="O572" t="str">
            <v>Buff.Desc.Bleed.01</v>
          </cell>
        </row>
        <row r="573">
          <cell r="A573" t="str">
            <v>Bleed.02</v>
          </cell>
          <cell r="B573"/>
          <cell r="C573"/>
          <cell r="D573">
            <v>0</v>
          </cell>
          <cell r="E573">
            <v>0</v>
          </cell>
          <cell r="F573">
            <v>0</v>
          </cell>
          <cell r="G573" t="str">
            <v>none</v>
          </cell>
          <cell r="H573"/>
          <cell r="I573" t="b">
            <v>0</v>
          </cell>
          <cell r="J573" t="b">
            <v>0</v>
          </cell>
          <cell r="K573" t="b">
            <v>0</v>
          </cell>
          <cell r="L573" t="str">
            <v>Effect/Prefab/10_buff/EFF_debuff_bleeding</v>
          </cell>
          <cell r="M573" t="str">
            <v>icon_battle_bleeding</v>
          </cell>
          <cell r="N573" t="str">
            <v>Buff.Name.Bleed.02</v>
          </cell>
          <cell r="O573" t="str">
            <v>Buff.Desc.Bleed.02</v>
          </cell>
        </row>
        <row r="574">
          <cell r="A574" t="str">
            <v>Bleed.03</v>
          </cell>
          <cell r="B574"/>
          <cell r="C574"/>
          <cell r="D574">
            <v>0</v>
          </cell>
          <cell r="E574">
            <v>0</v>
          </cell>
          <cell r="F574">
            <v>0</v>
          </cell>
          <cell r="G574" t="str">
            <v>none</v>
          </cell>
          <cell r="H574"/>
          <cell r="I574" t="b">
            <v>0</v>
          </cell>
          <cell r="J574" t="b">
            <v>0</v>
          </cell>
          <cell r="K574" t="b">
            <v>0</v>
          </cell>
          <cell r="L574" t="str">
            <v>Effect/Prefab/10_buff/EFF_debuff_bleeding</v>
          </cell>
          <cell r="M574" t="str">
            <v>icon_battle_bleeding</v>
          </cell>
          <cell r="N574" t="str">
            <v>Buff.Name.Bleed.03</v>
          </cell>
          <cell r="O574" t="str">
            <v>Buff.Desc.Bleed.03</v>
          </cell>
        </row>
        <row r="575">
          <cell r="A575" t="str">
            <v>Bleed.04</v>
          </cell>
          <cell r="B575"/>
          <cell r="C575"/>
          <cell r="D575">
            <v>0</v>
          </cell>
          <cell r="E575">
            <v>0</v>
          </cell>
          <cell r="F575">
            <v>0</v>
          </cell>
          <cell r="G575" t="str">
            <v>none</v>
          </cell>
          <cell r="H575"/>
          <cell r="I575" t="b">
            <v>0</v>
          </cell>
          <cell r="J575" t="b">
            <v>0</v>
          </cell>
          <cell r="K575" t="b">
            <v>0</v>
          </cell>
          <cell r="L575" t="str">
            <v>Effect/Prefab/10_buff/EFF_debuff_bleeding</v>
          </cell>
          <cell r="M575" t="str">
            <v>icon_battle_bleeding</v>
          </cell>
          <cell r="N575" t="str">
            <v>Buff.Name.Bleed.04</v>
          </cell>
          <cell r="O575" t="str">
            <v>Buff.Desc.Bleed.04</v>
          </cell>
        </row>
        <row r="576">
          <cell r="A576" t="str">
            <v>Bleed.05</v>
          </cell>
          <cell r="B576"/>
          <cell r="C576"/>
          <cell r="D576">
            <v>0</v>
          </cell>
          <cell r="E576">
            <v>0</v>
          </cell>
          <cell r="F576">
            <v>0</v>
          </cell>
          <cell r="G576" t="str">
            <v>none</v>
          </cell>
          <cell r="H576"/>
          <cell r="I576" t="b">
            <v>0</v>
          </cell>
          <cell r="J576" t="b">
            <v>0</v>
          </cell>
          <cell r="K576" t="b">
            <v>0</v>
          </cell>
          <cell r="L576" t="str">
            <v>Effect/Prefab/10_buff/EFF_debuff_bleeding</v>
          </cell>
          <cell r="M576" t="str">
            <v>icon_battle_bleeding</v>
          </cell>
          <cell r="N576" t="str">
            <v>Buff.Name.Bleed.05</v>
          </cell>
          <cell r="O576" t="str">
            <v>Buff.Desc.Bleed.05</v>
          </cell>
        </row>
        <row r="577">
          <cell r="A577" t="str">
            <v>Info.Electric</v>
          </cell>
          <cell r="B577"/>
          <cell r="C577"/>
          <cell r="D577">
            <v>0</v>
          </cell>
          <cell r="E577">
            <v>0</v>
          </cell>
          <cell r="F577">
            <v>0</v>
          </cell>
          <cell r="G577" t="str">
            <v>none</v>
          </cell>
          <cell r="H577"/>
          <cell r="I577" t="b">
            <v>0</v>
          </cell>
          <cell r="J577" t="b">
            <v>0</v>
          </cell>
          <cell r="K577" t="b">
            <v>0</v>
          </cell>
          <cell r="L577" t="str">
            <v>Effect/Prefab/10_buff/EFF_debuff_electric</v>
          </cell>
          <cell r="M577" t="str">
            <v>icon_battle_shock</v>
          </cell>
          <cell r="N577" t="str">
            <v>Buff.Name.Electric</v>
          </cell>
          <cell r="O577" t="str">
            <v>Buff.Desc.Electric</v>
          </cell>
        </row>
        <row r="578">
          <cell r="A578" t="str">
            <v>Electric.01</v>
          </cell>
          <cell r="B578"/>
          <cell r="C578"/>
          <cell r="D578">
            <v>0</v>
          </cell>
          <cell r="E578">
            <v>0</v>
          </cell>
          <cell r="F578">
            <v>0</v>
          </cell>
          <cell r="G578" t="str">
            <v>none</v>
          </cell>
          <cell r="H578"/>
          <cell r="I578" t="b">
            <v>0</v>
          </cell>
          <cell r="J578" t="b">
            <v>0</v>
          </cell>
          <cell r="K578" t="b">
            <v>0</v>
          </cell>
          <cell r="L578" t="str">
            <v>Effect/Prefab/10_buff/EFF_debuff_electric</v>
          </cell>
          <cell r="M578" t="str">
            <v>icon_battle_shock</v>
          </cell>
          <cell r="N578" t="str">
            <v>Buff.Name.Electric.01</v>
          </cell>
          <cell r="O578" t="str">
            <v>Buff.Desc.Electric.01</v>
          </cell>
        </row>
        <row r="579">
          <cell r="A579" t="str">
            <v>Electric.02</v>
          </cell>
          <cell r="B579"/>
          <cell r="C579"/>
          <cell r="D579">
            <v>0</v>
          </cell>
          <cell r="E579">
            <v>0</v>
          </cell>
          <cell r="F579">
            <v>0</v>
          </cell>
          <cell r="G579" t="str">
            <v>none</v>
          </cell>
          <cell r="H579"/>
          <cell r="I579" t="b">
            <v>0</v>
          </cell>
          <cell r="J579" t="b">
            <v>0</v>
          </cell>
          <cell r="K579" t="b">
            <v>0</v>
          </cell>
          <cell r="L579" t="str">
            <v>Effect/Prefab/10_buff/EFF_debuff_electric</v>
          </cell>
          <cell r="M579" t="str">
            <v>icon_battle_shock</v>
          </cell>
          <cell r="N579" t="str">
            <v>Buff.Name.Electric.02</v>
          </cell>
          <cell r="O579" t="str">
            <v>Buff.Desc.Electric.02</v>
          </cell>
        </row>
        <row r="580">
          <cell r="A580" t="str">
            <v>Electric.03</v>
          </cell>
          <cell r="B580"/>
          <cell r="C580"/>
          <cell r="D580">
            <v>0</v>
          </cell>
          <cell r="E580">
            <v>0</v>
          </cell>
          <cell r="F580">
            <v>0</v>
          </cell>
          <cell r="G580" t="str">
            <v>none</v>
          </cell>
          <cell r="H580"/>
          <cell r="I580" t="b">
            <v>0</v>
          </cell>
          <cell r="J580" t="b">
            <v>0</v>
          </cell>
          <cell r="K580" t="b">
            <v>0</v>
          </cell>
          <cell r="L580" t="str">
            <v>Effect/Prefab/10_buff/EFF_debuff_electric</v>
          </cell>
          <cell r="M580" t="str">
            <v>icon_battle_shock</v>
          </cell>
          <cell r="N580" t="str">
            <v>Buff.Name.Electric.03</v>
          </cell>
          <cell r="O580" t="str">
            <v>Buff.Desc.Electric.03</v>
          </cell>
        </row>
        <row r="581">
          <cell r="A581" t="str">
            <v>Electric.04</v>
          </cell>
          <cell r="B581"/>
          <cell r="C581"/>
          <cell r="D581">
            <v>0</v>
          </cell>
          <cell r="E581">
            <v>0</v>
          </cell>
          <cell r="F581">
            <v>0</v>
          </cell>
          <cell r="G581" t="str">
            <v>none</v>
          </cell>
          <cell r="H581"/>
          <cell r="I581" t="b">
            <v>0</v>
          </cell>
          <cell r="J581" t="b">
            <v>0</v>
          </cell>
          <cell r="K581" t="b">
            <v>0</v>
          </cell>
          <cell r="L581" t="str">
            <v>Effect/Prefab/10_buff/EFF_debuff_electric</v>
          </cell>
          <cell r="M581" t="str">
            <v>icon_battle_shock</v>
          </cell>
          <cell r="N581" t="str">
            <v>Buff.Name.Electric.04</v>
          </cell>
          <cell r="O581" t="str">
            <v>Buff.Desc.Electric.04</v>
          </cell>
        </row>
        <row r="582">
          <cell r="A582" t="str">
            <v>Electric.05</v>
          </cell>
          <cell r="B582"/>
          <cell r="C582"/>
          <cell r="D582">
            <v>0</v>
          </cell>
          <cell r="E582">
            <v>0</v>
          </cell>
          <cell r="F582">
            <v>0</v>
          </cell>
          <cell r="G582" t="str">
            <v>none</v>
          </cell>
          <cell r="H582"/>
          <cell r="I582" t="b">
            <v>0</v>
          </cell>
          <cell r="J582" t="b">
            <v>0</v>
          </cell>
          <cell r="K582" t="b">
            <v>0</v>
          </cell>
          <cell r="L582" t="str">
            <v>Effect/Prefab/10_buff/EFF_debuff_electric</v>
          </cell>
          <cell r="M582" t="str">
            <v>icon_battle_shock</v>
          </cell>
          <cell r="N582" t="str">
            <v>Buff.Name.Electric.05</v>
          </cell>
          <cell r="O582" t="str">
            <v>Buff.Desc.Electric.05</v>
          </cell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A584" t="str">
            <v>info.airen.buff.adventure</v>
          </cell>
          <cell r="B584"/>
          <cell r="C584"/>
          <cell r="D584">
            <v>0</v>
          </cell>
          <cell r="E584">
            <v>0</v>
          </cell>
          <cell r="F584">
            <v>0</v>
          </cell>
          <cell r="G584" t="str">
            <v>none</v>
          </cell>
          <cell r="H584"/>
          <cell r="I584" t="b">
            <v>0</v>
          </cell>
          <cell r="J584" t="b">
            <v>0</v>
          </cell>
          <cell r="K584" t="b">
            <v>1</v>
          </cell>
          <cell r="L584"/>
          <cell r="M584" t="str">
            <v>icon_battle_monster_damage</v>
          </cell>
          <cell r="N584" t="str">
            <v>info.airen.buff.adventure</v>
          </cell>
          <cell r="O584" t="str">
            <v>Desc.info.airen.buff.adventure</v>
          </cell>
        </row>
        <row r="585">
          <cell r="A585" t="str">
            <v>info.airen.buff.a2</v>
          </cell>
          <cell r="B585"/>
          <cell r="C585"/>
          <cell r="D585">
            <v>0</v>
          </cell>
          <cell r="E585">
            <v>0</v>
          </cell>
          <cell r="F585">
            <v>0</v>
          </cell>
          <cell r="G585" t="str">
            <v>none</v>
          </cell>
          <cell r="H585"/>
          <cell r="I585" t="b">
            <v>0</v>
          </cell>
          <cell r="J585" t="b">
            <v>0</v>
          </cell>
          <cell r="K585" t="b">
            <v>1</v>
          </cell>
          <cell r="L585"/>
          <cell r="M585" t="str">
            <v>icon_battle_effect_res</v>
          </cell>
          <cell r="N585" t="str">
            <v>info.airen.buff.a2</v>
          </cell>
          <cell r="O585" t="str">
            <v>Desc.info.airen.buff.a2</v>
          </cell>
        </row>
        <row r="586">
          <cell r="A586" t="str">
            <v>info.ambrosia.buff.bullet</v>
          </cell>
          <cell r="B586"/>
          <cell r="C586"/>
          <cell r="D586">
            <v>0</v>
          </cell>
          <cell r="E586">
            <v>0</v>
          </cell>
          <cell r="F586">
            <v>0</v>
          </cell>
          <cell r="G586" t="str">
            <v>none</v>
          </cell>
          <cell r="H586"/>
          <cell r="I586" t="b">
            <v>0</v>
          </cell>
          <cell r="J586" t="b">
            <v>0</v>
          </cell>
          <cell r="K586" t="b">
            <v>1</v>
          </cell>
          <cell r="L586"/>
          <cell r="M586" t="str">
            <v>icon_battle_ambrosia_buff</v>
          </cell>
          <cell r="N586" t="str">
            <v>info.ambrosia.buff.bullet</v>
          </cell>
          <cell r="O586" t="str">
            <v>Desc.info.ambrosia.buff.bullet</v>
          </cell>
        </row>
        <row r="587">
          <cell r="A587" t="str">
            <v>info.angelica.buff.burn</v>
          </cell>
          <cell r="B587"/>
          <cell r="C587"/>
          <cell r="D587">
            <v>0</v>
          </cell>
          <cell r="E587">
            <v>0</v>
          </cell>
          <cell r="F587">
            <v>0</v>
          </cell>
          <cell r="G587" t="str">
            <v>none</v>
          </cell>
          <cell r="H587"/>
          <cell r="I587" t="b">
            <v>0</v>
          </cell>
          <cell r="J587" t="b">
            <v>0</v>
          </cell>
          <cell r="K587" t="b">
            <v>1</v>
          </cell>
          <cell r="L587"/>
          <cell r="M587" t="str">
            <v>icon_battle_angelica_stage1</v>
          </cell>
          <cell r="N587" t="str">
            <v>info.angelica.buff.burn</v>
          </cell>
          <cell r="O587" t="str">
            <v>Desc.info.angelica.buff.burn</v>
          </cell>
        </row>
        <row r="588">
          <cell r="A588" t="str">
            <v>info.archphase.buff.starcore</v>
          </cell>
          <cell r="B588"/>
          <cell r="C588"/>
          <cell r="D588">
            <v>0</v>
          </cell>
          <cell r="E588">
            <v>0</v>
          </cell>
          <cell r="F588">
            <v>0</v>
          </cell>
          <cell r="G588" t="str">
            <v>none</v>
          </cell>
          <cell r="H588"/>
          <cell r="I588" t="b">
            <v>0</v>
          </cell>
          <cell r="J588" t="b">
            <v>0</v>
          </cell>
          <cell r="K588" t="b">
            <v>1</v>
          </cell>
          <cell r="L588"/>
          <cell r="M588" t="str">
            <v>icon_battle_archphase_starcore</v>
          </cell>
          <cell r="N588" t="str">
            <v>info.archphase.buff.starcore</v>
          </cell>
          <cell r="O588" t="str">
            <v>Desc.info.archphase.buff.starcore</v>
          </cell>
        </row>
        <row r="589">
          <cell r="A589" t="str">
            <v>info.archphase.buff.phase</v>
          </cell>
          <cell r="B589"/>
          <cell r="C589"/>
          <cell r="D589">
            <v>0</v>
          </cell>
          <cell r="E589">
            <v>0</v>
          </cell>
          <cell r="F589">
            <v>0</v>
          </cell>
          <cell r="G589" t="str">
            <v>none</v>
          </cell>
          <cell r="H589"/>
          <cell r="I589" t="b">
            <v>0</v>
          </cell>
          <cell r="J589" t="b">
            <v>0</v>
          </cell>
          <cell r="K589" t="b">
            <v>1</v>
          </cell>
          <cell r="L589"/>
          <cell r="M589" t="str">
            <v>icon_battle_archphase_phase</v>
          </cell>
          <cell r="N589" t="str">
            <v>info.archphase.buff.phase</v>
          </cell>
          <cell r="O589" t="str">
            <v>Desc.info.archphase.buff.phase</v>
          </cell>
        </row>
        <row r="590">
          <cell r="A590" t="str">
            <v>info.balencia.buff.ironfist</v>
          </cell>
          <cell r="B590"/>
          <cell r="C590"/>
          <cell r="D590">
            <v>0</v>
          </cell>
          <cell r="E590">
            <v>0</v>
          </cell>
          <cell r="F590">
            <v>0</v>
          </cell>
          <cell r="G590" t="str">
            <v>none</v>
          </cell>
          <cell r="H590"/>
          <cell r="I590" t="b">
            <v>0</v>
          </cell>
          <cell r="J590" t="b">
            <v>0</v>
          </cell>
          <cell r="K590" t="b">
            <v>1</v>
          </cell>
          <cell r="L590"/>
          <cell r="M590" t="str">
            <v>icon_battle_balencia_ironfist</v>
          </cell>
          <cell r="N590" t="str">
            <v>info.balencia.buff.ironfist</v>
          </cell>
          <cell r="O590" t="str">
            <v>Desc.info.balencia.buff.ironfist</v>
          </cell>
        </row>
        <row r="591">
          <cell r="A591" t="str">
            <v>info.belebeta.buff.redtea</v>
          </cell>
          <cell r="B591"/>
          <cell r="C591"/>
          <cell r="D591">
            <v>0</v>
          </cell>
          <cell r="E591">
            <v>0</v>
          </cell>
          <cell r="F591">
            <v>0</v>
          </cell>
          <cell r="G591" t="str">
            <v>none</v>
          </cell>
          <cell r="H591"/>
          <cell r="I591" t="b">
            <v>0</v>
          </cell>
          <cell r="J591" t="b">
            <v>0</v>
          </cell>
          <cell r="K591" t="b">
            <v>1</v>
          </cell>
          <cell r="L591"/>
          <cell r="M591" t="str">
            <v>icon_battle_belebeta_buff_01</v>
          </cell>
          <cell r="N591" t="str">
            <v>info.belebeta.buff.redtea</v>
          </cell>
          <cell r="O591" t="str">
            <v>Desc.info.belebeta.buff.redtea</v>
          </cell>
        </row>
        <row r="592">
          <cell r="A592" t="str">
            <v>info.belebeta.buff.greentea</v>
          </cell>
          <cell r="B592"/>
          <cell r="C592"/>
          <cell r="D592">
            <v>0</v>
          </cell>
          <cell r="E592">
            <v>0</v>
          </cell>
          <cell r="F592">
            <v>0</v>
          </cell>
          <cell r="G592" t="str">
            <v>none</v>
          </cell>
          <cell r="H592"/>
          <cell r="I592" t="b">
            <v>0</v>
          </cell>
          <cell r="J592" t="b">
            <v>0</v>
          </cell>
          <cell r="K592" t="b">
            <v>1</v>
          </cell>
          <cell r="L592"/>
          <cell r="M592" t="str">
            <v>icon_battle_belebeta_buff_02</v>
          </cell>
          <cell r="N592" t="str">
            <v>info.belebeta.buff.greentea</v>
          </cell>
          <cell r="O592" t="str">
            <v>Desc.info.belebeta.buff.greentea</v>
          </cell>
        </row>
        <row r="593">
          <cell r="A593" t="str">
            <v>info.belita.buff.poem</v>
          </cell>
          <cell r="B593"/>
          <cell r="C593"/>
          <cell r="D593">
            <v>0</v>
          </cell>
          <cell r="E593">
            <v>0</v>
          </cell>
          <cell r="F593">
            <v>0</v>
          </cell>
          <cell r="G593" t="str">
            <v>none</v>
          </cell>
          <cell r="H593"/>
          <cell r="I593" t="b">
            <v>0</v>
          </cell>
          <cell r="J593" t="b">
            <v>0</v>
          </cell>
          <cell r="K593" t="b">
            <v>1</v>
          </cell>
          <cell r="L593"/>
          <cell r="M593" t="str">
            <v>icon_battle_belita_buff_01</v>
          </cell>
          <cell r="N593" t="str">
            <v>info.belita.buff.poem</v>
          </cell>
          <cell r="O593" t="str">
            <v>Desc.info.belita.buff.poem</v>
          </cell>
        </row>
        <row r="594">
          <cell r="A594" t="str">
            <v>info.crimson.buff.ex</v>
          </cell>
          <cell r="B594"/>
          <cell r="C594"/>
          <cell r="D594">
            <v>0</v>
          </cell>
          <cell r="E594">
            <v>0</v>
          </cell>
          <cell r="F594">
            <v>0</v>
          </cell>
          <cell r="G594" t="str">
            <v>none</v>
          </cell>
          <cell r="H594"/>
          <cell r="I594" t="b">
            <v>0</v>
          </cell>
          <cell r="J594" t="b">
            <v>0</v>
          </cell>
          <cell r="K594" t="b">
            <v>1</v>
          </cell>
          <cell r="L594"/>
          <cell r="M594" t="str">
            <v>icon_battle_attack</v>
          </cell>
          <cell r="N594" t="str">
            <v>info.crimson.buff.ex</v>
          </cell>
          <cell r="O594" t="str">
            <v>Desc.info.crimson.buff.ex</v>
          </cell>
        </row>
        <row r="595">
          <cell r="A595" t="str">
            <v>info.daria.buff.link</v>
          </cell>
          <cell r="B595"/>
          <cell r="C595"/>
          <cell r="D595">
            <v>0</v>
          </cell>
          <cell r="E595">
            <v>0</v>
          </cell>
          <cell r="F595">
            <v>0</v>
          </cell>
          <cell r="G595" t="str">
            <v>none</v>
          </cell>
          <cell r="H595"/>
          <cell r="I595" t="b">
            <v>0</v>
          </cell>
          <cell r="J595" t="b">
            <v>0</v>
          </cell>
          <cell r="K595" t="b">
            <v>1</v>
          </cell>
          <cell r="L595"/>
          <cell r="M595" t="str">
            <v>icon_battle_link</v>
          </cell>
          <cell r="N595" t="str">
            <v>info.daria.buff.link</v>
          </cell>
          <cell r="O595" t="str">
            <v>Desc.info.daria.buff.link</v>
          </cell>
        </row>
        <row r="596">
          <cell r="A596" t="str">
            <v>info.daria.buff.counterlink</v>
          </cell>
          <cell r="B596"/>
          <cell r="C596"/>
          <cell r="D596">
            <v>0</v>
          </cell>
          <cell r="E596">
            <v>0</v>
          </cell>
          <cell r="F596">
            <v>0</v>
          </cell>
          <cell r="G596" t="str">
            <v>none</v>
          </cell>
          <cell r="H596"/>
          <cell r="I596" t="b">
            <v>0</v>
          </cell>
          <cell r="J596" t="b">
            <v>0</v>
          </cell>
          <cell r="K596" t="b">
            <v>1</v>
          </cell>
          <cell r="L596"/>
          <cell r="M596" t="str">
            <v>icon_battle_link</v>
          </cell>
          <cell r="N596" t="str">
            <v>info.daria.buff.counterlink</v>
          </cell>
          <cell r="O596" t="str">
            <v>Desc.info.daria.buff.counterlink</v>
          </cell>
        </row>
        <row r="597">
          <cell r="A597" t="str">
            <v>info.ferrel.buff.eletrofield</v>
          </cell>
          <cell r="B597"/>
          <cell r="C597"/>
          <cell r="D597">
            <v>0</v>
          </cell>
          <cell r="E597">
            <v>0</v>
          </cell>
          <cell r="F597">
            <v>0</v>
          </cell>
          <cell r="G597" t="str">
            <v>none</v>
          </cell>
          <cell r="H597"/>
          <cell r="I597" t="b">
            <v>0</v>
          </cell>
          <cell r="J597" t="b">
            <v>0</v>
          </cell>
          <cell r="K597" t="b">
            <v>1</v>
          </cell>
          <cell r="L597"/>
          <cell r="M597" t="str">
            <v>icon_battle_ferrel_buff_01</v>
          </cell>
          <cell r="N597" t="str">
            <v>info.ferrel.buff.eletrofield</v>
          </cell>
          <cell r="O597" t="str">
            <v>Desc.info.ferrel.buff.eletrofield</v>
          </cell>
        </row>
        <row r="598">
          <cell r="A598" t="str">
            <v>info.hellen.buff.perfume</v>
          </cell>
          <cell r="B598"/>
          <cell r="C598"/>
          <cell r="D598">
            <v>0</v>
          </cell>
          <cell r="E598">
            <v>0</v>
          </cell>
          <cell r="F598">
            <v>0</v>
          </cell>
          <cell r="G598" t="str">
            <v>none</v>
          </cell>
          <cell r="H598"/>
          <cell r="I598" t="b">
            <v>0</v>
          </cell>
          <cell r="J598" t="b">
            <v>0</v>
          </cell>
          <cell r="K598" t="b">
            <v>1</v>
          </cell>
          <cell r="L598"/>
          <cell r="M598" t="str">
            <v>icon_battle_hellen_buff_01</v>
          </cell>
          <cell r="N598" t="str">
            <v>info.hellen.buff.perfume</v>
          </cell>
          <cell r="O598" t="str">
            <v>Desc.info.hellen.buff.perfume</v>
          </cell>
        </row>
        <row r="599">
          <cell r="A599" t="str">
            <v>info.hellen.buff.therapy</v>
          </cell>
          <cell r="B599"/>
          <cell r="C599"/>
          <cell r="D599">
            <v>0</v>
          </cell>
          <cell r="E599">
            <v>0</v>
          </cell>
          <cell r="F599">
            <v>0</v>
          </cell>
          <cell r="G599" t="str">
            <v>none</v>
          </cell>
          <cell r="H599"/>
          <cell r="I599" t="b">
            <v>0</v>
          </cell>
          <cell r="J599" t="b">
            <v>0</v>
          </cell>
          <cell r="K599" t="b">
            <v>1</v>
          </cell>
          <cell r="L599"/>
          <cell r="M599" t="str">
            <v>icon_battle_hellen_buff_01</v>
          </cell>
          <cell r="N599" t="str">
            <v>info.hellen.buff.therapy</v>
          </cell>
          <cell r="O599" t="str">
            <v>Desc.info.hellen.buff.therapy</v>
          </cell>
        </row>
        <row r="600">
          <cell r="A600" t="str">
            <v>info.ino.buff.inovation</v>
          </cell>
          <cell r="B600"/>
          <cell r="C600"/>
          <cell r="D600">
            <v>0</v>
          </cell>
          <cell r="E600">
            <v>0</v>
          </cell>
          <cell r="F600">
            <v>0</v>
          </cell>
          <cell r="G600" t="str">
            <v>none</v>
          </cell>
          <cell r="H600"/>
          <cell r="I600" t="b">
            <v>0</v>
          </cell>
          <cell r="J600" t="b">
            <v>0</v>
          </cell>
          <cell r="K600" t="b">
            <v>1</v>
          </cell>
          <cell r="L600"/>
          <cell r="M600" t="str">
            <v>icon_battle_ino_invention</v>
          </cell>
          <cell r="N600" t="str">
            <v>info.ino.buff.inovation</v>
          </cell>
          <cell r="O600" t="str">
            <v>Desc.info.ino.buff.inovation</v>
          </cell>
        </row>
        <row r="601">
          <cell r="A601" t="str">
            <v>info.iras.buff.leak</v>
          </cell>
          <cell r="B601"/>
          <cell r="C601"/>
          <cell r="D601">
            <v>0</v>
          </cell>
          <cell r="E601">
            <v>0</v>
          </cell>
          <cell r="F601">
            <v>0</v>
          </cell>
          <cell r="G601" t="str">
            <v>none</v>
          </cell>
          <cell r="H601"/>
          <cell r="I601" t="b">
            <v>0</v>
          </cell>
          <cell r="J601" t="b">
            <v>0</v>
          </cell>
          <cell r="K601" t="b">
            <v>1</v>
          </cell>
          <cell r="L601"/>
          <cell r="M601" t="str">
            <v>icon_battle_iras_electricfield</v>
          </cell>
          <cell r="N601" t="str">
            <v>info.iras.buff.leak</v>
          </cell>
          <cell r="O601" t="str">
            <v>Desc.info.iras.buff.leak</v>
          </cell>
        </row>
        <row r="602">
          <cell r="A602" t="str">
            <v>info.isabella.buff.quick</v>
          </cell>
          <cell r="B602"/>
          <cell r="C602"/>
          <cell r="D602">
            <v>0</v>
          </cell>
          <cell r="E602">
            <v>0</v>
          </cell>
          <cell r="F602">
            <v>0</v>
          </cell>
          <cell r="G602" t="str">
            <v>none</v>
          </cell>
          <cell r="H602"/>
          <cell r="I602" t="b">
            <v>0</v>
          </cell>
          <cell r="J602" t="b">
            <v>0</v>
          </cell>
          <cell r="K602" t="b">
            <v>1</v>
          </cell>
          <cell r="L602"/>
          <cell r="M602" t="str">
            <v>icon_battle_isabella_quick</v>
          </cell>
          <cell r="N602" t="str">
            <v>info.isabella.buff.quick</v>
          </cell>
          <cell r="O602" t="str">
            <v>Desc.info.isabella.buff.quick</v>
          </cell>
        </row>
        <row r="603">
          <cell r="A603" t="str">
            <v>info.isabella.buff.copy</v>
          </cell>
          <cell r="B603"/>
          <cell r="C603"/>
          <cell r="D603">
            <v>0</v>
          </cell>
          <cell r="E603">
            <v>0</v>
          </cell>
          <cell r="F603">
            <v>0</v>
          </cell>
          <cell r="G603" t="str">
            <v>none</v>
          </cell>
          <cell r="H603"/>
          <cell r="I603" t="b">
            <v>0</v>
          </cell>
          <cell r="J603" t="b">
            <v>0</v>
          </cell>
          <cell r="K603" t="b">
            <v>1</v>
          </cell>
          <cell r="L603"/>
          <cell r="M603" t="str">
            <v>icon_battle_isabella_copy</v>
          </cell>
          <cell r="N603" t="str">
            <v>info.isabella.buff.copy</v>
          </cell>
          <cell r="O603" t="str">
            <v>Desc.info.isabella.buff.copy</v>
          </cell>
        </row>
        <row r="604">
          <cell r="A604" t="str">
            <v>info.lilian.buff.plasma</v>
          </cell>
          <cell r="B604"/>
          <cell r="C604"/>
          <cell r="D604">
            <v>0</v>
          </cell>
          <cell r="E604">
            <v>0</v>
          </cell>
          <cell r="F604">
            <v>0</v>
          </cell>
          <cell r="G604" t="str">
            <v>none</v>
          </cell>
          <cell r="H604"/>
          <cell r="I604" t="b">
            <v>0</v>
          </cell>
          <cell r="J604" t="b">
            <v>0</v>
          </cell>
          <cell r="K604" t="b">
            <v>1</v>
          </cell>
          <cell r="L604"/>
          <cell r="M604" t="str">
            <v>icon_battle_plasma_buff</v>
          </cell>
          <cell r="N604" t="str">
            <v>info.lilian.buff.plasma</v>
          </cell>
          <cell r="O604" t="str">
            <v>Desc.info.lilian.buff.plasma</v>
          </cell>
        </row>
        <row r="605">
          <cell r="A605" t="str">
            <v>info.leila.buff.a2</v>
          </cell>
          <cell r="B605"/>
          <cell r="C605"/>
          <cell r="D605">
            <v>0</v>
          </cell>
          <cell r="E605">
            <v>0</v>
          </cell>
          <cell r="F605">
            <v>0</v>
          </cell>
          <cell r="G605" t="str">
            <v>none</v>
          </cell>
          <cell r="H605"/>
          <cell r="I605" t="b">
            <v>0</v>
          </cell>
          <cell r="J605" t="b">
            <v>0</v>
          </cell>
          <cell r="K605" t="b">
            <v>1</v>
          </cell>
          <cell r="L605"/>
          <cell r="M605" t="str">
            <v>icon_battle_effect_res</v>
          </cell>
          <cell r="N605" t="str">
            <v>info.leila.buff.a2</v>
          </cell>
          <cell r="O605" t="str">
            <v>Desc.info.leila.buff.a2</v>
          </cell>
        </row>
        <row r="606">
          <cell r="A606" t="str">
            <v>info.melissa.buff.figure</v>
          </cell>
          <cell r="B606"/>
          <cell r="C606"/>
          <cell r="D606">
            <v>0</v>
          </cell>
          <cell r="E606">
            <v>0</v>
          </cell>
          <cell r="F606">
            <v>0</v>
          </cell>
          <cell r="G606" t="str">
            <v>none</v>
          </cell>
          <cell r="H606"/>
          <cell r="I606" t="b">
            <v>0</v>
          </cell>
          <cell r="J606" t="b">
            <v>0</v>
          </cell>
          <cell r="K606" t="b">
            <v>1</v>
          </cell>
          <cell r="L606"/>
          <cell r="M606"/>
          <cell r="N606" t="str">
            <v>info.melissa.buff.figure</v>
          </cell>
          <cell r="O606" t="str">
            <v>Desc.info.melissa.buff.figure</v>
          </cell>
        </row>
        <row r="607">
          <cell r="A607" t="str">
            <v>info.melissa.buff.statue</v>
          </cell>
          <cell r="B607"/>
          <cell r="C607"/>
          <cell r="D607">
            <v>0</v>
          </cell>
          <cell r="E607">
            <v>0</v>
          </cell>
          <cell r="F607">
            <v>0</v>
          </cell>
          <cell r="G607" t="str">
            <v>none</v>
          </cell>
          <cell r="H607"/>
          <cell r="I607" t="b">
            <v>0</v>
          </cell>
          <cell r="J607" t="b">
            <v>0</v>
          </cell>
          <cell r="K607" t="b">
            <v>1</v>
          </cell>
          <cell r="L607"/>
          <cell r="M607"/>
          <cell r="N607" t="str">
            <v>info.melissa.buff.statue</v>
          </cell>
          <cell r="O607" t="str">
            <v>Desc.info.melissa.buff.statue</v>
          </cell>
        </row>
        <row r="608">
          <cell r="A608" t="str">
            <v>info.patricia.buff.frozen</v>
          </cell>
          <cell r="B608"/>
          <cell r="C608"/>
          <cell r="D608">
            <v>0</v>
          </cell>
          <cell r="E608">
            <v>0</v>
          </cell>
          <cell r="F608">
            <v>0</v>
          </cell>
          <cell r="G608" t="str">
            <v>none</v>
          </cell>
          <cell r="H608"/>
          <cell r="I608" t="b">
            <v>0</v>
          </cell>
          <cell r="J608" t="b">
            <v>0</v>
          </cell>
          <cell r="K608" t="b">
            <v>1</v>
          </cell>
          <cell r="L608"/>
          <cell r="M608" t="str">
            <v>icon_battle_freezing</v>
          </cell>
          <cell r="N608" t="str">
            <v>info.patricia.buff.frozen</v>
          </cell>
          <cell r="O608" t="str">
            <v>Desc.info.patricia.buff.frozen</v>
          </cell>
        </row>
        <row r="609">
          <cell r="A609" t="str">
            <v>info.patricia.buff.freezinghand</v>
          </cell>
          <cell r="B609"/>
          <cell r="C609"/>
          <cell r="D609">
            <v>0</v>
          </cell>
          <cell r="E609">
            <v>0</v>
          </cell>
          <cell r="F609">
            <v>0</v>
          </cell>
          <cell r="G609" t="str">
            <v>none</v>
          </cell>
          <cell r="H609"/>
          <cell r="I609" t="b">
            <v>0</v>
          </cell>
          <cell r="J609" t="b">
            <v>0</v>
          </cell>
          <cell r="K609" t="b">
            <v>1</v>
          </cell>
          <cell r="L609"/>
          <cell r="M609" t="str">
            <v>icon_battle_patricia_cold</v>
          </cell>
          <cell r="N609" t="str">
            <v>info.patricia.buff.freezinghand</v>
          </cell>
          <cell r="O609" t="str">
            <v>Desc.info.patricia.buff.freezinghand</v>
          </cell>
        </row>
        <row r="610">
          <cell r="A610" t="str">
            <v>info.patricia.buff.blizzard</v>
          </cell>
          <cell r="B610"/>
          <cell r="C610"/>
          <cell r="D610">
            <v>0</v>
          </cell>
          <cell r="E610">
            <v>0</v>
          </cell>
          <cell r="F610">
            <v>0</v>
          </cell>
          <cell r="G610" t="str">
            <v>none</v>
          </cell>
          <cell r="H610"/>
          <cell r="I610" t="b">
            <v>0</v>
          </cell>
          <cell r="J610" t="b">
            <v>0</v>
          </cell>
          <cell r="K610" t="b">
            <v>1</v>
          </cell>
          <cell r="L610"/>
          <cell r="M610" t="str">
            <v>icon_battle_freezing</v>
          </cell>
          <cell r="N610" t="str">
            <v>info.patricia.buff.blizzard</v>
          </cell>
          <cell r="O610" t="str">
            <v>Desc.info.patricia.buff.blizzard</v>
          </cell>
        </row>
        <row r="611">
          <cell r="A611" t="str">
            <v>info.renas.buff.toenail</v>
          </cell>
          <cell r="B611"/>
          <cell r="C611"/>
          <cell r="D611">
            <v>0</v>
          </cell>
          <cell r="E611">
            <v>0</v>
          </cell>
          <cell r="F611">
            <v>0</v>
          </cell>
          <cell r="G611" t="str">
            <v>none</v>
          </cell>
          <cell r="H611"/>
          <cell r="I611" t="b">
            <v>0</v>
          </cell>
          <cell r="J611" t="b">
            <v>0</v>
          </cell>
          <cell r="K611" t="b">
            <v>1</v>
          </cell>
          <cell r="L611"/>
          <cell r="M611" t="str">
            <v>icon_battle_renas_toenail</v>
          </cell>
          <cell r="N611" t="str">
            <v>info.renas.buff.toenail</v>
          </cell>
          <cell r="O611" t="str">
            <v>Desc.info.renas.buff.toenail</v>
          </cell>
        </row>
        <row r="612">
          <cell r="A612" t="str">
            <v>info.serapulsar.buff.intergrity</v>
          </cell>
          <cell r="B612"/>
          <cell r="C612"/>
          <cell r="D612">
            <v>0</v>
          </cell>
          <cell r="E612">
            <v>0</v>
          </cell>
          <cell r="F612">
            <v>0</v>
          </cell>
          <cell r="G612" t="str">
            <v>none</v>
          </cell>
          <cell r="H612"/>
          <cell r="I612" t="b">
            <v>0</v>
          </cell>
          <cell r="J612" t="b">
            <v>0</v>
          </cell>
          <cell r="K612" t="b">
            <v>1</v>
          </cell>
          <cell r="L612"/>
          <cell r="M612" t="str">
            <v>icon_battle_serapulsar_integrity</v>
          </cell>
          <cell r="N612" t="str">
            <v>info.serapulsar.buff.intergrity</v>
          </cell>
          <cell r="O612" t="str">
            <v>Desc.info.serapulsar.buff.intergrity</v>
          </cell>
        </row>
        <row r="613">
          <cell r="A613" t="str">
            <v>info.serapulsar.buff.overdrive</v>
          </cell>
          <cell r="B613"/>
          <cell r="C613"/>
          <cell r="D613">
            <v>0</v>
          </cell>
          <cell r="E613">
            <v>0</v>
          </cell>
          <cell r="F613">
            <v>0</v>
          </cell>
          <cell r="G613" t="str">
            <v>none</v>
          </cell>
          <cell r="H613"/>
          <cell r="I613" t="b">
            <v>0</v>
          </cell>
          <cell r="J613" t="b">
            <v>0</v>
          </cell>
          <cell r="K613" t="b">
            <v>1</v>
          </cell>
          <cell r="L613"/>
          <cell r="M613" t="str">
            <v>icon_battle_serapulsar_overdrive</v>
          </cell>
          <cell r="N613" t="str">
            <v>info.serapulsar.buff.overdrive</v>
          </cell>
          <cell r="O613" t="str">
            <v>Desc.info.serapulsar.buff.overdrive</v>
          </cell>
        </row>
        <row r="614">
          <cell r="A614" t="str">
            <v>info.shale.buff.bookmark</v>
          </cell>
          <cell r="B614"/>
          <cell r="C614"/>
          <cell r="D614">
            <v>0</v>
          </cell>
          <cell r="E614">
            <v>0</v>
          </cell>
          <cell r="F614">
            <v>0</v>
          </cell>
          <cell r="G614" t="str">
            <v>none</v>
          </cell>
          <cell r="H614"/>
          <cell r="I614" t="b">
            <v>0</v>
          </cell>
          <cell r="J614" t="b">
            <v>0</v>
          </cell>
          <cell r="K614" t="b">
            <v>1</v>
          </cell>
          <cell r="L614"/>
          <cell r="M614" t="str">
            <v>icon_battle_shale_buff_01</v>
          </cell>
          <cell r="N614" t="str">
            <v>info.shale.buff.bookmark</v>
          </cell>
          <cell r="O614" t="str">
            <v>Desc.info.shale.buff.bookmark</v>
          </cell>
        </row>
        <row r="615">
          <cell r="A615" t="str">
            <v>info.snopril.buff.bless</v>
          </cell>
          <cell r="B615"/>
          <cell r="C615"/>
          <cell r="D615">
            <v>0</v>
          </cell>
          <cell r="E615">
            <v>0</v>
          </cell>
          <cell r="F615">
            <v>0</v>
          </cell>
          <cell r="G615" t="str">
            <v>none</v>
          </cell>
          <cell r="H615"/>
          <cell r="I615" t="b">
            <v>0</v>
          </cell>
          <cell r="J615" t="b">
            <v>0</v>
          </cell>
          <cell r="K615" t="b">
            <v>1</v>
          </cell>
          <cell r="L615"/>
          <cell r="M615" t="str">
            <v>icon_battle_snopril_bless</v>
          </cell>
          <cell r="N615" t="str">
            <v>info.snopril.buff.bless</v>
          </cell>
          <cell r="O615" t="str">
            <v>Desc.info.snopril.buff.bless</v>
          </cell>
        </row>
        <row r="616">
          <cell r="A616" t="str">
            <v>info.yuna.buff.clearmind</v>
          </cell>
          <cell r="B616"/>
          <cell r="C616"/>
          <cell r="D616">
            <v>0</v>
          </cell>
          <cell r="E616">
            <v>0</v>
          </cell>
          <cell r="F616">
            <v>0</v>
          </cell>
          <cell r="G616" t="str">
            <v>none</v>
          </cell>
          <cell r="H616"/>
          <cell r="I616" t="b">
            <v>0</v>
          </cell>
          <cell r="J616" t="b">
            <v>0</v>
          </cell>
          <cell r="K616" t="b">
            <v>1</v>
          </cell>
          <cell r="L616"/>
          <cell r="M616" t="str">
            <v>icon_battle_yuna_buff_01</v>
          </cell>
          <cell r="N616" t="str">
            <v>info.yuna.buff.clearmind</v>
          </cell>
          <cell r="O616" t="str">
            <v>Desc.info.yuna.buff.clearmind</v>
          </cell>
        </row>
        <row r="617">
          <cell r="A617" t="str">
            <v>info.brynhild.buff.evildestroy</v>
          </cell>
          <cell r="B617"/>
          <cell r="C617"/>
          <cell r="D617">
            <v>0</v>
          </cell>
          <cell r="E617">
            <v>0</v>
          </cell>
          <cell r="F617">
            <v>0</v>
          </cell>
          <cell r="G617" t="str">
            <v>none</v>
          </cell>
          <cell r="H617"/>
          <cell r="I617" t="b">
            <v>0</v>
          </cell>
          <cell r="J617" t="b">
            <v>0</v>
          </cell>
          <cell r="K617" t="b">
            <v>1</v>
          </cell>
          <cell r="L617"/>
          <cell r="M617" t="str">
            <v>icon_battle_brynhild_evildestroy</v>
          </cell>
          <cell r="N617" t="str">
            <v>info.brynhild.buff.evildestroy</v>
          </cell>
          <cell r="O617" t="str">
            <v>Desc.info.brynhild.buff.evildestroy</v>
          </cell>
        </row>
        <row r="618">
          <cell r="A618" t="str">
            <v>info.shery.buff.battery</v>
          </cell>
          <cell r="B618"/>
          <cell r="C618"/>
          <cell r="D618">
            <v>0</v>
          </cell>
          <cell r="E618">
            <v>0</v>
          </cell>
          <cell r="F618">
            <v>0</v>
          </cell>
          <cell r="G618" t="str">
            <v>none</v>
          </cell>
          <cell r="H618"/>
          <cell r="I618" t="b">
            <v>0</v>
          </cell>
          <cell r="J618" t="b">
            <v>0</v>
          </cell>
          <cell r="K618" t="b">
            <v>1</v>
          </cell>
          <cell r="L618"/>
          <cell r="M618" t="str">
            <v>icon_battle_shery_battery</v>
          </cell>
          <cell r="N618" t="str">
            <v>info.shery.buff.battery</v>
          </cell>
          <cell r="O618" t="str">
            <v>Desc.info.shery.buff.battery</v>
          </cell>
        </row>
        <row r="619">
          <cell r="A619" t="str">
            <v>info.yurizia.buff.8bitegloo</v>
          </cell>
          <cell r="B619"/>
          <cell r="C619"/>
          <cell r="D619">
            <v>0</v>
          </cell>
          <cell r="E619">
            <v>0</v>
          </cell>
          <cell r="F619">
            <v>0</v>
          </cell>
          <cell r="G619" t="str">
            <v>none</v>
          </cell>
          <cell r="H619"/>
          <cell r="I619" t="b">
            <v>0</v>
          </cell>
          <cell r="J619" t="b">
            <v>0</v>
          </cell>
          <cell r="K619" t="b">
            <v>1</v>
          </cell>
          <cell r="L619"/>
          <cell r="M619" t="str">
            <v>icon_battle_yurizia_buff_01</v>
          </cell>
          <cell r="N619" t="str">
            <v>info.yurizia.buff.8bitegloo</v>
          </cell>
          <cell r="O619" t="str">
            <v>Desc.info.yurizia.buff.8bitegloo</v>
          </cell>
        </row>
        <row r="620">
          <cell r="A620" t="str">
            <v>info.yurizia.buff.energydrink</v>
          </cell>
          <cell r="B620"/>
          <cell r="C620"/>
          <cell r="D620">
            <v>0</v>
          </cell>
          <cell r="E620">
            <v>0</v>
          </cell>
          <cell r="F620">
            <v>0</v>
          </cell>
          <cell r="G620" t="str">
            <v>none</v>
          </cell>
          <cell r="H620"/>
          <cell r="I620" t="b">
            <v>0</v>
          </cell>
          <cell r="J620" t="b">
            <v>0</v>
          </cell>
          <cell r="K620" t="b">
            <v>1</v>
          </cell>
          <cell r="L620"/>
          <cell r="M620" t="str">
            <v>icon_battle_yurizia_buff_02</v>
          </cell>
          <cell r="N620" t="str">
            <v>info.yurizia.buff.energydrink</v>
          </cell>
          <cell r="O620" t="str">
            <v>Desc.info.yurizia.buff.energydrink</v>
          </cell>
        </row>
        <row r="621">
          <cell r="A621" t="str">
            <v>info.itus.buff.ult</v>
          </cell>
          <cell r="B621"/>
          <cell r="C621"/>
          <cell r="D621">
            <v>0</v>
          </cell>
          <cell r="E621">
            <v>0</v>
          </cell>
          <cell r="F621">
            <v>0</v>
          </cell>
          <cell r="G621" t="str">
            <v>none</v>
          </cell>
          <cell r="H621"/>
          <cell r="I621" t="b">
            <v>0</v>
          </cell>
          <cell r="J621" t="b">
            <v>0</v>
          </cell>
          <cell r="K621" t="b">
            <v>1</v>
          </cell>
          <cell r="L621"/>
          <cell r="M621" t="str">
            <v>icon_battle_itus_buff_01</v>
          </cell>
          <cell r="N621" t="str">
            <v>info.itus.buff.ult</v>
          </cell>
          <cell r="O621" t="str">
            <v>Desc.info.itus.buff.ult</v>
          </cell>
        </row>
        <row r="622">
          <cell r="A622" t="str">
            <v>info.itus.buff.ex</v>
          </cell>
          <cell r="B622"/>
          <cell r="C622"/>
          <cell r="D622">
            <v>0</v>
          </cell>
          <cell r="E622">
            <v>0</v>
          </cell>
          <cell r="F622">
            <v>0</v>
          </cell>
          <cell r="G622" t="str">
            <v>none</v>
          </cell>
          <cell r="H622"/>
          <cell r="I622" t="b">
            <v>0</v>
          </cell>
          <cell r="J622" t="b">
            <v>0</v>
          </cell>
          <cell r="K622" t="b">
            <v>1</v>
          </cell>
          <cell r="L622"/>
          <cell r="M622" t="str">
            <v>icon_battle_itus_buff_03</v>
          </cell>
          <cell r="N622" t="str">
            <v>info.itus.buff.ex</v>
          </cell>
          <cell r="O622" t="str">
            <v>Desc.info.itus.buff.ex</v>
          </cell>
        </row>
        <row r="623">
          <cell r="A623" t="str">
            <v>info.sia.buff.strongest</v>
          </cell>
          <cell r="B623"/>
          <cell r="C623"/>
          <cell r="D623">
            <v>0</v>
          </cell>
          <cell r="E623">
            <v>0</v>
          </cell>
          <cell r="F623">
            <v>0</v>
          </cell>
          <cell r="G623" t="str">
            <v>none</v>
          </cell>
          <cell r="H623"/>
          <cell r="I623" t="b">
            <v>0</v>
          </cell>
          <cell r="J623" t="b">
            <v>0</v>
          </cell>
          <cell r="K623" t="b">
            <v>1</v>
          </cell>
          <cell r="L623"/>
          <cell r="M623" t="str">
            <v>icon_battle_sia_buff_01</v>
          </cell>
          <cell r="N623" t="str">
            <v>info.sia.buff.strongest</v>
          </cell>
          <cell r="O623" t="str">
            <v>Desc.info.sia.buff.strongest</v>
          </cell>
        </row>
        <row r="624">
          <cell r="A624" t="str">
            <v>info.sia.buff.strongest.01</v>
          </cell>
          <cell r="B624"/>
          <cell r="C624"/>
          <cell r="D624">
            <v>0</v>
          </cell>
          <cell r="E624">
            <v>0</v>
          </cell>
          <cell r="F624">
            <v>0</v>
          </cell>
          <cell r="G624" t="str">
            <v>none</v>
          </cell>
          <cell r="H624"/>
          <cell r="I624" t="b">
            <v>0</v>
          </cell>
          <cell r="J624" t="b">
            <v>0</v>
          </cell>
          <cell r="K624" t="b">
            <v>1</v>
          </cell>
          <cell r="L624"/>
          <cell r="M624" t="str">
            <v>icon_battle_sia_buff_01</v>
          </cell>
          <cell r="N624" t="str">
            <v>info.sia.buff.strongest</v>
          </cell>
          <cell r="O624" t="str">
            <v>Desc.info.sia.buff.strongest.01</v>
          </cell>
        </row>
        <row r="625">
          <cell r="A625" t="str">
            <v>info.sia.buff.strongest.02</v>
          </cell>
          <cell r="B625"/>
          <cell r="C625"/>
          <cell r="D625">
            <v>0</v>
          </cell>
          <cell r="E625">
            <v>0</v>
          </cell>
          <cell r="F625">
            <v>0</v>
          </cell>
          <cell r="G625" t="str">
            <v>none</v>
          </cell>
          <cell r="H625"/>
          <cell r="I625" t="b">
            <v>0</v>
          </cell>
          <cell r="J625" t="b">
            <v>0</v>
          </cell>
          <cell r="K625" t="b">
            <v>1</v>
          </cell>
          <cell r="L625"/>
          <cell r="M625" t="str">
            <v>icon_battle_sia_buff_01</v>
          </cell>
          <cell r="N625" t="str">
            <v>info.sia.buff.strongest</v>
          </cell>
          <cell r="O625" t="str">
            <v>Desc.info.sia.buff.strongest.02</v>
          </cell>
        </row>
        <row r="626">
          <cell r="A626" t="str">
            <v>info.sia.buff.strongest.03</v>
          </cell>
          <cell r="B626"/>
          <cell r="C626"/>
          <cell r="D626">
            <v>0</v>
          </cell>
          <cell r="E626">
            <v>0</v>
          </cell>
          <cell r="F626">
            <v>0</v>
          </cell>
          <cell r="G626" t="str">
            <v>none</v>
          </cell>
          <cell r="H626"/>
          <cell r="I626" t="b">
            <v>0</v>
          </cell>
          <cell r="J626" t="b">
            <v>0</v>
          </cell>
          <cell r="K626" t="b">
            <v>1</v>
          </cell>
          <cell r="L626"/>
          <cell r="M626" t="str">
            <v>icon_battle_sia_buff_01</v>
          </cell>
          <cell r="N626" t="str">
            <v>info.sia.buff.strongest</v>
          </cell>
          <cell r="O626" t="str">
            <v>Desc.info.sia.buff.strongest.03</v>
          </cell>
        </row>
        <row r="627">
          <cell r="A627" t="str">
            <v>info.sia.buff.strongest.04</v>
          </cell>
          <cell r="B627"/>
          <cell r="C627"/>
          <cell r="D627">
            <v>0</v>
          </cell>
          <cell r="E627">
            <v>0</v>
          </cell>
          <cell r="F627">
            <v>0</v>
          </cell>
          <cell r="G627" t="str">
            <v>none</v>
          </cell>
          <cell r="H627"/>
          <cell r="I627" t="b">
            <v>0</v>
          </cell>
          <cell r="J627" t="b">
            <v>0</v>
          </cell>
          <cell r="K627" t="b">
            <v>1</v>
          </cell>
          <cell r="L627"/>
          <cell r="M627" t="str">
            <v>icon_battle_sia_buff_01</v>
          </cell>
          <cell r="N627" t="str">
            <v>info.sia.buff.strongest</v>
          </cell>
          <cell r="O627" t="str">
            <v>Desc.info.sia.buff.strongest.04</v>
          </cell>
        </row>
        <row r="628">
          <cell r="A628" t="str">
            <v>info.sia.buff.strongest.05</v>
          </cell>
          <cell r="B628"/>
          <cell r="C628"/>
          <cell r="D628">
            <v>0</v>
          </cell>
          <cell r="E628">
            <v>0</v>
          </cell>
          <cell r="F628">
            <v>0</v>
          </cell>
          <cell r="G628" t="str">
            <v>none</v>
          </cell>
          <cell r="H628"/>
          <cell r="I628" t="b">
            <v>0</v>
          </cell>
          <cell r="J628" t="b">
            <v>0</v>
          </cell>
          <cell r="K628" t="b">
            <v>1</v>
          </cell>
          <cell r="L628"/>
          <cell r="M628" t="str">
            <v>icon_battle_sia_buff_01</v>
          </cell>
          <cell r="N628" t="str">
            <v>info.sia.buff.strongest</v>
          </cell>
          <cell r="O628" t="str">
            <v>Desc.info.sia.buff.strongest.05</v>
          </cell>
        </row>
        <row r="629">
          <cell r="A629" t="str">
            <v>info.sia.buff.strongest.06</v>
          </cell>
          <cell r="B629"/>
          <cell r="C629"/>
          <cell r="D629">
            <v>0</v>
          </cell>
          <cell r="E629">
            <v>0</v>
          </cell>
          <cell r="F629">
            <v>0</v>
          </cell>
          <cell r="G629" t="str">
            <v>none</v>
          </cell>
          <cell r="H629"/>
          <cell r="I629" t="b">
            <v>0</v>
          </cell>
          <cell r="J629" t="b">
            <v>0</v>
          </cell>
          <cell r="K629" t="b">
            <v>1</v>
          </cell>
          <cell r="L629"/>
          <cell r="M629" t="str">
            <v>icon_battle_sia_buff_01</v>
          </cell>
          <cell r="N629" t="str">
            <v>info.sia.buff.strongest</v>
          </cell>
          <cell r="O629" t="str">
            <v>Desc.info.sia.buff.strongest.06</v>
          </cell>
        </row>
        <row r="630">
          <cell r="A630" t="str">
            <v>info.eradica.buff.passive</v>
          </cell>
          <cell r="B630"/>
          <cell r="C630"/>
          <cell r="D630">
            <v>0</v>
          </cell>
          <cell r="E630">
            <v>0</v>
          </cell>
          <cell r="F630">
            <v>0</v>
          </cell>
          <cell r="G630" t="str">
            <v>none</v>
          </cell>
          <cell r="H630"/>
          <cell r="I630" t="b">
            <v>0</v>
          </cell>
          <cell r="J630" t="b">
            <v>0</v>
          </cell>
          <cell r="K630" t="b">
            <v>1</v>
          </cell>
          <cell r="L630"/>
          <cell r="M630" t="str">
            <v>icon_battle_eradica_buff_01</v>
          </cell>
          <cell r="N630" t="str">
            <v>info.eradica.buff.passive</v>
          </cell>
          <cell r="O630" t="str">
            <v>Desc.info.eradica.buff.passive</v>
          </cell>
        </row>
        <row r="631">
          <cell r="A631" t="str">
            <v>info.fei.attacker.buff</v>
          </cell>
          <cell r="B631"/>
          <cell r="C631"/>
          <cell r="D631">
            <v>0</v>
          </cell>
          <cell r="E631">
            <v>0</v>
          </cell>
          <cell r="F631">
            <v>0</v>
          </cell>
          <cell r="G631" t="str">
            <v>none</v>
          </cell>
          <cell r="H631"/>
          <cell r="I631" t="b">
            <v>0</v>
          </cell>
          <cell r="J631" t="b">
            <v>0</v>
          </cell>
          <cell r="K631" t="b">
            <v>1</v>
          </cell>
          <cell r="L631"/>
          <cell r="M631" t="str">
            <v>icon_class_attacker</v>
          </cell>
          <cell r="N631" t="str">
            <v>info.fei.attacker.buff</v>
          </cell>
          <cell r="O631" t="str">
            <v>Desc.info.fei.attacker.buff</v>
          </cell>
        </row>
        <row r="632">
          <cell r="A632" t="str">
            <v>info.fei.ranger.buff</v>
          </cell>
          <cell r="B632"/>
          <cell r="C632"/>
          <cell r="D632">
            <v>0</v>
          </cell>
          <cell r="E632">
            <v>0</v>
          </cell>
          <cell r="F632">
            <v>0</v>
          </cell>
          <cell r="G632" t="str">
            <v>none</v>
          </cell>
          <cell r="H632"/>
          <cell r="I632" t="b">
            <v>0</v>
          </cell>
          <cell r="J632" t="b">
            <v>0</v>
          </cell>
          <cell r="K632" t="b">
            <v>1</v>
          </cell>
          <cell r="L632"/>
          <cell r="M632" t="str">
            <v>icon_class_ranger</v>
          </cell>
          <cell r="N632" t="str">
            <v>info.fei.ranger.buff</v>
          </cell>
          <cell r="O632" t="str">
            <v>Desc.info.fei.ranger.buff</v>
          </cell>
        </row>
        <row r="633">
          <cell r="A633" t="str">
            <v>info.freyja.buff.passive</v>
          </cell>
          <cell r="B633"/>
          <cell r="C633"/>
          <cell r="D633">
            <v>0</v>
          </cell>
          <cell r="E633">
            <v>0</v>
          </cell>
          <cell r="F633">
            <v>0</v>
          </cell>
          <cell r="G633" t="str">
            <v>none</v>
          </cell>
          <cell r="H633"/>
          <cell r="I633" t="b">
            <v>0</v>
          </cell>
          <cell r="J633" t="b">
            <v>0</v>
          </cell>
          <cell r="K633" t="b">
            <v>0</v>
          </cell>
          <cell r="L633"/>
          <cell r="M633" t="str">
            <v>icon_battle_freyja_buff_01</v>
          </cell>
          <cell r="N633" t="str">
            <v>info.freyja.buff.passive</v>
          </cell>
          <cell r="O633" t="str">
            <v>Desc.info.freyja.buff.passive</v>
          </cell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A635" t="str">
            <v>info.arcels.debuff.burn</v>
          </cell>
          <cell r="B635"/>
          <cell r="C635"/>
          <cell r="D635">
            <v>0</v>
          </cell>
          <cell r="E635">
            <v>0</v>
          </cell>
          <cell r="F635">
            <v>0</v>
          </cell>
          <cell r="G635" t="str">
            <v>none</v>
          </cell>
          <cell r="H635"/>
          <cell r="I635" t="b">
            <v>0</v>
          </cell>
          <cell r="J635" t="b">
            <v>0</v>
          </cell>
          <cell r="K635" t="b">
            <v>0</v>
          </cell>
          <cell r="L635"/>
          <cell r="M635" t="str">
            <v>icon_battle_arcels_burn</v>
          </cell>
          <cell r="N635" t="str">
            <v>info.arcels.debuff.burn</v>
          </cell>
          <cell r="O635" t="str">
            <v>Desc.info.arcels.debuff.burn</v>
          </cell>
        </row>
        <row r="636">
          <cell r="A636" t="str">
            <v>info.daria.debuff.counterlink</v>
          </cell>
          <cell r="B636"/>
          <cell r="C636"/>
          <cell r="D636">
            <v>0</v>
          </cell>
          <cell r="E636">
            <v>0</v>
          </cell>
          <cell r="F636">
            <v>0</v>
          </cell>
          <cell r="G636" t="str">
            <v>none</v>
          </cell>
          <cell r="H636"/>
          <cell r="I636" t="b">
            <v>0</v>
          </cell>
          <cell r="J636" t="b">
            <v>0</v>
          </cell>
          <cell r="K636" t="b">
            <v>0</v>
          </cell>
          <cell r="L636"/>
          <cell r="M636" t="str">
            <v>icon_battle_link</v>
          </cell>
          <cell r="N636" t="str">
            <v>info.daria.debuff.counterlink</v>
          </cell>
          <cell r="O636" t="str">
            <v>Desc.info.daria.debuff.counterlink</v>
          </cell>
        </row>
        <row r="637">
          <cell r="A637" t="str">
            <v>info.ferrel.debuff.silence</v>
          </cell>
          <cell r="B637"/>
          <cell r="C637"/>
          <cell r="D637">
            <v>0</v>
          </cell>
          <cell r="E637">
            <v>0</v>
          </cell>
          <cell r="F637">
            <v>0</v>
          </cell>
          <cell r="G637" t="str">
            <v>none</v>
          </cell>
          <cell r="H637"/>
          <cell r="I637" t="b">
            <v>0</v>
          </cell>
          <cell r="J637" t="b">
            <v>0</v>
          </cell>
          <cell r="K637" t="b">
            <v>0</v>
          </cell>
          <cell r="L637"/>
          <cell r="M637" t="str">
            <v>icon_battle_silence</v>
          </cell>
          <cell r="N637" t="str">
            <v>info.ferrel.debuff.silence</v>
          </cell>
          <cell r="O637" t="str">
            <v>Desc.info.ferrel.debuff.silence</v>
          </cell>
        </row>
        <row r="638">
          <cell r="A638" t="str">
            <v>info.ino.debuff.target</v>
          </cell>
          <cell r="B638"/>
          <cell r="C638"/>
          <cell r="D638">
            <v>0</v>
          </cell>
          <cell r="E638">
            <v>0</v>
          </cell>
          <cell r="F638">
            <v>0</v>
          </cell>
          <cell r="G638" t="str">
            <v>none</v>
          </cell>
          <cell r="H638"/>
          <cell r="I638" t="b">
            <v>0</v>
          </cell>
          <cell r="J638" t="b">
            <v>0</v>
          </cell>
          <cell r="K638" t="b">
            <v>0</v>
          </cell>
          <cell r="L638"/>
          <cell r="M638" t="str">
            <v>icon_battle_ino_target</v>
          </cell>
          <cell r="N638" t="str">
            <v>info.ino.debuff.target</v>
          </cell>
          <cell r="O638" t="str">
            <v>Desc.info.ino.debuff.target</v>
          </cell>
        </row>
        <row r="639">
          <cell r="A639" t="str">
            <v>info.mea.debuff.fearseed</v>
          </cell>
          <cell r="B639"/>
          <cell r="C639"/>
          <cell r="D639">
            <v>0</v>
          </cell>
          <cell r="E639">
            <v>0</v>
          </cell>
          <cell r="F639">
            <v>0</v>
          </cell>
          <cell r="G639" t="str">
            <v>none</v>
          </cell>
          <cell r="H639"/>
          <cell r="I639" t="b">
            <v>0</v>
          </cell>
          <cell r="J639" t="b">
            <v>0</v>
          </cell>
          <cell r="K639" t="b">
            <v>0</v>
          </cell>
          <cell r="L639"/>
          <cell r="M639" t="str">
            <v>icon_battle_mea_fearseed</v>
          </cell>
          <cell r="N639" t="str">
            <v>info.mea.debuff.fearseed</v>
          </cell>
          <cell r="O639" t="str">
            <v>Desc.info.mea.debuff.fearseed</v>
          </cell>
        </row>
        <row r="640">
          <cell r="A640" t="str">
            <v>info.serapulsar.debuff.hurt</v>
          </cell>
          <cell r="B640"/>
          <cell r="C640"/>
          <cell r="D640">
            <v>0</v>
          </cell>
          <cell r="E640">
            <v>0</v>
          </cell>
          <cell r="F640">
            <v>0</v>
          </cell>
          <cell r="G640" t="str">
            <v>none</v>
          </cell>
          <cell r="H640"/>
          <cell r="I640" t="b">
            <v>0</v>
          </cell>
          <cell r="J640" t="b">
            <v>0</v>
          </cell>
          <cell r="K640" t="b">
            <v>0</v>
          </cell>
          <cell r="L640"/>
          <cell r="M640"/>
          <cell r="N640" t="str">
            <v>info.serapulsar.debuff.hurt</v>
          </cell>
          <cell r="O640" t="str">
            <v>Desc.info.serapulsar.debuff.hurt</v>
          </cell>
        </row>
        <row r="641">
          <cell r="A641" t="str">
            <v>info.shale.debuff.polymorph</v>
          </cell>
          <cell r="B641"/>
          <cell r="C641"/>
          <cell r="D641">
            <v>0</v>
          </cell>
          <cell r="E641">
            <v>0</v>
          </cell>
          <cell r="F641">
            <v>0</v>
          </cell>
          <cell r="G641" t="str">
            <v>none</v>
          </cell>
          <cell r="H641"/>
          <cell r="I641" t="b">
            <v>0</v>
          </cell>
          <cell r="J641" t="b">
            <v>0</v>
          </cell>
          <cell r="K641" t="b">
            <v>0</v>
          </cell>
          <cell r="L641"/>
          <cell r="M641" t="str">
            <v>icon_battle_change</v>
          </cell>
          <cell r="N641" t="str">
            <v>info.shale.debuff.polymorph</v>
          </cell>
          <cell r="O641" t="str">
            <v>Desc.info.shale.debuff.polymorph</v>
          </cell>
        </row>
        <row r="642">
          <cell r="A642" t="str">
            <v>info.snopril.debuff.cold</v>
          </cell>
          <cell r="B642"/>
          <cell r="C642"/>
          <cell r="D642">
            <v>0</v>
          </cell>
          <cell r="E642">
            <v>0</v>
          </cell>
          <cell r="F642">
            <v>0</v>
          </cell>
          <cell r="G642" t="str">
            <v>none</v>
          </cell>
          <cell r="H642"/>
          <cell r="I642" t="b">
            <v>0</v>
          </cell>
          <cell r="J642" t="b">
            <v>0</v>
          </cell>
          <cell r="K642" t="b">
            <v>0</v>
          </cell>
          <cell r="L642"/>
          <cell r="M642" t="str">
            <v>icon_battle_debuffresist_freeze</v>
          </cell>
          <cell r="N642" t="str">
            <v>info.snopril.debuff.cold</v>
          </cell>
          <cell r="O642" t="str">
            <v>Desc.info.snopril.debuff.cold</v>
          </cell>
        </row>
        <row r="643">
          <cell r="A643" t="str">
            <v>info.snopril.debuff.frozen</v>
          </cell>
          <cell r="B643"/>
          <cell r="C643"/>
          <cell r="D643">
            <v>0</v>
          </cell>
          <cell r="E643">
            <v>0</v>
          </cell>
          <cell r="F643">
            <v>0</v>
          </cell>
          <cell r="G643" t="str">
            <v>none</v>
          </cell>
          <cell r="H643"/>
          <cell r="I643" t="b">
            <v>0</v>
          </cell>
          <cell r="J643" t="b">
            <v>0</v>
          </cell>
          <cell r="K643" t="b">
            <v>0</v>
          </cell>
          <cell r="L643"/>
          <cell r="M643" t="str">
            <v>icon_battle_freezing</v>
          </cell>
          <cell r="N643" t="str">
            <v>info.snopril.debuff.frozen</v>
          </cell>
          <cell r="O643" t="str">
            <v>Desc.info.snopril.debuff.frozen</v>
          </cell>
        </row>
        <row r="644">
          <cell r="A644" t="str">
            <v>info.itus.debuff.passive</v>
          </cell>
          <cell r="B644"/>
          <cell r="C644"/>
          <cell r="D644">
            <v>0</v>
          </cell>
          <cell r="E644">
            <v>0</v>
          </cell>
          <cell r="F644">
            <v>0</v>
          </cell>
          <cell r="G644" t="str">
            <v>none</v>
          </cell>
          <cell r="H644"/>
          <cell r="I644" t="b">
            <v>0</v>
          </cell>
          <cell r="J644" t="b">
            <v>0</v>
          </cell>
          <cell r="K644" t="b">
            <v>0</v>
          </cell>
          <cell r="L644"/>
          <cell r="M644" t="str">
            <v>icon_battle_itus_buff_02</v>
          </cell>
          <cell r="N644" t="str">
            <v>info.itus.debuff.passive</v>
          </cell>
          <cell r="O644" t="str">
            <v>Desc.info.itus.debuff.passive</v>
          </cell>
        </row>
        <row r="645">
          <cell r="A645" t="str">
            <v>info.eradica.debuff.active2</v>
          </cell>
          <cell r="B645"/>
          <cell r="C645"/>
          <cell r="D645">
            <v>0</v>
          </cell>
          <cell r="E645">
            <v>0</v>
          </cell>
          <cell r="F645">
            <v>0</v>
          </cell>
          <cell r="G645" t="str">
            <v>none</v>
          </cell>
          <cell r="H645"/>
          <cell r="I645" t="b">
            <v>0</v>
          </cell>
          <cell r="J645" t="b">
            <v>0</v>
          </cell>
          <cell r="K645" t="b">
            <v>0</v>
          </cell>
          <cell r="L645"/>
          <cell r="M645" t="str">
            <v>icon_battle_eradica_buff_02</v>
          </cell>
          <cell r="N645" t="str">
            <v>info.eradica.debuff.active2</v>
          </cell>
          <cell r="O645" t="str">
            <v>Desc.info.eradica.debuff.active2</v>
          </cell>
        </row>
        <row r="646">
          <cell r="A646" t="str">
            <v>info.freyja.debuff.ultA</v>
          </cell>
          <cell r="B646"/>
          <cell r="C646"/>
          <cell r="D646">
            <v>0</v>
          </cell>
          <cell r="E646">
            <v>0</v>
          </cell>
          <cell r="F646">
            <v>0</v>
          </cell>
          <cell r="G646" t="str">
            <v>none</v>
          </cell>
          <cell r="H646"/>
          <cell r="I646" t="b">
            <v>0</v>
          </cell>
          <cell r="J646" t="b">
            <v>0</v>
          </cell>
          <cell r="K646" t="b">
            <v>0</v>
          </cell>
          <cell r="L646"/>
          <cell r="M646" t="str">
            <v>icon_battle_freyja_debuff_01</v>
          </cell>
          <cell r="N646" t="str">
            <v>info.freyja.debuff.ultA</v>
          </cell>
          <cell r="O646" t="str">
            <v>Desc.info.freyja.debuff.ultA</v>
          </cell>
        </row>
        <row r="647">
          <cell r="A647" t="str">
            <v>info.freyja.debuff.ultB</v>
          </cell>
          <cell r="B647"/>
          <cell r="C647"/>
          <cell r="D647">
            <v>0</v>
          </cell>
          <cell r="E647">
            <v>0</v>
          </cell>
          <cell r="F647">
            <v>0</v>
          </cell>
          <cell r="G647" t="str">
            <v>none</v>
          </cell>
          <cell r="H647"/>
          <cell r="I647" t="b">
            <v>0</v>
          </cell>
          <cell r="J647" t="b">
            <v>0</v>
          </cell>
          <cell r="K647" t="b">
            <v>0</v>
          </cell>
          <cell r="L647"/>
          <cell r="M647" t="str">
            <v>icon_battle_freyja_debuff_02</v>
          </cell>
          <cell r="N647" t="str">
            <v>info.freyja.debuff.ultB</v>
          </cell>
          <cell r="O647" t="str">
            <v>Desc.info.freyja.debuff.ultB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52"/>
  <sheetViews>
    <sheetView zoomScale="85" zoomScaleNormal="85" workbookViewId="0">
      <pane xSplit="3" ySplit="4" topLeftCell="K248" activePane="bottomRight" state="frozen"/>
      <selection activeCell="C58" sqref="C58"/>
      <selection pane="topRight" activeCell="C58" sqref="C58"/>
      <selection pane="bottomLeft" activeCell="C58" sqref="C58"/>
      <selection pane="bottomRight" activeCell="A261" sqref="A261"/>
    </sheetView>
  </sheetViews>
  <sheetFormatPr defaultRowHeight="16.5" x14ac:dyDescent="0.3"/>
  <cols>
    <col min="1" max="1" width="74.375" style="18" customWidth="1"/>
    <col min="2" max="2" width="15.25" customWidth="1"/>
    <col min="3" max="3" width="16.125" customWidth="1"/>
    <col min="4" max="4" width="9" bestFit="1" customWidth="1"/>
    <col min="5" max="5" width="9.625" bestFit="1" customWidth="1"/>
    <col min="6" max="6" width="9.375" bestFit="1" customWidth="1"/>
    <col min="7" max="7" width="61" style="18" customWidth="1"/>
    <col min="8" max="8" width="31" customWidth="1"/>
    <col min="9" max="9" width="12.875" bestFit="1" customWidth="1"/>
    <col min="10" max="10" width="11.875" bestFit="1" customWidth="1"/>
    <col min="11" max="11" width="16.125" bestFit="1" customWidth="1"/>
    <col min="12" max="12" width="37" bestFit="1" customWidth="1"/>
    <col min="13" max="13" width="30.125" bestFit="1" customWidth="1"/>
    <col min="14" max="14" width="30.125" customWidth="1"/>
    <col min="15" max="15" width="38.5" style="60" bestFit="1" customWidth="1"/>
    <col min="16" max="16" width="13" bestFit="1" customWidth="1"/>
    <col min="17" max="17" width="10.625" bestFit="1" customWidth="1"/>
  </cols>
  <sheetData>
    <row r="1" spans="1:17" ht="27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3" t="s">
        <v>15</v>
      </c>
      <c r="Q1" s="5" t="s">
        <v>16</v>
      </c>
    </row>
    <row r="2" spans="1:17" x14ac:dyDescent="0.3">
      <c r="A2" s="5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 t="s">
        <v>23</v>
      </c>
      <c r="H2" s="4" t="s">
        <v>24</v>
      </c>
      <c r="I2" s="4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13" t="s">
        <v>32</v>
      </c>
      <c r="Q2" s="5" t="s">
        <v>33</v>
      </c>
    </row>
    <row r="3" spans="1:17" x14ac:dyDescent="0.3">
      <c r="A3" s="5" t="s">
        <v>34</v>
      </c>
      <c r="B3" s="1" t="s">
        <v>35</v>
      </c>
      <c r="C3" s="1" t="s">
        <v>36</v>
      </c>
      <c r="D3" s="1" t="s">
        <v>37</v>
      </c>
      <c r="E3" s="2" t="s">
        <v>37</v>
      </c>
      <c r="F3" s="2" t="s">
        <v>37</v>
      </c>
      <c r="G3" s="3" t="s">
        <v>38</v>
      </c>
      <c r="H3" s="4" t="s">
        <v>39</v>
      </c>
      <c r="I3" s="4" t="s">
        <v>40</v>
      </c>
      <c r="J3" s="5" t="s">
        <v>40</v>
      </c>
      <c r="K3" s="5" t="s">
        <v>40</v>
      </c>
      <c r="L3" s="5" t="s">
        <v>41</v>
      </c>
      <c r="M3" s="5" t="s">
        <v>36</v>
      </c>
      <c r="N3" s="5" t="s">
        <v>36</v>
      </c>
      <c r="O3" s="5" t="s">
        <v>36</v>
      </c>
      <c r="P3" s="13" t="s">
        <v>40</v>
      </c>
      <c r="Q3" s="5" t="s">
        <v>40</v>
      </c>
    </row>
    <row r="4" spans="1:17" x14ac:dyDescent="0.3">
      <c r="A4" s="5" t="s">
        <v>42</v>
      </c>
      <c r="B4" s="1" t="s">
        <v>42</v>
      </c>
      <c r="C4" s="1" t="s">
        <v>42</v>
      </c>
      <c r="D4" s="1" t="s">
        <v>42</v>
      </c>
      <c r="E4" s="2" t="s">
        <v>42</v>
      </c>
      <c r="F4" s="2" t="s">
        <v>42</v>
      </c>
      <c r="G4" s="3" t="s">
        <v>42</v>
      </c>
      <c r="H4" s="4" t="s">
        <v>42</v>
      </c>
      <c r="I4" s="4" t="s">
        <v>42</v>
      </c>
      <c r="J4" s="5" t="s">
        <v>42</v>
      </c>
      <c r="K4" s="5" t="s">
        <v>42</v>
      </c>
      <c r="L4" s="5" t="s">
        <v>43</v>
      </c>
      <c r="M4" s="5" t="s">
        <v>43</v>
      </c>
      <c r="N4" s="5" t="s">
        <v>43</v>
      </c>
      <c r="O4" s="5" t="s">
        <v>43</v>
      </c>
      <c r="P4" s="13" t="s">
        <v>43</v>
      </c>
      <c r="Q4" s="5" t="s">
        <v>42</v>
      </c>
    </row>
    <row r="5" spans="1:17" x14ac:dyDescent="0.3">
      <c r="A5" s="17" t="s">
        <v>44</v>
      </c>
      <c r="B5" s="8"/>
      <c r="C5" s="8"/>
      <c r="D5" s="7">
        <v>6000</v>
      </c>
      <c r="E5" s="7">
        <v>5</v>
      </c>
      <c r="F5" s="7">
        <v>1</v>
      </c>
      <c r="G5" s="17" t="s">
        <v>45</v>
      </c>
      <c r="H5" s="7"/>
      <c r="I5" s="76" t="b">
        <v>0</v>
      </c>
      <c r="J5" s="14" t="b">
        <v>0</v>
      </c>
      <c r="K5" s="14" t="b">
        <v>0</v>
      </c>
      <c r="L5" s="7" t="s">
        <v>46</v>
      </c>
      <c r="M5" s="7"/>
      <c r="N5" s="7"/>
      <c r="O5" s="7"/>
      <c r="P5" s="15" t="b">
        <v>0</v>
      </c>
      <c r="Q5" s="14" t="b">
        <v>0</v>
      </c>
    </row>
    <row r="6" spans="1:17" x14ac:dyDescent="0.3">
      <c r="A6" s="17" t="s">
        <v>47</v>
      </c>
      <c r="B6" s="8"/>
      <c r="C6" s="8"/>
      <c r="D6" s="7">
        <v>5000</v>
      </c>
      <c r="E6" s="7">
        <v>5</v>
      </c>
      <c r="F6" s="7">
        <v>1</v>
      </c>
      <c r="G6" s="17" t="s">
        <v>48</v>
      </c>
      <c r="H6" s="7"/>
      <c r="I6" s="76" t="b">
        <v>0</v>
      </c>
      <c r="J6" s="14" t="b">
        <v>0</v>
      </c>
      <c r="K6" s="14" t="b">
        <v>0</v>
      </c>
      <c r="L6" s="7" t="s">
        <v>46</v>
      </c>
      <c r="M6" s="7"/>
      <c r="N6" s="7"/>
      <c r="O6" s="7"/>
      <c r="P6" s="15" t="b">
        <v>0</v>
      </c>
      <c r="Q6" s="14" t="b">
        <v>0</v>
      </c>
    </row>
    <row r="7" spans="1:17" x14ac:dyDescent="0.3">
      <c r="A7" s="17" t="s">
        <v>49</v>
      </c>
      <c r="B7" s="8"/>
      <c r="C7" s="8"/>
      <c r="D7" s="7">
        <v>5000</v>
      </c>
      <c r="E7" s="7">
        <v>5</v>
      </c>
      <c r="F7" s="7">
        <v>1</v>
      </c>
      <c r="G7" s="17" t="s">
        <v>50</v>
      </c>
      <c r="H7" s="7"/>
      <c r="I7" s="76" t="b">
        <v>0</v>
      </c>
      <c r="J7" s="14" t="b">
        <v>0</v>
      </c>
      <c r="K7" s="14" t="b">
        <v>0</v>
      </c>
      <c r="L7" s="7" t="s">
        <v>51</v>
      </c>
      <c r="M7" s="7" t="s">
        <v>52</v>
      </c>
      <c r="N7" s="7" t="s">
        <v>53</v>
      </c>
      <c r="O7" s="7"/>
      <c r="P7" s="15" t="b">
        <v>0</v>
      </c>
      <c r="Q7" s="14" t="b">
        <v>0</v>
      </c>
    </row>
    <row r="8" spans="1:17" x14ac:dyDescent="0.3">
      <c r="A8" s="17" t="s">
        <v>54</v>
      </c>
      <c r="B8" s="8"/>
      <c r="C8" s="8"/>
      <c r="D8" s="7">
        <v>10000</v>
      </c>
      <c r="E8" s="7">
        <v>0</v>
      </c>
      <c r="F8" s="7">
        <v>0</v>
      </c>
      <c r="G8" s="17"/>
      <c r="H8" s="7"/>
      <c r="I8" s="76" t="b">
        <v>0</v>
      </c>
      <c r="J8" s="14" t="b">
        <v>0</v>
      </c>
      <c r="K8" s="14" t="b">
        <v>0</v>
      </c>
      <c r="L8" s="7" t="s">
        <v>55</v>
      </c>
      <c r="M8" s="7" t="s">
        <v>56</v>
      </c>
      <c r="N8" s="7" t="s">
        <v>57</v>
      </c>
      <c r="O8" s="7"/>
      <c r="P8" s="15" t="b">
        <v>0</v>
      </c>
      <c r="Q8" s="14" t="b">
        <v>0</v>
      </c>
    </row>
    <row r="9" spans="1:17" x14ac:dyDescent="0.3">
      <c r="A9" s="17" t="s">
        <v>58</v>
      </c>
      <c r="B9" s="8"/>
      <c r="C9" s="8"/>
      <c r="D9" s="7">
        <v>5000</v>
      </c>
      <c r="E9" s="7">
        <v>0</v>
      </c>
      <c r="F9" s="7">
        <v>0</v>
      </c>
      <c r="G9" s="17" t="s">
        <v>59</v>
      </c>
      <c r="H9" s="7"/>
      <c r="I9" s="76" t="b">
        <v>0</v>
      </c>
      <c r="J9" s="14" t="b">
        <v>0</v>
      </c>
      <c r="K9" s="85" t="b">
        <v>1</v>
      </c>
      <c r="L9" s="7" t="s">
        <v>60</v>
      </c>
      <c r="M9" s="7"/>
      <c r="N9" s="7"/>
      <c r="O9" s="7"/>
      <c r="P9" s="15" t="b">
        <v>0</v>
      </c>
      <c r="Q9" s="14" t="b">
        <v>0</v>
      </c>
    </row>
    <row r="10" spans="1:17" x14ac:dyDescent="0.3">
      <c r="A10" s="17" t="s">
        <v>61</v>
      </c>
      <c r="B10" s="8"/>
      <c r="C10" s="8"/>
      <c r="D10" s="7">
        <v>0</v>
      </c>
      <c r="E10" s="7">
        <v>0</v>
      </c>
      <c r="F10" s="7">
        <v>0</v>
      </c>
      <c r="G10" s="17" t="s">
        <v>62</v>
      </c>
      <c r="H10" s="7"/>
      <c r="I10" s="76" t="b">
        <v>0</v>
      </c>
      <c r="J10" s="14" t="b">
        <v>0</v>
      </c>
      <c r="K10" s="85" t="b">
        <v>1</v>
      </c>
      <c r="L10" s="7" t="s">
        <v>63</v>
      </c>
      <c r="M10" s="7" t="s">
        <v>56</v>
      </c>
      <c r="N10" s="7" t="s">
        <v>64</v>
      </c>
      <c r="O10" s="7"/>
      <c r="P10" s="15" t="b">
        <v>0</v>
      </c>
      <c r="Q10" s="14" t="b">
        <v>0</v>
      </c>
    </row>
    <row r="11" spans="1:17" x14ac:dyDescent="0.3">
      <c r="A11" s="17" t="s">
        <v>65</v>
      </c>
      <c r="B11" s="8"/>
      <c r="C11" s="8"/>
      <c r="D11" s="7">
        <v>2000</v>
      </c>
      <c r="E11" s="7">
        <v>0</v>
      </c>
      <c r="F11" s="7">
        <v>0</v>
      </c>
      <c r="G11" s="17" t="s">
        <v>66</v>
      </c>
      <c r="H11" s="7"/>
      <c r="I11" s="76" t="b">
        <v>0</v>
      </c>
      <c r="J11" s="14" t="b">
        <v>0</v>
      </c>
      <c r="K11" s="14" t="b">
        <v>0</v>
      </c>
      <c r="L11" s="7" t="s">
        <v>67</v>
      </c>
      <c r="M11" s="7" t="s">
        <v>68</v>
      </c>
      <c r="N11" s="7" t="s">
        <v>69</v>
      </c>
      <c r="O11" s="7" t="s">
        <v>1323</v>
      </c>
      <c r="P11" s="15" t="b">
        <v>0</v>
      </c>
      <c r="Q11" s="14" t="b">
        <v>0</v>
      </c>
    </row>
    <row r="12" spans="1:17" x14ac:dyDescent="0.3">
      <c r="A12" s="17" t="s">
        <v>70</v>
      </c>
      <c r="B12" s="8"/>
      <c r="C12" s="8"/>
      <c r="D12" s="7">
        <v>300</v>
      </c>
      <c r="E12" s="7">
        <v>0</v>
      </c>
      <c r="F12" s="7">
        <v>0</v>
      </c>
      <c r="G12" s="17" t="s">
        <v>71</v>
      </c>
      <c r="H12" s="7"/>
      <c r="I12" s="76" t="b">
        <v>0</v>
      </c>
      <c r="J12" s="14" t="b">
        <v>0</v>
      </c>
      <c r="K12" s="85" t="b">
        <v>0</v>
      </c>
      <c r="L12" s="7"/>
      <c r="M12" s="7"/>
      <c r="N12" s="7" t="s">
        <v>72</v>
      </c>
      <c r="O12" s="7"/>
      <c r="P12" s="15" t="b">
        <v>0</v>
      </c>
      <c r="Q12" s="14" t="b">
        <v>0</v>
      </c>
    </row>
    <row r="13" spans="1:17" x14ac:dyDescent="0.3">
      <c r="A13" s="17" t="s">
        <v>73</v>
      </c>
      <c r="B13" s="8"/>
      <c r="C13" s="8"/>
      <c r="D13" s="7">
        <v>500</v>
      </c>
      <c r="E13" s="7">
        <v>0</v>
      </c>
      <c r="F13" s="7">
        <v>0</v>
      </c>
      <c r="G13" s="17" t="s">
        <v>71</v>
      </c>
      <c r="H13" s="7"/>
      <c r="I13" s="76" t="b">
        <v>0</v>
      </c>
      <c r="J13" s="14" t="b">
        <v>0</v>
      </c>
      <c r="K13" s="85" t="b">
        <v>0</v>
      </c>
      <c r="L13" s="7"/>
      <c r="M13" s="7"/>
      <c r="N13" s="7" t="s">
        <v>72</v>
      </c>
      <c r="O13" s="7"/>
      <c r="P13" s="15" t="b">
        <v>0</v>
      </c>
      <c r="Q13" s="14" t="b">
        <v>0</v>
      </c>
    </row>
    <row r="14" spans="1:17" x14ac:dyDescent="0.3">
      <c r="A14" s="17" t="s">
        <v>74</v>
      </c>
      <c r="B14" s="8"/>
      <c r="C14" s="8"/>
      <c r="D14" s="7">
        <v>700</v>
      </c>
      <c r="E14" s="7">
        <v>0</v>
      </c>
      <c r="F14" s="7">
        <v>0</v>
      </c>
      <c r="G14" s="17" t="s">
        <v>71</v>
      </c>
      <c r="H14" s="7"/>
      <c r="I14" s="76" t="b">
        <v>0</v>
      </c>
      <c r="J14" s="14" t="b">
        <v>0</v>
      </c>
      <c r="K14" s="85" t="b">
        <v>0</v>
      </c>
      <c r="L14" s="7"/>
      <c r="M14" s="7"/>
      <c r="N14" s="7" t="s">
        <v>72</v>
      </c>
      <c r="O14" s="7"/>
      <c r="P14" s="15" t="b">
        <v>0</v>
      </c>
      <c r="Q14" s="14" t="b">
        <v>0</v>
      </c>
    </row>
    <row r="15" spans="1:17" x14ac:dyDescent="0.3">
      <c r="A15" s="17" t="s">
        <v>75</v>
      </c>
      <c r="B15" s="8"/>
      <c r="C15" s="8"/>
      <c r="D15" s="7">
        <v>3000</v>
      </c>
      <c r="E15" s="7">
        <v>0</v>
      </c>
      <c r="F15" s="7">
        <v>0</v>
      </c>
      <c r="G15" s="17" t="s">
        <v>76</v>
      </c>
      <c r="H15" s="7"/>
      <c r="I15" s="76" t="b">
        <v>0</v>
      </c>
      <c r="J15" s="14" t="b">
        <v>0</v>
      </c>
      <c r="K15" s="85" t="b">
        <v>1</v>
      </c>
      <c r="L15" s="7" t="s">
        <v>77</v>
      </c>
      <c r="M15" s="7"/>
      <c r="N15" s="7"/>
      <c r="O15" s="7"/>
      <c r="P15" s="15" t="b">
        <v>0</v>
      </c>
      <c r="Q15" s="14" t="b">
        <v>0</v>
      </c>
    </row>
    <row r="16" spans="1:17" x14ac:dyDescent="0.3">
      <c r="A16" s="17" t="s">
        <v>78</v>
      </c>
      <c r="B16" s="8"/>
      <c r="C16" s="8"/>
      <c r="D16" s="7">
        <v>5000</v>
      </c>
      <c r="E16" s="7">
        <v>0</v>
      </c>
      <c r="F16" s="7">
        <v>0</v>
      </c>
      <c r="G16" s="17" t="s">
        <v>79</v>
      </c>
      <c r="H16" s="7"/>
      <c r="I16" s="76" t="b">
        <v>0</v>
      </c>
      <c r="J16" s="14" t="b">
        <v>0</v>
      </c>
      <c r="K16" s="85" t="b">
        <v>1</v>
      </c>
      <c r="L16" s="7" t="s">
        <v>63</v>
      </c>
      <c r="M16" s="7" t="s">
        <v>80</v>
      </c>
      <c r="N16" s="7" t="s">
        <v>81</v>
      </c>
      <c r="O16" s="7"/>
      <c r="P16" s="15" t="b">
        <v>0</v>
      </c>
      <c r="Q16" s="14" t="b">
        <v>0</v>
      </c>
    </row>
    <row r="17" spans="1:17" x14ac:dyDescent="0.3">
      <c r="A17" s="17" t="s">
        <v>82</v>
      </c>
      <c r="B17" s="8"/>
      <c r="C17" s="8"/>
      <c r="D17" s="7">
        <v>10000</v>
      </c>
      <c r="E17" s="7">
        <v>0</v>
      </c>
      <c r="F17" s="7">
        <v>0</v>
      </c>
      <c r="G17" s="17" t="s">
        <v>83</v>
      </c>
      <c r="H17" s="7"/>
      <c r="I17" s="76" t="b">
        <v>0</v>
      </c>
      <c r="J17" s="14" t="b">
        <v>0</v>
      </c>
      <c r="K17" s="85" t="b">
        <v>1</v>
      </c>
      <c r="L17" s="7" t="s">
        <v>63</v>
      </c>
      <c r="M17" s="7" t="s">
        <v>84</v>
      </c>
      <c r="N17" s="7" t="s">
        <v>85</v>
      </c>
      <c r="O17" s="7"/>
      <c r="P17" s="15" t="b">
        <v>0</v>
      </c>
      <c r="Q17" s="14" t="b">
        <v>0</v>
      </c>
    </row>
    <row r="18" spans="1:17" ht="41.25" customHeight="1" x14ac:dyDescent="0.3">
      <c r="A18" s="83" t="s">
        <v>86</v>
      </c>
      <c r="B18" s="7"/>
      <c r="C18" s="7"/>
      <c r="D18" s="64">
        <v>15000</v>
      </c>
      <c r="E18" s="64">
        <v>0</v>
      </c>
      <c r="F18" s="64">
        <v>0</v>
      </c>
      <c r="G18" s="84" t="s">
        <v>87</v>
      </c>
      <c r="H18" s="64"/>
      <c r="I18" s="76" t="b">
        <v>0</v>
      </c>
      <c r="J18" s="14" t="b">
        <v>0</v>
      </c>
      <c r="K18" s="14" t="b">
        <v>0</v>
      </c>
      <c r="L18" s="64" t="s">
        <v>46</v>
      </c>
      <c r="M18" s="64"/>
      <c r="N18" s="64"/>
      <c r="O18" s="7"/>
      <c r="P18" s="15" t="b">
        <v>0</v>
      </c>
      <c r="Q18" s="14" t="b">
        <v>0</v>
      </c>
    </row>
    <row r="19" spans="1:17" x14ac:dyDescent="0.3">
      <c r="A19" s="83" t="s">
        <v>88</v>
      </c>
      <c r="B19" s="7"/>
      <c r="C19" s="7"/>
      <c r="D19" s="64">
        <v>60000</v>
      </c>
      <c r="E19" s="64">
        <v>0</v>
      </c>
      <c r="F19" s="64">
        <v>0</v>
      </c>
      <c r="G19" s="83" t="s">
        <v>89</v>
      </c>
      <c r="H19" s="64"/>
      <c r="I19" s="76" t="b">
        <v>0</v>
      </c>
      <c r="J19" s="14" t="b">
        <v>0</v>
      </c>
      <c r="K19" s="85" t="b">
        <v>1</v>
      </c>
      <c r="L19" s="64" t="s">
        <v>90</v>
      </c>
      <c r="M19" s="64"/>
      <c r="N19" s="64"/>
      <c r="O19" s="7"/>
      <c r="P19" s="15" t="b">
        <v>0</v>
      </c>
      <c r="Q19" s="14" t="b">
        <v>0</v>
      </c>
    </row>
    <row r="20" spans="1:17" x14ac:dyDescent="0.3">
      <c r="A20" s="83" t="s">
        <v>91</v>
      </c>
      <c r="B20" s="7"/>
      <c r="C20" s="7"/>
      <c r="D20" s="64">
        <v>60000</v>
      </c>
      <c r="E20" s="64">
        <v>0</v>
      </c>
      <c r="F20" s="64">
        <v>0</v>
      </c>
      <c r="G20" s="83" t="s">
        <v>92</v>
      </c>
      <c r="H20" s="64"/>
      <c r="I20" s="76" t="b">
        <v>0</v>
      </c>
      <c r="J20" s="14" t="b">
        <v>0</v>
      </c>
      <c r="K20" s="85" t="b">
        <v>1</v>
      </c>
      <c r="L20" s="64" t="s">
        <v>93</v>
      </c>
      <c r="M20" s="64"/>
      <c r="N20" s="64"/>
      <c r="O20" s="7"/>
      <c r="P20" s="15" t="b">
        <v>0</v>
      </c>
      <c r="Q20" s="14" t="b">
        <v>0</v>
      </c>
    </row>
    <row r="21" spans="1:17" ht="27.75" customHeight="1" x14ac:dyDescent="0.3">
      <c r="A21" s="83" t="s">
        <v>94</v>
      </c>
      <c r="B21" s="7"/>
      <c r="C21" s="7"/>
      <c r="D21" s="64">
        <v>0</v>
      </c>
      <c r="E21" s="64">
        <v>0</v>
      </c>
      <c r="F21" s="64">
        <v>0</v>
      </c>
      <c r="G21" s="84" t="s">
        <v>95</v>
      </c>
      <c r="H21" s="64"/>
      <c r="I21" s="76" t="b">
        <v>0</v>
      </c>
      <c r="J21" s="14" t="b">
        <v>0</v>
      </c>
      <c r="K21" s="85" t="b">
        <v>1</v>
      </c>
      <c r="L21" s="64"/>
      <c r="M21" s="64"/>
      <c r="N21" s="64"/>
      <c r="O21" s="7"/>
      <c r="P21" s="15" t="b">
        <v>0</v>
      </c>
      <c r="Q21" s="14" t="b">
        <v>0</v>
      </c>
    </row>
    <row r="22" spans="1:17" x14ac:dyDescent="0.3">
      <c r="A22" s="83" t="s">
        <v>96</v>
      </c>
      <c r="B22" s="7"/>
      <c r="C22" s="7"/>
      <c r="D22" s="64">
        <v>0</v>
      </c>
      <c r="E22" s="64">
        <v>0</v>
      </c>
      <c r="F22" s="64">
        <v>0</v>
      </c>
      <c r="G22" s="84" t="s">
        <v>97</v>
      </c>
      <c r="H22" s="64"/>
      <c r="I22" s="76" t="b">
        <v>0</v>
      </c>
      <c r="J22" s="14" t="b">
        <v>0</v>
      </c>
      <c r="K22" s="85" t="b">
        <v>1</v>
      </c>
      <c r="L22" s="64"/>
      <c r="M22" s="64"/>
      <c r="N22" s="64"/>
      <c r="O22" s="7"/>
      <c r="P22" s="15" t="b">
        <v>0</v>
      </c>
      <c r="Q22" s="14" t="b">
        <v>0</v>
      </c>
    </row>
    <row r="23" spans="1:17" x14ac:dyDescent="0.3">
      <c r="A23" s="83" t="s">
        <v>98</v>
      </c>
      <c r="B23" s="7"/>
      <c r="C23" s="7"/>
      <c r="D23" s="64">
        <v>3000</v>
      </c>
      <c r="E23" s="64">
        <v>0</v>
      </c>
      <c r="F23" s="64">
        <v>0</v>
      </c>
      <c r="G23" s="84" t="s">
        <v>66</v>
      </c>
      <c r="H23" s="64"/>
      <c r="I23" s="76" t="b">
        <v>0</v>
      </c>
      <c r="J23" s="14" t="b">
        <v>0</v>
      </c>
      <c r="K23" s="14" t="b">
        <v>0</v>
      </c>
      <c r="L23" s="64" t="s">
        <v>67</v>
      </c>
      <c r="M23" s="64"/>
      <c r="N23" s="64"/>
      <c r="O23" s="7"/>
      <c r="P23" s="15" t="b">
        <v>0</v>
      </c>
      <c r="Q23" s="14" t="b">
        <v>0</v>
      </c>
    </row>
    <row r="24" spans="1:17" ht="27.75" customHeight="1" x14ac:dyDescent="0.3">
      <c r="A24" s="83" t="s">
        <v>99</v>
      </c>
      <c r="B24" s="7"/>
      <c r="C24" s="7"/>
      <c r="D24" s="64">
        <v>10000</v>
      </c>
      <c r="E24" s="64">
        <v>0</v>
      </c>
      <c r="F24" s="64">
        <v>0</v>
      </c>
      <c r="G24" s="84" t="s">
        <v>100</v>
      </c>
      <c r="H24" s="64"/>
      <c r="I24" s="76" t="b">
        <v>0</v>
      </c>
      <c r="J24" s="14" t="b">
        <v>0</v>
      </c>
      <c r="K24" s="85" t="b">
        <v>1</v>
      </c>
      <c r="L24" s="64"/>
      <c r="M24" s="64"/>
      <c r="N24" s="64"/>
      <c r="O24" s="7"/>
      <c r="P24" s="15" t="b">
        <v>0</v>
      </c>
      <c r="Q24" s="14" t="b">
        <v>0</v>
      </c>
    </row>
    <row r="25" spans="1:17" x14ac:dyDescent="0.3">
      <c r="A25" s="86" t="s">
        <v>101</v>
      </c>
      <c r="B25" s="10"/>
      <c r="C25" s="10"/>
      <c r="D25" s="87">
        <v>14000</v>
      </c>
      <c r="E25" s="87">
        <v>0</v>
      </c>
      <c r="F25" s="87">
        <v>0</v>
      </c>
      <c r="G25" s="88" t="s">
        <v>102</v>
      </c>
      <c r="H25" s="64"/>
      <c r="I25" s="76" t="b">
        <v>0</v>
      </c>
      <c r="J25" s="14" t="b">
        <v>0</v>
      </c>
      <c r="K25" s="14" t="b">
        <v>0</v>
      </c>
      <c r="L25" s="64" t="s">
        <v>55</v>
      </c>
      <c r="M25" s="64" t="s">
        <v>56</v>
      </c>
      <c r="N25" s="64" t="s">
        <v>57</v>
      </c>
      <c r="O25" s="7"/>
      <c r="P25" s="15" t="b">
        <v>0</v>
      </c>
      <c r="Q25" s="14" t="b">
        <v>0</v>
      </c>
    </row>
    <row r="26" spans="1:17" x14ac:dyDescent="0.3">
      <c r="A26" s="86" t="s">
        <v>103</v>
      </c>
      <c r="B26" s="10"/>
      <c r="C26" s="10"/>
      <c r="D26" s="87">
        <v>16000</v>
      </c>
      <c r="E26" s="87">
        <v>0</v>
      </c>
      <c r="F26" s="87">
        <v>0</v>
      </c>
      <c r="G26" s="88" t="s">
        <v>104</v>
      </c>
      <c r="H26" s="64"/>
      <c r="I26" s="76" t="b">
        <v>0</v>
      </c>
      <c r="J26" s="14" t="b">
        <v>0</v>
      </c>
      <c r="K26" s="14" t="b">
        <v>0</v>
      </c>
      <c r="L26" s="64" t="s">
        <v>55</v>
      </c>
      <c r="M26" s="64" t="s">
        <v>56</v>
      </c>
      <c r="N26" s="64" t="s">
        <v>57</v>
      </c>
      <c r="O26" s="7"/>
      <c r="P26" s="15" t="b">
        <v>0</v>
      </c>
      <c r="Q26" s="14" t="b">
        <v>0</v>
      </c>
    </row>
    <row r="27" spans="1:17" x14ac:dyDescent="0.3">
      <c r="A27" s="86" t="s">
        <v>105</v>
      </c>
      <c r="B27" s="10"/>
      <c r="C27" s="10"/>
      <c r="D27" s="87">
        <v>18000</v>
      </c>
      <c r="E27" s="87">
        <v>0</v>
      </c>
      <c r="F27" s="87">
        <v>0</v>
      </c>
      <c r="G27" s="88" t="s">
        <v>106</v>
      </c>
      <c r="H27" s="64"/>
      <c r="I27" s="76" t="b">
        <v>0</v>
      </c>
      <c r="J27" s="14" t="b">
        <v>0</v>
      </c>
      <c r="K27" s="14" t="b">
        <v>0</v>
      </c>
      <c r="L27" s="64" t="s">
        <v>55</v>
      </c>
      <c r="M27" s="64" t="s">
        <v>56</v>
      </c>
      <c r="N27" s="64" t="s">
        <v>57</v>
      </c>
      <c r="O27" s="7"/>
      <c r="P27" s="15" t="b">
        <v>0</v>
      </c>
      <c r="Q27" s="14" t="b">
        <v>0</v>
      </c>
    </row>
    <row r="28" spans="1:17" x14ac:dyDescent="0.3">
      <c r="A28" s="86" t="s">
        <v>107</v>
      </c>
      <c r="B28" s="10"/>
      <c r="C28" s="10"/>
      <c r="D28" s="87">
        <v>10000</v>
      </c>
      <c r="E28" s="87">
        <v>0</v>
      </c>
      <c r="F28" s="87">
        <v>0</v>
      </c>
      <c r="G28" s="88" t="s">
        <v>108</v>
      </c>
      <c r="H28" s="64"/>
      <c r="I28" s="76" t="b">
        <v>0</v>
      </c>
      <c r="J28" s="14" t="b">
        <v>0</v>
      </c>
      <c r="K28" s="85" t="b">
        <v>1</v>
      </c>
      <c r="L28" s="64" t="s">
        <v>63</v>
      </c>
      <c r="M28" s="64" t="s">
        <v>109</v>
      </c>
      <c r="N28" s="64" t="s">
        <v>110</v>
      </c>
      <c r="O28" s="7"/>
      <c r="P28" s="15" t="b">
        <v>0</v>
      </c>
      <c r="Q28" s="14" t="b">
        <v>0</v>
      </c>
    </row>
    <row r="29" spans="1:17" x14ac:dyDescent="0.3">
      <c r="A29" s="86" t="s">
        <v>111</v>
      </c>
      <c r="B29" s="10"/>
      <c r="C29" s="10"/>
      <c r="D29" s="87">
        <v>11000</v>
      </c>
      <c r="E29" s="87">
        <v>0</v>
      </c>
      <c r="F29" s="87">
        <v>0</v>
      </c>
      <c r="G29" s="88" t="s">
        <v>112</v>
      </c>
      <c r="H29" s="64"/>
      <c r="I29" s="76" t="b">
        <v>0</v>
      </c>
      <c r="J29" s="14" t="b">
        <v>0</v>
      </c>
      <c r="K29" s="85" t="b">
        <v>1</v>
      </c>
      <c r="L29" s="64" t="s">
        <v>63</v>
      </c>
      <c r="M29" s="64" t="s">
        <v>109</v>
      </c>
      <c r="N29" s="64" t="s">
        <v>110</v>
      </c>
      <c r="O29" s="7"/>
      <c r="P29" s="15" t="b">
        <v>0</v>
      </c>
      <c r="Q29" s="14" t="b">
        <v>0</v>
      </c>
    </row>
    <row r="30" spans="1:17" x14ac:dyDescent="0.3">
      <c r="A30" s="86" t="s">
        <v>113</v>
      </c>
      <c r="B30" s="10"/>
      <c r="C30" s="10"/>
      <c r="D30" s="87">
        <v>12000</v>
      </c>
      <c r="E30" s="87">
        <v>0</v>
      </c>
      <c r="F30" s="87">
        <v>0</v>
      </c>
      <c r="G30" s="88" t="s">
        <v>114</v>
      </c>
      <c r="H30" s="64"/>
      <c r="I30" s="76" t="b">
        <v>0</v>
      </c>
      <c r="J30" s="14" t="b">
        <v>0</v>
      </c>
      <c r="K30" s="85" t="b">
        <v>1</v>
      </c>
      <c r="L30" s="64" t="s">
        <v>63</v>
      </c>
      <c r="M30" s="64" t="s">
        <v>109</v>
      </c>
      <c r="N30" s="64" t="s">
        <v>110</v>
      </c>
      <c r="O30" s="7"/>
      <c r="P30" s="15" t="b">
        <v>0</v>
      </c>
      <c r="Q30" s="14" t="b">
        <v>0</v>
      </c>
    </row>
    <row r="31" spans="1:17" x14ac:dyDescent="0.3">
      <c r="A31" s="86" t="s">
        <v>115</v>
      </c>
      <c r="B31" s="10"/>
      <c r="C31" s="10"/>
      <c r="D31" s="87">
        <v>13000</v>
      </c>
      <c r="E31" s="87">
        <v>0</v>
      </c>
      <c r="F31" s="87">
        <v>0</v>
      </c>
      <c r="G31" s="88" t="s">
        <v>116</v>
      </c>
      <c r="H31" s="64"/>
      <c r="I31" s="76" t="b">
        <v>0</v>
      </c>
      <c r="J31" s="14" t="b">
        <v>0</v>
      </c>
      <c r="K31" s="85" t="b">
        <v>1</v>
      </c>
      <c r="L31" s="64" t="s">
        <v>63</v>
      </c>
      <c r="M31" s="64" t="s">
        <v>109</v>
      </c>
      <c r="N31" s="64" t="s">
        <v>110</v>
      </c>
      <c r="O31" s="7"/>
      <c r="P31" s="15" t="b">
        <v>0</v>
      </c>
      <c r="Q31" s="14" t="b">
        <v>0</v>
      </c>
    </row>
    <row r="32" spans="1:17" x14ac:dyDescent="0.3">
      <c r="A32" s="86" t="s">
        <v>117</v>
      </c>
      <c r="B32" s="10"/>
      <c r="C32" s="10"/>
      <c r="D32" s="87">
        <v>14000</v>
      </c>
      <c r="E32" s="87">
        <v>0</v>
      </c>
      <c r="F32" s="87">
        <v>0</v>
      </c>
      <c r="G32" s="88" t="s">
        <v>118</v>
      </c>
      <c r="H32" s="64"/>
      <c r="I32" s="76" t="b">
        <v>0</v>
      </c>
      <c r="J32" s="14" t="b">
        <v>0</v>
      </c>
      <c r="K32" s="85" t="b">
        <v>1</v>
      </c>
      <c r="L32" s="64" t="s">
        <v>63</v>
      </c>
      <c r="M32" s="64" t="s">
        <v>109</v>
      </c>
      <c r="N32" s="64" t="s">
        <v>110</v>
      </c>
      <c r="O32" s="7"/>
      <c r="P32" s="15" t="b">
        <v>0</v>
      </c>
      <c r="Q32" s="14" t="b">
        <v>0</v>
      </c>
    </row>
    <row r="33" spans="1:17" x14ac:dyDescent="0.3">
      <c r="A33" s="86" t="s">
        <v>119</v>
      </c>
      <c r="B33" s="10"/>
      <c r="C33" s="10"/>
      <c r="D33" s="87">
        <v>15000</v>
      </c>
      <c r="E33" s="87">
        <v>0</v>
      </c>
      <c r="F33" s="87">
        <v>0</v>
      </c>
      <c r="G33" s="88" t="s">
        <v>120</v>
      </c>
      <c r="H33" s="64"/>
      <c r="I33" s="76" t="b">
        <v>0</v>
      </c>
      <c r="J33" s="14" t="b">
        <v>0</v>
      </c>
      <c r="K33" s="85" t="b">
        <v>1</v>
      </c>
      <c r="L33" s="64" t="s">
        <v>63</v>
      </c>
      <c r="M33" s="64" t="s">
        <v>109</v>
      </c>
      <c r="N33" s="64" t="s">
        <v>110</v>
      </c>
      <c r="O33" s="7"/>
      <c r="P33" s="15" t="b">
        <v>0</v>
      </c>
      <c r="Q33" s="14" t="b">
        <v>0</v>
      </c>
    </row>
    <row r="34" spans="1:17" x14ac:dyDescent="0.3">
      <c r="A34" s="86" t="s">
        <v>121</v>
      </c>
      <c r="B34" s="10"/>
      <c r="C34" s="10"/>
      <c r="D34" s="87">
        <v>16000</v>
      </c>
      <c r="E34" s="87">
        <v>0</v>
      </c>
      <c r="F34" s="87">
        <v>0</v>
      </c>
      <c r="G34" s="88" t="s">
        <v>122</v>
      </c>
      <c r="H34" s="64"/>
      <c r="I34" s="76" t="b">
        <v>0</v>
      </c>
      <c r="J34" s="14" t="b">
        <v>0</v>
      </c>
      <c r="K34" s="85" t="b">
        <v>1</v>
      </c>
      <c r="L34" s="64" t="s">
        <v>63</v>
      </c>
      <c r="M34" s="64" t="s">
        <v>109</v>
      </c>
      <c r="N34" s="64" t="s">
        <v>110</v>
      </c>
      <c r="O34" s="7"/>
      <c r="P34" s="15" t="b">
        <v>0</v>
      </c>
      <c r="Q34" s="14" t="b">
        <v>0</v>
      </c>
    </row>
    <row r="35" spans="1:17" x14ac:dyDescent="0.3">
      <c r="A35" s="86" t="s">
        <v>123</v>
      </c>
      <c r="B35" s="10"/>
      <c r="C35" s="10"/>
      <c r="D35" s="87">
        <v>10000</v>
      </c>
      <c r="E35" s="87">
        <v>0</v>
      </c>
      <c r="F35" s="87">
        <v>0</v>
      </c>
      <c r="G35" s="88" t="s">
        <v>124</v>
      </c>
      <c r="H35" s="64"/>
      <c r="I35" s="76" t="b">
        <v>0</v>
      </c>
      <c r="J35" s="14" t="b">
        <v>0</v>
      </c>
      <c r="K35" s="85" t="b">
        <v>1</v>
      </c>
      <c r="L35" s="64" t="s">
        <v>63</v>
      </c>
      <c r="M35" s="64" t="s">
        <v>84</v>
      </c>
      <c r="N35" s="64" t="s">
        <v>85</v>
      </c>
      <c r="O35" s="7"/>
      <c r="P35" s="15" t="b">
        <v>0</v>
      </c>
      <c r="Q35" s="14" t="b">
        <v>0</v>
      </c>
    </row>
    <row r="36" spans="1:17" x14ac:dyDescent="0.3">
      <c r="A36" s="86" t="s">
        <v>125</v>
      </c>
      <c r="B36" s="10"/>
      <c r="C36" s="10"/>
      <c r="D36" s="87">
        <v>11000</v>
      </c>
      <c r="E36" s="87">
        <v>0</v>
      </c>
      <c r="F36" s="87">
        <v>0</v>
      </c>
      <c r="G36" s="88" t="s">
        <v>126</v>
      </c>
      <c r="H36" s="64"/>
      <c r="I36" s="76" t="b">
        <v>0</v>
      </c>
      <c r="J36" s="14" t="b">
        <v>0</v>
      </c>
      <c r="K36" s="85" t="b">
        <v>1</v>
      </c>
      <c r="L36" s="64" t="s">
        <v>63</v>
      </c>
      <c r="M36" s="64" t="s">
        <v>84</v>
      </c>
      <c r="N36" s="64" t="s">
        <v>85</v>
      </c>
      <c r="O36" s="7"/>
      <c r="P36" s="15" t="b">
        <v>0</v>
      </c>
      <c r="Q36" s="14" t="b">
        <v>0</v>
      </c>
    </row>
    <row r="37" spans="1:17" x14ac:dyDescent="0.3">
      <c r="A37" s="86" t="s">
        <v>127</v>
      </c>
      <c r="B37" s="10"/>
      <c r="C37" s="10"/>
      <c r="D37" s="87">
        <v>12000</v>
      </c>
      <c r="E37" s="87">
        <v>0</v>
      </c>
      <c r="F37" s="87">
        <v>0</v>
      </c>
      <c r="G37" s="88" t="s">
        <v>128</v>
      </c>
      <c r="H37" s="64"/>
      <c r="I37" s="76" t="b">
        <v>0</v>
      </c>
      <c r="J37" s="14" t="b">
        <v>0</v>
      </c>
      <c r="K37" s="85" t="b">
        <v>1</v>
      </c>
      <c r="L37" s="64" t="s">
        <v>63</v>
      </c>
      <c r="M37" s="64" t="s">
        <v>84</v>
      </c>
      <c r="N37" s="64" t="s">
        <v>85</v>
      </c>
      <c r="O37" s="7"/>
      <c r="P37" s="15" t="b">
        <v>0</v>
      </c>
      <c r="Q37" s="14" t="b">
        <v>0</v>
      </c>
    </row>
    <row r="38" spans="1:17" x14ac:dyDescent="0.3">
      <c r="A38" s="86" t="s">
        <v>129</v>
      </c>
      <c r="B38" s="10"/>
      <c r="C38" s="10"/>
      <c r="D38" s="87">
        <v>13000</v>
      </c>
      <c r="E38" s="87">
        <v>0</v>
      </c>
      <c r="F38" s="87">
        <v>0</v>
      </c>
      <c r="G38" s="88" t="s">
        <v>130</v>
      </c>
      <c r="H38" s="64"/>
      <c r="I38" s="76" t="b">
        <v>0</v>
      </c>
      <c r="J38" s="14" t="b">
        <v>0</v>
      </c>
      <c r="K38" s="85" t="b">
        <v>1</v>
      </c>
      <c r="L38" s="64" t="s">
        <v>63</v>
      </c>
      <c r="M38" s="64" t="s">
        <v>84</v>
      </c>
      <c r="N38" s="64" t="s">
        <v>85</v>
      </c>
      <c r="O38" s="7"/>
      <c r="P38" s="15" t="b">
        <v>0</v>
      </c>
      <c r="Q38" s="14" t="b">
        <v>0</v>
      </c>
    </row>
    <row r="39" spans="1:17" x14ac:dyDescent="0.3">
      <c r="A39" s="86" t="s">
        <v>131</v>
      </c>
      <c r="B39" s="10"/>
      <c r="C39" s="10"/>
      <c r="D39" s="87">
        <v>14000</v>
      </c>
      <c r="E39" s="87">
        <v>0</v>
      </c>
      <c r="F39" s="87">
        <v>0</v>
      </c>
      <c r="G39" s="88" t="s">
        <v>132</v>
      </c>
      <c r="H39" s="64"/>
      <c r="I39" s="76" t="b">
        <v>0</v>
      </c>
      <c r="J39" s="14" t="b">
        <v>0</v>
      </c>
      <c r="K39" s="85" t="b">
        <v>1</v>
      </c>
      <c r="L39" s="64" t="s">
        <v>63</v>
      </c>
      <c r="M39" s="64" t="s">
        <v>84</v>
      </c>
      <c r="N39" s="64" t="s">
        <v>85</v>
      </c>
      <c r="O39" s="7"/>
      <c r="P39" s="15" t="b">
        <v>0</v>
      </c>
      <c r="Q39" s="14" t="b">
        <v>0</v>
      </c>
    </row>
    <row r="40" spans="1:17" x14ac:dyDescent="0.3">
      <c r="A40" s="86" t="s">
        <v>133</v>
      </c>
      <c r="B40" s="10"/>
      <c r="C40" s="10"/>
      <c r="D40" s="87">
        <v>15000</v>
      </c>
      <c r="E40" s="87">
        <v>0</v>
      </c>
      <c r="F40" s="87">
        <v>0</v>
      </c>
      <c r="G40" s="88" t="s">
        <v>134</v>
      </c>
      <c r="H40" s="64"/>
      <c r="I40" s="76" t="b">
        <v>0</v>
      </c>
      <c r="J40" s="14" t="b">
        <v>0</v>
      </c>
      <c r="K40" s="85" t="b">
        <v>1</v>
      </c>
      <c r="L40" s="64" t="s">
        <v>63</v>
      </c>
      <c r="M40" s="64" t="s">
        <v>84</v>
      </c>
      <c r="N40" s="64" t="s">
        <v>85</v>
      </c>
      <c r="O40" s="7"/>
      <c r="P40" s="15" t="b">
        <v>0</v>
      </c>
      <c r="Q40" s="14" t="b">
        <v>0</v>
      </c>
    </row>
    <row r="41" spans="1:17" x14ac:dyDescent="0.3">
      <c r="A41" s="86" t="s">
        <v>135</v>
      </c>
      <c r="B41" s="10"/>
      <c r="C41" s="10"/>
      <c r="D41" s="87">
        <v>16000</v>
      </c>
      <c r="E41" s="87">
        <v>0</v>
      </c>
      <c r="F41" s="87">
        <v>0</v>
      </c>
      <c r="G41" s="88" t="s">
        <v>136</v>
      </c>
      <c r="H41" s="64"/>
      <c r="I41" s="76" t="b">
        <v>0</v>
      </c>
      <c r="J41" s="14" t="b">
        <v>0</v>
      </c>
      <c r="K41" s="85" t="b">
        <v>1</v>
      </c>
      <c r="L41" s="64" t="s">
        <v>63</v>
      </c>
      <c r="M41" s="64" t="s">
        <v>84</v>
      </c>
      <c r="N41" s="64" t="s">
        <v>85</v>
      </c>
      <c r="O41" s="7"/>
      <c r="P41" s="15" t="b">
        <v>0</v>
      </c>
      <c r="Q41" s="14" t="b">
        <v>0</v>
      </c>
    </row>
    <row r="42" spans="1:17" x14ac:dyDescent="0.3">
      <c r="A42" s="86" t="s">
        <v>137</v>
      </c>
      <c r="B42" s="10"/>
      <c r="C42" s="10"/>
      <c r="D42" s="87">
        <v>0</v>
      </c>
      <c r="E42" s="87">
        <v>0</v>
      </c>
      <c r="F42" s="87">
        <v>0</v>
      </c>
      <c r="G42" s="88" t="s">
        <v>138</v>
      </c>
      <c r="H42" s="64"/>
      <c r="I42" s="76" t="b">
        <v>0</v>
      </c>
      <c r="J42" s="14" t="b">
        <v>0</v>
      </c>
      <c r="K42" s="85" t="b">
        <v>1</v>
      </c>
      <c r="L42" s="64" t="s">
        <v>63</v>
      </c>
      <c r="M42" s="64" t="s">
        <v>139</v>
      </c>
      <c r="N42" s="64" t="s">
        <v>140</v>
      </c>
      <c r="O42" s="7"/>
      <c r="P42" s="15" t="b">
        <v>0</v>
      </c>
      <c r="Q42" s="14" t="b">
        <v>0</v>
      </c>
    </row>
    <row r="43" spans="1:17" x14ac:dyDescent="0.3">
      <c r="A43" s="86" t="s">
        <v>141</v>
      </c>
      <c r="B43" s="10"/>
      <c r="C43" s="10"/>
      <c r="D43" s="87">
        <v>0</v>
      </c>
      <c r="E43" s="87">
        <v>0</v>
      </c>
      <c r="F43" s="87">
        <v>0</v>
      </c>
      <c r="G43" s="88" t="s">
        <v>142</v>
      </c>
      <c r="H43" s="64"/>
      <c r="I43" s="76" t="b">
        <v>0</v>
      </c>
      <c r="J43" s="14" t="b">
        <v>0</v>
      </c>
      <c r="K43" s="85" t="b">
        <v>1</v>
      </c>
      <c r="L43" s="64" t="s">
        <v>63</v>
      </c>
      <c r="M43" s="64" t="s">
        <v>139</v>
      </c>
      <c r="N43" s="64" t="s">
        <v>140</v>
      </c>
      <c r="O43" s="7"/>
      <c r="P43" s="15" t="b">
        <v>0</v>
      </c>
      <c r="Q43" s="14" t="b">
        <v>0</v>
      </c>
    </row>
    <row r="44" spans="1:17" x14ac:dyDescent="0.3">
      <c r="A44" s="86" t="s">
        <v>143</v>
      </c>
      <c r="B44" s="10"/>
      <c r="C44" s="10"/>
      <c r="D44" s="87">
        <v>0</v>
      </c>
      <c r="E44" s="87">
        <v>0</v>
      </c>
      <c r="F44" s="87">
        <v>0</v>
      </c>
      <c r="G44" s="88" t="s">
        <v>144</v>
      </c>
      <c r="H44" s="64"/>
      <c r="I44" s="76" t="b">
        <v>0</v>
      </c>
      <c r="J44" s="14" t="b">
        <v>0</v>
      </c>
      <c r="K44" s="85" t="b">
        <v>1</v>
      </c>
      <c r="L44" s="64" t="s">
        <v>63</v>
      </c>
      <c r="M44" s="64" t="s">
        <v>139</v>
      </c>
      <c r="N44" s="64" t="s">
        <v>140</v>
      </c>
      <c r="O44" s="7"/>
      <c r="P44" s="15" t="b">
        <v>0</v>
      </c>
      <c r="Q44" s="14" t="b">
        <v>0</v>
      </c>
    </row>
    <row r="45" spans="1:17" x14ac:dyDescent="0.3">
      <c r="A45" s="86" t="s">
        <v>145</v>
      </c>
      <c r="B45" s="10"/>
      <c r="C45" s="10"/>
      <c r="D45" s="87">
        <v>0</v>
      </c>
      <c r="E45" s="87">
        <v>0</v>
      </c>
      <c r="F45" s="87">
        <v>0</v>
      </c>
      <c r="G45" s="88" t="s">
        <v>146</v>
      </c>
      <c r="H45" s="64"/>
      <c r="I45" s="76" t="b">
        <v>0</v>
      </c>
      <c r="J45" s="14" t="b">
        <v>0</v>
      </c>
      <c r="K45" s="85" t="b">
        <v>1</v>
      </c>
      <c r="L45" s="64" t="s">
        <v>63</v>
      </c>
      <c r="M45" s="64" t="s">
        <v>139</v>
      </c>
      <c r="N45" s="64" t="s">
        <v>140</v>
      </c>
      <c r="O45" s="7"/>
      <c r="P45" s="15" t="b">
        <v>0</v>
      </c>
      <c r="Q45" s="14" t="b">
        <v>0</v>
      </c>
    </row>
    <row r="46" spans="1:17" x14ac:dyDescent="0.3">
      <c r="A46" s="86" t="s">
        <v>147</v>
      </c>
      <c r="B46" s="10"/>
      <c r="C46" s="10"/>
      <c r="D46" s="87">
        <v>0</v>
      </c>
      <c r="E46" s="87">
        <v>0</v>
      </c>
      <c r="F46" s="87">
        <v>0</v>
      </c>
      <c r="G46" s="88" t="s">
        <v>148</v>
      </c>
      <c r="H46" s="64"/>
      <c r="I46" s="76" t="b">
        <v>0</v>
      </c>
      <c r="J46" s="14" t="b">
        <v>0</v>
      </c>
      <c r="K46" s="85" t="b">
        <v>1</v>
      </c>
      <c r="L46" s="64" t="s">
        <v>63</v>
      </c>
      <c r="M46" s="64" t="s">
        <v>139</v>
      </c>
      <c r="N46" s="64" t="s">
        <v>140</v>
      </c>
      <c r="O46" s="7"/>
      <c r="P46" s="15" t="b">
        <v>0</v>
      </c>
      <c r="Q46" s="14" t="b">
        <v>0</v>
      </c>
    </row>
    <row r="47" spans="1:17" x14ac:dyDescent="0.3">
      <c r="A47" s="86" t="s">
        <v>149</v>
      </c>
      <c r="B47" s="10"/>
      <c r="C47" s="10"/>
      <c r="D47" s="87">
        <v>0</v>
      </c>
      <c r="E47" s="87">
        <v>0</v>
      </c>
      <c r="F47" s="87">
        <v>0</v>
      </c>
      <c r="G47" s="88" t="s">
        <v>150</v>
      </c>
      <c r="H47" s="64"/>
      <c r="I47" s="76" t="b">
        <v>0</v>
      </c>
      <c r="J47" s="14" t="b">
        <v>0</v>
      </c>
      <c r="K47" s="85" t="b">
        <v>1</v>
      </c>
      <c r="L47" s="64" t="s">
        <v>63</v>
      </c>
      <c r="M47" s="64" t="s">
        <v>139</v>
      </c>
      <c r="N47" s="64" t="s">
        <v>140</v>
      </c>
      <c r="O47" s="7"/>
      <c r="P47" s="15" t="b">
        <v>0</v>
      </c>
      <c r="Q47" s="14" t="b">
        <v>0</v>
      </c>
    </row>
    <row r="48" spans="1:17" x14ac:dyDescent="0.3">
      <c r="A48" s="86" t="s">
        <v>151</v>
      </c>
      <c r="B48" s="10"/>
      <c r="C48" s="10"/>
      <c r="D48" s="87">
        <v>0</v>
      </c>
      <c r="E48" s="87">
        <v>0</v>
      </c>
      <c r="F48" s="87">
        <v>0</v>
      </c>
      <c r="G48" s="88" t="s">
        <v>152</v>
      </c>
      <c r="H48" s="64"/>
      <c r="I48" s="76" t="b">
        <v>0</v>
      </c>
      <c r="J48" s="14" t="b">
        <v>0</v>
      </c>
      <c r="K48" s="85" t="b">
        <v>1</v>
      </c>
      <c r="L48" s="64" t="s">
        <v>63</v>
      </c>
      <c r="M48" s="64" t="s">
        <v>139</v>
      </c>
      <c r="N48" s="64" t="s">
        <v>140</v>
      </c>
      <c r="O48" s="7"/>
      <c r="P48" s="15" t="b">
        <v>0</v>
      </c>
      <c r="Q48" s="14" t="b">
        <v>0</v>
      </c>
    </row>
    <row r="49" spans="1:17" x14ac:dyDescent="0.3">
      <c r="A49" s="75" t="s">
        <v>153</v>
      </c>
      <c r="B49" s="21"/>
      <c r="C49" s="21"/>
      <c r="D49" s="76">
        <v>6000</v>
      </c>
      <c r="E49" s="76">
        <v>0</v>
      </c>
      <c r="F49" s="76">
        <v>0</v>
      </c>
      <c r="G49" s="77" t="str">
        <f t="shared" ref="G49:G55" si="0">A49&amp;".buffeffect"</f>
        <v>Sector01.trooper_sniper_1.skill01.effect01.buff.buffeffect</v>
      </c>
      <c r="H49" s="76"/>
      <c r="I49" s="76" t="b">
        <v>0</v>
      </c>
      <c r="J49" s="52" t="b">
        <v>0</v>
      </c>
      <c r="K49" s="52" t="b">
        <v>1</v>
      </c>
      <c r="L49" s="76" t="s">
        <v>63</v>
      </c>
      <c r="M49" s="76" t="s">
        <v>80</v>
      </c>
      <c r="N49" s="76" t="s">
        <v>81</v>
      </c>
      <c r="O49" s="21" t="s">
        <v>1296</v>
      </c>
      <c r="P49" s="21" t="b">
        <v>0</v>
      </c>
      <c r="Q49" s="52" t="b">
        <v>0</v>
      </c>
    </row>
    <row r="50" spans="1:17" x14ac:dyDescent="0.3">
      <c r="A50" s="79" t="s">
        <v>1485</v>
      </c>
      <c r="B50" s="25"/>
      <c r="C50" s="25"/>
      <c r="D50" s="80">
        <v>4000</v>
      </c>
      <c r="E50" s="80">
        <v>0</v>
      </c>
      <c r="F50" s="80">
        <v>0</v>
      </c>
      <c r="G50" s="81" t="str">
        <f t="shared" si="0"/>
        <v>Sector01.trooper_guard_1.skill01.effect01.buff.buffeffect</v>
      </c>
      <c r="H50" s="80"/>
      <c r="I50" s="80" t="b">
        <v>0</v>
      </c>
      <c r="J50" s="55" t="b">
        <v>0</v>
      </c>
      <c r="K50" s="55" t="b">
        <v>1</v>
      </c>
      <c r="L50" s="80" t="s">
        <v>60</v>
      </c>
      <c r="M50" s="80" t="s">
        <v>156</v>
      </c>
      <c r="N50" s="80" t="s">
        <v>157</v>
      </c>
      <c r="O50" s="25" t="s">
        <v>1297</v>
      </c>
      <c r="P50" s="25" t="b">
        <v>0</v>
      </c>
      <c r="Q50" s="55" t="b">
        <v>0</v>
      </c>
    </row>
    <row r="51" spans="1:17" x14ac:dyDescent="0.3">
      <c r="A51" s="75" t="s">
        <v>158</v>
      </c>
      <c r="B51" s="21"/>
      <c r="C51" s="21"/>
      <c r="D51" s="76">
        <v>6000</v>
      </c>
      <c r="E51" s="76">
        <v>0</v>
      </c>
      <c r="F51" s="76">
        <v>0</v>
      </c>
      <c r="G51" s="77" t="str">
        <f t="shared" si="0"/>
        <v>Sector01.trooper_champion_1.skill01.effect01.buff.buffeffect</v>
      </c>
      <c r="H51" s="76"/>
      <c r="I51" s="76" t="b">
        <v>0</v>
      </c>
      <c r="J51" s="52" t="b">
        <v>0</v>
      </c>
      <c r="K51" s="52" t="b">
        <v>1</v>
      </c>
      <c r="L51" s="76" t="s">
        <v>63</v>
      </c>
      <c r="M51" s="76" t="s">
        <v>56</v>
      </c>
      <c r="N51" s="76" t="s">
        <v>64</v>
      </c>
      <c r="O51" s="21" t="s">
        <v>1298</v>
      </c>
      <c r="P51" s="21" t="b">
        <v>0</v>
      </c>
      <c r="Q51" s="52" t="b">
        <v>0</v>
      </c>
    </row>
    <row r="52" spans="1:17" x14ac:dyDescent="0.3">
      <c r="A52" s="79" t="s">
        <v>160</v>
      </c>
      <c r="B52" s="25"/>
      <c r="C52" s="25"/>
      <c r="D52" s="80">
        <v>6000</v>
      </c>
      <c r="E52" s="80">
        <v>5</v>
      </c>
      <c r="F52" s="80">
        <v>1</v>
      </c>
      <c r="G52" s="81" t="str">
        <f t="shared" si="0"/>
        <v>Sector01.trooper_inferno_1.skill01.effect02.fire01.buff.buffeffect</v>
      </c>
      <c r="H52" s="80"/>
      <c r="I52" s="80" t="b">
        <v>0</v>
      </c>
      <c r="J52" s="55" t="b">
        <v>0</v>
      </c>
      <c r="K52" s="55" t="b">
        <v>0</v>
      </c>
      <c r="L52" s="80" t="s">
        <v>46</v>
      </c>
      <c r="M52" s="80" t="s">
        <v>162</v>
      </c>
      <c r="N52" s="80" t="s">
        <v>163</v>
      </c>
      <c r="O52" s="25" t="s">
        <v>1299</v>
      </c>
      <c r="P52" s="25" t="b">
        <v>0</v>
      </c>
      <c r="Q52" s="55" t="b">
        <v>0</v>
      </c>
    </row>
    <row r="53" spans="1:17" x14ac:dyDescent="0.3">
      <c r="A53" s="75" t="s">
        <v>164</v>
      </c>
      <c r="B53" s="21"/>
      <c r="C53" s="21"/>
      <c r="D53" s="76">
        <v>200</v>
      </c>
      <c r="E53" s="76">
        <v>0</v>
      </c>
      <c r="F53" s="76">
        <v>0</v>
      </c>
      <c r="G53" s="77" t="str">
        <f t="shared" si="0"/>
        <v>Sector01.labmecha_launcher_1.skill02.effect01.knockback01.buff.buffeffect</v>
      </c>
      <c r="H53" s="76"/>
      <c r="I53" s="76" t="b">
        <v>0</v>
      </c>
      <c r="J53" s="52" t="b">
        <v>0</v>
      </c>
      <c r="K53" s="52" t="b">
        <v>0</v>
      </c>
      <c r="L53" s="76"/>
      <c r="M53" s="76"/>
      <c r="N53" s="76" t="s">
        <v>72</v>
      </c>
      <c r="O53" s="21" t="s">
        <v>1300</v>
      </c>
      <c r="P53" s="21" t="b">
        <v>0</v>
      </c>
      <c r="Q53" s="52" t="b">
        <v>0</v>
      </c>
    </row>
    <row r="54" spans="1:17" x14ac:dyDescent="0.3">
      <c r="A54" s="75" t="s">
        <v>166</v>
      </c>
      <c r="B54" s="21"/>
      <c r="C54" s="21"/>
      <c r="D54" s="76">
        <v>200</v>
      </c>
      <c r="E54" s="76">
        <v>0</v>
      </c>
      <c r="F54" s="76">
        <v>0</v>
      </c>
      <c r="G54" s="77" t="str">
        <f t="shared" si="0"/>
        <v>Sector01.labmecha_launcher_1.skill02.effect02.knockback01.buff.buffeffect</v>
      </c>
      <c r="H54" s="76"/>
      <c r="I54" s="76" t="b">
        <v>0</v>
      </c>
      <c r="J54" s="52" t="b">
        <v>0</v>
      </c>
      <c r="K54" s="52" t="b">
        <v>0</v>
      </c>
      <c r="L54" s="76"/>
      <c r="M54" s="76"/>
      <c r="N54" s="76" t="s">
        <v>72</v>
      </c>
      <c r="O54" s="21" t="s">
        <v>1300</v>
      </c>
      <c r="P54" s="21" t="b">
        <v>0</v>
      </c>
      <c r="Q54" s="52" t="b">
        <v>0</v>
      </c>
    </row>
    <row r="55" spans="1:17" x14ac:dyDescent="0.3">
      <c r="A55" s="79" t="s">
        <v>168</v>
      </c>
      <c r="B55" s="25"/>
      <c r="C55" s="25"/>
      <c r="D55" s="80">
        <v>6000</v>
      </c>
      <c r="E55" s="80">
        <v>0</v>
      </c>
      <c r="F55" s="80">
        <v>0</v>
      </c>
      <c r="G55" s="81" t="str">
        <f t="shared" si="0"/>
        <v>Sector01.harbor_crab_1.skill01.effect01.buff.buffeffect</v>
      </c>
      <c r="H55" s="80"/>
      <c r="I55" s="80" t="b">
        <v>0</v>
      </c>
      <c r="J55" s="55" t="b">
        <v>0</v>
      </c>
      <c r="K55" s="55" t="b">
        <v>1</v>
      </c>
      <c r="L55" s="80" t="s">
        <v>63</v>
      </c>
      <c r="M55" s="80" t="s">
        <v>80</v>
      </c>
      <c r="N55" s="80" t="s">
        <v>81</v>
      </c>
      <c r="O55" s="25" t="s">
        <v>1296</v>
      </c>
      <c r="P55" s="25" t="b">
        <v>0</v>
      </c>
      <c r="Q55" s="55" t="b">
        <v>0</v>
      </c>
    </row>
    <row r="56" spans="1:17" x14ac:dyDescent="0.3">
      <c r="A56" s="79" t="s">
        <v>170</v>
      </c>
      <c r="B56" s="25"/>
      <c r="C56" s="25"/>
      <c r="D56" s="80">
        <v>0</v>
      </c>
      <c r="E56" s="80">
        <v>0</v>
      </c>
      <c r="F56" s="80">
        <v>0</v>
      </c>
      <c r="G56" s="81" t="s">
        <v>1495</v>
      </c>
      <c r="H56" s="80"/>
      <c r="I56" s="80" t="b">
        <v>1</v>
      </c>
      <c r="J56" s="55" t="b">
        <v>0</v>
      </c>
      <c r="K56" s="55" t="b">
        <v>1</v>
      </c>
      <c r="L56" s="80"/>
      <c r="M56" s="80" t="s">
        <v>1115</v>
      </c>
      <c r="N56" s="80" t="s">
        <v>1101</v>
      </c>
      <c r="O56" s="25" t="s">
        <v>1102</v>
      </c>
      <c r="P56" s="25" t="b">
        <v>0</v>
      </c>
      <c r="Q56" s="55" t="b">
        <v>0</v>
      </c>
    </row>
    <row r="57" spans="1:17" ht="27.75" x14ac:dyDescent="0.3">
      <c r="A57" s="79" t="s">
        <v>1121</v>
      </c>
      <c r="B57" s="25"/>
      <c r="C57" s="25"/>
      <c r="D57" s="80">
        <v>0</v>
      </c>
      <c r="E57" s="80">
        <v>20</v>
      </c>
      <c r="F57" s="80">
        <v>20</v>
      </c>
      <c r="G57" s="81" t="s">
        <v>956</v>
      </c>
      <c r="H57" s="80"/>
      <c r="I57" s="80" t="b">
        <v>0</v>
      </c>
      <c r="J57" s="55" t="b">
        <v>0</v>
      </c>
      <c r="K57" s="55" t="b">
        <v>1</v>
      </c>
      <c r="L57" s="80" t="s">
        <v>172</v>
      </c>
      <c r="M57" s="80" t="s">
        <v>1326</v>
      </c>
      <c r="N57" s="80" t="s">
        <v>1101</v>
      </c>
      <c r="O57" s="25" t="s">
        <v>1102</v>
      </c>
      <c r="P57" s="25" t="b">
        <v>0</v>
      </c>
      <c r="Q57" s="55" t="b">
        <v>0</v>
      </c>
    </row>
    <row r="58" spans="1:17" x14ac:dyDescent="0.3">
      <c r="A58" s="79" t="s">
        <v>1484</v>
      </c>
      <c r="B58" s="25"/>
      <c r="C58" s="25"/>
      <c r="D58" s="80">
        <v>1000</v>
      </c>
      <c r="E58" s="80">
        <v>0</v>
      </c>
      <c r="F58" s="80">
        <v>0</v>
      </c>
      <c r="G58" s="81" t="s">
        <v>173</v>
      </c>
      <c r="H58" s="80"/>
      <c r="I58" s="80" t="b">
        <v>0</v>
      </c>
      <c r="J58" s="55" t="b">
        <v>0</v>
      </c>
      <c r="K58" s="55" t="b">
        <v>1</v>
      </c>
      <c r="L58" s="80" t="s">
        <v>174</v>
      </c>
      <c r="M58" s="80"/>
      <c r="N58" s="80"/>
      <c r="O58" s="25" t="s">
        <v>1301</v>
      </c>
      <c r="P58" s="25" t="b">
        <v>0</v>
      </c>
      <c r="Q58" s="55" t="b">
        <v>0</v>
      </c>
    </row>
    <row r="59" spans="1:17" ht="41.25" customHeight="1" x14ac:dyDescent="0.3">
      <c r="A59" s="75" t="s">
        <v>175</v>
      </c>
      <c r="B59" s="21"/>
      <c r="C59" s="21"/>
      <c r="D59" s="76">
        <v>6000</v>
      </c>
      <c r="E59" s="76">
        <v>0</v>
      </c>
      <c r="F59" s="76">
        <v>0</v>
      </c>
      <c r="G59" s="77" t="s">
        <v>176</v>
      </c>
      <c r="H59" s="76"/>
      <c r="I59" s="76" t="b">
        <v>0</v>
      </c>
      <c r="J59" s="52" t="b">
        <v>0</v>
      </c>
      <c r="K59" s="52" t="b">
        <v>1</v>
      </c>
      <c r="L59" s="76" t="s">
        <v>177</v>
      </c>
      <c r="M59" s="76" t="s">
        <v>178</v>
      </c>
      <c r="N59" s="76" t="s">
        <v>179</v>
      </c>
      <c r="O59" s="21" t="s">
        <v>1302</v>
      </c>
      <c r="P59" s="21" t="b">
        <v>0</v>
      </c>
      <c r="Q59" s="52" t="b">
        <v>0</v>
      </c>
    </row>
    <row r="60" spans="1:17" x14ac:dyDescent="0.3">
      <c r="A60" s="75" t="s">
        <v>180</v>
      </c>
      <c r="B60" s="21"/>
      <c r="C60" s="21"/>
      <c r="D60" s="76">
        <v>1000</v>
      </c>
      <c r="E60" s="76">
        <v>0</v>
      </c>
      <c r="F60" s="76">
        <v>0</v>
      </c>
      <c r="G60" s="77" t="s">
        <v>173</v>
      </c>
      <c r="H60" s="76"/>
      <c r="I60" s="76" t="b">
        <v>0</v>
      </c>
      <c r="J60" s="52" t="b">
        <v>0</v>
      </c>
      <c r="K60" s="52" t="b">
        <v>1</v>
      </c>
      <c r="L60" s="76" t="s">
        <v>181</v>
      </c>
      <c r="M60" s="76"/>
      <c r="N60" s="76"/>
      <c r="O60" s="21" t="s">
        <v>1301</v>
      </c>
      <c r="P60" s="21" t="b">
        <v>0</v>
      </c>
      <c r="Q60" s="52" t="b">
        <v>0</v>
      </c>
    </row>
    <row r="61" spans="1:17" x14ac:dyDescent="0.3">
      <c r="A61" s="75" t="s">
        <v>182</v>
      </c>
      <c r="B61" s="21"/>
      <c r="C61" s="21"/>
      <c r="D61" s="76">
        <v>200</v>
      </c>
      <c r="E61" s="76">
        <v>0</v>
      </c>
      <c r="F61" s="76">
        <v>0</v>
      </c>
      <c r="G61" s="77" t="str">
        <f t="shared" ref="G61:G64" si="1">A61&amp;".buffeffect"</f>
        <v>Sector01.harbor_punch_1.skill02.effect01.knockback01.buff.buffeffect</v>
      </c>
      <c r="H61" s="76"/>
      <c r="I61" s="76" t="b">
        <v>0</v>
      </c>
      <c r="J61" s="52" t="b">
        <v>0</v>
      </c>
      <c r="K61" s="52" t="b">
        <v>0</v>
      </c>
      <c r="L61" s="76"/>
      <c r="M61" s="76"/>
      <c r="N61" s="76" t="s">
        <v>72</v>
      </c>
      <c r="O61" s="21" t="s">
        <v>1300</v>
      </c>
      <c r="P61" s="21" t="b">
        <v>0</v>
      </c>
      <c r="Q61" s="52" t="b">
        <v>0</v>
      </c>
    </row>
    <row r="62" spans="1:17" x14ac:dyDescent="0.3">
      <c r="A62" s="79" t="s">
        <v>184</v>
      </c>
      <c r="B62" s="25"/>
      <c r="C62" s="25"/>
      <c r="D62" s="80">
        <v>8000</v>
      </c>
      <c r="E62" s="80">
        <v>0</v>
      </c>
      <c r="F62" s="80">
        <v>0</v>
      </c>
      <c r="G62" s="81" t="str">
        <f t="shared" si="1"/>
        <v>Sector01.gallius_1.skill01.effect01.buff.buffeffect</v>
      </c>
      <c r="H62" s="80"/>
      <c r="I62" s="80" t="b">
        <v>0</v>
      </c>
      <c r="J62" s="55" t="b">
        <v>0</v>
      </c>
      <c r="K62" s="55" t="b">
        <v>1</v>
      </c>
      <c r="L62" s="80" t="s">
        <v>90</v>
      </c>
      <c r="M62" s="80" t="s">
        <v>156</v>
      </c>
      <c r="N62" s="80" t="s">
        <v>157</v>
      </c>
      <c r="O62" s="25" t="s">
        <v>1297</v>
      </c>
      <c r="P62" s="25" t="b">
        <v>0</v>
      </c>
      <c r="Q62" s="55" t="b">
        <v>0</v>
      </c>
    </row>
    <row r="63" spans="1:17" x14ac:dyDescent="0.3">
      <c r="A63" s="79" t="s">
        <v>186</v>
      </c>
      <c r="B63" s="25"/>
      <c r="C63" s="25"/>
      <c r="D63" s="80">
        <v>3000</v>
      </c>
      <c r="E63" s="80">
        <v>0</v>
      </c>
      <c r="F63" s="80">
        <v>0</v>
      </c>
      <c r="G63" s="81" t="str">
        <f t="shared" si="1"/>
        <v>Sector01.gallius_1.skill02.effect01.stun01.buff.buffeffect</v>
      </c>
      <c r="H63" s="80"/>
      <c r="I63" s="80" t="b">
        <v>0</v>
      </c>
      <c r="J63" s="55" t="b">
        <v>0</v>
      </c>
      <c r="K63" s="55" t="b">
        <v>0</v>
      </c>
      <c r="L63" s="80" t="s">
        <v>67</v>
      </c>
      <c r="M63" s="80" t="s">
        <v>68</v>
      </c>
      <c r="N63" s="80" t="s">
        <v>69</v>
      </c>
      <c r="O63" s="25" t="s">
        <v>1303</v>
      </c>
      <c r="P63" s="25" t="b">
        <v>0</v>
      </c>
      <c r="Q63" s="55" t="b">
        <v>0</v>
      </c>
    </row>
    <row r="64" spans="1:17" x14ac:dyDescent="0.3">
      <c r="A64" s="218" t="s">
        <v>1240</v>
      </c>
      <c r="B64" s="219"/>
      <c r="C64" s="219"/>
      <c r="D64" s="220">
        <v>0</v>
      </c>
      <c r="E64" s="220">
        <v>0</v>
      </c>
      <c r="F64" s="220">
        <v>0</v>
      </c>
      <c r="G64" s="221" t="str">
        <f t="shared" si="1"/>
        <v>Sector01.gallius_1.passive01.buff.buffeffect</v>
      </c>
      <c r="H64" s="220"/>
      <c r="I64" s="220" t="b">
        <v>0</v>
      </c>
      <c r="J64" s="222" t="b">
        <v>0</v>
      </c>
      <c r="K64" s="222" t="b">
        <v>1</v>
      </c>
      <c r="L64" s="220"/>
      <c r="M64" s="220"/>
      <c r="N64" s="220"/>
      <c r="O64" s="219" t="s">
        <v>1301</v>
      </c>
      <c r="P64" s="219" t="b">
        <v>0</v>
      </c>
      <c r="Q64" s="222" t="b">
        <v>0</v>
      </c>
    </row>
    <row r="65" spans="1:17" ht="41.25" x14ac:dyDescent="0.3">
      <c r="A65" s="115" t="s">
        <v>188</v>
      </c>
      <c r="B65" s="116"/>
      <c r="C65" s="116"/>
      <c r="D65" s="117">
        <v>6000</v>
      </c>
      <c r="E65" s="117">
        <v>0</v>
      </c>
      <c r="F65" s="117">
        <v>0</v>
      </c>
      <c r="G65" s="118" t="s">
        <v>1082</v>
      </c>
      <c r="H65" s="117"/>
      <c r="I65" s="117" t="b">
        <v>0</v>
      </c>
      <c r="J65" s="119" t="b">
        <v>0</v>
      </c>
      <c r="K65" s="119" t="b">
        <v>1</v>
      </c>
      <c r="L65" s="117" t="s">
        <v>189</v>
      </c>
      <c r="M65" s="117" t="s">
        <v>178</v>
      </c>
      <c r="N65" s="117" t="s">
        <v>179</v>
      </c>
      <c r="O65" s="116" t="s">
        <v>1302</v>
      </c>
      <c r="P65" s="116" t="b">
        <v>0</v>
      </c>
      <c r="Q65" s="119" t="b">
        <v>0</v>
      </c>
    </row>
    <row r="66" spans="1:17" x14ac:dyDescent="0.3">
      <c r="A66" s="115" t="s">
        <v>1083</v>
      </c>
      <c r="B66" s="116"/>
      <c r="C66" s="116"/>
      <c r="D66" s="117">
        <v>1000</v>
      </c>
      <c r="E66" s="117">
        <v>0</v>
      </c>
      <c r="F66" s="117">
        <v>0</v>
      </c>
      <c r="G66" s="118" t="s">
        <v>173</v>
      </c>
      <c r="H66" s="117"/>
      <c r="I66" s="117" t="b">
        <v>0</v>
      </c>
      <c r="J66" s="119" t="b">
        <v>0</v>
      </c>
      <c r="K66" s="119" t="b">
        <v>1</v>
      </c>
      <c r="L66" s="117" t="s">
        <v>1084</v>
      </c>
      <c r="M66" s="117"/>
      <c r="N66" s="117"/>
      <c r="O66" s="116" t="s">
        <v>1301</v>
      </c>
      <c r="P66" s="116" t="b">
        <v>0</v>
      </c>
      <c r="Q66" s="119" t="b">
        <v>0</v>
      </c>
    </row>
    <row r="67" spans="1:17" x14ac:dyDescent="0.3">
      <c r="A67" s="115" t="s">
        <v>190</v>
      </c>
      <c r="B67" s="116"/>
      <c r="C67" s="116"/>
      <c r="D67" s="117">
        <v>3000</v>
      </c>
      <c r="E67" s="117">
        <v>0</v>
      </c>
      <c r="F67" s="117">
        <v>0</v>
      </c>
      <c r="G67" s="118" t="str">
        <f t="shared" ref="G67:G79" si="2">A67&amp;".buffeffect"</f>
        <v>Sector01.gallius_2.skill02.effect01.stun01.buff.buffeffect</v>
      </c>
      <c r="H67" s="117"/>
      <c r="I67" s="117" t="b">
        <v>0</v>
      </c>
      <c r="J67" s="119" t="b">
        <v>0</v>
      </c>
      <c r="K67" s="119" t="b">
        <v>0</v>
      </c>
      <c r="L67" s="117" t="s">
        <v>67</v>
      </c>
      <c r="M67" s="117" t="s">
        <v>68</v>
      </c>
      <c r="N67" s="117" t="s">
        <v>69</v>
      </c>
      <c r="O67" s="116" t="s">
        <v>1303</v>
      </c>
      <c r="P67" s="116" t="b">
        <v>0</v>
      </c>
      <c r="Q67" s="119" t="b">
        <v>0</v>
      </c>
    </row>
    <row r="68" spans="1:17" x14ac:dyDescent="0.3">
      <c r="A68" s="218" t="s">
        <v>1239</v>
      </c>
      <c r="B68" s="219"/>
      <c r="C68" s="219"/>
      <c r="D68" s="220">
        <v>0</v>
      </c>
      <c r="E68" s="220">
        <v>0</v>
      </c>
      <c r="F68" s="220">
        <v>0</v>
      </c>
      <c r="G68" s="221" t="str">
        <f t="shared" ref="G68" si="3">A68&amp;".buffeffect"</f>
        <v>Sector01.gallius_2.passive01.buff.buffeffect</v>
      </c>
      <c r="H68" s="220"/>
      <c r="I68" s="220" t="b">
        <v>0</v>
      </c>
      <c r="J68" s="222" t="b">
        <v>0</v>
      </c>
      <c r="K68" s="222" t="b">
        <v>1</v>
      </c>
      <c r="L68" s="220"/>
      <c r="M68" s="220"/>
      <c r="N68" s="220"/>
      <c r="O68" s="219" t="s">
        <v>1301</v>
      </c>
      <c r="P68" s="219" t="b">
        <v>0</v>
      </c>
      <c r="Q68" s="222" t="b">
        <v>0</v>
      </c>
    </row>
    <row r="69" spans="1:17" x14ac:dyDescent="0.3">
      <c r="A69" s="71" t="s">
        <v>192</v>
      </c>
      <c r="B69" s="29"/>
      <c r="C69" s="29"/>
      <c r="D69" s="72">
        <v>6000</v>
      </c>
      <c r="E69" s="72">
        <v>0</v>
      </c>
      <c r="F69" s="72">
        <v>0</v>
      </c>
      <c r="G69" s="73" t="str">
        <f t="shared" si="2"/>
        <v>Sector02.silhouette_champion_3.skill01.effect01.buff.buffeffect</v>
      </c>
      <c r="H69" s="72"/>
      <c r="I69" s="76" t="b">
        <v>0</v>
      </c>
      <c r="J69" s="56" t="b">
        <v>0</v>
      </c>
      <c r="K69" s="56" t="b">
        <v>1</v>
      </c>
      <c r="L69" s="72" t="s">
        <v>63</v>
      </c>
      <c r="M69" s="72" t="s">
        <v>56</v>
      </c>
      <c r="N69" s="72" t="s">
        <v>64</v>
      </c>
      <c r="O69" s="29" t="s">
        <v>1298</v>
      </c>
      <c r="P69" s="29" t="b">
        <v>0</v>
      </c>
      <c r="Q69" s="56" t="b">
        <v>0</v>
      </c>
    </row>
    <row r="70" spans="1:17" x14ac:dyDescent="0.3">
      <c r="A70" s="67" t="s">
        <v>194</v>
      </c>
      <c r="B70" s="43"/>
      <c r="C70" s="43"/>
      <c r="D70" s="68">
        <v>4000</v>
      </c>
      <c r="E70" s="68">
        <v>0</v>
      </c>
      <c r="F70" s="68">
        <v>0</v>
      </c>
      <c r="G70" s="69" t="str">
        <f t="shared" si="2"/>
        <v>Sector02.silhouette_guard_3.skill01.effect01.buff.buffeffect</v>
      </c>
      <c r="H70" s="68"/>
      <c r="I70" s="68" t="b">
        <v>0</v>
      </c>
      <c r="J70" s="44" t="b">
        <v>0</v>
      </c>
      <c r="K70" s="44" t="b">
        <v>1</v>
      </c>
      <c r="L70" s="68" t="s">
        <v>60</v>
      </c>
      <c r="M70" s="68" t="s">
        <v>156</v>
      </c>
      <c r="N70" s="68" t="s">
        <v>157</v>
      </c>
      <c r="O70" s="43" t="s">
        <v>1297</v>
      </c>
      <c r="P70" s="43" t="b">
        <v>0</v>
      </c>
      <c r="Q70" s="44" t="b">
        <v>0</v>
      </c>
    </row>
    <row r="71" spans="1:17" x14ac:dyDescent="0.3">
      <c r="A71" s="71" t="s">
        <v>195</v>
      </c>
      <c r="B71" s="29"/>
      <c r="C71" s="29"/>
      <c r="D71" s="72">
        <v>6000</v>
      </c>
      <c r="E71" s="72">
        <v>5</v>
      </c>
      <c r="F71" s="72">
        <v>1</v>
      </c>
      <c r="G71" s="73" t="str">
        <f t="shared" si="2"/>
        <v>Sector02.silhouette_inferno_3.skill01.effect02.fire01.buff.buffeffect</v>
      </c>
      <c r="H71" s="72"/>
      <c r="I71" s="76" t="b">
        <v>0</v>
      </c>
      <c r="J71" s="56" t="b">
        <v>0</v>
      </c>
      <c r="K71" s="56" t="b">
        <v>0</v>
      </c>
      <c r="L71" s="72" t="s">
        <v>46</v>
      </c>
      <c r="M71" s="72" t="s">
        <v>162</v>
      </c>
      <c r="N71" s="72" t="s">
        <v>163</v>
      </c>
      <c r="O71" s="29" t="s">
        <v>1299</v>
      </c>
      <c r="P71" s="29" t="b">
        <v>0</v>
      </c>
      <c r="Q71" s="56" t="b">
        <v>0</v>
      </c>
    </row>
    <row r="72" spans="1:17" x14ac:dyDescent="0.3">
      <c r="A72" s="67" t="s">
        <v>197</v>
      </c>
      <c r="B72" s="43"/>
      <c r="C72" s="43"/>
      <c r="D72" s="68">
        <v>200</v>
      </c>
      <c r="E72" s="68">
        <v>0</v>
      </c>
      <c r="F72" s="68">
        <v>0</v>
      </c>
      <c r="G72" s="69" t="str">
        <f t="shared" si="2"/>
        <v>Sector02.shelter_sweeper_r_1.skill01.effect01.knockback01.buff.buffeffect</v>
      </c>
      <c r="H72" s="68"/>
      <c r="I72" s="68" t="b">
        <v>0</v>
      </c>
      <c r="J72" s="44" t="b">
        <v>0</v>
      </c>
      <c r="K72" s="44" t="b">
        <v>0</v>
      </c>
      <c r="L72" s="68"/>
      <c r="M72" s="68"/>
      <c r="N72" s="68" t="s">
        <v>72</v>
      </c>
      <c r="O72" s="43" t="s">
        <v>1300</v>
      </c>
      <c r="P72" s="43" t="b">
        <v>0</v>
      </c>
      <c r="Q72" s="44" t="b">
        <v>0</v>
      </c>
    </row>
    <row r="73" spans="1:17" x14ac:dyDescent="0.3">
      <c r="A73" s="71" t="s">
        <v>199</v>
      </c>
      <c r="B73" s="29"/>
      <c r="C73" s="29"/>
      <c r="D73" s="72">
        <v>200</v>
      </c>
      <c r="E73" s="72">
        <v>0</v>
      </c>
      <c r="F73" s="72">
        <v>0</v>
      </c>
      <c r="G73" s="73" t="str">
        <f t="shared" si="2"/>
        <v>Sector02.shelter_sweeper_v_1.skill01.effect01.knockback01.buff.buffeffect</v>
      </c>
      <c r="H73" s="72"/>
      <c r="I73" s="76" t="b">
        <v>0</v>
      </c>
      <c r="J73" s="56" t="b">
        <v>0</v>
      </c>
      <c r="K73" s="56" t="b">
        <v>0</v>
      </c>
      <c r="L73" s="72"/>
      <c r="M73" s="72"/>
      <c r="N73" s="72" t="s">
        <v>72</v>
      </c>
      <c r="O73" s="29" t="s">
        <v>1300</v>
      </c>
      <c r="P73" s="29" t="b">
        <v>0</v>
      </c>
      <c r="Q73" s="56" t="b">
        <v>0</v>
      </c>
    </row>
    <row r="74" spans="1:17" x14ac:dyDescent="0.3">
      <c r="A74" s="67" t="s">
        <v>201</v>
      </c>
      <c r="B74" s="43"/>
      <c r="C74" s="43"/>
      <c r="D74" s="68">
        <v>200</v>
      </c>
      <c r="E74" s="68">
        <v>0</v>
      </c>
      <c r="F74" s="68">
        <v>0</v>
      </c>
      <c r="G74" s="69" t="str">
        <f t="shared" si="2"/>
        <v>Sector02.shelter_sweeper_g_1.skill02.effect01.knockback01.buff.buffeffect</v>
      </c>
      <c r="H74" s="68"/>
      <c r="I74" s="68" t="b">
        <v>0</v>
      </c>
      <c r="J74" s="44" t="b">
        <v>0</v>
      </c>
      <c r="K74" s="44" t="b">
        <v>0</v>
      </c>
      <c r="L74" s="68"/>
      <c r="M74" s="68"/>
      <c r="N74" s="68" t="s">
        <v>72</v>
      </c>
      <c r="O74" s="43" t="s">
        <v>1300</v>
      </c>
      <c r="P74" s="43" t="b">
        <v>0</v>
      </c>
      <c r="Q74" s="44" t="b">
        <v>0</v>
      </c>
    </row>
    <row r="75" spans="1:17" x14ac:dyDescent="0.3">
      <c r="A75" s="71" t="s">
        <v>203</v>
      </c>
      <c r="B75" s="29"/>
      <c r="C75" s="29"/>
      <c r="D75" s="72">
        <v>0</v>
      </c>
      <c r="E75" s="72">
        <v>0</v>
      </c>
      <c r="F75" s="72">
        <v>0</v>
      </c>
      <c r="G75" s="73" t="str">
        <f t="shared" si="2"/>
        <v>Sector02.cassandra_1.passive01.buff.buffeffect</v>
      </c>
      <c r="H75" s="72"/>
      <c r="I75" s="72" t="b">
        <v>0</v>
      </c>
      <c r="J75" s="56" t="b">
        <v>0</v>
      </c>
      <c r="K75" s="56" t="b">
        <v>1</v>
      </c>
      <c r="L75" s="72"/>
      <c r="M75" s="72"/>
      <c r="N75" s="72"/>
      <c r="O75" s="29" t="s">
        <v>1301</v>
      </c>
      <c r="P75" s="29" t="b">
        <v>0</v>
      </c>
      <c r="Q75" s="56" t="b">
        <v>0</v>
      </c>
    </row>
    <row r="76" spans="1:17" x14ac:dyDescent="0.3">
      <c r="A76" s="89" t="s">
        <v>205</v>
      </c>
      <c r="B76" s="48"/>
      <c r="C76" s="48"/>
      <c r="D76" s="90">
        <v>6000</v>
      </c>
      <c r="E76" s="90">
        <v>0</v>
      </c>
      <c r="F76" s="90">
        <v>0</v>
      </c>
      <c r="G76" s="91" t="str">
        <f t="shared" si="2"/>
        <v>Sector02.cassandra_2.skill03.epdown01.buff.buffeffect</v>
      </c>
      <c r="H76" s="90"/>
      <c r="I76" s="90" t="b">
        <v>0</v>
      </c>
      <c r="J76" s="95" t="b">
        <v>0</v>
      </c>
      <c r="K76" s="95" t="b">
        <v>0</v>
      </c>
      <c r="L76" s="90" t="s">
        <v>55</v>
      </c>
      <c r="M76" s="90" t="s">
        <v>207</v>
      </c>
      <c r="N76" s="90" t="s">
        <v>208</v>
      </c>
      <c r="O76" s="48" t="s">
        <v>1304</v>
      </c>
      <c r="P76" s="48" t="b">
        <v>0</v>
      </c>
      <c r="Q76" s="95" t="b">
        <v>0</v>
      </c>
    </row>
    <row r="77" spans="1:17" x14ac:dyDescent="0.3">
      <c r="A77" s="89" t="s">
        <v>209</v>
      </c>
      <c r="B77" s="48"/>
      <c r="C77" s="48"/>
      <c r="D77" s="90">
        <v>0</v>
      </c>
      <c r="E77" s="90">
        <v>0</v>
      </c>
      <c r="F77" s="90">
        <v>0</v>
      </c>
      <c r="G77" s="91" t="str">
        <f t="shared" si="2"/>
        <v>Sector02.cassandra_2.passive01.buff.buffeffect</v>
      </c>
      <c r="H77" s="90"/>
      <c r="I77" s="90" t="b">
        <v>0</v>
      </c>
      <c r="J77" s="95" t="b">
        <v>0</v>
      </c>
      <c r="K77" s="95" t="b">
        <v>1</v>
      </c>
      <c r="L77" s="90"/>
      <c r="M77" s="90" t="s">
        <v>80</v>
      </c>
      <c r="N77" s="90" t="s">
        <v>81</v>
      </c>
      <c r="O77" s="48" t="s">
        <v>1296</v>
      </c>
      <c r="P77" s="48" t="b">
        <v>0</v>
      </c>
      <c r="Q77" s="95" t="b">
        <v>0</v>
      </c>
    </row>
    <row r="78" spans="1:17" x14ac:dyDescent="0.3">
      <c r="A78" s="89" t="s">
        <v>211</v>
      </c>
      <c r="B78" s="48"/>
      <c r="C78" s="48"/>
      <c r="D78" s="90">
        <v>0</v>
      </c>
      <c r="E78" s="90">
        <v>80</v>
      </c>
      <c r="F78" s="90">
        <v>1</v>
      </c>
      <c r="G78" s="91" t="str">
        <f t="shared" si="2"/>
        <v>Sector02.cassandra_2.passive01.buff.attackup01.buff.buffeffect</v>
      </c>
      <c r="H78" s="90"/>
      <c r="I78" s="90" t="b">
        <v>0</v>
      </c>
      <c r="J78" s="95" t="b">
        <v>0</v>
      </c>
      <c r="K78" s="95" t="b">
        <v>1</v>
      </c>
      <c r="L78" s="90" t="s">
        <v>213</v>
      </c>
      <c r="M78" s="90" t="s">
        <v>80</v>
      </c>
      <c r="N78" s="90" t="s">
        <v>81</v>
      </c>
      <c r="O78" s="48" t="s">
        <v>1296</v>
      </c>
      <c r="P78" s="48" t="b">
        <v>0</v>
      </c>
      <c r="Q78" s="95" t="b">
        <v>0</v>
      </c>
    </row>
    <row r="79" spans="1:17" x14ac:dyDescent="0.3">
      <c r="A79" s="89" t="s">
        <v>214</v>
      </c>
      <c r="B79" s="48"/>
      <c r="C79" s="48"/>
      <c r="D79" s="90">
        <v>0</v>
      </c>
      <c r="E79" s="90">
        <v>0</v>
      </c>
      <c r="F79" s="90">
        <v>0</v>
      </c>
      <c r="G79" s="91" t="str">
        <f t="shared" si="2"/>
        <v>Sector02.cassandra_2.passive01.buff.overclock.buff.buffeffect</v>
      </c>
      <c r="H79" s="90"/>
      <c r="I79" s="90" t="b">
        <v>0</v>
      </c>
      <c r="J79" s="95" t="b">
        <v>0</v>
      </c>
      <c r="K79" s="95" t="b">
        <v>1</v>
      </c>
      <c r="L79" s="90" t="s">
        <v>216</v>
      </c>
      <c r="M79" s="90"/>
      <c r="N79" s="90"/>
      <c r="O79" s="48" t="s">
        <v>1301</v>
      </c>
      <c r="P79" s="48" t="b">
        <v>0</v>
      </c>
      <c r="Q79" s="95" t="b">
        <v>0</v>
      </c>
    </row>
    <row r="80" spans="1:17" x14ac:dyDescent="0.3">
      <c r="A80" s="86" t="s">
        <v>217</v>
      </c>
      <c r="B80" s="10"/>
      <c r="C80" s="10"/>
      <c r="D80" s="87">
        <v>4000</v>
      </c>
      <c r="E80" s="87">
        <v>0</v>
      </c>
      <c r="F80" s="87">
        <v>0</v>
      </c>
      <c r="G80" s="88" t="s">
        <v>218</v>
      </c>
      <c r="H80" s="87"/>
      <c r="I80" s="76" t="b">
        <v>0</v>
      </c>
      <c r="J80" s="96" t="b">
        <v>0</v>
      </c>
      <c r="K80" s="96" t="b">
        <v>1</v>
      </c>
      <c r="L80" s="87" t="s">
        <v>60</v>
      </c>
      <c r="M80" s="87" t="s">
        <v>156</v>
      </c>
      <c r="N80" s="87" t="s">
        <v>157</v>
      </c>
      <c r="O80" s="10" t="s">
        <v>1297</v>
      </c>
      <c r="P80" s="10" t="b">
        <v>0</v>
      </c>
      <c r="Q80" s="96" t="b">
        <v>0</v>
      </c>
    </row>
    <row r="81" spans="1:17" x14ac:dyDescent="0.3">
      <c r="A81" s="92" t="s">
        <v>219</v>
      </c>
      <c r="B81" s="38"/>
      <c r="C81" s="38"/>
      <c r="D81" s="93">
        <v>6000</v>
      </c>
      <c r="E81" s="93">
        <v>0</v>
      </c>
      <c r="F81" s="93">
        <v>0</v>
      </c>
      <c r="G81" s="94" t="str">
        <f t="shared" ref="G81:G98" si="4">A81&amp;".buffeffect"</f>
        <v>Sector03.infdust_gauntlet_2.skill01.effect01.buff.buffeffect</v>
      </c>
      <c r="H81" s="93"/>
      <c r="I81" s="93" t="b">
        <v>0</v>
      </c>
      <c r="J81" s="97" t="b">
        <v>0</v>
      </c>
      <c r="K81" s="97" t="b">
        <v>1</v>
      </c>
      <c r="L81" s="93" t="s">
        <v>63</v>
      </c>
      <c r="M81" s="93" t="s">
        <v>56</v>
      </c>
      <c r="N81" s="93" t="s">
        <v>64</v>
      </c>
      <c r="O81" s="38" t="s">
        <v>1298</v>
      </c>
      <c r="P81" s="38" t="b">
        <v>0</v>
      </c>
      <c r="Q81" s="97" t="b">
        <v>0</v>
      </c>
    </row>
    <row r="82" spans="1:17" x14ac:dyDescent="0.3">
      <c r="A82" s="86" t="s">
        <v>221</v>
      </c>
      <c r="B82" s="10"/>
      <c r="C82" s="10"/>
      <c r="D82" s="87">
        <v>6000</v>
      </c>
      <c r="E82" s="87">
        <v>0</v>
      </c>
      <c r="F82" s="87">
        <v>0</v>
      </c>
      <c r="G82" s="88" t="str">
        <f t="shared" si="4"/>
        <v>Sector03.infdust_rifle_2.skill01.effect01.buff.buffeffect</v>
      </c>
      <c r="H82" s="87"/>
      <c r="I82" s="76" t="b">
        <v>0</v>
      </c>
      <c r="J82" s="96" t="b">
        <v>0</v>
      </c>
      <c r="K82" s="96" t="b">
        <v>1</v>
      </c>
      <c r="L82" s="87" t="s">
        <v>63</v>
      </c>
      <c r="M82" s="87" t="s">
        <v>80</v>
      </c>
      <c r="N82" s="87" t="s">
        <v>81</v>
      </c>
      <c r="O82" s="10" t="s">
        <v>1296</v>
      </c>
      <c r="P82" s="10" t="b">
        <v>0</v>
      </c>
      <c r="Q82" s="96" t="b">
        <v>0</v>
      </c>
    </row>
    <row r="83" spans="1:17" x14ac:dyDescent="0.3">
      <c r="A83" s="86" t="s">
        <v>223</v>
      </c>
      <c r="B83" s="10"/>
      <c r="C83" s="10"/>
      <c r="D83" s="87">
        <v>2000</v>
      </c>
      <c r="E83" s="87">
        <v>0</v>
      </c>
      <c r="F83" s="87">
        <v>0</v>
      </c>
      <c r="G83" s="88" t="str">
        <f t="shared" si="4"/>
        <v>Sector03.grima_alpha_1.skill03.effect01.stun01.buff.buffeffect</v>
      </c>
      <c r="H83" s="87"/>
      <c r="I83" s="87" t="b">
        <v>0</v>
      </c>
      <c r="J83" s="96" t="b">
        <v>0</v>
      </c>
      <c r="K83" s="96" t="b">
        <v>0</v>
      </c>
      <c r="L83" s="87" t="s">
        <v>67</v>
      </c>
      <c r="M83" s="87" t="s">
        <v>68</v>
      </c>
      <c r="N83" s="87" t="s">
        <v>69</v>
      </c>
      <c r="O83" s="10" t="s">
        <v>1303</v>
      </c>
      <c r="P83" s="10" t="b">
        <v>0</v>
      </c>
      <c r="Q83" s="96" t="b">
        <v>0</v>
      </c>
    </row>
    <row r="84" spans="1:17" x14ac:dyDescent="0.3">
      <c r="A84" s="92" t="s">
        <v>225</v>
      </c>
      <c r="B84" s="38"/>
      <c r="C84" s="38"/>
      <c r="D84" s="93">
        <v>5000</v>
      </c>
      <c r="E84" s="93">
        <v>0</v>
      </c>
      <c r="F84" s="93">
        <v>0</v>
      </c>
      <c r="G84" s="94" t="str">
        <f t="shared" si="4"/>
        <v>Sector03.draindermis_1.skill02.effect01.buff.buffeffect</v>
      </c>
      <c r="H84" s="93"/>
      <c r="I84" s="93" t="b">
        <v>0</v>
      </c>
      <c r="J84" s="97" t="b">
        <v>0</v>
      </c>
      <c r="K84" s="97" t="b">
        <v>1</v>
      </c>
      <c r="L84" s="93" t="s">
        <v>63</v>
      </c>
      <c r="M84" s="93" t="s">
        <v>56</v>
      </c>
      <c r="N84" s="93" t="s">
        <v>64</v>
      </c>
      <c r="O84" s="38" t="s">
        <v>1298</v>
      </c>
      <c r="P84" s="38" t="b">
        <v>0</v>
      </c>
      <c r="Q84" s="97" t="b">
        <v>0</v>
      </c>
    </row>
    <row r="85" spans="1:17" x14ac:dyDescent="0.3">
      <c r="A85" s="86" t="s">
        <v>227</v>
      </c>
      <c r="B85" s="10"/>
      <c r="C85" s="10"/>
      <c r="D85" s="87">
        <v>2000</v>
      </c>
      <c r="E85" s="87">
        <v>0</v>
      </c>
      <c r="F85" s="87">
        <v>0</v>
      </c>
      <c r="G85" s="88" t="str">
        <f t="shared" si="4"/>
        <v>Sector03.grima_beta_1.skill03.effect01.stun01.buff.buffeffect</v>
      </c>
      <c r="H85" s="87"/>
      <c r="I85" s="87" t="b">
        <v>0</v>
      </c>
      <c r="J85" s="96" t="b">
        <v>0</v>
      </c>
      <c r="K85" s="96" t="b">
        <v>0</v>
      </c>
      <c r="L85" s="87" t="s">
        <v>67</v>
      </c>
      <c r="M85" s="87" t="s">
        <v>68</v>
      </c>
      <c r="N85" s="87" t="s">
        <v>69</v>
      </c>
      <c r="O85" s="10" t="s">
        <v>1303</v>
      </c>
      <c r="P85" s="10" t="b">
        <v>0</v>
      </c>
      <c r="Q85" s="96" t="b">
        <v>0</v>
      </c>
    </row>
    <row r="86" spans="1:17" s="155" customFormat="1" x14ac:dyDescent="0.3">
      <c r="A86" s="92" t="s">
        <v>229</v>
      </c>
      <c r="B86" s="38"/>
      <c r="C86" s="38"/>
      <c r="D86" s="93">
        <v>5000</v>
      </c>
      <c r="E86" s="93">
        <v>0</v>
      </c>
      <c r="F86" s="93">
        <v>0</v>
      </c>
      <c r="G86" s="94" t="str">
        <f t="shared" si="4"/>
        <v>Sector03.theomega_1.skill01.effect01.atkdown01.buff.buffeffect</v>
      </c>
      <c r="H86" s="93"/>
      <c r="I86" s="93" t="b">
        <v>0</v>
      </c>
      <c r="J86" s="97" t="b">
        <v>0</v>
      </c>
      <c r="K86" s="97" t="b">
        <v>0</v>
      </c>
      <c r="L86" s="93" t="s">
        <v>55</v>
      </c>
      <c r="M86" s="93" t="s">
        <v>80</v>
      </c>
      <c r="N86" s="93" t="s">
        <v>231</v>
      </c>
      <c r="O86" s="38" t="s">
        <v>1305</v>
      </c>
      <c r="P86" s="38" t="b">
        <v>0</v>
      </c>
      <c r="Q86" s="97" t="b">
        <v>0</v>
      </c>
    </row>
    <row r="87" spans="1:17" s="155" customFormat="1" x14ac:dyDescent="0.3">
      <c r="A87" s="92" t="s">
        <v>232</v>
      </c>
      <c r="B87" s="38"/>
      <c r="C87" s="38"/>
      <c r="D87" s="93">
        <v>3000</v>
      </c>
      <c r="E87" s="93">
        <v>0</v>
      </c>
      <c r="F87" s="93">
        <v>0</v>
      </c>
      <c r="G87" s="94" t="str">
        <f t="shared" si="4"/>
        <v>Sector03.theomega_1.skill01.effect01.stun01.buff.buffeffect</v>
      </c>
      <c r="H87" s="93"/>
      <c r="I87" s="93" t="b">
        <v>0</v>
      </c>
      <c r="J87" s="97" t="b">
        <v>0</v>
      </c>
      <c r="K87" s="97" t="b">
        <v>0</v>
      </c>
      <c r="L87" s="93" t="s">
        <v>67</v>
      </c>
      <c r="M87" s="93" t="s">
        <v>68</v>
      </c>
      <c r="N87" s="93" t="s">
        <v>69</v>
      </c>
      <c r="O87" s="38" t="s">
        <v>1303</v>
      </c>
      <c r="P87" s="38" t="b">
        <v>0</v>
      </c>
      <c r="Q87" s="97" t="b">
        <v>0</v>
      </c>
    </row>
    <row r="88" spans="1:17" s="155" customFormat="1" ht="27.75" x14ac:dyDescent="0.3">
      <c r="A88" s="92" t="s">
        <v>234</v>
      </c>
      <c r="B88" s="38"/>
      <c r="C88" s="38"/>
      <c r="D88" s="93">
        <v>90000</v>
      </c>
      <c r="E88" s="93">
        <v>12</v>
      </c>
      <c r="F88" s="93">
        <v>12</v>
      </c>
      <c r="G88" s="94" t="s">
        <v>1088</v>
      </c>
      <c r="H88" s="93"/>
      <c r="I88" s="93" t="b">
        <v>0</v>
      </c>
      <c r="J88" s="97" t="b">
        <v>0</v>
      </c>
      <c r="K88" s="97" t="b">
        <v>1</v>
      </c>
      <c r="L88" s="93" t="s">
        <v>235</v>
      </c>
      <c r="M88" s="93" t="s">
        <v>1115</v>
      </c>
      <c r="N88" s="93" t="s">
        <v>236</v>
      </c>
      <c r="O88" s="38" t="s">
        <v>237</v>
      </c>
      <c r="P88" s="38" t="b">
        <v>0</v>
      </c>
      <c r="Q88" s="97" t="b">
        <v>0</v>
      </c>
    </row>
    <row r="89" spans="1:17" s="155" customFormat="1" x14ac:dyDescent="0.3">
      <c r="A89" s="92" t="s">
        <v>1089</v>
      </c>
      <c r="B89" s="38"/>
      <c r="C89" s="38"/>
      <c r="D89" s="93">
        <v>1000</v>
      </c>
      <c r="E89" s="93">
        <v>0</v>
      </c>
      <c r="F89" s="93">
        <v>0</v>
      </c>
      <c r="G89" s="94" t="s">
        <v>173</v>
      </c>
      <c r="H89" s="93"/>
      <c r="I89" s="93" t="b">
        <v>0</v>
      </c>
      <c r="J89" s="97" t="b">
        <v>0</v>
      </c>
      <c r="K89" s="97" t="b">
        <v>1</v>
      </c>
      <c r="L89" s="93" t="s">
        <v>1091</v>
      </c>
      <c r="M89" s="93"/>
      <c r="N89" s="93"/>
      <c r="O89" s="38" t="s">
        <v>1301</v>
      </c>
      <c r="P89" s="38" t="b">
        <v>0</v>
      </c>
      <c r="Q89" s="97" t="b">
        <v>0</v>
      </c>
    </row>
    <row r="90" spans="1:17" s="155" customFormat="1" x14ac:dyDescent="0.3">
      <c r="A90" s="92" t="s">
        <v>238</v>
      </c>
      <c r="B90" s="38" t="s">
        <v>239</v>
      </c>
      <c r="C90" s="38" t="s">
        <v>1244</v>
      </c>
      <c r="D90" s="93">
        <v>10000</v>
      </c>
      <c r="E90" s="93">
        <v>0</v>
      </c>
      <c r="F90" s="93">
        <v>0</v>
      </c>
      <c r="G90" s="94" t="str">
        <f t="shared" si="4"/>
        <v>Sector03.theomega_1.skill02.end.buff01.buffeffect</v>
      </c>
      <c r="H90" s="93"/>
      <c r="I90" s="93" t="b">
        <v>0</v>
      </c>
      <c r="J90" s="97" t="b">
        <v>0</v>
      </c>
      <c r="K90" s="97" t="b">
        <v>0</v>
      </c>
      <c r="L90" s="93" t="s">
        <v>55</v>
      </c>
      <c r="M90" s="93" t="s">
        <v>241</v>
      </c>
      <c r="N90" s="93" t="s">
        <v>242</v>
      </c>
      <c r="O90" s="38" t="s">
        <v>1306</v>
      </c>
      <c r="P90" s="38" t="b">
        <v>0</v>
      </c>
      <c r="Q90" s="97" t="b">
        <v>0</v>
      </c>
    </row>
    <row r="91" spans="1:17" s="155" customFormat="1" x14ac:dyDescent="0.3">
      <c r="A91" s="92" t="s">
        <v>243</v>
      </c>
      <c r="B91" s="38" t="s">
        <v>239</v>
      </c>
      <c r="C91" s="38" t="s">
        <v>1245</v>
      </c>
      <c r="D91" s="93">
        <v>10000</v>
      </c>
      <c r="E91" s="93">
        <v>0</v>
      </c>
      <c r="F91" s="93">
        <v>0</v>
      </c>
      <c r="G91" s="94" t="str">
        <f t="shared" si="4"/>
        <v>Sector03.theomega_1.skill02.end.buff02.buffeffect</v>
      </c>
      <c r="H91" s="93"/>
      <c r="I91" s="93" t="b">
        <v>0</v>
      </c>
      <c r="J91" s="97" t="b">
        <v>0</v>
      </c>
      <c r="K91" s="97" t="b">
        <v>1</v>
      </c>
      <c r="L91" s="93" t="s">
        <v>63</v>
      </c>
      <c r="M91" s="93" t="s">
        <v>109</v>
      </c>
      <c r="N91" s="93" t="s">
        <v>110</v>
      </c>
      <c r="O91" s="38" t="s">
        <v>1307</v>
      </c>
      <c r="P91" s="38" t="b">
        <v>0</v>
      </c>
      <c r="Q91" s="97" t="b">
        <v>0</v>
      </c>
    </row>
    <row r="92" spans="1:17" s="155" customFormat="1" x14ac:dyDescent="0.3">
      <c r="A92" s="92" t="s">
        <v>245</v>
      </c>
      <c r="B92" s="38"/>
      <c r="C92" s="38"/>
      <c r="D92" s="93">
        <v>8000</v>
      </c>
      <c r="E92" s="93">
        <v>0</v>
      </c>
      <c r="F92" s="93">
        <v>0</v>
      </c>
      <c r="G92" s="94" t="str">
        <f t="shared" si="4"/>
        <v>Sector03.theomega_1.skill03.effect01.heal.buff.buffeffect</v>
      </c>
      <c r="H92" s="93"/>
      <c r="I92" s="93" t="b">
        <v>0</v>
      </c>
      <c r="J92" s="97" t="b">
        <v>0</v>
      </c>
      <c r="K92" s="97" t="b">
        <v>1</v>
      </c>
      <c r="L92" s="93" t="s">
        <v>247</v>
      </c>
      <c r="M92" s="93" t="s">
        <v>248</v>
      </c>
      <c r="N92" s="93" t="s">
        <v>249</v>
      </c>
      <c r="O92" s="38" t="s">
        <v>1308</v>
      </c>
      <c r="P92" s="38" t="b">
        <v>0</v>
      </c>
      <c r="Q92" s="97" t="b">
        <v>0</v>
      </c>
    </row>
    <row r="93" spans="1:17" s="155" customFormat="1" x14ac:dyDescent="0.3">
      <c r="A93" s="92" t="s">
        <v>250</v>
      </c>
      <c r="B93" s="38"/>
      <c r="C93" s="38"/>
      <c r="D93" s="93">
        <v>0</v>
      </c>
      <c r="E93" s="93">
        <v>0</v>
      </c>
      <c r="F93" s="93">
        <v>0</v>
      </c>
      <c r="G93" s="94" t="str">
        <f t="shared" si="4"/>
        <v>Sector03.theomega_1.passive01.buff.buffeffect</v>
      </c>
      <c r="H93" s="93"/>
      <c r="I93" s="93" t="b">
        <v>0</v>
      </c>
      <c r="J93" s="97" t="b">
        <v>0</v>
      </c>
      <c r="K93" s="97" t="b">
        <v>1</v>
      </c>
      <c r="L93" s="93"/>
      <c r="M93" s="93" t="s">
        <v>84</v>
      </c>
      <c r="N93" s="93" t="s">
        <v>85</v>
      </c>
      <c r="O93" s="38" t="s">
        <v>1309</v>
      </c>
      <c r="P93" s="38" t="b">
        <v>0</v>
      </c>
      <c r="Q93" s="97" t="b">
        <v>0</v>
      </c>
    </row>
    <row r="94" spans="1:17" s="155" customFormat="1" x14ac:dyDescent="0.3">
      <c r="A94" s="92" t="s">
        <v>252</v>
      </c>
      <c r="B94" s="38"/>
      <c r="C94" s="38"/>
      <c r="D94" s="93">
        <v>8000</v>
      </c>
      <c r="E94" s="93">
        <v>0</v>
      </c>
      <c r="F94" s="93">
        <v>0</v>
      </c>
      <c r="G94" s="94" t="str">
        <f t="shared" si="4"/>
        <v>Sector03.theomega_1.passive01.buff.buffeffect.skilleffect.buff.buffeffect</v>
      </c>
      <c r="H94" s="93"/>
      <c r="I94" s="93" t="b">
        <v>0</v>
      </c>
      <c r="J94" s="97" t="b">
        <v>0</v>
      </c>
      <c r="K94" s="97" t="b">
        <v>1</v>
      </c>
      <c r="L94" s="93" t="s">
        <v>63</v>
      </c>
      <c r="M94" s="93" t="s">
        <v>84</v>
      </c>
      <c r="N94" s="93" t="s">
        <v>85</v>
      </c>
      <c r="O94" s="38" t="s">
        <v>1309</v>
      </c>
      <c r="P94" s="38" t="b">
        <v>0</v>
      </c>
      <c r="Q94" s="97" t="b">
        <v>0</v>
      </c>
    </row>
    <row r="95" spans="1:17" x14ac:dyDescent="0.3">
      <c r="A95" s="120" t="s">
        <v>254</v>
      </c>
      <c r="B95" s="121"/>
      <c r="C95" s="121"/>
      <c r="D95" s="122">
        <v>5000</v>
      </c>
      <c r="E95" s="122">
        <v>0</v>
      </c>
      <c r="F95" s="122">
        <v>0</v>
      </c>
      <c r="G95" s="123" t="str">
        <f t="shared" si="4"/>
        <v>Sector03.theomega_3.skill01.effect01.atkdown01.buff.buffeffect</v>
      </c>
      <c r="H95" s="122"/>
      <c r="I95" s="122" t="b">
        <v>0</v>
      </c>
      <c r="J95" s="124" t="b">
        <v>0</v>
      </c>
      <c r="K95" s="124" t="b">
        <v>0</v>
      </c>
      <c r="L95" s="122" t="s">
        <v>55</v>
      </c>
      <c r="M95" s="122" t="s">
        <v>80</v>
      </c>
      <c r="N95" s="122" t="s">
        <v>231</v>
      </c>
      <c r="O95" s="121" t="s">
        <v>1305</v>
      </c>
      <c r="P95" s="121" t="b">
        <v>0</v>
      </c>
      <c r="Q95" s="124" t="b">
        <v>0</v>
      </c>
    </row>
    <row r="96" spans="1:17" x14ac:dyDescent="0.3">
      <c r="A96" s="120" t="s">
        <v>256</v>
      </c>
      <c r="B96" s="121"/>
      <c r="C96" s="121"/>
      <c r="D96" s="122">
        <v>3000</v>
      </c>
      <c r="E96" s="122">
        <v>0</v>
      </c>
      <c r="F96" s="122">
        <v>0</v>
      </c>
      <c r="G96" s="123" t="str">
        <f t="shared" si="4"/>
        <v>Sector03.theomega_3.skill01.effect01.stun01.buff.buffeffect</v>
      </c>
      <c r="H96" s="122"/>
      <c r="I96" s="122" t="b">
        <v>0</v>
      </c>
      <c r="J96" s="124" t="b">
        <v>0</v>
      </c>
      <c r="K96" s="124" t="b">
        <v>0</v>
      </c>
      <c r="L96" s="122" t="s">
        <v>67</v>
      </c>
      <c r="M96" s="122" t="s">
        <v>68</v>
      </c>
      <c r="N96" s="122" t="s">
        <v>69</v>
      </c>
      <c r="O96" s="121" t="s">
        <v>1303</v>
      </c>
      <c r="P96" s="121" t="b">
        <v>0</v>
      </c>
      <c r="Q96" s="124" t="b">
        <v>0</v>
      </c>
    </row>
    <row r="97" spans="1:17" x14ac:dyDescent="0.3">
      <c r="A97" s="120" t="s">
        <v>258</v>
      </c>
      <c r="B97" s="121"/>
      <c r="C97" s="121"/>
      <c r="D97" s="122">
        <v>200</v>
      </c>
      <c r="E97" s="122">
        <v>0</v>
      </c>
      <c r="F97" s="122">
        <v>0</v>
      </c>
      <c r="G97" s="123" t="str">
        <f t="shared" si="4"/>
        <v>Sector03.theomega_3.skill02.knoback.buff.buffeffect</v>
      </c>
      <c r="H97" s="122"/>
      <c r="I97" s="122" t="b">
        <v>0</v>
      </c>
      <c r="J97" s="124" t="b">
        <v>0</v>
      </c>
      <c r="K97" s="124" t="b">
        <v>0</v>
      </c>
      <c r="L97" s="122"/>
      <c r="M97" s="122"/>
      <c r="N97" s="122" t="s">
        <v>72</v>
      </c>
      <c r="O97" s="121" t="s">
        <v>1300</v>
      </c>
      <c r="P97" s="121" t="b">
        <v>0</v>
      </c>
      <c r="Q97" s="124" t="b">
        <v>0</v>
      </c>
    </row>
    <row r="98" spans="1:17" x14ac:dyDescent="0.3">
      <c r="A98" s="120" t="s">
        <v>260</v>
      </c>
      <c r="B98" s="121"/>
      <c r="C98" s="121"/>
      <c r="D98" s="122">
        <v>5000</v>
      </c>
      <c r="E98" s="122">
        <v>0</v>
      </c>
      <c r="F98" s="122">
        <v>0</v>
      </c>
      <c r="G98" s="123" t="str">
        <f t="shared" si="4"/>
        <v>Sector03.theomega_3.skill02.slow.buff.buffeffect</v>
      </c>
      <c r="H98" s="122"/>
      <c r="I98" s="122" t="b">
        <v>0</v>
      </c>
      <c r="J98" s="124" t="b">
        <v>0</v>
      </c>
      <c r="K98" s="124" t="b">
        <v>0</v>
      </c>
      <c r="L98" s="122" t="s">
        <v>55</v>
      </c>
      <c r="M98" s="122" t="s">
        <v>262</v>
      </c>
      <c r="N98" s="122" t="s">
        <v>263</v>
      </c>
      <c r="O98" s="121" t="s">
        <v>1310</v>
      </c>
      <c r="P98" s="121" t="b">
        <v>0</v>
      </c>
      <c r="Q98" s="124" t="b">
        <v>0</v>
      </c>
    </row>
    <row r="99" spans="1:17" x14ac:dyDescent="0.3">
      <c r="A99" s="120" t="s">
        <v>264</v>
      </c>
      <c r="B99" s="121"/>
      <c r="C99" s="121"/>
      <c r="D99" s="122">
        <v>15000</v>
      </c>
      <c r="E99" s="122">
        <v>0</v>
      </c>
      <c r="F99" s="122">
        <v>0</v>
      </c>
      <c r="G99" s="123" t="s">
        <v>173</v>
      </c>
      <c r="H99" s="122"/>
      <c r="I99" s="122" t="b">
        <v>1</v>
      </c>
      <c r="J99" s="124" t="b">
        <v>0</v>
      </c>
      <c r="K99" s="124" t="b">
        <v>1</v>
      </c>
      <c r="L99" s="122" t="s">
        <v>265</v>
      </c>
      <c r="M99" s="122"/>
      <c r="N99" s="122"/>
      <c r="O99" s="121" t="s">
        <v>1301</v>
      </c>
      <c r="P99" s="121" t="b">
        <v>0</v>
      </c>
      <c r="Q99" s="124" t="b">
        <v>0</v>
      </c>
    </row>
    <row r="100" spans="1:17" ht="54.75" customHeight="1" x14ac:dyDescent="0.3">
      <c r="A100" s="120" t="s">
        <v>266</v>
      </c>
      <c r="B100" s="121"/>
      <c r="C100" s="121"/>
      <c r="D100" s="122">
        <v>10000</v>
      </c>
      <c r="E100" s="122">
        <v>0</v>
      </c>
      <c r="F100" s="122">
        <v>0</v>
      </c>
      <c r="G100" s="123" t="s">
        <v>267</v>
      </c>
      <c r="H100" s="122"/>
      <c r="I100" s="122" t="b">
        <v>0</v>
      </c>
      <c r="J100" s="124" t="b">
        <v>0</v>
      </c>
      <c r="K100" s="124" t="b">
        <v>1</v>
      </c>
      <c r="L100" s="122" t="s">
        <v>247</v>
      </c>
      <c r="M100" s="122" t="s">
        <v>248</v>
      </c>
      <c r="N100" s="122" t="s">
        <v>249</v>
      </c>
      <c r="O100" s="121" t="s">
        <v>1308</v>
      </c>
      <c r="P100" s="121" t="b">
        <v>0</v>
      </c>
      <c r="Q100" s="124" t="b">
        <v>0</v>
      </c>
    </row>
    <row r="101" spans="1:17" ht="27.75" x14ac:dyDescent="0.3">
      <c r="A101" s="120" t="s">
        <v>1097</v>
      </c>
      <c r="B101" s="121"/>
      <c r="C101" s="121"/>
      <c r="D101" s="122">
        <v>90000</v>
      </c>
      <c r="E101" s="122">
        <v>20</v>
      </c>
      <c r="F101" s="122">
        <v>20</v>
      </c>
      <c r="G101" s="123" t="s">
        <v>1096</v>
      </c>
      <c r="H101" s="122"/>
      <c r="I101" s="122" t="b">
        <v>0</v>
      </c>
      <c r="J101" s="124" t="b">
        <v>0</v>
      </c>
      <c r="K101" s="124" t="b">
        <v>1</v>
      </c>
      <c r="L101" s="122" t="s">
        <v>235</v>
      </c>
      <c r="M101" s="122" t="s">
        <v>1115</v>
      </c>
      <c r="N101" s="122" t="s">
        <v>268</v>
      </c>
      <c r="O101" s="121" t="s">
        <v>269</v>
      </c>
      <c r="P101" s="121" t="b">
        <v>0</v>
      </c>
      <c r="Q101" s="124" t="b">
        <v>0</v>
      </c>
    </row>
    <row r="102" spans="1:17" x14ac:dyDescent="0.3">
      <c r="A102" s="120" t="s">
        <v>1098</v>
      </c>
      <c r="B102" s="121"/>
      <c r="C102" s="121"/>
      <c r="D102" s="122">
        <v>1000</v>
      </c>
      <c r="E102" s="122">
        <v>0</v>
      </c>
      <c r="F102" s="122">
        <v>0</v>
      </c>
      <c r="G102" s="123" t="s">
        <v>173</v>
      </c>
      <c r="H102" s="122"/>
      <c r="I102" s="122" t="b">
        <v>0</v>
      </c>
      <c r="J102" s="124" t="b">
        <v>0</v>
      </c>
      <c r="K102" s="124" t="b">
        <v>1</v>
      </c>
      <c r="L102" s="122" t="s">
        <v>1090</v>
      </c>
      <c r="M102" s="122"/>
      <c r="N102" s="122"/>
      <c r="O102" s="121" t="s">
        <v>1301</v>
      </c>
      <c r="P102" s="121" t="b">
        <v>0</v>
      </c>
      <c r="Q102" s="124" t="b">
        <v>0</v>
      </c>
    </row>
    <row r="103" spans="1:17" x14ac:dyDescent="0.3">
      <c r="A103" s="120" t="s">
        <v>270</v>
      </c>
      <c r="B103" s="121" t="s">
        <v>239</v>
      </c>
      <c r="C103" s="121" t="s">
        <v>1246</v>
      </c>
      <c r="D103" s="122">
        <v>10000</v>
      </c>
      <c r="E103" s="122">
        <v>0</v>
      </c>
      <c r="F103" s="122">
        <v>0</v>
      </c>
      <c r="G103" s="123" t="str">
        <f t="shared" ref="G103:G187" si="5">A103&amp;".buffeffect"</f>
        <v>Sector03.theomega_3.skill03.end.buff01.buffeffect</v>
      </c>
      <c r="H103" s="122"/>
      <c r="I103" s="122" t="b">
        <v>0</v>
      </c>
      <c r="J103" s="124" t="b">
        <v>0</v>
      </c>
      <c r="K103" s="124" t="b">
        <v>0</v>
      </c>
      <c r="L103" s="122" t="s">
        <v>55</v>
      </c>
      <c r="M103" s="122" t="s">
        <v>241</v>
      </c>
      <c r="N103" s="122" t="s">
        <v>242</v>
      </c>
      <c r="O103" s="121" t="s">
        <v>1306</v>
      </c>
      <c r="P103" s="121" t="b">
        <v>0</v>
      </c>
      <c r="Q103" s="124" t="b">
        <v>0</v>
      </c>
    </row>
    <row r="104" spans="1:17" x14ac:dyDescent="0.3">
      <c r="A104" s="120" t="s">
        <v>272</v>
      </c>
      <c r="B104" s="121" t="s">
        <v>239</v>
      </c>
      <c r="C104" s="121" t="s">
        <v>1247</v>
      </c>
      <c r="D104" s="122">
        <v>10000</v>
      </c>
      <c r="E104" s="122">
        <v>0</v>
      </c>
      <c r="F104" s="122">
        <v>0</v>
      </c>
      <c r="G104" s="123" t="str">
        <f t="shared" si="5"/>
        <v>Sector03.theomega_3.skill03.end.buff02.buffeffect</v>
      </c>
      <c r="H104" s="122"/>
      <c r="I104" s="122" t="b">
        <v>0</v>
      </c>
      <c r="J104" s="124" t="b">
        <v>0</v>
      </c>
      <c r="K104" s="124" t="b">
        <v>1</v>
      </c>
      <c r="L104" s="122" t="s">
        <v>63</v>
      </c>
      <c r="M104" s="122" t="s">
        <v>109</v>
      </c>
      <c r="N104" s="122" t="s">
        <v>110</v>
      </c>
      <c r="O104" s="121" t="s">
        <v>1307</v>
      </c>
      <c r="P104" s="121" t="b">
        <v>0</v>
      </c>
      <c r="Q104" s="124" t="b">
        <v>0</v>
      </c>
    </row>
    <row r="105" spans="1:17" x14ac:dyDescent="0.3">
      <c r="A105" s="120" t="s">
        <v>274</v>
      </c>
      <c r="B105" s="121"/>
      <c r="C105" s="121"/>
      <c r="D105" s="122">
        <v>0</v>
      </c>
      <c r="E105" s="122">
        <v>0</v>
      </c>
      <c r="F105" s="122">
        <v>0</v>
      </c>
      <c r="G105" s="123" t="str">
        <f t="shared" si="5"/>
        <v>Sector03.theomega_3.skill04.trigger.buff.buffeffect</v>
      </c>
      <c r="H105" s="122"/>
      <c r="I105" s="122" t="b">
        <v>0</v>
      </c>
      <c r="J105" s="124" t="b">
        <v>0</v>
      </c>
      <c r="K105" s="124" t="b">
        <v>1</v>
      </c>
      <c r="L105" s="122"/>
      <c r="M105" s="122"/>
      <c r="N105" s="122"/>
      <c r="O105" s="121" t="s">
        <v>1301</v>
      </c>
      <c r="P105" s="121" t="b">
        <v>0</v>
      </c>
      <c r="Q105" s="124" t="b">
        <v>0</v>
      </c>
    </row>
    <row r="106" spans="1:17" x14ac:dyDescent="0.3">
      <c r="A106" s="120" t="s">
        <v>276</v>
      </c>
      <c r="B106" s="121"/>
      <c r="C106" s="121"/>
      <c r="D106" s="122">
        <v>200</v>
      </c>
      <c r="E106" s="122">
        <v>0</v>
      </c>
      <c r="F106" s="122">
        <v>0</v>
      </c>
      <c r="G106" s="123" t="str">
        <f t="shared" si="5"/>
        <v>Sector03.theomega_3.skill04.knoback.buff.buffeffect</v>
      </c>
      <c r="H106" s="122"/>
      <c r="I106" s="122" t="b">
        <v>0</v>
      </c>
      <c r="J106" s="124" t="b">
        <v>0</v>
      </c>
      <c r="K106" s="124" t="b">
        <v>0</v>
      </c>
      <c r="L106" s="122"/>
      <c r="M106" s="122"/>
      <c r="N106" s="122" t="s">
        <v>72</v>
      </c>
      <c r="O106" s="121" t="s">
        <v>1300</v>
      </c>
      <c r="P106" s="121" t="b">
        <v>0</v>
      </c>
      <c r="Q106" s="124" t="b">
        <v>0</v>
      </c>
    </row>
    <row r="107" spans="1:17" x14ac:dyDescent="0.3">
      <c r="A107" s="120" t="s">
        <v>278</v>
      </c>
      <c r="B107" s="121"/>
      <c r="C107" s="121"/>
      <c r="D107" s="122">
        <v>3000</v>
      </c>
      <c r="E107" s="122">
        <v>0</v>
      </c>
      <c r="F107" s="122">
        <v>0</v>
      </c>
      <c r="G107" s="123" t="str">
        <f t="shared" si="5"/>
        <v>Sector03.theomega_3.skill04.stun.buff.buffeffect</v>
      </c>
      <c r="H107" s="122"/>
      <c r="I107" s="122" t="b">
        <v>0</v>
      </c>
      <c r="J107" s="124" t="b">
        <v>0</v>
      </c>
      <c r="K107" s="124" t="b">
        <v>0</v>
      </c>
      <c r="L107" s="122" t="s">
        <v>67</v>
      </c>
      <c r="M107" s="122" t="s">
        <v>68</v>
      </c>
      <c r="N107" s="122" t="s">
        <v>69</v>
      </c>
      <c r="O107" s="121" t="s">
        <v>1303</v>
      </c>
      <c r="P107" s="121" t="b">
        <v>0</v>
      </c>
      <c r="Q107" s="124" t="b">
        <v>0</v>
      </c>
    </row>
    <row r="108" spans="1:17" x14ac:dyDescent="0.3">
      <c r="A108" s="120" t="s">
        <v>280</v>
      </c>
      <c r="B108" s="121"/>
      <c r="C108" s="121"/>
      <c r="D108" s="122">
        <v>0</v>
      </c>
      <c r="E108" s="122">
        <v>0</v>
      </c>
      <c r="F108" s="122">
        <v>0</v>
      </c>
      <c r="G108" s="123" t="str">
        <f t="shared" si="5"/>
        <v>Sector03.theomega_3.passive01.buff.buffeffect</v>
      </c>
      <c r="H108" s="122"/>
      <c r="I108" s="122" t="b">
        <v>0</v>
      </c>
      <c r="J108" s="124" t="b">
        <v>0</v>
      </c>
      <c r="K108" s="124" t="b">
        <v>1</v>
      </c>
      <c r="L108" s="122"/>
      <c r="M108" s="122" t="s">
        <v>84</v>
      </c>
      <c r="N108" s="122" t="s">
        <v>85</v>
      </c>
      <c r="O108" s="121" t="s">
        <v>1309</v>
      </c>
      <c r="P108" s="121" t="b">
        <v>0</v>
      </c>
      <c r="Q108" s="124" t="b">
        <v>0</v>
      </c>
    </row>
    <row r="109" spans="1:17" x14ac:dyDescent="0.3">
      <c r="A109" s="120" t="s">
        <v>282</v>
      </c>
      <c r="B109" s="121"/>
      <c r="C109" s="121"/>
      <c r="D109" s="122">
        <v>10000</v>
      </c>
      <c r="E109" s="122">
        <v>0</v>
      </c>
      <c r="F109" s="122">
        <v>0</v>
      </c>
      <c r="G109" s="123" t="str">
        <f t="shared" si="5"/>
        <v>Sector03.theomega_3.passive01.buff.buffeffect.skilleffect.buff.buffeffect</v>
      </c>
      <c r="H109" s="122"/>
      <c r="I109" s="122" t="b">
        <v>0</v>
      </c>
      <c r="J109" s="124" t="b">
        <v>0</v>
      </c>
      <c r="K109" s="124" t="b">
        <v>1</v>
      </c>
      <c r="L109" s="122" t="s">
        <v>63</v>
      </c>
      <c r="M109" s="122" t="s">
        <v>84</v>
      </c>
      <c r="N109" s="122" t="s">
        <v>85</v>
      </c>
      <c r="O109" s="121" t="s">
        <v>1309</v>
      </c>
      <c r="P109" s="121" t="b">
        <v>0</v>
      </c>
      <c r="Q109" s="124" t="b">
        <v>0</v>
      </c>
    </row>
    <row r="110" spans="1:17" x14ac:dyDescent="0.3">
      <c r="A110" s="106" t="s">
        <v>284</v>
      </c>
      <c r="B110" s="41"/>
      <c r="C110" s="41"/>
      <c r="D110" s="107">
        <v>6000</v>
      </c>
      <c r="E110" s="107">
        <v>0</v>
      </c>
      <c r="F110" s="107">
        <v>0</v>
      </c>
      <c r="G110" s="108" t="str">
        <f t="shared" si="5"/>
        <v>Sector04.friendly_staffpatrol_1.skill01.effect01.buff.buffeffect</v>
      </c>
      <c r="H110" s="107"/>
      <c r="I110" s="107" t="b">
        <v>0</v>
      </c>
      <c r="J110" s="98" t="b">
        <v>0</v>
      </c>
      <c r="K110" s="98" t="b">
        <v>1</v>
      </c>
      <c r="L110" s="107" t="s">
        <v>63</v>
      </c>
      <c r="M110" s="107" t="s">
        <v>84</v>
      </c>
      <c r="N110" s="107" t="s">
        <v>85</v>
      </c>
      <c r="O110" s="41" t="s">
        <v>1309</v>
      </c>
      <c r="P110" s="41" t="b">
        <v>0</v>
      </c>
      <c r="Q110" s="98" t="b">
        <v>0</v>
      </c>
    </row>
    <row r="111" spans="1:17" x14ac:dyDescent="0.3">
      <c r="A111" s="106" t="s">
        <v>286</v>
      </c>
      <c r="B111" s="41"/>
      <c r="C111" s="41"/>
      <c r="D111" s="107">
        <v>6000</v>
      </c>
      <c r="E111" s="107">
        <v>5</v>
      </c>
      <c r="F111" s="107">
        <v>1</v>
      </c>
      <c r="G111" s="108" t="str">
        <f t="shared" si="5"/>
        <v>Sector04.friendly_sicklepatrol_1.skill01.effect01.bleeding01.buff.buffeffect</v>
      </c>
      <c r="H111" s="107"/>
      <c r="I111" s="107" t="b">
        <v>0</v>
      </c>
      <c r="J111" s="98" t="b">
        <v>0</v>
      </c>
      <c r="K111" s="98" t="b">
        <v>0</v>
      </c>
      <c r="L111" s="107" t="s">
        <v>51</v>
      </c>
      <c r="M111" s="107" t="s">
        <v>52</v>
      </c>
      <c r="N111" s="107" t="s">
        <v>53</v>
      </c>
      <c r="O111" s="41" t="s">
        <v>1311</v>
      </c>
      <c r="P111" s="41" t="b">
        <v>0</v>
      </c>
      <c r="Q111" s="98" t="b">
        <v>0</v>
      </c>
    </row>
    <row r="112" spans="1:17" x14ac:dyDescent="0.3">
      <c r="A112" s="106" t="s">
        <v>1127</v>
      </c>
      <c r="B112" s="41"/>
      <c r="C112" s="41"/>
      <c r="D112" s="107">
        <v>6000</v>
      </c>
      <c r="E112" s="107">
        <v>5</v>
      </c>
      <c r="F112" s="107">
        <v>1</v>
      </c>
      <c r="G112" s="108" t="str">
        <f t="shared" si="5"/>
        <v>Sector04.friendly_security_1.skill01.effect01.bleeding01.buff.buffeffect</v>
      </c>
      <c r="H112" s="107"/>
      <c r="I112" s="107" t="b">
        <v>0</v>
      </c>
      <c r="J112" s="98" t="b">
        <v>0</v>
      </c>
      <c r="K112" s="98" t="b">
        <v>0</v>
      </c>
      <c r="L112" s="107" t="s">
        <v>51</v>
      </c>
      <c r="M112" s="107" t="s">
        <v>52</v>
      </c>
      <c r="N112" s="107" t="s">
        <v>53</v>
      </c>
      <c r="O112" s="41" t="s">
        <v>1311</v>
      </c>
      <c r="P112" s="41" t="b">
        <v>0</v>
      </c>
      <c r="Q112" s="98" t="b">
        <v>0</v>
      </c>
    </row>
    <row r="113" spans="1:17" x14ac:dyDescent="0.3">
      <c r="A113" s="106" t="s">
        <v>288</v>
      </c>
      <c r="B113" s="41"/>
      <c r="C113" s="41"/>
      <c r="D113" s="107">
        <v>500</v>
      </c>
      <c r="E113" s="107">
        <v>0</v>
      </c>
      <c r="F113" s="107">
        <v>0</v>
      </c>
      <c r="G113" s="108" t="str">
        <f t="shared" si="5"/>
        <v>Sector04.friendly_railgun_1.skill03.effect01.knockback01.buff.buffeffect</v>
      </c>
      <c r="H113" s="107"/>
      <c r="I113" s="107" t="b">
        <v>0</v>
      </c>
      <c r="J113" s="98" t="b">
        <v>0</v>
      </c>
      <c r="K113" s="98" t="b">
        <v>0</v>
      </c>
      <c r="L113" s="107"/>
      <c r="M113" s="107"/>
      <c r="N113" s="107" t="s">
        <v>72</v>
      </c>
      <c r="O113" s="41" t="s">
        <v>1300</v>
      </c>
      <c r="P113" s="41" t="b">
        <v>0</v>
      </c>
      <c r="Q113" s="98" t="b">
        <v>0</v>
      </c>
    </row>
    <row r="114" spans="1:17" x14ac:dyDescent="0.3">
      <c r="A114" s="106" t="s">
        <v>290</v>
      </c>
      <c r="B114" s="41"/>
      <c r="C114" s="41"/>
      <c r="D114" s="107">
        <v>5000</v>
      </c>
      <c r="E114" s="107">
        <v>0</v>
      </c>
      <c r="F114" s="107">
        <v>0</v>
      </c>
      <c r="G114" s="108" t="str">
        <f t="shared" si="5"/>
        <v>Sector04.friendly_railgun_1.skill03.effect02.stun.buff.buffeffect</v>
      </c>
      <c r="H114" s="107"/>
      <c r="I114" s="107" t="b">
        <v>0</v>
      </c>
      <c r="J114" s="98" t="b">
        <v>0</v>
      </c>
      <c r="K114" s="98" t="b">
        <v>0</v>
      </c>
      <c r="L114" s="107" t="s">
        <v>67</v>
      </c>
      <c r="M114" s="107" t="s">
        <v>68</v>
      </c>
      <c r="N114" s="107" t="s">
        <v>69</v>
      </c>
      <c r="O114" s="41" t="s">
        <v>1303</v>
      </c>
      <c r="P114" s="41" t="b">
        <v>0</v>
      </c>
      <c r="Q114" s="98" t="b">
        <v>0</v>
      </c>
    </row>
    <row r="115" spans="1:17" x14ac:dyDescent="0.3">
      <c r="A115" s="106" t="s">
        <v>292</v>
      </c>
      <c r="B115" s="41"/>
      <c r="C115" s="41"/>
      <c r="D115" s="107">
        <v>2000</v>
      </c>
      <c r="E115" s="107">
        <v>0</v>
      </c>
      <c r="F115" s="107">
        <v>0</v>
      </c>
      <c r="G115" s="108" t="str">
        <f t="shared" si="5"/>
        <v>Sector04.friendly_punch_1.skill01.effect01.stun01.buff.buffeffect</v>
      </c>
      <c r="H115" s="107"/>
      <c r="I115" s="107" t="b">
        <v>0</v>
      </c>
      <c r="J115" s="98" t="b">
        <v>0</v>
      </c>
      <c r="K115" s="98" t="b">
        <v>0</v>
      </c>
      <c r="L115" s="107" t="s">
        <v>67</v>
      </c>
      <c r="M115" s="107" t="s">
        <v>68</v>
      </c>
      <c r="N115" s="107" t="s">
        <v>69</v>
      </c>
      <c r="O115" s="41" t="s">
        <v>1303</v>
      </c>
      <c r="P115" s="41" t="b">
        <v>0</v>
      </c>
      <c r="Q115" s="98" t="b">
        <v>0</v>
      </c>
    </row>
    <row r="116" spans="1:17" x14ac:dyDescent="0.3">
      <c r="A116" s="106" t="s">
        <v>294</v>
      </c>
      <c r="B116" s="41"/>
      <c r="C116" s="41"/>
      <c r="D116" s="107">
        <v>300</v>
      </c>
      <c r="E116" s="107">
        <v>0</v>
      </c>
      <c r="F116" s="107">
        <v>0</v>
      </c>
      <c r="G116" s="108" t="str">
        <f t="shared" si="5"/>
        <v>Sector04.friendly_punch_1.skill02.effect01.knockback01.buff.buffeffect</v>
      </c>
      <c r="H116" s="107"/>
      <c r="I116" s="107" t="b">
        <v>0</v>
      </c>
      <c r="J116" s="98" t="b">
        <v>0</v>
      </c>
      <c r="K116" s="98" t="b">
        <v>0</v>
      </c>
      <c r="L116" s="107"/>
      <c r="M116" s="107"/>
      <c r="N116" s="107" t="s">
        <v>72</v>
      </c>
      <c r="O116" s="41" t="s">
        <v>1300</v>
      </c>
      <c r="P116" s="41" t="b">
        <v>0</v>
      </c>
      <c r="Q116" s="98" t="b">
        <v>0</v>
      </c>
    </row>
    <row r="117" spans="1:17" x14ac:dyDescent="0.3">
      <c r="A117" s="106" t="s">
        <v>296</v>
      </c>
      <c r="B117" s="41"/>
      <c r="C117" s="41"/>
      <c r="D117" s="107">
        <v>20000</v>
      </c>
      <c r="E117" s="107">
        <v>0</v>
      </c>
      <c r="F117" s="107">
        <v>0</v>
      </c>
      <c r="G117" s="108" t="str">
        <f t="shared" si="5"/>
        <v>Sector04.friendly_punch_1.skill03.effect01.buff01.buffeffect</v>
      </c>
      <c r="H117" s="107"/>
      <c r="I117" s="107" t="b">
        <v>0</v>
      </c>
      <c r="J117" s="98" t="b">
        <v>0</v>
      </c>
      <c r="K117" s="98" t="b">
        <v>1</v>
      </c>
      <c r="L117" s="107" t="s">
        <v>298</v>
      </c>
      <c r="M117" s="107" t="s">
        <v>80</v>
      </c>
      <c r="N117" s="107" t="s">
        <v>81</v>
      </c>
      <c r="O117" s="41" t="s">
        <v>1296</v>
      </c>
      <c r="P117" s="41" t="b">
        <v>0</v>
      </c>
      <c r="Q117" s="98" t="b">
        <v>0</v>
      </c>
    </row>
    <row r="118" spans="1:17" x14ac:dyDescent="0.3">
      <c r="A118" s="106" t="s">
        <v>299</v>
      </c>
      <c r="B118" s="41"/>
      <c r="C118" s="41"/>
      <c r="D118" s="107">
        <v>3000</v>
      </c>
      <c r="E118" s="107">
        <v>0</v>
      </c>
      <c r="F118" s="107">
        <v>0</v>
      </c>
      <c r="G118" s="108" t="str">
        <f t="shared" si="5"/>
        <v>Sector04.friendly_punch_1.skill03.effect01.buff02.buffeffect</v>
      </c>
      <c r="H118" s="107"/>
      <c r="I118" s="107" t="b">
        <v>0</v>
      </c>
      <c r="J118" s="98" t="b">
        <v>0</v>
      </c>
      <c r="K118" s="98" t="b">
        <v>1</v>
      </c>
      <c r="L118" s="107" t="s">
        <v>63</v>
      </c>
      <c r="M118" s="107" t="s">
        <v>301</v>
      </c>
      <c r="N118" s="107" t="s">
        <v>963</v>
      </c>
      <c r="O118" s="41" t="s">
        <v>1318</v>
      </c>
      <c r="P118" s="41" t="b">
        <v>0</v>
      </c>
      <c r="Q118" s="98" t="b">
        <v>0</v>
      </c>
    </row>
    <row r="119" spans="1:17" x14ac:dyDescent="0.3">
      <c r="A119" s="106" t="s">
        <v>303</v>
      </c>
      <c r="B119" s="41"/>
      <c r="C119" s="41"/>
      <c r="D119" s="107">
        <v>10000</v>
      </c>
      <c r="E119" s="107">
        <v>0</v>
      </c>
      <c r="F119" s="107">
        <v>0</v>
      </c>
      <c r="G119" s="108" t="str">
        <f t="shared" si="5"/>
        <v>Sector04.friendly_pincers_1.skill01.effect01.buff.buffeffect</v>
      </c>
      <c r="H119" s="107"/>
      <c r="I119" s="107" t="b">
        <v>0</v>
      </c>
      <c r="J119" s="98" t="b">
        <v>1</v>
      </c>
      <c r="K119" s="98" t="b">
        <v>0</v>
      </c>
      <c r="L119" s="107"/>
      <c r="M119" s="107"/>
      <c r="N119" s="107" t="s">
        <v>305</v>
      </c>
      <c r="O119" s="41" t="s">
        <v>1312</v>
      </c>
      <c r="P119" s="41" t="b">
        <v>0</v>
      </c>
      <c r="Q119" s="98" t="b">
        <v>0</v>
      </c>
    </row>
    <row r="120" spans="1:17" x14ac:dyDescent="0.3">
      <c r="A120" s="106" t="s">
        <v>306</v>
      </c>
      <c r="B120" s="41"/>
      <c r="C120" s="41"/>
      <c r="D120" s="107">
        <v>6000</v>
      </c>
      <c r="E120" s="107">
        <v>0</v>
      </c>
      <c r="F120" s="107">
        <v>0</v>
      </c>
      <c r="G120" s="108" t="str">
        <f t="shared" si="5"/>
        <v>Sector04.friendly_pincers_1.skill01.effect01.atkdown01.buff.buffeffect</v>
      </c>
      <c r="H120" s="107"/>
      <c r="I120" s="107" t="b">
        <v>0</v>
      </c>
      <c r="J120" s="98" t="b">
        <v>0</v>
      </c>
      <c r="K120" s="98" t="b">
        <v>0</v>
      </c>
      <c r="L120" s="107" t="s">
        <v>55</v>
      </c>
      <c r="M120" s="107" t="s">
        <v>109</v>
      </c>
      <c r="N120" s="107" t="s">
        <v>308</v>
      </c>
      <c r="O120" s="41" t="s">
        <v>1313</v>
      </c>
      <c r="P120" s="41" t="b">
        <v>0</v>
      </c>
      <c r="Q120" s="98" t="b">
        <v>0</v>
      </c>
    </row>
    <row r="121" spans="1:17" x14ac:dyDescent="0.3">
      <c r="A121" s="125" t="s">
        <v>309</v>
      </c>
      <c r="B121" s="126"/>
      <c r="C121" s="126"/>
      <c r="D121" s="127">
        <v>6000</v>
      </c>
      <c r="E121" s="127">
        <v>5</v>
      </c>
      <c r="F121" s="127">
        <v>1</v>
      </c>
      <c r="G121" s="128" t="str">
        <f t="shared" si="5"/>
        <v>Sector04.nullaxe_1.attack.bleeding01.buff.buffeffect</v>
      </c>
      <c r="H121" s="127"/>
      <c r="I121" s="127" t="b">
        <v>0</v>
      </c>
      <c r="J121" s="129" t="b">
        <v>0</v>
      </c>
      <c r="K121" s="129" t="b">
        <v>0</v>
      </c>
      <c r="L121" s="127" t="s">
        <v>51</v>
      </c>
      <c r="M121" s="127" t="s">
        <v>52</v>
      </c>
      <c r="N121" s="127" t="s">
        <v>53</v>
      </c>
      <c r="O121" s="126" t="s">
        <v>1311</v>
      </c>
      <c r="P121" s="126" t="b">
        <v>0</v>
      </c>
      <c r="Q121" s="129" t="b">
        <v>0</v>
      </c>
    </row>
    <row r="122" spans="1:17" x14ac:dyDescent="0.3">
      <c r="A122" s="125" t="s">
        <v>311</v>
      </c>
      <c r="B122" s="126"/>
      <c r="C122" s="126"/>
      <c r="D122" s="127">
        <v>600</v>
      </c>
      <c r="E122" s="127">
        <v>0</v>
      </c>
      <c r="F122" s="127">
        <v>0</v>
      </c>
      <c r="G122" s="128" t="str">
        <f t="shared" si="5"/>
        <v>Sector04.nullaxe_1.skill01.effect01.knockback01.buff.buffeffect</v>
      </c>
      <c r="H122" s="127"/>
      <c r="I122" s="127" t="b">
        <v>0</v>
      </c>
      <c r="J122" s="129" t="b">
        <v>0</v>
      </c>
      <c r="K122" s="129" t="b">
        <v>0</v>
      </c>
      <c r="L122" s="127"/>
      <c r="M122" s="127"/>
      <c r="N122" s="127" t="s">
        <v>72</v>
      </c>
      <c r="O122" s="126" t="s">
        <v>1300</v>
      </c>
      <c r="P122" s="126" t="b">
        <v>0</v>
      </c>
      <c r="Q122" s="129" t="b">
        <v>0</v>
      </c>
    </row>
    <row r="123" spans="1:17" x14ac:dyDescent="0.3">
      <c r="A123" s="125" t="s">
        <v>313</v>
      </c>
      <c r="B123" s="126"/>
      <c r="C123" s="126"/>
      <c r="D123" s="127">
        <v>4000</v>
      </c>
      <c r="E123" s="127">
        <v>0</v>
      </c>
      <c r="F123" s="127">
        <v>0</v>
      </c>
      <c r="G123" s="128" t="str">
        <f t="shared" si="5"/>
        <v>Sector04.nullaxe_1.skill01.effect02.stun01.buff.buffeffect</v>
      </c>
      <c r="H123" s="127"/>
      <c r="I123" s="127" t="b">
        <v>0</v>
      </c>
      <c r="J123" s="129" t="b">
        <v>0</v>
      </c>
      <c r="K123" s="129" t="b">
        <v>0</v>
      </c>
      <c r="L123" s="127" t="s">
        <v>67</v>
      </c>
      <c r="M123" s="127" t="s">
        <v>68</v>
      </c>
      <c r="N123" s="127" t="s">
        <v>69</v>
      </c>
      <c r="O123" s="126" t="s">
        <v>1303</v>
      </c>
      <c r="P123" s="126" t="b">
        <v>0</v>
      </c>
      <c r="Q123" s="129" t="b">
        <v>0</v>
      </c>
    </row>
    <row r="124" spans="1:17" x14ac:dyDescent="0.3">
      <c r="A124" s="125" t="s">
        <v>315</v>
      </c>
      <c r="B124" s="126"/>
      <c r="C124" s="126"/>
      <c r="D124" s="127">
        <v>0</v>
      </c>
      <c r="E124" s="127">
        <v>9999</v>
      </c>
      <c r="F124" s="127">
        <v>1</v>
      </c>
      <c r="G124" s="128" t="str">
        <f t="shared" si="5"/>
        <v>Sector04.nullaxe_1.skill02.effect02.buff.buffeffect</v>
      </c>
      <c r="H124" s="127"/>
      <c r="I124" s="127" t="b">
        <v>0</v>
      </c>
      <c r="J124" s="129" t="b">
        <v>0</v>
      </c>
      <c r="K124" s="129" t="b">
        <v>1</v>
      </c>
      <c r="L124" s="127" t="s">
        <v>298</v>
      </c>
      <c r="M124" s="127" t="s">
        <v>317</v>
      </c>
      <c r="N124" s="127" t="s">
        <v>85</v>
      </c>
      <c r="O124" s="126" t="s">
        <v>1309</v>
      </c>
      <c r="P124" s="126" t="b">
        <v>0</v>
      </c>
      <c r="Q124" s="129" t="b">
        <v>0</v>
      </c>
    </row>
    <row r="125" spans="1:17" x14ac:dyDescent="0.3">
      <c r="A125" s="125" t="s">
        <v>318</v>
      </c>
      <c r="B125" s="126"/>
      <c r="C125" s="126"/>
      <c r="D125" s="127">
        <v>0</v>
      </c>
      <c r="E125" s="127">
        <v>0</v>
      </c>
      <c r="F125" s="127">
        <v>0</v>
      </c>
      <c r="G125" s="128" t="str">
        <f t="shared" si="5"/>
        <v>Sector04.nullaxe_1.skill03.pre.buff.buffeffect</v>
      </c>
      <c r="H125" s="127"/>
      <c r="I125" s="127" t="b">
        <v>0</v>
      </c>
      <c r="J125" s="129" t="b">
        <v>0</v>
      </c>
      <c r="K125" s="129" t="b">
        <v>1</v>
      </c>
      <c r="L125" s="127" t="s">
        <v>63</v>
      </c>
      <c r="M125" s="127" t="s">
        <v>301</v>
      </c>
      <c r="N125" s="127" t="s">
        <v>963</v>
      </c>
      <c r="O125" s="126" t="s">
        <v>1318</v>
      </c>
      <c r="P125" s="126" t="b">
        <v>0</v>
      </c>
      <c r="Q125" s="129" t="b">
        <v>0</v>
      </c>
    </row>
    <row r="126" spans="1:17" x14ac:dyDescent="0.3">
      <c r="A126" s="125" t="s">
        <v>320</v>
      </c>
      <c r="B126" s="126"/>
      <c r="C126" s="126"/>
      <c r="D126" s="127">
        <v>0</v>
      </c>
      <c r="E126" s="127">
        <v>0</v>
      </c>
      <c r="F126" s="127">
        <v>0</v>
      </c>
      <c r="G126" s="128" t="str">
        <f t="shared" si="5"/>
        <v>Sector04.nullaxe_1.passive01.buff.buffeffect</v>
      </c>
      <c r="H126" s="127"/>
      <c r="I126" s="127" t="b">
        <v>0</v>
      </c>
      <c r="J126" s="129" t="b">
        <v>0</v>
      </c>
      <c r="K126" s="129" t="b">
        <v>1</v>
      </c>
      <c r="L126" s="127"/>
      <c r="M126" s="127"/>
      <c r="N126" s="127"/>
      <c r="O126" s="126" t="s">
        <v>1301</v>
      </c>
      <c r="P126" s="126" t="b">
        <v>0</v>
      </c>
      <c r="Q126" s="129" t="b">
        <v>0</v>
      </c>
    </row>
    <row r="127" spans="1:17" x14ac:dyDescent="0.3">
      <c r="A127" s="125" t="s">
        <v>322</v>
      </c>
      <c r="B127" s="126"/>
      <c r="C127" s="126"/>
      <c r="D127" s="127">
        <v>0</v>
      </c>
      <c r="E127" s="127">
        <v>0</v>
      </c>
      <c r="F127" s="127">
        <v>0</v>
      </c>
      <c r="G127" s="128" t="str">
        <f t="shared" si="5"/>
        <v>Sector04.nullaxe_1.passive02.buff.buffeffect</v>
      </c>
      <c r="H127" s="127"/>
      <c r="I127" s="127" t="b">
        <v>0</v>
      </c>
      <c r="J127" s="129" t="b">
        <v>0</v>
      </c>
      <c r="K127" s="129" t="b">
        <v>1</v>
      </c>
      <c r="L127" s="127"/>
      <c r="M127" s="127"/>
      <c r="N127" s="127"/>
      <c r="O127" s="132" t="s">
        <v>1301</v>
      </c>
      <c r="P127" s="126" t="b">
        <v>0</v>
      </c>
      <c r="Q127" s="129" t="b">
        <v>0</v>
      </c>
    </row>
    <row r="128" spans="1:17" x14ac:dyDescent="0.3">
      <c r="A128" s="109" t="s">
        <v>324</v>
      </c>
      <c r="B128" s="42"/>
      <c r="C128" s="42"/>
      <c r="D128" s="110">
        <v>1500</v>
      </c>
      <c r="E128" s="110">
        <v>0</v>
      </c>
      <c r="F128" s="110">
        <v>0</v>
      </c>
      <c r="G128" s="111" t="str">
        <f t="shared" si="5"/>
        <v>Sector04.nullaxe_2.attack.hpdrain.buff.buffeffect</v>
      </c>
      <c r="H128" s="110"/>
      <c r="I128" s="76" t="b">
        <v>0</v>
      </c>
      <c r="J128" s="99" t="b">
        <v>0</v>
      </c>
      <c r="K128" s="99" t="b">
        <v>1</v>
      </c>
      <c r="L128" s="110"/>
      <c r="M128" s="110"/>
      <c r="N128" s="110"/>
      <c r="O128" s="40" t="s">
        <v>1301</v>
      </c>
      <c r="P128" s="42" t="b">
        <v>0</v>
      </c>
      <c r="Q128" s="99" t="b">
        <v>0</v>
      </c>
    </row>
    <row r="129" spans="1:17" x14ac:dyDescent="0.3">
      <c r="A129" s="109" t="s">
        <v>326</v>
      </c>
      <c r="B129" s="42"/>
      <c r="C129" s="42"/>
      <c r="D129" s="110">
        <v>6000</v>
      </c>
      <c r="E129" s="110">
        <v>5</v>
      </c>
      <c r="F129" s="110">
        <v>1</v>
      </c>
      <c r="G129" s="111" t="str">
        <f t="shared" si="5"/>
        <v>Sector04.nullaxe_2.attack.bleeding01.buff.buffeffect</v>
      </c>
      <c r="H129" s="110"/>
      <c r="I129" s="76" t="b">
        <v>0</v>
      </c>
      <c r="J129" s="99" t="b">
        <v>0</v>
      </c>
      <c r="K129" s="99" t="b">
        <v>0</v>
      </c>
      <c r="L129" s="110" t="s">
        <v>51</v>
      </c>
      <c r="M129" s="110" t="s">
        <v>52</v>
      </c>
      <c r="N129" s="110" t="s">
        <v>53</v>
      </c>
      <c r="O129" s="42" t="s">
        <v>1311</v>
      </c>
      <c r="P129" s="42" t="b">
        <v>0</v>
      </c>
      <c r="Q129" s="99" t="b">
        <v>0</v>
      </c>
    </row>
    <row r="130" spans="1:17" x14ac:dyDescent="0.3">
      <c r="A130" s="109" t="s">
        <v>328</v>
      </c>
      <c r="B130" s="42"/>
      <c r="C130" s="42"/>
      <c r="D130" s="110">
        <v>600</v>
      </c>
      <c r="E130" s="110">
        <v>0</v>
      </c>
      <c r="F130" s="110">
        <v>0</v>
      </c>
      <c r="G130" s="111" t="str">
        <f t="shared" si="5"/>
        <v>Sector04.nullaxe_2.skill01.effect01.knockback01.buff.buffeffect</v>
      </c>
      <c r="H130" s="110"/>
      <c r="I130" s="76" t="b">
        <v>0</v>
      </c>
      <c r="J130" s="99" t="b">
        <v>0</v>
      </c>
      <c r="K130" s="99" t="b">
        <v>0</v>
      </c>
      <c r="L130" s="110"/>
      <c r="M130" s="110"/>
      <c r="N130" s="110" t="s">
        <v>72</v>
      </c>
      <c r="O130" s="42" t="s">
        <v>1300</v>
      </c>
      <c r="P130" s="42" t="b">
        <v>0</v>
      </c>
      <c r="Q130" s="99" t="b">
        <v>0</v>
      </c>
    </row>
    <row r="131" spans="1:17" x14ac:dyDescent="0.3">
      <c r="A131" s="109" t="s">
        <v>330</v>
      </c>
      <c r="B131" s="42"/>
      <c r="C131" s="42"/>
      <c r="D131" s="110">
        <v>4000</v>
      </c>
      <c r="E131" s="110">
        <v>0</v>
      </c>
      <c r="F131" s="110">
        <v>0</v>
      </c>
      <c r="G131" s="111" t="str">
        <f t="shared" si="5"/>
        <v>Sector04.nullaxe_2.skill01.effect02.stun01.buff.buffeffect</v>
      </c>
      <c r="H131" s="110"/>
      <c r="I131" s="76" t="b">
        <v>0</v>
      </c>
      <c r="J131" s="99" t="b">
        <v>0</v>
      </c>
      <c r="K131" s="99" t="b">
        <v>0</v>
      </c>
      <c r="L131" s="110" t="s">
        <v>67</v>
      </c>
      <c r="M131" s="110" t="s">
        <v>68</v>
      </c>
      <c r="N131" s="110" t="s">
        <v>69</v>
      </c>
      <c r="O131" s="42" t="s">
        <v>1303</v>
      </c>
      <c r="P131" s="42" t="b">
        <v>0</v>
      </c>
      <c r="Q131" s="99" t="b">
        <v>0</v>
      </c>
    </row>
    <row r="132" spans="1:17" x14ac:dyDescent="0.3">
      <c r="A132" s="109" t="s">
        <v>332</v>
      </c>
      <c r="B132" s="42"/>
      <c r="C132" s="42"/>
      <c r="D132" s="110">
        <v>0</v>
      </c>
      <c r="E132" s="110">
        <v>0</v>
      </c>
      <c r="F132" s="110">
        <v>0</v>
      </c>
      <c r="G132" s="111" t="str">
        <f t="shared" si="5"/>
        <v>Sector04.nullaxe_2.skill02.pre.buff.buffeffect</v>
      </c>
      <c r="H132" s="110"/>
      <c r="I132" s="76" t="b">
        <v>0</v>
      </c>
      <c r="J132" s="99" t="b">
        <v>0</v>
      </c>
      <c r="K132" s="99" t="b">
        <v>1</v>
      </c>
      <c r="L132" s="110"/>
      <c r="M132" s="110"/>
      <c r="N132" s="110"/>
      <c r="O132" s="42"/>
      <c r="P132" s="42" t="b">
        <v>0</v>
      </c>
      <c r="Q132" s="99" t="b">
        <v>0</v>
      </c>
    </row>
    <row r="133" spans="1:17" x14ac:dyDescent="0.3">
      <c r="A133" s="109" t="s">
        <v>334</v>
      </c>
      <c r="B133" s="42"/>
      <c r="C133" s="42"/>
      <c r="D133" s="110">
        <v>0</v>
      </c>
      <c r="E133" s="110">
        <v>9999</v>
      </c>
      <c r="F133" s="110">
        <v>1</v>
      </c>
      <c r="G133" s="111" t="str">
        <f t="shared" si="5"/>
        <v>Sector04.nullaxe_2.skill02.effect02.buff.buffeffect</v>
      </c>
      <c r="H133" s="110"/>
      <c r="I133" s="76" t="b">
        <v>0</v>
      </c>
      <c r="J133" s="99" t="b">
        <v>0</v>
      </c>
      <c r="K133" s="99" t="b">
        <v>1</v>
      </c>
      <c r="L133" s="110" t="s">
        <v>298</v>
      </c>
      <c r="M133" s="110" t="s">
        <v>317</v>
      </c>
      <c r="N133" s="110" t="s">
        <v>85</v>
      </c>
      <c r="O133" s="42" t="s">
        <v>1309</v>
      </c>
      <c r="P133" s="42" t="b">
        <v>0</v>
      </c>
      <c r="Q133" s="99" t="b">
        <v>0</v>
      </c>
    </row>
    <row r="134" spans="1:17" x14ac:dyDescent="0.3">
      <c r="A134" s="109" t="s">
        <v>336</v>
      </c>
      <c r="B134" s="42"/>
      <c r="C134" s="42"/>
      <c r="D134" s="110">
        <v>0</v>
      </c>
      <c r="E134" s="110">
        <v>0</v>
      </c>
      <c r="F134" s="110">
        <v>0</v>
      </c>
      <c r="G134" s="111" t="str">
        <f t="shared" si="5"/>
        <v>Sector04.nullaxe_2.skill03.pre.buff.buffeffect</v>
      </c>
      <c r="H134" s="110"/>
      <c r="I134" s="76" t="b">
        <v>0</v>
      </c>
      <c r="J134" s="99" t="b">
        <v>0</v>
      </c>
      <c r="K134" s="99" t="b">
        <v>1</v>
      </c>
      <c r="L134" s="110" t="s">
        <v>63</v>
      </c>
      <c r="M134" s="110" t="s">
        <v>301</v>
      </c>
      <c r="N134" s="110" t="s">
        <v>963</v>
      </c>
      <c r="O134" s="42" t="s">
        <v>1318</v>
      </c>
      <c r="P134" s="42" t="b">
        <v>0</v>
      </c>
      <c r="Q134" s="99" t="b">
        <v>0</v>
      </c>
    </row>
    <row r="135" spans="1:17" x14ac:dyDescent="0.3">
      <c r="A135" s="109" t="s">
        <v>338</v>
      </c>
      <c r="B135" s="42"/>
      <c r="C135" s="42"/>
      <c r="D135" s="110">
        <v>0</v>
      </c>
      <c r="E135" s="110">
        <v>0</v>
      </c>
      <c r="F135" s="110">
        <v>0</v>
      </c>
      <c r="G135" s="111" t="str">
        <f t="shared" si="5"/>
        <v>Sector04.nullaxe_2.passive01.buff.buffeffect</v>
      </c>
      <c r="H135" s="110"/>
      <c r="I135" s="76" t="b">
        <v>0</v>
      </c>
      <c r="J135" s="99" t="b">
        <v>0</v>
      </c>
      <c r="K135" s="99" t="b">
        <v>1</v>
      </c>
      <c r="L135" s="110"/>
      <c r="M135" s="110"/>
      <c r="N135" s="110"/>
      <c r="O135" s="40" t="s">
        <v>1301</v>
      </c>
      <c r="P135" s="42" t="b">
        <v>0</v>
      </c>
      <c r="Q135" s="99" t="b">
        <v>0</v>
      </c>
    </row>
    <row r="136" spans="1:17" x14ac:dyDescent="0.3">
      <c r="A136" s="109" t="s">
        <v>340</v>
      </c>
      <c r="B136" s="42"/>
      <c r="C136" s="42"/>
      <c r="D136" s="110">
        <v>0</v>
      </c>
      <c r="E136" s="110">
        <v>0</v>
      </c>
      <c r="F136" s="110">
        <v>0</v>
      </c>
      <c r="G136" s="111" t="str">
        <f t="shared" si="5"/>
        <v>Sector04.nullaxe_2.passive02.buff.buffeffect</v>
      </c>
      <c r="H136" s="110"/>
      <c r="I136" s="76" t="b">
        <v>0</v>
      </c>
      <c r="J136" s="99" t="b">
        <v>0</v>
      </c>
      <c r="K136" s="99" t="b">
        <v>1</v>
      </c>
      <c r="L136" s="110"/>
      <c r="M136" s="110"/>
      <c r="N136" s="110"/>
      <c r="O136" s="40" t="s">
        <v>1301</v>
      </c>
      <c r="P136" s="42" t="b">
        <v>0</v>
      </c>
      <c r="Q136" s="99" t="b">
        <v>0</v>
      </c>
    </row>
    <row r="137" spans="1:17" x14ac:dyDescent="0.3">
      <c r="A137" s="109" t="s">
        <v>342</v>
      </c>
      <c r="B137" s="42"/>
      <c r="C137" s="42"/>
      <c r="D137" s="110">
        <v>0</v>
      </c>
      <c r="E137" s="110">
        <v>0</v>
      </c>
      <c r="F137" s="110">
        <v>0</v>
      </c>
      <c r="G137" s="111" t="str">
        <f t="shared" si="5"/>
        <v>Sector04.nullaxe_2.passive03.buff.buffeffect</v>
      </c>
      <c r="H137" s="110"/>
      <c r="I137" s="76" t="b">
        <v>0</v>
      </c>
      <c r="J137" s="99" t="b">
        <v>0</v>
      </c>
      <c r="K137" s="99" t="b">
        <v>1</v>
      </c>
      <c r="L137" s="110"/>
      <c r="M137" s="110"/>
      <c r="N137" s="110"/>
      <c r="O137" s="40" t="s">
        <v>1301</v>
      </c>
      <c r="P137" s="42" t="b">
        <v>0</v>
      </c>
      <c r="Q137" s="99" t="b">
        <v>0</v>
      </c>
    </row>
    <row r="138" spans="1:17" x14ac:dyDescent="0.3">
      <c r="A138" s="115" t="s">
        <v>1077</v>
      </c>
      <c r="B138" s="116"/>
      <c r="C138" s="116"/>
      <c r="D138" s="117">
        <v>0</v>
      </c>
      <c r="E138" s="117">
        <v>0</v>
      </c>
      <c r="F138" s="117">
        <v>0</v>
      </c>
      <c r="G138" s="118" t="str">
        <f t="shared" si="5"/>
        <v>Sector05.common.passive01.buff.buffeffect</v>
      </c>
      <c r="H138" s="117"/>
      <c r="I138" s="117" t="b">
        <v>1</v>
      </c>
      <c r="J138" s="119" t="b">
        <v>0</v>
      </c>
      <c r="K138" s="119" t="b">
        <v>0</v>
      </c>
      <c r="L138" s="117"/>
      <c r="M138" s="117" t="s">
        <v>241</v>
      </c>
      <c r="N138" s="117" t="s">
        <v>242</v>
      </c>
      <c r="O138" s="116" t="s">
        <v>1306</v>
      </c>
      <c r="P138" s="116" t="b">
        <v>0</v>
      </c>
      <c r="Q138" s="119" t="b">
        <v>0</v>
      </c>
    </row>
    <row r="139" spans="1:17" x14ac:dyDescent="0.3">
      <c r="A139" s="115" t="s">
        <v>1378</v>
      </c>
      <c r="B139" s="116"/>
      <c r="C139" s="116"/>
      <c r="D139" s="117">
        <v>0</v>
      </c>
      <c r="E139" s="117">
        <v>0</v>
      </c>
      <c r="F139" s="117">
        <v>0</v>
      </c>
      <c r="G139" s="118" t="str">
        <f t="shared" ref="G139" si="6">A139&amp;".buffeffect"</f>
        <v>Sector05.common.passive01.weakness.buff.buffeffect</v>
      </c>
      <c r="H139" s="117"/>
      <c r="I139" s="117" t="b">
        <v>1</v>
      </c>
      <c r="J139" s="119" t="b">
        <v>0</v>
      </c>
      <c r="K139" s="119" t="b">
        <v>0</v>
      </c>
      <c r="L139" s="117"/>
      <c r="M139" s="117"/>
      <c r="N139" s="117"/>
      <c r="O139" s="116"/>
      <c r="P139" s="116" t="b">
        <v>0</v>
      </c>
      <c r="Q139" s="119" t="b">
        <v>0</v>
      </c>
    </row>
    <row r="140" spans="1:17" x14ac:dyDescent="0.3">
      <c r="A140" s="75" t="s">
        <v>993</v>
      </c>
      <c r="B140" s="21"/>
      <c r="C140" s="21"/>
      <c r="D140" s="76">
        <v>6000</v>
      </c>
      <c r="E140" s="76">
        <v>0</v>
      </c>
      <c r="F140" s="76">
        <v>0</v>
      </c>
      <c r="G140" s="77" t="str">
        <f t="shared" ref="G140" si="7">A140&amp;".buffeffect"</f>
        <v>Sector05.labtrooper_rifle_1.skill01.atkspdup.buff.buffeffect</v>
      </c>
      <c r="H140" s="76"/>
      <c r="I140" s="76" t="b">
        <v>0</v>
      </c>
      <c r="J140" s="52" t="b">
        <v>0</v>
      </c>
      <c r="K140" s="52" t="b">
        <v>1</v>
      </c>
      <c r="L140" s="76" t="s">
        <v>63</v>
      </c>
      <c r="M140" s="76" t="s">
        <v>84</v>
      </c>
      <c r="N140" s="76" t="s">
        <v>85</v>
      </c>
      <c r="O140" s="21" t="s">
        <v>1309</v>
      </c>
      <c r="P140" s="21" t="b">
        <v>0</v>
      </c>
      <c r="Q140" s="52" t="b">
        <v>0</v>
      </c>
    </row>
    <row r="141" spans="1:17" x14ac:dyDescent="0.3">
      <c r="A141" s="79" t="s">
        <v>992</v>
      </c>
      <c r="B141" s="25"/>
      <c r="C141" s="25"/>
      <c r="D141" s="80">
        <v>4000</v>
      </c>
      <c r="E141" s="80">
        <v>0</v>
      </c>
      <c r="F141" s="80">
        <v>0</v>
      </c>
      <c r="G141" s="81" t="str">
        <f t="shared" si="5"/>
        <v>Sector05.labtrooper_shield_1.skill01.shield.buff.buffeffect</v>
      </c>
      <c r="H141" s="80"/>
      <c r="I141" s="80" t="b">
        <v>0</v>
      </c>
      <c r="J141" s="55" t="b">
        <v>0</v>
      </c>
      <c r="K141" s="55" t="b">
        <v>1</v>
      </c>
      <c r="L141" s="80" t="s">
        <v>60</v>
      </c>
      <c r="M141" s="80" t="s">
        <v>156</v>
      </c>
      <c r="N141" s="80" t="s">
        <v>157</v>
      </c>
      <c r="O141" s="25" t="s">
        <v>1297</v>
      </c>
      <c r="P141" s="25" t="b">
        <v>0</v>
      </c>
      <c r="Q141" s="55" t="b">
        <v>0</v>
      </c>
    </row>
    <row r="142" spans="1:17" x14ac:dyDescent="0.3">
      <c r="A142" s="75" t="s">
        <v>995</v>
      </c>
      <c r="B142" s="21"/>
      <c r="C142" s="21"/>
      <c r="D142" s="76">
        <v>5000</v>
      </c>
      <c r="E142" s="76">
        <v>5</v>
      </c>
      <c r="F142" s="76">
        <v>1</v>
      </c>
      <c r="G142" s="77" t="str">
        <f t="shared" si="5"/>
        <v>Sector05.labtrooper_flame_1.skill01.atkspddown.buff.buffeffect</v>
      </c>
      <c r="H142" s="76"/>
      <c r="I142" s="76" t="b">
        <v>0</v>
      </c>
      <c r="J142" s="52" t="b">
        <v>0</v>
      </c>
      <c r="K142" s="52" t="b">
        <v>0</v>
      </c>
      <c r="L142" s="76" t="s">
        <v>55</v>
      </c>
      <c r="M142" s="76" t="s">
        <v>84</v>
      </c>
      <c r="N142" s="76" t="s">
        <v>372</v>
      </c>
      <c r="O142" s="21" t="s">
        <v>1314</v>
      </c>
      <c r="P142" s="21" t="b">
        <v>0</v>
      </c>
      <c r="Q142" s="52" t="b">
        <v>0</v>
      </c>
    </row>
    <row r="143" spans="1:17" x14ac:dyDescent="0.3">
      <c r="A143" s="75" t="s">
        <v>994</v>
      </c>
      <c r="B143" s="21"/>
      <c r="C143" s="21"/>
      <c r="D143" s="76">
        <v>5000</v>
      </c>
      <c r="E143" s="76">
        <v>5</v>
      </c>
      <c r="F143" s="76">
        <v>1</v>
      </c>
      <c r="G143" s="77" t="str">
        <f t="shared" ref="G143" si="8">A143&amp;".buffeffect"</f>
        <v>Sector05.labtrooper_flame_1.skill01.defdown.buff.buffeffect</v>
      </c>
      <c r="H143" s="76"/>
      <c r="I143" s="76" t="b">
        <v>0</v>
      </c>
      <c r="J143" s="52" t="b">
        <v>0</v>
      </c>
      <c r="K143" s="52" t="b">
        <v>0</v>
      </c>
      <c r="L143" s="76" t="s">
        <v>55</v>
      </c>
      <c r="M143" s="76" t="s">
        <v>56</v>
      </c>
      <c r="N143" s="76" t="s">
        <v>57</v>
      </c>
      <c r="O143" s="21" t="s">
        <v>1315</v>
      </c>
      <c r="P143" s="21" t="b">
        <v>0</v>
      </c>
      <c r="Q143" s="52" t="b">
        <v>0</v>
      </c>
    </row>
    <row r="144" spans="1:17" x14ac:dyDescent="0.3">
      <c r="A144" s="79" t="s">
        <v>1014</v>
      </c>
      <c r="B144" s="25"/>
      <c r="C144" s="25"/>
      <c r="D144" s="80">
        <v>6000</v>
      </c>
      <c r="E144" s="80">
        <v>0</v>
      </c>
      <c r="F144" s="80">
        <v>0</v>
      </c>
      <c r="G144" s="81" t="str">
        <f t="shared" si="5"/>
        <v>Sector05.silhouette_flyer_3.skill01.defdown.buff.buffeffect</v>
      </c>
      <c r="H144" s="80"/>
      <c r="I144" s="80" t="b">
        <v>0</v>
      </c>
      <c r="J144" s="55" t="b">
        <v>0</v>
      </c>
      <c r="K144" s="55" t="b">
        <v>0</v>
      </c>
      <c r="L144" s="80" t="s">
        <v>55</v>
      </c>
      <c r="M144" s="80" t="s">
        <v>56</v>
      </c>
      <c r="N144" s="80" t="s">
        <v>57</v>
      </c>
      <c r="O144" s="25" t="s">
        <v>1315</v>
      </c>
      <c r="P144" s="25" t="b">
        <v>0</v>
      </c>
      <c r="Q144" s="55" t="b">
        <v>0</v>
      </c>
    </row>
    <row r="145" spans="1:17" x14ac:dyDescent="0.3">
      <c r="A145" s="75" t="s">
        <v>1002</v>
      </c>
      <c r="B145" s="21"/>
      <c r="C145" s="21"/>
      <c r="D145" s="76">
        <v>6000</v>
      </c>
      <c r="E145" s="76">
        <v>0</v>
      </c>
      <c r="F145" s="76">
        <v>0</v>
      </c>
      <c r="G145" s="77" t="str">
        <f t="shared" si="5"/>
        <v>Sector05.harbor_cannon_1.skill01.atkup.buff.buffeffect</v>
      </c>
      <c r="H145" s="76"/>
      <c r="I145" s="76" t="b">
        <v>0</v>
      </c>
      <c r="J145" s="52" t="b">
        <v>0</v>
      </c>
      <c r="K145" s="52" t="b">
        <v>1</v>
      </c>
      <c r="L145" s="76" t="s">
        <v>63</v>
      </c>
      <c r="M145" s="76" t="s">
        <v>80</v>
      </c>
      <c r="N145" s="76" t="s">
        <v>81</v>
      </c>
      <c r="O145" s="21" t="s">
        <v>1296</v>
      </c>
      <c r="P145" s="21" t="b">
        <v>0</v>
      </c>
      <c r="Q145" s="52" t="b">
        <v>0</v>
      </c>
    </row>
    <row r="146" spans="1:17" x14ac:dyDescent="0.3">
      <c r="A146" s="75" t="s">
        <v>1003</v>
      </c>
      <c r="B146" s="21"/>
      <c r="C146" s="21"/>
      <c r="D146" s="76">
        <v>6000</v>
      </c>
      <c r="E146" s="76">
        <v>0</v>
      </c>
      <c r="F146" s="76">
        <v>0</v>
      </c>
      <c r="G146" s="77" t="str">
        <f t="shared" si="5"/>
        <v>Sector05.harbor_cannon_1.skill01.defup.buff.buffeffect</v>
      </c>
      <c r="H146" s="76"/>
      <c r="I146" s="76" t="b">
        <v>0</v>
      </c>
      <c r="J146" s="52" t="b">
        <v>0</v>
      </c>
      <c r="K146" s="52" t="b">
        <v>1</v>
      </c>
      <c r="L146" s="76" t="s">
        <v>63</v>
      </c>
      <c r="M146" s="76" t="s">
        <v>56</v>
      </c>
      <c r="N146" s="76" t="s">
        <v>64</v>
      </c>
      <c r="O146" s="21" t="s">
        <v>1298</v>
      </c>
      <c r="P146" s="21" t="b">
        <v>0</v>
      </c>
      <c r="Q146" s="52" t="b">
        <v>0</v>
      </c>
    </row>
    <row r="147" spans="1:17" x14ac:dyDescent="0.3">
      <c r="A147" s="79" t="s">
        <v>1004</v>
      </c>
      <c r="B147" s="25"/>
      <c r="C147" s="25"/>
      <c r="D147" s="80">
        <v>6000</v>
      </c>
      <c r="E147" s="80">
        <v>0</v>
      </c>
      <c r="F147" s="80">
        <v>0</v>
      </c>
      <c r="G147" s="81" t="str">
        <f t="shared" si="5"/>
        <v>Sector05.labsuit_gun_1.skill02.atkspdup.buff.buffeffect</v>
      </c>
      <c r="H147" s="80"/>
      <c r="I147" s="80" t="b">
        <v>0</v>
      </c>
      <c r="J147" s="55" t="b">
        <v>0</v>
      </c>
      <c r="K147" s="55" t="b">
        <v>1</v>
      </c>
      <c r="L147" s="80" t="s">
        <v>63</v>
      </c>
      <c r="M147" s="80" t="s">
        <v>84</v>
      </c>
      <c r="N147" s="80" t="s">
        <v>85</v>
      </c>
      <c r="O147" s="25" t="s">
        <v>1309</v>
      </c>
      <c r="P147" s="25" t="b">
        <v>0</v>
      </c>
      <c r="Q147" s="55" t="b">
        <v>0</v>
      </c>
    </row>
    <row r="148" spans="1:17" x14ac:dyDescent="0.3">
      <c r="A148" s="79" t="s">
        <v>1006</v>
      </c>
      <c r="B148" s="25"/>
      <c r="C148" s="25"/>
      <c r="D148" s="80">
        <v>4000</v>
      </c>
      <c r="E148" s="80">
        <v>0</v>
      </c>
      <c r="F148" s="80">
        <v>0</v>
      </c>
      <c r="G148" s="81" t="str">
        <f t="shared" si="5"/>
        <v>Sector05.labsuit_gun_1.skill03.silence.buff.buffeffect</v>
      </c>
      <c r="H148" s="80"/>
      <c r="I148" s="80" t="b">
        <v>0</v>
      </c>
      <c r="J148" s="55" t="b">
        <v>0</v>
      </c>
      <c r="K148" s="55" t="b">
        <v>0</v>
      </c>
      <c r="L148" s="80" t="s">
        <v>426</v>
      </c>
      <c r="M148" s="80" t="s">
        <v>427</v>
      </c>
      <c r="N148" s="80" t="s">
        <v>428</v>
      </c>
      <c r="O148" s="25" t="s">
        <v>1316</v>
      </c>
      <c r="P148" s="25" t="b">
        <v>0</v>
      </c>
      <c r="Q148" s="55" t="b">
        <v>0</v>
      </c>
    </row>
    <row r="149" spans="1:17" x14ac:dyDescent="0.3">
      <c r="A149" s="79" t="s">
        <v>1007</v>
      </c>
      <c r="B149" s="25"/>
      <c r="C149" s="25"/>
      <c r="D149" s="80">
        <v>10000</v>
      </c>
      <c r="E149" s="80">
        <v>0</v>
      </c>
      <c r="F149" s="80">
        <v>0</v>
      </c>
      <c r="G149" s="81" t="str">
        <f t="shared" si="5"/>
        <v>Sector05.labsuit_gun_1.skill03.defdown.buff.buffeffect</v>
      </c>
      <c r="H149" s="80"/>
      <c r="I149" s="80" t="b">
        <v>0</v>
      </c>
      <c r="J149" s="55" t="b">
        <v>0</v>
      </c>
      <c r="K149" s="55" t="b">
        <v>0</v>
      </c>
      <c r="L149" s="80" t="s">
        <v>55</v>
      </c>
      <c r="M149" s="80" t="s">
        <v>56</v>
      </c>
      <c r="N149" s="80" t="s">
        <v>57</v>
      </c>
      <c r="O149" s="25" t="s">
        <v>1315</v>
      </c>
      <c r="P149" s="25" t="b">
        <v>0</v>
      </c>
      <c r="Q149" s="55" t="b">
        <v>0</v>
      </c>
    </row>
    <row r="150" spans="1:17" x14ac:dyDescent="0.3">
      <c r="A150" s="75" t="s">
        <v>1010</v>
      </c>
      <c r="B150" s="21"/>
      <c r="C150" s="21"/>
      <c r="D150" s="76">
        <v>300</v>
      </c>
      <c r="E150" s="76">
        <v>0</v>
      </c>
      <c r="F150" s="76">
        <v>0</v>
      </c>
      <c r="G150" s="77" t="str">
        <f t="shared" si="5"/>
        <v>Sector05.labmecha_punch_1.skill01.knockback.buff.buffeffect</v>
      </c>
      <c r="H150" s="76"/>
      <c r="I150" s="76" t="b">
        <v>0</v>
      </c>
      <c r="J150" s="52" t="b">
        <v>0</v>
      </c>
      <c r="K150" s="52" t="b">
        <v>0</v>
      </c>
      <c r="L150" s="76"/>
      <c r="M150" s="76"/>
      <c r="N150" s="76" t="s">
        <v>72</v>
      </c>
      <c r="O150" s="21" t="s">
        <v>1300</v>
      </c>
      <c r="P150" s="21" t="b">
        <v>0</v>
      </c>
      <c r="Q150" s="52" t="b">
        <v>0</v>
      </c>
    </row>
    <row r="151" spans="1:17" ht="27.75" x14ac:dyDescent="0.3">
      <c r="A151" s="79" t="s">
        <v>958</v>
      </c>
      <c r="B151" s="25"/>
      <c r="C151" s="25"/>
      <c r="D151" s="80">
        <v>4000</v>
      </c>
      <c r="E151" s="80">
        <v>0</v>
      </c>
      <c r="F151" s="80">
        <v>0</v>
      </c>
      <c r="G151" s="81" t="s">
        <v>1417</v>
      </c>
      <c r="H151" s="80"/>
      <c r="I151" s="80" t="b">
        <v>0</v>
      </c>
      <c r="J151" s="55" t="b">
        <v>0</v>
      </c>
      <c r="K151" s="55" t="b">
        <v>0</v>
      </c>
      <c r="L151" s="153" t="s">
        <v>588</v>
      </c>
      <c r="M151" s="80" t="s">
        <v>584</v>
      </c>
      <c r="N151" s="80" t="s">
        <v>589</v>
      </c>
      <c r="O151" s="25" t="s">
        <v>1317</v>
      </c>
      <c r="P151" s="25" t="b">
        <v>0</v>
      </c>
      <c r="Q151" s="55" t="b">
        <v>0</v>
      </c>
    </row>
    <row r="152" spans="1:17" x14ac:dyDescent="0.3">
      <c r="A152" s="79" t="s">
        <v>957</v>
      </c>
      <c r="B152" s="25"/>
      <c r="C152" s="25"/>
      <c r="D152" s="80">
        <v>0</v>
      </c>
      <c r="E152" s="80">
        <v>0</v>
      </c>
      <c r="F152" s="80">
        <v>0</v>
      </c>
      <c r="G152" s="81" t="str">
        <f t="shared" si="5"/>
        <v>Sector05.goliath_1.skill03.pre.buff.buffeffect</v>
      </c>
      <c r="H152" s="80"/>
      <c r="I152" s="80" t="b">
        <v>0</v>
      </c>
      <c r="J152" s="55" t="b">
        <v>0</v>
      </c>
      <c r="K152" s="55" t="b">
        <v>0</v>
      </c>
      <c r="L152" s="80"/>
      <c r="M152" s="80"/>
      <c r="N152" s="80"/>
      <c r="O152" s="25" t="s">
        <v>1301</v>
      </c>
      <c r="P152" s="25" t="b">
        <v>0</v>
      </c>
      <c r="Q152" s="55" t="b">
        <v>0</v>
      </c>
    </row>
    <row r="153" spans="1:17" ht="27.75" x14ac:dyDescent="0.3">
      <c r="A153" s="79" t="s">
        <v>1047</v>
      </c>
      <c r="B153" s="25"/>
      <c r="C153" s="25"/>
      <c r="D153" s="80">
        <v>12000</v>
      </c>
      <c r="E153" s="80">
        <v>0</v>
      </c>
      <c r="F153" s="80">
        <v>0</v>
      </c>
      <c r="G153" s="81" t="str">
        <f t="shared" si="5"/>
        <v>Sector05.goliath_1.skill03.immun.buff.buffeffect</v>
      </c>
      <c r="H153" s="80"/>
      <c r="I153" s="80" t="b">
        <v>1</v>
      </c>
      <c r="J153" s="55" t="b">
        <v>0</v>
      </c>
      <c r="K153" s="55" t="b">
        <v>1</v>
      </c>
      <c r="L153" s="153" t="s">
        <v>1048</v>
      </c>
      <c r="M153" s="80" t="s">
        <v>301</v>
      </c>
      <c r="N153" s="80" t="s">
        <v>963</v>
      </c>
      <c r="O153" s="25" t="s">
        <v>1318</v>
      </c>
      <c r="P153" s="25" t="b">
        <v>0</v>
      </c>
      <c r="Q153" s="55" t="b">
        <v>0</v>
      </c>
    </row>
    <row r="154" spans="1:17" x14ac:dyDescent="0.3">
      <c r="A154" s="79" t="s">
        <v>1049</v>
      </c>
      <c r="B154" s="25"/>
      <c r="C154" s="25"/>
      <c r="D154" s="80">
        <v>12000</v>
      </c>
      <c r="E154" s="80">
        <v>0</v>
      </c>
      <c r="F154" s="80">
        <v>0</v>
      </c>
      <c r="G154" s="81" t="str">
        <f t="shared" si="5"/>
        <v>Sector05.goliath_1.skill03.atkup.buff.buffeffect</v>
      </c>
      <c r="H154" s="80"/>
      <c r="I154" s="80" t="b">
        <v>1</v>
      </c>
      <c r="J154" s="55" t="b">
        <v>0</v>
      </c>
      <c r="K154" s="55" t="b">
        <v>1</v>
      </c>
      <c r="L154" s="80" t="s">
        <v>63</v>
      </c>
      <c r="M154" s="80" t="s">
        <v>80</v>
      </c>
      <c r="N154" s="80" t="s">
        <v>81</v>
      </c>
      <c r="O154" s="25" t="s">
        <v>1296</v>
      </c>
      <c r="P154" s="25" t="b">
        <v>0</v>
      </c>
      <c r="Q154" s="55" t="b">
        <v>0</v>
      </c>
    </row>
    <row r="155" spans="1:17" x14ac:dyDescent="0.3">
      <c r="A155" s="79" t="s">
        <v>344</v>
      </c>
      <c r="B155" s="25"/>
      <c r="C155" s="25"/>
      <c r="D155" s="80">
        <v>0</v>
      </c>
      <c r="E155" s="80">
        <v>0</v>
      </c>
      <c r="F155" s="80">
        <v>0</v>
      </c>
      <c r="G155" s="81" t="str">
        <f>A155&amp;".buffeffect"</f>
        <v>Sector05.goliath_1.passive01.buff.buffeffect</v>
      </c>
      <c r="H155" s="80"/>
      <c r="I155" s="80" t="b">
        <v>0</v>
      </c>
      <c r="J155" s="55" t="b">
        <v>0</v>
      </c>
      <c r="K155" s="55" t="b">
        <v>1</v>
      </c>
      <c r="L155" s="80"/>
      <c r="M155" s="80" t="s">
        <v>80</v>
      </c>
      <c r="N155" s="80" t="s">
        <v>81</v>
      </c>
      <c r="O155" s="25" t="s">
        <v>1296</v>
      </c>
      <c r="P155" s="25" t="b">
        <v>0</v>
      </c>
      <c r="Q155" s="55" t="b">
        <v>0</v>
      </c>
    </row>
    <row r="156" spans="1:17" x14ac:dyDescent="0.3">
      <c r="A156" s="79" t="s">
        <v>966</v>
      </c>
      <c r="B156" s="25"/>
      <c r="C156" s="25"/>
      <c r="D156" s="80">
        <v>4000</v>
      </c>
      <c r="E156" s="80">
        <v>0</v>
      </c>
      <c r="F156" s="80">
        <v>0</v>
      </c>
      <c r="G156" s="81" t="s">
        <v>173</v>
      </c>
      <c r="H156" s="80"/>
      <c r="I156" s="80" t="b">
        <v>0</v>
      </c>
      <c r="J156" s="55" t="b">
        <v>0</v>
      </c>
      <c r="K156" s="55" t="b">
        <v>1</v>
      </c>
      <c r="L156" s="80" t="s">
        <v>346</v>
      </c>
      <c r="M156" s="80"/>
      <c r="N156" s="80"/>
      <c r="O156" s="25" t="s">
        <v>1301</v>
      </c>
      <c r="P156" s="25" t="b">
        <v>0</v>
      </c>
      <c r="Q156" s="55" t="b">
        <v>0</v>
      </c>
    </row>
    <row r="157" spans="1:17" x14ac:dyDescent="0.3">
      <c r="A157" s="79" t="s">
        <v>967</v>
      </c>
      <c r="B157" s="25"/>
      <c r="C157" s="25"/>
      <c r="D157" s="80">
        <v>0</v>
      </c>
      <c r="E157" s="80">
        <v>10</v>
      </c>
      <c r="F157" s="80">
        <v>1</v>
      </c>
      <c r="G157" s="81" t="str">
        <f>A157&amp;".buffeffect"</f>
        <v>Sector05.goliath_1.passive01.stack.buff.buffeffect</v>
      </c>
      <c r="H157" s="80"/>
      <c r="I157" s="80" t="b">
        <v>1</v>
      </c>
      <c r="J157" s="55" t="b">
        <v>0</v>
      </c>
      <c r="K157" s="55" t="b">
        <v>1</v>
      </c>
      <c r="L157" s="80"/>
      <c r="M157" s="80"/>
      <c r="N157" s="80"/>
      <c r="O157" s="25" t="s">
        <v>1301</v>
      </c>
      <c r="P157" s="25" t="b">
        <v>0</v>
      </c>
      <c r="Q157" s="55" t="b">
        <v>0</v>
      </c>
    </row>
    <row r="158" spans="1:17" x14ac:dyDescent="0.3">
      <c r="A158" s="79" t="s">
        <v>1382</v>
      </c>
      <c r="B158" s="25"/>
      <c r="C158" s="25"/>
      <c r="D158" s="80">
        <v>0</v>
      </c>
      <c r="E158" s="80">
        <v>0</v>
      </c>
      <c r="F158" s="80">
        <v>0</v>
      </c>
      <c r="G158" s="81" t="str">
        <f>A158&amp;".buffeffect"</f>
        <v>Sector05.goliath_1.passive01.changeskill.buff.buffeffect</v>
      </c>
      <c r="H158" s="80"/>
      <c r="I158" s="80" t="b">
        <v>1</v>
      </c>
      <c r="J158" s="55" t="b">
        <v>0</v>
      </c>
      <c r="K158" s="55" t="b">
        <v>1</v>
      </c>
      <c r="L158" s="80"/>
      <c r="M158" s="80"/>
      <c r="N158" s="80"/>
      <c r="O158" s="25" t="s">
        <v>1301</v>
      </c>
      <c r="P158" s="25" t="b">
        <v>0</v>
      </c>
      <c r="Q158" s="55" t="b">
        <v>0</v>
      </c>
    </row>
    <row r="159" spans="1:17" x14ac:dyDescent="0.3">
      <c r="A159" s="79" t="s">
        <v>1050</v>
      </c>
      <c r="B159" s="25"/>
      <c r="C159" s="25"/>
      <c r="D159" s="80">
        <v>0</v>
      </c>
      <c r="E159" s="80">
        <v>10</v>
      </c>
      <c r="F159" s="80">
        <v>1</v>
      </c>
      <c r="G159" s="81" t="str">
        <f>A159&amp;".buffeffect"</f>
        <v>Sector05.goliath_1.passive01.atkup.buff.buffeffect</v>
      </c>
      <c r="H159" s="80"/>
      <c r="I159" s="80" t="b">
        <v>1</v>
      </c>
      <c r="J159" s="55" t="b">
        <v>0</v>
      </c>
      <c r="K159" s="55" t="b">
        <v>1</v>
      </c>
      <c r="L159" s="80" t="s">
        <v>63</v>
      </c>
      <c r="M159" s="80" t="s">
        <v>1044</v>
      </c>
      <c r="N159" s="80" t="s">
        <v>81</v>
      </c>
      <c r="O159" s="25" t="s">
        <v>1296</v>
      </c>
      <c r="P159" s="25" t="b">
        <v>0</v>
      </c>
      <c r="Q159" s="55" t="b">
        <v>0</v>
      </c>
    </row>
    <row r="160" spans="1:17" ht="122.25" x14ac:dyDescent="0.3">
      <c r="A160" s="154" t="s">
        <v>970</v>
      </c>
      <c r="B160" s="25"/>
      <c r="C160" s="25"/>
      <c r="D160" s="80">
        <v>0</v>
      </c>
      <c r="E160" s="80">
        <v>0</v>
      </c>
      <c r="F160" s="80">
        <v>0</v>
      </c>
      <c r="G160" s="81" t="s">
        <v>1051</v>
      </c>
      <c r="H160" s="80"/>
      <c r="I160" s="80" t="b">
        <v>0</v>
      </c>
      <c r="J160" s="55" t="b">
        <v>0</v>
      </c>
      <c r="K160" s="55" t="b">
        <v>1</v>
      </c>
      <c r="L160" s="80"/>
      <c r="M160" s="80" t="s">
        <v>56</v>
      </c>
      <c r="N160" s="80" t="s">
        <v>64</v>
      </c>
      <c r="O160" s="25" t="s">
        <v>1298</v>
      </c>
      <c r="P160" s="25" t="b">
        <v>0</v>
      </c>
      <c r="Q160" s="55" t="b">
        <v>0</v>
      </c>
    </row>
    <row r="161" spans="1:17" x14ac:dyDescent="0.3">
      <c r="A161" s="154" t="s">
        <v>1052</v>
      </c>
      <c r="B161" s="25"/>
      <c r="C161" s="25"/>
      <c r="D161" s="80">
        <v>0</v>
      </c>
      <c r="E161" s="80">
        <v>10</v>
      </c>
      <c r="F161" s="80">
        <v>1</v>
      </c>
      <c r="G161" s="81" t="str">
        <f>A161&amp;".buffeffect"</f>
        <v>Sector05.goliath_1.passive02.defup.buff.buffeffect</v>
      </c>
      <c r="H161" s="80"/>
      <c r="I161" s="80" t="b">
        <v>1</v>
      </c>
      <c r="J161" s="55" t="b">
        <v>0</v>
      </c>
      <c r="K161" s="55" t="b">
        <v>1</v>
      </c>
      <c r="L161" s="80" t="s">
        <v>63</v>
      </c>
      <c r="M161" s="80" t="s">
        <v>56</v>
      </c>
      <c r="N161" s="80" t="s">
        <v>64</v>
      </c>
      <c r="O161" s="25" t="s">
        <v>1298</v>
      </c>
      <c r="P161" s="25" t="b">
        <v>0</v>
      </c>
      <c r="Q161" s="55" t="b">
        <v>0</v>
      </c>
    </row>
    <row r="162" spans="1:17" ht="27.75" x14ac:dyDescent="0.3">
      <c r="A162" s="156" t="s">
        <v>1253</v>
      </c>
      <c r="B162" s="116"/>
      <c r="C162" s="116"/>
      <c r="D162" s="117">
        <v>4000</v>
      </c>
      <c r="E162" s="117">
        <v>0</v>
      </c>
      <c r="F162" s="117">
        <v>0</v>
      </c>
      <c r="G162" s="118" t="s">
        <v>1417</v>
      </c>
      <c r="H162" s="117"/>
      <c r="I162" s="117" t="b">
        <v>0</v>
      </c>
      <c r="J162" s="119" t="b">
        <v>0</v>
      </c>
      <c r="K162" s="119" t="b">
        <v>0</v>
      </c>
      <c r="L162" s="117" t="s">
        <v>588</v>
      </c>
      <c r="M162" s="117" t="s">
        <v>584</v>
      </c>
      <c r="N162" s="117" t="s">
        <v>589</v>
      </c>
      <c r="O162" s="116" t="s">
        <v>1317</v>
      </c>
      <c r="P162" s="116" t="b">
        <v>0</v>
      </c>
      <c r="Q162" s="119" t="b">
        <v>0</v>
      </c>
    </row>
    <row r="163" spans="1:17" x14ac:dyDescent="0.3">
      <c r="A163" s="156" t="s">
        <v>1254</v>
      </c>
      <c r="B163" s="116"/>
      <c r="C163" s="116"/>
      <c r="D163" s="117">
        <v>10000</v>
      </c>
      <c r="E163" s="117">
        <v>0</v>
      </c>
      <c r="F163" s="117">
        <v>0</v>
      </c>
      <c r="G163" s="118" t="str">
        <f t="shared" ref="G163" si="9">A163&amp;".buffeffect"</f>
        <v>Sector05.goliath_4.skill02.atkdown.buff.buffeffect</v>
      </c>
      <c r="H163" s="117"/>
      <c r="I163" s="117" t="b">
        <v>0</v>
      </c>
      <c r="J163" s="119" t="b">
        <v>0</v>
      </c>
      <c r="K163" s="119" t="b">
        <v>0</v>
      </c>
      <c r="L163" s="117" t="s">
        <v>55</v>
      </c>
      <c r="M163" s="117" t="s">
        <v>80</v>
      </c>
      <c r="N163" s="117" t="s">
        <v>231</v>
      </c>
      <c r="O163" s="116" t="s">
        <v>1305</v>
      </c>
      <c r="P163" s="116" t="b">
        <v>0</v>
      </c>
      <c r="Q163" s="119" t="b">
        <v>0</v>
      </c>
    </row>
    <row r="164" spans="1:17" ht="41.25" x14ac:dyDescent="0.3">
      <c r="A164" s="156" t="s">
        <v>1255</v>
      </c>
      <c r="B164" s="116"/>
      <c r="C164" s="116"/>
      <c r="D164" s="117">
        <v>0</v>
      </c>
      <c r="E164" s="117">
        <v>0</v>
      </c>
      <c r="F164" s="117">
        <v>0</v>
      </c>
      <c r="G164" s="118" t="s">
        <v>1284</v>
      </c>
      <c r="H164" s="117"/>
      <c r="I164" s="117" t="b">
        <v>0</v>
      </c>
      <c r="J164" s="119" t="b">
        <v>0</v>
      </c>
      <c r="K164" s="119" t="b">
        <v>0</v>
      </c>
      <c r="L164" s="117"/>
      <c r="M164" s="117"/>
      <c r="N164" s="117"/>
      <c r="O164" s="116" t="s">
        <v>1301</v>
      </c>
      <c r="P164" s="116" t="b">
        <v>0</v>
      </c>
      <c r="Q164" s="119" t="b">
        <v>0</v>
      </c>
    </row>
    <row r="165" spans="1:17" x14ac:dyDescent="0.3">
      <c r="A165" s="156" t="s">
        <v>1278</v>
      </c>
      <c r="B165" s="116"/>
      <c r="C165" s="116"/>
      <c r="D165" s="117">
        <v>6000</v>
      </c>
      <c r="E165" s="117">
        <v>0</v>
      </c>
      <c r="F165" s="117">
        <v>0</v>
      </c>
      <c r="G165" s="118" t="s">
        <v>173</v>
      </c>
      <c r="H165" s="117"/>
      <c r="I165" s="117" t="b">
        <v>0</v>
      </c>
      <c r="J165" s="119" t="b">
        <v>0</v>
      </c>
      <c r="K165" s="119" t="b">
        <v>1</v>
      </c>
      <c r="L165" s="117" t="s">
        <v>1280</v>
      </c>
      <c r="M165" s="117"/>
      <c r="N165" s="117"/>
      <c r="O165" s="116" t="s">
        <v>1301</v>
      </c>
      <c r="P165" s="116" t="b">
        <v>0</v>
      </c>
      <c r="Q165" s="119" t="b">
        <v>0</v>
      </c>
    </row>
    <row r="166" spans="1:17" x14ac:dyDescent="0.3">
      <c r="A166" s="156" t="s">
        <v>1279</v>
      </c>
      <c r="B166" s="116"/>
      <c r="C166" s="116"/>
      <c r="D166" s="117">
        <v>6000</v>
      </c>
      <c r="E166" s="117">
        <v>0</v>
      </c>
      <c r="F166" s="117">
        <v>0</v>
      </c>
      <c r="G166" s="118" t="s">
        <v>173</v>
      </c>
      <c r="H166" s="117"/>
      <c r="I166" s="117" t="b">
        <v>0</v>
      </c>
      <c r="J166" s="119" t="b">
        <v>0</v>
      </c>
      <c r="K166" s="119" t="b">
        <v>1</v>
      </c>
      <c r="L166" s="117" t="s">
        <v>1281</v>
      </c>
      <c r="M166" s="117"/>
      <c r="N166" s="117"/>
      <c r="O166" s="116" t="s">
        <v>1301</v>
      </c>
      <c r="P166" s="116" t="b">
        <v>0</v>
      </c>
      <c r="Q166" s="119" t="b">
        <v>0</v>
      </c>
    </row>
    <row r="167" spans="1:17" x14ac:dyDescent="0.3">
      <c r="A167" s="156" t="s">
        <v>1256</v>
      </c>
      <c r="B167" s="116"/>
      <c r="C167" s="116"/>
      <c r="D167" s="117">
        <v>0</v>
      </c>
      <c r="E167" s="117">
        <v>2</v>
      </c>
      <c r="F167" s="117">
        <v>1</v>
      </c>
      <c r="G167" s="118" t="s">
        <v>1236</v>
      </c>
      <c r="H167" s="117"/>
      <c r="I167" s="117" t="b">
        <v>0</v>
      </c>
      <c r="J167" s="119" t="b">
        <v>0</v>
      </c>
      <c r="K167" s="119" t="b">
        <v>0</v>
      </c>
      <c r="L167" s="117"/>
      <c r="M167" s="117"/>
      <c r="N167" s="117"/>
      <c r="O167" s="116" t="s">
        <v>1301</v>
      </c>
      <c r="P167" s="116" t="b">
        <v>0</v>
      </c>
      <c r="Q167" s="119" t="b">
        <v>0</v>
      </c>
    </row>
    <row r="168" spans="1:17" x14ac:dyDescent="0.3">
      <c r="A168" s="156" t="s">
        <v>1257</v>
      </c>
      <c r="B168" s="116"/>
      <c r="C168" s="116"/>
      <c r="D168" s="117">
        <v>0</v>
      </c>
      <c r="E168" s="117">
        <v>0</v>
      </c>
      <c r="F168" s="117">
        <v>0</v>
      </c>
      <c r="G168" s="118" t="str">
        <f t="shared" ref="G168" si="10">A168&amp;".buffeffect"</f>
        <v>Sector05.goliath_4.skill03.dmgratedown.buff.buffeffect</v>
      </c>
      <c r="H168" s="117"/>
      <c r="I168" s="117" t="b">
        <v>0</v>
      </c>
      <c r="J168" s="119" t="b">
        <v>0</v>
      </c>
      <c r="K168" s="119" t="b">
        <v>0</v>
      </c>
      <c r="L168" s="117"/>
      <c r="M168" s="117"/>
      <c r="N168" s="117"/>
      <c r="O168" s="116" t="s">
        <v>1301</v>
      </c>
      <c r="P168" s="116" t="b">
        <v>0</v>
      </c>
      <c r="Q168" s="119" t="b">
        <v>0</v>
      </c>
    </row>
    <row r="169" spans="1:17" x14ac:dyDescent="0.3">
      <c r="A169" s="156" t="s">
        <v>1258</v>
      </c>
      <c r="B169" s="116"/>
      <c r="C169" s="116"/>
      <c r="D169" s="117">
        <v>5000</v>
      </c>
      <c r="E169" s="117">
        <v>0</v>
      </c>
      <c r="F169" s="117">
        <v>0</v>
      </c>
      <c r="G169" s="118" t="s">
        <v>1141</v>
      </c>
      <c r="H169" s="117"/>
      <c r="I169" s="117" t="b">
        <v>1</v>
      </c>
      <c r="J169" s="119" t="b">
        <v>0</v>
      </c>
      <c r="K169" s="119" t="b">
        <v>0</v>
      </c>
      <c r="L169" s="117" t="s">
        <v>67</v>
      </c>
      <c r="M169" s="117" t="s">
        <v>68</v>
      </c>
      <c r="N169" s="117" t="s">
        <v>69</v>
      </c>
      <c r="O169" s="116" t="s">
        <v>1303</v>
      </c>
      <c r="P169" s="116" t="b">
        <v>0</v>
      </c>
      <c r="Q169" s="119" t="b">
        <v>0</v>
      </c>
    </row>
    <row r="170" spans="1:17" x14ac:dyDescent="0.3">
      <c r="A170" s="156" t="s">
        <v>1259</v>
      </c>
      <c r="B170" s="116"/>
      <c r="C170" s="116"/>
      <c r="D170" s="117">
        <v>0</v>
      </c>
      <c r="E170" s="117">
        <v>0</v>
      </c>
      <c r="F170" s="117">
        <v>0</v>
      </c>
      <c r="G170" s="118" t="str">
        <f>A170&amp;".buffeffect"</f>
        <v>Sector05.goliath_4.passive01.buff.buffeffect</v>
      </c>
      <c r="H170" s="117"/>
      <c r="I170" s="117" t="b">
        <v>0</v>
      </c>
      <c r="J170" s="119" t="b">
        <v>0</v>
      </c>
      <c r="K170" s="119" t="b">
        <v>1</v>
      </c>
      <c r="L170" s="117"/>
      <c r="M170" s="117"/>
      <c r="N170" s="117"/>
      <c r="O170" s="116" t="s">
        <v>1301</v>
      </c>
      <c r="P170" s="116" t="b">
        <v>0</v>
      </c>
      <c r="Q170" s="119" t="b">
        <v>0</v>
      </c>
    </row>
    <row r="171" spans="1:17" x14ac:dyDescent="0.3">
      <c r="A171" s="156" t="s">
        <v>1260</v>
      </c>
      <c r="B171" s="116"/>
      <c r="C171" s="116"/>
      <c r="D171" s="117">
        <v>4000</v>
      </c>
      <c r="E171" s="117">
        <v>0</v>
      </c>
      <c r="F171" s="117">
        <v>0</v>
      </c>
      <c r="G171" s="118" t="s">
        <v>173</v>
      </c>
      <c r="H171" s="117"/>
      <c r="I171" s="117" t="b">
        <v>0</v>
      </c>
      <c r="J171" s="119" t="b">
        <v>0</v>
      </c>
      <c r="K171" s="119" t="b">
        <v>1</v>
      </c>
      <c r="L171" s="117" t="s">
        <v>346</v>
      </c>
      <c r="M171" s="117"/>
      <c r="N171" s="117"/>
      <c r="O171" s="116" t="s">
        <v>1301</v>
      </c>
      <c r="P171" s="116" t="b">
        <v>0</v>
      </c>
      <c r="Q171" s="119" t="b">
        <v>0</v>
      </c>
    </row>
    <row r="172" spans="1:17" x14ac:dyDescent="0.3">
      <c r="A172" s="156" t="s">
        <v>1261</v>
      </c>
      <c r="B172" s="116"/>
      <c r="C172" s="116"/>
      <c r="D172" s="117">
        <v>0</v>
      </c>
      <c r="E172" s="117">
        <v>10</v>
      </c>
      <c r="F172" s="117">
        <v>1</v>
      </c>
      <c r="G172" s="118" t="str">
        <f>A172&amp;".buffeffect"</f>
        <v>Sector05.goliath_4.passive01.stack.buff.buffeffect</v>
      </c>
      <c r="H172" s="117"/>
      <c r="I172" s="117" t="b">
        <v>1</v>
      </c>
      <c r="J172" s="119" t="b">
        <v>0</v>
      </c>
      <c r="K172" s="119" t="b">
        <v>1</v>
      </c>
      <c r="L172" s="117"/>
      <c r="M172" s="117"/>
      <c r="N172" s="117"/>
      <c r="O172" s="116" t="s">
        <v>1301</v>
      </c>
      <c r="P172" s="116" t="b">
        <v>0</v>
      </c>
      <c r="Q172" s="119" t="b">
        <v>0</v>
      </c>
    </row>
    <row r="173" spans="1:17" x14ac:dyDescent="0.3">
      <c r="A173" s="156" t="s">
        <v>1386</v>
      </c>
      <c r="B173" s="116"/>
      <c r="C173" s="116"/>
      <c r="D173" s="117">
        <v>0</v>
      </c>
      <c r="E173" s="117">
        <v>0</v>
      </c>
      <c r="F173" s="117">
        <v>0</v>
      </c>
      <c r="G173" s="118" t="str">
        <f>A173&amp;".buffeffect"</f>
        <v>Sector05.goliath_4.passive01.changeskill.buff.buffeffect</v>
      </c>
      <c r="H173" s="117"/>
      <c r="I173" s="117" t="b">
        <v>1</v>
      </c>
      <c r="J173" s="119" t="b">
        <v>0</v>
      </c>
      <c r="K173" s="119" t="b">
        <v>1</v>
      </c>
      <c r="L173" s="117"/>
      <c r="M173" s="117"/>
      <c r="N173" s="117"/>
      <c r="O173" s="116" t="s">
        <v>1301</v>
      </c>
      <c r="P173" s="116" t="b">
        <v>0</v>
      </c>
      <c r="Q173" s="119" t="b">
        <v>0</v>
      </c>
    </row>
    <row r="174" spans="1:17" x14ac:dyDescent="0.3">
      <c r="A174" s="156" t="s">
        <v>1262</v>
      </c>
      <c r="B174" s="116"/>
      <c r="C174" s="116"/>
      <c r="D174" s="117">
        <v>0</v>
      </c>
      <c r="E174" s="117">
        <v>10</v>
      </c>
      <c r="F174" s="117">
        <v>1</v>
      </c>
      <c r="G174" s="118" t="str">
        <f>A174&amp;".buffeffect"</f>
        <v>Sector05.goliath_4.passive01.atkup.buff.buffeffect</v>
      </c>
      <c r="H174" s="117"/>
      <c r="I174" s="117" t="b">
        <v>1</v>
      </c>
      <c r="J174" s="119" t="b">
        <v>0</v>
      </c>
      <c r="K174" s="119" t="b">
        <v>1</v>
      </c>
      <c r="L174" s="117" t="s">
        <v>63</v>
      </c>
      <c r="M174" s="117" t="s">
        <v>1044</v>
      </c>
      <c r="N174" s="117" t="s">
        <v>81</v>
      </c>
      <c r="O174" s="116" t="s">
        <v>1296</v>
      </c>
      <c r="P174" s="116" t="b">
        <v>0</v>
      </c>
      <c r="Q174" s="119" t="b">
        <v>0</v>
      </c>
    </row>
    <row r="175" spans="1:17" x14ac:dyDescent="0.3">
      <c r="A175" s="156" t="s">
        <v>1263</v>
      </c>
      <c r="B175" s="116"/>
      <c r="C175" s="116"/>
      <c r="D175" s="117">
        <v>0</v>
      </c>
      <c r="E175" s="117">
        <v>0</v>
      </c>
      <c r="F175" s="117">
        <v>0</v>
      </c>
      <c r="G175" s="118" t="str">
        <f>A175&amp;".buffeffect"</f>
        <v>Sector05.goliath_4.passive02.buff.buffeffect</v>
      </c>
      <c r="H175" s="117"/>
      <c r="I175" s="117" t="b">
        <v>0</v>
      </c>
      <c r="J175" s="119" t="b">
        <v>0</v>
      </c>
      <c r="K175" s="119" t="b">
        <v>1</v>
      </c>
      <c r="L175" s="117"/>
      <c r="M175" s="117"/>
      <c r="N175" s="117"/>
      <c r="O175" s="116" t="s">
        <v>1301</v>
      </c>
      <c r="P175" s="116" t="b">
        <v>0</v>
      </c>
      <c r="Q175" s="119" t="b">
        <v>0</v>
      </c>
    </row>
    <row r="176" spans="1:17" x14ac:dyDescent="0.3">
      <c r="A176" s="156" t="s">
        <v>1264</v>
      </c>
      <c r="B176" s="116"/>
      <c r="C176" s="116"/>
      <c r="D176" s="117">
        <v>0</v>
      </c>
      <c r="E176" s="117">
        <v>200</v>
      </c>
      <c r="F176" s="117">
        <v>1</v>
      </c>
      <c r="G176" s="118" t="str">
        <f>A176&amp;".buffeffect"</f>
        <v>Sector05.goliath_4.passive02.defup.buff.buffeffect</v>
      </c>
      <c r="H176" s="117"/>
      <c r="I176" s="117" t="b">
        <v>1</v>
      </c>
      <c r="J176" s="119" t="b">
        <v>0</v>
      </c>
      <c r="K176" s="119" t="b">
        <v>1</v>
      </c>
      <c r="L176" s="117" t="s">
        <v>63</v>
      </c>
      <c r="M176" s="117" t="s">
        <v>56</v>
      </c>
      <c r="N176" s="117" t="s">
        <v>64</v>
      </c>
      <c r="O176" s="116" t="s">
        <v>1298</v>
      </c>
      <c r="P176" s="116" t="b">
        <v>0</v>
      </c>
      <c r="Q176" s="119" t="b">
        <v>0</v>
      </c>
    </row>
    <row r="177" spans="1:17" x14ac:dyDescent="0.3">
      <c r="A177" s="71" t="s">
        <v>347</v>
      </c>
      <c r="B177" s="29"/>
      <c r="C177" s="29"/>
      <c r="D177" s="72">
        <v>6000</v>
      </c>
      <c r="E177" s="72">
        <v>5</v>
      </c>
      <c r="F177" s="72">
        <v>1</v>
      </c>
      <c r="G177" s="73" t="str">
        <f t="shared" si="5"/>
        <v>Sector06.polluter_1.skill01.bleeding01.buff.buffeffect</v>
      </c>
      <c r="H177" s="72"/>
      <c r="I177" s="76" t="b">
        <v>0</v>
      </c>
      <c r="J177" s="56" t="b">
        <v>0</v>
      </c>
      <c r="K177" s="56" t="b">
        <v>0</v>
      </c>
      <c r="L177" s="72" t="s">
        <v>51</v>
      </c>
      <c r="M177" s="72" t="s">
        <v>52</v>
      </c>
      <c r="N177" s="72" t="s">
        <v>53</v>
      </c>
      <c r="O177" s="29" t="s">
        <v>1311</v>
      </c>
      <c r="P177" s="29" t="b">
        <v>0</v>
      </c>
      <c r="Q177" s="56" t="b">
        <v>0</v>
      </c>
    </row>
    <row r="178" spans="1:17" x14ac:dyDescent="0.3">
      <c r="A178" s="71" t="s">
        <v>349</v>
      </c>
      <c r="B178" s="29"/>
      <c r="C178" s="29"/>
      <c r="D178" s="72">
        <v>6000</v>
      </c>
      <c r="E178" s="72">
        <v>5</v>
      </c>
      <c r="F178" s="72">
        <v>1</v>
      </c>
      <c r="G178" s="73" t="str">
        <f t="shared" si="5"/>
        <v>Sector06.polluter_edge_1.skill01.poison01.buff.buffeffect</v>
      </c>
      <c r="H178" s="72"/>
      <c r="I178" s="76" t="b">
        <v>0</v>
      </c>
      <c r="J178" s="56" t="b">
        <v>0</v>
      </c>
      <c r="K178" s="56" t="b">
        <v>0</v>
      </c>
      <c r="L178" s="72" t="s">
        <v>351</v>
      </c>
      <c r="M178" s="72" t="s">
        <v>352</v>
      </c>
      <c r="N178" s="72" t="s">
        <v>353</v>
      </c>
      <c r="O178" s="29" t="s">
        <v>1319</v>
      </c>
      <c r="P178" s="29" t="b">
        <v>0</v>
      </c>
      <c r="Q178" s="56" t="b">
        <v>0</v>
      </c>
    </row>
    <row r="179" spans="1:17" x14ac:dyDescent="0.3">
      <c r="A179" s="71" t="s">
        <v>354</v>
      </c>
      <c r="B179" s="29"/>
      <c r="C179" s="29"/>
      <c r="D179" s="72">
        <v>6000</v>
      </c>
      <c r="E179" s="72">
        <v>0</v>
      </c>
      <c r="F179" s="72">
        <v>0</v>
      </c>
      <c r="G179" s="73" t="str">
        <f t="shared" si="5"/>
        <v>Sector06.polluter_fog_1.skill01.atkspeed01.buff.buffeffect</v>
      </c>
      <c r="H179" s="72"/>
      <c r="I179" s="76" t="b">
        <v>0</v>
      </c>
      <c r="J179" s="56" t="b">
        <v>0</v>
      </c>
      <c r="K179" s="56" t="b">
        <v>1</v>
      </c>
      <c r="L179" s="72" t="s">
        <v>63</v>
      </c>
      <c r="M179" s="72" t="s">
        <v>84</v>
      </c>
      <c r="N179" s="72" t="s">
        <v>85</v>
      </c>
      <c r="O179" s="29" t="s">
        <v>1309</v>
      </c>
      <c r="P179" s="29" t="b">
        <v>0</v>
      </c>
      <c r="Q179" s="56" t="b">
        <v>0</v>
      </c>
    </row>
    <row r="180" spans="1:17" x14ac:dyDescent="0.3">
      <c r="A180" s="71" t="s">
        <v>356</v>
      </c>
      <c r="B180" s="29"/>
      <c r="C180" s="29"/>
      <c r="D180" s="72">
        <v>6000</v>
      </c>
      <c r="E180" s="72">
        <v>5</v>
      </c>
      <c r="F180" s="72">
        <v>1</v>
      </c>
      <c r="G180" s="73" t="str">
        <f t="shared" si="5"/>
        <v>Sector06.polluter_haze_1.skill01.poison01.buff.buffeffect</v>
      </c>
      <c r="H180" s="72"/>
      <c r="I180" s="76" t="b">
        <v>0</v>
      </c>
      <c r="J180" s="56" t="b">
        <v>0</v>
      </c>
      <c r="K180" s="56" t="b">
        <v>0</v>
      </c>
      <c r="L180" s="72" t="s">
        <v>351</v>
      </c>
      <c r="M180" s="72" t="s">
        <v>352</v>
      </c>
      <c r="N180" s="72" t="s">
        <v>353</v>
      </c>
      <c r="O180" s="29" t="s">
        <v>1319</v>
      </c>
      <c r="P180" s="29" t="b">
        <v>0</v>
      </c>
      <c r="Q180" s="56" t="b">
        <v>0</v>
      </c>
    </row>
    <row r="181" spans="1:17" x14ac:dyDescent="0.3">
      <c r="A181" s="71" t="s">
        <v>358</v>
      </c>
      <c r="B181" s="29"/>
      <c r="C181" s="29"/>
      <c r="D181" s="72">
        <v>6000</v>
      </c>
      <c r="E181" s="72">
        <v>0</v>
      </c>
      <c r="F181" s="72">
        <v>0</v>
      </c>
      <c r="G181" s="73" t="str">
        <f t="shared" si="5"/>
        <v>Sector06.polluter_haze_1.skill01.defdown01.buff.buffeffect</v>
      </c>
      <c r="H181" s="72"/>
      <c r="I181" s="76" t="b">
        <v>0</v>
      </c>
      <c r="J181" s="56" t="b">
        <v>0</v>
      </c>
      <c r="K181" s="56" t="b">
        <v>0</v>
      </c>
      <c r="L181" s="72" t="s">
        <v>55</v>
      </c>
      <c r="M181" s="72" t="s">
        <v>56</v>
      </c>
      <c r="N181" s="72" t="s">
        <v>57</v>
      </c>
      <c r="O181" s="29" t="s">
        <v>1315</v>
      </c>
      <c r="P181" s="29" t="b">
        <v>0</v>
      </c>
      <c r="Q181" s="56" t="b">
        <v>0</v>
      </c>
    </row>
    <row r="182" spans="1:17" x14ac:dyDescent="0.3">
      <c r="A182" s="67" t="s">
        <v>360</v>
      </c>
      <c r="B182" s="43"/>
      <c r="C182" s="43"/>
      <c r="D182" s="68">
        <v>6000</v>
      </c>
      <c r="E182" s="68">
        <v>0</v>
      </c>
      <c r="F182" s="68">
        <v>0</v>
      </c>
      <c r="G182" s="69" t="str">
        <f t="shared" si="5"/>
        <v>Sector06.polluter_chunk_1.skill01.atkup01.buff.buffeffect</v>
      </c>
      <c r="H182" s="68"/>
      <c r="I182" s="68" t="b">
        <v>0</v>
      </c>
      <c r="J182" s="44" t="b">
        <v>0</v>
      </c>
      <c r="K182" s="44" t="b">
        <v>1</v>
      </c>
      <c r="L182" s="68" t="s">
        <v>63</v>
      </c>
      <c r="M182" s="68" t="s">
        <v>80</v>
      </c>
      <c r="N182" s="68" t="s">
        <v>81</v>
      </c>
      <c r="O182" s="43" t="s">
        <v>1296</v>
      </c>
      <c r="P182" s="43" t="b">
        <v>0</v>
      </c>
      <c r="Q182" s="44" t="b">
        <v>0</v>
      </c>
    </row>
    <row r="183" spans="1:17" x14ac:dyDescent="0.3">
      <c r="A183" s="67" t="s">
        <v>362</v>
      </c>
      <c r="B183" s="43"/>
      <c r="C183" s="43"/>
      <c r="D183" s="68">
        <v>6000</v>
      </c>
      <c r="E183" s="68">
        <v>0</v>
      </c>
      <c r="F183" s="68">
        <v>0</v>
      </c>
      <c r="G183" s="69" t="str">
        <f t="shared" si="5"/>
        <v>Sector06.polluter_chunk_1.skill02.defdown01.buff.buffeffect</v>
      </c>
      <c r="H183" s="68"/>
      <c r="I183" s="68" t="b">
        <v>0</v>
      </c>
      <c r="J183" s="44" t="b">
        <v>0</v>
      </c>
      <c r="K183" s="44" t="b">
        <v>0</v>
      </c>
      <c r="L183" s="68" t="s">
        <v>55</v>
      </c>
      <c r="M183" s="68" t="s">
        <v>56</v>
      </c>
      <c r="N183" s="68" t="s">
        <v>57</v>
      </c>
      <c r="O183" s="43" t="s">
        <v>1315</v>
      </c>
      <c r="P183" s="43" t="b">
        <v>0</v>
      </c>
      <c r="Q183" s="44" t="b">
        <v>0</v>
      </c>
    </row>
    <row r="184" spans="1:17" x14ac:dyDescent="0.3">
      <c r="A184" s="67" t="s">
        <v>364</v>
      </c>
      <c r="B184" s="43"/>
      <c r="C184" s="43"/>
      <c r="D184" s="68">
        <v>6000</v>
      </c>
      <c r="E184" s="68">
        <v>5</v>
      </c>
      <c r="F184" s="68">
        <v>1</v>
      </c>
      <c r="G184" s="69" t="str">
        <f t="shared" si="5"/>
        <v>Sector06.polluter_chunk_1.skill03.fire01.buff.buffeffect</v>
      </c>
      <c r="H184" s="68"/>
      <c r="I184" s="68" t="b">
        <v>0</v>
      </c>
      <c r="J184" s="44" t="b">
        <v>0</v>
      </c>
      <c r="K184" s="44" t="b">
        <v>0</v>
      </c>
      <c r="L184" s="68" t="s">
        <v>46</v>
      </c>
      <c r="M184" s="68" t="s">
        <v>162</v>
      </c>
      <c r="N184" s="68" t="s">
        <v>163</v>
      </c>
      <c r="O184" s="43" t="s">
        <v>1299</v>
      </c>
      <c r="P184" s="43" t="b">
        <v>0</v>
      </c>
      <c r="Q184" s="44" t="b">
        <v>0</v>
      </c>
    </row>
    <row r="185" spans="1:17" x14ac:dyDescent="0.3">
      <c r="A185" s="71" t="s">
        <v>366</v>
      </c>
      <c r="B185" s="29"/>
      <c r="C185" s="29"/>
      <c r="D185" s="72">
        <v>6000</v>
      </c>
      <c r="E185" s="72">
        <v>5</v>
      </c>
      <c r="F185" s="72">
        <v>1</v>
      </c>
      <c r="G185" s="73" t="str">
        <f t="shared" si="5"/>
        <v>Sector06.polluter_spike_1.skill01.poison01.buff.buffeffect</v>
      </c>
      <c r="H185" s="72"/>
      <c r="I185" s="76" t="b">
        <v>0</v>
      </c>
      <c r="J185" s="56" t="b">
        <v>0</v>
      </c>
      <c r="K185" s="56" t="b">
        <v>0</v>
      </c>
      <c r="L185" s="72" t="s">
        <v>351</v>
      </c>
      <c r="M185" s="72" t="s">
        <v>352</v>
      </c>
      <c r="N185" s="72" t="s">
        <v>353</v>
      </c>
      <c r="O185" s="29" t="s">
        <v>1319</v>
      </c>
      <c r="P185" s="29" t="b">
        <v>0</v>
      </c>
      <c r="Q185" s="56" t="b">
        <v>0</v>
      </c>
    </row>
    <row r="186" spans="1:17" x14ac:dyDescent="0.3">
      <c r="A186" s="67" t="s">
        <v>368</v>
      </c>
      <c r="B186" s="43"/>
      <c r="C186" s="43"/>
      <c r="D186" s="68">
        <v>6000</v>
      </c>
      <c r="E186" s="68">
        <v>5</v>
      </c>
      <c r="F186" s="68">
        <v>1</v>
      </c>
      <c r="G186" s="69" t="str">
        <f t="shared" si="5"/>
        <v>Sector06.polluter_bloblauncher_1.skill01.poison01.buff.buffeffect</v>
      </c>
      <c r="H186" s="68"/>
      <c r="I186" s="68" t="b">
        <v>0</v>
      </c>
      <c r="J186" s="44" t="b">
        <v>0</v>
      </c>
      <c r="K186" s="44" t="b">
        <v>0</v>
      </c>
      <c r="L186" s="68" t="s">
        <v>351</v>
      </c>
      <c r="M186" s="68" t="s">
        <v>352</v>
      </c>
      <c r="N186" s="68" t="s">
        <v>353</v>
      </c>
      <c r="O186" s="43" t="s">
        <v>1319</v>
      </c>
      <c r="P186" s="43" t="b">
        <v>0</v>
      </c>
      <c r="Q186" s="44" t="b">
        <v>0</v>
      </c>
    </row>
    <row r="187" spans="1:17" x14ac:dyDescent="0.3">
      <c r="A187" s="67" t="s">
        <v>370</v>
      </c>
      <c r="B187" s="43"/>
      <c r="C187" s="43"/>
      <c r="D187" s="68">
        <v>6000</v>
      </c>
      <c r="E187" s="68">
        <v>0</v>
      </c>
      <c r="F187" s="68">
        <v>0</v>
      </c>
      <c r="G187" s="69" t="str">
        <f t="shared" si="5"/>
        <v>Sector06.polluter_bloblauncher_1.skill01.atkspeeddown01.buff.buffeffect</v>
      </c>
      <c r="H187" s="68"/>
      <c r="I187" s="68" t="b">
        <v>0</v>
      </c>
      <c r="J187" s="44" t="b">
        <v>0</v>
      </c>
      <c r="K187" s="44" t="b">
        <v>0</v>
      </c>
      <c r="L187" s="68" t="s">
        <v>55</v>
      </c>
      <c r="M187" s="68" t="s">
        <v>84</v>
      </c>
      <c r="N187" s="68" t="s">
        <v>372</v>
      </c>
      <c r="O187" s="43" t="s">
        <v>1314</v>
      </c>
      <c r="P187" s="43" t="b">
        <v>0</v>
      </c>
      <c r="Q187" s="44" t="b">
        <v>0</v>
      </c>
    </row>
    <row r="188" spans="1:17" x14ac:dyDescent="0.3">
      <c r="A188" s="67" t="s">
        <v>373</v>
      </c>
      <c r="B188" s="43"/>
      <c r="C188" s="43"/>
      <c r="D188" s="68">
        <v>6000</v>
      </c>
      <c r="E188" s="68">
        <v>0</v>
      </c>
      <c r="F188" s="68">
        <v>0</v>
      </c>
      <c r="G188" s="69" t="str">
        <f t="shared" ref="G188:G189" si="11">A188&amp;".buffeffect"</f>
        <v>Sector06.polluter_bloblauncher_1.skill02.atkup01.buff.buffeffect</v>
      </c>
      <c r="H188" s="68"/>
      <c r="I188" s="68" t="b">
        <v>0</v>
      </c>
      <c r="J188" s="44" t="b">
        <v>0</v>
      </c>
      <c r="K188" s="44" t="b">
        <v>1</v>
      </c>
      <c r="L188" s="68" t="s">
        <v>63</v>
      </c>
      <c r="M188" s="68" t="s">
        <v>80</v>
      </c>
      <c r="N188" s="68" t="s">
        <v>81</v>
      </c>
      <c r="O188" s="43" t="s">
        <v>1296</v>
      </c>
      <c r="P188" s="43" t="b">
        <v>0</v>
      </c>
      <c r="Q188" s="44" t="b">
        <v>0</v>
      </c>
    </row>
    <row r="189" spans="1:17" x14ac:dyDescent="0.3">
      <c r="A189" s="71" t="s">
        <v>375</v>
      </c>
      <c r="B189" s="29"/>
      <c r="C189" s="29"/>
      <c r="D189" s="72">
        <v>50000</v>
      </c>
      <c r="E189" s="72">
        <v>10</v>
      </c>
      <c r="F189" s="72">
        <v>1</v>
      </c>
      <c r="G189" s="73" t="str">
        <f t="shared" si="11"/>
        <v>Sector06.toxic_1.poison01.buff.buffeffect</v>
      </c>
      <c r="H189" s="72"/>
      <c r="I189" s="72" t="b">
        <v>0</v>
      </c>
      <c r="J189" s="56" t="b">
        <v>0</v>
      </c>
      <c r="K189" s="56" t="b">
        <v>0</v>
      </c>
      <c r="L189" s="72" t="s">
        <v>351</v>
      </c>
      <c r="M189" s="72" t="s">
        <v>352</v>
      </c>
      <c r="N189" s="72" t="s">
        <v>353</v>
      </c>
      <c r="O189" s="29" t="s">
        <v>1319</v>
      </c>
      <c r="P189" s="29" t="b">
        <v>0</v>
      </c>
      <c r="Q189" s="56" t="b">
        <v>0</v>
      </c>
    </row>
    <row r="190" spans="1:17" x14ac:dyDescent="0.3">
      <c r="A190" s="71" t="s">
        <v>377</v>
      </c>
      <c r="B190" s="29"/>
      <c r="C190" s="29"/>
      <c r="D190" s="72">
        <v>4000</v>
      </c>
      <c r="E190" s="72">
        <v>0</v>
      </c>
      <c r="F190" s="72">
        <v>0</v>
      </c>
      <c r="G190" s="73" t="s">
        <v>378</v>
      </c>
      <c r="H190" s="72"/>
      <c r="I190" s="72" t="b">
        <v>0</v>
      </c>
      <c r="J190" s="56" t="b">
        <v>0</v>
      </c>
      <c r="K190" s="56" t="b">
        <v>0</v>
      </c>
      <c r="L190" s="72" t="s">
        <v>67</v>
      </c>
      <c r="M190" s="72" t="s">
        <v>68</v>
      </c>
      <c r="N190" s="72" t="s">
        <v>69</v>
      </c>
      <c r="O190" s="29" t="s">
        <v>1303</v>
      </c>
      <c r="P190" s="29" t="b">
        <v>0</v>
      </c>
      <c r="Q190" s="56" t="b">
        <v>0</v>
      </c>
    </row>
    <row r="191" spans="1:17" ht="41.25" customHeight="1" x14ac:dyDescent="0.3">
      <c r="A191" s="71" t="s">
        <v>379</v>
      </c>
      <c r="B191" s="29"/>
      <c r="C191" s="29"/>
      <c r="D191" s="72">
        <v>0</v>
      </c>
      <c r="E191" s="72">
        <v>0</v>
      </c>
      <c r="F191" s="72">
        <v>0</v>
      </c>
      <c r="G191" s="73" t="s">
        <v>380</v>
      </c>
      <c r="H191" s="72"/>
      <c r="I191" s="72" t="b">
        <v>0</v>
      </c>
      <c r="J191" s="56" t="b">
        <v>0</v>
      </c>
      <c r="K191" s="56" t="b">
        <v>1</v>
      </c>
      <c r="L191" s="72"/>
      <c r="M191" s="72" t="s">
        <v>248</v>
      </c>
      <c r="N191" s="72" t="s">
        <v>249</v>
      </c>
      <c r="O191" s="29" t="s">
        <v>1308</v>
      </c>
      <c r="P191" s="29" t="b">
        <v>0</v>
      </c>
      <c r="Q191" s="56" t="b">
        <v>0</v>
      </c>
    </row>
    <row r="192" spans="1:17" x14ac:dyDescent="0.3">
      <c r="A192" s="71" t="s">
        <v>381</v>
      </c>
      <c r="B192" s="29"/>
      <c r="C192" s="29"/>
      <c r="D192" s="72">
        <v>5000</v>
      </c>
      <c r="E192" s="72">
        <v>0</v>
      </c>
      <c r="F192" s="72">
        <v>0</v>
      </c>
      <c r="G192" s="73" t="str">
        <f t="shared" ref="G192:G194" si="12">A192&amp;".buffeffect"</f>
        <v>Sector06.toxic_1.passive01.hot.buff.buffeffect</v>
      </c>
      <c r="H192" s="72"/>
      <c r="I192" s="72" t="b">
        <v>0</v>
      </c>
      <c r="J192" s="56" t="b">
        <v>0</v>
      </c>
      <c r="K192" s="56" t="b">
        <v>1</v>
      </c>
      <c r="L192" s="72" t="s">
        <v>247</v>
      </c>
      <c r="M192" s="72" t="s">
        <v>248</v>
      </c>
      <c r="N192" s="72" t="s">
        <v>249</v>
      </c>
      <c r="O192" s="29" t="s">
        <v>1308</v>
      </c>
      <c r="P192" s="29" t="b">
        <v>0</v>
      </c>
      <c r="Q192" s="56" t="b">
        <v>0</v>
      </c>
    </row>
    <row r="193" spans="1:17" x14ac:dyDescent="0.3">
      <c r="A193" s="71" t="s">
        <v>383</v>
      </c>
      <c r="B193" s="29"/>
      <c r="C193" s="29"/>
      <c r="D193" s="72">
        <v>0</v>
      </c>
      <c r="E193" s="72">
        <v>0</v>
      </c>
      <c r="F193" s="72">
        <v>0</v>
      </c>
      <c r="G193" s="73" t="str">
        <f t="shared" si="12"/>
        <v>Sector06.toxic_1.passive02.buff.buffeffect</v>
      </c>
      <c r="H193" s="72"/>
      <c r="I193" s="72" t="b">
        <v>0</v>
      </c>
      <c r="J193" s="56" t="b">
        <v>0</v>
      </c>
      <c r="K193" s="56" t="b">
        <v>1</v>
      </c>
      <c r="L193" s="72"/>
      <c r="M193" s="72" t="s">
        <v>1330</v>
      </c>
      <c r="N193" s="72" t="s">
        <v>1331</v>
      </c>
      <c r="O193" s="29" t="s">
        <v>1332</v>
      </c>
      <c r="P193" s="29" t="b">
        <v>0</v>
      </c>
      <c r="Q193" s="56" t="b">
        <v>0</v>
      </c>
    </row>
    <row r="194" spans="1:17" x14ac:dyDescent="0.3">
      <c r="A194" s="89" t="s">
        <v>385</v>
      </c>
      <c r="B194" s="48"/>
      <c r="C194" s="48"/>
      <c r="D194" s="90">
        <v>50000</v>
      </c>
      <c r="E194" s="90">
        <v>15</v>
      </c>
      <c r="F194" s="90">
        <v>1</v>
      </c>
      <c r="G194" s="91" t="str">
        <f t="shared" si="12"/>
        <v>Sector06.toxic_3.poison01.buff.buffeffect</v>
      </c>
      <c r="H194" s="90"/>
      <c r="I194" s="90" t="b">
        <v>0</v>
      </c>
      <c r="J194" s="95" t="b">
        <v>0</v>
      </c>
      <c r="K194" s="95" t="b">
        <v>0</v>
      </c>
      <c r="L194" s="90" t="s">
        <v>351</v>
      </c>
      <c r="M194" s="90" t="s">
        <v>352</v>
      </c>
      <c r="N194" s="90" t="s">
        <v>353</v>
      </c>
      <c r="O194" s="48" t="s">
        <v>1319</v>
      </c>
      <c r="P194" s="48" t="b">
        <v>0</v>
      </c>
      <c r="Q194" s="95" t="b">
        <v>0</v>
      </c>
    </row>
    <row r="195" spans="1:17" ht="41.25" customHeight="1" x14ac:dyDescent="0.3">
      <c r="A195" s="89" t="s">
        <v>387</v>
      </c>
      <c r="B195" s="48"/>
      <c r="C195" s="48"/>
      <c r="D195" s="90">
        <v>0</v>
      </c>
      <c r="E195" s="90">
        <v>0</v>
      </c>
      <c r="F195" s="90">
        <v>0</v>
      </c>
      <c r="G195" s="91" t="s">
        <v>388</v>
      </c>
      <c r="H195" s="90"/>
      <c r="I195" s="90" t="b">
        <v>0</v>
      </c>
      <c r="J195" s="95" t="b">
        <v>0</v>
      </c>
      <c r="K195" s="95" t="b">
        <v>1</v>
      </c>
      <c r="L195" s="90"/>
      <c r="M195" s="90" t="s">
        <v>248</v>
      </c>
      <c r="N195" s="90" t="s">
        <v>249</v>
      </c>
      <c r="O195" s="48" t="s">
        <v>1308</v>
      </c>
      <c r="P195" s="48" t="b">
        <v>0</v>
      </c>
      <c r="Q195" s="95" t="b">
        <v>0</v>
      </c>
    </row>
    <row r="196" spans="1:17" x14ac:dyDescent="0.3">
      <c r="A196" s="89" t="s">
        <v>389</v>
      </c>
      <c r="B196" s="48"/>
      <c r="C196" s="48"/>
      <c r="D196" s="90">
        <v>5000</v>
      </c>
      <c r="E196" s="90">
        <v>0</v>
      </c>
      <c r="F196" s="90">
        <v>0</v>
      </c>
      <c r="G196" s="91" t="str">
        <f t="shared" ref="G196" si="13">A196&amp;".buffeffect"</f>
        <v>Sector06.toxic_3.passive01.hot.buff.buffeffect</v>
      </c>
      <c r="H196" s="90"/>
      <c r="I196" s="90" t="b">
        <v>0</v>
      </c>
      <c r="J196" s="95" t="b">
        <v>0</v>
      </c>
      <c r="K196" s="95" t="b">
        <v>1</v>
      </c>
      <c r="L196" s="90" t="s">
        <v>247</v>
      </c>
      <c r="M196" s="90" t="s">
        <v>248</v>
      </c>
      <c r="N196" s="90" t="s">
        <v>249</v>
      </c>
      <c r="O196" s="48" t="s">
        <v>1308</v>
      </c>
      <c r="P196" s="48" t="b">
        <v>0</v>
      </c>
      <c r="Q196" s="95" t="b">
        <v>0</v>
      </c>
    </row>
    <row r="197" spans="1:17" ht="27.75" customHeight="1" x14ac:dyDescent="0.3">
      <c r="A197" s="89" t="s">
        <v>391</v>
      </c>
      <c r="B197" s="48"/>
      <c r="C197" s="48"/>
      <c r="D197" s="90">
        <v>0</v>
      </c>
      <c r="E197" s="90">
        <v>0</v>
      </c>
      <c r="F197" s="90">
        <v>0</v>
      </c>
      <c r="G197" s="91" t="s">
        <v>392</v>
      </c>
      <c r="H197" s="90"/>
      <c r="I197" s="90" t="b">
        <v>0</v>
      </c>
      <c r="J197" s="95" t="b">
        <v>0</v>
      </c>
      <c r="K197" s="95" t="b">
        <v>1</v>
      </c>
      <c r="L197" s="90"/>
      <c r="M197" s="90" t="s">
        <v>241</v>
      </c>
      <c r="N197" s="90" t="s">
        <v>1331</v>
      </c>
      <c r="O197" s="48" t="s">
        <v>1332</v>
      </c>
      <c r="P197" s="48" t="b">
        <v>0</v>
      </c>
      <c r="Q197" s="95" t="b">
        <v>0</v>
      </c>
    </row>
    <row r="198" spans="1:17" x14ac:dyDescent="0.3">
      <c r="A198" s="86" t="s">
        <v>393</v>
      </c>
      <c r="B198" s="10"/>
      <c r="C198" s="10"/>
      <c r="D198" s="87">
        <v>4000</v>
      </c>
      <c r="E198" s="87">
        <v>0</v>
      </c>
      <c r="F198" s="87">
        <v>0</v>
      </c>
      <c r="G198" s="88" t="str">
        <f t="shared" ref="G198:G214" si="14">A198&amp;".buffeffect"</f>
        <v>Sector07.clock_squire_1.skill01.effect01.buff.buffeffect</v>
      </c>
      <c r="H198" s="87"/>
      <c r="I198" s="87" t="b">
        <v>0</v>
      </c>
      <c r="J198" s="96" t="b">
        <v>0</v>
      </c>
      <c r="K198" s="56" t="b">
        <v>1</v>
      </c>
      <c r="L198" s="87" t="s">
        <v>60</v>
      </c>
      <c r="M198" s="87" t="s">
        <v>156</v>
      </c>
      <c r="N198" s="87" t="s">
        <v>157</v>
      </c>
      <c r="O198" s="10" t="s">
        <v>1297</v>
      </c>
      <c r="P198" s="10" t="b">
        <v>0</v>
      </c>
      <c r="Q198" s="96" t="b">
        <v>0</v>
      </c>
    </row>
    <row r="199" spans="1:17" x14ac:dyDescent="0.3">
      <c r="A199" s="92" t="s">
        <v>395</v>
      </c>
      <c r="B199" s="38"/>
      <c r="C199" s="38"/>
      <c r="D199" s="93">
        <v>6000</v>
      </c>
      <c r="E199" s="93">
        <v>5</v>
      </c>
      <c r="F199" s="93">
        <v>1</v>
      </c>
      <c r="G199" s="94" t="str">
        <f t="shared" si="14"/>
        <v>Sector07.clock_crossbow_1.skill01.effect01.fire01.buff.buffeffect</v>
      </c>
      <c r="H199" s="93"/>
      <c r="I199" s="93" t="b">
        <v>0</v>
      </c>
      <c r="J199" s="97" t="b">
        <v>0</v>
      </c>
      <c r="K199" s="95" t="b">
        <v>0</v>
      </c>
      <c r="L199" s="93" t="s">
        <v>46</v>
      </c>
      <c r="M199" s="93" t="s">
        <v>162</v>
      </c>
      <c r="N199" s="93" t="s">
        <v>163</v>
      </c>
      <c r="O199" s="38" t="s">
        <v>1299</v>
      </c>
      <c r="P199" s="38" t="b">
        <v>0</v>
      </c>
      <c r="Q199" s="97" t="b">
        <v>0</v>
      </c>
    </row>
    <row r="200" spans="1:17" x14ac:dyDescent="0.3">
      <c r="A200" s="86" t="s">
        <v>397</v>
      </c>
      <c r="B200" s="10"/>
      <c r="C200" s="10"/>
      <c r="D200" s="87">
        <v>3000</v>
      </c>
      <c r="E200" s="87">
        <v>0</v>
      </c>
      <c r="F200" s="87">
        <v>0</v>
      </c>
      <c r="G200" s="88" t="str">
        <f t="shared" si="14"/>
        <v>Sector07.clock_shield_1.skill01.effect01.stun01.buff.buffeffect</v>
      </c>
      <c r="H200" s="87"/>
      <c r="I200" s="87" t="b">
        <v>0</v>
      </c>
      <c r="J200" s="96" t="b">
        <v>0</v>
      </c>
      <c r="K200" s="95" t="b">
        <v>0</v>
      </c>
      <c r="L200" s="87" t="s">
        <v>67</v>
      </c>
      <c r="M200" s="87" t="s">
        <v>68</v>
      </c>
      <c r="N200" s="87" t="s">
        <v>69</v>
      </c>
      <c r="O200" s="10" t="s">
        <v>1303</v>
      </c>
      <c r="P200" s="10" t="b">
        <v>0</v>
      </c>
      <c r="Q200" s="96" t="b">
        <v>0</v>
      </c>
    </row>
    <row r="201" spans="1:17" x14ac:dyDescent="0.3">
      <c r="A201" s="92" t="s">
        <v>399</v>
      </c>
      <c r="B201" s="38"/>
      <c r="C201" s="38"/>
      <c r="D201" s="93">
        <v>6000</v>
      </c>
      <c r="E201" s="93">
        <v>0</v>
      </c>
      <c r="F201" s="93">
        <v>0</v>
      </c>
      <c r="G201" s="94" t="str">
        <f t="shared" si="14"/>
        <v>Sector07.clock_clown_1.skill01.effect01.buff01.buffeffect</v>
      </c>
      <c r="H201" s="93"/>
      <c r="I201" s="93" t="b">
        <v>0</v>
      </c>
      <c r="J201" s="97" t="b">
        <v>0</v>
      </c>
      <c r="K201" s="56" t="b">
        <v>1</v>
      </c>
      <c r="L201" s="93" t="s">
        <v>63</v>
      </c>
      <c r="M201" s="93" t="s">
        <v>80</v>
      </c>
      <c r="N201" s="93" t="s">
        <v>81</v>
      </c>
      <c r="O201" s="38" t="s">
        <v>1296</v>
      </c>
      <c r="P201" s="38" t="b">
        <v>0</v>
      </c>
      <c r="Q201" s="97" t="b">
        <v>0</v>
      </c>
    </row>
    <row r="202" spans="1:17" x14ac:dyDescent="0.3">
      <c r="A202" s="92" t="s">
        <v>401</v>
      </c>
      <c r="B202" s="38"/>
      <c r="C202" s="38"/>
      <c r="D202" s="93">
        <v>6000</v>
      </c>
      <c r="E202" s="93">
        <v>0</v>
      </c>
      <c r="F202" s="93">
        <v>0</v>
      </c>
      <c r="G202" s="94" t="str">
        <f t="shared" si="14"/>
        <v>Sector07.clock_clown_1.skill01.effect01.buff02.buffeffect</v>
      </c>
      <c r="H202" s="93"/>
      <c r="I202" s="93" t="b">
        <v>0</v>
      </c>
      <c r="J202" s="97" t="b">
        <v>0</v>
      </c>
      <c r="K202" s="56" t="b">
        <v>1</v>
      </c>
      <c r="L202" s="93" t="s">
        <v>63</v>
      </c>
      <c r="M202" s="93" t="s">
        <v>84</v>
      </c>
      <c r="N202" s="93" t="s">
        <v>85</v>
      </c>
      <c r="O202" s="38" t="s">
        <v>1309</v>
      </c>
      <c r="P202" s="38" t="b">
        <v>0</v>
      </c>
      <c r="Q202" s="97" t="b">
        <v>0</v>
      </c>
    </row>
    <row r="203" spans="1:17" x14ac:dyDescent="0.3">
      <c r="A203" s="92" t="s">
        <v>403</v>
      </c>
      <c r="B203" s="38"/>
      <c r="C203" s="38"/>
      <c r="D203" s="93">
        <v>6000</v>
      </c>
      <c r="E203" s="93">
        <v>0</v>
      </c>
      <c r="F203" s="93">
        <v>0</v>
      </c>
      <c r="G203" s="94" t="str">
        <f t="shared" si="14"/>
        <v>Sector07.clock_clown_1.skill01.effect01.buff03.buffeffect</v>
      </c>
      <c r="H203" s="93"/>
      <c r="I203" s="93" t="b">
        <v>0</v>
      </c>
      <c r="J203" s="97" t="b">
        <v>0</v>
      </c>
      <c r="K203" s="95" t="b">
        <v>0</v>
      </c>
      <c r="L203" s="93" t="s">
        <v>46</v>
      </c>
      <c r="M203" s="93" t="s">
        <v>162</v>
      </c>
      <c r="N203" s="93" t="s">
        <v>163</v>
      </c>
      <c r="O203" s="38" t="s">
        <v>1299</v>
      </c>
      <c r="P203" s="38" t="b">
        <v>0</v>
      </c>
      <c r="Q203" s="97" t="b">
        <v>0</v>
      </c>
    </row>
    <row r="204" spans="1:17" x14ac:dyDescent="0.3">
      <c r="A204" s="86" t="s">
        <v>405</v>
      </c>
      <c r="B204" s="10"/>
      <c r="C204" s="10"/>
      <c r="D204" s="87">
        <v>6000</v>
      </c>
      <c r="E204" s="87">
        <v>5</v>
      </c>
      <c r="F204" s="87">
        <v>1</v>
      </c>
      <c r="G204" s="88" t="str">
        <f t="shared" si="14"/>
        <v>Sector07.clock_honor_knight_1.skill01.effect01.bleeding01.buff.buffeffect</v>
      </c>
      <c r="H204" s="87"/>
      <c r="I204" s="87" t="b">
        <v>0</v>
      </c>
      <c r="J204" s="96" t="b">
        <v>0</v>
      </c>
      <c r="K204" s="95" t="b">
        <v>0</v>
      </c>
      <c r="L204" s="87" t="s">
        <v>51</v>
      </c>
      <c r="M204" s="87" t="s">
        <v>52</v>
      </c>
      <c r="N204" s="87" t="s">
        <v>53</v>
      </c>
      <c r="O204" s="10" t="s">
        <v>1311</v>
      </c>
      <c r="P204" s="10" t="b">
        <v>0</v>
      </c>
      <c r="Q204" s="96" t="b">
        <v>0</v>
      </c>
    </row>
    <row r="205" spans="1:17" x14ac:dyDescent="0.3">
      <c r="A205" s="86" t="s">
        <v>1133</v>
      </c>
      <c r="B205" s="10"/>
      <c r="C205" s="10"/>
      <c r="D205" s="87">
        <v>0</v>
      </c>
      <c r="E205" s="87">
        <v>0</v>
      </c>
      <c r="F205" s="87">
        <v>0</v>
      </c>
      <c r="G205" s="88" t="str">
        <f t="shared" si="14"/>
        <v>Sector07.clock_honor_knight_1.passive01.buff.buffeffect</v>
      </c>
      <c r="H205" s="87"/>
      <c r="I205" s="87" t="b">
        <v>0</v>
      </c>
      <c r="J205" s="96" t="b">
        <v>1</v>
      </c>
      <c r="K205" s="95" t="b">
        <v>1</v>
      </c>
      <c r="L205" s="87"/>
      <c r="M205" s="87"/>
      <c r="N205" s="87"/>
      <c r="O205" s="10" t="s">
        <v>1301</v>
      </c>
      <c r="P205" s="10" t="b">
        <v>0</v>
      </c>
      <c r="Q205" s="96" t="b">
        <v>0</v>
      </c>
    </row>
    <row r="206" spans="1:17" x14ac:dyDescent="0.3">
      <c r="A206" s="92" t="s">
        <v>1231</v>
      </c>
      <c r="B206" s="38"/>
      <c r="C206" s="38"/>
      <c r="D206" s="93">
        <v>6000</v>
      </c>
      <c r="E206" s="93">
        <v>5</v>
      </c>
      <c r="F206" s="93">
        <v>1</v>
      </c>
      <c r="G206" s="94" t="str">
        <f t="shared" ref="G206:G207" si="15">A206&amp;".buffeffect"</f>
        <v>Sector07.clock_honor_knight_2.skill01.effect01.bleeding01.buff.buffeffect</v>
      </c>
      <c r="H206" s="93"/>
      <c r="I206" s="93" t="b">
        <v>0</v>
      </c>
      <c r="J206" s="97" t="b">
        <v>0</v>
      </c>
      <c r="K206" s="97" t="b">
        <v>0</v>
      </c>
      <c r="L206" s="93" t="s">
        <v>51</v>
      </c>
      <c r="M206" s="93" t="s">
        <v>52</v>
      </c>
      <c r="N206" s="93" t="s">
        <v>53</v>
      </c>
      <c r="O206" s="38" t="s">
        <v>1311</v>
      </c>
      <c r="P206" s="38" t="b">
        <v>0</v>
      </c>
      <c r="Q206" s="97" t="b">
        <v>0</v>
      </c>
    </row>
    <row r="207" spans="1:17" x14ac:dyDescent="0.3">
      <c r="A207" s="92" t="s">
        <v>1232</v>
      </c>
      <c r="B207" s="38"/>
      <c r="C207" s="38"/>
      <c r="D207" s="93">
        <v>0</v>
      </c>
      <c r="E207" s="93">
        <v>0</v>
      </c>
      <c r="F207" s="93">
        <v>0</v>
      </c>
      <c r="G207" s="94" t="str">
        <f t="shared" si="15"/>
        <v>Sector07.clock_honor_knight_2.passive01.buff.buffeffect</v>
      </c>
      <c r="H207" s="93"/>
      <c r="I207" s="93" t="b">
        <v>0</v>
      </c>
      <c r="J207" s="97" t="b">
        <v>1</v>
      </c>
      <c r="K207" s="97" t="b">
        <v>1</v>
      </c>
      <c r="L207" s="93"/>
      <c r="M207" s="93"/>
      <c r="N207" s="93"/>
      <c r="O207" s="38" t="s">
        <v>1301</v>
      </c>
      <c r="P207" s="38" t="b">
        <v>0</v>
      </c>
      <c r="Q207" s="97" t="b">
        <v>0</v>
      </c>
    </row>
    <row r="208" spans="1:17" x14ac:dyDescent="0.3">
      <c r="A208" s="86" t="s">
        <v>407</v>
      </c>
      <c r="B208" s="10"/>
      <c r="C208" s="10"/>
      <c r="D208" s="87">
        <v>6000</v>
      </c>
      <c r="E208" s="87">
        <v>5</v>
      </c>
      <c r="F208" s="87">
        <v>1</v>
      </c>
      <c r="G208" s="88" t="str">
        <f t="shared" si="14"/>
        <v>Sector07.clock_noble_knight_1.skill01.effect01.burn01.buff.buffeffect</v>
      </c>
      <c r="H208" s="87"/>
      <c r="I208" s="87" t="b">
        <v>0</v>
      </c>
      <c r="J208" s="96" t="b">
        <v>0</v>
      </c>
      <c r="K208" s="96" t="b">
        <v>0</v>
      </c>
      <c r="L208" s="87" t="s">
        <v>46</v>
      </c>
      <c r="M208" s="87" t="s">
        <v>162</v>
      </c>
      <c r="N208" s="87" t="s">
        <v>163</v>
      </c>
      <c r="O208" s="10" t="s">
        <v>1299</v>
      </c>
      <c r="P208" s="10" t="b">
        <v>0</v>
      </c>
      <c r="Q208" s="96" t="b">
        <v>0</v>
      </c>
    </row>
    <row r="209" spans="1:17" x14ac:dyDescent="0.3">
      <c r="A209" s="86" t="s">
        <v>409</v>
      </c>
      <c r="B209" s="10"/>
      <c r="C209" s="10"/>
      <c r="D209" s="87">
        <v>5000</v>
      </c>
      <c r="E209" s="87">
        <v>0</v>
      </c>
      <c r="F209" s="87">
        <v>0</v>
      </c>
      <c r="G209" s="86" t="str">
        <f t="shared" si="14"/>
        <v>Sector07.clock_noble_knight_1.skill02.effect01.shield01.buff.buffeffect</v>
      </c>
      <c r="H209" s="87"/>
      <c r="I209" s="87" t="b">
        <v>0</v>
      </c>
      <c r="J209" s="96" t="b">
        <v>0</v>
      </c>
      <c r="K209" s="96" t="b">
        <v>1</v>
      </c>
      <c r="L209" s="87" t="s">
        <v>60</v>
      </c>
      <c r="M209" s="87" t="s">
        <v>156</v>
      </c>
      <c r="N209" s="87" t="s">
        <v>157</v>
      </c>
      <c r="O209" s="10" t="s">
        <v>1297</v>
      </c>
      <c r="P209" s="10" t="b">
        <v>0</v>
      </c>
      <c r="Q209" s="96" t="b">
        <v>0</v>
      </c>
    </row>
    <row r="210" spans="1:17" x14ac:dyDescent="0.3">
      <c r="A210" s="86" t="s">
        <v>411</v>
      </c>
      <c r="B210" s="10"/>
      <c r="C210" s="10"/>
      <c r="D210" s="87">
        <v>300</v>
      </c>
      <c r="E210" s="87">
        <v>0</v>
      </c>
      <c r="F210" s="87">
        <v>0</v>
      </c>
      <c r="G210" s="88" t="str">
        <f t="shared" si="14"/>
        <v>Sector07.clock_noble_knight_1.skill03.effect01.knockback01.buff.buffeffect</v>
      </c>
      <c r="H210" s="87"/>
      <c r="I210" s="87" t="b">
        <v>0</v>
      </c>
      <c r="J210" s="96" t="b">
        <v>0</v>
      </c>
      <c r="K210" s="96" t="b">
        <v>0</v>
      </c>
      <c r="L210" s="87"/>
      <c r="M210" s="87"/>
      <c r="N210" s="87" t="s">
        <v>72</v>
      </c>
      <c r="O210" s="10" t="s">
        <v>1300</v>
      </c>
      <c r="P210" s="10" t="b">
        <v>0</v>
      </c>
      <c r="Q210" s="96" t="b">
        <v>0</v>
      </c>
    </row>
    <row r="211" spans="1:17" x14ac:dyDescent="0.3">
      <c r="A211" s="86" t="s">
        <v>413</v>
      </c>
      <c r="B211" s="10"/>
      <c r="C211" s="10"/>
      <c r="D211" s="87">
        <v>0</v>
      </c>
      <c r="E211" s="87">
        <v>0</v>
      </c>
      <c r="F211" s="87">
        <v>0</v>
      </c>
      <c r="G211" s="88" t="str">
        <f t="shared" si="14"/>
        <v>Sector07.clock_noble_knight_1.passive01.buff.buffeffect</v>
      </c>
      <c r="H211" s="87"/>
      <c r="I211" s="87" t="b">
        <v>0</v>
      </c>
      <c r="J211" s="96" t="b">
        <v>0</v>
      </c>
      <c r="K211" s="96" t="b">
        <v>1</v>
      </c>
      <c r="L211" s="87"/>
      <c r="M211" s="87" t="s">
        <v>80</v>
      </c>
      <c r="N211" s="87" t="s">
        <v>81</v>
      </c>
      <c r="O211" s="10" t="s">
        <v>1296</v>
      </c>
      <c r="P211" s="10" t="b">
        <v>0</v>
      </c>
      <c r="Q211" s="96" t="b">
        <v>0</v>
      </c>
    </row>
    <row r="212" spans="1:17" x14ac:dyDescent="0.3">
      <c r="A212" s="86" t="s">
        <v>415</v>
      </c>
      <c r="B212" s="10"/>
      <c r="C212" s="10"/>
      <c r="D212" s="87">
        <v>10000</v>
      </c>
      <c r="E212" s="87">
        <v>0</v>
      </c>
      <c r="F212" s="87">
        <v>0</v>
      </c>
      <c r="G212" s="88" t="str">
        <f t="shared" si="14"/>
        <v>Sector07.clock_noble_knight_1.passive01.trigger.buff.buffeffect</v>
      </c>
      <c r="H212" s="87" t="s">
        <v>417</v>
      </c>
      <c r="I212" s="87" t="b">
        <v>0</v>
      </c>
      <c r="J212" s="96" t="b">
        <v>0</v>
      </c>
      <c r="K212" s="96" t="b">
        <v>1</v>
      </c>
      <c r="L212" s="87" t="s">
        <v>63</v>
      </c>
      <c r="M212" s="87" t="s">
        <v>80</v>
      </c>
      <c r="N212" s="87" t="s">
        <v>418</v>
      </c>
      <c r="O212" s="10" t="s">
        <v>419</v>
      </c>
      <c r="P212" s="10" t="b">
        <v>0</v>
      </c>
      <c r="Q212" s="96" t="b">
        <v>0</v>
      </c>
    </row>
    <row r="213" spans="1:17" x14ac:dyDescent="0.3">
      <c r="A213" s="86" t="s">
        <v>420</v>
      </c>
      <c r="B213" s="10"/>
      <c r="C213" s="10"/>
      <c r="D213" s="87">
        <v>0</v>
      </c>
      <c r="E213" s="87">
        <v>0</v>
      </c>
      <c r="F213" s="87">
        <v>0</v>
      </c>
      <c r="G213" s="88" t="str">
        <f t="shared" si="14"/>
        <v>Sector07.clock_noble_knight_1.passive01.atkup.buff.buffeffect</v>
      </c>
      <c r="H213" s="87"/>
      <c r="I213" s="87" t="b">
        <v>1</v>
      </c>
      <c r="J213" s="96" t="b">
        <v>0</v>
      </c>
      <c r="K213" s="96" t="b">
        <v>1</v>
      </c>
      <c r="L213" s="87" t="s">
        <v>63</v>
      </c>
      <c r="M213" s="87" t="s">
        <v>80</v>
      </c>
      <c r="N213" s="87" t="s">
        <v>81</v>
      </c>
      <c r="O213" s="10" t="s">
        <v>1296</v>
      </c>
      <c r="P213" s="10" t="b">
        <v>0</v>
      </c>
      <c r="Q213" s="96" t="b">
        <v>0</v>
      </c>
    </row>
    <row r="214" spans="1:17" x14ac:dyDescent="0.3">
      <c r="A214" s="86" t="s">
        <v>422</v>
      </c>
      <c r="B214" s="10"/>
      <c r="C214" s="10"/>
      <c r="D214" s="87">
        <v>0</v>
      </c>
      <c r="E214" s="87">
        <v>0</v>
      </c>
      <c r="F214" s="87">
        <v>0</v>
      </c>
      <c r="G214" s="88" t="str">
        <f t="shared" si="14"/>
        <v>Sector07.clock_noble_knight_1.passive02.buff.buffeffect</v>
      </c>
      <c r="H214" s="87"/>
      <c r="I214" s="87" t="b">
        <v>0</v>
      </c>
      <c r="J214" s="96" t="b">
        <v>0</v>
      </c>
      <c r="K214" s="96" t="b">
        <v>0</v>
      </c>
      <c r="L214" s="87"/>
      <c r="M214" s="87"/>
      <c r="N214" s="87"/>
      <c r="O214" s="10" t="s">
        <v>1301</v>
      </c>
      <c r="P214" s="10" t="b">
        <v>0</v>
      </c>
      <c r="Q214" s="96" t="b">
        <v>0</v>
      </c>
    </row>
    <row r="215" spans="1:17" x14ac:dyDescent="0.3">
      <c r="A215" s="92" t="s">
        <v>424</v>
      </c>
      <c r="B215" s="38"/>
      <c r="C215" s="38"/>
      <c r="D215" s="93">
        <v>4000</v>
      </c>
      <c r="E215" s="93">
        <v>0</v>
      </c>
      <c r="F215" s="93">
        <v>0</v>
      </c>
      <c r="G215" s="94" t="s">
        <v>425</v>
      </c>
      <c r="H215" s="93"/>
      <c r="I215" s="93" t="b">
        <v>0</v>
      </c>
      <c r="J215" s="97" t="b">
        <v>0</v>
      </c>
      <c r="K215" s="97" t="b">
        <v>0</v>
      </c>
      <c r="L215" s="93" t="s">
        <v>426</v>
      </c>
      <c r="M215" s="93" t="s">
        <v>427</v>
      </c>
      <c r="N215" s="93" t="s">
        <v>428</v>
      </c>
      <c r="O215" s="38" t="s">
        <v>1316</v>
      </c>
      <c r="P215" s="38" t="b">
        <v>0</v>
      </c>
      <c r="Q215" s="97" t="b">
        <v>0</v>
      </c>
    </row>
    <row r="216" spans="1:17" x14ac:dyDescent="0.3">
      <c r="A216" s="92" t="s">
        <v>429</v>
      </c>
      <c r="B216" s="38"/>
      <c r="C216" s="38"/>
      <c r="D216" s="93">
        <v>6000</v>
      </c>
      <c r="E216" s="93">
        <v>0</v>
      </c>
      <c r="F216" s="93">
        <v>0</v>
      </c>
      <c r="G216" s="94" t="str">
        <f t="shared" ref="G216:G248" si="16">A216&amp;".buffeffect"</f>
        <v>Sector07.clock_noble_bishop_1.skill02.effect01.wound01.buff.buffeffect</v>
      </c>
      <c r="H216" s="93"/>
      <c r="I216" s="93" t="b">
        <v>0</v>
      </c>
      <c r="J216" s="97" t="b">
        <v>0</v>
      </c>
      <c r="K216" s="97" t="b">
        <v>0</v>
      </c>
      <c r="L216" s="93" t="s">
        <v>55</v>
      </c>
      <c r="M216" s="93" t="s">
        <v>431</v>
      </c>
      <c r="N216" s="93" t="s">
        <v>432</v>
      </c>
      <c r="O216" s="38" t="s">
        <v>1320</v>
      </c>
      <c r="P216" s="38" t="b">
        <v>0</v>
      </c>
      <c r="Q216" s="97" t="b">
        <v>0</v>
      </c>
    </row>
    <row r="217" spans="1:17" x14ac:dyDescent="0.3">
      <c r="A217" s="86" t="s">
        <v>433</v>
      </c>
      <c r="B217" s="10"/>
      <c r="C217" s="10"/>
      <c r="D217" s="87">
        <v>500</v>
      </c>
      <c r="E217" s="87">
        <v>0</v>
      </c>
      <c r="F217" s="87">
        <v>0</v>
      </c>
      <c r="G217" s="88" t="str">
        <f t="shared" si="16"/>
        <v>Sector07.clock_noble_keeper_1.attack01.effect01.knockback01.buff.buffeffect</v>
      </c>
      <c r="H217" s="87"/>
      <c r="I217" s="87" t="b">
        <v>0</v>
      </c>
      <c r="J217" s="96" t="b">
        <v>0</v>
      </c>
      <c r="K217" s="96" t="b">
        <v>0</v>
      </c>
      <c r="L217" s="87"/>
      <c r="M217" s="87"/>
      <c r="N217" s="87" t="s">
        <v>72</v>
      </c>
      <c r="O217" s="10" t="s">
        <v>1300</v>
      </c>
      <c r="P217" s="10" t="b">
        <v>0</v>
      </c>
      <c r="Q217" s="96" t="b">
        <v>0</v>
      </c>
    </row>
    <row r="218" spans="1:17" x14ac:dyDescent="0.3">
      <c r="A218" s="86" t="s">
        <v>435</v>
      </c>
      <c r="B218" s="10"/>
      <c r="C218" s="10"/>
      <c r="D218" s="87">
        <v>6000</v>
      </c>
      <c r="E218" s="87">
        <v>0</v>
      </c>
      <c r="F218" s="87">
        <v>0</v>
      </c>
      <c r="G218" s="86" t="str">
        <f t="shared" si="16"/>
        <v>Sector07.clock_noble_keeper_1.attack01.effect01.movespeeddown01.buff.buffeffect</v>
      </c>
      <c r="H218" s="87"/>
      <c r="I218" s="87" t="b">
        <v>0</v>
      </c>
      <c r="J218" s="96" t="b">
        <v>0</v>
      </c>
      <c r="K218" s="96" t="b">
        <v>0</v>
      </c>
      <c r="L218" s="87" t="s">
        <v>55</v>
      </c>
      <c r="M218" s="87" t="s">
        <v>262</v>
      </c>
      <c r="N218" s="87" t="s">
        <v>263</v>
      </c>
      <c r="O218" s="10" t="s">
        <v>1310</v>
      </c>
      <c r="P218" s="10" t="b">
        <v>0</v>
      </c>
      <c r="Q218" s="96" t="b">
        <v>0</v>
      </c>
    </row>
    <row r="219" spans="1:17" x14ac:dyDescent="0.3">
      <c r="A219" s="86" t="s">
        <v>437</v>
      </c>
      <c r="B219" s="10"/>
      <c r="C219" s="10"/>
      <c r="D219" s="87">
        <v>6000</v>
      </c>
      <c r="E219" s="87">
        <v>5</v>
      </c>
      <c r="F219" s="87">
        <v>1</v>
      </c>
      <c r="G219" s="88" t="str">
        <f t="shared" si="16"/>
        <v>Sector07.clock_noble_keeper_1.skill01.effect01.fire01.buff.buffeffect</v>
      </c>
      <c r="H219" s="87"/>
      <c r="I219" s="87" t="b">
        <v>0</v>
      </c>
      <c r="J219" s="96" t="b">
        <v>0</v>
      </c>
      <c r="K219" s="96" t="b">
        <v>0</v>
      </c>
      <c r="L219" s="87" t="s">
        <v>46</v>
      </c>
      <c r="M219" s="87" t="s">
        <v>162</v>
      </c>
      <c r="N219" s="87" t="s">
        <v>163</v>
      </c>
      <c r="O219" s="10" t="s">
        <v>1299</v>
      </c>
      <c r="P219" s="10" t="b">
        <v>0</v>
      </c>
      <c r="Q219" s="96" t="b">
        <v>0</v>
      </c>
    </row>
    <row r="220" spans="1:17" x14ac:dyDescent="0.3">
      <c r="A220" s="86" t="s">
        <v>439</v>
      </c>
      <c r="B220" s="10"/>
      <c r="C220" s="10"/>
      <c r="D220" s="87">
        <v>6000</v>
      </c>
      <c r="E220" s="87">
        <v>0</v>
      </c>
      <c r="F220" s="87">
        <v>0</v>
      </c>
      <c r="G220" s="88" t="str">
        <f t="shared" si="16"/>
        <v>Sector07.clock_noble_keeper_1.skill02.effect01.defdown01.buff.buffeffect</v>
      </c>
      <c r="H220" s="87"/>
      <c r="I220" s="87" t="b">
        <v>0</v>
      </c>
      <c r="J220" s="96" t="b">
        <v>0</v>
      </c>
      <c r="K220" s="96" t="b">
        <v>0</v>
      </c>
      <c r="L220" s="87" t="s">
        <v>55</v>
      </c>
      <c r="M220" s="87" t="s">
        <v>56</v>
      </c>
      <c r="N220" s="87" t="s">
        <v>57</v>
      </c>
      <c r="O220" s="10" t="s">
        <v>1315</v>
      </c>
      <c r="P220" s="10" t="b">
        <v>0</v>
      </c>
      <c r="Q220" s="96" t="b">
        <v>0</v>
      </c>
    </row>
    <row r="221" spans="1:17" x14ac:dyDescent="0.3">
      <c r="A221" s="92" t="s">
        <v>1068</v>
      </c>
      <c r="B221" s="38"/>
      <c r="C221" s="38"/>
      <c r="D221" s="93">
        <v>8000</v>
      </c>
      <c r="E221" s="93">
        <v>0</v>
      </c>
      <c r="F221" s="93">
        <v>0</v>
      </c>
      <c r="G221" s="94" t="str">
        <f t="shared" ref="G221" si="17">A221&amp;".buffeffect"</f>
        <v>Sector07.clock_royal_queen_1.attack.effect01.wound.buff.buffeffect</v>
      </c>
      <c r="H221" s="93"/>
      <c r="I221" s="93" t="b">
        <v>0</v>
      </c>
      <c r="J221" s="97" t="b">
        <v>0</v>
      </c>
      <c r="K221" s="97" t="b">
        <v>0</v>
      </c>
      <c r="L221" s="93" t="s">
        <v>55</v>
      </c>
      <c r="M221" s="93" t="s">
        <v>431</v>
      </c>
      <c r="N221" s="93" t="s">
        <v>432</v>
      </c>
      <c r="O221" s="38" t="s">
        <v>1320</v>
      </c>
      <c r="P221" s="38" t="b">
        <v>0</v>
      </c>
      <c r="Q221" s="97" t="b">
        <v>0</v>
      </c>
    </row>
    <row r="222" spans="1:17" x14ac:dyDescent="0.3">
      <c r="A222" s="92" t="s">
        <v>441</v>
      </c>
      <c r="B222" s="38"/>
      <c r="C222" s="38"/>
      <c r="D222" s="93">
        <v>8000</v>
      </c>
      <c r="E222" s="93">
        <v>0</v>
      </c>
      <c r="F222" s="93">
        <v>0</v>
      </c>
      <c r="G222" s="94" t="str">
        <f t="shared" si="16"/>
        <v>Sector07.clock_royal_queen_1.skill01.effect01.wound.buff.buffeffect</v>
      </c>
      <c r="H222" s="93"/>
      <c r="I222" s="93" t="b">
        <v>0</v>
      </c>
      <c r="J222" s="97" t="b">
        <v>0</v>
      </c>
      <c r="K222" s="97" t="b">
        <v>0</v>
      </c>
      <c r="L222" s="93" t="s">
        <v>55</v>
      </c>
      <c r="M222" s="93" t="s">
        <v>431</v>
      </c>
      <c r="N222" s="93" t="s">
        <v>432</v>
      </c>
      <c r="O222" s="38" t="s">
        <v>1320</v>
      </c>
      <c r="P222" s="38" t="b">
        <v>0</v>
      </c>
      <c r="Q222" s="97" t="b">
        <v>0</v>
      </c>
    </row>
    <row r="223" spans="1:17" x14ac:dyDescent="0.3">
      <c r="A223" s="92" t="s">
        <v>443</v>
      </c>
      <c r="B223" s="38"/>
      <c r="C223" s="38"/>
      <c r="D223" s="93">
        <v>8000</v>
      </c>
      <c r="E223" s="93">
        <v>0</v>
      </c>
      <c r="F223" s="93">
        <v>0</v>
      </c>
      <c r="G223" s="94" t="str">
        <f t="shared" si="16"/>
        <v>Sector07.clock_royal_queen_1.skill03.effect01.buff.buffeffect</v>
      </c>
      <c r="H223" s="93"/>
      <c r="I223" s="93" t="b">
        <v>0</v>
      </c>
      <c r="J223" s="97" t="b">
        <v>0</v>
      </c>
      <c r="K223" s="97" t="b">
        <v>1</v>
      </c>
      <c r="L223" s="93" t="s">
        <v>63</v>
      </c>
      <c r="M223" s="93" t="s">
        <v>80</v>
      </c>
      <c r="N223" s="93" t="s">
        <v>81</v>
      </c>
      <c r="O223" s="38" t="s">
        <v>1296</v>
      </c>
      <c r="P223" s="38" t="b">
        <v>0</v>
      </c>
      <c r="Q223" s="97" t="b">
        <v>0</v>
      </c>
    </row>
    <row r="224" spans="1:17" x14ac:dyDescent="0.3">
      <c r="A224" s="92" t="s">
        <v>445</v>
      </c>
      <c r="B224" s="38"/>
      <c r="C224" s="38"/>
      <c r="D224" s="93">
        <v>8000</v>
      </c>
      <c r="E224" s="93">
        <v>0</v>
      </c>
      <c r="F224" s="93">
        <v>0</v>
      </c>
      <c r="G224" s="94" t="str">
        <f t="shared" si="16"/>
        <v>Sector07.clock_royal_queen_1.skill03.effect02.buff.buffeffect</v>
      </c>
      <c r="H224" s="93"/>
      <c r="I224" s="93" t="b">
        <v>0</v>
      </c>
      <c r="J224" s="97" t="b">
        <v>0</v>
      </c>
      <c r="K224" s="97" t="b">
        <v>1</v>
      </c>
      <c r="L224" s="93" t="s">
        <v>247</v>
      </c>
      <c r="M224" s="93" t="s">
        <v>248</v>
      </c>
      <c r="N224" s="93" t="s">
        <v>249</v>
      </c>
      <c r="O224" s="38" t="s">
        <v>1308</v>
      </c>
      <c r="P224" s="38" t="b">
        <v>0</v>
      </c>
      <c r="Q224" s="97" t="b">
        <v>0</v>
      </c>
    </row>
    <row r="225" spans="1:17" x14ac:dyDescent="0.3">
      <c r="A225" s="92" t="s">
        <v>447</v>
      </c>
      <c r="B225" s="38"/>
      <c r="C225" s="38"/>
      <c r="D225" s="93">
        <v>0</v>
      </c>
      <c r="E225" s="93">
        <v>0</v>
      </c>
      <c r="F225" s="93">
        <v>0</v>
      </c>
      <c r="G225" s="94" t="str">
        <f t="shared" si="16"/>
        <v>Sector07.clock_royal_queen_1.passive01.buff.buffeffect</v>
      </c>
      <c r="H225" s="93"/>
      <c r="I225" s="93" t="b">
        <v>0</v>
      </c>
      <c r="J225" s="97" t="b">
        <v>0</v>
      </c>
      <c r="K225" s="97" t="b">
        <v>0</v>
      </c>
      <c r="L225" s="93"/>
      <c r="M225" s="93"/>
      <c r="N225" s="93"/>
      <c r="O225" s="38" t="s">
        <v>1301</v>
      </c>
      <c r="P225" s="38" t="b">
        <v>0</v>
      </c>
      <c r="Q225" s="97" t="b">
        <v>0</v>
      </c>
    </row>
    <row r="226" spans="1:17" x14ac:dyDescent="0.3">
      <c r="A226" s="92" t="s">
        <v>449</v>
      </c>
      <c r="B226" s="38"/>
      <c r="C226" s="38"/>
      <c r="D226" s="93">
        <v>0</v>
      </c>
      <c r="E226" s="93">
        <v>0</v>
      </c>
      <c r="F226" s="93">
        <v>0</v>
      </c>
      <c r="G226" s="94" t="str">
        <f t="shared" si="16"/>
        <v>Sector07.clock_royal_queen_1.passive02.buff.buffeffect</v>
      </c>
      <c r="H226" s="93"/>
      <c r="I226" s="93" t="b">
        <v>0</v>
      </c>
      <c r="J226" s="97" t="b">
        <v>0</v>
      </c>
      <c r="K226" s="97" t="b">
        <v>0</v>
      </c>
      <c r="L226" s="93"/>
      <c r="M226" s="93"/>
      <c r="N226" s="93"/>
      <c r="O226" s="38" t="s">
        <v>1301</v>
      </c>
      <c r="P226" s="38" t="b">
        <v>0</v>
      </c>
      <c r="Q226" s="97" t="b">
        <v>0</v>
      </c>
    </row>
    <row r="227" spans="1:17" x14ac:dyDescent="0.3">
      <c r="A227" s="92" t="s">
        <v>1129</v>
      </c>
      <c r="B227" s="38"/>
      <c r="C227" s="38"/>
      <c r="D227" s="93">
        <v>0</v>
      </c>
      <c r="E227" s="93">
        <v>0</v>
      </c>
      <c r="F227" s="93">
        <v>0</v>
      </c>
      <c r="G227" s="94" t="s">
        <v>173</v>
      </c>
      <c r="H227" s="93"/>
      <c r="I227" s="93" t="b">
        <v>0</v>
      </c>
      <c r="J227" s="97" t="b">
        <v>1</v>
      </c>
      <c r="K227" s="97" t="b">
        <v>1</v>
      </c>
      <c r="L227" s="93"/>
      <c r="M227" s="93"/>
      <c r="N227" s="93"/>
      <c r="O227" s="38" t="s">
        <v>1301</v>
      </c>
      <c r="P227" s="38" t="b">
        <v>0</v>
      </c>
      <c r="Q227" s="97" t="b">
        <v>0</v>
      </c>
    </row>
    <row r="228" spans="1:17" x14ac:dyDescent="0.3">
      <c r="A228" s="92" t="s">
        <v>1130</v>
      </c>
      <c r="B228" s="38"/>
      <c r="C228" s="38"/>
      <c r="D228" s="93">
        <v>1000</v>
      </c>
      <c r="E228" s="93">
        <v>0</v>
      </c>
      <c r="F228" s="93">
        <v>0</v>
      </c>
      <c r="G228" s="94" t="s">
        <v>1131</v>
      </c>
      <c r="H228" s="93"/>
      <c r="I228" s="93" t="b">
        <v>0</v>
      </c>
      <c r="J228" s="97" t="b">
        <v>0</v>
      </c>
      <c r="K228" s="97" t="b">
        <v>1</v>
      </c>
      <c r="L228" s="93" t="s">
        <v>1132</v>
      </c>
      <c r="M228" s="93"/>
      <c r="N228" s="93"/>
      <c r="O228" s="38" t="s">
        <v>1301</v>
      </c>
      <c r="P228" s="38" t="b">
        <v>0</v>
      </c>
      <c r="Q228" s="97" t="b">
        <v>0</v>
      </c>
    </row>
    <row r="229" spans="1:17" x14ac:dyDescent="0.3">
      <c r="A229" s="120" t="s">
        <v>1069</v>
      </c>
      <c r="B229" s="121"/>
      <c r="C229" s="121"/>
      <c r="D229" s="122">
        <v>8000</v>
      </c>
      <c r="E229" s="122">
        <v>0</v>
      </c>
      <c r="F229" s="122">
        <v>0</v>
      </c>
      <c r="G229" s="123" t="str">
        <f t="shared" ref="G229" si="18">A229&amp;".buffeffect"</f>
        <v>Sector07.clock_royal_queen_2.attack.effect01.wound.buff.buffeffect</v>
      </c>
      <c r="H229" s="122"/>
      <c r="I229" s="122" t="b">
        <v>0</v>
      </c>
      <c r="J229" s="124" t="b">
        <v>0</v>
      </c>
      <c r="K229" s="124" t="b">
        <v>0</v>
      </c>
      <c r="L229" s="122" t="s">
        <v>1123</v>
      </c>
      <c r="M229" s="122" t="s">
        <v>1125</v>
      </c>
      <c r="N229" s="122" t="s">
        <v>1126</v>
      </c>
      <c r="O229" s="121" t="s">
        <v>1321</v>
      </c>
      <c r="P229" s="121" t="b">
        <v>0</v>
      </c>
      <c r="Q229" s="124" t="b">
        <v>0</v>
      </c>
    </row>
    <row r="230" spans="1:17" x14ac:dyDescent="0.3">
      <c r="A230" s="120" t="s">
        <v>451</v>
      </c>
      <c r="B230" s="121"/>
      <c r="C230" s="121"/>
      <c r="D230" s="122">
        <v>8000</v>
      </c>
      <c r="E230" s="122">
        <v>0</v>
      </c>
      <c r="F230" s="122">
        <v>0</v>
      </c>
      <c r="G230" s="123" t="str">
        <f t="shared" si="16"/>
        <v>Sector07.clock_royal_queen_2.skill01.effect01.wound.buff.buffeffect</v>
      </c>
      <c r="H230" s="122"/>
      <c r="I230" s="122" t="b">
        <v>0</v>
      </c>
      <c r="J230" s="124" t="b">
        <v>0</v>
      </c>
      <c r="K230" s="124" t="b">
        <v>0</v>
      </c>
      <c r="L230" s="122" t="s">
        <v>1124</v>
      </c>
      <c r="M230" s="122" t="s">
        <v>1125</v>
      </c>
      <c r="N230" s="122" t="s">
        <v>1126</v>
      </c>
      <c r="O230" s="121" t="s">
        <v>1321</v>
      </c>
      <c r="P230" s="121" t="b">
        <v>0</v>
      </c>
      <c r="Q230" s="124" t="b">
        <v>0</v>
      </c>
    </row>
    <row r="231" spans="1:17" x14ac:dyDescent="0.3">
      <c r="A231" s="120" t="s">
        <v>453</v>
      </c>
      <c r="B231" s="121"/>
      <c r="C231" s="121"/>
      <c r="D231" s="122">
        <v>1500</v>
      </c>
      <c r="E231" s="122">
        <v>0</v>
      </c>
      <c r="F231" s="122">
        <v>0</v>
      </c>
      <c r="G231" s="123" t="str">
        <f t="shared" si="16"/>
        <v>Sector07.clock_royal_queen_2.skill03.effect01.buff.buffeffect</v>
      </c>
      <c r="H231" s="122"/>
      <c r="I231" s="122" t="b">
        <v>0</v>
      </c>
      <c r="J231" s="124" t="b">
        <v>0</v>
      </c>
      <c r="K231" s="124" t="b">
        <v>1</v>
      </c>
      <c r="L231" s="122" t="s">
        <v>1295</v>
      </c>
      <c r="M231" s="122" t="s">
        <v>80</v>
      </c>
      <c r="N231" s="122" t="s">
        <v>81</v>
      </c>
      <c r="O231" s="121" t="s">
        <v>1296</v>
      </c>
      <c r="P231" s="121" t="b">
        <v>0</v>
      </c>
      <c r="Q231" s="124" t="b">
        <v>0</v>
      </c>
    </row>
    <row r="232" spans="1:17" x14ac:dyDescent="0.3">
      <c r="A232" s="120" t="s">
        <v>455</v>
      </c>
      <c r="B232" s="121"/>
      <c r="C232" s="121"/>
      <c r="D232" s="122">
        <v>1500</v>
      </c>
      <c r="E232" s="122">
        <v>0</v>
      </c>
      <c r="F232" s="122">
        <v>0</v>
      </c>
      <c r="G232" s="123" t="str">
        <f t="shared" si="16"/>
        <v>Sector07.clock_royal_queen_2.skill03.effect02.buff.buffeffect</v>
      </c>
      <c r="H232" s="122"/>
      <c r="I232" s="122" t="b">
        <v>0</v>
      </c>
      <c r="J232" s="124" t="b">
        <v>0</v>
      </c>
      <c r="K232" s="124" t="b">
        <v>1</v>
      </c>
      <c r="L232" s="122"/>
      <c r="M232" s="122"/>
      <c r="N232" s="122"/>
      <c r="O232" s="121" t="s">
        <v>1301</v>
      </c>
      <c r="P232" s="121" t="b">
        <v>0</v>
      </c>
      <c r="Q232" s="124" t="b">
        <v>0</v>
      </c>
    </row>
    <row r="233" spans="1:17" x14ac:dyDescent="0.3">
      <c r="A233" s="120" t="s">
        <v>457</v>
      </c>
      <c r="B233" s="121"/>
      <c r="C233" s="121"/>
      <c r="D233" s="122">
        <v>10000</v>
      </c>
      <c r="E233" s="122">
        <v>0</v>
      </c>
      <c r="F233" s="122">
        <v>0</v>
      </c>
      <c r="G233" s="123" t="str">
        <f t="shared" si="16"/>
        <v>Sector07.clock_royal_queen_2.skill03.trigger.buff.buffeffect</v>
      </c>
      <c r="H233" s="122"/>
      <c r="I233" s="122" t="b">
        <v>0</v>
      </c>
      <c r="J233" s="124" t="b">
        <v>0</v>
      </c>
      <c r="K233" s="124" t="b">
        <v>1</v>
      </c>
      <c r="L233" s="122"/>
      <c r="M233" s="122"/>
      <c r="N233" s="122"/>
      <c r="O233" s="121" t="s">
        <v>1301</v>
      </c>
      <c r="P233" s="121" t="b">
        <v>0</v>
      </c>
      <c r="Q233" s="124" t="b">
        <v>0</v>
      </c>
    </row>
    <row r="234" spans="1:17" x14ac:dyDescent="0.3">
      <c r="A234" s="120" t="s">
        <v>459</v>
      </c>
      <c r="B234" s="121"/>
      <c r="C234" s="121"/>
      <c r="D234" s="122">
        <v>0</v>
      </c>
      <c r="E234" s="122">
        <v>0</v>
      </c>
      <c r="F234" s="122">
        <v>0</v>
      </c>
      <c r="G234" s="123" t="str">
        <f t="shared" si="16"/>
        <v>Sector07.clock_royal_queen_2.passive01.buff.buffeffect</v>
      </c>
      <c r="H234" s="122"/>
      <c r="I234" s="122" t="b">
        <v>0</v>
      </c>
      <c r="J234" s="124" t="b">
        <v>0</v>
      </c>
      <c r="K234" s="124" t="b">
        <v>0</v>
      </c>
      <c r="L234" s="122"/>
      <c r="M234" s="122"/>
      <c r="N234" s="122"/>
      <c r="O234" s="121" t="s">
        <v>1301</v>
      </c>
      <c r="P234" s="121" t="b">
        <v>0</v>
      </c>
      <c r="Q234" s="124" t="b">
        <v>0</v>
      </c>
    </row>
    <row r="235" spans="1:17" x14ac:dyDescent="0.3">
      <c r="A235" s="120" t="s">
        <v>461</v>
      </c>
      <c r="B235" s="121"/>
      <c r="C235" s="121"/>
      <c r="D235" s="122">
        <v>0</v>
      </c>
      <c r="E235" s="122">
        <v>0</v>
      </c>
      <c r="F235" s="122">
        <v>0</v>
      </c>
      <c r="G235" s="123" t="str">
        <f t="shared" si="16"/>
        <v>Sector07.clock_royal_queen_2.passive02.buff.buffeffect</v>
      </c>
      <c r="H235" s="122"/>
      <c r="I235" s="122" t="b">
        <v>0</v>
      </c>
      <c r="J235" s="124" t="b">
        <v>0</v>
      </c>
      <c r="K235" s="124" t="b">
        <v>0</v>
      </c>
      <c r="L235" s="122"/>
      <c r="M235" s="122"/>
      <c r="N235" s="122"/>
      <c r="O235" s="121" t="s">
        <v>1301</v>
      </c>
      <c r="P235" s="121" t="b">
        <v>0</v>
      </c>
      <c r="Q235" s="124" t="b">
        <v>0</v>
      </c>
    </row>
    <row r="236" spans="1:17" x14ac:dyDescent="0.3">
      <c r="A236" s="120" t="s">
        <v>1143</v>
      </c>
      <c r="B236" s="121"/>
      <c r="C236" s="121"/>
      <c r="D236" s="122">
        <v>0</v>
      </c>
      <c r="E236" s="122">
        <v>0</v>
      </c>
      <c r="F236" s="122">
        <v>0</v>
      </c>
      <c r="G236" s="123" t="s">
        <v>173</v>
      </c>
      <c r="H236" s="122"/>
      <c r="I236" s="122" t="b">
        <v>0</v>
      </c>
      <c r="J236" s="124" t="b">
        <v>1</v>
      </c>
      <c r="K236" s="124" t="b">
        <v>1</v>
      </c>
      <c r="L236" s="122"/>
      <c r="M236" s="122"/>
      <c r="N236" s="122"/>
      <c r="O236" s="121" t="s">
        <v>1301</v>
      </c>
      <c r="P236" s="121" t="b">
        <v>0</v>
      </c>
      <c r="Q236" s="124" t="b">
        <v>0</v>
      </c>
    </row>
    <row r="237" spans="1:17" x14ac:dyDescent="0.3">
      <c r="A237" s="120" t="s">
        <v>1144</v>
      </c>
      <c r="B237" s="121"/>
      <c r="C237" s="121"/>
      <c r="D237" s="122">
        <v>1000</v>
      </c>
      <c r="E237" s="122">
        <v>0</v>
      </c>
      <c r="F237" s="122">
        <v>0</v>
      </c>
      <c r="G237" s="123" t="s">
        <v>173</v>
      </c>
      <c r="H237" s="122"/>
      <c r="I237" s="122" t="b">
        <v>0</v>
      </c>
      <c r="J237" s="124" t="b">
        <v>0</v>
      </c>
      <c r="K237" s="124" t="b">
        <v>1</v>
      </c>
      <c r="L237" s="122" t="s">
        <v>1142</v>
      </c>
      <c r="M237" s="122"/>
      <c r="N237" s="122"/>
      <c r="O237" s="121" t="s">
        <v>1301</v>
      </c>
      <c r="P237" s="121" t="b">
        <v>0</v>
      </c>
      <c r="Q237" s="124" t="b">
        <v>0</v>
      </c>
    </row>
    <row r="238" spans="1:17" x14ac:dyDescent="0.3">
      <c r="A238" s="109" t="s">
        <v>1075</v>
      </c>
      <c r="B238" s="42"/>
      <c r="C238" s="42"/>
      <c r="D238" s="110">
        <v>0</v>
      </c>
      <c r="E238" s="110">
        <v>0</v>
      </c>
      <c r="F238" s="110">
        <v>0</v>
      </c>
      <c r="G238" s="111" t="str">
        <f t="shared" ref="G238:G239" si="19">A238&amp;".buffeffect"</f>
        <v>Sector08.common.passive01.buff.buffeffect</v>
      </c>
      <c r="H238" s="110"/>
      <c r="I238" s="110" t="b">
        <v>1</v>
      </c>
      <c r="J238" s="99" t="b">
        <v>0</v>
      </c>
      <c r="K238" s="99" t="b">
        <v>0</v>
      </c>
      <c r="L238" s="110"/>
      <c r="M238" s="110" t="s">
        <v>241</v>
      </c>
      <c r="N238" s="110" t="s">
        <v>242</v>
      </c>
      <c r="O238" s="42" t="s">
        <v>1306</v>
      </c>
      <c r="P238" s="42" t="b">
        <v>0</v>
      </c>
      <c r="Q238" s="99" t="b">
        <v>0</v>
      </c>
    </row>
    <row r="239" spans="1:17" x14ac:dyDescent="0.3">
      <c r="A239" s="109" t="s">
        <v>1388</v>
      </c>
      <c r="B239" s="42"/>
      <c r="C239" s="42"/>
      <c r="D239" s="110">
        <v>0</v>
      </c>
      <c r="E239" s="110">
        <v>0</v>
      </c>
      <c r="F239" s="110">
        <v>0</v>
      </c>
      <c r="G239" s="111" t="str">
        <f t="shared" si="19"/>
        <v>Sector08.common.passive01.weakness.buff.buffeffect</v>
      </c>
      <c r="H239" s="110"/>
      <c r="I239" s="110" t="b">
        <v>1</v>
      </c>
      <c r="J239" s="99" t="b">
        <v>0</v>
      </c>
      <c r="K239" s="99" t="b">
        <v>0</v>
      </c>
      <c r="L239" s="110"/>
      <c r="M239" s="110"/>
      <c r="N239" s="110"/>
      <c r="O239" s="42"/>
      <c r="P239" s="42" t="b">
        <v>0</v>
      </c>
      <c r="Q239" s="99" t="b">
        <v>0</v>
      </c>
    </row>
    <row r="240" spans="1:17" x14ac:dyDescent="0.3">
      <c r="A240" s="106" t="s">
        <v>1016</v>
      </c>
      <c r="B240" s="121"/>
      <c r="C240" s="121"/>
      <c r="D240" s="107">
        <v>6000</v>
      </c>
      <c r="E240" s="107">
        <v>3</v>
      </c>
      <c r="F240" s="107">
        <v>1</v>
      </c>
      <c r="G240" s="108" t="str">
        <f t="shared" si="16"/>
        <v>Sector08.plants_bark_1.skill01.bleed.buff.buffeffect</v>
      </c>
      <c r="H240" s="107"/>
      <c r="I240" s="107" t="b">
        <v>0</v>
      </c>
      <c r="J240" s="98" t="b">
        <v>0</v>
      </c>
      <c r="K240" s="98" t="b">
        <v>0</v>
      </c>
      <c r="L240" s="107" t="s">
        <v>51</v>
      </c>
      <c r="M240" s="107" t="s">
        <v>52</v>
      </c>
      <c r="N240" s="107" t="s">
        <v>53</v>
      </c>
      <c r="O240" s="41" t="s">
        <v>1311</v>
      </c>
      <c r="P240" s="41" t="b">
        <v>0</v>
      </c>
      <c r="Q240" s="98" t="b">
        <v>0</v>
      </c>
    </row>
    <row r="241" spans="1:17" x14ac:dyDescent="0.3">
      <c r="A241" s="106" t="s">
        <v>983</v>
      </c>
      <c r="B241" s="121"/>
      <c r="C241" s="121"/>
      <c r="D241" s="107">
        <v>0</v>
      </c>
      <c r="E241" s="107">
        <v>0</v>
      </c>
      <c r="F241" s="107">
        <v>0</v>
      </c>
      <c r="G241" s="106" t="s">
        <v>1490</v>
      </c>
      <c r="H241" s="107"/>
      <c r="I241" s="107" t="b">
        <v>0</v>
      </c>
      <c r="J241" s="98" t="b">
        <v>0</v>
      </c>
      <c r="K241" s="98" t="b">
        <v>1</v>
      </c>
      <c r="L241" s="107"/>
      <c r="M241" s="107"/>
      <c r="N241" s="107"/>
      <c r="O241" s="41" t="s">
        <v>1301</v>
      </c>
      <c r="P241" s="41" t="b">
        <v>0</v>
      </c>
      <c r="Q241" s="98" t="b">
        <v>0</v>
      </c>
    </row>
    <row r="242" spans="1:17" x14ac:dyDescent="0.3">
      <c r="A242" s="125" t="s">
        <v>1017</v>
      </c>
      <c r="B242" s="126"/>
      <c r="C242" s="126"/>
      <c r="D242" s="127">
        <v>6000</v>
      </c>
      <c r="E242" s="127">
        <v>0</v>
      </c>
      <c r="F242" s="127">
        <v>0</v>
      </c>
      <c r="G242" s="128" t="str">
        <f>A242&amp;".buffeffect"</f>
        <v>Sector08.plants_branch_1.skill01.atkspddown.buff.buffeffect</v>
      </c>
      <c r="H242" s="127"/>
      <c r="I242" s="127" t="b">
        <v>0</v>
      </c>
      <c r="J242" s="129" t="b">
        <v>0</v>
      </c>
      <c r="K242" s="129" t="b">
        <v>0</v>
      </c>
      <c r="L242" s="127" t="s">
        <v>55</v>
      </c>
      <c r="M242" s="127" t="s">
        <v>84</v>
      </c>
      <c r="N242" s="127" t="s">
        <v>372</v>
      </c>
      <c r="O242" s="126" t="s">
        <v>1314</v>
      </c>
      <c r="P242" s="126" t="b">
        <v>0</v>
      </c>
      <c r="Q242" s="129" t="b">
        <v>0</v>
      </c>
    </row>
    <row r="243" spans="1:17" x14ac:dyDescent="0.3">
      <c r="A243" s="125" t="s">
        <v>984</v>
      </c>
      <c r="B243" s="126"/>
      <c r="C243" s="126"/>
      <c r="D243" s="127">
        <v>0</v>
      </c>
      <c r="E243" s="127">
        <v>0</v>
      </c>
      <c r="F243" s="127">
        <v>0</v>
      </c>
      <c r="G243" s="125" t="s">
        <v>1491</v>
      </c>
      <c r="H243" s="127"/>
      <c r="I243" s="127" t="b">
        <v>0</v>
      </c>
      <c r="J243" s="129" t="b">
        <v>0</v>
      </c>
      <c r="K243" s="129" t="b">
        <v>1</v>
      </c>
      <c r="L243" s="127"/>
      <c r="M243" s="127"/>
      <c r="N243" s="127"/>
      <c r="O243" s="126" t="s">
        <v>1301</v>
      </c>
      <c r="P243" s="126" t="b">
        <v>0</v>
      </c>
      <c r="Q243" s="129" t="b">
        <v>0</v>
      </c>
    </row>
    <row r="244" spans="1:17" x14ac:dyDescent="0.3">
      <c r="A244" s="106" t="s">
        <v>1018</v>
      </c>
      <c r="B244" s="121"/>
      <c r="C244" s="121"/>
      <c r="D244" s="107">
        <v>6000</v>
      </c>
      <c r="E244" s="107">
        <v>0</v>
      </c>
      <c r="F244" s="107">
        <v>0</v>
      </c>
      <c r="G244" s="108" t="str">
        <f t="shared" si="16"/>
        <v>Sector08.plants_cannon_1.skill01.bleed.buff.buffeffect</v>
      </c>
      <c r="H244" s="107"/>
      <c r="I244" s="107" t="b">
        <v>0</v>
      </c>
      <c r="J244" s="98" t="b">
        <v>0</v>
      </c>
      <c r="K244" s="98" t="b">
        <v>0</v>
      </c>
      <c r="L244" s="107" t="s">
        <v>51</v>
      </c>
      <c r="M244" s="107" t="s">
        <v>52</v>
      </c>
      <c r="N244" s="107" t="s">
        <v>53</v>
      </c>
      <c r="O244" s="41" t="s">
        <v>1311</v>
      </c>
      <c r="P244" s="41" t="b">
        <v>0</v>
      </c>
      <c r="Q244" s="98" t="b">
        <v>0</v>
      </c>
    </row>
    <row r="245" spans="1:17" x14ac:dyDescent="0.3">
      <c r="A245" s="125" t="s">
        <v>1019</v>
      </c>
      <c r="B245" s="126"/>
      <c r="C245" s="126"/>
      <c r="D245" s="127">
        <v>6000</v>
      </c>
      <c r="E245" s="127">
        <v>0</v>
      </c>
      <c r="F245" s="127">
        <v>0</v>
      </c>
      <c r="G245" s="128" t="str">
        <f t="shared" si="16"/>
        <v>Sector08.creeper_seed_1.skill01.poison.buff.buffeffect</v>
      </c>
      <c r="H245" s="127"/>
      <c r="I245" s="127" t="b">
        <v>0</v>
      </c>
      <c r="J245" s="129" t="b">
        <v>0</v>
      </c>
      <c r="K245" s="129" t="b">
        <v>0</v>
      </c>
      <c r="L245" s="127" t="s">
        <v>351</v>
      </c>
      <c r="M245" s="127" t="s">
        <v>352</v>
      </c>
      <c r="N245" s="127" t="s">
        <v>353</v>
      </c>
      <c r="O245" s="126" t="s">
        <v>1319</v>
      </c>
      <c r="P245" s="126" t="b">
        <v>0</v>
      </c>
      <c r="Q245" s="129" t="b">
        <v>0</v>
      </c>
    </row>
    <row r="246" spans="1:17" x14ac:dyDescent="0.3">
      <c r="A246" s="106" t="s">
        <v>1020</v>
      </c>
      <c r="B246" s="121"/>
      <c r="C246" s="121"/>
      <c r="D246" s="107">
        <v>6000</v>
      </c>
      <c r="E246" s="107">
        <v>0</v>
      </c>
      <c r="F246" s="107">
        <v>0</v>
      </c>
      <c r="G246" s="108" t="str">
        <f t="shared" si="16"/>
        <v>Sector08.plants_garden_1.skill01.atkdown.buff.buffeffect</v>
      </c>
      <c r="H246" s="107"/>
      <c r="I246" s="107" t="b">
        <v>0</v>
      </c>
      <c r="J246" s="98" t="b">
        <v>0</v>
      </c>
      <c r="K246" s="98" t="b">
        <v>0</v>
      </c>
      <c r="L246" s="107" t="s">
        <v>55</v>
      </c>
      <c r="M246" s="107" t="s">
        <v>80</v>
      </c>
      <c r="N246" s="107" t="s">
        <v>231</v>
      </c>
      <c r="O246" s="41" t="s">
        <v>1305</v>
      </c>
      <c r="P246" s="41" t="b">
        <v>0</v>
      </c>
      <c r="Q246" s="98" t="b">
        <v>0</v>
      </c>
    </row>
    <row r="247" spans="1:17" x14ac:dyDescent="0.3">
      <c r="A247" s="125" t="s">
        <v>1021</v>
      </c>
      <c r="B247" s="126"/>
      <c r="C247" s="126"/>
      <c r="D247" s="127">
        <v>6000</v>
      </c>
      <c r="E247" s="127">
        <v>0</v>
      </c>
      <c r="F247" s="127">
        <v>0</v>
      </c>
      <c r="G247" s="125" t="str">
        <f t="shared" si="16"/>
        <v>Sector08.plants_mortor_1.skill02.aktup.buff.buffeffect</v>
      </c>
      <c r="H247" s="127"/>
      <c r="I247" s="127" t="b">
        <v>0</v>
      </c>
      <c r="J247" s="129" t="b">
        <v>0</v>
      </c>
      <c r="K247" s="129" t="b">
        <v>1</v>
      </c>
      <c r="L247" s="127" t="s">
        <v>63</v>
      </c>
      <c r="M247" s="127" t="s">
        <v>80</v>
      </c>
      <c r="N247" s="127" t="s">
        <v>81</v>
      </c>
      <c r="O247" s="126" t="s">
        <v>1296</v>
      </c>
      <c r="P247" s="126" t="b">
        <v>0</v>
      </c>
      <c r="Q247" s="129" t="b">
        <v>0</v>
      </c>
    </row>
    <row r="248" spans="1:17" x14ac:dyDescent="0.3">
      <c r="A248" s="125" t="s">
        <v>1022</v>
      </c>
      <c r="B248" s="126"/>
      <c r="C248" s="126"/>
      <c r="D248" s="127">
        <v>6000</v>
      </c>
      <c r="E248" s="127">
        <v>0</v>
      </c>
      <c r="F248" s="127">
        <v>0</v>
      </c>
      <c r="G248" s="125" t="str">
        <f t="shared" si="16"/>
        <v>Sector08.plants_mortor_1.skill02.aktspdup.buff.buffeffect</v>
      </c>
      <c r="H248" s="127"/>
      <c r="I248" s="127" t="b">
        <v>0</v>
      </c>
      <c r="J248" s="129" t="b">
        <v>0</v>
      </c>
      <c r="K248" s="129" t="b">
        <v>1</v>
      </c>
      <c r="L248" s="127" t="s">
        <v>63</v>
      </c>
      <c r="M248" s="127" t="s">
        <v>84</v>
      </c>
      <c r="N248" s="127" t="s">
        <v>85</v>
      </c>
      <c r="O248" s="126" t="s">
        <v>1309</v>
      </c>
      <c r="P248" s="126" t="b">
        <v>0</v>
      </c>
      <c r="Q248" s="129" t="b">
        <v>0</v>
      </c>
    </row>
    <row r="249" spans="1:17" x14ac:dyDescent="0.3">
      <c r="A249" s="125" t="s">
        <v>1023</v>
      </c>
      <c r="B249" s="126"/>
      <c r="C249" s="126"/>
      <c r="D249" s="127">
        <v>6000</v>
      </c>
      <c r="E249" s="127">
        <v>0</v>
      </c>
      <c r="F249" s="127">
        <v>0</v>
      </c>
      <c r="G249" s="125" t="str">
        <f>A249&amp;".buffeffect"</f>
        <v>Sector08.plants_mortor_1.skill03.bleed.buff.buffeffect</v>
      </c>
      <c r="H249" s="127"/>
      <c r="I249" s="127" t="b">
        <v>0</v>
      </c>
      <c r="J249" s="129" t="b">
        <v>0</v>
      </c>
      <c r="K249" s="129" t="b">
        <v>0</v>
      </c>
      <c r="L249" s="127" t="s">
        <v>51</v>
      </c>
      <c r="M249" s="127" t="s">
        <v>52</v>
      </c>
      <c r="N249" s="127" t="s">
        <v>53</v>
      </c>
      <c r="O249" s="126" t="s">
        <v>1311</v>
      </c>
      <c r="P249" s="126" t="b">
        <v>0</v>
      </c>
      <c r="Q249" s="129" t="b">
        <v>0</v>
      </c>
    </row>
    <row r="250" spans="1:17" x14ac:dyDescent="0.3">
      <c r="A250" s="106" t="s">
        <v>1026</v>
      </c>
      <c r="B250" s="41"/>
      <c r="C250" s="41"/>
      <c r="D250" s="107">
        <v>6000</v>
      </c>
      <c r="E250" s="107">
        <v>0</v>
      </c>
      <c r="F250" s="107">
        <v>0</v>
      </c>
      <c r="G250" s="106" t="str">
        <f>A250&amp;".buffeffect"</f>
        <v>Sector08.plants_robust_1.skill01.poison.buff.buffeffect</v>
      </c>
      <c r="H250" s="107"/>
      <c r="I250" s="107" t="b">
        <v>0</v>
      </c>
      <c r="J250" s="98" t="b">
        <v>0</v>
      </c>
      <c r="K250" s="98" t="b">
        <v>0</v>
      </c>
      <c r="L250" s="107" t="s">
        <v>351</v>
      </c>
      <c r="M250" s="107" t="s">
        <v>352</v>
      </c>
      <c r="N250" s="107" t="s">
        <v>353</v>
      </c>
      <c r="O250" s="41" t="s">
        <v>1319</v>
      </c>
      <c r="P250" s="41" t="b">
        <v>0</v>
      </c>
      <c r="Q250" s="98" t="b">
        <v>0</v>
      </c>
    </row>
    <row r="251" spans="1:17" x14ac:dyDescent="0.3">
      <c r="A251" s="106" t="s">
        <v>1027</v>
      </c>
      <c r="B251" s="41"/>
      <c r="C251" s="41"/>
      <c r="D251" s="107">
        <v>10000</v>
      </c>
      <c r="E251" s="107">
        <v>0</v>
      </c>
      <c r="F251" s="107">
        <v>0</v>
      </c>
      <c r="G251" s="106" t="str">
        <f t="shared" ref="G251" si="20">A251&amp;".buffeffect"</f>
        <v>Sector08.plants_robust_1.skill02.pull.buff.buffeffect</v>
      </c>
      <c r="H251" s="107"/>
      <c r="I251" s="107" t="b">
        <v>0</v>
      </c>
      <c r="J251" s="98" t="b">
        <v>1</v>
      </c>
      <c r="K251" s="98" t="b">
        <v>0</v>
      </c>
      <c r="L251" s="107"/>
      <c r="M251" s="107"/>
      <c r="N251" s="107" t="s">
        <v>305</v>
      </c>
      <c r="O251" s="41" t="s">
        <v>1312</v>
      </c>
      <c r="P251" s="41" t="b">
        <v>0</v>
      </c>
      <c r="Q251" s="98" t="b">
        <v>0</v>
      </c>
    </row>
    <row r="252" spans="1:17" x14ac:dyDescent="0.3">
      <c r="A252" s="106" t="s">
        <v>1028</v>
      </c>
      <c r="B252" s="41"/>
      <c r="C252" s="41"/>
      <c r="D252" s="107">
        <v>5000</v>
      </c>
      <c r="E252" s="107">
        <v>0</v>
      </c>
      <c r="F252" s="107">
        <v>0</v>
      </c>
      <c r="G252" s="106" t="str">
        <f>A252&amp;".buffeffect"</f>
        <v>Sector08.plants_robust_1.skill03.atkspddown.buff.buffeffect</v>
      </c>
      <c r="H252" s="107"/>
      <c r="I252" s="107" t="b">
        <v>0</v>
      </c>
      <c r="J252" s="98" t="b">
        <v>0</v>
      </c>
      <c r="K252" s="98" t="b">
        <v>0</v>
      </c>
      <c r="L252" s="107" t="s">
        <v>55</v>
      </c>
      <c r="M252" s="107" t="s">
        <v>84</v>
      </c>
      <c r="N252" s="107" t="s">
        <v>372</v>
      </c>
      <c r="O252" s="41" t="s">
        <v>1314</v>
      </c>
      <c r="P252" s="41" t="b">
        <v>0</v>
      </c>
      <c r="Q252" s="98" t="b">
        <v>0</v>
      </c>
    </row>
    <row r="253" spans="1:17" x14ac:dyDescent="0.3">
      <c r="A253" s="125" t="s">
        <v>1024</v>
      </c>
      <c r="B253" s="126"/>
      <c r="C253" s="126"/>
      <c r="D253" s="127">
        <v>6000</v>
      </c>
      <c r="E253" s="127">
        <v>0</v>
      </c>
      <c r="F253" s="127">
        <v>0</v>
      </c>
      <c r="G253" s="128" t="str">
        <f>A253&amp;".buffeffect"</f>
        <v>Sector08.plants_decay_1.skill01.poison.buff.buffeffect</v>
      </c>
      <c r="H253" s="127"/>
      <c r="I253" s="127" t="b">
        <v>0</v>
      </c>
      <c r="J253" s="129" t="b">
        <v>0</v>
      </c>
      <c r="K253" s="129" t="b">
        <v>0</v>
      </c>
      <c r="L253" s="127" t="s">
        <v>351</v>
      </c>
      <c r="M253" s="127" t="s">
        <v>352</v>
      </c>
      <c r="N253" s="127" t="s">
        <v>353</v>
      </c>
      <c r="O253" s="126" t="s">
        <v>1319</v>
      </c>
      <c r="P253" s="126" t="b">
        <v>0</v>
      </c>
      <c r="Q253" s="129" t="b">
        <v>0</v>
      </c>
    </row>
    <row r="254" spans="1:17" x14ac:dyDescent="0.3">
      <c r="A254" s="125" t="s">
        <v>1025</v>
      </c>
      <c r="B254" s="126"/>
      <c r="C254" s="126"/>
      <c r="D254" s="127">
        <v>6000</v>
      </c>
      <c r="E254" s="127">
        <v>0</v>
      </c>
      <c r="F254" s="127">
        <v>0</v>
      </c>
      <c r="G254" s="128" t="str">
        <f>A254&amp;".buffeffect"</f>
        <v>Sector08.plants_decay_1.skill02.defdown.buff.buffeffect</v>
      </c>
      <c r="H254" s="127"/>
      <c r="I254" s="127" t="b">
        <v>0</v>
      </c>
      <c r="J254" s="129" t="b">
        <v>0</v>
      </c>
      <c r="K254" s="129" t="b">
        <v>0</v>
      </c>
      <c r="L254" s="127" t="s">
        <v>463</v>
      </c>
      <c r="M254" s="127" t="s">
        <v>56</v>
      </c>
      <c r="N254" s="127" t="s">
        <v>57</v>
      </c>
      <c r="O254" s="126" t="s">
        <v>1315</v>
      </c>
      <c r="P254" s="126" t="b">
        <v>0</v>
      </c>
      <c r="Q254" s="129" t="b">
        <v>0</v>
      </c>
    </row>
    <row r="255" spans="1:17" x14ac:dyDescent="0.3">
      <c r="A255" s="106" t="s">
        <v>985</v>
      </c>
      <c r="B255" s="41"/>
      <c r="C255" s="41"/>
      <c r="D255" s="107">
        <v>25000</v>
      </c>
      <c r="E255" s="107">
        <v>10</v>
      </c>
      <c r="F255" s="107">
        <v>1</v>
      </c>
      <c r="G255" s="106" t="str">
        <f t="shared" ref="G255:G256" si="21">A255&amp;".buffeffect"</f>
        <v>Sector08.crawler_1.skill02.heal.buff.buffeffect</v>
      </c>
      <c r="H255" s="107"/>
      <c r="I255" s="107" t="b">
        <v>1</v>
      </c>
      <c r="J255" s="98" t="b">
        <v>0</v>
      </c>
      <c r="K255" s="98" t="b">
        <v>1</v>
      </c>
      <c r="L255" s="107" t="s">
        <v>247</v>
      </c>
      <c r="M255" s="107" t="s">
        <v>248</v>
      </c>
      <c r="N255" s="107" t="s">
        <v>249</v>
      </c>
      <c r="O255" s="41" t="s">
        <v>1308</v>
      </c>
      <c r="P255" s="41" t="b">
        <v>0</v>
      </c>
      <c r="Q255" s="98" t="b">
        <v>0</v>
      </c>
    </row>
    <row r="256" spans="1:17" x14ac:dyDescent="0.3">
      <c r="A256" s="106" t="s">
        <v>986</v>
      </c>
      <c r="B256" s="41"/>
      <c r="C256" s="41"/>
      <c r="D256" s="107">
        <v>25000</v>
      </c>
      <c r="E256" s="107">
        <v>10</v>
      </c>
      <c r="F256" s="107">
        <v>1</v>
      </c>
      <c r="G256" s="106" t="str">
        <f t="shared" si="21"/>
        <v>Sector08.crawler_1.skill02.atkup.buff.buffeffect</v>
      </c>
      <c r="H256" s="107"/>
      <c r="I256" s="107" t="b">
        <v>1</v>
      </c>
      <c r="J256" s="98" t="b">
        <v>0</v>
      </c>
      <c r="K256" s="98" t="b">
        <v>1</v>
      </c>
      <c r="L256" s="107" t="s">
        <v>63</v>
      </c>
      <c r="M256" s="107" t="s">
        <v>80</v>
      </c>
      <c r="N256" s="107" t="s">
        <v>81</v>
      </c>
      <c r="O256" s="41" t="s">
        <v>1296</v>
      </c>
      <c r="P256" s="41" t="b">
        <v>0</v>
      </c>
      <c r="Q256" s="98" t="b">
        <v>0</v>
      </c>
    </row>
    <row r="257" spans="1:17" x14ac:dyDescent="0.3">
      <c r="A257" s="106" t="s">
        <v>1042</v>
      </c>
      <c r="B257" s="41"/>
      <c r="C257" s="41"/>
      <c r="D257" s="107">
        <v>10000</v>
      </c>
      <c r="E257" s="107">
        <v>0</v>
      </c>
      <c r="F257" s="107">
        <v>0</v>
      </c>
      <c r="G257" s="106" t="str">
        <f>A257&amp;".buffeffect"</f>
        <v>Sector08.crawler_1.skill03.poison.buff.buffeffect</v>
      </c>
      <c r="H257" s="107"/>
      <c r="I257" s="107" t="b">
        <v>0</v>
      </c>
      <c r="J257" s="98" t="b">
        <v>0</v>
      </c>
      <c r="K257" s="98" t="b">
        <v>0</v>
      </c>
      <c r="L257" s="107" t="s">
        <v>351</v>
      </c>
      <c r="M257" s="107" t="s">
        <v>352</v>
      </c>
      <c r="N257" s="107" t="s">
        <v>353</v>
      </c>
      <c r="O257" s="41" t="s">
        <v>1319</v>
      </c>
      <c r="P257" s="41" t="b">
        <v>0</v>
      </c>
      <c r="Q257" s="98" t="b">
        <v>0</v>
      </c>
    </row>
    <row r="258" spans="1:17" ht="27.75" x14ac:dyDescent="0.3">
      <c r="A258" s="106" t="s">
        <v>987</v>
      </c>
      <c r="B258" s="41"/>
      <c r="C258" s="41"/>
      <c r="D258" s="107">
        <v>0</v>
      </c>
      <c r="E258" s="107">
        <v>0</v>
      </c>
      <c r="F258" s="107">
        <v>0</v>
      </c>
      <c r="G258" s="108" t="s">
        <v>1066</v>
      </c>
      <c r="H258" s="107"/>
      <c r="I258" s="107" t="b">
        <v>1</v>
      </c>
      <c r="J258" s="98" t="b">
        <v>0</v>
      </c>
      <c r="K258" s="98" t="b">
        <v>1</v>
      </c>
      <c r="L258" s="107"/>
      <c r="M258" s="107" t="s">
        <v>241</v>
      </c>
      <c r="N258" s="107" t="s">
        <v>3588</v>
      </c>
      <c r="O258" s="41" t="s">
        <v>3589</v>
      </c>
      <c r="P258" s="41" t="b">
        <v>0</v>
      </c>
      <c r="Q258" s="98" t="b">
        <v>0</v>
      </c>
    </row>
    <row r="259" spans="1:17" x14ac:dyDescent="0.3">
      <c r="A259" s="106" t="s">
        <v>1391</v>
      </c>
      <c r="B259" s="41"/>
      <c r="C259" s="41"/>
      <c r="D259" s="107">
        <v>0</v>
      </c>
      <c r="E259" s="107">
        <v>0</v>
      </c>
      <c r="F259" s="107">
        <v>0</v>
      </c>
      <c r="G259" s="108" t="str">
        <f t="shared" ref="G259:G261" si="22">A259&amp;".buffeffect"</f>
        <v>Sector08.crawler_1.passive01.weakness.buff.buffeffect</v>
      </c>
      <c r="H259" s="107"/>
      <c r="I259" s="107" t="b">
        <v>1</v>
      </c>
      <c r="J259" s="98" t="b">
        <v>0</v>
      </c>
      <c r="K259" s="98" t="b">
        <v>1</v>
      </c>
      <c r="L259" s="107"/>
      <c r="M259" s="107"/>
      <c r="N259" s="107"/>
      <c r="O259" s="41"/>
      <c r="P259" s="41" t="b">
        <v>0</v>
      </c>
      <c r="Q259" s="98" t="b">
        <v>0</v>
      </c>
    </row>
    <row r="260" spans="1:17" x14ac:dyDescent="0.3">
      <c r="A260" s="109" t="s">
        <v>1285</v>
      </c>
      <c r="B260" s="42"/>
      <c r="C260" s="42"/>
      <c r="D260" s="110">
        <v>25000</v>
      </c>
      <c r="E260" s="110">
        <v>10</v>
      </c>
      <c r="F260" s="110">
        <v>1</v>
      </c>
      <c r="G260" s="111" t="str">
        <f t="shared" si="22"/>
        <v>Sector08.skull_crawler_1.skill02.heal.buff.buffeffect</v>
      </c>
      <c r="H260" s="110"/>
      <c r="I260" s="110" t="b">
        <v>1</v>
      </c>
      <c r="J260" s="99" t="b">
        <v>0</v>
      </c>
      <c r="K260" s="99" t="b">
        <v>1</v>
      </c>
      <c r="L260" s="110" t="s">
        <v>247</v>
      </c>
      <c r="M260" s="110" t="s">
        <v>248</v>
      </c>
      <c r="N260" s="110" t="s">
        <v>249</v>
      </c>
      <c r="O260" s="42" t="s">
        <v>1308</v>
      </c>
      <c r="P260" s="42" t="b">
        <v>0</v>
      </c>
      <c r="Q260" s="99" t="b">
        <v>0</v>
      </c>
    </row>
    <row r="261" spans="1:17" x14ac:dyDescent="0.3">
      <c r="A261" s="109" t="s">
        <v>1286</v>
      </c>
      <c r="B261" s="42"/>
      <c r="C261" s="42"/>
      <c r="D261" s="110">
        <v>25000</v>
      </c>
      <c r="E261" s="110">
        <v>10</v>
      </c>
      <c r="F261" s="110">
        <v>1</v>
      </c>
      <c r="G261" s="111" t="str">
        <f t="shared" si="22"/>
        <v>Sector08.skull_crawler_1.skill02.atkup.buff.buffeffect</v>
      </c>
      <c r="H261" s="110"/>
      <c r="I261" s="110" t="b">
        <v>1</v>
      </c>
      <c r="J261" s="99" t="b">
        <v>0</v>
      </c>
      <c r="K261" s="99" t="b">
        <v>1</v>
      </c>
      <c r="L261" s="110" t="s">
        <v>63</v>
      </c>
      <c r="M261" s="110" t="s">
        <v>80</v>
      </c>
      <c r="N261" s="110" t="s">
        <v>81</v>
      </c>
      <c r="O261" s="42" t="s">
        <v>1296</v>
      </c>
      <c r="P261" s="42" t="b">
        <v>0</v>
      </c>
      <c r="Q261" s="99" t="b">
        <v>0</v>
      </c>
    </row>
    <row r="262" spans="1:17" x14ac:dyDescent="0.3">
      <c r="A262" s="109" t="s">
        <v>1287</v>
      </c>
      <c r="B262" s="42"/>
      <c r="C262" s="42"/>
      <c r="D262" s="110">
        <v>10000</v>
      </c>
      <c r="E262" s="110">
        <v>0</v>
      </c>
      <c r="F262" s="110">
        <v>0</v>
      </c>
      <c r="G262" s="111" t="str">
        <f>A262&amp;".buffeffect"</f>
        <v>Sector08.skull_crawler_1.skill03.poison.buff.buffeffect</v>
      </c>
      <c r="H262" s="110"/>
      <c r="I262" s="110" t="b">
        <v>0</v>
      </c>
      <c r="J262" s="99" t="b">
        <v>0</v>
      </c>
      <c r="K262" s="99" t="b">
        <v>0</v>
      </c>
      <c r="L262" s="110" t="s">
        <v>351</v>
      </c>
      <c r="M262" s="110" t="s">
        <v>352</v>
      </c>
      <c r="N262" s="110" t="s">
        <v>353</v>
      </c>
      <c r="O262" s="42" t="s">
        <v>1319</v>
      </c>
      <c r="P262" s="42" t="b">
        <v>0</v>
      </c>
      <c r="Q262" s="99" t="b">
        <v>0</v>
      </c>
    </row>
    <row r="263" spans="1:17" ht="27.75" x14ac:dyDescent="0.3">
      <c r="A263" s="109" t="s">
        <v>1288</v>
      </c>
      <c r="B263" s="42"/>
      <c r="C263" s="42"/>
      <c r="D263" s="110">
        <v>0</v>
      </c>
      <c r="E263" s="110">
        <v>0</v>
      </c>
      <c r="F263" s="110">
        <v>0</v>
      </c>
      <c r="G263" s="111" t="s">
        <v>1289</v>
      </c>
      <c r="H263" s="110"/>
      <c r="I263" s="110" t="b">
        <v>1</v>
      </c>
      <c r="J263" s="99" t="b">
        <v>0</v>
      </c>
      <c r="K263" s="99" t="b">
        <v>1</v>
      </c>
      <c r="L263" s="110"/>
      <c r="M263" s="110" t="s">
        <v>241</v>
      </c>
      <c r="N263" s="110" t="s">
        <v>3588</v>
      </c>
      <c r="O263" s="42" t="s">
        <v>3589</v>
      </c>
      <c r="P263" s="42" t="b">
        <v>0</v>
      </c>
      <c r="Q263" s="99" t="b">
        <v>0</v>
      </c>
    </row>
    <row r="264" spans="1:17" x14ac:dyDescent="0.3">
      <c r="A264" s="109" t="s">
        <v>1394</v>
      </c>
      <c r="B264" s="42"/>
      <c r="C264" s="42"/>
      <c r="D264" s="110">
        <v>0</v>
      </c>
      <c r="E264" s="110">
        <v>0</v>
      </c>
      <c r="F264" s="110">
        <v>0</v>
      </c>
      <c r="G264" s="111" t="str">
        <f t="shared" ref="G264" si="23">A264&amp;".buffeffect"</f>
        <v>Sector08.skull_crawler_1.passive01.weakness.buff.buffeffect</v>
      </c>
      <c r="H264" s="110"/>
      <c r="I264" s="110" t="b">
        <v>1</v>
      </c>
      <c r="J264" s="99" t="b">
        <v>0</v>
      </c>
      <c r="K264" s="99" t="b">
        <v>1</v>
      </c>
      <c r="L264" s="110"/>
      <c r="M264" s="110"/>
      <c r="N264" s="110"/>
      <c r="O264" s="42"/>
      <c r="P264" s="42" t="b">
        <v>0</v>
      </c>
      <c r="Q264" s="99" t="b">
        <v>0</v>
      </c>
    </row>
    <row r="265" spans="1:17" x14ac:dyDescent="0.3">
      <c r="A265" s="79" t="s">
        <v>1426</v>
      </c>
      <c r="B265" s="25"/>
      <c r="C265" s="25"/>
      <c r="D265" s="80">
        <v>0</v>
      </c>
      <c r="E265" s="80">
        <v>0</v>
      </c>
      <c r="F265" s="80">
        <v>0</v>
      </c>
      <c r="G265" s="81" t="str">
        <f t="shared" ref="G265:G267" si="24">A265&amp;".buffeffect"</f>
        <v>Sector09.barnacle_builder_1.skill01.atkdown.buff.buffeffect</v>
      </c>
      <c r="H265" s="80"/>
      <c r="I265" s="80" t="b">
        <v>0</v>
      </c>
      <c r="J265" s="55" t="b">
        <v>0</v>
      </c>
      <c r="K265" s="55" t="b">
        <v>0</v>
      </c>
      <c r="L265" s="80" t="s">
        <v>55</v>
      </c>
      <c r="M265" s="80" t="s">
        <v>80</v>
      </c>
      <c r="N265" s="80" t="s">
        <v>231</v>
      </c>
      <c r="O265" s="25" t="s">
        <v>1305</v>
      </c>
      <c r="P265" s="25" t="b">
        <v>0</v>
      </c>
      <c r="Q265" s="55" t="b">
        <v>0</v>
      </c>
    </row>
    <row r="266" spans="1:17" x14ac:dyDescent="0.3">
      <c r="A266" s="79" t="s">
        <v>1430</v>
      </c>
      <c r="B266" s="25"/>
      <c r="C266" s="25"/>
      <c r="D266" s="80">
        <v>0</v>
      </c>
      <c r="E266" s="80">
        <v>0</v>
      </c>
      <c r="F266" s="80">
        <v>0</v>
      </c>
      <c r="G266" s="81" t="str">
        <f t="shared" ref="G266" si="25">A266&amp;".buffeffect"</f>
        <v>Sector09.barnacle_builder_1.skill02.hpdrain.buff.buffeffect</v>
      </c>
      <c r="H266" s="80"/>
      <c r="I266" s="80" t="b">
        <v>0</v>
      </c>
      <c r="J266" s="55" t="b">
        <v>0</v>
      </c>
      <c r="K266" s="55" t="b">
        <v>1</v>
      </c>
      <c r="L266" s="80"/>
      <c r="M266" s="80"/>
      <c r="N266" s="80"/>
      <c r="O266" s="25"/>
      <c r="P266" s="25" t="b">
        <v>0</v>
      </c>
      <c r="Q266" s="55" t="b">
        <v>0</v>
      </c>
    </row>
    <row r="267" spans="1:17" x14ac:dyDescent="0.3">
      <c r="A267" s="79" t="s">
        <v>1431</v>
      </c>
      <c r="B267" s="25"/>
      <c r="C267" s="25"/>
      <c r="D267" s="80">
        <v>0</v>
      </c>
      <c r="E267" s="80">
        <v>0</v>
      </c>
      <c r="F267" s="80">
        <v>0</v>
      </c>
      <c r="G267" s="81" t="str">
        <f t="shared" si="24"/>
        <v>Sector09.barnacle_builder_1.skill03.bedebuff.buff.buffeffect</v>
      </c>
      <c r="H267" s="80"/>
      <c r="I267" s="80" t="b">
        <v>0</v>
      </c>
      <c r="J267" s="55" t="b">
        <v>0</v>
      </c>
      <c r="K267" s="55" t="b">
        <v>1</v>
      </c>
      <c r="L267" s="80"/>
      <c r="M267" s="80"/>
      <c r="N267" s="80"/>
      <c r="O267" s="25"/>
      <c r="P267" s="25" t="b">
        <v>0</v>
      </c>
      <c r="Q267" s="55" t="b">
        <v>0</v>
      </c>
    </row>
    <row r="268" spans="1:17" x14ac:dyDescent="0.3">
      <c r="A268" s="79" t="s">
        <v>1435</v>
      </c>
      <c r="B268" s="25"/>
      <c r="C268" s="25"/>
      <c r="D268" s="80">
        <v>0</v>
      </c>
      <c r="E268" s="80">
        <v>999</v>
      </c>
      <c r="F268" s="80">
        <v>1</v>
      </c>
      <c r="G268" s="81" t="str">
        <f t="shared" ref="G268" si="26">A268&amp;".buffeffect"</f>
        <v>Sector09.barnacle_builder_1.skill03.bedebuff.dmgratedown.buff.buffeffect</v>
      </c>
      <c r="H268" s="80"/>
      <c r="I268" s="80" t="b">
        <v>0</v>
      </c>
      <c r="J268" s="55" t="b">
        <v>0</v>
      </c>
      <c r="K268" s="55" t="b">
        <v>0</v>
      </c>
      <c r="L268" s="80" t="s">
        <v>55</v>
      </c>
      <c r="M268" s="80" t="s">
        <v>109</v>
      </c>
      <c r="N268" s="80" t="s">
        <v>308</v>
      </c>
      <c r="O268" s="25" t="s">
        <v>1313</v>
      </c>
      <c r="P268" s="25" t="b">
        <v>0</v>
      </c>
      <c r="Q268" s="55" t="b">
        <v>0</v>
      </c>
    </row>
    <row r="269" spans="1:17" ht="54.75" x14ac:dyDescent="0.3">
      <c r="A269" s="79" t="s">
        <v>1425</v>
      </c>
      <c r="B269" s="25"/>
      <c r="C269" s="25"/>
      <c r="D269" s="80">
        <v>0</v>
      </c>
      <c r="E269" s="80">
        <v>0</v>
      </c>
      <c r="F269" s="80">
        <v>0</v>
      </c>
      <c r="G269" s="81" t="s">
        <v>1444</v>
      </c>
      <c r="H269" s="80"/>
      <c r="I269" s="80" t="b">
        <v>0</v>
      </c>
      <c r="J269" s="55" t="b">
        <v>0</v>
      </c>
      <c r="K269" s="55" t="b">
        <v>1</v>
      </c>
      <c r="L269" s="80"/>
      <c r="M269" s="80"/>
      <c r="N269" s="80"/>
      <c r="O269" s="25"/>
      <c r="P269" s="25" t="b">
        <v>0</v>
      </c>
      <c r="Q269" s="55" t="b">
        <v>0</v>
      </c>
    </row>
    <row r="270" spans="1:17" x14ac:dyDescent="0.3">
      <c r="A270" s="79" t="s">
        <v>1447</v>
      </c>
      <c r="B270" s="25"/>
      <c r="C270" s="25"/>
      <c r="D270" s="80">
        <v>0</v>
      </c>
      <c r="E270" s="80">
        <v>0</v>
      </c>
      <c r="F270" s="80">
        <v>0</v>
      </c>
      <c r="G270" s="81" t="s">
        <v>1443</v>
      </c>
      <c r="H270" s="80"/>
      <c r="I270" s="80" t="b">
        <v>1</v>
      </c>
      <c r="J270" s="55" t="b">
        <v>0</v>
      </c>
      <c r="K270" s="55" t="b">
        <v>1</v>
      </c>
      <c r="L270" s="80" t="s">
        <v>1448</v>
      </c>
      <c r="M270" s="80"/>
      <c r="N270" s="80"/>
      <c r="O270" s="25"/>
      <c r="P270" s="25" t="b">
        <v>0</v>
      </c>
      <c r="Q270" s="55" t="b">
        <v>0</v>
      </c>
    </row>
    <row r="271" spans="1:17" x14ac:dyDescent="0.3">
      <c r="A271" s="67" t="s">
        <v>1454</v>
      </c>
      <c r="B271" s="43"/>
      <c r="C271" s="43"/>
      <c r="D271" s="68">
        <v>0</v>
      </c>
      <c r="E271" s="68">
        <v>0</v>
      </c>
      <c r="F271" s="68">
        <v>0</v>
      </c>
      <c r="G271" s="69" t="str">
        <f t="shared" ref="G271" si="27">A271&amp;".buffeffect"</f>
        <v>Sector10.mindloader_1.skill01.atkdown.buff.buffeffect</v>
      </c>
      <c r="H271" s="68"/>
      <c r="I271" s="68" t="b">
        <v>0</v>
      </c>
      <c r="J271" s="44" t="b">
        <v>0</v>
      </c>
      <c r="K271" s="44" t="b">
        <v>0</v>
      </c>
      <c r="L271" s="68" t="s">
        <v>55</v>
      </c>
      <c r="M271" s="68" t="s">
        <v>80</v>
      </c>
      <c r="N271" s="68" t="s">
        <v>231</v>
      </c>
      <c r="O271" s="43" t="s">
        <v>1305</v>
      </c>
      <c r="P271" s="43" t="b">
        <v>0</v>
      </c>
      <c r="Q271" s="44" t="b">
        <v>0</v>
      </c>
    </row>
    <row r="272" spans="1:17" x14ac:dyDescent="0.3">
      <c r="A272" s="67" t="s">
        <v>1450</v>
      </c>
      <c r="B272" s="43"/>
      <c r="C272" s="43"/>
      <c r="D272" s="68">
        <v>0</v>
      </c>
      <c r="E272" s="68">
        <v>0</v>
      </c>
      <c r="F272" s="68">
        <v>0</v>
      </c>
      <c r="G272" s="69" t="s">
        <v>173</v>
      </c>
      <c r="H272" s="68"/>
      <c r="I272" s="68" t="b">
        <v>0</v>
      </c>
      <c r="J272" s="44" t="b">
        <v>0</v>
      </c>
      <c r="K272" s="44" t="b">
        <v>1</v>
      </c>
      <c r="L272" s="68"/>
      <c r="M272" s="68"/>
      <c r="N272" s="68"/>
      <c r="O272" s="43"/>
      <c r="P272" s="43" t="b">
        <v>0</v>
      </c>
      <c r="Q272" s="44" t="b">
        <v>0</v>
      </c>
    </row>
    <row r="273" spans="1:17" x14ac:dyDescent="0.3">
      <c r="A273" s="67" t="s">
        <v>1451</v>
      </c>
      <c r="B273" s="43"/>
      <c r="C273" s="43"/>
      <c r="D273" s="68">
        <v>0</v>
      </c>
      <c r="E273" s="68">
        <v>0</v>
      </c>
      <c r="F273" s="68">
        <v>0</v>
      </c>
      <c r="G273" s="69" t="s">
        <v>1455</v>
      </c>
      <c r="H273" s="68" t="s">
        <v>1456</v>
      </c>
      <c r="I273" s="68" t="b">
        <v>0</v>
      </c>
      <c r="J273" s="44" t="b">
        <v>0</v>
      </c>
      <c r="K273" s="44" t="b">
        <v>0</v>
      </c>
      <c r="L273" s="68" t="s">
        <v>1457</v>
      </c>
      <c r="M273" s="68" t="s">
        <v>1458</v>
      </c>
      <c r="N273" s="68" t="s">
        <v>1459</v>
      </c>
      <c r="O273" s="43" t="s">
        <v>1460</v>
      </c>
      <c r="P273" s="43" t="b">
        <v>0</v>
      </c>
      <c r="Q273" s="44" t="b">
        <v>0</v>
      </c>
    </row>
    <row r="274" spans="1:17" x14ac:dyDescent="0.3">
      <c r="A274" s="67" t="s">
        <v>1452</v>
      </c>
      <c r="B274" s="43"/>
      <c r="C274" s="43"/>
      <c r="D274" s="68">
        <v>0</v>
      </c>
      <c r="E274" s="68">
        <v>0</v>
      </c>
      <c r="F274" s="68">
        <v>0</v>
      </c>
      <c r="G274" s="69" t="s">
        <v>173</v>
      </c>
      <c r="H274" s="68"/>
      <c r="I274" s="68" t="b">
        <v>0</v>
      </c>
      <c r="J274" s="44" t="b">
        <v>0</v>
      </c>
      <c r="K274" s="44" t="b">
        <v>1</v>
      </c>
      <c r="L274" s="68"/>
      <c r="M274" s="68"/>
      <c r="N274" s="68"/>
      <c r="O274" s="43"/>
      <c r="P274" s="43" t="b">
        <v>0</v>
      </c>
      <c r="Q274" s="44" t="b">
        <v>0</v>
      </c>
    </row>
    <row r="275" spans="1:17" x14ac:dyDescent="0.3">
      <c r="A275" s="67" t="s">
        <v>1453</v>
      </c>
      <c r="B275" s="43"/>
      <c r="C275" s="43"/>
      <c r="D275" s="68">
        <v>0</v>
      </c>
      <c r="E275" s="68">
        <v>0</v>
      </c>
      <c r="F275" s="68">
        <v>0</v>
      </c>
      <c r="G275" s="69" t="str">
        <f t="shared" ref="G275:G276" si="28">A275&amp;".buffeffect"</f>
        <v>Sector10.mindloader_1.skill04.change.buff.buffeffect</v>
      </c>
      <c r="H275" s="68"/>
      <c r="I275" s="68" t="b">
        <v>0</v>
      </c>
      <c r="J275" s="44" t="b">
        <v>0</v>
      </c>
      <c r="K275" s="44" t="b">
        <v>1</v>
      </c>
      <c r="L275" s="68" t="s">
        <v>1482</v>
      </c>
      <c r="M275" s="68"/>
      <c r="N275" s="68"/>
      <c r="O275" s="43"/>
      <c r="P275" s="43" t="b">
        <v>0</v>
      </c>
      <c r="Q275" s="44" t="b">
        <v>0</v>
      </c>
    </row>
    <row r="276" spans="1:17" x14ac:dyDescent="0.3">
      <c r="A276" s="67" t="s">
        <v>1449</v>
      </c>
      <c r="B276" s="43"/>
      <c r="C276" s="43"/>
      <c r="D276" s="68">
        <v>0</v>
      </c>
      <c r="E276" s="68">
        <v>0</v>
      </c>
      <c r="F276" s="68">
        <v>0</v>
      </c>
      <c r="G276" s="69" t="str">
        <f t="shared" si="28"/>
        <v>Sector10.mindloader_1.passive01.buff.buffeffect</v>
      </c>
      <c r="H276" s="68"/>
      <c r="I276" s="68" t="b">
        <v>0</v>
      </c>
      <c r="J276" s="44" t="b">
        <v>0</v>
      </c>
      <c r="K276" s="44" t="b">
        <v>1</v>
      </c>
      <c r="L276" s="68"/>
      <c r="M276" s="68"/>
      <c r="N276" s="68"/>
      <c r="O276" s="43"/>
      <c r="P276" s="43" t="b">
        <v>0</v>
      </c>
      <c r="Q276" s="44" t="b">
        <v>0</v>
      </c>
    </row>
    <row r="277" spans="1:17" x14ac:dyDescent="0.3">
      <c r="A277" s="83" t="s">
        <v>464</v>
      </c>
      <c r="B277" s="7"/>
      <c r="C277" s="7"/>
      <c r="D277" s="64">
        <v>10000</v>
      </c>
      <c r="E277" s="64">
        <v>0</v>
      </c>
      <c r="F277" s="64">
        <v>0</v>
      </c>
      <c r="G277" s="189" t="s">
        <v>465</v>
      </c>
      <c r="H277" s="64"/>
      <c r="I277" s="64" t="b">
        <v>0</v>
      </c>
      <c r="J277" s="85" t="b">
        <v>1</v>
      </c>
      <c r="K277" s="95" t="b">
        <v>0</v>
      </c>
      <c r="L277" s="64"/>
      <c r="M277" s="64"/>
      <c r="N277" s="64"/>
      <c r="O277" s="7" t="s">
        <v>1301</v>
      </c>
      <c r="P277" s="7" t="b">
        <v>0</v>
      </c>
      <c r="Q277" s="85" t="b">
        <v>0</v>
      </c>
    </row>
    <row r="278" spans="1:17" x14ac:dyDescent="0.3">
      <c r="A278" s="75" t="s">
        <v>1468</v>
      </c>
      <c r="B278" s="21"/>
      <c r="C278" s="21"/>
      <c r="D278" s="213">
        <v>6000</v>
      </c>
      <c r="E278" s="206">
        <v>0</v>
      </c>
      <c r="F278" s="206">
        <v>0</v>
      </c>
      <c r="G278" s="214" t="s">
        <v>1196</v>
      </c>
      <c r="H278" s="213"/>
      <c r="I278" s="213" t="b">
        <v>0</v>
      </c>
      <c r="J278" s="213" t="b">
        <v>0</v>
      </c>
      <c r="K278" s="213" t="b">
        <v>0</v>
      </c>
      <c r="L278" s="213" t="s">
        <v>51</v>
      </c>
      <c r="M278" s="213" t="s">
        <v>52</v>
      </c>
      <c r="N278" s="213" t="s">
        <v>53</v>
      </c>
      <c r="O278" s="213" t="s">
        <v>1311</v>
      </c>
      <c r="P278" s="213" t="b">
        <v>0</v>
      </c>
      <c r="Q278" s="213" t="b">
        <v>0</v>
      </c>
    </row>
    <row r="279" spans="1:17" x14ac:dyDescent="0.3">
      <c r="A279" s="75" t="s">
        <v>1422</v>
      </c>
      <c r="B279" s="21"/>
      <c r="C279" s="21"/>
      <c r="D279" s="76">
        <v>6000</v>
      </c>
      <c r="E279" s="76">
        <v>0</v>
      </c>
      <c r="F279" s="76">
        <v>0</v>
      </c>
      <c r="G279" s="186" t="s">
        <v>1173</v>
      </c>
      <c r="H279" s="76"/>
      <c r="I279" s="76" t="b">
        <v>0</v>
      </c>
      <c r="J279" s="52" t="b">
        <v>0</v>
      </c>
      <c r="K279" s="52" t="b">
        <v>0</v>
      </c>
      <c r="L279" s="76" t="s">
        <v>55</v>
      </c>
      <c r="M279" s="76" t="s">
        <v>56</v>
      </c>
      <c r="N279" s="76" t="s">
        <v>57</v>
      </c>
      <c r="O279" s="21" t="s">
        <v>1315</v>
      </c>
      <c r="P279" s="21" t="b">
        <v>0</v>
      </c>
      <c r="Q279" s="52" t="b">
        <v>0</v>
      </c>
    </row>
    <row r="280" spans="1:17" x14ac:dyDescent="0.3">
      <c r="A280" s="75" t="s">
        <v>1169</v>
      </c>
      <c r="B280" s="21"/>
      <c r="C280" s="21"/>
      <c r="D280" s="76">
        <v>6000</v>
      </c>
      <c r="E280" s="76">
        <v>0</v>
      </c>
      <c r="F280" s="76">
        <v>0</v>
      </c>
      <c r="G280" s="186" t="s">
        <v>1170</v>
      </c>
      <c r="H280" s="76"/>
      <c r="I280" s="76" t="b">
        <v>0</v>
      </c>
      <c r="J280" s="52" t="b">
        <v>0</v>
      </c>
      <c r="K280" s="52" t="b">
        <v>0</v>
      </c>
      <c r="L280" s="76" t="s">
        <v>55</v>
      </c>
      <c r="M280" s="76" t="s">
        <v>80</v>
      </c>
      <c r="N280" s="76" t="s">
        <v>231</v>
      </c>
      <c r="O280" s="21" t="s">
        <v>1305</v>
      </c>
      <c r="P280" s="21" t="b">
        <v>0</v>
      </c>
      <c r="Q280" s="52" t="b">
        <v>0</v>
      </c>
    </row>
    <row r="281" spans="1:17" x14ac:dyDescent="0.3">
      <c r="A281" s="75" t="s">
        <v>1467</v>
      </c>
      <c r="B281" s="21"/>
      <c r="C281" s="21"/>
      <c r="D281" s="76">
        <v>6000</v>
      </c>
      <c r="E281" s="76">
        <v>0</v>
      </c>
      <c r="F281" s="76">
        <v>0</v>
      </c>
      <c r="G281" s="186" t="s">
        <v>1173</v>
      </c>
      <c r="H281" s="76"/>
      <c r="I281" s="76" t="b">
        <v>0</v>
      </c>
      <c r="J281" s="52" t="b">
        <v>0</v>
      </c>
      <c r="K281" s="52" t="b">
        <v>0</v>
      </c>
      <c r="L281" s="76" t="s">
        <v>55</v>
      </c>
      <c r="M281" s="76" t="s">
        <v>56</v>
      </c>
      <c r="N281" s="76" t="s">
        <v>57</v>
      </c>
      <c r="O281" s="21" t="s">
        <v>1315</v>
      </c>
      <c r="P281" s="21" t="b">
        <v>0</v>
      </c>
      <c r="Q281" s="52" t="b">
        <v>0</v>
      </c>
    </row>
    <row r="282" spans="1:17" x14ac:dyDescent="0.3">
      <c r="A282" s="75" t="s">
        <v>1171</v>
      </c>
      <c r="B282" s="21"/>
      <c r="C282" s="21"/>
      <c r="D282" s="76">
        <v>250</v>
      </c>
      <c r="E282" s="76">
        <v>0</v>
      </c>
      <c r="F282" s="76">
        <v>0</v>
      </c>
      <c r="G282" s="186" t="s">
        <v>1191</v>
      </c>
      <c r="H282" s="76"/>
      <c r="I282" s="76" t="b">
        <v>0</v>
      </c>
      <c r="J282" s="52" t="b">
        <v>0</v>
      </c>
      <c r="K282" s="52" t="b">
        <v>0</v>
      </c>
      <c r="L282" s="76"/>
      <c r="M282" s="76"/>
      <c r="N282" s="76"/>
      <c r="O282" s="21" t="s">
        <v>1301</v>
      </c>
      <c r="P282" s="21" t="b">
        <v>0</v>
      </c>
      <c r="Q282" s="52" t="b">
        <v>0</v>
      </c>
    </row>
    <row r="283" spans="1:17" x14ac:dyDescent="0.3">
      <c r="A283" s="75" t="s">
        <v>1172</v>
      </c>
      <c r="B283" s="21"/>
      <c r="C283" s="21"/>
      <c r="D283" s="76">
        <v>6000</v>
      </c>
      <c r="E283" s="76">
        <v>0</v>
      </c>
      <c r="F283" s="76">
        <v>0</v>
      </c>
      <c r="G283" s="186" t="s">
        <v>1173</v>
      </c>
      <c r="H283" s="76"/>
      <c r="I283" s="76" t="b">
        <v>0</v>
      </c>
      <c r="J283" s="52" t="b">
        <v>0</v>
      </c>
      <c r="K283" s="52" t="b">
        <v>0</v>
      </c>
      <c r="L283" s="76" t="s">
        <v>55</v>
      </c>
      <c r="M283" s="76" t="s">
        <v>56</v>
      </c>
      <c r="N283" s="76" t="s">
        <v>57</v>
      </c>
      <c r="O283" s="21" t="s">
        <v>1315</v>
      </c>
      <c r="P283" s="21" t="b">
        <v>0</v>
      </c>
      <c r="Q283" s="52" t="b">
        <v>0</v>
      </c>
    </row>
    <row r="284" spans="1:17" x14ac:dyDescent="0.3">
      <c r="A284" s="75" t="s">
        <v>1174</v>
      </c>
      <c r="B284" s="21"/>
      <c r="C284" s="21"/>
      <c r="D284" s="76">
        <v>6000</v>
      </c>
      <c r="E284" s="76">
        <v>0</v>
      </c>
      <c r="F284" s="76">
        <v>0</v>
      </c>
      <c r="G284" s="186" t="s">
        <v>1173</v>
      </c>
      <c r="H284" s="76"/>
      <c r="I284" s="76" t="b">
        <v>0</v>
      </c>
      <c r="J284" s="52" t="b">
        <v>0</v>
      </c>
      <c r="K284" s="52" t="b">
        <v>0</v>
      </c>
      <c r="L284" s="76" t="s">
        <v>55</v>
      </c>
      <c r="M284" s="76" t="s">
        <v>56</v>
      </c>
      <c r="N284" s="76" t="s">
        <v>57</v>
      </c>
      <c r="O284" s="21" t="s">
        <v>1315</v>
      </c>
      <c r="P284" s="21" t="b">
        <v>0</v>
      </c>
      <c r="Q284" s="52" t="b">
        <v>0</v>
      </c>
    </row>
    <row r="285" spans="1:17" x14ac:dyDescent="0.3">
      <c r="A285" s="75" t="s">
        <v>1175</v>
      </c>
      <c r="B285" s="21"/>
      <c r="C285" s="21"/>
      <c r="D285" s="76">
        <v>6000</v>
      </c>
      <c r="E285" s="76">
        <v>0</v>
      </c>
      <c r="F285" s="76">
        <v>0</v>
      </c>
      <c r="G285" s="186" t="s">
        <v>1176</v>
      </c>
      <c r="H285" s="76"/>
      <c r="I285" s="76" t="b">
        <v>0</v>
      </c>
      <c r="J285" s="52" t="b">
        <v>0</v>
      </c>
      <c r="K285" s="52" t="b">
        <v>0</v>
      </c>
      <c r="L285" s="76" t="s">
        <v>46</v>
      </c>
      <c r="M285" s="76" t="s">
        <v>162</v>
      </c>
      <c r="N285" s="76" t="s">
        <v>163</v>
      </c>
      <c r="O285" s="21" t="s">
        <v>1299</v>
      </c>
      <c r="P285" s="21" t="b">
        <v>0</v>
      </c>
      <c r="Q285" s="52" t="b">
        <v>1</v>
      </c>
    </row>
    <row r="286" spans="1:17" x14ac:dyDescent="0.3">
      <c r="A286" s="75" t="s">
        <v>1423</v>
      </c>
      <c r="B286" s="21"/>
      <c r="C286" s="21"/>
      <c r="D286" s="76">
        <v>6000</v>
      </c>
      <c r="E286" s="76">
        <v>0</v>
      </c>
      <c r="F286" s="76">
        <v>0</v>
      </c>
      <c r="G286" s="186" t="s">
        <v>1176</v>
      </c>
      <c r="H286" s="76"/>
      <c r="I286" s="76" t="b">
        <v>0</v>
      </c>
      <c r="J286" s="52" t="b">
        <v>0</v>
      </c>
      <c r="K286" s="52" t="b">
        <v>0</v>
      </c>
      <c r="L286" s="76" t="s">
        <v>46</v>
      </c>
      <c r="M286" s="76" t="s">
        <v>162</v>
      </c>
      <c r="N286" s="76" t="s">
        <v>163</v>
      </c>
      <c r="O286" s="21" t="s">
        <v>1299</v>
      </c>
      <c r="P286" s="21" t="b">
        <v>0</v>
      </c>
      <c r="Q286" s="52" t="b">
        <v>1</v>
      </c>
    </row>
    <row r="287" spans="1:17" x14ac:dyDescent="0.3">
      <c r="A287" s="71" t="s">
        <v>1177</v>
      </c>
      <c r="B287" s="29"/>
      <c r="C287" s="29"/>
      <c r="D287" s="72">
        <v>6000</v>
      </c>
      <c r="E287" s="72">
        <v>0</v>
      </c>
      <c r="F287" s="72">
        <v>0</v>
      </c>
      <c r="G287" s="188" t="s">
        <v>1173</v>
      </c>
      <c r="H287" s="72"/>
      <c r="I287" s="72" t="b">
        <v>0</v>
      </c>
      <c r="J287" s="56" t="b">
        <v>0</v>
      </c>
      <c r="K287" s="56" t="b">
        <v>0</v>
      </c>
      <c r="L287" s="72" t="s">
        <v>55</v>
      </c>
      <c r="M287" s="72" t="s">
        <v>56</v>
      </c>
      <c r="N287" s="72" t="s">
        <v>57</v>
      </c>
      <c r="O287" s="29" t="s">
        <v>1315</v>
      </c>
      <c r="P287" s="29" t="b">
        <v>0</v>
      </c>
      <c r="Q287" s="56" t="b">
        <v>0</v>
      </c>
    </row>
    <row r="288" spans="1:17" x14ac:dyDescent="0.3">
      <c r="A288" s="71" t="s">
        <v>1178</v>
      </c>
      <c r="B288" s="29"/>
      <c r="C288" s="29"/>
      <c r="D288" s="72">
        <v>6000</v>
      </c>
      <c r="E288" s="72">
        <v>0</v>
      </c>
      <c r="F288" s="72">
        <v>0</v>
      </c>
      <c r="G288" s="188" t="s">
        <v>1173</v>
      </c>
      <c r="H288" s="72"/>
      <c r="I288" s="72" t="b">
        <v>0</v>
      </c>
      <c r="J288" s="56" t="b">
        <v>0</v>
      </c>
      <c r="K288" s="56" t="b">
        <v>0</v>
      </c>
      <c r="L288" s="72" t="s">
        <v>55</v>
      </c>
      <c r="M288" s="72" t="s">
        <v>56</v>
      </c>
      <c r="N288" s="72" t="s">
        <v>57</v>
      </c>
      <c r="O288" s="29" t="s">
        <v>1315</v>
      </c>
      <c r="P288" s="29" t="b">
        <v>0</v>
      </c>
      <c r="Q288" s="56" t="b">
        <v>0</v>
      </c>
    </row>
    <row r="289" spans="1:17" x14ac:dyDescent="0.3">
      <c r="A289" s="71" t="s">
        <v>1179</v>
      </c>
      <c r="B289" s="29"/>
      <c r="C289" s="29"/>
      <c r="D289" s="72">
        <v>250</v>
      </c>
      <c r="E289" s="72">
        <v>0</v>
      </c>
      <c r="F289" s="72">
        <v>0</v>
      </c>
      <c r="G289" s="188" t="s">
        <v>1191</v>
      </c>
      <c r="H289" s="72"/>
      <c r="I289" s="72" t="b">
        <v>0</v>
      </c>
      <c r="J289" s="56" t="b">
        <v>0</v>
      </c>
      <c r="K289" s="56" t="b">
        <v>0</v>
      </c>
      <c r="L289" s="72"/>
      <c r="M289" s="72"/>
      <c r="N289" s="72"/>
      <c r="O289" s="29" t="s">
        <v>1301</v>
      </c>
      <c r="P289" s="29" t="b">
        <v>0</v>
      </c>
      <c r="Q289" s="56" t="b">
        <v>0</v>
      </c>
    </row>
    <row r="290" spans="1:17" x14ac:dyDescent="0.3">
      <c r="A290" s="71" t="s">
        <v>1469</v>
      </c>
      <c r="B290" s="29"/>
      <c r="C290" s="29"/>
      <c r="D290" s="72">
        <v>6000</v>
      </c>
      <c r="E290" s="72">
        <v>0</v>
      </c>
      <c r="F290" s="72">
        <v>0</v>
      </c>
      <c r="G290" s="32" t="s">
        <v>1196</v>
      </c>
      <c r="H290" s="29"/>
      <c r="I290" s="29" t="b">
        <v>0</v>
      </c>
      <c r="J290" s="29" t="b">
        <v>0</v>
      </c>
      <c r="K290" s="29" t="b">
        <v>0</v>
      </c>
      <c r="L290" s="29" t="s">
        <v>51</v>
      </c>
      <c r="M290" s="29" t="s">
        <v>52</v>
      </c>
      <c r="N290" s="29" t="s">
        <v>53</v>
      </c>
      <c r="O290" s="29" t="s">
        <v>1311</v>
      </c>
      <c r="P290" s="29" t="b">
        <v>0</v>
      </c>
      <c r="Q290" s="29" t="b">
        <v>0</v>
      </c>
    </row>
    <row r="291" spans="1:17" x14ac:dyDescent="0.3">
      <c r="A291" s="71" t="s">
        <v>1180</v>
      </c>
      <c r="B291" s="29"/>
      <c r="C291" s="29"/>
      <c r="D291" s="72">
        <v>6000</v>
      </c>
      <c r="E291" s="72">
        <v>0</v>
      </c>
      <c r="F291" s="72">
        <v>0</v>
      </c>
      <c r="G291" s="188" t="s">
        <v>1176</v>
      </c>
      <c r="H291" s="72"/>
      <c r="I291" s="72" t="b">
        <v>0</v>
      </c>
      <c r="J291" s="56" t="b">
        <v>0</v>
      </c>
      <c r="K291" s="56" t="b">
        <v>0</v>
      </c>
      <c r="L291" s="72" t="s">
        <v>46</v>
      </c>
      <c r="M291" s="72" t="s">
        <v>162</v>
      </c>
      <c r="N291" s="72" t="s">
        <v>163</v>
      </c>
      <c r="O291" s="29" t="s">
        <v>1299</v>
      </c>
      <c r="P291" s="29" t="b">
        <v>0</v>
      </c>
      <c r="Q291" s="56" t="b">
        <v>1</v>
      </c>
    </row>
    <row r="292" spans="1:17" x14ac:dyDescent="0.3">
      <c r="A292" s="71" t="s">
        <v>1470</v>
      </c>
      <c r="B292" s="29"/>
      <c r="C292" s="29"/>
      <c r="D292" s="72">
        <v>6000</v>
      </c>
      <c r="E292" s="72">
        <v>0</v>
      </c>
      <c r="F292" s="72">
        <v>0</v>
      </c>
      <c r="G292" s="188" t="s">
        <v>1173</v>
      </c>
      <c r="H292" s="72"/>
      <c r="I292" s="72" t="b">
        <v>0</v>
      </c>
      <c r="J292" s="56" t="b">
        <v>0</v>
      </c>
      <c r="K292" s="56" t="b">
        <v>0</v>
      </c>
      <c r="L292" s="72" t="s">
        <v>55</v>
      </c>
      <c r="M292" s="72" t="s">
        <v>80</v>
      </c>
      <c r="N292" s="72" t="s">
        <v>231</v>
      </c>
      <c r="O292" s="29" t="s">
        <v>1305</v>
      </c>
      <c r="P292" s="29" t="b">
        <v>0</v>
      </c>
      <c r="Q292" s="56" t="b">
        <v>0</v>
      </c>
    </row>
    <row r="293" spans="1:17" x14ac:dyDescent="0.3">
      <c r="A293" s="71" t="s">
        <v>1181</v>
      </c>
      <c r="B293" s="29"/>
      <c r="C293" s="29"/>
      <c r="D293" s="72">
        <v>6000</v>
      </c>
      <c r="E293" s="72">
        <v>0</v>
      </c>
      <c r="F293" s="72">
        <v>0</v>
      </c>
      <c r="G293" s="188" t="s">
        <v>1173</v>
      </c>
      <c r="H293" s="72"/>
      <c r="I293" s="72" t="b">
        <v>0</v>
      </c>
      <c r="J293" s="56" t="b">
        <v>0</v>
      </c>
      <c r="K293" s="56" t="b">
        <v>0</v>
      </c>
      <c r="L293" s="72" t="s">
        <v>55</v>
      </c>
      <c r="M293" s="72" t="s">
        <v>80</v>
      </c>
      <c r="N293" s="72" t="s">
        <v>231</v>
      </c>
      <c r="O293" s="29" t="s">
        <v>1305</v>
      </c>
      <c r="P293" s="29" t="b">
        <v>0</v>
      </c>
      <c r="Q293" s="56" t="b">
        <v>0</v>
      </c>
    </row>
    <row r="294" spans="1:17" x14ac:dyDescent="0.3">
      <c r="A294" s="71" t="s">
        <v>1424</v>
      </c>
      <c r="B294" s="29"/>
      <c r="C294" s="29"/>
      <c r="D294" s="72">
        <v>6000</v>
      </c>
      <c r="E294" s="72">
        <v>0</v>
      </c>
      <c r="F294" s="72">
        <v>0</v>
      </c>
      <c r="G294" s="188" t="s">
        <v>1176</v>
      </c>
      <c r="H294" s="72"/>
      <c r="I294" s="72" t="b">
        <v>0</v>
      </c>
      <c r="J294" s="56" t="b">
        <v>0</v>
      </c>
      <c r="K294" s="56" t="b">
        <v>0</v>
      </c>
      <c r="L294" s="72" t="s">
        <v>46</v>
      </c>
      <c r="M294" s="72" t="s">
        <v>162</v>
      </c>
      <c r="N294" s="72" t="s">
        <v>163</v>
      </c>
      <c r="O294" s="29" t="s">
        <v>1299</v>
      </c>
      <c r="P294" s="29" t="b">
        <v>0</v>
      </c>
      <c r="Q294" s="56" t="b">
        <v>1</v>
      </c>
    </row>
    <row r="295" spans="1:17" x14ac:dyDescent="0.3">
      <c r="A295" s="75" t="s">
        <v>1182</v>
      </c>
      <c r="B295" s="21"/>
      <c r="C295" s="21"/>
      <c r="D295" s="76">
        <v>6000</v>
      </c>
      <c r="E295" s="76">
        <v>0</v>
      </c>
      <c r="F295" s="76">
        <v>0</v>
      </c>
      <c r="G295" s="186" t="s">
        <v>1183</v>
      </c>
      <c r="H295" s="76"/>
      <c r="I295" s="76" t="b">
        <v>0</v>
      </c>
      <c r="J295" s="52" t="b">
        <v>0</v>
      </c>
      <c r="K295" s="52" t="b">
        <v>0</v>
      </c>
      <c r="L295" s="76" t="s">
        <v>351</v>
      </c>
      <c r="M295" s="76" t="s">
        <v>352</v>
      </c>
      <c r="N295" s="76" t="s">
        <v>353</v>
      </c>
      <c r="O295" s="21" t="s">
        <v>1319</v>
      </c>
      <c r="P295" s="21" t="b">
        <v>0</v>
      </c>
      <c r="Q295" s="52" t="b">
        <v>1</v>
      </c>
    </row>
    <row r="296" spans="1:17" x14ac:dyDescent="0.3">
      <c r="A296" s="75" t="s">
        <v>1184</v>
      </c>
      <c r="B296" s="21"/>
      <c r="C296" s="21"/>
      <c r="D296" s="76">
        <v>6000</v>
      </c>
      <c r="E296" s="76">
        <v>0</v>
      </c>
      <c r="F296" s="76">
        <v>0</v>
      </c>
      <c r="G296" s="186" t="s">
        <v>1173</v>
      </c>
      <c r="H296" s="76"/>
      <c r="I296" s="76" t="b">
        <v>0</v>
      </c>
      <c r="J296" s="52" t="b">
        <v>0</v>
      </c>
      <c r="K296" s="52" t="b">
        <v>0</v>
      </c>
      <c r="L296" s="76" t="s">
        <v>55</v>
      </c>
      <c r="M296" s="76" t="s">
        <v>56</v>
      </c>
      <c r="N296" s="76" t="s">
        <v>57</v>
      </c>
      <c r="O296" s="21" t="s">
        <v>1315</v>
      </c>
      <c r="P296" s="21" t="b">
        <v>0</v>
      </c>
      <c r="Q296" s="52" t="b">
        <v>0</v>
      </c>
    </row>
    <row r="297" spans="1:17" x14ac:dyDescent="0.3">
      <c r="A297" s="75" t="s">
        <v>1185</v>
      </c>
      <c r="B297" s="21"/>
      <c r="C297" s="21"/>
      <c r="D297" s="76">
        <v>6000</v>
      </c>
      <c r="E297" s="76">
        <v>0</v>
      </c>
      <c r="F297" s="76">
        <v>0</v>
      </c>
      <c r="G297" s="186" t="s">
        <v>1170</v>
      </c>
      <c r="H297" s="76"/>
      <c r="I297" s="76" t="b">
        <v>0</v>
      </c>
      <c r="J297" s="52" t="b">
        <v>0</v>
      </c>
      <c r="K297" s="52" t="b">
        <v>0</v>
      </c>
      <c r="L297" s="76" t="s">
        <v>55</v>
      </c>
      <c r="M297" s="76" t="s">
        <v>80</v>
      </c>
      <c r="N297" s="76" t="s">
        <v>231</v>
      </c>
      <c r="O297" s="21" t="s">
        <v>1305</v>
      </c>
      <c r="P297" s="21" t="b">
        <v>0</v>
      </c>
      <c r="Q297" s="52" t="b">
        <v>0</v>
      </c>
    </row>
    <row r="298" spans="1:17" x14ac:dyDescent="0.3">
      <c r="A298" s="75" t="s">
        <v>1186</v>
      </c>
      <c r="B298" s="21"/>
      <c r="C298" s="21"/>
      <c r="D298" s="76">
        <v>6000</v>
      </c>
      <c r="E298" s="76">
        <v>0</v>
      </c>
      <c r="F298" s="76">
        <v>0</v>
      </c>
      <c r="G298" s="186" t="s">
        <v>1176</v>
      </c>
      <c r="H298" s="76"/>
      <c r="I298" s="76" t="b">
        <v>0</v>
      </c>
      <c r="J298" s="52" t="b">
        <v>0</v>
      </c>
      <c r="K298" s="52" t="b">
        <v>0</v>
      </c>
      <c r="L298" s="76" t="s">
        <v>46</v>
      </c>
      <c r="M298" s="76" t="s">
        <v>162</v>
      </c>
      <c r="N298" s="76" t="s">
        <v>163</v>
      </c>
      <c r="O298" s="21" t="s">
        <v>1299</v>
      </c>
      <c r="P298" s="21" t="b">
        <v>0</v>
      </c>
      <c r="Q298" s="52" t="b">
        <v>1</v>
      </c>
    </row>
    <row r="299" spans="1:17" x14ac:dyDescent="0.3">
      <c r="A299" s="75" t="s">
        <v>1187</v>
      </c>
      <c r="B299" s="21"/>
      <c r="C299" s="21"/>
      <c r="D299" s="76">
        <v>6000</v>
      </c>
      <c r="E299" s="76">
        <v>0</v>
      </c>
      <c r="F299" s="76">
        <v>0</v>
      </c>
      <c r="G299" s="186" t="s">
        <v>1170</v>
      </c>
      <c r="H299" s="76"/>
      <c r="I299" s="76" t="b">
        <v>0</v>
      </c>
      <c r="J299" s="52" t="b">
        <v>0</v>
      </c>
      <c r="K299" s="52" t="b">
        <v>0</v>
      </c>
      <c r="L299" s="76" t="s">
        <v>55</v>
      </c>
      <c r="M299" s="76" t="s">
        <v>80</v>
      </c>
      <c r="N299" s="76" t="s">
        <v>231</v>
      </c>
      <c r="O299" s="21" t="s">
        <v>1305</v>
      </c>
      <c r="P299" s="21" t="b">
        <v>0</v>
      </c>
      <c r="Q299" s="52" t="b">
        <v>0</v>
      </c>
    </row>
    <row r="300" spans="1:17" x14ac:dyDescent="0.3">
      <c r="A300" s="75" t="s">
        <v>1471</v>
      </c>
      <c r="B300" s="21"/>
      <c r="C300" s="21"/>
      <c r="D300" s="76">
        <v>6000</v>
      </c>
      <c r="E300" s="76">
        <v>0</v>
      </c>
      <c r="F300" s="76">
        <v>0</v>
      </c>
      <c r="G300" s="186" t="s">
        <v>1173</v>
      </c>
      <c r="H300" s="76"/>
      <c r="I300" s="76" t="b">
        <v>0</v>
      </c>
      <c r="J300" s="52" t="b">
        <v>0</v>
      </c>
      <c r="K300" s="52" t="b">
        <v>0</v>
      </c>
      <c r="L300" s="76" t="s">
        <v>55</v>
      </c>
      <c r="M300" s="76" t="s">
        <v>56</v>
      </c>
      <c r="N300" s="76" t="s">
        <v>57</v>
      </c>
      <c r="O300" s="21" t="s">
        <v>1315</v>
      </c>
      <c r="P300" s="21" t="b">
        <v>0</v>
      </c>
      <c r="Q300" s="52" t="b">
        <v>0</v>
      </c>
    </row>
    <row r="301" spans="1:17" x14ac:dyDescent="0.3">
      <c r="A301" s="75" t="s">
        <v>1188</v>
      </c>
      <c r="B301" s="21"/>
      <c r="C301" s="21"/>
      <c r="D301" s="76">
        <v>250</v>
      </c>
      <c r="E301" s="76">
        <v>0</v>
      </c>
      <c r="F301" s="76">
        <v>0</v>
      </c>
      <c r="G301" s="186" t="s">
        <v>1191</v>
      </c>
      <c r="H301" s="76"/>
      <c r="I301" s="76" t="b">
        <v>0</v>
      </c>
      <c r="J301" s="52" t="b">
        <v>0</v>
      </c>
      <c r="K301" s="52" t="b">
        <v>0</v>
      </c>
      <c r="L301" s="76"/>
      <c r="M301" s="76"/>
      <c r="N301" s="76"/>
      <c r="O301" s="21" t="s">
        <v>1301</v>
      </c>
      <c r="P301" s="21" t="b">
        <v>0</v>
      </c>
      <c r="Q301" s="52" t="b">
        <v>0</v>
      </c>
    </row>
    <row r="302" spans="1:17" x14ac:dyDescent="0.3">
      <c r="A302" s="75" t="s">
        <v>1189</v>
      </c>
      <c r="B302" s="21"/>
      <c r="C302" s="21"/>
      <c r="D302" s="76">
        <v>6000</v>
      </c>
      <c r="E302" s="76">
        <v>0</v>
      </c>
      <c r="F302" s="76">
        <v>0</v>
      </c>
      <c r="G302" s="186" t="s">
        <v>1176</v>
      </c>
      <c r="H302" s="76"/>
      <c r="I302" s="76" t="b">
        <v>0</v>
      </c>
      <c r="J302" s="52" t="b">
        <v>0</v>
      </c>
      <c r="K302" s="52" t="b">
        <v>0</v>
      </c>
      <c r="L302" s="76" t="s">
        <v>46</v>
      </c>
      <c r="M302" s="76" t="s">
        <v>162</v>
      </c>
      <c r="N302" s="76" t="s">
        <v>163</v>
      </c>
      <c r="O302" s="21" t="s">
        <v>1299</v>
      </c>
      <c r="P302" s="21" t="b">
        <v>0</v>
      </c>
      <c r="Q302" s="52" t="b">
        <v>1</v>
      </c>
    </row>
    <row r="303" spans="1:17" x14ac:dyDescent="0.3">
      <c r="A303" s="75" t="s">
        <v>1190</v>
      </c>
      <c r="B303" s="21"/>
      <c r="C303" s="21"/>
      <c r="D303" s="76">
        <v>6000</v>
      </c>
      <c r="E303" s="76">
        <v>0</v>
      </c>
      <c r="F303" s="76">
        <v>0</v>
      </c>
      <c r="G303" s="186" t="s">
        <v>1173</v>
      </c>
      <c r="H303" s="76"/>
      <c r="I303" s="76" t="b">
        <v>0</v>
      </c>
      <c r="J303" s="52" t="b">
        <v>0</v>
      </c>
      <c r="K303" s="52" t="b">
        <v>0</v>
      </c>
      <c r="L303" s="76" t="s">
        <v>55</v>
      </c>
      <c r="M303" s="76" t="s">
        <v>56</v>
      </c>
      <c r="N303" s="76" t="s">
        <v>57</v>
      </c>
      <c r="O303" s="21" t="s">
        <v>1315</v>
      </c>
      <c r="P303" s="21" t="b">
        <v>0</v>
      </c>
      <c r="Q303" s="52" t="b">
        <v>0</v>
      </c>
    </row>
    <row r="304" spans="1:17" x14ac:dyDescent="0.3">
      <c r="A304" s="75" t="s">
        <v>1483</v>
      </c>
      <c r="B304" s="21"/>
      <c r="C304" s="21"/>
      <c r="D304" s="76">
        <v>6000</v>
      </c>
      <c r="E304" s="76">
        <v>0</v>
      </c>
      <c r="F304" s="76">
        <v>0</v>
      </c>
      <c r="G304" s="186" t="s">
        <v>1170</v>
      </c>
      <c r="H304" s="76"/>
      <c r="I304" s="76" t="b">
        <v>0</v>
      </c>
      <c r="J304" s="52" t="b">
        <v>0</v>
      </c>
      <c r="K304" s="52" t="b">
        <v>0</v>
      </c>
      <c r="L304" s="76" t="s">
        <v>55</v>
      </c>
      <c r="M304" s="76" t="s">
        <v>80</v>
      </c>
      <c r="N304" s="76" t="s">
        <v>231</v>
      </c>
      <c r="O304" s="21" t="s">
        <v>1305</v>
      </c>
      <c r="P304" s="21" t="b">
        <v>0</v>
      </c>
      <c r="Q304" s="52" t="b">
        <v>0</v>
      </c>
    </row>
    <row r="305" spans="1:17" s="155" customFormat="1" x14ac:dyDescent="0.3">
      <c r="A305" s="207" t="s">
        <v>1192</v>
      </c>
      <c r="B305" s="29"/>
      <c r="C305" s="29"/>
      <c r="D305" s="29">
        <v>250</v>
      </c>
      <c r="E305" s="208">
        <v>0</v>
      </c>
      <c r="F305" s="208">
        <v>0</v>
      </c>
      <c r="G305" s="32" t="s">
        <v>1191</v>
      </c>
      <c r="H305" s="29"/>
      <c r="I305" s="29" t="b">
        <v>0</v>
      </c>
      <c r="J305" s="29" t="b">
        <v>0</v>
      </c>
      <c r="K305" s="29" t="b">
        <v>0</v>
      </c>
      <c r="L305" s="29"/>
      <c r="M305" s="29"/>
      <c r="N305" s="29"/>
      <c r="O305" s="29"/>
      <c r="P305" s="7" t="b">
        <v>0</v>
      </c>
      <c r="Q305" s="29" t="b">
        <v>0</v>
      </c>
    </row>
    <row r="306" spans="1:17" s="155" customFormat="1" x14ac:dyDescent="0.3">
      <c r="A306" s="207" t="s">
        <v>1472</v>
      </c>
      <c r="B306" s="29"/>
      <c r="C306" s="29"/>
      <c r="D306" s="29">
        <v>6000</v>
      </c>
      <c r="E306" s="206">
        <v>0</v>
      </c>
      <c r="F306" s="206">
        <v>0</v>
      </c>
      <c r="G306" s="32" t="s">
        <v>1170</v>
      </c>
      <c r="H306" s="29"/>
      <c r="I306" s="29" t="b">
        <v>0</v>
      </c>
      <c r="J306" s="29" t="b">
        <v>0</v>
      </c>
      <c r="K306" s="29" t="b">
        <v>0</v>
      </c>
      <c r="L306" s="29" t="s">
        <v>55</v>
      </c>
      <c r="M306" s="29" t="s">
        <v>80</v>
      </c>
      <c r="N306" s="29" t="s">
        <v>231</v>
      </c>
      <c r="O306" s="29" t="s">
        <v>1324</v>
      </c>
      <c r="P306" s="7" t="b">
        <v>0</v>
      </c>
      <c r="Q306" s="29" t="b">
        <v>0</v>
      </c>
    </row>
    <row r="307" spans="1:17" s="155" customFormat="1" x14ac:dyDescent="0.3">
      <c r="A307" s="207" t="s">
        <v>1193</v>
      </c>
      <c r="B307" s="29"/>
      <c r="C307" s="29"/>
      <c r="D307" s="29">
        <v>6000</v>
      </c>
      <c r="E307" s="206">
        <v>0</v>
      </c>
      <c r="F307" s="206">
        <v>0</v>
      </c>
      <c r="G307" s="32" t="s">
        <v>1170</v>
      </c>
      <c r="H307" s="29"/>
      <c r="I307" s="29" t="b">
        <v>0</v>
      </c>
      <c r="J307" s="29" t="b">
        <v>0</v>
      </c>
      <c r="K307" s="29" t="b">
        <v>0</v>
      </c>
      <c r="L307" s="29" t="s">
        <v>55</v>
      </c>
      <c r="M307" s="29" t="s">
        <v>80</v>
      </c>
      <c r="N307" s="29" t="s">
        <v>231</v>
      </c>
      <c r="O307" s="29" t="s">
        <v>1324</v>
      </c>
      <c r="P307" s="7" t="b">
        <v>0</v>
      </c>
      <c r="Q307" s="29" t="b">
        <v>0</v>
      </c>
    </row>
    <row r="308" spans="1:17" s="155" customFormat="1" x14ac:dyDescent="0.3">
      <c r="A308" s="207" t="s">
        <v>1194</v>
      </c>
      <c r="B308" s="29"/>
      <c r="C308" s="29"/>
      <c r="D308" s="29">
        <v>6000</v>
      </c>
      <c r="E308" s="208">
        <v>0</v>
      </c>
      <c r="F308" s="208">
        <v>0</v>
      </c>
      <c r="G308" s="32" t="s">
        <v>1173</v>
      </c>
      <c r="H308" s="29"/>
      <c r="I308" s="29" t="b">
        <v>0</v>
      </c>
      <c r="J308" s="29" t="b">
        <v>0</v>
      </c>
      <c r="K308" s="29" t="b">
        <v>0</v>
      </c>
      <c r="L308" s="29" t="s">
        <v>55</v>
      </c>
      <c r="M308" s="29" t="s">
        <v>56</v>
      </c>
      <c r="N308" s="29" t="s">
        <v>57</v>
      </c>
      <c r="O308" s="29" t="s">
        <v>1325</v>
      </c>
      <c r="P308" s="7" t="b">
        <v>0</v>
      </c>
      <c r="Q308" s="29" t="b">
        <v>0</v>
      </c>
    </row>
    <row r="309" spans="1:17" s="155" customFormat="1" x14ac:dyDescent="0.3">
      <c r="A309" s="207" t="s">
        <v>1195</v>
      </c>
      <c r="B309" s="29"/>
      <c r="C309" s="29"/>
      <c r="D309" s="29">
        <v>6000</v>
      </c>
      <c r="E309" s="206">
        <v>0</v>
      </c>
      <c r="F309" s="206">
        <v>0</v>
      </c>
      <c r="G309" s="32" t="s">
        <v>1196</v>
      </c>
      <c r="H309" s="29"/>
      <c r="I309" s="29" t="b">
        <v>0</v>
      </c>
      <c r="J309" s="29" t="b">
        <v>0</v>
      </c>
      <c r="K309" s="29" t="b">
        <v>0</v>
      </c>
      <c r="L309" s="29" t="s">
        <v>51</v>
      </c>
      <c r="M309" s="29" t="s">
        <v>52</v>
      </c>
      <c r="N309" s="29" t="s">
        <v>53</v>
      </c>
      <c r="O309" s="29" t="s">
        <v>1311</v>
      </c>
      <c r="P309" s="7" t="b">
        <v>0</v>
      </c>
      <c r="Q309" s="29" t="b">
        <v>0</v>
      </c>
    </row>
    <row r="310" spans="1:17" s="155" customFormat="1" x14ac:dyDescent="0.3">
      <c r="A310" s="207" t="s">
        <v>1197</v>
      </c>
      <c r="B310" s="29"/>
      <c r="C310" s="29"/>
      <c r="D310" s="29">
        <v>6000</v>
      </c>
      <c r="E310" s="206">
        <v>0</v>
      </c>
      <c r="F310" s="206">
        <v>0</v>
      </c>
      <c r="G310" s="32" t="s">
        <v>1170</v>
      </c>
      <c r="H310" s="29"/>
      <c r="I310" s="29" t="b">
        <v>0</v>
      </c>
      <c r="J310" s="29" t="b">
        <v>0</v>
      </c>
      <c r="K310" s="29" t="b">
        <v>0</v>
      </c>
      <c r="L310" s="29" t="s">
        <v>55</v>
      </c>
      <c r="M310" s="29" t="s">
        <v>80</v>
      </c>
      <c r="N310" s="29" t="s">
        <v>231</v>
      </c>
      <c r="O310" s="29" t="s">
        <v>1324</v>
      </c>
      <c r="P310" s="7" t="b">
        <v>0</v>
      </c>
      <c r="Q310" s="29" t="b">
        <v>0</v>
      </c>
    </row>
    <row r="311" spans="1:17" s="155" customFormat="1" x14ac:dyDescent="0.3">
      <c r="A311" s="207" t="s">
        <v>1198</v>
      </c>
      <c r="B311" s="29"/>
      <c r="C311" s="29"/>
      <c r="D311" s="29">
        <v>6000</v>
      </c>
      <c r="E311" s="208">
        <v>0</v>
      </c>
      <c r="F311" s="208">
        <v>0</v>
      </c>
      <c r="G311" s="32" t="s">
        <v>1196</v>
      </c>
      <c r="H311" s="29"/>
      <c r="I311" s="29" t="b">
        <v>0</v>
      </c>
      <c r="J311" s="29" t="b">
        <v>0</v>
      </c>
      <c r="K311" s="29" t="b">
        <v>0</v>
      </c>
      <c r="L311" s="29" t="s">
        <v>51</v>
      </c>
      <c r="M311" s="29" t="s">
        <v>52</v>
      </c>
      <c r="N311" s="29" t="s">
        <v>53</v>
      </c>
      <c r="O311" s="29" t="s">
        <v>1311</v>
      </c>
      <c r="P311" s="7" t="b">
        <v>0</v>
      </c>
      <c r="Q311" s="29" t="b">
        <v>0</v>
      </c>
    </row>
    <row r="312" spans="1:17" s="155" customFormat="1" x14ac:dyDescent="0.3">
      <c r="A312" s="207" t="s">
        <v>1199</v>
      </c>
      <c r="B312" s="29"/>
      <c r="C312" s="29"/>
      <c r="D312" s="29">
        <v>6000</v>
      </c>
      <c r="E312" s="206">
        <v>0</v>
      </c>
      <c r="F312" s="206">
        <v>0</v>
      </c>
      <c r="G312" s="32" t="s">
        <v>1170</v>
      </c>
      <c r="H312" s="29"/>
      <c r="I312" s="29" t="b">
        <v>0</v>
      </c>
      <c r="J312" s="29" t="b">
        <v>0</v>
      </c>
      <c r="K312" s="29" t="b">
        <v>0</v>
      </c>
      <c r="L312" s="29" t="s">
        <v>55</v>
      </c>
      <c r="M312" s="29" t="s">
        <v>80</v>
      </c>
      <c r="N312" s="29" t="s">
        <v>231</v>
      </c>
      <c r="O312" s="29" t="s">
        <v>1324</v>
      </c>
      <c r="P312" s="7" t="b">
        <v>0</v>
      </c>
      <c r="Q312" s="29" t="b">
        <v>0</v>
      </c>
    </row>
    <row r="313" spans="1:17" s="155" customFormat="1" x14ac:dyDescent="0.3">
      <c r="A313" s="207" t="s">
        <v>1473</v>
      </c>
      <c r="B313" s="29"/>
      <c r="C313" s="29"/>
      <c r="D313" s="29">
        <v>6000</v>
      </c>
      <c r="E313" s="208">
        <v>0</v>
      </c>
      <c r="F313" s="208">
        <v>0</v>
      </c>
      <c r="G313" s="32" t="s">
        <v>1173</v>
      </c>
      <c r="H313" s="29"/>
      <c r="I313" s="29" t="b">
        <v>0</v>
      </c>
      <c r="J313" s="29" t="b">
        <v>0</v>
      </c>
      <c r="K313" s="29" t="b">
        <v>0</v>
      </c>
      <c r="L313" s="29" t="s">
        <v>55</v>
      </c>
      <c r="M313" s="29" t="s">
        <v>56</v>
      </c>
      <c r="N313" s="29" t="s">
        <v>57</v>
      </c>
      <c r="O313" s="29" t="s">
        <v>1325</v>
      </c>
      <c r="P313" s="7" t="b">
        <v>0</v>
      </c>
      <c r="Q313" s="29" t="b">
        <v>0</v>
      </c>
    </row>
    <row r="314" spans="1:17" s="155" customFormat="1" ht="27.75" x14ac:dyDescent="0.3">
      <c r="A314" s="207" t="s">
        <v>1200</v>
      </c>
      <c r="B314" s="29"/>
      <c r="C314" s="29"/>
      <c r="D314" s="29">
        <v>3000</v>
      </c>
      <c r="E314" s="208">
        <v>0</v>
      </c>
      <c r="F314" s="208">
        <v>0</v>
      </c>
      <c r="G314" s="175" t="s">
        <v>1249</v>
      </c>
      <c r="H314" s="29"/>
      <c r="I314" s="29" t="b">
        <v>0</v>
      </c>
      <c r="J314" s="29" t="b">
        <v>0</v>
      </c>
      <c r="K314" s="29" t="b">
        <v>0</v>
      </c>
      <c r="L314" s="29" t="s">
        <v>1201</v>
      </c>
      <c r="M314" s="29" t="s">
        <v>1202</v>
      </c>
      <c r="N314" s="29" t="s">
        <v>1203</v>
      </c>
      <c r="O314" s="29" t="s">
        <v>1322</v>
      </c>
      <c r="P314" s="7" t="b">
        <v>0</v>
      </c>
      <c r="Q314" s="29" t="b">
        <v>0</v>
      </c>
    </row>
    <row r="315" spans="1:17" s="155" customFormat="1" x14ac:dyDescent="0.3">
      <c r="A315" s="207" t="s">
        <v>1204</v>
      </c>
      <c r="B315" s="29"/>
      <c r="C315" s="29"/>
      <c r="D315" s="29">
        <v>6000</v>
      </c>
      <c r="E315" s="206">
        <v>0</v>
      </c>
      <c r="F315" s="206">
        <v>0</v>
      </c>
      <c r="G315" s="32" t="s">
        <v>1170</v>
      </c>
      <c r="H315" s="29"/>
      <c r="I315" s="29" t="b">
        <v>0</v>
      </c>
      <c r="J315" s="29" t="b">
        <v>0</v>
      </c>
      <c r="K315" s="29" t="b">
        <v>0</v>
      </c>
      <c r="L315" s="29" t="s">
        <v>55</v>
      </c>
      <c r="M315" s="29" t="s">
        <v>80</v>
      </c>
      <c r="N315" s="29" t="s">
        <v>231</v>
      </c>
      <c r="O315" s="29" t="s">
        <v>1305</v>
      </c>
      <c r="P315" s="7" t="b">
        <v>0</v>
      </c>
      <c r="Q315" s="29" t="b">
        <v>0</v>
      </c>
    </row>
    <row r="316" spans="1:17" x14ac:dyDescent="0.3">
      <c r="A316" s="209" t="s">
        <v>1474</v>
      </c>
      <c r="B316" s="209"/>
      <c r="C316" s="209"/>
      <c r="D316" s="21">
        <v>6000</v>
      </c>
      <c r="E316" s="206">
        <v>0</v>
      </c>
      <c r="F316" s="206">
        <v>0</v>
      </c>
      <c r="G316" s="24" t="s">
        <v>1170</v>
      </c>
      <c r="H316" s="21"/>
      <c r="I316" s="21" t="b">
        <v>0</v>
      </c>
      <c r="J316" s="21" t="b">
        <v>0</v>
      </c>
      <c r="K316" s="21" t="b">
        <v>0</v>
      </c>
      <c r="L316" s="21" t="s">
        <v>55</v>
      </c>
      <c r="M316" s="21" t="s">
        <v>80</v>
      </c>
      <c r="N316" s="21" t="s">
        <v>231</v>
      </c>
      <c r="O316" s="21" t="s">
        <v>1305</v>
      </c>
      <c r="P316" s="21" t="b">
        <v>0</v>
      </c>
      <c r="Q316" s="21" t="b">
        <v>0</v>
      </c>
    </row>
    <row r="317" spans="1:17" x14ac:dyDescent="0.3">
      <c r="A317" s="209" t="s">
        <v>1205</v>
      </c>
      <c r="B317" s="209"/>
      <c r="C317" s="209"/>
      <c r="D317" s="21">
        <v>6000</v>
      </c>
      <c r="E317" s="208">
        <v>0</v>
      </c>
      <c r="F317" s="208">
        <v>0</v>
      </c>
      <c r="G317" s="24" t="s">
        <v>1173</v>
      </c>
      <c r="H317" s="21"/>
      <c r="I317" s="21" t="b">
        <v>0</v>
      </c>
      <c r="J317" s="21" t="b">
        <v>0</v>
      </c>
      <c r="K317" s="21" t="b">
        <v>0</v>
      </c>
      <c r="L317" s="21" t="s">
        <v>55</v>
      </c>
      <c r="M317" s="21" t="s">
        <v>56</v>
      </c>
      <c r="N317" s="21" t="s">
        <v>57</v>
      </c>
      <c r="O317" s="21" t="s">
        <v>1315</v>
      </c>
      <c r="P317" s="21" t="b">
        <v>0</v>
      </c>
      <c r="Q317" s="21" t="b">
        <v>0</v>
      </c>
    </row>
    <row r="318" spans="1:17" x14ac:dyDescent="0.3">
      <c r="A318" s="209" t="s">
        <v>1206</v>
      </c>
      <c r="B318" s="209"/>
      <c r="C318" s="209"/>
      <c r="D318" s="21">
        <v>6000</v>
      </c>
      <c r="E318" s="206">
        <v>0</v>
      </c>
      <c r="F318" s="206">
        <v>0</v>
      </c>
      <c r="G318" s="24" t="s">
        <v>1170</v>
      </c>
      <c r="H318" s="21"/>
      <c r="I318" s="21" t="b">
        <v>0</v>
      </c>
      <c r="J318" s="21" t="b">
        <v>0</v>
      </c>
      <c r="K318" s="21" t="b">
        <v>0</v>
      </c>
      <c r="L318" s="21" t="s">
        <v>55</v>
      </c>
      <c r="M318" s="21" t="s">
        <v>80</v>
      </c>
      <c r="N318" s="21" t="s">
        <v>231</v>
      </c>
      <c r="O318" s="21" t="s">
        <v>1305</v>
      </c>
      <c r="P318" s="21" t="b">
        <v>0</v>
      </c>
      <c r="Q318" s="21" t="b">
        <v>0</v>
      </c>
    </row>
    <row r="319" spans="1:17" x14ac:dyDescent="0.3">
      <c r="A319" s="209" t="s">
        <v>1207</v>
      </c>
      <c r="B319" s="209"/>
      <c r="C319" s="209"/>
      <c r="D319" s="21">
        <v>5000</v>
      </c>
      <c r="E319" s="206">
        <v>0</v>
      </c>
      <c r="F319" s="206">
        <v>0</v>
      </c>
      <c r="G319" s="24" t="s">
        <v>1196</v>
      </c>
      <c r="H319" s="21"/>
      <c r="I319" s="21" t="b">
        <v>0</v>
      </c>
      <c r="J319" s="21" t="b">
        <v>0</v>
      </c>
      <c r="K319" s="21" t="b">
        <v>0</v>
      </c>
      <c r="L319" s="21" t="s">
        <v>51</v>
      </c>
      <c r="M319" s="21" t="s">
        <v>52</v>
      </c>
      <c r="N319" s="21" t="s">
        <v>53</v>
      </c>
      <c r="O319" s="21" t="s">
        <v>1311</v>
      </c>
      <c r="P319" s="21" t="b">
        <v>0</v>
      </c>
      <c r="Q319" s="21" t="b">
        <v>0</v>
      </c>
    </row>
    <row r="320" spans="1:17" x14ac:dyDescent="0.3">
      <c r="A320" s="209" t="s">
        <v>1208</v>
      </c>
      <c r="B320" s="209"/>
      <c r="C320" s="209"/>
      <c r="D320" s="21">
        <v>250</v>
      </c>
      <c r="E320" s="208">
        <v>0</v>
      </c>
      <c r="F320" s="208">
        <v>0</v>
      </c>
      <c r="G320" s="24" t="s">
        <v>1191</v>
      </c>
      <c r="H320" s="21"/>
      <c r="I320" s="21" t="b">
        <v>0</v>
      </c>
      <c r="J320" s="21" t="b">
        <v>0</v>
      </c>
      <c r="K320" s="21" t="b">
        <v>0</v>
      </c>
      <c r="L320" s="21"/>
      <c r="M320" s="21"/>
      <c r="N320" s="21"/>
      <c r="O320" s="21" t="s">
        <v>1301</v>
      </c>
      <c r="P320" s="21" t="b">
        <v>0</v>
      </c>
      <c r="Q320" s="21" t="b">
        <v>0</v>
      </c>
    </row>
    <row r="321" spans="1:17" x14ac:dyDescent="0.3">
      <c r="A321" s="209" t="s">
        <v>1475</v>
      </c>
      <c r="B321" s="209"/>
      <c r="C321" s="209"/>
      <c r="D321" s="21">
        <v>6000</v>
      </c>
      <c r="E321" s="206">
        <v>0</v>
      </c>
      <c r="F321" s="206">
        <v>0</v>
      </c>
      <c r="G321" s="24" t="s">
        <v>1476</v>
      </c>
      <c r="H321" s="21"/>
      <c r="I321" s="21" t="b">
        <v>0</v>
      </c>
      <c r="J321" s="21" t="b">
        <v>0</v>
      </c>
      <c r="K321" s="21" t="b">
        <v>0</v>
      </c>
      <c r="L321" s="21" t="s">
        <v>55</v>
      </c>
      <c r="M321" s="21" t="s">
        <v>80</v>
      </c>
      <c r="N321" s="21" t="s">
        <v>231</v>
      </c>
      <c r="O321" s="21" t="s">
        <v>1305</v>
      </c>
      <c r="P321" s="21" t="b">
        <v>0</v>
      </c>
      <c r="Q321" s="21" t="b">
        <v>0</v>
      </c>
    </row>
    <row r="322" spans="1:17" x14ac:dyDescent="0.3">
      <c r="A322" s="209" t="s">
        <v>1209</v>
      </c>
      <c r="B322" s="209"/>
      <c r="C322" s="209"/>
      <c r="D322" s="21">
        <v>6000</v>
      </c>
      <c r="E322" s="208">
        <v>0</v>
      </c>
      <c r="F322" s="208">
        <v>0</v>
      </c>
      <c r="G322" s="24" t="s">
        <v>1176</v>
      </c>
      <c r="H322" s="21"/>
      <c r="I322" s="21" t="b">
        <v>0</v>
      </c>
      <c r="J322" s="21" t="b">
        <v>0</v>
      </c>
      <c r="K322" s="21" t="b">
        <v>0</v>
      </c>
      <c r="L322" s="21" t="s">
        <v>46</v>
      </c>
      <c r="M322" s="21" t="s">
        <v>162</v>
      </c>
      <c r="N322" s="21" t="s">
        <v>163</v>
      </c>
      <c r="O322" s="21" t="s">
        <v>1299</v>
      </c>
      <c r="P322" s="21" t="b">
        <v>0</v>
      </c>
      <c r="Q322" s="210" t="b">
        <v>1</v>
      </c>
    </row>
    <row r="323" spans="1:17" x14ac:dyDescent="0.3">
      <c r="A323" s="209" t="s">
        <v>1210</v>
      </c>
      <c r="B323" s="209"/>
      <c r="C323" s="209"/>
      <c r="D323" s="21">
        <v>250</v>
      </c>
      <c r="E323" s="206">
        <v>0</v>
      </c>
      <c r="F323" s="206">
        <v>0</v>
      </c>
      <c r="G323" s="24" t="s">
        <v>1191</v>
      </c>
      <c r="H323" s="21"/>
      <c r="I323" s="21" t="b">
        <v>0</v>
      </c>
      <c r="J323" s="21" t="b">
        <v>0</v>
      </c>
      <c r="K323" s="21" t="b">
        <v>0</v>
      </c>
      <c r="L323" s="21"/>
      <c r="M323" s="21"/>
      <c r="N323" s="21"/>
      <c r="O323" s="21" t="s">
        <v>1301</v>
      </c>
      <c r="P323" s="21" t="b">
        <v>0</v>
      </c>
      <c r="Q323" s="21" t="b">
        <v>0</v>
      </c>
    </row>
    <row r="324" spans="1:17" x14ac:dyDescent="0.3">
      <c r="A324" s="209" t="s">
        <v>1477</v>
      </c>
      <c r="B324" s="209"/>
      <c r="C324" s="209"/>
      <c r="D324" s="21">
        <v>6000</v>
      </c>
      <c r="E324" s="206">
        <v>0</v>
      </c>
      <c r="F324" s="206">
        <v>0</v>
      </c>
      <c r="G324" s="24" t="s">
        <v>1176</v>
      </c>
      <c r="H324" s="21"/>
      <c r="I324" s="21" t="b">
        <v>0</v>
      </c>
      <c r="J324" s="21" t="b">
        <v>0</v>
      </c>
      <c r="K324" s="21" t="b">
        <v>0</v>
      </c>
      <c r="L324" s="21" t="s">
        <v>46</v>
      </c>
      <c r="M324" s="21" t="s">
        <v>162</v>
      </c>
      <c r="N324" s="21" t="s">
        <v>163</v>
      </c>
      <c r="O324" s="21" t="s">
        <v>1299</v>
      </c>
      <c r="P324" s="21" t="b">
        <v>0</v>
      </c>
      <c r="Q324" s="210" t="b">
        <v>1</v>
      </c>
    </row>
    <row r="325" spans="1:17" x14ac:dyDescent="0.3">
      <c r="A325" s="207" t="s">
        <v>1211</v>
      </c>
      <c r="B325" s="207"/>
      <c r="C325" s="207"/>
      <c r="D325" s="29">
        <v>6000</v>
      </c>
      <c r="E325" s="211">
        <v>0</v>
      </c>
      <c r="F325" s="211">
        <v>0</v>
      </c>
      <c r="G325" s="32" t="s">
        <v>1196</v>
      </c>
      <c r="H325" s="29"/>
      <c r="I325" s="29" t="b">
        <v>0</v>
      </c>
      <c r="J325" s="29" t="b">
        <v>0</v>
      </c>
      <c r="K325" s="29" t="b">
        <v>0</v>
      </c>
      <c r="L325" s="29" t="s">
        <v>51</v>
      </c>
      <c r="M325" s="29" t="s">
        <v>52</v>
      </c>
      <c r="N325" s="29" t="s">
        <v>53</v>
      </c>
      <c r="O325" s="29" t="s">
        <v>1311</v>
      </c>
      <c r="P325" s="29" t="b">
        <v>0</v>
      </c>
      <c r="Q325" s="29" t="b">
        <v>0</v>
      </c>
    </row>
    <row r="326" spans="1:17" x14ac:dyDescent="0.3">
      <c r="A326" s="207" t="s">
        <v>1212</v>
      </c>
      <c r="B326" s="207"/>
      <c r="C326" s="207"/>
      <c r="D326" s="29">
        <v>6000</v>
      </c>
      <c r="E326" s="72">
        <v>0</v>
      </c>
      <c r="F326" s="72">
        <v>0</v>
      </c>
      <c r="G326" s="32" t="s">
        <v>1170</v>
      </c>
      <c r="H326" s="29"/>
      <c r="I326" s="29" t="b">
        <v>0</v>
      </c>
      <c r="J326" s="29" t="b">
        <v>0</v>
      </c>
      <c r="K326" s="29" t="b">
        <v>0</v>
      </c>
      <c r="L326" s="29" t="s">
        <v>55</v>
      </c>
      <c r="M326" s="29" t="s">
        <v>80</v>
      </c>
      <c r="N326" s="29" t="s">
        <v>231</v>
      </c>
      <c r="O326" s="29" t="s">
        <v>1305</v>
      </c>
      <c r="P326" s="29" t="b">
        <v>0</v>
      </c>
      <c r="Q326" s="29" t="b">
        <v>0</v>
      </c>
    </row>
    <row r="327" spans="1:17" x14ac:dyDescent="0.3">
      <c r="A327" s="207" t="s">
        <v>1213</v>
      </c>
      <c r="B327" s="207"/>
      <c r="C327" s="207"/>
      <c r="D327" s="29">
        <v>6000</v>
      </c>
      <c r="E327" s="72">
        <v>0</v>
      </c>
      <c r="F327" s="72">
        <v>0</v>
      </c>
      <c r="G327" s="32" t="s">
        <v>1183</v>
      </c>
      <c r="H327" s="29"/>
      <c r="I327" s="29" t="b">
        <v>0</v>
      </c>
      <c r="J327" s="29" t="b">
        <v>0</v>
      </c>
      <c r="K327" s="29" t="b">
        <v>0</v>
      </c>
      <c r="L327" s="29" t="s">
        <v>351</v>
      </c>
      <c r="M327" s="29" t="s">
        <v>352</v>
      </c>
      <c r="N327" s="29" t="s">
        <v>353</v>
      </c>
      <c r="O327" s="29" t="s">
        <v>1319</v>
      </c>
      <c r="P327" s="29" t="b">
        <v>0</v>
      </c>
      <c r="Q327" s="29" t="b">
        <v>0</v>
      </c>
    </row>
    <row r="328" spans="1:17" ht="27.75" x14ac:dyDescent="0.3">
      <c r="A328" s="207" t="s">
        <v>1214</v>
      </c>
      <c r="B328" s="207"/>
      <c r="C328" s="207"/>
      <c r="D328" s="29">
        <v>3000</v>
      </c>
      <c r="E328" s="211">
        <v>0</v>
      </c>
      <c r="F328" s="211">
        <v>0</v>
      </c>
      <c r="G328" s="175" t="s">
        <v>1249</v>
      </c>
      <c r="H328" s="29"/>
      <c r="I328" s="29" t="b">
        <v>0</v>
      </c>
      <c r="J328" s="29" t="b">
        <v>0</v>
      </c>
      <c r="K328" s="29" t="b">
        <v>0</v>
      </c>
      <c r="L328" s="29" t="s">
        <v>1201</v>
      </c>
      <c r="M328" s="29" t="s">
        <v>1202</v>
      </c>
      <c r="N328" s="29" t="s">
        <v>1203</v>
      </c>
      <c r="O328" s="29" t="s">
        <v>1322</v>
      </c>
      <c r="P328" s="29" t="b">
        <v>0</v>
      </c>
      <c r="Q328" s="29" t="b">
        <v>0</v>
      </c>
    </row>
    <row r="329" spans="1:17" ht="27.75" x14ac:dyDescent="0.3">
      <c r="A329" s="207" t="s">
        <v>1215</v>
      </c>
      <c r="B329" s="207"/>
      <c r="C329" s="207"/>
      <c r="D329" s="29">
        <v>3000</v>
      </c>
      <c r="E329" s="72">
        <v>0</v>
      </c>
      <c r="F329" s="72">
        <v>0</v>
      </c>
      <c r="G329" s="175" t="s">
        <v>1249</v>
      </c>
      <c r="H329" s="29"/>
      <c r="I329" s="29" t="b">
        <v>0</v>
      </c>
      <c r="J329" s="29" t="b">
        <v>0</v>
      </c>
      <c r="K329" s="29" t="b">
        <v>0</v>
      </c>
      <c r="L329" s="29" t="s">
        <v>1201</v>
      </c>
      <c r="M329" s="29" t="s">
        <v>1202</v>
      </c>
      <c r="N329" s="29" t="s">
        <v>1203</v>
      </c>
      <c r="O329" s="29" t="s">
        <v>1322</v>
      </c>
      <c r="P329" s="29" t="b">
        <v>0</v>
      </c>
      <c r="Q329" s="29" t="b">
        <v>0</v>
      </c>
    </row>
    <row r="330" spans="1:17" x14ac:dyDescent="0.3">
      <c r="A330" s="207" t="s">
        <v>1216</v>
      </c>
      <c r="B330" s="207"/>
      <c r="C330" s="207"/>
      <c r="D330" s="29">
        <v>6000</v>
      </c>
      <c r="E330" s="72">
        <v>0</v>
      </c>
      <c r="F330" s="72">
        <v>0</v>
      </c>
      <c r="G330" s="32" t="s">
        <v>1183</v>
      </c>
      <c r="H330" s="29"/>
      <c r="I330" s="29" t="b">
        <v>0</v>
      </c>
      <c r="J330" s="29" t="b">
        <v>0</v>
      </c>
      <c r="K330" s="29" t="b">
        <v>0</v>
      </c>
      <c r="L330" s="29" t="s">
        <v>351</v>
      </c>
      <c r="M330" s="29" t="s">
        <v>352</v>
      </c>
      <c r="N330" s="29" t="s">
        <v>353</v>
      </c>
      <c r="O330" s="29" t="s">
        <v>1319</v>
      </c>
      <c r="P330" s="29" t="b">
        <v>0</v>
      </c>
      <c r="Q330" s="29" t="b">
        <v>0</v>
      </c>
    </row>
    <row r="331" spans="1:17" x14ac:dyDescent="0.3">
      <c r="A331" s="207" t="s">
        <v>1217</v>
      </c>
      <c r="B331" s="207"/>
      <c r="C331" s="207"/>
      <c r="D331" s="29">
        <v>6000</v>
      </c>
      <c r="E331" s="211">
        <v>0</v>
      </c>
      <c r="F331" s="211">
        <v>0</v>
      </c>
      <c r="G331" s="32" t="s">
        <v>1183</v>
      </c>
      <c r="H331" s="29"/>
      <c r="I331" s="29" t="b">
        <v>0</v>
      </c>
      <c r="J331" s="29" t="b">
        <v>0</v>
      </c>
      <c r="K331" s="29" t="b">
        <v>0</v>
      </c>
      <c r="L331" s="29" t="s">
        <v>351</v>
      </c>
      <c r="M331" s="29" t="s">
        <v>352</v>
      </c>
      <c r="N331" s="29" t="s">
        <v>353</v>
      </c>
      <c r="O331" s="29" t="s">
        <v>1319</v>
      </c>
      <c r="P331" s="29" t="b">
        <v>0</v>
      </c>
      <c r="Q331" s="29" t="b">
        <v>0</v>
      </c>
    </row>
    <row r="332" spans="1:17" x14ac:dyDescent="0.3">
      <c r="A332" s="207" t="s">
        <v>1218</v>
      </c>
      <c r="B332" s="207"/>
      <c r="C332" s="207"/>
      <c r="D332" s="29">
        <v>6000</v>
      </c>
      <c r="E332" s="72">
        <v>0</v>
      </c>
      <c r="F332" s="72">
        <v>0</v>
      </c>
      <c r="G332" s="32" t="s">
        <v>1466</v>
      </c>
      <c r="H332" s="29"/>
      <c r="I332" s="29" t="b">
        <v>0</v>
      </c>
      <c r="J332" s="29" t="b">
        <v>0</v>
      </c>
      <c r="K332" s="29" t="b">
        <v>0</v>
      </c>
      <c r="L332" s="29" t="s">
        <v>351</v>
      </c>
      <c r="M332" s="29" t="s">
        <v>352</v>
      </c>
      <c r="N332" s="29" t="s">
        <v>353</v>
      </c>
      <c r="O332" s="29" t="s">
        <v>1319</v>
      </c>
      <c r="P332" s="29" t="b">
        <v>0</v>
      </c>
      <c r="Q332" s="29" t="b">
        <v>0</v>
      </c>
    </row>
    <row r="333" spans="1:17" x14ac:dyDescent="0.3">
      <c r="A333" s="207" t="s">
        <v>1219</v>
      </c>
      <c r="B333" s="207"/>
      <c r="C333" s="207"/>
      <c r="D333" s="29">
        <v>250</v>
      </c>
      <c r="E333" s="72">
        <v>0</v>
      </c>
      <c r="F333" s="72">
        <v>0</v>
      </c>
      <c r="G333" s="32" t="s">
        <v>1191</v>
      </c>
      <c r="H333" s="29"/>
      <c r="I333" s="29" t="b">
        <v>0</v>
      </c>
      <c r="J333" s="29" t="b">
        <v>0</v>
      </c>
      <c r="K333" s="29" t="b">
        <v>0</v>
      </c>
      <c r="L333" s="29"/>
      <c r="M333" s="29"/>
      <c r="N333" s="29"/>
      <c r="O333" s="29" t="s">
        <v>1301</v>
      </c>
      <c r="P333" s="29" t="b">
        <v>0</v>
      </c>
      <c r="Q333" s="29" t="b">
        <v>0</v>
      </c>
    </row>
    <row r="334" spans="1:17" x14ac:dyDescent="0.3">
      <c r="A334" s="209" t="s">
        <v>1220</v>
      </c>
      <c r="B334" s="209"/>
      <c r="C334" s="209"/>
      <c r="D334" s="21">
        <v>6000</v>
      </c>
      <c r="E334" s="210">
        <v>0</v>
      </c>
      <c r="F334" s="210">
        <v>0</v>
      </c>
      <c r="G334" s="24" t="s">
        <v>1465</v>
      </c>
      <c r="H334" s="21"/>
      <c r="I334" s="21" t="b">
        <v>0</v>
      </c>
      <c r="J334" s="21" t="b">
        <v>0</v>
      </c>
      <c r="K334" s="21" t="b">
        <v>0</v>
      </c>
      <c r="L334" s="21" t="s">
        <v>51</v>
      </c>
      <c r="M334" s="21" t="s">
        <v>52</v>
      </c>
      <c r="N334" s="21" t="s">
        <v>53</v>
      </c>
      <c r="O334" s="21" t="s">
        <v>1311</v>
      </c>
      <c r="P334" s="21" t="b">
        <v>0</v>
      </c>
      <c r="Q334" s="21" t="b">
        <v>0</v>
      </c>
    </row>
    <row r="335" spans="1:17" x14ac:dyDescent="0.3">
      <c r="A335" s="209" t="s">
        <v>1221</v>
      </c>
      <c r="B335" s="209"/>
      <c r="C335" s="209"/>
      <c r="D335" s="21">
        <v>6000</v>
      </c>
      <c r="E335" s="76">
        <v>0</v>
      </c>
      <c r="F335" s="76">
        <v>0</v>
      </c>
      <c r="G335" s="24" t="s">
        <v>1176</v>
      </c>
      <c r="H335" s="21"/>
      <c r="I335" s="21" t="b">
        <v>0</v>
      </c>
      <c r="J335" s="21" t="b">
        <v>0</v>
      </c>
      <c r="K335" s="21" t="b">
        <v>0</v>
      </c>
      <c r="L335" s="21" t="s">
        <v>46</v>
      </c>
      <c r="M335" s="21" t="s">
        <v>162</v>
      </c>
      <c r="N335" s="21" t="s">
        <v>163</v>
      </c>
      <c r="O335" s="21" t="s">
        <v>1299</v>
      </c>
      <c r="P335" s="21" t="b">
        <v>0</v>
      </c>
      <c r="Q335" s="210" t="b">
        <v>1</v>
      </c>
    </row>
    <row r="336" spans="1:17" x14ac:dyDescent="0.3">
      <c r="A336" s="212" t="s">
        <v>1478</v>
      </c>
      <c r="B336" s="209"/>
      <c r="C336" s="209"/>
      <c r="D336" s="21">
        <v>6000</v>
      </c>
      <c r="E336" s="206">
        <v>0</v>
      </c>
      <c r="F336" s="206">
        <v>0</v>
      </c>
      <c r="G336" s="24" t="s">
        <v>1196</v>
      </c>
      <c r="H336" s="21"/>
      <c r="I336" s="21" t="b">
        <v>0</v>
      </c>
      <c r="J336" s="21" t="b">
        <v>0</v>
      </c>
      <c r="K336" s="21" t="b">
        <v>0</v>
      </c>
      <c r="L336" s="21" t="s">
        <v>51</v>
      </c>
      <c r="M336" s="21" t="s">
        <v>52</v>
      </c>
      <c r="N336" s="21" t="s">
        <v>53</v>
      </c>
      <c r="O336" s="21" t="s">
        <v>1311</v>
      </c>
      <c r="P336" s="21" t="b">
        <v>0</v>
      </c>
      <c r="Q336" s="21" t="b">
        <v>0</v>
      </c>
    </row>
    <row r="337" spans="1:17" x14ac:dyDescent="0.3">
      <c r="A337" s="209" t="s">
        <v>1222</v>
      </c>
      <c r="B337" s="209"/>
      <c r="C337" s="209"/>
      <c r="D337" s="21">
        <v>250</v>
      </c>
      <c r="E337" s="210">
        <v>0</v>
      </c>
      <c r="F337" s="210">
        <v>0</v>
      </c>
      <c r="G337" s="24" t="s">
        <v>1191</v>
      </c>
      <c r="H337" s="21"/>
      <c r="I337" s="21" t="b">
        <v>0</v>
      </c>
      <c r="J337" s="21" t="b">
        <v>0</v>
      </c>
      <c r="K337" s="21" t="b">
        <v>0</v>
      </c>
      <c r="L337" s="21"/>
      <c r="M337" s="21"/>
      <c r="N337" s="21"/>
      <c r="O337" s="21" t="s">
        <v>1301</v>
      </c>
      <c r="P337" s="21" t="b">
        <v>0</v>
      </c>
      <c r="Q337" s="21" t="b">
        <v>0</v>
      </c>
    </row>
    <row r="338" spans="1:17" x14ac:dyDescent="0.3">
      <c r="A338" s="212" t="s">
        <v>1479</v>
      </c>
      <c r="B338" s="212"/>
      <c r="C338" s="212"/>
      <c r="D338" s="213">
        <v>6000</v>
      </c>
      <c r="E338" s="206">
        <v>0</v>
      </c>
      <c r="F338" s="206">
        <v>0</v>
      </c>
      <c r="G338" s="214" t="s">
        <v>1183</v>
      </c>
      <c r="H338" s="213"/>
      <c r="I338" s="213" t="b">
        <v>0</v>
      </c>
      <c r="J338" s="213" t="b">
        <v>0</v>
      </c>
      <c r="K338" s="213" t="b">
        <v>0</v>
      </c>
      <c r="L338" s="213" t="s">
        <v>351</v>
      </c>
      <c r="M338" s="213" t="s">
        <v>352</v>
      </c>
      <c r="N338" s="213" t="s">
        <v>353</v>
      </c>
      <c r="O338" s="213" t="s">
        <v>1319</v>
      </c>
      <c r="P338" s="213" t="b">
        <v>0</v>
      </c>
      <c r="Q338" s="213" t="b">
        <v>0</v>
      </c>
    </row>
    <row r="339" spans="1:17" x14ac:dyDescent="0.3">
      <c r="A339" s="209" t="s">
        <v>1223</v>
      </c>
      <c r="B339" s="209"/>
      <c r="C339" s="209"/>
      <c r="D339" s="213">
        <v>6000</v>
      </c>
      <c r="E339" s="76">
        <v>0</v>
      </c>
      <c r="F339" s="76">
        <v>0</v>
      </c>
      <c r="G339" s="24" t="s">
        <v>1196</v>
      </c>
      <c r="H339" s="21"/>
      <c r="I339" s="21" t="b">
        <v>0</v>
      </c>
      <c r="J339" s="21" t="b">
        <v>0</v>
      </c>
      <c r="K339" s="21" t="b">
        <v>0</v>
      </c>
      <c r="L339" s="21" t="s">
        <v>51</v>
      </c>
      <c r="M339" s="21" t="s">
        <v>52</v>
      </c>
      <c r="N339" s="21" t="s">
        <v>53</v>
      </c>
      <c r="O339" s="21" t="s">
        <v>1311</v>
      </c>
      <c r="P339" s="21" t="b">
        <v>0</v>
      </c>
      <c r="Q339" s="21" t="b">
        <v>0</v>
      </c>
    </row>
    <row r="340" spans="1:17" x14ac:dyDescent="0.3">
      <c r="A340" s="209" t="s">
        <v>1224</v>
      </c>
      <c r="B340" s="209"/>
      <c r="C340" s="209"/>
      <c r="D340" s="213">
        <v>6000</v>
      </c>
      <c r="E340" s="210">
        <v>0</v>
      </c>
      <c r="F340" s="210">
        <v>0</v>
      </c>
      <c r="G340" s="24" t="s">
        <v>1176</v>
      </c>
      <c r="H340" s="21"/>
      <c r="I340" s="21" t="b">
        <v>0</v>
      </c>
      <c r="J340" s="21" t="b">
        <v>0</v>
      </c>
      <c r="K340" s="21" t="b">
        <v>0</v>
      </c>
      <c r="L340" s="21" t="s">
        <v>46</v>
      </c>
      <c r="M340" s="21" t="s">
        <v>162</v>
      </c>
      <c r="N340" s="21" t="s">
        <v>163</v>
      </c>
      <c r="O340" s="21" t="s">
        <v>1299</v>
      </c>
      <c r="P340" s="21" t="b">
        <v>0</v>
      </c>
      <c r="Q340" s="210" t="b">
        <v>1</v>
      </c>
    </row>
    <row r="341" spans="1:17" x14ac:dyDescent="0.3">
      <c r="A341" s="207" t="s">
        <v>1225</v>
      </c>
      <c r="B341" s="207"/>
      <c r="C341" s="207"/>
      <c r="D341" s="29">
        <v>6000</v>
      </c>
      <c r="E341" s="72">
        <v>0</v>
      </c>
      <c r="F341" s="72">
        <v>0</v>
      </c>
      <c r="G341" s="32" t="s">
        <v>1173</v>
      </c>
      <c r="H341" s="29"/>
      <c r="I341" s="29" t="b">
        <v>0</v>
      </c>
      <c r="J341" s="29" t="b">
        <v>0</v>
      </c>
      <c r="K341" s="29" t="b">
        <v>0</v>
      </c>
      <c r="L341" s="29" t="s">
        <v>55</v>
      </c>
      <c r="M341" s="29" t="s">
        <v>56</v>
      </c>
      <c r="N341" s="29" t="s">
        <v>57</v>
      </c>
      <c r="O341" s="29" t="s">
        <v>1315</v>
      </c>
      <c r="P341" s="29" t="b">
        <v>0</v>
      </c>
      <c r="Q341" s="29" t="b">
        <v>0</v>
      </c>
    </row>
    <row r="342" spans="1:17" x14ac:dyDescent="0.3">
      <c r="A342" s="207" t="s">
        <v>1226</v>
      </c>
      <c r="B342" s="207"/>
      <c r="C342" s="207"/>
      <c r="D342" s="29">
        <v>6000</v>
      </c>
      <c r="E342" s="72">
        <v>0</v>
      </c>
      <c r="F342" s="72">
        <v>0</v>
      </c>
      <c r="G342" s="32" t="s">
        <v>1183</v>
      </c>
      <c r="H342" s="29"/>
      <c r="I342" s="29" t="b">
        <v>0</v>
      </c>
      <c r="J342" s="29" t="b">
        <v>0</v>
      </c>
      <c r="K342" s="29" t="b">
        <v>0</v>
      </c>
      <c r="L342" s="29" t="s">
        <v>351</v>
      </c>
      <c r="M342" s="29" t="s">
        <v>352</v>
      </c>
      <c r="N342" s="29" t="s">
        <v>353</v>
      </c>
      <c r="O342" s="29" t="s">
        <v>1319</v>
      </c>
      <c r="P342" s="29" t="b">
        <v>0</v>
      </c>
      <c r="Q342" s="29" t="b">
        <v>0</v>
      </c>
    </row>
    <row r="343" spans="1:17" x14ac:dyDescent="0.3">
      <c r="A343" s="207" t="s">
        <v>1227</v>
      </c>
      <c r="B343" s="207"/>
      <c r="C343" s="207"/>
      <c r="D343" s="29">
        <v>250</v>
      </c>
      <c r="E343" s="211">
        <v>0</v>
      </c>
      <c r="F343" s="211">
        <v>0</v>
      </c>
      <c r="G343" s="32" t="s">
        <v>1191</v>
      </c>
      <c r="H343" s="29"/>
      <c r="I343" s="29" t="b">
        <v>0</v>
      </c>
      <c r="J343" s="29" t="b">
        <v>0</v>
      </c>
      <c r="K343" s="29" t="b">
        <v>0</v>
      </c>
      <c r="L343" s="29"/>
      <c r="M343" s="29"/>
      <c r="N343" s="29"/>
      <c r="O343" s="29" t="s">
        <v>1301</v>
      </c>
      <c r="P343" s="29" t="b">
        <v>0</v>
      </c>
      <c r="Q343" s="29" t="b">
        <v>0</v>
      </c>
    </row>
    <row r="344" spans="1:17" x14ac:dyDescent="0.3">
      <c r="A344" s="207" t="s">
        <v>1480</v>
      </c>
      <c r="B344" s="207"/>
      <c r="C344" s="207"/>
      <c r="D344" s="29">
        <v>6000</v>
      </c>
      <c r="E344" s="72">
        <v>0</v>
      </c>
      <c r="F344" s="72">
        <v>0</v>
      </c>
      <c r="G344" s="32" t="s">
        <v>1183</v>
      </c>
      <c r="H344" s="29"/>
      <c r="I344" s="29" t="b">
        <v>0</v>
      </c>
      <c r="J344" s="29" t="b">
        <v>0</v>
      </c>
      <c r="K344" s="29" t="b">
        <v>0</v>
      </c>
      <c r="L344" s="29" t="s">
        <v>351</v>
      </c>
      <c r="M344" s="29" t="s">
        <v>352</v>
      </c>
      <c r="N344" s="29" t="s">
        <v>353</v>
      </c>
      <c r="O344" s="29" t="s">
        <v>1319</v>
      </c>
      <c r="P344" s="29" t="b">
        <v>0</v>
      </c>
      <c r="Q344" s="29" t="b">
        <v>0</v>
      </c>
    </row>
    <row r="345" spans="1:17" x14ac:dyDescent="0.3">
      <c r="A345" s="207" t="s">
        <v>1228</v>
      </c>
      <c r="B345" s="207"/>
      <c r="C345" s="207"/>
      <c r="D345" s="29">
        <v>6000</v>
      </c>
      <c r="E345" s="72">
        <v>0</v>
      </c>
      <c r="F345" s="72">
        <v>0</v>
      </c>
      <c r="G345" s="32" t="s">
        <v>1183</v>
      </c>
      <c r="H345" s="29"/>
      <c r="I345" s="29" t="b">
        <v>0</v>
      </c>
      <c r="J345" s="29" t="b">
        <v>0</v>
      </c>
      <c r="K345" s="29" t="b">
        <v>0</v>
      </c>
      <c r="L345" s="29" t="s">
        <v>351</v>
      </c>
      <c r="M345" s="29" t="s">
        <v>352</v>
      </c>
      <c r="N345" s="29" t="s">
        <v>353</v>
      </c>
      <c r="O345" s="29" t="s">
        <v>1319</v>
      </c>
      <c r="P345" s="29" t="b">
        <v>0</v>
      </c>
      <c r="Q345" s="29" t="b">
        <v>0</v>
      </c>
    </row>
    <row r="346" spans="1:17" x14ac:dyDescent="0.3">
      <c r="A346" s="207" t="s">
        <v>1229</v>
      </c>
      <c r="B346" s="207"/>
      <c r="C346" s="207"/>
      <c r="D346" s="29">
        <v>250</v>
      </c>
      <c r="E346" s="211">
        <v>0</v>
      </c>
      <c r="F346" s="211">
        <v>0</v>
      </c>
      <c r="G346" s="32" t="s">
        <v>1191</v>
      </c>
      <c r="H346" s="29"/>
      <c r="I346" s="29" t="b">
        <v>0</v>
      </c>
      <c r="J346" s="29" t="b">
        <v>0</v>
      </c>
      <c r="K346" s="29" t="b">
        <v>0</v>
      </c>
      <c r="L346" s="29"/>
      <c r="M346" s="29"/>
      <c r="N346" s="29"/>
      <c r="O346" s="29" t="s">
        <v>1301</v>
      </c>
      <c r="P346" s="29" t="b">
        <v>0</v>
      </c>
      <c r="Q346" s="29" t="b">
        <v>0</v>
      </c>
    </row>
    <row r="347" spans="1:17" x14ac:dyDescent="0.3">
      <c r="A347" s="207" t="s">
        <v>1481</v>
      </c>
      <c r="B347" s="207"/>
      <c r="C347" s="207"/>
      <c r="D347" s="29">
        <v>6000</v>
      </c>
      <c r="E347" s="72">
        <v>0</v>
      </c>
      <c r="F347" s="72">
        <v>0</v>
      </c>
      <c r="G347" s="32" t="s">
        <v>1476</v>
      </c>
      <c r="H347" s="29"/>
      <c r="I347" s="29" t="b">
        <v>0</v>
      </c>
      <c r="J347" s="29" t="b">
        <v>0</v>
      </c>
      <c r="K347" s="29" t="b">
        <v>0</v>
      </c>
      <c r="L347" s="29" t="s">
        <v>55</v>
      </c>
      <c r="M347" s="29" t="s">
        <v>80</v>
      </c>
      <c r="N347" s="29" t="s">
        <v>231</v>
      </c>
      <c r="O347" s="29" t="s">
        <v>1305</v>
      </c>
      <c r="P347" s="29" t="b">
        <v>0</v>
      </c>
      <c r="Q347" s="29" t="b">
        <v>0</v>
      </c>
    </row>
    <row r="348" spans="1:17" x14ac:dyDescent="0.3">
      <c r="A348" s="207" t="s">
        <v>1230</v>
      </c>
      <c r="B348" s="207"/>
      <c r="C348" s="207"/>
      <c r="D348" s="29">
        <v>6000</v>
      </c>
      <c r="E348" s="72">
        <v>0</v>
      </c>
      <c r="F348" s="72">
        <v>0</v>
      </c>
      <c r="G348" s="32" t="s">
        <v>1183</v>
      </c>
      <c r="H348" s="29"/>
      <c r="I348" s="29" t="b">
        <v>0</v>
      </c>
      <c r="J348" s="29" t="b">
        <v>0</v>
      </c>
      <c r="K348" s="29" t="b">
        <v>0</v>
      </c>
      <c r="L348" s="29" t="s">
        <v>351</v>
      </c>
      <c r="M348" s="29" t="s">
        <v>352</v>
      </c>
      <c r="N348" s="29" t="s">
        <v>353</v>
      </c>
      <c r="O348" s="29" t="s">
        <v>1319</v>
      </c>
      <c r="P348" s="29" t="b">
        <v>0</v>
      </c>
      <c r="Q348" s="29" t="b">
        <v>0</v>
      </c>
    </row>
    <row r="349" spans="1:17" x14ac:dyDescent="0.3">
      <c r="G349"/>
    </row>
    <row r="350" spans="1:17" x14ac:dyDescent="0.3">
      <c r="G350"/>
    </row>
    <row r="351" spans="1:17" x14ac:dyDescent="0.3">
      <c r="G351"/>
    </row>
    <row r="352" spans="1:17" x14ac:dyDescent="0.3">
      <c r="G352"/>
    </row>
  </sheetData>
  <phoneticPr fontId="2" type="noConversion"/>
  <conditionalFormatting sqref="A1:A1048576">
    <cfRule type="duplicateValues" dxfId="36" priority="448"/>
  </conditionalFormatting>
  <conditionalFormatting sqref="A1:Q352">
    <cfRule type="containsBlanks" dxfId="35" priority="349">
      <formula>LEN(TRIM(A1))=0</formula>
    </cfRule>
    <cfRule type="cellIs" dxfId="34" priority="449" operator="equal">
      <formula>0</formula>
    </cfRule>
    <cfRule type="cellIs" dxfId="33" priority="450" operator="equal">
      <formula>FALSE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99"/>
  <sheetViews>
    <sheetView zoomScale="85" zoomScaleNormal="85" workbookViewId="0">
      <pane xSplit="3" ySplit="4" topLeftCell="J263" activePane="bottomRight" state="frozen"/>
      <selection pane="topRight" activeCell="D1" sqref="D1"/>
      <selection pane="bottomLeft" activeCell="A4" sqref="A4"/>
      <selection pane="bottomRight" activeCell="J275" sqref="J275:K275"/>
    </sheetView>
  </sheetViews>
  <sheetFormatPr defaultRowHeight="16.5" x14ac:dyDescent="0.3"/>
  <cols>
    <col min="1" max="1" width="62.625" style="18" customWidth="1"/>
    <col min="2" max="2" width="16.875" customWidth="1"/>
    <col min="3" max="3" width="20.375" customWidth="1"/>
    <col min="4" max="4" width="9.25" bestFit="1" customWidth="1"/>
    <col min="5" max="5" width="16.875" customWidth="1"/>
    <col min="6" max="6" width="15.625" customWidth="1"/>
    <col min="7" max="7" width="8.625" bestFit="1" customWidth="1"/>
    <col min="8" max="10" width="15.625" customWidth="1"/>
    <col min="11" max="11" width="23.25" customWidth="1"/>
    <col min="12" max="12" width="51.125" customWidth="1"/>
    <col min="13" max="13" width="15.625" customWidth="1"/>
    <col min="14" max="14" width="56.375" customWidth="1"/>
    <col min="15" max="15" width="8.5" bestFit="1" customWidth="1"/>
    <col min="16" max="16" width="8.375" bestFit="1" customWidth="1"/>
    <col min="17" max="17" width="8.75" bestFit="1" customWidth="1"/>
    <col min="18" max="18" width="8.875" bestFit="1" customWidth="1"/>
    <col min="19" max="19" width="8.75" bestFit="1" customWidth="1"/>
    <col min="20" max="20" width="8.75" customWidth="1"/>
  </cols>
  <sheetData>
    <row r="1" spans="1:18" ht="27" x14ac:dyDescent="0.3">
      <c r="A1" s="5" t="s">
        <v>0</v>
      </c>
      <c r="B1" s="1" t="s">
        <v>1</v>
      </c>
      <c r="C1" s="1" t="s">
        <v>1375</v>
      </c>
      <c r="D1" s="1" t="s">
        <v>1364</v>
      </c>
      <c r="E1" s="1" t="s">
        <v>1376</v>
      </c>
      <c r="F1" s="2" t="s">
        <v>1365</v>
      </c>
      <c r="G1" s="2" t="s">
        <v>1366</v>
      </c>
      <c r="H1" s="2" t="s">
        <v>916</v>
      </c>
      <c r="I1" s="2" t="s">
        <v>1367</v>
      </c>
      <c r="J1" s="152" t="s">
        <v>915</v>
      </c>
      <c r="K1" s="152" t="s">
        <v>916</v>
      </c>
      <c r="L1" s="152" t="s">
        <v>1368</v>
      </c>
      <c r="M1" s="152" t="s">
        <v>1369</v>
      </c>
      <c r="N1" s="6" t="s">
        <v>794</v>
      </c>
      <c r="O1" s="5" t="s">
        <v>1370</v>
      </c>
      <c r="P1" s="5" t="s">
        <v>796</v>
      </c>
      <c r="Q1" s="5" t="s">
        <v>1371</v>
      </c>
      <c r="R1" s="6" t="s">
        <v>1372</v>
      </c>
    </row>
    <row r="2" spans="1:18" x14ac:dyDescent="0.3">
      <c r="A2" s="5" t="s">
        <v>17</v>
      </c>
      <c r="B2" s="1" t="s">
        <v>18</v>
      </c>
      <c r="C2" s="1" t="s">
        <v>19</v>
      </c>
      <c r="D2" s="1" t="s">
        <v>1373</v>
      </c>
      <c r="E2" s="1" t="s">
        <v>1374</v>
      </c>
      <c r="F2" s="2" t="s">
        <v>466</v>
      </c>
      <c r="G2" s="2" t="s">
        <v>467</v>
      </c>
      <c r="H2" s="2" t="s">
        <v>468</v>
      </c>
      <c r="I2" s="2" t="s">
        <v>469</v>
      </c>
      <c r="J2" s="152" t="s">
        <v>1360</v>
      </c>
      <c r="K2" s="152" t="s">
        <v>1361</v>
      </c>
      <c r="L2" s="152" t="s">
        <v>1362</v>
      </c>
      <c r="M2" s="152" t="s">
        <v>1363</v>
      </c>
      <c r="N2" s="6" t="s">
        <v>470</v>
      </c>
      <c r="O2" s="5" t="s">
        <v>471</v>
      </c>
      <c r="P2" s="5" t="s">
        <v>472</v>
      </c>
      <c r="Q2" s="5" t="s">
        <v>30</v>
      </c>
      <c r="R2" s="6" t="s">
        <v>473</v>
      </c>
    </row>
    <row r="3" spans="1:18" x14ac:dyDescent="0.3">
      <c r="A3" s="5" t="s">
        <v>34</v>
      </c>
      <c r="B3" s="1" t="s">
        <v>35</v>
      </c>
      <c r="C3" s="1" t="s">
        <v>36</v>
      </c>
      <c r="D3" s="1" t="s">
        <v>37</v>
      </c>
      <c r="E3" s="1" t="s">
        <v>1401</v>
      </c>
      <c r="F3" s="2" t="s">
        <v>466</v>
      </c>
      <c r="G3" s="2" t="s">
        <v>467</v>
      </c>
      <c r="H3" s="2" t="s">
        <v>474</v>
      </c>
      <c r="I3" s="2" t="s">
        <v>37</v>
      </c>
      <c r="J3" s="152" t="s">
        <v>908</v>
      </c>
      <c r="K3" s="152" t="s">
        <v>912</v>
      </c>
      <c r="L3" s="152" t="s">
        <v>912</v>
      </c>
      <c r="M3" s="152" t="s">
        <v>912</v>
      </c>
      <c r="N3" s="6" t="s">
        <v>475</v>
      </c>
      <c r="O3" s="5" t="s">
        <v>37</v>
      </c>
      <c r="P3" s="5" t="s">
        <v>37</v>
      </c>
      <c r="Q3" s="5" t="s">
        <v>36</v>
      </c>
      <c r="R3" s="6" t="s">
        <v>40</v>
      </c>
    </row>
    <row r="4" spans="1:18" x14ac:dyDescent="0.3">
      <c r="A4" s="5" t="s">
        <v>42</v>
      </c>
      <c r="B4" s="1" t="s">
        <v>42</v>
      </c>
      <c r="C4" s="1" t="s">
        <v>42</v>
      </c>
      <c r="D4" s="1" t="s">
        <v>42</v>
      </c>
      <c r="E4" s="1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152" t="s">
        <v>910</v>
      </c>
      <c r="K4" s="152" t="s">
        <v>909</v>
      </c>
      <c r="L4" s="152" t="s">
        <v>909</v>
      </c>
      <c r="M4" s="152" t="s">
        <v>909</v>
      </c>
      <c r="N4" s="6" t="s">
        <v>42</v>
      </c>
      <c r="O4" s="5" t="s">
        <v>42</v>
      </c>
      <c r="P4" s="5" t="s">
        <v>42</v>
      </c>
      <c r="Q4" s="5" t="s">
        <v>43</v>
      </c>
      <c r="R4" s="6" t="s">
        <v>42</v>
      </c>
    </row>
    <row r="5" spans="1:18" x14ac:dyDescent="0.3">
      <c r="A5" s="19" t="s">
        <v>45</v>
      </c>
      <c r="B5" s="8"/>
      <c r="C5" s="8"/>
      <c r="D5" s="8">
        <v>0</v>
      </c>
      <c r="E5" s="8">
        <v>1</v>
      </c>
      <c r="F5" s="8" t="s">
        <v>476</v>
      </c>
      <c r="G5" s="8" t="s">
        <v>477</v>
      </c>
      <c r="H5" s="8"/>
      <c r="I5" s="8">
        <v>0</v>
      </c>
      <c r="J5" s="8" t="s">
        <v>503</v>
      </c>
      <c r="K5" s="8" t="s">
        <v>844</v>
      </c>
      <c r="L5" s="8">
        <v>100</v>
      </c>
      <c r="M5" s="8"/>
      <c r="N5" s="8" t="str">
        <f t="shared" ref="N5:N71" si="0">J5&amp;"("&amp;IF(K5="","",K5)&amp;IF(L5="","",", "&amp;L5)&amp;IF(M5="","",", "&amp;M5)&amp;")"</f>
        <v>Poison(Attack, 100)</v>
      </c>
      <c r="O5" s="8">
        <v>0</v>
      </c>
      <c r="P5" s="8">
        <v>1000</v>
      </c>
      <c r="Q5" s="8"/>
      <c r="R5" s="9" t="b">
        <v>1</v>
      </c>
    </row>
    <row r="6" spans="1:18" x14ac:dyDescent="0.3">
      <c r="A6" s="19" t="s">
        <v>48</v>
      </c>
      <c r="B6" s="8"/>
      <c r="C6" s="8"/>
      <c r="D6" s="8">
        <v>0</v>
      </c>
      <c r="E6" s="8">
        <v>1</v>
      </c>
      <c r="F6" s="8" t="s">
        <v>476</v>
      </c>
      <c r="G6" s="8" t="s">
        <v>477</v>
      </c>
      <c r="H6" s="8"/>
      <c r="I6" s="8">
        <v>0</v>
      </c>
      <c r="J6" s="8" t="s">
        <v>501</v>
      </c>
      <c r="K6" s="8" t="s">
        <v>844</v>
      </c>
      <c r="L6" s="8">
        <v>200</v>
      </c>
      <c r="M6" s="8"/>
      <c r="N6" s="8" t="str">
        <f t="shared" si="0"/>
        <v>Burn(Attack, 200)</v>
      </c>
      <c r="O6" s="8">
        <v>0</v>
      </c>
      <c r="P6" s="8">
        <v>1000</v>
      </c>
      <c r="Q6" s="8"/>
      <c r="R6" s="9" t="b">
        <v>1</v>
      </c>
    </row>
    <row r="7" spans="1:18" x14ac:dyDescent="0.3">
      <c r="A7" s="19" t="s">
        <v>50</v>
      </c>
      <c r="B7" s="8"/>
      <c r="C7" s="8"/>
      <c r="D7" s="8">
        <v>0</v>
      </c>
      <c r="E7" s="8">
        <v>1</v>
      </c>
      <c r="F7" s="8" t="s">
        <v>476</v>
      </c>
      <c r="G7" s="8" t="s">
        <v>477</v>
      </c>
      <c r="H7" s="8"/>
      <c r="I7" s="8">
        <v>0</v>
      </c>
      <c r="J7" s="8" t="s">
        <v>505</v>
      </c>
      <c r="K7" s="8" t="s">
        <v>845</v>
      </c>
      <c r="L7" s="8">
        <v>20</v>
      </c>
      <c r="M7" s="8"/>
      <c r="N7" s="8" t="str">
        <f t="shared" si="0"/>
        <v>Bleed(MaxHp, 20)</v>
      </c>
      <c r="O7" s="8">
        <v>0</v>
      </c>
      <c r="P7" s="8">
        <v>1000</v>
      </c>
      <c r="Q7" s="8"/>
      <c r="R7" s="9" t="b">
        <v>1</v>
      </c>
    </row>
    <row r="8" spans="1:18" x14ac:dyDescent="0.3">
      <c r="A8" s="19" t="s">
        <v>478</v>
      </c>
      <c r="B8" s="8"/>
      <c r="C8" s="8"/>
      <c r="D8" s="8">
        <v>0</v>
      </c>
      <c r="E8" s="8">
        <v>1</v>
      </c>
      <c r="F8" s="8" t="s">
        <v>476</v>
      </c>
      <c r="G8" s="8" t="s">
        <v>477</v>
      </c>
      <c r="H8" s="8"/>
      <c r="I8" s="8">
        <v>0</v>
      </c>
      <c r="J8" s="8" t="s">
        <v>846</v>
      </c>
      <c r="K8" s="8" t="s">
        <v>847</v>
      </c>
      <c r="L8" s="8">
        <v>-1000</v>
      </c>
      <c r="M8" s="8"/>
      <c r="N8" s="8" t="str">
        <f t="shared" si="0"/>
        <v>Status(DefenseRatio, -1000)</v>
      </c>
      <c r="O8" s="8">
        <v>0</v>
      </c>
      <c r="P8" s="8">
        <v>0</v>
      </c>
      <c r="Q8" s="8"/>
      <c r="R8" s="9" t="b">
        <v>1</v>
      </c>
    </row>
    <row r="9" spans="1:18" x14ac:dyDescent="0.3">
      <c r="A9" s="19" t="s">
        <v>59</v>
      </c>
      <c r="B9" s="8"/>
      <c r="C9" s="8"/>
      <c r="D9" s="8">
        <v>0</v>
      </c>
      <c r="E9" s="8">
        <v>1</v>
      </c>
      <c r="F9" s="8" t="s">
        <v>476</v>
      </c>
      <c r="G9" s="8" t="s">
        <v>477</v>
      </c>
      <c r="H9" s="8"/>
      <c r="I9" s="8">
        <v>0</v>
      </c>
      <c r="J9" s="8" t="s">
        <v>835</v>
      </c>
      <c r="K9" s="8" t="s">
        <v>845</v>
      </c>
      <c r="L9" s="8">
        <v>300</v>
      </c>
      <c r="M9" s="8"/>
      <c r="N9" s="8" t="str">
        <f t="shared" si="0"/>
        <v>Shield(MaxHp, 300)</v>
      </c>
      <c r="O9" s="8">
        <v>0</v>
      </c>
      <c r="P9" s="8">
        <v>0</v>
      </c>
      <c r="Q9" s="8"/>
      <c r="R9" s="9" t="b">
        <v>1</v>
      </c>
    </row>
    <row r="10" spans="1:18" x14ac:dyDescent="0.3">
      <c r="A10" s="19" t="s">
        <v>62</v>
      </c>
      <c r="B10" s="8"/>
      <c r="C10" s="8"/>
      <c r="D10" s="8">
        <v>0</v>
      </c>
      <c r="E10" s="8">
        <v>1</v>
      </c>
      <c r="F10" s="8" t="s">
        <v>476</v>
      </c>
      <c r="G10" s="8" t="s">
        <v>477</v>
      </c>
      <c r="H10" s="8"/>
      <c r="I10" s="8">
        <v>0</v>
      </c>
      <c r="J10" s="8" t="s">
        <v>846</v>
      </c>
      <c r="K10" s="8" t="s">
        <v>847</v>
      </c>
      <c r="L10" s="8">
        <v>300</v>
      </c>
      <c r="M10" s="8"/>
      <c r="N10" s="8" t="str">
        <f t="shared" si="0"/>
        <v>Status(DefenseRatio, 300)</v>
      </c>
      <c r="O10" s="8">
        <v>0</v>
      </c>
      <c r="P10" s="8">
        <v>0</v>
      </c>
      <c r="Q10" s="8"/>
      <c r="R10" s="9" t="b">
        <v>1</v>
      </c>
    </row>
    <row r="11" spans="1:18" x14ac:dyDescent="0.3">
      <c r="A11" s="19" t="s">
        <v>66</v>
      </c>
      <c r="B11" s="8"/>
      <c r="C11" s="8"/>
      <c r="D11" s="8">
        <v>0</v>
      </c>
      <c r="E11" s="8">
        <v>1</v>
      </c>
      <c r="F11" s="8" t="s">
        <v>476</v>
      </c>
      <c r="G11" s="8" t="s">
        <v>477</v>
      </c>
      <c r="H11" s="8"/>
      <c r="I11" s="8">
        <v>0</v>
      </c>
      <c r="J11" s="8" t="s">
        <v>848</v>
      </c>
      <c r="K11" s="8" t="s">
        <v>849</v>
      </c>
      <c r="L11" s="8"/>
      <c r="M11" s="8"/>
      <c r="N11" s="8" t="str">
        <f t="shared" si="0"/>
        <v>CrowdControl(Stun)</v>
      </c>
      <c r="O11" s="8">
        <v>0</v>
      </c>
      <c r="P11" s="8">
        <v>0</v>
      </c>
      <c r="Q11" s="8"/>
      <c r="R11" s="9" t="b">
        <v>1</v>
      </c>
    </row>
    <row r="12" spans="1:18" x14ac:dyDescent="0.3">
      <c r="A12" s="19" t="s">
        <v>71</v>
      </c>
      <c r="B12" s="8"/>
      <c r="C12" s="8"/>
      <c r="D12" s="8">
        <v>0</v>
      </c>
      <c r="E12" s="8">
        <v>1</v>
      </c>
      <c r="F12" s="8" t="s">
        <v>476</v>
      </c>
      <c r="G12" s="8" t="s">
        <v>477</v>
      </c>
      <c r="H12" s="8"/>
      <c r="I12" s="8">
        <v>0</v>
      </c>
      <c r="J12" s="8" t="s">
        <v>848</v>
      </c>
      <c r="K12" s="8" t="s">
        <v>850</v>
      </c>
      <c r="L12" s="8"/>
      <c r="M12" s="8"/>
      <c r="N12" s="8" t="str">
        <f t="shared" si="0"/>
        <v>CrowdControl(Knockback)</v>
      </c>
      <c r="O12" s="8">
        <v>0</v>
      </c>
      <c r="P12" s="8">
        <v>0</v>
      </c>
      <c r="Q12" s="8"/>
      <c r="R12" s="9" t="b">
        <v>1</v>
      </c>
    </row>
    <row r="13" spans="1:18" x14ac:dyDescent="0.3">
      <c r="A13" s="19" t="s">
        <v>76</v>
      </c>
      <c r="B13" s="8"/>
      <c r="C13" s="8"/>
      <c r="D13" s="8">
        <v>0</v>
      </c>
      <c r="E13" s="8">
        <v>1</v>
      </c>
      <c r="F13" s="8" t="s">
        <v>476</v>
      </c>
      <c r="G13" s="8" t="s">
        <v>477</v>
      </c>
      <c r="H13" s="8"/>
      <c r="I13" s="8">
        <v>0</v>
      </c>
      <c r="J13" s="8" t="s">
        <v>851</v>
      </c>
      <c r="K13" s="8" t="s">
        <v>844</v>
      </c>
      <c r="L13" s="8">
        <v>200</v>
      </c>
      <c r="M13" s="8"/>
      <c r="N13" s="8" t="str">
        <f t="shared" si="0"/>
        <v>Hot(Attack, 200)</v>
      </c>
      <c r="O13" s="8">
        <v>0</v>
      </c>
      <c r="P13" s="8">
        <v>1000</v>
      </c>
      <c r="Q13" s="8"/>
      <c r="R13" s="9" t="b">
        <v>1</v>
      </c>
    </row>
    <row r="14" spans="1:18" x14ac:dyDescent="0.3">
      <c r="A14" s="19" t="s">
        <v>79</v>
      </c>
      <c r="B14" s="8"/>
      <c r="C14" s="8"/>
      <c r="D14" s="8">
        <v>0</v>
      </c>
      <c r="E14" s="8">
        <v>1</v>
      </c>
      <c r="F14" s="8" t="s">
        <v>476</v>
      </c>
      <c r="G14" s="8" t="s">
        <v>477</v>
      </c>
      <c r="H14" s="8"/>
      <c r="I14" s="8">
        <v>0</v>
      </c>
      <c r="J14" s="8" t="s">
        <v>846</v>
      </c>
      <c r="K14" s="8" t="s">
        <v>852</v>
      </c>
      <c r="L14" s="8">
        <v>500</v>
      </c>
      <c r="M14" s="8"/>
      <c r="N14" s="8" t="str">
        <f t="shared" si="0"/>
        <v>Status(AttackRatio, 500)</v>
      </c>
      <c r="O14" s="8">
        <v>0</v>
      </c>
      <c r="P14" s="8">
        <v>0</v>
      </c>
      <c r="Q14" s="8"/>
      <c r="R14" s="9" t="b">
        <v>1</v>
      </c>
    </row>
    <row r="15" spans="1:18" x14ac:dyDescent="0.3">
      <c r="A15" s="19" t="s">
        <v>83</v>
      </c>
      <c r="B15" s="8"/>
      <c r="C15" s="8"/>
      <c r="D15" s="8">
        <v>0</v>
      </c>
      <c r="E15" s="8">
        <v>1</v>
      </c>
      <c r="F15" s="8" t="s">
        <v>476</v>
      </c>
      <c r="G15" s="8" t="s">
        <v>477</v>
      </c>
      <c r="H15" s="8"/>
      <c r="I15" s="8">
        <v>0</v>
      </c>
      <c r="J15" s="8" t="s">
        <v>846</v>
      </c>
      <c r="K15" s="8" t="s">
        <v>853</v>
      </c>
      <c r="L15" s="8">
        <v>500</v>
      </c>
      <c r="M15" s="8"/>
      <c r="N15" s="8" t="str">
        <f t="shared" si="0"/>
        <v>Status(AttackSpeedRate, 500)</v>
      </c>
      <c r="O15" s="8">
        <v>0</v>
      </c>
      <c r="P15" s="8">
        <v>0</v>
      </c>
      <c r="Q15" s="8"/>
      <c r="R15" s="9" t="b">
        <v>1</v>
      </c>
    </row>
    <row r="16" spans="1:18" x14ac:dyDescent="0.3">
      <c r="A16" s="19" t="s">
        <v>479</v>
      </c>
      <c r="B16" s="8"/>
      <c r="C16" s="8"/>
      <c r="D16" s="8">
        <v>0</v>
      </c>
      <c r="E16" s="8">
        <v>1</v>
      </c>
      <c r="F16" s="8" t="s">
        <v>476</v>
      </c>
      <c r="G16" s="8" t="s">
        <v>477</v>
      </c>
      <c r="H16" s="8"/>
      <c r="I16" s="8">
        <v>0</v>
      </c>
      <c r="J16" s="8" t="s">
        <v>854</v>
      </c>
      <c r="K16" s="8" t="s">
        <v>849</v>
      </c>
      <c r="L16" s="8"/>
      <c r="M16" s="8"/>
      <c r="N16" s="8" t="str">
        <f t="shared" si="0"/>
        <v>CCResist(Stun)</v>
      </c>
      <c r="O16" s="8">
        <v>0</v>
      </c>
      <c r="P16" s="8">
        <v>0</v>
      </c>
      <c r="Q16" s="8"/>
      <c r="R16" s="9" t="b">
        <v>1</v>
      </c>
    </row>
    <row r="17" spans="1:18" x14ac:dyDescent="0.3">
      <c r="A17" s="19" t="s">
        <v>480</v>
      </c>
      <c r="B17" s="8"/>
      <c r="C17" s="8"/>
      <c r="D17" s="8">
        <v>0</v>
      </c>
      <c r="E17" s="8">
        <v>1</v>
      </c>
      <c r="F17" s="8" t="s">
        <v>476</v>
      </c>
      <c r="G17" s="8" t="s">
        <v>477</v>
      </c>
      <c r="H17" s="8"/>
      <c r="I17" s="8">
        <v>0</v>
      </c>
      <c r="J17" s="8" t="s">
        <v>854</v>
      </c>
      <c r="K17" s="8" t="s">
        <v>850</v>
      </c>
      <c r="L17" s="8"/>
      <c r="M17" s="8"/>
      <c r="N17" s="8" t="str">
        <f t="shared" si="0"/>
        <v>CCResist(Knockback)</v>
      </c>
      <c r="O17" s="8">
        <v>0</v>
      </c>
      <c r="P17" s="8">
        <v>0</v>
      </c>
      <c r="Q17" s="8"/>
      <c r="R17" s="9" t="b">
        <v>1</v>
      </c>
    </row>
    <row r="18" spans="1:18" x14ac:dyDescent="0.3">
      <c r="A18" s="19" t="s">
        <v>481</v>
      </c>
      <c r="B18" s="8"/>
      <c r="C18" s="8"/>
      <c r="D18" s="8">
        <v>0</v>
      </c>
      <c r="E18" s="8">
        <v>1</v>
      </c>
      <c r="F18" s="8" t="s">
        <v>476</v>
      </c>
      <c r="G18" s="8" t="s">
        <v>477</v>
      </c>
      <c r="H18" s="8"/>
      <c r="I18" s="8">
        <v>0</v>
      </c>
      <c r="J18" s="8" t="s">
        <v>855</v>
      </c>
      <c r="K18" s="8"/>
      <c r="L18" s="8"/>
      <c r="M18" s="8"/>
      <c r="N18" s="8" t="str">
        <f t="shared" si="0"/>
        <v>Provoke()</v>
      </c>
      <c r="O18" s="8">
        <v>0</v>
      </c>
      <c r="P18" s="8">
        <v>0</v>
      </c>
      <c r="Q18" s="8"/>
      <c r="R18" s="9" t="b">
        <v>1</v>
      </c>
    </row>
    <row r="19" spans="1:18" x14ac:dyDescent="0.3">
      <c r="A19" s="19" t="s">
        <v>89</v>
      </c>
      <c r="B19" s="8"/>
      <c r="C19" s="8"/>
      <c r="D19" s="8">
        <v>0</v>
      </c>
      <c r="E19" s="8">
        <v>1</v>
      </c>
      <c r="F19" s="8" t="s">
        <v>476</v>
      </c>
      <c r="G19" s="8" t="s">
        <v>477</v>
      </c>
      <c r="H19" s="8"/>
      <c r="I19" s="8">
        <v>0</v>
      </c>
      <c r="J19" s="8" t="s">
        <v>835</v>
      </c>
      <c r="K19" s="8" t="s">
        <v>845</v>
      </c>
      <c r="L19" s="8">
        <v>300</v>
      </c>
      <c r="M19" s="8"/>
      <c r="N19" s="8" t="str">
        <f t="shared" si="0"/>
        <v>Shield(MaxHp, 300)</v>
      </c>
      <c r="O19" s="8">
        <v>0</v>
      </c>
      <c r="P19" s="8">
        <v>0</v>
      </c>
      <c r="Q19" s="8"/>
      <c r="R19" s="9" t="b">
        <v>1</v>
      </c>
    </row>
    <row r="20" spans="1:18" x14ac:dyDescent="0.3">
      <c r="A20" s="19" t="s">
        <v>92</v>
      </c>
      <c r="B20" s="8"/>
      <c r="C20" s="8"/>
      <c r="D20" s="8">
        <v>0</v>
      </c>
      <c r="E20" s="8">
        <v>1</v>
      </c>
      <c r="F20" s="8" t="s">
        <v>476</v>
      </c>
      <c r="G20" s="8" t="s">
        <v>477</v>
      </c>
      <c r="H20" s="8"/>
      <c r="I20" s="8">
        <v>0</v>
      </c>
      <c r="J20" s="8" t="s">
        <v>835</v>
      </c>
      <c r="K20" s="8" t="s">
        <v>845</v>
      </c>
      <c r="L20" s="8">
        <v>300</v>
      </c>
      <c r="M20" s="8"/>
      <c r="N20" s="8" t="str">
        <f t="shared" si="0"/>
        <v>Shield(MaxHp, 300)</v>
      </c>
      <c r="O20" s="8">
        <v>0</v>
      </c>
      <c r="P20" s="8">
        <v>0</v>
      </c>
      <c r="Q20" s="8"/>
      <c r="R20" s="9" t="b">
        <v>1</v>
      </c>
    </row>
    <row r="21" spans="1:18" x14ac:dyDescent="0.3">
      <c r="A21" s="19" t="s">
        <v>482</v>
      </c>
      <c r="B21" s="8"/>
      <c r="C21" s="8"/>
      <c r="D21" s="8">
        <v>0</v>
      </c>
      <c r="E21" s="8">
        <v>1</v>
      </c>
      <c r="F21" s="8" t="s">
        <v>476</v>
      </c>
      <c r="G21" s="8" t="s">
        <v>477</v>
      </c>
      <c r="H21" s="8"/>
      <c r="I21" s="8">
        <v>0</v>
      </c>
      <c r="J21" s="8" t="s">
        <v>813</v>
      </c>
      <c r="K21" s="8">
        <v>1</v>
      </c>
      <c r="L21" s="8">
        <v>50</v>
      </c>
      <c r="M21" s="8"/>
      <c r="N21" s="8" t="str">
        <f t="shared" si="0"/>
        <v>Groggy(1, 50)</v>
      </c>
      <c r="O21" s="8">
        <v>0</v>
      </c>
      <c r="P21" s="8">
        <v>0</v>
      </c>
      <c r="Q21" s="8"/>
      <c r="R21" s="9" t="b">
        <v>1</v>
      </c>
    </row>
    <row r="22" spans="1:18" x14ac:dyDescent="0.3">
      <c r="A22" s="19" t="s">
        <v>483</v>
      </c>
      <c r="B22" s="8"/>
      <c r="C22" s="8"/>
      <c r="D22" s="8">
        <v>0</v>
      </c>
      <c r="E22" s="8">
        <v>1</v>
      </c>
      <c r="F22" s="8" t="s">
        <v>476</v>
      </c>
      <c r="G22" s="8" t="s">
        <v>477</v>
      </c>
      <c r="H22" s="8"/>
      <c r="I22" s="8">
        <v>0</v>
      </c>
      <c r="J22" s="8" t="s">
        <v>856</v>
      </c>
      <c r="K22" s="8" t="s">
        <v>848</v>
      </c>
      <c r="L22" s="8">
        <v>100</v>
      </c>
      <c r="M22" s="8"/>
      <c r="N22" s="8" t="str">
        <f t="shared" si="0"/>
        <v>DebuffResist(CrowdControl, 100)</v>
      </c>
      <c r="O22" s="8">
        <v>0</v>
      </c>
      <c r="P22" s="8">
        <v>0</v>
      </c>
      <c r="Q22" s="8"/>
      <c r="R22" s="9" t="b">
        <v>0</v>
      </c>
    </row>
    <row r="23" spans="1:18" x14ac:dyDescent="0.3">
      <c r="A23" s="19" t="s">
        <v>97</v>
      </c>
      <c r="B23" s="8"/>
      <c r="C23" s="8"/>
      <c r="D23" s="8">
        <v>0</v>
      </c>
      <c r="E23" s="8">
        <v>1</v>
      </c>
      <c r="F23" s="8" t="s">
        <v>476</v>
      </c>
      <c r="G23" s="8" t="s">
        <v>477</v>
      </c>
      <c r="H23" s="8"/>
      <c r="I23" s="8">
        <v>0</v>
      </c>
      <c r="J23" s="8" t="s">
        <v>854</v>
      </c>
      <c r="K23" s="8" t="s">
        <v>850</v>
      </c>
      <c r="L23" s="8">
        <v>1000</v>
      </c>
      <c r="M23" s="8"/>
      <c r="N23" s="8" t="str">
        <f t="shared" si="0"/>
        <v>CCResist(Knockback, 1000)</v>
      </c>
      <c r="O23" s="8">
        <v>0</v>
      </c>
      <c r="P23" s="8">
        <v>0</v>
      </c>
      <c r="Q23" s="8"/>
      <c r="R23" s="9" t="b">
        <v>0</v>
      </c>
    </row>
    <row r="24" spans="1:18" x14ac:dyDescent="0.3">
      <c r="A24" s="20" t="s">
        <v>102</v>
      </c>
      <c r="B24" s="8"/>
      <c r="C24" s="8"/>
      <c r="D24" s="8">
        <v>0</v>
      </c>
      <c r="E24" s="8">
        <v>1</v>
      </c>
      <c r="F24" s="8" t="s">
        <v>476</v>
      </c>
      <c r="G24" s="8" t="s">
        <v>477</v>
      </c>
      <c r="H24" s="8"/>
      <c r="I24" s="8">
        <v>0</v>
      </c>
      <c r="J24" s="8" t="s">
        <v>846</v>
      </c>
      <c r="K24" s="8" t="s">
        <v>847</v>
      </c>
      <c r="L24" s="8">
        <v>-100</v>
      </c>
      <c r="M24" s="8"/>
      <c r="N24" s="8" t="str">
        <f t="shared" si="0"/>
        <v>Status(DefenseRatio, -100)</v>
      </c>
      <c r="O24" s="8">
        <v>0</v>
      </c>
      <c r="P24" s="8">
        <v>0</v>
      </c>
      <c r="Q24" s="8"/>
      <c r="R24" s="9" t="b">
        <v>1</v>
      </c>
    </row>
    <row r="25" spans="1:18" x14ac:dyDescent="0.3">
      <c r="A25" s="20" t="s">
        <v>104</v>
      </c>
      <c r="B25" s="8"/>
      <c r="C25" s="8"/>
      <c r="D25" s="8">
        <v>0</v>
      </c>
      <c r="E25" s="8">
        <v>1</v>
      </c>
      <c r="F25" s="8" t="s">
        <v>476</v>
      </c>
      <c r="G25" s="8" t="s">
        <v>477</v>
      </c>
      <c r="H25" s="8"/>
      <c r="I25" s="8">
        <v>0</v>
      </c>
      <c r="J25" s="8" t="s">
        <v>846</v>
      </c>
      <c r="K25" s="8" t="s">
        <v>847</v>
      </c>
      <c r="L25" s="8">
        <v>-150</v>
      </c>
      <c r="M25" s="8"/>
      <c r="N25" s="8" t="str">
        <f t="shared" si="0"/>
        <v>Status(DefenseRatio, -150)</v>
      </c>
      <c r="O25" s="8">
        <v>0</v>
      </c>
      <c r="P25" s="8">
        <v>0</v>
      </c>
      <c r="Q25" s="8"/>
      <c r="R25" s="9" t="b">
        <v>1</v>
      </c>
    </row>
    <row r="26" spans="1:18" x14ac:dyDescent="0.3">
      <c r="A26" s="20" t="s">
        <v>106</v>
      </c>
      <c r="B26" s="8"/>
      <c r="C26" s="8"/>
      <c r="D26" s="8">
        <v>0</v>
      </c>
      <c r="E26" s="8">
        <v>1</v>
      </c>
      <c r="F26" s="8" t="s">
        <v>476</v>
      </c>
      <c r="G26" s="8" t="s">
        <v>477</v>
      </c>
      <c r="H26" s="8"/>
      <c r="I26" s="8">
        <v>0</v>
      </c>
      <c r="J26" s="8" t="s">
        <v>846</v>
      </c>
      <c r="K26" s="8" t="s">
        <v>847</v>
      </c>
      <c r="L26" s="8">
        <v>-200</v>
      </c>
      <c r="M26" s="8"/>
      <c r="N26" s="8" t="str">
        <f t="shared" si="0"/>
        <v>Status(DefenseRatio, -200)</v>
      </c>
      <c r="O26" s="8">
        <v>0</v>
      </c>
      <c r="P26" s="8">
        <v>0</v>
      </c>
      <c r="Q26" s="8"/>
      <c r="R26" s="9" t="b">
        <v>1</v>
      </c>
    </row>
    <row r="27" spans="1:18" x14ac:dyDescent="0.3">
      <c r="A27" s="20" t="s">
        <v>108</v>
      </c>
      <c r="B27" s="8"/>
      <c r="C27" s="8"/>
      <c r="D27" s="8">
        <v>0</v>
      </c>
      <c r="E27" s="8">
        <v>1</v>
      </c>
      <c r="F27" s="8" t="s">
        <v>476</v>
      </c>
      <c r="G27" s="8" t="s">
        <v>477</v>
      </c>
      <c r="H27" s="8"/>
      <c r="I27" s="8">
        <v>0</v>
      </c>
      <c r="J27" s="8" t="s">
        <v>846</v>
      </c>
      <c r="K27" s="8" t="s">
        <v>857</v>
      </c>
      <c r="L27" s="8">
        <v>100</v>
      </c>
      <c r="M27" s="8"/>
      <c r="N27" s="8" t="str">
        <f t="shared" si="0"/>
        <v>Status(DamageRate, 100)</v>
      </c>
      <c r="O27" s="8">
        <v>0</v>
      </c>
      <c r="P27" s="8">
        <v>0</v>
      </c>
      <c r="Q27" s="8"/>
      <c r="R27" s="9" t="b">
        <v>1</v>
      </c>
    </row>
    <row r="28" spans="1:18" x14ac:dyDescent="0.3">
      <c r="A28" s="20" t="s">
        <v>112</v>
      </c>
      <c r="B28" s="8"/>
      <c r="C28" s="8"/>
      <c r="D28" s="8">
        <v>0</v>
      </c>
      <c r="E28" s="8">
        <v>1</v>
      </c>
      <c r="F28" s="8" t="s">
        <v>476</v>
      </c>
      <c r="G28" s="8" t="s">
        <v>477</v>
      </c>
      <c r="H28" s="8"/>
      <c r="I28" s="8">
        <v>0</v>
      </c>
      <c r="J28" s="8" t="s">
        <v>846</v>
      </c>
      <c r="K28" s="8" t="s">
        <v>857</v>
      </c>
      <c r="L28" s="8">
        <v>120</v>
      </c>
      <c r="M28" s="8"/>
      <c r="N28" s="8" t="str">
        <f t="shared" si="0"/>
        <v>Status(DamageRate, 120)</v>
      </c>
      <c r="O28" s="8">
        <v>0</v>
      </c>
      <c r="P28" s="8">
        <v>0</v>
      </c>
      <c r="Q28" s="8"/>
      <c r="R28" s="9" t="b">
        <v>1</v>
      </c>
    </row>
    <row r="29" spans="1:18" x14ac:dyDescent="0.3">
      <c r="A29" s="20" t="s">
        <v>114</v>
      </c>
      <c r="B29" s="8"/>
      <c r="C29" s="8"/>
      <c r="D29" s="8">
        <v>0</v>
      </c>
      <c r="E29" s="8">
        <v>1</v>
      </c>
      <c r="F29" s="8" t="s">
        <v>476</v>
      </c>
      <c r="G29" s="8" t="s">
        <v>477</v>
      </c>
      <c r="H29" s="8"/>
      <c r="I29" s="8">
        <v>0</v>
      </c>
      <c r="J29" s="8" t="s">
        <v>846</v>
      </c>
      <c r="K29" s="8" t="s">
        <v>857</v>
      </c>
      <c r="L29" s="8">
        <v>140</v>
      </c>
      <c r="M29" s="8"/>
      <c r="N29" s="8" t="str">
        <f t="shared" si="0"/>
        <v>Status(DamageRate, 140)</v>
      </c>
      <c r="O29" s="8">
        <v>0</v>
      </c>
      <c r="P29" s="8">
        <v>0</v>
      </c>
      <c r="Q29" s="8"/>
      <c r="R29" s="9" t="b">
        <v>1</v>
      </c>
    </row>
    <row r="30" spans="1:18" x14ac:dyDescent="0.3">
      <c r="A30" s="20" t="s">
        <v>116</v>
      </c>
      <c r="B30" s="8"/>
      <c r="C30" s="8"/>
      <c r="D30" s="8">
        <v>0</v>
      </c>
      <c r="E30" s="8">
        <v>1</v>
      </c>
      <c r="F30" s="8" t="s">
        <v>476</v>
      </c>
      <c r="G30" s="8" t="s">
        <v>477</v>
      </c>
      <c r="H30" s="8"/>
      <c r="I30" s="8">
        <v>0</v>
      </c>
      <c r="J30" s="8" t="s">
        <v>846</v>
      </c>
      <c r="K30" s="8" t="s">
        <v>857</v>
      </c>
      <c r="L30" s="8">
        <v>160</v>
      </c>
      <c r="M30" s="8"/>
      <c r="N30" s="8" t="str">
        <f t="shared" si="0"/>
        <v>Status(DamageRate, 160)</v>
      </c>
      <c r="O30" s="8">
        <v>0</v>
      </c>
      <c r="P30" s="8">
        <v>0</v>
      </c>
      <c r="Q30" s="8"/>
      <c r="R30" s="9" t="b">
        <v>1</v>
      </c>
    </row>
    <row r="31" spans="1:18" x14ac:dyDescent="0.3">
      <c r="A31" s="20" t="s">
        <v>118</v>
      </c>
      <c r="B31" s="8"/>
      <c r="C31" s="8"/>
      <c r="D31" s="8">
        <v>0</v>
      </c>
      <c r="E31" s="8">
        <v>1</v>
      </c>
      <c r="F31" s="8" t="s">
        <v>476</v>
      </c>
      <c r="G31" s="8" t="s">
        <v>477</v>
      </c>
      <c r="H31" s="8"/>
      <c r="I31" s="8">
        <v>0</v>
      </c>
      <c r="J31" s="8" t="s">
        <v>846</v>
      </c>
      <c r="K31" s="8" t="s">
        <v>857</v>
      </c>
      <c r="L31" s="8">
        <v>180</v>
      </c>
      <c r="M31" s="8"/>
      <c r="N31" s="8" t="str">
        <f t="shared" si="0"/>
        <v>Status(DamageRate, 180)</v>
      </c>
      <c r="O31" s="8">
        <v>0</v>
      </c>
      <c r="P31" s="8">
        <v>0</v>
      </c>
      <c r="Q31" s="8"/>
      <c r="R31" s="9" t="b">
        <v>1</v>
      </c>
    </row>
    <row r="32" spans="1:18" x14ac:dyDescent="0.3">
      <c r="A32" s="20" t="s">
        <v>120</v>
      </c>
      <c r="B32" s="8"/>
      <c r="C32" s="8"/>
      <c r="D32" s="8">
        <v>0</v>
      </c>
      <c r="E32" s="8">
        <v>1</v>
      </c>
      <c r="F32" s="8" t="s">
        <v>476</v>
      </c>
      <c r="G32" s="8" t="s">
        <v>477</v>
      </c>
      <c r="H32" s="8"/>
      <c r="I32" s="8">
        <v>0</v>
      </c>
      <c r="J32" s="8" t="s">
        <v>846</v>
      </c>
      <c r="K32" s="8" t="s">
        <v>857</v>
      </c>
      <c r="L32" s="8">
        <v>200</v>
      </c>
      <c r="M32" s="8"/>
      <c r="N32" s="8" t="str">
        <f t="shared" si="0"/>
        <v>Status(DamageRate, 200)</v>
      </c>
      <c r="O32" s="8">
        <v>0</v>
      </c>
      <c r="P32" s="8">
        <v>0</v>
      </c>
      <c r="Q32" s="8"/>
      <c r="R32" s="9" t="b">
        <v>1</v>
      </c>
    </row>
    <row r="33" spans="1:18" x14ac:dyDescent="0.3">
      <c r="A33" s="20" t="s">
        <v>122</v>
      </c>
      <c r="B33" s="8"/>
      <c r="C33" s="8"/>
      <c r="D33" s="8">
        <v>0</v>
      </c>
      <c r="E33" s="8">
        <v>1</v>
      </c>
      <c r="F33" s="8" t="s">
        <v>476</v>
      </c>
      <c r="G33" s="8" t="s">
        <v>477</v>
      </c>
      <c r="H33" s="8"/>
      <c r="I33" s="8">
        <v>0</v>
      </c>
      <c r="J33" s="8" t="s">
        <v>846</v>
      </c>
      <c r="K33" s="8" t="s">
        <v>857</v>
      </c>
      <c r="L33" s="8">
        <v>220</v>
      </c>
      <c r="M33" s="8"/>
      <c r="N33" s="8" t="str">
        <f t="shared" si="0"/>
        <v>Status(DamageRate, 220)</v>
      </c>
      <c r="O33" s="8">
        <v>0</v>
      </c>
      <c r="P33" s="8">
        <v>0</v>
      </c>
      <c r="Q33" s="8"/>
      <c r="R33" s="9" t="b">
        <v>1</v>
      </c>
    </row>
    <row r="34" spans="1:18" x14ac:dyDescent="0.3">
      <c r="A34" s="20" t="s">
        <v>124</v>
      </c>
      <c r="B34" s="8"/>
      <c r="C34" s="8"/>
      <c r="D34" s="8">
        <v>0</v>
      </c>
      <c r="E34" s="8">
        <v>1</v>
      </c>
      <c r="F34" s="8" t="s">
        <v>476</v>
      </c>
      <c r="G34" s="8" t="s">
        <v>477</v>
      </c>
      <c r="H34" s="8"/>
      <c r="I34" s="8">
        <v>0</v>
      </c>
      <c r="J34" s="8" t="s">
        <v>846</v>
      </c>
      <c r="K34" s="8" t="s">
        <v>853</v>
      </c>
      <c r="L34" s="8">
        <v>100</v>
      </c>
      <c r="M34" s="8"/>
      <c r="N34" s="8" t="str">
        <f t="shared" si="0"/>
        <v>Status(AttackSpeedRate, 100)</v>
      </c>
      <c r="O34" s="8">
        <v>0</v>
      </c>
      <c r="P34" s="8">
        <v>0</v>
      </c>
      <c r="Q34" s="8"/>
      <c r="R34" s="9" t="b">
        <v>1</v>
      </c>
    </row>
    <row r="35" spans="1:18" x14ac:dyDescent="0.3">
      <c r="A35" s="20" t="s">
        <v>126</v>
      </c>
      <c r="B35" s="8"/>
      <c r="C35" s="8"/>
      <c r="D35" s="8">
        <v>0</v>
      </c>
      <c r="E35" s="8">
        <v>1</v>
      </c>
      <c r="F35" s="8" t="s">
        <v>476</v>
      </c>
      <c r="G35" s="8" t="s">
        <v>477</v>
      </c>
      <c r="H35" s="8"/>
      <c r="I35" s="8">
        <v>0</v>
      </c>
      <c r="J35" s="8" t="s">
        <v>846</v>
      </c>
      <c r="K35" s="8" t="s">
        <v>853</v>
      </c>
      <c r="L35" s="8">
        <v>120</v>
      </c>
      <c r="M35" s="8"/>
      <c r="N35" s="8" t="str">
        <f t="shared" si="0"/>
        <v>Status(AttackSpeedRate, 120)</v>
      </c>
      <c r="O35" s="8">
        <v>0</v>
      </c>
      <c r="P35" s="8">
        <v>0</v>
      </c>
      <c r="Q35" s="8"/>
      <c r="R35" s="9" t="b">
        <v>1</v>
      </c>
    </row>
    <row r="36" spans="1:18" x14ac:dyDescent="0.3">
      <c r="A36" s="20" t="s">
        <v>128</v>
      </c>
      <c r="B36" s="8"/>
      <c r="C36" s="8"/>
      <c r="D36" s="8">
        <v>0</v>
      </c>
      <c r="E36" s="8">
        <v>1</v>
      </c>
      <c r="F36" s="8" t="s">
        <v>476</v>
      </c>
      <c r="G36" s="8" t="s">
        <v>477</v>
      </c>
      <c r="H36" s="8"/>
      <c r="I36" s="8">
        <v>0</v>
      </c>
      <c r="J36" s="8" t="s">
        <v>846</v>
      </c>
      <c r="K36" s="8" t="s">
        <v>853</v>
      </c>
      <c r="L36" s="8">
        <v>140</v>
      </c>
      <c r="M36" s="8"/>
      <c r="N36" s="8" t="str">
        <f t="shared" si="0"/>
        <v>Status(AttackSpeedRate, 140)</v>
      </c>
      <c r="O36" s="8">
        <v>0</v>
      </c>
      <c r="P36" s="8">
        <v>0</v>
      </c>
      <c r="Q36" s="8"/>
      <c r="R36" s="9" t="b">
        <v>1</v>
      </c>
    </row>
    <row r="37" spans="1:18" x14ac:dyDescent="0.3">
      <c r="A37" s="20" t="s">
        <v>130</v>
      </c>
      <c r="B37" s="8"/>
      <c r="C37" s="8"/>
      <c r="D37" s="8">
        <v>0</v>
      </c>
      <c r="E37" s="8">
        <v>1</v>
      </c>
      <c r="F37" s="8" t="s">
        <v>476</v>
      </c>
      <c r="G37" s="8" t="s">
        <v>477</v>
      </c>
      <c r="H37" s="8"/>
      <c r="I37" s="8">
        <v>0</v>
      </c>
      <c r="J37" s="8" t="s">
        <v>846</v>
      </c>
      <c r="K37" s="8" t="s">
        <v>853</v>
      </c>
      <c r="L37" s="8">
        <v>160</v>
      </c>
      <c r="M37" s="8"/>
      <c r="N37" s="8" t="str">
        <f t="shared" si="0"/>
        <v>Status(AttackSpeedRate, 160)</v>
      </c>
      <c r="O37" s="8">
        <v>0</v>
      </c>
      <c r="P37" s="8">
        <v>0</v>
      </c>
      <c r="Q37" s="8"/>
      <c r="R37" s="9" t="b">
        <v>1</v>
      </c>
    </row>
    <row r="38" spans="1:18" x14ac:dyDescent="0.3">
      <c r="A38" s="20" t="s">
        <v>132</v>
      </c>
      <c r="B38" s="8"/>
      <c r="C38" s="8"/>
      <c r="D38" s="8">
        <v>0</v>
      </c>
      <c r="E38" s="8">
        <v>1</v>
      </c>
      <c r="F38" s="8" t="s">
        <v>476</v>
      </c>
      <c r="G38" s="8" t="s">
        <v>477</v>
      </c>
      <c r="H38" s="8"/>
      <c r="I38" s="8">
        <v>0</v>
      </c>
      <c r="J38" s="8" t="s">
        <v>846</v>
      </c>
      <c r="K38" s="8" t="s">
        <v>853</v>
      </c>
      <c r="L38" s="8">
        <v>180</v>
      </c>
      <c r="M38" s="8"/>
      <c r="N38" s="8" t="str">
        <f t="shared" si="0"/>
        <v>Status(AttackSpeedRate, 180)</v>
      </c>
      <c r="O38" s="8">
        <v>0</v>
      </c>
      <c r="P38" s="8">
        <v>0</v>
      </c>
      <c r="Q38" s="8"/>
      <c r="R38" s="9" t="b">
        <v>1</v>
      </c>
    </row>
    <row r="39" spans="1:18" x14ac:dyDescent="0.3">
      <c r="A39" s="20" t="s">
        <v>134</v>
      </c>
      <c r="B39" s="8"/>
      <c r="C39" s="8"/>
      <c r="D39" s="8">
        <v>0</v>
      </c>
      <c r="E39" s="8">
        <v>1</v>
      </c>
      <c r="F39" s="8" t="s">
        <v>476</v>
      </c>
      <c r="G39" s="8" t="s">
        <v>477</v>
      </c>
      <c r="H39" s="8"/>
      <c r="I39" s="8">
        <v>0</v>
      </c>
      <c r="J39" s="8" t="s">
        <v>846</v>
      </c>
      <c r="K39" s="8" t="s">
        <v>853</v>
      </c>
      <c r="L39" s="8">
        <v>200</v>
      </c>
      <c r="M39" s="8"/>
      <c r="N39" s="8" t="str">
        <f t="shared" si="0"/>
        <v>Status(AttackSpeedRate, 200)</v>
      </c>
      <c r="O39" s="8">
        <v>0</v>
      </c>
      <c r="P39" s="8">
        <v>0</v>
      </c>
      <c r="Q39" s="8"/>
      <c r="R39" s="9" t="b">
        <v>1</v>
      </c>
    </row>
    <row r="40" spans="1:18" x14ac:dyDescent="0.3">
      <c r="A40" s="20" t="s">
        <v>136</v>
      </c>
      <c r="B40" s="8"/>
      <c r="C40" s="8"/>
      <c r="D40" s="8">
        <v>0</v>
      </c>
      <c r="E40" s="8">
        <v>1</v>
      </c>
      <c r="F40" s="8" t="s">
        <v>476</v>
      </c>
      <c r="G40" s="8" t="s">
        <v>477</v>
      </c>
      <c r="H40" s="8"/>
      <c r="I40" s="8">
        <v>0</v>
      </c>
      <c r="J40" s="8" t="s">
        <v>846</v>
      </c>
      <c r="K40" s="8" t="s">
        <v>853</v>
      </c>
      <c r="L40" s="8">
        <v>220</v>
      </c>
      <c r="M40" s="8"/>
      <c r="N40" s="8" t="str">
        <f t="shared" si="0"/>
        <v>Status(AttackSpeedRate, 220)</v>
      </c>
      <c r="O40" s="8">
        <v>0</v>
      </c>
      <c r="P40" s="8">
        <v>0</v>
      </c>
      <c r="Q40" s="8"/>
      <c r="R40" s="9" t="b">
        <v>1</v>
      </c>
    </row>
    <row r="41" spans="1:18" x14ac:dyDescent="0.3">
      <c r="A41" s="20" t="s">
        <v>138</v>
      </c>
      <c r="B41" s="8"/>
      <c r="C41" s="8"/>
      <c r="D41" s="8">
        <v>0</v>
      </c>
      <c r="E41" s="8">
        <v>1</v>
      </c>
      <c r="F41" s="8" t="s">
        <v>484</v>
      </c>
      <c r="G41" s="8" t="s">
        <v>485</v>
      </c>
      <c r="H41" s="8"/>
      <c r="I41" s="8">
        <v>0</v>
      </c>
      <c r="J41" s="8" t="s">
        <v>846</v>
      </c>
      <c r="K41" s="8" t="s">
        <v>858</v>
      </c>
      <c r="L41" s="8">
        <v>50</v>
      </c>
      <c r="M41" s="8"/>
      <c r="N41" s="8" t="str">
        <f t="shared" si="0"/>
        <v>Status(CriticalRate, 50)</v>
      </c>
      <c r="O41" s="8">
        <v>0</v>
      </c>
      <c r="P41" s="8">
        <v>0</v>
      </c>
      <c r="Q41" s="8"/>
      <c r="R41" s="9" t="b">
        <v>1</v>
      </c>
    </row>
    <row r="42" spans="1:18" x14ac:dyDescent="0.3">
      <c r="A42" s="20" t="s">
        <v>142</v>
      </c>
      <c r="B42" s="8"/>
      <c r="C42" s="8"/>
      <c r="D42" s="8">
        <v>0</v>
      </c>
      <c r="E42" s="8">
        <v>1</v>
      </c>
      <c r="F42" s="8" t="s">
        <v>484</v>
      </c>
      <c r="G42" s="8" t="s">
        <v>485</v>
      </c>
      <c r="H42" s="8"/>
      <c r="I42" s="8">
        <v>0</v>
      </c>
      <c r="J42" s="8" t="s">
        <v>846</v>
      </c>
      <c r="K42" s="8" t="s">
        <v>858</v>
      </c>
      <c r="L42" s="8">
        <v>55</v>
      </c>
      <c r="M42" s="8"/>
      <c r="N42" s="8" t="str">
        <f t="shared" si="0"/>
        <v>Status(CriticalRate, 55)</v>
      </c>
      <c r="O42" s="8">
        <v>0</v>
      </c>
      <c r="P42" s="8">
        <v>0</v>
      </c>
      <c r="Q42" s="8"/>
      <c r="R42" s="9" t="b">
        <v>1</v>
      </c>
    </row>
    <row r="43" spans="1:18" x14ac:dyDescent="0.3">
      <c r="A43" s="20" t="s">
        <v>144</v>
      </c>
      <c r="B43" s="8"/>
      <c r="C43" s="8"/>
      <c r="D43" s="8">
        <v>0</v>
      </c>
      <c r="E43" s="8">
        <v>1</v>
      </c>
      <c r="F43" s="8" t="s">
        <v>484</v>
      </c>
      <c r="G43" s="8" t="s">
        <v>485</v>
      </c>
      <c r="H43" s="8"/>
      <c r="I43" s="8">
        <v>0</v>
      </c>
      <c r="J43" s="8" t="s">
        <v>846</v>
      </c>
      <c r="K43" s="8" t="s">
        <v>858</v>
      </c>
      <c r="L43" s="8">
        <v>60</v>
      </c>
      <c r="M43" s="8"/>
      <c r="N43" s="8" t="str">
        <f t="shared" si="0"/>
        <v>Status(CriticalRate, 60)</v>
      </c>
      <c r="O43" s="8">
        <v>0</v>
      </c>
      <c r="P43" s="8">
        <v>0</v>
      </c>
      <c r="Q43" s="8"/>
      <c r="R43" s="9" t="b">
        <v>1</v>
      </c>
    </row>
    <row r="44" spans="1:18" x14ac:dyDescent="0.3">
      <c r="A44" s="20" t="s">
        <v>146</v>
      </c>
      <c r="B44" s="8"/>
      <c r="C44" s="8"/>
      <c r="D44" s="8">
        <v>0</v>
      </c>
      <c r="E44" s="8">
        <v>1</v>
      </c>
      <c r="F44" s="8" t="s">
        <v>484</v>
      </c>
      <c r="G44" s="8" t="s">
        <v>485</v>
      </c>
      <c r="H44" s="8"/>
      <c r="I44" s="8">
        <v>0</v>
      </c>
      <c r="J44" s="8" t="s">
        <v>846</v>
      </c>
      <c r="K44" s="8" t="s">
        <v>858</v>
      </c>
      <c r="L44" s="8">
        <v>65</v>
      </c>
      <c r="M44" s="8"/>
      <c r="N44" s="8" t="str">
        <f t="shared" si="0"/>
        <v>Status(CriticalRate, 65)</v>
      </c>
      <c r="O44" s="8">
        <v>0</v>
      </c>
      <c r="P44" s="8">
        <v>0</v>
      </c>
      <c r="Q44" s="8"/>
      <c r="R44" s="9" t="b">
        <v>1</v>
      </c>
    </row>
    <row r="45" spans="1:18" x14ac:dyDescent="0.3">
      <c r="A45" s="20" t="s">
        <v>148</v>
      </c>
      <c r="B45" s="8"/>
      <c r="C45" s="8"/>
      <c r="D45" s="8">
        <v>0</v>
      </c>
      <c r="E45" s="8">
        <v>1</v>
      </c>
      <c r="F45" s="8" t="s">
        <v>484</v>
      </c>
      <c r="G45" s="8" t="s">
        <v>485</v>
      </c>
      <c r="H45" s="8"/>
      <c r="I45" s="8">
        <v>0</v>
      </c>
      <c r="J45" s="8" t="s">
        <v>846</v>
      </c>
      <c r="K45" s="8" t="s">
        <v>858</v>
      </c>
      <c r="L45" s="8">
        <v>70</v>
      </c>
      <c r="M45" s="8"/>
      <c r="N45" s="8" t="str">
        <f t="shared" si="0"/>
        <v>Status(CriticalRate, 70)</v>
      </c>
      <c r="O45" s="8">
        <v>0</v>
      </c>
      <c r="P45" s="8">
        <v>0</v>
      </c>
      <c r="Q45" s="8"/>
      <c r="R45" s="9" t="b">
        <v>1</v>
      </c>
    </row>
    <row r="46" spans="1:18" x14ac:dyDescent="0.3">
      <c r="A46" s="20" t="s">
        <v>150</v>
      </c>
      <c r="B46" s="8"/>
      <c r="C46" s="8"/>
      <c r="D46" s="8">
        <v>0</v>
      </c>
      <c r="E46" s="8">
        <v>1</v>
      </c>
      <c r="F46" s="8" t="s">
        <v>484</v>
      </c>
      <c r="G46" s="8" t="s">
        <v>485</v>
      </c>
      <c r="H46" s="8"/>
      <c r="I46" s="8">
        <v>0</v>
      </c>
      <c r="J46" s="8" t="s">
        <v>846</v>
      </c>
      <c r="K46" s="8" t="s">
        <v>859</v>
      </c>
      <c r="L46" s="8">
        <v>75</v>
      </c>
      <c r="M46" s="8"/>
      <c r="N46" s="8" t="str">
        <f t="shared" si="0"/>
        <v>Status(CriticalRatio, 75)</v>
      </c>
      <c r="O46" s="8">
        <v>0</v>
      </c>
      <c r="P46" s="8">
        <v>0</v>
      </c>
      <c r="Q46" s="8"/>
      <c r="R46" s="9" t="b">
        <v>1</v>
      </c>
    </row>
    <row r="47" spans="1:18" x14ac:dyDescent="0.3">
      <c r="A47" s="20" t="s">
        <v>152</v>
      </c>
      <c r="B47" s="8"/>
      <c r="C47" s="8"/>
      <c r="D47" s="8">
        <v>0</v>
      </c>
      <c r="E47" s="8">
        <v>1</v>
      </c>
      <c r="F47" s="8" t="s">
        <v>484</v>
      </c>
      <c r="G47" s="8" t="s">
        <v>485</v>
      </c>
      <c r="H47" s="8"/>
      <c r="I47" s="8">
        <v>0</v>
      </c>
      <c r="J47" s="8" t="s">
        <v>846</v>
      </c>
      <c r="K47" s="8" t="s">
        <v>859</v>
      </c>
      <c r="L47" s="8">
        <v>80</v>
      </c>
      <c r="M47" s="8"/>
      <c r="N47" s="8" t="str">
        <f t="shared" si="0"/>
        <v>Status(CriticalRatio, 80)</v>
      </c>
      <c r="O47" s="8">
        <v>0</v>
      </c>
      <c r="P47" s="8">
        <v>0</v>
      </c>
      <c r="Q47" s="8"/>
      <c r="R47" s="9" t="b">
        <v>1</v>
      </c>
    </row>
    <row r="48" spans="1:18" x14ac:dyDescent="0.3">
      <c r="A48" s="22" t="s">
        <v>154</v>
      </c>
      <c r="B48" s="23"/>
      <c r="C48" s="23"/>
      <c r="D48" s="23">
        <v>0</v>
      </c>
      <c r="E48" s="23">
        <v>1</v>
      </c>
      <c r="F48" s="23" t="s">
        <v>476</v>
      </c>
      <c r="G48" s="23" t="s">
        <v>477</v>
      </c>
      <c r="H48" s="23"/>
      <c r="I48" s="23">
        <v>0</v>
      </c>
      <c r="J48" s="23" t="s">
        <v>846</v>
      </c>
      <c r="K48" s="23" t="s">
        <v>852</v>
      </c>
      <c r="L48" s="23">
        <v>400</v>
      </c>
      <c r="M48" s="23"/>
      <c r="N48" s="23" t="str">
        <f t="shared" si="0"/>
        <v>Status(AttackRatio, 400)</v>
      </c>
      <c r="O48" s="23">
        <v>0</v>
      </c>
      <c r="P48" s="23">
        <v>0</v>
      </c>
      <c r="Q48" s="23"/>
      <c r="R48" s="24" t="b">
        <v>1</v>
      </c>
    </row>
    <row r="49" spans="1:18" x14ac:dyDescent="0.3">
      <c r="A49" s="26" t="s">
        <v>155</v>
      </c>
      <c r="B49" s="27"/>
      <c r="C49" s="27"/>
      <c r="D49" s="27">
        <v>0</v>
      </c>
      <c r="E49" s="27">
        <v>1</v>
      </c>
      <c r="F49" s="27" t="s">
        <v>476</v>
      </c>
      <c r="G49" s="27" t="s">
        <v>477</v>
      </c>
      <c r="H49" s="27"/>
      <c r="I49" s="27">
        <v>0</v>
      </c>
      <c r="J49" s="27" t="s">
        <v>1486</v>
      </c>
      <c r="K49" s="27" t="s">
        <v>845</v>
      </c>
      <c r="L49" s="27">
        <v>250</v>
      </c>
      <c r="M49" s="27"/>
      <c r="N49" s="27" t="str">
        <f t="shared" si="0"/>
        <v>Shield(MaxHp, 250)</v>
      </c>
      <c r="O49" s="27">
        <v>0</v>
      </c>
      <c r="P49" s="27">
        <v>0</v>
      </c>
      <c r="Q49" s="27"/>
      <c r="R49" s="28" t="b">
        <v>1</v>
      </c>
    </row>
    <row r="50" spans="1:18" x14ac:dyDescent="0.3">
      <c r="A50" s="22" t="s">
        <v>159</v>
      </c>
      <c r="B50" s="23"/>
      <c r="C50" s="23"/>
      <c r="D50" s="23">
        <v>0</v>
      </c>
      <c r="E50" s="23">
        <v>1</v>
      </c>
      <c r="F50" s="23" t="s">
        <v>476</v>
      </c>
      <c r="G50" s="23" t="s">
        <v>477</v>
      </c>
      <c r="H50" s="23"/>
      <c r="I50" s="23">
        <v>0</v>
      </c>
      <c r="J50" s="23" t="s">
        <v>846</v>
      </c>
      <c r="K50" s="23" t="s">
        <v>847</v>
      </c>
      <c r="L50" s="23">
        <v>500</v>
      </c>
      <c r="M50" s="23"/>
      <c r="N50" s="23" t="str">
        <f t="shared" si="0"/>
        <v>Status(DefenseRatio, 500)</v>
      </c>
      <c r="O50" s="23">
        <v>0</v>
      </c>
      <c r="P50" s="23">
        <v>0</v>
      </c>
      <c r="Q50" s="23"/>
      <c r="R50" s="24" t="b">
        <v>1</v>
      </c>
    </row>
    <row r="51" spans="1:18" x14ac:dyDescent="0.3">
      <c r="A51" s="26" t="s">
        <v>161</v>
      </c>
      <c r="B51" s="27"/>
      <c r="C51" s="27"/>
      <c r="D51" s="27">
        <v>0</v>
      </c>
      <c r="E51" s="27">
        <v>1</v>
      </c>
      <c r="F51" s="27" t="s">
        <v>476</v>
      </c>
      <c r="G51" s="27" t="s">
        <v>477</v>
      </c>
      <c r="H51" s="27"/>
      <c r="I51" s="27">
        <v>0</v>
      </c>
      <c r="J51" s="27" t="s">
        <v>501</v>
      </c>
      <c r="K51" s="27" t="s">
        <v>845</v>
      </c>
      <c r="L51" s="27">
        <v>10</v>
      </c>
      <c r="M51" s="27"/>
      <c r="N51" s="27" t="str">
        <f t="shared" si="0"/>
        <v>Burn(MaxHp, 10)</v>
      </c>
      <c r="O51" s="27">
        <v>0</v>
      </c>
      <c r="P51" s="27">
        <v>1000</v>
      </c>
      <c r="Q51" s="27"/>
      <c r="R51" s="28" t="b">
        <v>1</v>
      </c>
    </row>
    <row r="52" spans="1:18" x14ac:dyDescent="0.3">
      <c r="A52" s="22" t="s">
        <v>165</v>
      </c>
      <c r="B52" s="23"/>
      <c r="C52" s="23"/>
      <c r="D52" s="23">
        <v>0</v>
      </c>
      <c r="E52" s="23">
        <v>1</v>
      </c>
      <c r="F52" s="23" t="s">
        <v>476</v>
      </c>
      <c r="G52" s="23" t="s">
        <v>477</v>
      </c>
      <c r="H52" s="23"/>
      <c r="I52" s="23">
        <v>0</v>
      </c>
      <c r="J52" s="23" t="s">
        <v>848</v>
      </c>
      <c r="K52" s="23" t="s">
        <v>850</v>
      </c>
      <c r="L52" s="23"/>
      <c r="M52" s="23"/>
      <c r="N52" s="23" t="str">
        <f t="shared" si="0"/>
        <v>CrowdControl(Knockback)</v>
      </c>
      <c r="O52" s="23">
        <v>0</v>
      </c>
      <c r="P52" s="23">
        <v>0</v>
      </c>
      <c r="Q52" s="23"/>
      <c r="R52" s="24" t="b">
        <v>1</v>
      </c>
    </row>
    <row r="53" spans="1:18" x14ac:dyDescent="0.3">
      <c r="A53" s="22" t="s">
        <v>167</v>
      </c>
      <c r="B53" s="23"/>
      <c r="C53" s="23"/>
      <c r="D53" s="23">
        <v>0</v>
      </c>
      <c r="E53" s="23">
        <v>1</v>
      </c>
      <c r="F53" s="23" t="s">
        <v>476</v>
      </c>
      <c r="G53" s="23" t="s">
        <v>477</v>
      </c>
      <c r="H53" s="23"/>
      <c r="I53" s="23">
        <v>0</v>
      </c>
      <c r="J53" s="23" t="s">
        <v>848</v>
      </c>
      <c r="K53" s="23" t="s">
        <v>850</v>
      </c>
      <c r="L53" s="23"/>
      <c r="M53" s="23"/>
      <c r="N53" s="23" t="str">
        <f t="shared" si="0"/>
        <v>CrowdControl(Knockback)</v>
      </c>
      <c r="O53" s="23">
        <v>0</v>
      </c>
      <c r="P53" s="23">
        <v>0</v>
      </c>
      <c r="Q53" s="23"/>
      <c r="R53" s="24" t="b">
        <v>1</v>
      </c>
    </row>
    <row r="54" spans="1:18" x14ac:dyDescent="0.3">
      <c r="A54" s="26" t="s">
        <v>169</v>
      </c>
      <c r="B54" s="27"/>
      <c r="C54" s="27"/>
      <c r="D54" s="27">
        <v>0</v>
      </c>
      <c r="E54" s="27">
        <v>1</v>
      </c>
      <c r="F54" s="27" t="s">
        <v>476</v>
      </c>
      <c r="G54" s="27" t="s">
        <v>477</v>
      </c>
      <c r="H54" s="27"/>
      <c r="I54" s="27">
        <v>0</v>
      </c>
      <c r="J54" s="27" t="s">
        <v>846</v>
      </c>
      <c r="K54" s="27" t="s">
        <v>852</v>
      </c>
      <c r="L54" s="27">
        <v>400</v>
      </c>
      <c r="M54" s="27"/>
      <c r="N54" s="27" t="str">
        <f t="shared" si="0"/>
        <v>Status(AttackRatio, 400)</v>
      </c>
      <c r="O54" s="27">
        <v>0</v>
      </c>
      <c r="P54" s="27">
        <v>0</v>
      </c>
      <c r="Q54" s="27"/>
      <c r="R54" s="28" t="b">
        <v>1</v>
      </c>
    </row>
    <row r="55" spans="1:18" x14ac:dyDescent="0.3">
      <c r="A55" s="26" t="s">
        <v>486</v>
      </c>
      <c r="B55" s="27"/>
      <c r="C55" s="27"/>
      <c r="D55" s="27">
        <v>0</v>
      </c>
      <c r="E55" s="27">
        <v>1</v>
      </c>
      <c r="F55" s="27" t="s">
        <v>476</v>
      </c>
      <c r="G55" s="27" t="s">
        <v>477</v>
      </c>
      <c r="H55" s="27"/>
      <c r="I55" s="27">
        <v>0</v>
      </c>
      <c r="J55" s="27" t="s">
        <v>860</v>
      </c>
      <c r="K55" s="27" t="s">
        <v>861</v>
      </c>
      <c r="L55" s="27"/>
      <c r="M55" s="27"/>
      <c r="N55" s="27" t="str">
        <f t="shared" si="0"/>
        <v>Active(Sector01.harbor_crab_1.passive01.buff.buffeffect.skilleffect)</v>
      </c>
      <c r="O55" s="27">
        <v>0</v>
      </c>
      <c r="P55" s="27">
        <v>0</v>
      </c>
      <c r="Q55" s="27"/>
      <c r="R55" s="28" t="b">
        <v>1</v>
      </c>
    </row>
    <row r="56" spans="1:18" x14ac:dyDescent="0.3">
      <c r="A56" s="215" t="s">
        <v>1494</v>
      </c>
      <c r="B56" s="216" t="s">
        <v>487</v>
      </c>
      <c r="C56" s="216" t="s">
        <v>1415</v>
      </c>
      <c r="D56" s="216">
        <v>0</v>
      </c>
      <c r="E56" s="216"/>
      <c r="F56" s="216" t="s">
        <v>476</v>
      </c>
      <c r="G56" s="216" t="s">
        <v>477</v>
      </c>
      <c r="H56" s="216"/>
      <c r="I56" s="216">
        <v>0</v>
      </c>
      <c r="J56" s="216" t="s">
        <v>860</v>
      </c>
      <c r="K56" s="216" t="s">
        <v>1416</v>
      </c>
      <c r="L56" s="216"/>
      <c r="M56" s="216"/>
      <c r="N56" s="216" t="str">
        <f t="shared" si="0"/>
        <v>Active(Sector01.harbor_crab_1.passive01.buff.buffeffect.skilleffect)</v>
      </c>
      <c r="O56" s="216">
        <v>0</v>
      </c>
      <c r="P56" s="216">
        <v>9000</v>
      </c>
      <c r="Q56" s="216"/>
      <c r="R56" s="217" t="b">
        <v>1</v>
      </c>
    </row>
    <row r="57" spans="1:18" x14ac:dyDescent="0.3">
      <c r="A57" s="26" t="s">
        <v>171</v>
      </c>
      <c r="B57" s="27"/>
      <c r="C57" s="27"/>
      <c r="D57" s="27">
        <v>0</v>
      </c>
      <c r="E57" s="27">
        <v>1</v>
      </c>
      <c r="F57" s="27" t="s">
        <v>476</v>
      </c>
      <c r="G57" s="27" t="s">
        <v>477</v>
      </c>
      <c r="H57" s="27"/>
      <c r="I57" s="27">
        <v>0</v>
      </c>
      <c r="J57" s="27" t="s">
        <v>862</v>
      </c>
      <c r="K57" s="27" t="s">
        <v>863</v>
      </c>
      <c r="L57" s="27">
        <v>100</v>
      </c>
      <c r="M57" s="27"/>
      <c r="N57" s="27" t="str">
        <f t="shared" si="0"/>
        <v>EffectImmune(Damage, 100)</v>
      </c>
      <c r="O57" s="27">
        <v>1</v>
      </c>
      <c r="P57" s="27">
        <v>0</v>
      </c>
      <c r="Q57" s="27"/>
      <c r="R57" s="28" t="b">
        <v>1</v>
      </c>
    </row>
    <row r="58" spans="1:18" x14ac:dyDescent="0.3">
      <c r="A58" s="26" t="s">
        <v>488</v>
      </c>
      <c r="B58" s="27"/>
      <c r="C58" s="27"/>
      <c r="D58" s="27">
        <v>0</v>
      </c>
      <c r="E58" s="27">
        <v>1</v>
      </c>
      <c r="F58" s="27" t="s">
        <v>476</v>
      </c>
      <c r="G58" s="27" t="s">
        <v>477</v>
      </c>
      <c r="H58" s="27"/>
      <c r="I58" s="27">
        <v>0</v>
      </c>
      <c r="J58" s="27" t="s">
        <v>1080</v>
      </c>
      <c r="K58" s="27" t="s">
        <v>1081</v>
      </c>
      <c r="L58" s="27" t="s">
        <v>864</v>
      </c>
      <c r="M58" s="27"/>
      <c r="N58" s="27" t="str">
        <f t="shared" si="0"/>
        <v>Event(Immune, Sector01.harbor_crab_1.passive01.shield.buff.buffeffect02.skilleffect)</v>
      </c>
      <c r="O58" s="27">
        <v>0</v>
      </c>
      <c r="P58" s="27">
        <v>0</v>
      </c>
      <c r="Q58" s="27"/>
      <c r="R58" s="28" t="b">
        <v>1</v>
      </c>
    </row>
    <row r="59" spans="1:18" x14ac:dyDescent="0.3">
      <c r="A59" s="22" t="s">
        <v>489</v>
      </c>
      <c r="B59" s="23"/>
      <c r="C59" s="23"/>
      <c r="D59" s="23">
        <v>0</v>
      </c>
      <c r="E59" s="23">
        <v>1</v>
      </c>
      <c r="F59" s="23" t="s">
        <v>476</v>
      </c>
      <c r="G59" s="23" t="s">
        <v>477</v>
      </c>
      <c r="H59" s="23"/>
      <c r="I59" s="23">
        <v>0</v>
      </c>
      <c r="J59" s="23" t="s">
        <v>835</v>
      </c>
      <c r="K59" s="23" t="s">
        <v>981</v>
      </c>
      <c r="L59" s="23">
        <v>90000</v>
      </c>
      <c r="M59" s="23"/>
      <c r="N59" s="23" t="str">
        <f t="shared" si="0"/>
        <v>Shield(Defense, 90000)</v>
      </c>
      <c r="O59" s="23">
        <v>0</v>
      </c>
      <c r="P59" s="23">
        <v>0</v>
      </c>
      <c r="Q59" s="23"/>
      <c r="R59" s="24" t="b">
        <v>1</v>
      </c>
    </row>
    <row r="60" spans="1:18" x14ac:dyDescent="0.3">
      <c r="A60" s="22" t="s">
        <v>490</v>
      </c>
      <c r="B60" s="23"/>
      <c r="C60" s="23"/>
      <c r="D60" s="23">
        <v>0</v>
      </c>
      <c r="E60" s="23">
        <v>1</v>
      </c>
      <c r="F60" s="23" t="s">
        <v>476</v>
      </c>
      <c r="G60" s="23" t="s">
        <v>477</v>
      </c>
      <c r="H60" s="23"/>
      <c r="I60" s="23">
        <v>0</v>
      </c>
      <c r="J60" s="23" t="s">
        <v>865</v>
      </c>
      <c r="K60" s="23" t="s">
        <v>1421</v>
      </c>
      <c r="L60" s="23">
        <v>800</v>
      </c>
      <c r="M60" s="23"/>
      <c r="N60" s="23" t="str">
        <f t="shared" si="0"/>
        <v>Reflect(All, 800)</v>
      </c>
      <c r="O60" s="23">
        <v>0</v>
      </c>
      <c r="P60" s="23">
        <v>0</v>
      </c>
      <c r="Q60" s="23"/>
      <c r="R60" s="24" t="b">
        <v>1</v>
      </c>
    </row>
    <row r="61" spans="1:18" x14ac:dyDescent="0.3">
      <c r="A61" s="22" t="s">
        <v>491</v>
      </c>
      <c r="B61" s="23"/>
      <c r="C61" s="23"/>
      <c r="D61" s="23">
        <v>0</v>
      </c>
      <c r="E61" s="23">
        <v>1</v>
      </c>
      <c r="F61" s="23" t="s">
        <v>476</v>
      </c>
      <c r="G61" s="23" t="s">
        <v>477</v>
      </c>
      <c r="H61" s="23"/>
      <c r="I61" s="23">
        <v>0</v>
      </c>
      <c r="J61" s="23" t="s">
        <v>470</v>
      </c>
      <c r="K61" s="23" t="s">
        <v>867</v>
      </c>
      <c r="L61" s="23" t="s">
        <v>866</v>
      </c>
      <c r="M61" s="23"/>
      <c r="N61" s="23" t="str">
        <f t="shared" si="0"/>
        <v>Effect(BeHit, Sector01.harbor_punch_1.skill01.effect01.buff.buffeffect03.skilleffect)</v>
      </c>
      <c r="O61" s="23">
        <v>0</v>
      </c>
      <c r="P61" s="23">
        <v>0</v>
      </c>
      <c r="Q61" s="23"/>
      <c r="R61" s="24" t="b">
        <v>1</v>
      </c>
    </row>
    <row r="62" spans="1:18" x14ac:dyDescent="0.3">
      <c r="A62" s="22" t="s">
        <v>183</v>
      </c>
      <c r="B62" s="23"/>
      <c r="C62" s="23"/>
      <c r="D62" s="23">
        <v>0</v>
      </c>
      <c r="E62" s="23">
        <v>1</v>
      </c>
      <c r="F62" s="23" t="s">
        <v>476</v>
      </c>
      <c r="G62" s="23" t="s">
        <v>477</v>
      </c>
      <c r="H62" s="23"/>
      <c r="I62" s="23">
        <v>0</v>
      </c>
      <c r="J62" s="23" t="s">
        <v>848</v>
      </c>
      <c r="K62" s="23" t="s">
        <v>850</v>
      </c>
      <c r="L62" s="23"/>
      <c r="M62" s="23"/>
      <c r="N62" s="23" t="str">
        <f t="shared" si="0"/>
        <v>CrowdControl(Knockback)</v>
      </c>
      <c r="O62" s="23">
        <v>0</v>
      </c>
      <c r="P62" s="23">
        <v>0</v>
      </c>
      <c r="Q62" s="23"/>
      <c r="R62" s="24" t="b">
        <v>1</v>
      </c>
    </row>
    <row r="63" spans="1:18" x14ac:dyDescent="0.3">
      <c r="A63" s="26" t="s">
        <v>185</v>
      </c>
      <c r="B63" s="27"/>
      <c r="C63" s="27"/>
      <c r="D63" s="27">
        <v>0</v>
      </c>
      <c r="E63" s="27">
        <v>1</v>
      </c>
      <c r="F63" s="27" t="s">
        <v>476</v>
      </c>
      <c r="G63" s="27" t="s">
        <v>477</v>
      </c>
      <c r="H63" s="27"/>
      <c r="I63" s="27">
        <v>0</v>
      </c>
      <c r="J63" s="27" t="s">
        <v>835</v>
      </c>
      <c r="K63" s="27" t="s">
        <v>944</v>
      </c>
      <c r="L63" s="27">
        <v>20000</v>
      </c>
      <c r="M63" s="27"/>
      <c r="N63" s="27" t="str">
        <f t="shared" si="0"/>
        <v>Shield(Defense, 20000)</v>
      </c>
      <c r="O63" s="27">
        <v>0</v>
      </c>
      <c r="P63" s="27">
        <v>0</v>
      </c>
      <c r="Q63" s="27"/>
      <c r="R63" s="28" t="b">
        <v>1</v>
      </c>
    </row>
    <row r="64" spans="1:18" x14ac:dyDescent="0.3">
      <c r="A64" s="26" t="s">
        <v>187</v>
      </c>
      <c r="B64" s="27"/>
      <c r="C64" s="27"/>
      <c r="D64" s="27">
        <v>0</v>
      </c>
      <c r="E64" s="27">
        <v>1</v>
      </c>
      <c r="F64" s="27" t="s">
        <v>476</v>
      </c>
      <c r="G64" s="27" t="s">
        <v>477</v>
      </c>
      <c r="H64" s="27"/>
      <c r="I64" s="27">
        <v>0</v>
      </c>
      <c r="J64" s="27" t="s">
        <v>848</v>
      </c>
      <c r="K64" s="27" t="s">
        <v>849</v>
      </c>
      <c r="L64" s="27"/>
      <c r="M64" s="27"/>
      <c r="N64" s="27" t="str">
        <f t="shared" si="0"/>
        <v>CrowdControl(Stun)</v>
      </c>
      <c r="O64" s="27">
        <v>0</v>
      </c>
      <c r="P64" s="27">
        <v>0</v>
      </c>
      <c r="Q64" s="27"/>
      <c r="R64" s="28" t="b">
        <v>1</v>
      </c>
    </row>
    <row r="65" spans="1:18" x14ac:dyDescent="0.3">
      <c r="A65" s="26" t="s">
        <v>1241</v>
      </c>
      <c r="B65" s="27"/>
      <c r="C65" s="27"/>
      <c r="D65" s="27">
        <v>0</v>
      </c>
      <c r="E65" s="27">
        <v>1</v>
      </c>
      <c r="F65" s="27" t="s">
        <v>476</v>
      </c>
      <c r="G65" s="27" t="s">
        <v>477</v>
      </c>
      <c r="H65" s="27"/>
      <c r="I65" s="27">
        <v>0</v>
      </c>
      <c r="J65" s="27" t="s">
        <v>846</v>
      </c>
      <c r="K65" s="27" t="s">
        <v>2117</v>
      </c>
      <c r="L65" s="136">
        <v>200</v>
      </c>
      <c r="M65" s="27"/>
      <c r="N65" s="27" t="str">
        <f t="shared" si="0"/>
        <v>Status(RangeDamageRate, 200)</v>
      </c>
      <c r="O65" s="27">
        <v>0</v>
      </c>
      <c r="P65" s="27">
        <v>0</v>
      </c>
      <c r="Q65" s="27"/>
      <c r="R65" s="28" t="b">
        <v>1</v>
      </c>
    </row>
    <row r="66" spans="1:18" x14ac:dyDescent="0.3">
      <c r="A66" s="135" t="s">
        <v>492</v>
      </c>
      <c r="B66" s="136"/>
      <c r="C66" s="136"/>
      <c r="D66" s="136">
        <v>0</v>
      </c>
      <c r="E66" s="136">
        <v>1</v>
      </c>
      <c r="F66" s="136" t="s">
        <v>476</v>
      </c>
      <c r="G66" s="136" t="s">
        <v>477</v>
      </c>
      <c r="H66" s="136"/>
      <c r="I66" s="136">
        <v>0</v>
      </c>
      <c r="J66" s="136" t="s">
        <v>835</v>
      </c>
      <c r="K66" s="136" t="s">
        <v>944</v>
      </c>
      <c r="L66" s="136">
        <v>25000</v>
      </c>
      <c r="M66" s="136"/>
      <c r="N66" s="136" t="str">
        <f t="shared" si="0"/>
        <v>Shield(Defense, 25000)</v>
      </c>
      <c r="O66" s="136">
        <v>0</v>
      </c>
      <c r="P66" s="136">
        <v>0</v>
      </c>
      <c r="Q66" s="136"/>
      <c r="R66" s="137" t="b">
        <v>1</v>
      </c>
    </row>
    <row r="67" spans="1:18" x14ac:dyDescent="0.3">
      <c r="A67" s="135" t="s">
        <v>493</v>
      </c>
      <c r="B67" s="136"/>
      <c r="C67" s="136"/>
      <c r="D67" s="136">
        <v>0</v>
      </c>
      <c r="E67" s="136">
        <v>1</v>
      </c>
      <c r="F67" s="136" t="s">
        <v>476</v>
      </c>
      <c r="G67" s="136" t="s">
        <v>477</v>
      </c>
      <c r="H67" s="136"/>
      <c r="I67" s="136">
        <v>0</v>
      </c>
      <c r="J67" s="136" t="s">
        <v>865</v>
      </c>
      <c r="K67" s="136" t="s">
        <v>1421</v>
      </c>
      <c r="L67" s="136">
        <v>1000</v>
      </c>
      <c r="M67" s="136"/>
      <c r="N67" s="136" t="str">
        <f t="shared" si="0"/>
        <v>Reflect(All, 1000)</v>
      </c>
      <c r="O67" s="136">
        <v>0</v>
      </c>
      <c r="P67" s="136">
        <v>0</v>
      </c>
      <c r="Q67" s="136"/>
      <c r="R67" s="137" t="b">
        <v>1</v>
      </c>
    </row>
    <row r="68" spans="1:18" x14ac:dyDescent="0.3">
      <c r="A68" s="135" t="s">
        <v>1085</v>
      </c>
      <c r="B68" s="136"/>
      <c r="C68" s="136"/>
      <c r="D68" s="136">
        <v>0</v>
      </c>
      <c r="E68" s="136">
        <v>1</v>
      </c>
      <c r="F68" s="136" t="s">
        <v>476</v>
      </c>
      <c r="G68" s="136" t="s">
        <v>477</v>
      </c>
      <c r="H68" s="136"/>
      <c r="I68" s="136">
        <v>0</v>
      </c>
      <c r="J68" s="136" t="s">
        <v>470</v>
      </c>
      <c r="K68" s="136" t="s">
        <v>867</v>
      </c>
      <c r="L68" s="136" t="s">
        <v>1086</v>
      </c>
      <c r="M68" s="136"/>
      <c r="N68" s="136" t="str">
        <f t="shared" ref="N68" si="1">J68&amp;"("&amp;IF(K68="","",K68)&amp;IF(L68="","",", "&amp;L68)&amp;IF(M68="","",", "&amp;M68)&amp;")"</f>
        <v>Effect(BeHit, Sector01.gallius_2.skill01.effect01.shield.buff.buffeffect03.skilleffect)</v>
      </c>
      <c r="O68" s="136">
        <v>0</v>
      </c>
      <c r="P68" s="136">
        <v>0</v>
      </c>
      <c r="Q68" s="136"/>
      <c r="R68" s="137" t="b">
        <v>1</v>
      </c>
    </row>
    <row r="69" spans="1:18" x14ac:dyDescent="0.3">
      <c r="A69" s="135" t="s">
        <v>191</v>
      </c>
      <c r="B69" s="136"/>
      <c r="C69" s="136"/>
      <c r="D69" s="136">
        <v>0</v>
      </c>
      <c r="E69" s="136">
        <v>1</v>
      </c>
      <c r="F69" s="136" t="s">
        <v>476</v>
      </c>
      <c r="G69" s="136" t="s">
        <v>477</v>
      </c>
      <c r="H69" s="136"/>
      <c r="I69" s="136">
        <v>0</v>
      </c>
      <c r="J69" s="136" t="s">
        <v>848</v>
      </c>
      <c r="K69" s="136" t="s">
        <v>849</v>
      </c>
      <c r="L69" s="136"/>
      <c r="M69" s="136"/>
      <c r="N69" s="136" t="str">
        <f t="shared" si="0"/>
        <v>CrowdControl(Stun)</v>
      </c>
      <c r="O69" s="136">
        <v>0</v>
      </c>
      <c r="P69" s="136">
        <v>0</v>
      </c>
      <c r="Q69" s="136"/>
      <c r="R69" s="137" t="b">
        <v>1</v>
      </c>
    </row>
    <row r="70" spans="1:18" x14ac:dyDescent="0.3">
      <c r="A70" s="135" t="s">
        <v>1242</v>
      </c>
      <c r="B70" s="136"/>
      <c r="C70" s="136"/>
      <c r="D70" s="136">
        <v>0</v>
      </c>
      <c r="E70" s="136">
        <v>1</v>
      </c>
      <c r="F70" s="136" t="s">
        <v>476</v>
      </c>
      <c r="G70" s="136" t="s">
        <v>477</v>
      </c>
      <c r="H70" s="136"/>
      <c r="I70" s="136">
        <v>0</v>
      </c>
      <c r="J70" s="136" t="s">
        <v>846</v>
      </c>
      <c r="K70" s="136" t="s">
        <v>2117</v>
      </c>
      <c r="L70" s="136">
        <v>400</v>
      </c>
      <c r="M70" s="136"/>
      <c r="N70" s="136" t="str">
        <f t="shared" si="0"/>
        <v>Status(RangeDamageRate, 400)</v>
      </c>
      <c r="O70" s="136">
        <v>0</v>
      </c>
      <c r="P70" s="136">
        <v>0</v>
      </c>
      <c r="Q70" s="136"/>
      <c r="R70" s="137" t="b">
        <v>1</v>
      </c>
    </row>
    <row r="71" spans="1:18" x14ac:dyDescent="0.3">
      <c r="A71" s="30" t="s">
        <v>193</v>
      </c>
      <c r="B71" s="31"/>
      <c r="C71" s="31"/>
      <c r="D71" s="31">
        <v>0</v>
      </c>
      <c r="E71" s="31">
        <v>1</v>
      </c>
      <c r="F71" s="31" t="s">
        <v>476</v>
      </c>
      <c r="G71" s="31" t="s">
        <v>477</v>
      </c>
      <c r="H71" s="31"/>
      <c r="I71" s="31">
        <v>0</v>
      </c>
      <c r="J71" s="31" t="s">
        <v>846</v>
      </c>
      <c r="K71" s="31" t="s">
        <v>847</v>
      </c>
      <c r="L71" s="31">
        <v>1800</v>
      </c>
      <c r="M71" s="31"/>
      <c r="N71" s="31" t="str">
        <f t="shared" si="0"/>
        <v>Status(DefenseRatio, 1800)</v>
      </c>
      <c r="O71" s="31">
        <v>0</v>
      </c>
      <c r="P71" s="31">
        <v>0</v>
      </c>
      <c r="Q71" s="31"/>
      <c r="R71" s="32" t="b">
        <v>1</v>
      </c>
    </row>
    <row r="72" spans="1:18" x14ac:dyDescent="0.3">
      <c r="A72" s="47" t="s">
        <v>1487</v>
      </c>
      <c r="B72" s="45"/>
      <c r="C72" s="45"/>
      <c r="D72" s="45">
        <v>0</v>
      </c>
      <c r="E72" s="45">
        <v>1</v>
      </c>
      <c r="F72" s="45" t="s">
        <v>476</v>
      </c>
      <c r="G72" s="45" t="s">
        <v>477</v>
      </c>
      <c r="H72" s="45"/>
      <c r="I72" s="45">
        <v>0</v>
      </c>
      <c r="J72" s="45" t="s">
        <v>835</v>
      </c>
      <c r="K72" s="45" t="s">
        <v>944</v>
      </c>
      <c r="L72" s="45">
        <v>9000</v>
      </c>
      <c r="M72" s="45"/>
      <c r="N72" s="45" t="str">
        <f t="shared" ref="N72:N136" si="2">J72&amp;"("&amp;IF(K72="","",K72)&amp;IF(L72="","",", "&amp;L72)&amp;IF(M72="","",", "&amp;M72)&amp;")"</f>
        <v>Shield(Defense, 9000)</v>
      </c>
      <c r="O72" s="45">
        <v>0</v>
      </c>
      <c r="P72" s="45">
        <v>0</v>
      </c>
      <c r="Q72" s="45"/>
      <c r="R72" s="46" t="b">
        <v>1</v>
      </c>
    </row>
    <row r="73" spans="1:18" x14ac:dyDescent="0.3">
      <c r="A73" s="30" t="s">
        <v>196</v>
      </c>
      <c r="B73" s="31"/>
      <c r="C73" s="31"/>
      <c r="D73" s="31">
        <v>0</v>
      </c>
      <c r="E73" s="31">
        <v>1</v>
      </c>
      <c r="F73" s="31" t="s">
        <v>476</v>
      </c>
      <c r="G73" s="31" t="s">
        <v>477</v>
      </c>
      <c r="H73" s="31"/>
      <c r="I73" s="31">
        <v>0</v>
      </c>
      <c r="J73" s="31" t="s">
        <v>501</v>
      </c>
      <c r="K73" s="31" t="s">
        <v>845</v>
      </c>
      <c r="L73" s="31">
        <v>20</v>
      </c>
      <c r="M73" s="31"/>
      <c r="N73" s="31" t="str">
        <f t="shared" si="2"/>
        <v>Burn(MaxHp, 20)</v>
      </c>
      <c r="O73" s="31">
        <v>0</v>
      </c>
      <c r="P73" s="31">
        <v>1000</v>
      </c>
      <c r="Q73" s="31"/>
      <c r="R73" s="32" t="b">
        <v>1</v>
      </c>
    </row>
    <row r="74" spans="1:18" x14ac:dyDescent="0.3">
      <c r="A74" s="47" t="s">
        <v>198</v>
      </c>
      <c r="B74" s="45"/>
      <c r="C74" s="45"/>
      <c r="D74" s="45">
        <v>0</v>
      </c>
      <c r="E74" s="45">
        <v>1</v>
      </c>
      <c r="F74" s="45" t="s">
        <v>476</v>
      </c>
      <c r="G74" s="45" t="s">
        <v>477</v>
      </c>
      <c r="H74" s="45"/>
      <c r="I74" s="45">
        <v>0</v>
      </c>
      <c r="J74" s="45" t="s">
        <v>848</v>
      </c>
      <c r="K74" s="45" t="s">
        <v>850</v>
      </c>
      <c r="L74" s="45"/>
      <c r="M74" s="45"/>
      <c r="N74" s="45" t="str">
        <f t="shared" si="2"/>
        <v>CrowdControl(Knockback)</v>
      </c>
      <c r="O74" s="45">
        <v>0</v>
      </c>
      <c r="P74" s="45">
        <v>0</v>
      </c>
      <c r="Q74" s="45"/>
      <c r="R74" s="46" t="b">
        <v>1</v>
      </c>
    </row>
    <row r="75" spans="1:18" x14ac:dyDescent="0.3">
      <c r="A75" s="30" t="s">
        <v>200</v>
      </c>
      <c r="B75" s="31"/>
      <c r="C75" s="31"/>
      <c r="D75" s="31">
        <v>0</v>
      </c>
      <c r="E75" s="31">
        <v>1</v>
      </c>
      <c r="F75" s="31" t="s">
        <v>476</v>
      </c>
      <c r="G75" s="31" t="s">
        <v>477</v>
      </c>
      <c r="H75" s="31"/>
      <c r="I75" s="31">
        <v>0</v>
      </c>
      <c r="J75" s="31" t="s">
        <v>848</v>
      </c>
      <c r="K75" s="31" t="s">
        <v>850</v>
      </c>
      <c r="L75" s="31"/>
      <c r="M75" s="31"/>
      <c r="N75" s="31" t="str">
        <f t="shared" si="2"/>
        <v>CrowdControl(Knockback)</v>
      </c>
      <c r="O75" s="31">
        <v>0</v>
      </c>
      <c r="P75" s="31">
        <v>0</v>
      </c>
      <c r="Q75" s="31"/>
      <c r="R75" s="32" t="b">
        <v>1</v>
      </c>
    </row>
    <row r="76" spans="1:18" x14ac:dyDescent="0.3">
      <c r="A76" s="47" t="s">
        <v>202</v>
      </c>
      <c r="B76" s="45"/>
      <c r="C76" s="45"/>
      <c r="D76" s="45">
        <v>0</v>
      </c>
      <c r="E76" s="45">
        <v>1</v>
      </c>
      <c r="F76" s="45" t="s">
        <v>476</v>
      </c>
      <c r="G76" s="45" t="s">
        <v>477</v>
      </c>
      <c r="H76" s="45"/>
      <c r="I76" s="45">
        <v>0</v>
      </c>
      <c r="J76" s="45" t="s">
        <v>848</v>
      </c>
      <c r="K76" s="45" t="s">
        <v>850</v>
      </c>
      <c r="L76" s="45"/>
      <c r="M76" s="45"/>
      <c r="N76" s="45" t="str">
        <f t="shared" si="2"/>
        <v>CrowdControl(Knockback)</v>
      </c>
      <c r="O76" s="45">
        <v>0</v>
      </c>
      <c r="P76" s="45">
        <v>0</v>
      </c>
      <c r="Q76" s="45"/>
      <c r="R76" s="46" t="b">
        <v>1</v>
      </c>
    </row>
    <row r="77" spans="1:18" x14ac:dyDescent="0.3">
      <c r="A77" s="139" t="s">
        <v>204</v>
      </c>
      <c r="B77" s="140"/>
      <c r="C77" s="140"/>
      <c r="D77" s="140">
        <v>0</v>
      </c>
      <c r="E77" s="140">
        <v>1</v>
      </c>
      <c r="F77" s="140" t="s">
        <v>476</v>
      </c>
      <c r="G77" s="140" t="s">
        <v>477</v>
      </c>
      <c r="H77" s="140"/>
      <c r="I77" s="140">
        <v>0</v>
      </c>
      <c r="J77" s="140" t="s">
        <v>470</v>
      </c>
      <c r="K77" s="140" t="s">
        <v>867</v>
      </c>
      <c r="L77" s="140" t="s">
        <v>868</v>
      </c>
      <c r="M77" s="140"/>
      <c r="N77" s="140" t="str">
        <f t="shared" si="2"/>
        <v>Effect(BeHit, Sector02.cassandra_1.passive01.buff.buffeffect.skilleffect01)</v>
      </c>
      <c r="O77" s="31">
        <v>0</v>
      </c>
      <c r="P77" s="31">
        <v>0</v>
      </c>
      <c r="Q77" s="31"/>
      <c r="R77" s="32" t="b">
        <v>1</v>
      </c>
    </row>
    <row r="78" spans="1:18" x14ac:dyDescent="0.3">
      <c r="A78" s="54" t="s">
        <v>206</v>
      </c>
      <c r="B78" s="51"/>
      <c r="C78" s="51"/>
      <c r="D78" s="51">
        <v>0</v>
      </c>
      <c r="E78" s="51">
        <v>1</v>
      </c>
      <c r="F78" s="51" t="s">
        <v>476</v>
      </c>
      <c r="G78" s="51" t="s">
        <v>477</v>
      </c>
      <c r="H78" s="51"/>
      <c r="I78" s="51">
        <v>0</v>
      </c>
      <c r="J78" s="51" t="s">
        <v>846</v>
      </c>
      <c r="K78" s="51" t="s">
        <v>869</v>
      </c>
      <c r="L78" s="51">
        <v>-500</v>
      </c>
      <c r="M78" s="51"/>
      <c r="N78" s="51" t="str">
        <f t="shared" si="2"/>
        <v>Status(AddEnergyRate, -500)</v>
      </c>
      <c r="O78" s="49">
        <v>0</v>
      </c>
      <c r="P78" s="49">
        <v>0</v>
      </c>
      <c r="Q78" s="49"/>
      <c r="R78" s="50" t="b">
        <v>1</v>
      </c>
    </row>
    <row r="79" spans="1:18" x14ac:dyDescent="0.3">
      <c r="A79" s="54" t="s">
        <v>210</v>
      </c>
      <c r="B79" s="51"/>
      <c r="C79" s="51"/>
      <c r="D79" s="51">
        <v>0</v>
      </c>
      <c r="E79" s="51">
        <v>1</v>
      </c>
      <c r="F79" s="51" t="s">
        <v>476</v>
      </c>
      <c r="G79" s="51" t="s">
        <v>477</v>
      </c>
      <c r="H79" s="51"/>
      <c r="I79" s="51">
        <v>0</v>
      </c>
      <c r="J79" s="51" t="s">
        <v>470</v>
      </c>
      <c r="K79" s="51" t="s">
        <v>867</v>
      </c>
      <c r="L79" s="51" t="s">
        <v>870</v>
      </c>
      <c r="M79" s="51"/>
      <c r="N79" s="51" t="str">
        <f t="shared" si="2"/>
        <v>Effect(BeHit, Sector02.cassandra_2.passive01.buff.buffeffect.skilleffect01)</v>
      </c>
      <c r="O79" s="49">
        <v>0</v>
      </c>
      <c r="P79" s="49">
        <v>0</v>
      </c>
      <c r="Q79" s="49"/>
      <c r="R79" s="50" t="b">
        <v>1</v>
      </c>
    </row>
    <row r="80" spans="1:18" x14ac:dyDescent="0.3">
      <c r="A80" s="54" t="s">
        <v>212</v>
      </c>
      <c r="B80" s="51"/>
      <c r="C80" s="51"/>
      <c r="D80" s="51">
        <v>0</v>
      </c>
      <c r="E80" s="51">
        <v>1</v>
      </c>
      <c r="F80" s="51" t="s">
        <v>476</v>
      </c>
      <c r="G80" s="51" t="s">
        <v>477</v>
      </c>
      <c r="H80" s="51"/>
      <c r="I80" s="51">
        <v>0</v>
      </c>
      <c r="J80" s="51" t="s">
        <v>846</v>
      </c>
      <c r="K80" s="51" t="s">
        <v>852</v>
      </c>
      <c r="L80" s="51">
        <v>2</v>
      </c>
      <c r="M80" s="51"/>
      <c r="N80" s="51" t="str">
        <f t="shared" si="2"/>
        <v>Status(AttackRatio, 2)</v>
      </c>
      <c r="O80" s="49">
        <v>0</v>
      </c>
      <c r="P80" s="49">
        <v>0</v>
      </c>
      <c r="Q80" s="49"/>
      <c r="R80" s="50" t="b">
        <v>1</v>
      </c>
    </row>
    <row r="81" spans="1:18" x14ac:dyDescent="0.3">
      <c r="A81" s="54" t="s">
        <v>215</v>
      </c>
      <c r="B81" s="51"/>
      <c r="C81" s="51"/>
      <c r="D81" s="51">
        <v>0</v>
      </c>
      <c r="E81" s="51">
        <v>1</v>
      </c>
      <c r="F81" s="51" t="s">
        <v>476</v>
      </c>
      <c r="G81" s="51" t="s">
        <v>477</v>
      </c>
      <c r="H81" s="51"/>
      <c r="I81" s="51">
        <v>0</v>
      </c>
      <c r="J81" s="51" t="s">
        <v>871</v>
      </c>
      <c r="K81" s="51"/>
      <c r="L81" s="51"/>
      <c r="M81" s="51"/>
      <c r="N81" s="51" t="str">
        <f t="shared" si="2"/>
        <v>None()</v>
      </c>
      <c r="O81" s="49">
        <v>0</v>
      </c>
      <c r="P81" s="49">
        <v>0</v>
      </c>
      <c r="Q81" s="49"/>
      <c r="R81" s="50" t="b">
        <v>1</v>
      </c>
    </row>
    <row r="82" spans="1:18" x14ac:dyDescent="0.3">
      <c r="A82" s="20" t="s">
        <v>1488</v>
      </c>
      <c r="B82" s="33"/>
      <c r="C82" s="33"/>
      <c r="D82" s="33">
        <v>0</v>
      </c>
      <c r="E82" s="33">
        <v>1</v>
      </c>
      <c r="F82" s="33" t="s">
        <v>476</v>
      </c>
      <c r="G82" s="33" t="s">
        <v>477</v>
      </c>
      <c r="H82" s="33"/>
      <c r="I82" s="33">
        <v>0</v>
      </c>
      <c r="J82" s="33" t="s">
        <v>835</v>
      </c>
      <c r="K82" s="33" t="s">
        <v>981</v>
      </c>
      <c r="L82" s="33">
        <v>9000</v>
      </c>
      <c r="M82" s="33"/>
      <c r="N82" s="33" t="str">
        <f t="shared" si="2"/>
        <v>Shield(Defense, 9000)</v>
      </c>
      <c r="O82" s="33">
        <v>0</v>
      </c>
      <c r="P82" s="33">
        <v>0</v>
      </c>
      <c r="Q82" s="33"/>
      <c r="R82" s="34" t="b">
        <v>1</v>
      </c>
    </row>
    <row r="83" spans="1:18" x14ac:dyDescent="0.3">
      <c r="A83" s="20" t="s">
        <v>220</v>
      </c>
      <c r="B83" s="33"/>
      <c r="C83" s="33"/>
      <c r="D83" s="33">
        <v>0</v>
      </c>
      <c r="E83" s="33">
        <v>1</v>
      </c>
      <c r="F83" s="33" t="s">
        <v>476</v>
      </c>
      <c r="G83" s="33" t="s">
        <v>477</v>
      </c>
      <c r="H83" s="33"/>
      <c r="I83" s="33">
        <v>0</v>
      </c>
      <c r="J83" s="33" t="s">
        <v>846</v>
      </c>
      <c r="K83" s="33" t="s">
        <v>847</v>
      </c>
      <c r="L83" s="33">
        <v>1800</v>
      </c>
      <c r="M83" s="33"/>
      <c r="N83" s="33" t="str">
        <f t="shared" si="2"/>
        <v>Status(DefenseRatio, 1800)</v>
      </c>
      <c r="O83" s="33">
        <v>0</v>
      </c>
      <c r="P83" s="33">
        <v>0</v>
      </c>
      <c r="Q83" s="33"/>
      <c r="R83" s="34" t="b">
        <v>1</v>
      </c>
    </row>
    <row r="84" spans="1:18" x14ac:dyDescent="0.3">
      <c r="A84" s="20" t="s">
        <v>222</v>
      </c>
      <c r="B84" s="33"/>
      <c r="C84" s="33"/>
      <c r="D84" s="33">
        <v>0</v>
      </c>
      <c r="E84" s="33">
        <v>1</v>
      </c>
      <c r="F84" s="33" t="s">
        <v>476</v>
      </c>
      <c r="G84" s="33" t="s">
        <v>477</v>
      </c>
      <c r="H84" s="33"/>
      <c r="I84" s="33">
        <v>0</v>
      </c>
      <c r="J84" s="33" t="s">
        <v>846</v>
      </c>
      <c r="K84" s="33" t="s">
        <v>852</v>
      </c>
      <c r="L84" s="33">
        <v>400</v>
      </c>
      <c r="M84" s="33"/>
      <c r="N84" s="33" t="str">
        <f t="shared" si="2"/>
        <v>Status(AttackRatio, 400)</v>
      </c>
      <c r="O84" s="33">
        <v>0</v>
      </c>
      <c r="P84" s="33">
        <v>0</v>
      </c>
      <c r="Q84" s="33"/>
      <c r="R84" s="34" t="b">
        <v>1</v>
      </c>
    </row>
    <row r="85" spans="1:18" x14ac:dyDescent="0.3">
      <c r="A85" s="20" t="s">
        <v>224</v>
      </c>
      <c r="B85" s="33"/>
      <c r="C85" s="33"/>
      <c r="D85" s="33">
        <v>0</v>
      </c>
      <c r="E85" s="33">
        <v>1</v>
      </c>
      <c r="F85" s="33" t="s">
        <v>476</v>
      </c>
      <c r="G85" s="33" t="s">
        <v>477</v>
      </c>
      <c r="H85" s="33"/>
      <c r="I85" s="33">
        <v>0</v>
      </c>
      <c r="J85" s="33" t="s">
        <v>848</v>
      </c>
      <c r="K85" s="33" t="s">
        <v>849</v>
      </c>
      <c r="L85" s="33"/>
      <c r="M85" s="33"/>
      <c r="N85" s="33" t="str">
        <f t="shared" si="2"/>
        <v>CrowdControl(Stun)</v>
      </c>
      <c r="O85" s="33">
        <v>0</v>
      </c>
      <c r="P85" s="33">
        <v>0</v>
      </c>
      <c r="Q85" s="33"/>
      <c r="R85" s="34" t="b">
        <v>1</v>
      </c>
    </row>
    <row r="86" spans="1:18" x14ac:dyDescent="0.3">
      <c r="A86" s="20" t="s">
        <v>226</v>
      </c>
      <c r="B86" s="33"/>
      <c r="C86" s="33"/>
      <c r="D86" s="33">
        <v>0</v>
      </c>
      <c r="E86" s="33">
        <v>1</v>
      </c>
      <c r="F86" s="33" t="s">
        <v>476</v>
      </c>
      <c r="G86" s="33" t="s">
        <v>477</v>
      </c>
      <c r="H86" s="33"/>
      <c r="I86" s="33">
        <v>0</v>
      </c>
      <c r="J86" s="33" t="s">
        <v>846</v>
      </c>
      <c r="K86" s="33" t="s">
        <v>847</v>
      </c>
      <c r="L86" s="33">
        <v>1200</v>
      </c>
      <c r="M86" s="33"/>
      <c r="N86" s="33" t="str">
        <f t="shared" si="2"/>
        <v>Status(DefenseRatio, 1200)</v>
      </c>
      <c r="O86" s="33">
        <v>0</v>
      </c>
      <c r="P86" s="33">
        <v>0</v>
      </c>
      <c r="Q86" s="33"/>
      <c r="R86" s="34" t="b">
        <v>1</v>
      </c>
    </row>
    <row r="87" spans="1:18" x14ac:dyDescent="0.3">
      <c r="A87" s="20" t="s">
        <v>228</v>
      </c>
      <c r="B87" s="33"/>
      <c r="C87" s="33"/>
      <c r="D87" s="33">
        <v>0</v>
      </c>
      <c r="E87" s="33">
        <v>1</v>
      </c>
      <c r="F87" s="33" t="s">
        <v>476</v>
      </c>
      <c r="G87" s="33" t="s">
        <v>477</v>
      </c>
      <c r="H87" s="33"/>
      <c r="I87" s="33">
        <v>0</v>
      </c>
      <c r="J87" s="33" t="s">
        <v>848</v>
      </c>
      <c r="K87" s="33" t="s">
        <v>849</v>
      </c>
      <c r="L87" s="33"/>
      <c r="M87" s="33"/>
      <c r="N87" s="33" t="str">
        <f t="shared" si="2"/>
        <v>CrowdControl(Stun)</v>
      </c>
      <c r="O87" s="33">
        <v>0</v>
      </c>
      <c r="P87" s="33">
        <v>0</v>
      </c>
      <c r="Q87" s="33"/>
      <c r="R87" s="34" t="b">
        <v>1</v>
      </c>
    </row>
    <row r="88" spans="1:18" x14ac:dyDescent="0.3">
      <c r="A88" s="35" t="s">
        <v>230</v>
      </c>
      <c r="B88" s="36"/>
      <c r="C88" s="36"/>
      <c r="D88" s="36">
        <v>0</v>
      </c>
      <c r="E88" s="36">
        <v>1</v>
      </c>
      <c r="F88" s="36" t="s">
        <v>476</v>
      </c>
      <c r="G88" s="36" t="s">
        <v>477</v>
      </c>
      <c r="H88" s="36"/>
      <c r="I88" s="36">
        <v>0</v>
      </c>
      <c r="J88" s="36" t="s">
        <v>846</v>
      </c>
      <c r="K88" s="36" t="s">
        <v>852</v>
      </c>
      <c r="L88" s="36">
        <v>-400</v>
      </c>
      <c r="M88" s="36"/>
      <c r="N88" s="36" t="str">
        <f t="shared" si="2"/>
        <v>Status(AttackRatio, -400)</v>
      </c>
      <c r="O88" s="36">
        <v>0</v>
      </c>
      <c r="P88" s="36">
        <v>0</v>
      </c>
      <c r="Q88" s="36"/>
      <c r="R88" s="37" t="b">
        <v>1</v>
      </c>
    </row>
    <row r="89" spans="1:18" x14ac:dyDescent="0.3">
      <c r="A89" s="35" t="s">
        <v>233</v>
      </c>
      <c r="B89" s="36"/>
      <c r="C89" s="36"/>
      <c r="D89" s="36">
        <v>0</v>
      </c>
      <c r="E89" s="36">
        <v>1</v>
      </c>
      <c r="F89" s="36" t="s">
        <v>476</v>
      </c>
      <c r="G89" s="36" t="s">
        <v>477</v>
      </c>
      <c r="H89" s="36"/>
      <c r="I89" s="36">
        <v>0</v>
      </c>
      <c r="J89" s="36" t="s">
        <v>848</v>
      </c>
      <c r="K89" s="36" t="s">
        <v>849</v>
      </c>
      <c r="L89" s="36"/>
      <c r="M89" s="36"/>
      <c r="N89" s="36" t="str">
        <f t="shared" si="2"/>
        <v>CrowdControl(Stun)</v>
      </c>
      <c r="O89" s="36">
        <v>0</v>
      </c>
      <c r="P89" s="36">
        <v>0</v>
      </c>
      <c r="Q89" s="36"/>
      <c r="R89" s="37" t="b">
        <v>1</v>
      </c>
    </row>
    <row r="90" spans="1:18" x14ac:dyDescent="0.3">
      <c r="A90" s="35" t="s">
        <v>1087</v>
      </c>
      <c r="B90" s="36"/>
      <c r="C90" s="36"/>
      <c r="D90" s="36">
        <v>0</v>
      </c>
      <c r="E90" s="36">
        <v>1</v>
      </c>
      <c r="F90" s="36" t="s">
        <v>476</v>
      </c>
      <c r="G90" s="36" t="s">
        <v>477</v>
      </c>
      <c r="H90" s="36"/>
      <c r="I90" s="36">
        <v>0</v>
      </c>
      <c r="J90" s="36" t="s">
        <v>862</v>
      </c>
      <c r="K90" s="36" t="s">
        <v>863</v>
      </c>
      <c r="L90" s="36">
        <v>100</v>
      </c>
      <c r="M90" s="36"/>
      <c r="N90" s="36" t="str">
        <f t="shared" si="2"/>
        <v>EffectImmune(Damage, 100)</v>
      </c>
      <c r="O90" s="36">
        <v>1</v>
      </c>
      <c r="P90" s="36">
        <v>0</v>
      </c>
      <c r="Q90" s="36"/>
      <c r="R90" s="37" t="b">
        <v>1</v>
      </c>
    </row>
    <row r="91" spans="1:18" x14ac:dyDescent="0.3">
      <c r="A91" s="35" t="s">
        <v>1093</v>
      </c>
      <c r="B91" s="36"/>
      <c r="C91" s="36"/>
      <c r="D91" s="36">
        <v>0</v>
      </c>
      <c r="E91" s="36">
        <v>1</v>
      </c>
      <c r="F91" s="36" t="s">
        <v>476</v>
      </c>
      <c r="G91" s="36" t="s">
        <v>477</v>
      </c>
      <c r="H91" s="36"/>
      <c r="I91" s="36">
        <v>0</v>
      </c>
      <c r="J91" s="36" t="s">
        <v>882</v>
      </c>
      <c r="K91" s="36" t="s">
        <v>1092</v>
      </c>
      <c r="L91" s="36" t="s">
        <v>1094</v>
      </c>
      <c r="M91" s="36"/>
      <c r="N91" s="36" t="str">
        <f t="shared" si="2"/>
        <v>Event(Immune, Sector03.theomega_1.skill02.pre.buff.buffeffect02.skilleffect)</v>
      </c>
      <c r="O91" s="36">
        <v>0</v>
      </c>
      <c r="P91" s="36">
        <v>0</v>
      </c>
      <c r="Q91" s="36"/>
      <c r="R91" s="37" t="b">
        <v>1</v>
      </c>
    </row>
    <row r="92" spans="1:18" x14ac:dyDescent="0.3">
      <c r="A92" s="35" t="s">
        <v>240</v>
      </c>
      <c r="B92" s="36"/>
      <c r="C92" s="36"/>
      <c r="D92" s="36">
        <v>0</v>
      </c>
      <c r="E92" s="36">
        <v>1</v>
      </c>
      <c r="F92" s="36" t="s">
        <v>476</v>
      </c>
      <c r="G92" s="36" t="s">
        <v>477</v>
      </c>
      <c r="H92" s="36"/>
      <c r="I92" s="36">
        <v>0</v>
      </c>
      <c r="J92" s="36" t="s">
        <v>846</v>
      </c>
      <c r="K92" s="36" t="s">
        <v>872</v>
      </c>
      <c r="L92" s="36">
        <v>-500</v>
      </c>
      <c r="M92" s="36"/>
      <c r="N92" s="36" t="str">
        <f t="shared" si="2"/>
        <v>Status(DamageDerate, -500)</v>
      </c>
      <c r="O92" s="36">
        <v>0</v>
      </c>
      <c r="P92" s="36">
        <v>0</v>
      </c>
      <c r="Q92" s="36"/>
      <c r="R92" s="37" t="b">
        <v>1</v>
      </c>
    </row>
    <row r="93" spans="1:18" x14ac:dyDescent="0.3">
      <c r="A93" s="35" t="s">
        <v>244</v>
      </c>
      <c r="B93" s="36"/>
      <c r="C93" s="36"/>
      <c r="D93" s="36">
        <v>0</v>
      </c>
      <c r="E93" s="36">
        <v>1</v>
      </c>
      <c r="F93" s="36" t="s">
        <v>476</v>
      </c>
      <c r="G93" s="36" t="s">
        <v>477</v>
      </c>
      <c r="H93" s="36"/>
      <c r="I93" s="36">
        <v>0</v>
      </c>
      <c r="J93" s="36" t="s">
        <v>846</v>
      </c>
      <c r="K93" s="36" t="s">
        <v>857</v>
      </c>
      <c r="L93" s="36">
        <v>1000</v>
      </c>
      <c r="M93" s="36"/>
      <c r="N93" s="36" t="str">
        <f t="shared" si="2"/>
        <v>Status(DamageRate, 1000)</v>
      </c>
      <c r="O93" s="36">
        <v>0</v>
      </c>
      <c r="P93" s="36">
        <v>0</v>
      </c>
      <c r="Q93" s="36"/>
      <c r="R93" s="37" t="b">
        <v>1</v>
      </c>
    </row>
    <row r="94" spans="1:18" x14ac:dyDescent="0.3">
      <c r="A94" s="35" t="s">
        <v>246</v>
      </c>
      <c r="B94" s="36"/>
      <c r="C94" s="36"/>
      <c r="D94" s="36">
        <v>0</v>
      </c>
      <c r="E94" s="36">
        <v>1</v>
      </c>
      <c r="F94" s="36" t="s">
        <v>476</v>
      </c>
      <c r="G94" s="36" t="s">
        <v>477</v>
      </c>
      <c r="H94" s="36"/>
      <c r="I94" s="36">
        <v>0</v>
      </c>
      <c r="J94" s="36" t="s">
        <v>851</v>
      </c>
      <c r="K94" s="36" t="s">
        <v>845</v>
      </c>
      <c r="L94" s="36">
        <v>20</v>
      </c>
      <c r="M94" s="36"/>
      <c r="N94" s="36" t="str">
        <f t="shared" si="2"/>
        <v>Hot(MaxHp, 20)</v>
      </c>
      <c r="O94" s="36">
        <v>0</v>
      </c>
      <c r="P94" s="36">
        <v>800</v>
      </c>
      <c r="Q94" s="36"/>
      <c r="R94" s="37" t="b">
        <v>1</v>
      </c>
    </row>
    <row r="95" spans="1:18" x14ac:dyDescent="0.3">
      <c r="A95" s="35" t="s">
        <v>251</v>
      </c>
      <c r="B95" s="36"/>
      <c r="C95" s="36"/>
      <c r="D95" s="36">
        <v>0</v>
      </c>
      <c r="E95" s="36">
        <v>1</v>
      </c>
      <c r="F95" s="36" t="s">
        <v>476</v>
      </c>
      <c r="G95" s="36" t="s">
        <v>477</v>
      </c>
      <c r="H95" s="36"/>
      <c r="I95" s="36">
        <v>0</v>
      </c>
      <c r="J95" s="36" t="s">
        <v>470</v>
      </c>
      <c r="K95" s="36" t="s">
        <v>873</v>
      </c>
      <c r="L95" s="36" t="s">
        <v>874</v>
      </c>
      <c r="M95" s="36"/>
      <c r="N95" s="36" t="str">
        <f t="shared" si="2"/>
        <v>Effect(OnKill, Sector03.theomega_1.passive01.buff.buffeffect.skilleffect)</v>
      </c>
      <c r="O95" s="36">
        <v>0</v>
      </c>
      <c r="P95" s="36">
        <v>0</v>
      </c>
      <c r="Q95" s="36"/>
      <c r="R95" s="37" t="b">
        <v>1</v>
      </c>
    </row>
    <row r="96" spans="1:18" x14ac:dyDescent="0.3">
      <c r="A96" s="35" t="s">
        <v>253</v>
      </c>
      <c r="B96" s="36"/>
      <c r="C96" s="36"/>
      <c r="D96" s="36">
        <v>0</v>
      </c>
      <c r="E96" s="36">
        <v>1</v>
      </c>
      <c r="F96" s="36" t="s">
        <v>476</v>
      </c>
      <c r="G96" s="36" t="s">
        <v>477</v>
      </c>
      <c r="H96" s="36"/>
      <c r="I96" s="36">
        <v>0</v>
      </c>
      <c r="J96" s="36" t="s">
        <v>846</v>
      </c>
      <c r="K96" s="36" t="s">
        <v>853</v>
      </c>
      <c r="L96" s="36">
        <v>300</v>
      </c>
      <c r="M96" s="36"/>
      <c r="N96" s="36" t="str">
        <f t="shared" si="2"/>
        <v>Status(AttackSpeedRate, 300)</v>
      </c>
      <c r="O96" s="36">
        <v>0</v>
      </c>
      <c r="P96" s="36">
        <v>0</v>
      </c>
      <c r="Q96" s="36"/>
      <c r="R96" s="37" t="b">
        <v>1</v>
      </c>
    </row>
    <row r="97" spans="1:18" x14ac:dyDescent="0.3">
      <c r="A97" s="141" t="s">
        <v>255</v>
      </c>
      <c r="B97" s="142"/>
      <c r="C97" s="142"/>
      <c r="D97" s="142">
        <v>0</v>
      </c>
      <c r="E97" s="142">
        <v>1</v>
      </c>
      <c r="F97" s="142" t="s">
        <v>476</v>
      </c>
      <c r="G97" s="142" t="s">
        <v>477</v>
      </c>
      <c r="H97" s="142"/>
      <c r="I97" s="142">
        <v>0</v>
      </c>
      <c r="J97" s="142" t="s">
        <v>846</v>
      </c>
      <c r="K97" s="142" t="s">
        <v>852</v>
      </c>
      <c r="L97" s="142">
        <v>-400</v>
      </c>
      <c r="M97" s="142"/>
      <c r="N97" s="142" t="str">
        <f t="shared" si="2"/>
        <v>Status(AttackRatio, -400)</v>
      </c>
      <c r="O97" s="142">
        <v>0</v>
      </c>
      <c r="P97" s="142">
        <v>0</v>
      </c>
      <c r="Q97" s="142"/>
      <c r="R97" s="143" t="b">
        <v>1</v>
      </c>
    </row>
    <row r="98" spans="1:18" x14ac:dyDescent="0.3">
      <c r="A98" s="141" t="s">
        <v>257</v>
      </c>
      <c r="B98" s="142"/>
      <c r="C98" s="142"/>
      <c r="D98" s="142">
        <v>0</v>
      </c>
      <c r="E98" s="142">
        <v>1</v>
      </c>
      <c r="F98" s="142" t="s">
        <v>476</v>
      </c>
      <c r="G98" s="142" t="s">
        <v>477</v>
      </c>
      <c r="H98" s="142"/>
      <c r="I98" s="142">
        <v>0</v>
      </c>
      <c r="J98" s="142" t="s">
        <v>848</v>
      </c>
      <c r="K98" s="142" t="s">
        <v>849</v>
      </c>
      <c r="L98" s="142"/>
      <c r="M98" s="142"/>
      <c r="N98" s="142" t="str">
        <f t="shared" si="2"/>
        <v>CrowdControl(Stun)</v>
      </c>
      <c r="O98" s="142">
        <v>0</v>
      </c>
      <c r="P98" s="142">
        <v>0</v>
      </c>
      <c r="Q98" s="142"/>
      <c r="R98" s="143" t="b">
        <v>1</v>
      </c>
    </row>
    <row r="99" spans="1:18" x14ac:dyDescent="0.3">
      <c r="A99" s="141" t="s">
        <v>259</v>
      </c>
      <c r="B99" s="142"/>
      <c r="C99" s="142"/>
      <c r="D99" s="142">
        <v>0</v>
      </c>
      <c r="E99" s="142">
        <v>1</v>
      </c>
      <c r="F99" s="142" t="s">
        <v>476</v>
      </c>
      <c r="G99" s="142" t="s">
        <v>477</v>
      </c>
      <c r="H99" s="142"/>
      <c r="I99" s="142">
        <v>0</v>
      </c>
      <c r="J99" s="142" t="s">
        <v>848</v>
      </c>
      <c r="K99" s="142" t="s">
        <v>850</v>
      </c>
      <c r="L99" s="142"/>
      <c r="M99" s="142"/>
      <c r="N99" s="142" t="str">
        <f t="shared" si="2"/>
        <v>CrowdControl(Knockback)</v>
      </c>
      <c r="O99" s="142">
        <v>0</v>
      </c>
      <c r="P99" s="142">
        <v>0</v>
      </c>
      <c r="Q99" s="142"/>
      <c r="R99" s="143" t="b">
        <v>1</v>
      </c>
    </row>
    <row r="100" spans="1:18" x14ac:dyDescent="0.3">
      <c r="A100" s="141" t="s">
        <v>261</v>
      </c>
      <c r="B100" s="142"/>
      <c r="C100" s="142"/>
      <c r="D100" s="142">
        <v>0</v>
      </c>
      <c r="E100" s="142">
        <v>1</v>
      </c>
      <c r="F100" s="142" t="s">
        <v>476</v>
      </c>
      <c r="G100" s="142" t="s">
        <v>477</v>
      </c>
      <c r="H100" s="142"/>
      <c r="I100" s="142">
        <v>0</v>
      </c>
      <c r="J100" s="142" t="s">
        <v>846</v>
      </c>
      <c r="K100" s="142" t="s">
        <v>875</v>
      </c>
      <c r="L100" s="142">
        <v>-1000</v>
      </c>
      <c r="M100" s="142"/>
      <c r="N100" s="142" t="str">
        <f t="shared" si="2"/>
        <v>Status(MoveSpeedRate, -1000)</v>
      </c>
      <c r="O100" s="142">
        <v>0</v>
      </c>
      <c r="P100" s="142">
        <v>0</v>
      </c>
      <c r="Q100" s="142"/>
      <c r="R100" s="143" t="b">
        <v>1</v>
      </c>
    </row>
    <row r="101" spans="1:18" s="155" customFormat="1" x14ac:dyDescent="0.3">
      <c r="A101" s="144" t="s">
        <v>1248</v>
      </c>
      <c r="B101" s="142"/>
      <c r="C101" s="142"/>
      <c r="D101" s="142">
        <v>0</v>
      </c>
      <c r="E101" s="142">
        <v>1</v>
      </c>
      <c r="F101" s="142" t="s">
        <v>476</v>
      </c>
      <c r="G101" s="142" t="s">
        <v>477</v>
      </c>
      <c r="H101" s="142"/>
      <c r="I101" s="142">
        <v>0</v>
      </c>
      <c r="J101" s="142" t="s">
        <v>851</v>
      </c>
      <c r="K101" s="142" t="s">
        <v>845</v>
      </c>
      <c r="L101" s="142">
        <v>20</v>
      </c>
      <c r="M101" s="142"/>
      <c r="N101" s="142" t="str">
        <f t="shared" si="2"/>
        <v>Hot(MaxHp, 20)</v>
      </c>
      <c r="O101" s="142">
        <v>0</v>
      </c>
      <c r="P101" s="142">
        <v>800</v>
      </c>
      <c r="Q101" s="142"/>
      <c r="R101" s="143" t="b">
        <v>1</v>
      </c>
    </row>
    <row r="102" spans="1:18" x14ac:dyDescent="0.3">
      <c r="A102" s="141" t="s">
        <v>494</v>
      </c>
      <c r="B102" s="142"/>
      <c r="C102" s="142"/>
      <c r="D102" s="142">
        <v>0</v>
      </c>
      <c r="E102" s="142">
        <v>1</v>
      </c>
      <c r="F102" s="142" t="s">
        <v>476</v>
      </c>
      <c r="G102" s="142" t="s">
        <v>477</v>
      </c>
      <c r="H102" s="142"/>
      <c r="I102" s="142">
        <v>0</v>
      </c>
      <c r="J102" s="142" t="s">
        <v>846</v>
      </c>
      <c r="K102" s="142" t="s">
        <v>858</v>
      </c>
      <c r="L102" s="142">
        <v>1000</v>
      </c>
      <c r="M102" s="142"/>
      <c r="N102" s="142" t="str">
        <f t="shared" si="2"/>
        <v>Status(CriticalRate, 1000)</v>
      </c>
      <c r="O102" s="142">
        <v>0</v>
      </c>
      <c r="P102" s="142">
        <v>0</v>
      </c>
      <c r="Q102" s="142"/>
      <c r="R102" s="143" t="b">
        <v>1</v>
      </c>
    </row>
    <row r="103" spans="1:18" x14ac:dyDescent="0.3">
      <c r="A103" s="141" t="s">
        <v>495</v>
      </c>
      <c r="B103" s="142"/>
      <c r="C103" s="142"/>
      <c r="D103" s="142">
        <v>0</v>
      </c>
      <c r="E103" s="142">
        <v>1</v>
      </c>
      <c r="F103" s="142" t="s">
        <v>476</v>
      </c>
      <c r="G103" s="142" t="s">
        <v>477</v>
      </c>
      <c r="H103" s="142"/>
      <c r="I103" s="142">
        <v>0</v>
      </c>
      <c r="J103" s="142" t="s">
        <v>846</v>
      </c>
      <c r="K103" s="142" t="s">
        <v>876</v>
      </c>
      <c r="L103" s="142">
        <v>-200</v>
      </c>
      <c r="M103" s="142"/>
      <c r="N103" s="142" t="str">
        <f t="shared" si="2"/>
        <v>Status(AccuracyRate, -200)</v>
      </c>
      <c r="O103" s="142">
        <v>0</v>
      </c>
      <c r="P103" s="142">
        <v>0</v>
      </c>
      <c r="Q103" s="142"/>
      <c r="R103" s="143" t="b">
        <v>1</v>
      </c>
    </row>
    <row r="104" spans="1:18" x14ac:dyDescent="0.3">
      <c r="A104" s="141" t="s">
        <v>496</v>
      </c>
      <c r="B104" s="142"/>
      <c r="C104" s="142"/>
      <c r="D104" s="142">
        <v>0</v>
      </c>
      <c r="E104" s="142">
        <v>1</v>
      </c>
      <c r="F104" s="142" t="s">
        <v>476</v>
      </c>
      <c r="G104" s="142" t="s">
        <v>477</v>
      </c>
      <c r="H104" s="142"/>
      <c r="I104" s="142">
        <v>0</v>
      </c>
      <c r="J104" s="142" t="s">
        <v>877</v>
      </c>
      <c r="K104" s="142" t="s">
        <v>878</v>
      </c>
      <c r="L104" s="142"/>
      <c r="M104" s="142"/>
      <c r="N104" s="142" t="str">
        <f t="shared" si="2"/>
        <v>ChangeSkill(Normal)</v>
      </c>
      <c r="O104" s="142">
        <v>0</v>
      </c>
      <c r="P104" s="142">
        <v>0</v>
      </c>
      <c r="Q104" s="142"/>
      <c r="R104" s="143" t="b">
        <v>1</v>
      </c>
    </row>
    <row r="105" spans="1:18" x14ac:dyDescent="0.3">
      <c r="A105" s="141" t="s">
        <v>1099</v>
      </c>
      <c r="B105" s="142"/>
      <c r="C105" s="142"/>
      <c r="D105" s="142">
        <v>0</v>
      </c>
      <c r="E105" s="142">
        <v>1</v>
      </c>
      <c r="F105" s="142" t="s">
        <v>476</v>
      </c>
      <c r="G105" s="142" t="s">
        <v>477</v>
      </c>
      <c r="H105" s="142"/>
      <c r="I105" s="142">
        <v>0</v>
      </c>
      <c r="J105" s="142" t="s">
        <v>862</v>
      </c>
      <c r="K105" s="142" t="s">
        <v>863</v>
      </c>
      <c r="L105" s="142">
        <v>100</v>
      </c>
      <c r="M105" s="142"/>
      <c r="N105" s="142" t="str">
        <f t="shared" si="2"/>
        <v>EffectImmune(Damage, 100)</v>
      </c>
      <c r="O105" s="142">
        <v>1</v>
      </c>
      <c r="P105" s="142">
        <v>0</v>
      </c>
      <c r="Q105" s="142"/>
      <c r="R105" s="143" t="b">
        <v>1</v>
      </c>
    </row>
    <row r="106" spans="1:18" x14ac:dyDescent="0.3">
      <c r="A106" s="141" t="s">
        <v>1095</v>
      </c>
      <c r="B106" s="142"/>
      <c r="C106" s="142"/>
      <c r="D106" s="142">
        <v>0</v>
      </c>
      <c r="E106" s="142">
        <v>1</v>
      </c>
      <c r="F106" s="142" t="s">
        <v>476</v>
      </c>
      <c r="G106" s="142" t="s">
        <v>477</v>
      </c>
      <c r="H106" s="142"/>
      <c r="I106" s="142">
        <v>0</v>
      </c>
      <c r="J106" s="142" t="s">
        <v>882</v>
      </c>
      <c r="K106" s="142" t="s">
        <v>1092</v>
      </c>
      <c r="L106" s="142" t="s">
        <v>1100</v>
      </c>
      <c r="M106" s="142"/>
      <c r="N106" s="142" t="str">
        <f t="shared" ref="N106" si="3">J106&amp;"("&amp;IF(K106="","",K106)&amp;IF(L106="","",", "&amp;L106)&amp;IF(M106="","",", "&amp;M106)&amp;")"</f>
        <v>Event(Immune, Sector03.theomega_3.skill03.pre.buff.buffeffect02.skilleffect)</v>
      </c>
      <c r="O106" s="142">
        <v>0</v>
      </c>
      <c r="P106" s="142">
        <v>0</v>
      </c>
      <c r="Q106" s="142"/>
      <c r="R106" s="143" t="b">
        <v>1</v>
      </c>
    </row>
    <row r="107" spans="1:18" x14ac:dyDescent="0.3">
      <c r="A107" s="141" t="s">
        <v>271</v>
      </c>
      <c r="B107" s="142"/>
      <c r="C107" s="142"/>
      <c r="D107" s="142">
        <v>0</v>
      </c>
      <c r="E107" s="142">
        <v>1</v>
      </c>
      <c r="F107" s="142" t="s">
        <v>476</v>
      </c>
      <c r="G107" s="142" t="s">
        <v>477</v>
      </c>
      <c r="H107" s="142"/>
      <c r="I107" s="142">
        <v>0</v>
      </c>
      <c r="J107" s="142" t="s">
        <v>846</v>
      </c>
      <c r="K107" s="142" t="s">
        <v>872</v>
      </c>
      <c r="L107" s="142">
        <v>-500</v>
      </c>
      <c r="M107" s="142"/>
      <c r="N107" s="142" t="str">
        <f t="shared" si="2"/>
        <v>Status(DamageDerate, -500)</v>
      </c>
      <c r="O107" s="142">
        <v>0</v>
      </c>
      <c r="P107" s="142">
        <v>0</v>
      </c>
      <c r="Q107" s="142"/>
      <c r="R107" s="143" t="b">
        <v>1</v>
      </c>
    </row>
    <row r="108" spans="1:18" x14ac:dyDescent="0.3">
      <c r="A108" s="141" t="s">
        <v>273</v>
      </c>
      <c r="B108" s="142"/>
      <c r="C108" s="142"/>
      <c r="D108" s="142">
        <v>0</v>
      </c>
      <c r="E108" s="142">
        <v>1</v>
      </c>
      <c r="F108" s="142" t="s">
        <v>476</v>
      </c>
      <c r="G108" s="142" t="s">
        <v>477</v>
      </c>
      <c r="H108" s="142"/>
      <c r="I108" s="142">
        <v>0</v>
      </c>
      <c r="J108" s="142" t="s">
        <v>846</v>
      </c>
      <c r="K108" s="142" t="s">
        <v>857</v>
      </c>
      <c r="L108" s="142">
        <v>1000</v>
      </c>
      <c r="M108" s="142"/>
      <c r="N108" s="142" t="str">
        <f t="shared" si="2"/>
        <v>Status(DamageRate, 1000)</v>
      </c>
      <c r="O108" s="142">
        <v>0</v>
      </c>
      <c r="P108" s="142">
        <v>0</v>
      </c>
      <c r="Q108" s="142"/>
      <c r="R108" s="143" t="b">
        <v>1</v>
      </c>
    </row>
    <row r="109" spans="1:18" x14ac:dyDescent="0.3">
      <c r="A109" s="141" t="s">
        <v>275</v>
      </c>
      <c r="B109" s="142"/>
      <c r="C109" s="142"/>
      <c r="D109" s="142">
        <v>0</v>
      </c>
      <c r="E109" s="142">
        <v>1</v>
      </c>
      <c r="F109" s="142" t="s">
        <v>476</v>
      </c>
      <c r="G109" s="142" t="s">
        <v>477</v>
      </c>
      <c r="H109" s="142"/>
      <c r="I109" s="142">
        <v>0</v>
      </c>
      <c r="J109" s="142" t="s">
        <v>871</v>
      </c>
      <c r="K109" s="142"/>
      <c r="L109" s="142"/>
      <c r="M109" s="142"/>
      <c r="N109" s="142" t="str">
        <f t="shared" si="2"/>
        <v>None()</v>
      </c>
      <c r="O109" s="142">
        <v>0</v>
      </c>
      <c r="P109" s="142">
        <v>0</v>
      </c>
      <c r="Q109" s="142"/>
      <c r="R109" s="143" t="b">
        <v>1</v>
      </c>
    </row>
    <row r="110" spans="1:18" x14ac:dyDescent="0.3">
      <c r="A110" s="141" t="s">
        <v>277</v>
      </c>
      <c r="B110" s="142"/>
      <c r="C110" s="142"/>
      <c r="D110" s="142">
        <v>0</v>
      </c>
      <c r="E110" s="142">
        <v>1</v>
      </c>
      <c r="F110" s="142" t="s">
        <v>476</v>
      </c>
      <c r="G110" s="142" t="s">
        <v>477</v>
      </c>
      <c r="H110" s="142"/>
      <c r="I110" s="142">
        <v>0</v>
      </c>
      <c r="J110" s="142" t="s">
        <v>848</v>
      </c>
      <c r="K110" s="142" t="s">
        <v>850</v>
      </c>
      <c r="L110" s="142"/>
      <c r="M110" s="142"/>
      <c r="N110" s="142" t="str">
        <f t="shared" si="2"/>
        <v>CrowdControl(Knockback)</v>
      </c>
      <c r="O110" s="142">
        <v>0</v>
      </c>
      <c r="P110" s="142">
        <v>0</v>
      </c>
      <c r="Q110" s="142"/>
      <c r="R110" s="143" t="b">
        <v>1</v>
      </c>
    </row>
    <row r="111" spans="1:18" x14ac:dyDescent="0.3">
      <c r="A111" s="141" t="s">
        <v>279</v>
      </c>
      <c r="B111" s="142"/>
      <c r="C111" s="142"/>
      <c r="D111" s="142">
        <v>0</v>
      </c>
      <c r="E111" s="142">
        <v>1</v>
      </c>
      <c r="F111" s="142" t="s">
        <v>476</v>
      </c>
      <c r="G111" s="142" t="s">
        <v>477</v>
      </c>
      <c r="H111" s="142"/>
      <c r="I111" s="142">
        <v>0</v>
      </c>
      <c r="J111" s="142" t="s">
        <v>848</v>
      </c>
      <c r="K111" s="142" t="s">
        <v>849</v>
      </c>
      <c r="L111" s="142"/>
      <c r="M111" s="142"/>
      <c r="N111" s="142" t="str">
        <f t="shared" si="2"/>
        <v>CrowdControl(Stun)</v>
      </c>
      <c r="O111" s="142">
        <v>0</v>
      </c>
      <c r="P111" s="142">
        <v>0</v>
      </c>
      <c r="Q111" s="142"/>
      <c r="R111" s="143" t="b">
        <v>1</v>
      </c>
    </row>
    <row r="112" spans="1:18" x14ac:dyDescent="0.3">
      <c r="A112" s="141" t="s">
        <v>281</v>
      </c>
      <c r="B112" s="142"/>
      <c r="C112" s="142"/>
      <c r="D112" s="142">
        <v>0</v>
      </c>
      <c r="E112" s="142">
        <v>1</v>
      </c>
      <c r="F112" s="142" t="s">
        <v>476</v>
      </c>
      <c r="G112" s="142" t="s">
        <v>477</v>
      </c>
      <c r="H112" s="142"/>
      <c r="I112" s="142">
        <v>0</v>
      </c>
      <c r="J112" s="142" t="s">
        <v>470</v>
      </c>
      <c r="K112" s="142" t="s">
        <v>873</v>
      </c>
      <c r="L112" s="142" t="s">
        <v>879</v>
      </c>
      <c r="M112" s="142"/>
      <c r="N112" s="142" t="str">
        <f t="shared" si="2"/>
        <v>Effect(OnKill, Sector03.theomega_3.passive01.buff.buffeffect.skilleffect)</v>
      </c>
      <c r="O112" s="142">
        <v>0</v>
      </c>
      <c r="P112" s="142">
        <v>0</v>
      </c>
      <c r="Q112" s="142"/>
      <c r="R112" s="143" t="b">
        <v>1</v>
      </c>
    </row>
    <row r="113" spans="1:18" x14ac:dyDescent="0.3">
      <c r="A113" s="141" t="s">
        <v>283</v>
      </c>
      <c r="B113" s="142"/>
      <c r="C113" s="142"/>
      <c r="D113" s="142">
        <v>0</v>
      </c>
      <c r="E113" s="142">
        <v>1</v>
      </c>
      <c r="F113" s="142" t="s">
        <v>476</v>
      </c>
      <c r="G113" s="142" t="s">
        <v>477</v>
      </c>
      <c r="H113" s="142"/>
      <c r="I113" s="142">
        <v>0</v>
      </c>
      <c r="J113" s="142" t="s">
        <v>846</v>
      </c>
      <c r="K113" s="142" t="s">
        <v>853</v>
      </c>
      <c r="L113" s="142">
        <v>300</v>
      </c>
      <c r="M113" s="142"/>
      <c r="N113" s="142" t="str">
        <f t="shared" si="2"/>
        <v>Status(AttackSpeedRate, 300)</v>
      </c>
      <c r="O113" s="142">
        <v>0</v>
      </c>
      <c r="P113" s="142">
        <v>0</v>
      </c>
      <c r="Q113" s="142"/>
      <c r="R113" s="143" t="b">
        <v>1</v>
      </c>
    </row>
    <row r="114" spans="1:18" x14ac:dyDescent="0.3">
      <c r="A114" s="112" t="s">
        <v>285</v>
      </c>
      <c r="B114" s="113"/>
      <c r="C114" s="113"/>
      <c r="D114" s="113">
        <v>0</v>
      </c>
      <c r="E114" s="113">
        <v>1</v>
      </c>
      <c r="F114" s="113" t="s">
        <v>476</v>
      </c>
      <c r="G114" s="113" t="s">
        <v>477</v>
      </c>
      <c r="H114" s="113"/>
      <c r="I114" s="113">
        <v>0</v>
      </c>
      <c r="J114" s="113" t="s">
        <v>846</v>
      </c>
      <c r="K114" s="113" t="s">
        <v>853</v>
      </c>
      <c r="L114" s="113">
        <v>600</v>
      </c>
      <c r="M114" s="113"/>
      <c r="N114" s="113" t="str">
        <f t="shared" si="2"/>
        <v>Status(AttackSpeedRate, 600)</v>
      </c>
      <c r="O114" s="113">
        <v>0</v>
      </c>
      <c r="P114" s="113">
        <v>0</v>
      </c>
      <c r="Q114" s="113"/>
      <c r="R114" s="39" t="b">
        <v>1</v>
      </c>
    </row>
    <row r="115" spans="1:18" x14ac:dyDescent="0.3">
      <c r="A115" s="112" t="s">
        <v>287</v>
      </c>
      <c r="B115" s="113"/>
      <c r="C115" s="113"/>
      <c r="D115" s="113">
        <v>0</v>
      </c>
      <c r="E115" s="113">
        <v>1</v>
      </c>
      <c r="F115" s="113" t="s">
        <v>476</v>
      </c>
      <c r="G115" s="113" t="s">
        <v>477</v>
      </c>
      <c r="H115" s="113"/>
      <c r="I115" s="113">
        <v>0</v>
      </c>
      <c r="J115" s="113" t="s">
        <v>505</v>
      </c>
      <c r="K115" s="113" t="s">
        <v>844</v>
      </c>
      <c r="L115" s="113">
        <v>300</v>
      </c>
      <c r="M115" s="113"/>
      <c r="N115" s="113" t="str">
        <f t="shared" si="2"/>
        <v>Bleed(Attack, 300)</v>
      </c>
      <c r="O115" s="113">
        <v>0</v>
      </c>
      <c r="P115" s="113">
        <v>1000</v>
      </c>
      <c r="Q115" s="113"/>
      <c r="R115" s="39" t="b">
        <v>1</v>
      </c>
    </row>
    <row r="116" spans="1:18" x14ac:dyDescent="0.3">
      <c r="A116" s="112" t="s">
        <v>1128</v>
      </c>
      <c r="B116" s="113"/>
      <c r="C116" s="113"/>
      <c r="D116" s="113">
        <v>0</v>
      </c>
      <c r="E116" s="113">
        <v>1</v>
      </c>
      <c r="F116" s="113" t="s">
        <v>476</v>
      </c>
      <c r="G116" s="113" t="s">
        <v>477</v>
      </c>
      <c r="H116" s="113"/>
      <c r="I116" s="113">
        <v>0</v>
      </c>
      <c r="J116" s="113" t="s">
        <v>505</v>
      </c>
      <c r="K116" s="113" t="s">
        <v>844</v>
      </c>
      <c r="L116" s="113">
        <v>300</v>
      </c>
      <c r="M116" s="113"/>
      <c r="N116" s="113" t="str">
        <f t="shared" si="2"/>
        <v>Bleed(Attack, 300)</v>
      </c>
      <c r="O116" s="113">
        <v>0</v>
      </c>
      <c r="P116" s="113">
        <v>1000</v>
      </c>
      <c r="Q116" s="113"/>
      <c r="R116" s="39" t="b">
        <v>1</v>
      </c>
    </row>
    <row r="117" spans="1:18" x14ac:dyDescent="0.3">
      <c r="A117" s="112" t="s">
        <v>289</v>
      </c>
      <c r="B117" s="113"/>
      <c r="C117" s="113"/>
      <c r="D117" s="113">
        <v>0</v>
      </c>
      <c r="E117" s="113">
        <v>1</v>
      </c>
      <c r="F117" s="113" t="s">
        <v>476</v>
      </c>
      <c r="G117" s="113" t="s">
        <v>477</v>
      </c>
      <c r="H117" s="113"/>
      <c r="I117" s="113">
        <v>0</v>
      </c>
      <c r="J117" s="113" t="s">
        <v>848</v>
      </c>
      <c r="K117" s="113" t="s">
        <v>850</v>
      </c>
      <c r="L117" s="113"/>
      <c r="M117" s="113"/>
      <c r="N117" s="113" t="str">
        <f t="shared" si="2"/>
        <v>CrowdControl(Knockback)</v>
      </c>
      <c r="O117" s="113">
        <v>0</v>
      </c>
      <c r="P117" s="113">
        <v>0</v>
      </c>
      <c r="Q117" s="113"/>
      <c r="R117" s="39" t="b">
        <v>1</v>
      </c>
    </row>
    <row r="118" spans="1:18" x14ac:dyDescent="0.3">
      <c r="A118" s="112" t="s">
        <v>291</v>
      </c>
      <c r="B118" s="113"/>
      <c r="C118" s="113"/>
      <c r="D118" s="113">
        <v>0</v>
      </c>
      <c r="E118" s="113">
        <v>1</v>
      </c>
      <c r="F118" s="113" t="s">
        <v>476</v>
      </c>
      <c r="G118" s="113" t="s">
        <v>477</v>
      </c>
      <c r="H118" s="113"/>
      <c r="I118" s="113">
        <v>0</v>
      </c>
      <c r="J118" s="113" t="s">
        <v>848</v>
      </c>
      <c r="K118" s="113" t="s">
        <v>849</v>
      </c>
      <c r="L118" s="113"/>
      <c r="M118" s="113"/>
      <c r="N118" s="113" t="str">
        <f t="shared" si="2"/>
        <v>CrowdControl(Stun)</v>
      </c>
      <c r="O118" s="113">
        <v>0</v>
      </c>
      <c r="P118" s="113">
        <v>0</v>
      </c>
      <c r="Q118" s="113"/>
      <c r="R118" s="39" t="b">
        <v>1</v>
      </c>
    </row>
    <row r="119" spans="1:18" x14ac:dyDescent="0.3">
      <c r="A119" s="112" t="s">
        <v>293</v>
      </c>
      <c r="B119" s="113"/>
      <c r="C119" s="113"/>
      <c r="D119" s="113">
        <v>0</v>
      </c>
      <c r="E119" s="113">
        <v>1</v>
      </c>
      <c r="F119" s="113" t="s">
        <v>476</v>
      </c>
      <c r="G119" s="113" t="s">
        <v>477</v>
      </c>
      <c r="H119" s="113"/>
      <c r="I119" s="113">
        <v>0</v>
      </c>
      <c r="J119" s="113" t="s">
        <v>848</v>
      </c>
      <c r="K119" s="113" t="s">
        <v>849</v>
      </c>
      <c r="L119" s="113"/>
      <c r="M119" s="113"/>
      <c r="N119" s="113" t="str">
        <f t="shared" si="2"/>
        <v>CrowdControl(Stun)</v>
      </c>
      <c r="O119" s="113">
        <v>0</v>
      </c>
      <c r="P119" s="113">
        <v>0</v>
      </c>
      <c r="Q119" s="113"/>
      <c r="R119" s="39" t="b">
        <v>1</v>
      </c>
    </row>
    <row r="120" spans="1:18" x14ac:dyDescent="0.3">
      <c r="A120" s="112" t="s">
        <v>295</v>
      </c>
      <c r="B120" s="113"/>
      <c r="C120" s="113"/>
      <c r="D120" s="113">
        <v>0</v>
      </c>
      <c r="E120" s="113">
        <v>1</v>
      </c>
      <c r="F120" s="113" t="s">
        <v>476</v>
      </c>
      <c r="G120" s="113" t="s">
        <v>477</v>
      </c>
      <c r="H120" s="113"/>
      <c r="I120" s="113">
        <v>0</v>
      </c>
      <c r="J120" s="113" t="s">
        <v>848</v>
      </c>
      <c r="K120" s="113" t="s">
        <v>850</v>
      </c>
      <c r="L120" s="113"/>
      <c r="M120" s="113"/>
      <c r="N120" s="113" t="str">
        <f t="shared" si="2"/>
        <v>CrowdControl(Knockback)</v>
      </c>
      <c r="O120" s="113">
        <v>0</v>
      </c>
      <c r="P120" s="113">
        <v>0</v>
      </c>
      <c r="Q120" s="113"/>
      <c r="R120" s="39" t="b">
        <v>1</v>
      </c>
    </row>
    <row r="121" spans="1:18" x14ac:dyDescent="0.3">
      <c r="A121" s="112" t="s">
        <v>297</v>
      </c>
      <c r="B121" s="113"/>
      <c r="C121" s="113"/>
      <c r="D121" s="113">
        <v>0</v>
      </c>
      <c r="E121" s="113">
        <v>1</v>
      </c>
      <c r="F121" s="113" t="s">
        <v>476</v>
      </c>
      <c r="G121" s="113" t="s">
        <v>477</v>
      </c>
      <c r="H121" s="113"/>
      <c r="I121" s="113">
        <v>0</v>
      </c>
      <c r="J121" s="113" t="s">
        <v>846</v>
      </c>
      <c r="K121" s="113" t="s">
        <v>852</v>
      </c>
      <c r="L121" s="113">
        <v>500</v>
      </c>
      <c r="M121" s="113"/>
      <c r="N121" s="113" t="str">
        <f t="shared" si="2"/>
        <v>Status(AttackRatio, 500)</v>
      </c>
      <c r="O121" s="113">
        <v>0</v>
      </c>
      <c r="P121" s="113">
        <v>0</v>
      </c>
      <c r="Q121" s="113"/>
      <c r="R121" s="39" t="b">
        <v>1</v>
      </c>
    </row>
    <row r="122" spans="1:18" x14ac:dyDescent="0.3">
      <c r="A122" s="112" t="s">
        <v>300</v>
      </c>
      <c r="B122" s="113"/>
      <c r="C122" s="113"/>
      <c r="D122" s="113">
        <v>0</v>
      </c>
      <c r="E122" s="113">
        <v>1</v>
      </c>
      <c r="F122" s="113" t="s">
        <v>476</v>
      </c>
      <c r="G122" s="113" t="s">
        <v>477</v>
      </c>
      <c r="H122" s="113"/>
      <c r="I122" s="113">
        <v>0</v>
      </c>
      <c r="J122" s="113" t="s">
        <v>880</v>
      </c>
      <c r="K122" s="113" t="s">
        <v>863</v>
      </c>
      <c r="L122" s="113">
        <v>100</v>
      </c>
      <c r="M122" s="113"/>
      <c r="N122" s="113" t="str">
        <f t="shared" si="2"/>
        <v>EffectResist(Damage, 100)</v>
      </c>
      <c r="O122" s="113">
        <v>0</v>
      </c>
      <c r="P122" s="113">
        <v>0</v>
      </c>
      <c r="Q122" s="113"/>
      <c r="R122" s="39" t="b">
        <v>1</v>
      </c>
    </row>
    <row r="123" spans="1:18" x14ac:dyDescent="0.3">
      <c r="A123" s="112" t="s">
        <v>304</v>
      </c>
      <c r="B123" s="113"/>
      <c r="C123" s="113"/>
      <c r="D123" s="113">
        <v>0</v>
      </c>
      <c r="E123" s="113">
        <v>1</v>
      </c>
      <c r="F123" s="113" t="s">
        <v>476</v>
      </c>
      <c r="G123" s="113" t="s">
        <v>477</v>
      </c>
      <c r="H123" s="113"/>
      <c r="I123" s="113">
        <v>0</v>
      </c>
      <c r="J123" s="113" t="s">
        <v>848</v>
      </c>
      <c r="K123" s="113" t="s">
        <v>881</v>
      </c>
      <c r="L123" s="113">
        <v>10000</v>
      </c>
      <c r="M123" s="113"/>
      <c r="N123" s="113" t="str">
        <f t="shared" si="2"/>
        <v>CrowdControl(Pull, 10000)</v>
      </c>
      <c r="O123" s="113">
        <v>0</v>
      </c>
      <c r="P123" s="113">
        <v>0</v>
      </c>
      <c r="Q123" s="113"/>
      <c r="R123" s="39" t="b">
        <v>1</v>
      </c>
    </row>
    <row r="124" spans="1:18" x14ac:dyDescent="0.3">
      <c r="A124" s="112" t="s">
        <v>307</v>
      </c>
      <c r="B124" s="113"/>
      <c r="C124" s="113"/>
      <c r="D124" s="113">
        <v>0</v>
      </c>
      <c r="E124" s="113">
        <v>1</v>
      </c>
      <c r="F124" s="113" t="s">
        <v>476</v>
      </c>
      <c r="G124" s="113" t="s">
        <v>477</v>
      </c>
      <c r="H124" s="113"/>
      <c r="I124" s="113">
        <v>0</v>
      </c>
      <c r="J124" s="113" t="s">
        <v>846</v>
      </c>
      <c r="K124" s="113" t="s">
        <v>857</v>
      </c>
      <c r="L124" s="113">
        <v>-300</v>
      </c>
      <c r="M124" s="113"/>
      <c r="N124" s="113" t="str">
        <f t="shared" si="2"/>
        <v>Status(DamageRate, -300)</v>
      </c>
      <c r="O124" s="113">
        <v>0</v>
      </c>
      <c r="P124" s="113">
        <v>0</v>
      </c>
      <c r="Q124" s="113"/>
      <c r="R124" s="39" t="b">
        <v>1</v>
      </c>
    </row>
    <row r="125" spans="1:18" x14ac:dyDescent="0.3">
      <c r="A125" s="130" t="s">
        <v>310</v>
      </c>
      <c r="B125" s="131"/>
      <c r="C125" s="131"/>
      <c r="D125" s="131">
        <v>0</v>
      </c>
      <c r="E125" s="131">
        <v>1</v>
      </c>
      <c r="F125" s="131" t="s">
        <v>476</v>
      </c>
      <c r="G125" s="131" t="s">
        <v>477</v>
      </c>
      <c r="H125" s="131"/>
      <c r="I125" s="131">
        <v>0</v>
      </c>
      <c r="J125" s="131" t="s">
        <v>505</v>
      </c>
      <c r="K125" s="131" t="s">
        <v>844</v>
      </c>
      <c r="L125" s="131">
        <v>600</v>
      </c>
      <c r="M125" s="131"/>
      <c r="N125" s="131" t="str">
        <f t="shared" si="2"/>
        <v>Bleed(Attack, 600)</v>
      </c>
      <c r="O125" s="131">
        <v>0</v>
      </c>
      <c r="P125" s="131">
        <v>1000</v>
      </c>
      <c r="Q125" s="131"/>
      <c r="R125" s="132" t="b">
        <v>1</v>
      </c>
    </row>
    <row r="126" spans="1:18" x14ac:dyDescent="0.3">
      <c r="A126" s="130" t="s">
        <v>312</v>
      </c>
      <c r="B126" s="131"/>
      <c r="C126" s="131"/>
      <c r="D126" s="131">
        <v>0</v>
      </c>
      <c r="E126" s="131">
        <v>1</v>
      </c>
      <c r="F126" s="131" t="s">
        <v>476</v>
      </c>
      <c r="G126" s="131" t="s">
        <v>477</v>
      </c>
      <c r="H126" s="131"/>
      <c r="I126" s="131">
        <v>0</v>
      </c>
      <c r="J126" s="131" t="s">
        <v>848</v>
      </c>
      <c r="K126" s="131" t="s">
        <v>850</v>
      </c>
      <c r="L126" s="131"/>
      <c r="M126" s="131"/>
      <c r="N126" s="131" t="str">
        <f t="shared" si="2"/>
        <v>CrowdControl(Knockback)</v>
      </c>
      <c r="O126" s="131">
        <v>0</v>
      </c>
      <c r="P126" s="131">
        <v>0</v>
      </c>
      <c r="Q126" s="131"/>
      <c r="R126" s="132" t="b">
        <v>1</v>
      </c>
    </row>
    <row r="127" spans="1:18" x14ac:dyDescent="0.3">
      <c r="A127" s="130" t="s">
        <v>314</v>
      </c>
      <c r="B127" s="131"/>
      <c r="C127" s="131"/>
      <c r="D127" s="131">
        <v>0</v>
      </c>
      <c r="E127" s="131">
        <v>1</v>
      </c>
      <c r="F127" s="131" t="s">
        <v>476</v>
      </c>
      <c r="G127" s="131" t="s">
        <v>477</v>
      </c>
      <c r="H127" s="131"/>
      <c r="I127" s="131">
        <v>0</v>
      </c>
      <c r="J127" s="131" t="s">
        <v>848</v>
      </c>
      <c r="K127" s="131" t="s">
        <v>849</v>
      </c>
      <c r="L127" s="131"/>
      <c r="M127" s="131"/>
      <c r="N127" s="131" t="str">
        <f t="shared" si="2"/>
        <v>CrowdControl(Stun)</v>
      </c>
      <c r="O127" s="131">
        <v>0</v>
      </c>
      <c r="P127" s="131">
        <v>0</v>
      </c>
      <c r="Q127" s="131"/>
      <c r="R127" s="132" t="b">
        <v>1</v>
      </c>
    </row>
    <row r="128" spans="1:18" x14ac:dyDescent="0.3">
      <c r="A128" s="130" t="s">
        <v>316</v>
      </c>
      <c r="B128" s="131"/>
      <c r="C128" s="131"/>
      <c r="D128" s="131">
        <v>0</v>
      </c>
      <c r="E128" s="131">
        <v>1</v>
      </c>
      <c r="F128" s="131" t="s">
        <v>476</v>
      </c>
      <c r="G128" s="131" t="s">
        <v>477</v>
      </c>
      <c r="H128" s="131"/>
      <c r="I128" s="131">
        <v>0</v>
      </c>
      <c r="J128" s="131" t="s">
        <v>846</v>
      </c>
      <c r="K128" s="131" t="s">
        <v>853</v>
      </c>
      <c r="L128" s="131">
        <v>350</v>
      </c>
      <c r="M128" s="131"/>
      <c r="N128" s="131" t="str">
        <f t="shared" si="2"/>
        <v>Status(AttackSpeedRate, 350)</v>
      </c>
      <c r="O128" s="131">
        <v>0</v>
      </c>
      <c r="P128" s="131">
        <v>0</v>
      </c>
      <c r="Q128" s="131"/>
      <c r="R128" s="132" t="b">
        <v>1</v>
      </c>
    </row>
    <row r="129" spans="1:18" x14ac:dyDescent="0.3">
      <c r="A129" s="130" t="s">
        <v>319</v>
      </c>
      <c r="B129" s="131"/>
      <c r="C129" s="131"/>
      <c r="D129" s="131">
        <v>0</v>
      </c>
      <c r="E129" s="131">
        <v>1</v>
      </c>
      <c r="F129" s="131" t="s">
        <v>476</v>
      </c>
      <c r="G129" s="131" t="s">
        <v>477</v>
      </c>
      <c r="H129" s="131"/>
      <c r="I129" s="131">
        <v>0</v>
      </c>
      <c r="J129" s="131" t="s">
        <v>862</v>
      </c>
      <c r="K129" s="131" t="s">
        <v>863</v>
      </c>
      <c r="L129" s="131">
        <v>100</v>
      </c>
      <c r="M129" s="131"/>
      <c r="N129" s="131" t="str">
        <f t="shared" si="2"/>
        <v>EffectImmune(Damage, 100)</v>
      </c>
      <c r="O129" s="131">
        <v>0</v>
      </c>
      <c r="P129" s="131">
        <v>0</v>
      </c>
      <c r="Q129" s="131"/>
      <c r="R129" s="132" t="b">
        <v>1</v>
      </c>
    </row>
    <row r="130" spans="1:18" x14ac:dyDescent="0.3">
      <c r="A130" s="130" t="s">
        <v>321</v>
      </c>
      <c r="B130" s="131"/>
      <c r="C130" s="131"/>
      <c r="D130" s="131">
        <v>0</v>
      </c>
      <c r="E130" s="131">
        <v>1</v>
      </c>
      <c r="F130" s="131" t="s">
        <v>476</v>
      </c>
      <c r="G130" s="131" t="s">
        <v>477</v>
      </c>
      <c r="H130" s="131"/>
      <c r="I130" s="131">
        <v>0</v>
      </c>
      <c r="J130" s="131" t="s">
        <v>882</v>
      </c>
      <c r="K130" s="131" t="s">
        <v>883</v>
      </c>
      <c r="L130" s="131" t="s">
        <v>884</v>
      </c>
      <c r="M130" s="131"/>
      <c r="N130" s="131" t="str">
        <f t="shared" si="2"/>
        <v>Event(EnemyDie, Sector04.nullaxe_1.passive01.buff.buffeffect.skilleffect)</v>
      </c>
      <c r="O130" s="131">
        <v>0</v>
      </c>
      <c r="P130" s="131">
        <v>0</v>
      </c>
      <c r="Q130" s="131"/>
      <c r="R130" s="132" t="b">
        <v>1</v>
      </c>
    </row>
    <row r="131" spans="1:18" x14ac:dyDescent="0.3">
      <c r="A131" s="130" t="s">
        <v>323</v>
      </c>
      <c r="B131" s="131"/>
      <c r="C131" s="131"/>
      <c r="D131" s="131">
        <v>0</v>
      </c>
      <c r="E131" s="131">
        <v>1</v>
      </c>
      <c r="F131" s="131" t="s">
        <v>476</v>
      </c>
      <c r="G131" s="131" t="s">
        <v>477</v>
      </c>
      <c r="H131" s="131"/>
      <c r="I131" s="131">
        <v>0</v>
      </c>
      <c r="J131" s="131" t="s">
        <v>470</v>
      </c>
      <c r="K131" s="131" t="s">
        <v>885</v>
      </c>
      <c r="L131" s="131" t="s">
        <v>886</v>
      </c>
      <c r="M131" s="131"/>
      <c r="N131" s="131" t="str">
        <f t="shared" si="2"/>
        <v>Effect(OnHit, Sector04.nullaxe_1.passive02.buff.buffeffect.skilleffect)</v>
      </c>
      <c r="O131" s="131">
        <v>0</v>
      </c>
      <c r="P131" s="131">
        <v>0</v>
      </c>
      <c r="Q131" s="131"/>
      <c r="R131" s="132" t="b">
        <v>1</v>
      </c>
    </row>
    <row r="132" spans="1:18" x14ac:dyDescent="0.3">
      <c r="A132" s="61" t="s">
        <v>325</v>
      </c>
      <c r="B132" s="62"/>
      <c r="C132" s="62"/>
      <c r="D132" s="62">
        <v>0</v>
      </c>
      <c r="E132" s="62">
        <v>1</v>
      </c>
      <c r="F132" s="62" t="s">
        <v>476</v>
      </c>
      <c r="G132" s="62" t="s">
        <v>477</v>
      </c>
      <c r="H132" s="62"/>
      <c r="I132" s="62">
        <v>0</v>
      </c>
      <c r="J132" s="62" t="s">
        <v>846</v>
      </c>
      <c r="K132" s="62" t="s">
        <v>887</v>
      </c>
      <c r="L132" s="62">
        <v>1000</v>
      </c>
      <c r="M132" s="62"/>
      <c r="N132" s="62" t="str">
        <f t="shared" si="2"/>
        <v>Status(HpDrainRate, 1000)</v>
      </c>
      <c r="O132" s="62">
        <v>0</v>
      </c>
      <c r="P132" s="62">
        <v>0</v>
      </c>
      <c r="Q132" s="62"/>
      <c r="R132" s="40" t="b">
        <v>0</v>
      </c>
    </row>
    <row r="133" spans="1:18" x14ac:dyDescent="0.3">
      <c r="A133" s="61" t="s">
        <v>327</v>
      </c>
      <c r="B133" s="62"/>
      <c r="C133" s="62"/>
      <c r="D133" s="62">
        <v>0</v>
      </c>
      <c r="E133" s="62">
        <v>1</v>
      </c>
      <c r="F133" s="62" t="s">
        <v>476</v>
      </c>
      <c r="G133" s="62" t="s">
        <v>477</v>
      </c>
      <c r="H133" s="62"/>
      <c r="I133" s="62">
        <v>0</v>
      </c>
      <c r="J133" s="62" t="s">
        <v>505</v>
      </c>
      <c r="K133" s="62" t="s">
        <v>844</v>
      </c>
      <c r="L133" s="62">
        <v>600</v>
      </c>
      <c r="M133" s="62"/>
      <c r="N133" s="62" t="str">
        <f t="shared" si="2"/>
        <v>Bleed(Attack, 600)</v>
      </c>
      <c r="O133" s="62">
        <v>0</v>
      </c>
      <c r="P133" s="62">
        <v>1000</v>
      </c>
      <c r="Q133" s="62"/>
      <c r="R133" s="40" t="b">
        <v>1</v>
      </c>
    </row>
    <row r="134" spans="1:18" x14ac:dyDescent="0.3">
      <c r="A134" s="61" t="s">
        <v>329</v>
      </c>
      <c r="B134" s="62"/>
      <c r="C134" s="62"/>
      <c r="D134" s="62">
        <v>0</v>
      </c>
      <c r="E134" s="62">
        <v>1</v>
      </c>
      <c r="F134" s="62" t="s">
        <v>476</v>
      </c>
      <c r="G134" s="62" t="s">
        <v>477</v>
      </c>
      <c r="H134" s="62"/>
      <c r="I134" s="62">
        <v>0</v>
      </c>
      <c r="J134" s="62" t="s">
        <v>848</v>
      </c>
      <c r="K134" s="62" t="s">
        <v>850</v>
      </c>
      <c r="L134" s="62"/>
      <c r="M134" s="62"/>
      <c r="N134" s="62" t="str">
        <f t="shared" si="2"/>
        <v>CrowdControl(Knockback)</v>
      </c>
      <c r="O134" s="62">
        <v>0</v>
      </c>
      <c r="P134" s="62">
        <v>0</v>
      </c>
      <c r="Q134" s="62"/>
      <c r="R134" s="40" t="b">
        <v>1</v>
      </c>
    </row>
    <row r="135" spans="1:18" x14ac:dyDescent="0.3">
      <c r="A135" s="61" t="s">
        <v>331</v>
      </c>
      <c r="B135" s="62"/>
      <c r="C135" s="62"/>
      <c r="D135" s="62">
        <v>0</v>
      </c>
      <c r="E135" s="62">
        <v>1</v>
      </c>
      <c r="F135" s="62" t="s">
        <v>476</v>
      </c>
      <c r="G135" s="62" t="s">
        <v>477</v>
      </c>
      <c r="H135" s="62"/>
      <c r="I135" s="62">
        <v>0</v>
      </c>
      <c r="J135" s="62" t="s">
        <v>848</v>
      </c>
      <c r="K135" s="62" t="s">
        <v>849</v>
      </c>
      <c r="L135" s="62"/>
      <c r="M135" s="62"/>
      <c r="N135" s="62" t="str">
        <f t="shared" si="2"/>
        <v>CrowdControl(Stun)</v>
      </c>
      <c r="O135" s="62">
        <v>0</v>
      </c>
      <c r="P135" s="62">
        <v>0</v>
      </c>
      <c r="Q135" s="62"/>
      <c r="R135" s="40" t="b">
        <v>1</v>
      </c>
    </row>
    <row r="136" spans="1:18" x14ac:dyDescent="0.3">
      <c r="A136" s="61" t="s">
        <v>333</v>
      </c>
      <c r="B136" s="62"/>
      <c r="C136" s="62"/>
      <c r="D136" s="62">
        <v>0</v>
      </c>
      <c r="E136" s="62">
        <v>1</v>
      </c>
      <c r="F136" s="62" t="s">
        <v>476</v>
      </c>
      <c r="G136" s="62" t="s">
        <v>477</v>
      </c>
      <c r="H136" s="62"/>
      <c r="I136" s="62">
        <v>0</v>
      </c>
      <c r="J136" s="62" t="s">
        <v>871</v>
      </c>
      <c r="K136" s="62"/>
      <c r="L136" s="62"/>
      <c r="M136" s="62"/>
      <c r="N136" s="62" t="str">
        <f t="shared" si="2"/>
        <v>None()</v>
      </c>
      <c r="O136" s="62">
        <v>0</v>
      </c>
      <c r="P136" s="62">
        <v>0</v>
      </c>
      <c r="Q136" s="62"/>
      <c r="R136" s="40" t="b">
        <v>1</v>
      </c>
    </row>
    <row r="137" spans="1:18" x14ac:dyDescent="0.3">
      <c r="A137" s="61" t="s">
        <v>335</v>
      </c>
      <c r="B137" s="62"/>
      <c r="C137" s="62"/>
      <c r="D137" s="62">
        <v>0</v>
      </c>
      <c r="E137" s="62">
        <v>1</v>
      </c>
      <c r="F137" s="62" t="s">
        <v>476</v>
      </c>
      <c r="G137" s="62" t="s">
        <v>477</v>
      </c>
      <c r="H137" s="62"/>
      <c r="I137" s="62">
        <v>0</v>
      </c>
      <c r="J137" s="62" t="s">
        <v>846</v>
      </c>
      <c r="K137" s="62" t="s">
        <v>853</v>
      </c>
      <c r="L137" s="62">
        <v>350</v>
      </c>
      <c r="M137" s="62"/>
      <c r="N137" s="62" t="str">
        <f t="shared" ref="N137:N227" si="4">J137&amp;"("&amp;IF(K137="","",K137)&amp;IF(L137="","",", "&amp;L137)&amp;IF(M137="","",", "&amp;M137)&amp;")"</f>
        <v>Status(AttackSpeedRate, 350)</v>
      </c>
      <c r="O137" s="62">
        <v>0</v>
      </c>
      <c r="P137" s="62">
        <v>0</v>
      </c>
      <c r="Q137" s="62"/>
      <c r="R137" s="40" t="b">
        <v>1</v>
      </c>
    </row>
    <row r="138" spans="1:18" x14ac:dyDescent="0.3">
      <c r="A138" s="61" t="s">
        <v>337</v>
      </c>
      <c r="B138" s="62"/>
      <c r="C138" s="62"/>
      <c r="D138" s="62">
        <v>0</v>
      </c>
      <c r="E138" s="62">
        <v>1</v>
      </c>
      <c r="F138" s="62" t="s">
        <v>476</v>
      </c>
      <c r="G138" s="62" t="s">
        <v>477</v>
      </c>
      <c r="H138" s="62"/>
      <c r="I138" s="62">
        <v>0</v>
      </c>
      <c r="J138" s="62" t="s">
        <v>862</v>
      </c>
      <c r="K138" s="62" t="s">
        <v>863</v>
      </c>
      <c r="L138" s="62">
        <v>100</v>
      </c>
      <c r="M138" s="62"/>
      <c r="N138" s="62" t="str">
        <f t="shared" si="4"/>
        <v>EffectImmune(Damage, 100)</v>
      </c>
      <c r="O138" s="62">
        <v>0</v>
      </c>
      <c r="P138" s="62">
        <v>0</v>
      </c>
      <c r="Q138" s="62"/>
      <c r="R138" s="40" t="b">
        <v>1</v>
      </c>
    </row>
    <row r="139" spans="1:18" x14ac:dyDescent="0.3">
      <c r="A139" s="61" t="s">
        <v>339</v>
      </c>
      <c r="B139" s="62"/>
      <c r="C139" s="62"/>
      <c r="D139" s="62">
        <v>0</v>
      </c>
      <c r="E139" s="62">
        <v>1</v>
      </c>
      <c r="F139" s="62" t="s">
        <v>476</v>
      </c>
      <c r="G139" s="62" t="s">
        <v>477</v>
      </c>
      <c r="H139" s="62"/>
      <c r="I139" s="62">
        <v>0</v>
      </c>
      <c r="J139" s="62" t="s">
        <v>882</v>
      </c>
      <c r="K139" s="62" t="s">
        <v>883</v>
      </c>
      <c r="L139" s="62" t="s">
        <v>888</v>
      </c>
      <c r="M139" s="62"/>
      <c r="N139" s="62" t="str">
        <f t="shared" si="4"/>
        <v>Event(EnemyDie, Sector04.nullaxe_2.passive01.buff.buffeffect.skilleffect)</v>
      </c>
      <c r="O139" s="62">
        <v>0</v>
      </c>
      <c r="P139" s="62">
        <v>0</v>
      </c>
      <c r="Q139" s="62"/>
      <c r="R139" s="40" t="b">
        <v>1</v>
      </c>
    </row>
    <row r="140" spans="1:18" x14ac:dyDescent="0.3">
      <c r="A140" s="61" t="s">
        <v>341</v>
      </c>
      <c r="B140" s="62"/>
      <c r="C140" s="62"/>
      <c r="D140" s="62">
        <v>0</v>
      </c>
      <c r="E140" s="62">
        <v>1</v>
      </c>
      <c r="F140" s="62" t="s">
        <v>476</v>
      </c>
      <c r="G140" s="62" t="s">
        <v>477</v>
      </c>
      <c r="H140" s="62"/>
      <c r="I140" s="62">
        <v>0</v>
      </c>
      <c r="J140" s="62" t="s">
        <v>470</v>
      </c>
      <c r="K140" s="62" t="s">
        <v>885</v>
      </c>
      <c r="L140" s="62" t="s">
        <v>889</v>
      </c>
      <c r="M140" s="62"/>
      <c r="N140" s="62" t="str">
        <f t="shared" si="4"/>
        <v>Effect(OnHit, Sector04.nullaxe_2.passive02.buff.buffeffect.skilleffect)</v>
      </c>
      <c r="O140" s="62">
        <v>0</v>
      </c>
      <c r="P140" s="62">
        <v>0</v>
      </c>
      <c r="Q140" s="62"/>
      <c r="R140" s="40" t="b">
        <v>1</v>
      </c>
    </row>
    <row r="141" spans="1:18" x14ac:dyDescent="0.3">
      <c r="A141" s="61" t="s">
        <v>343</v>
      </c>
      <c r="B141" s="62"/>
      <c r="C141" s="62"/>
      <c r="D141" s="62">
        <v>0</v>
      </c>
      <c r="E141" s="62">
        <v>1</v>
      </c>
      <c r="F141" s="62" t="s">
        <v>476</v>
      </c>
      <c r="G141" s="62" t="s">
        <v>477</v>
      </c>
      <c r="H141" s="62"/>
      <c r="I141" s="62">
        <v>0</v>
      </c>
      <c r="J141" s="62" t="s">
        <v>846</v>
      </c>
      <c r="K141" s="62" t="s">
        <v>890</v>
      </c>
      <c r="L141" s="62">
        <v>300</v>
      </c>
      <c r="M141" s="62"/>
      <c r="N141" s="62" t="str">
        <f t="shared" si="4"/>
        <v>Status(ForwardDamgeDerate, 300)</v>
      </c>
      <c r="O141" s="62">
        <v>0</v>
      </c>
      <c r="P141" s="62">
        <v>0</v>
      </c>
      <c r="Q141" s="62"/>
      <c r="R141" s="40" t="b">
        <v>1</v>
      </c>
    </row>
    <row r="142" spans="1:18" x14ac:dyDescent="0.3">
      <c r="A142" s="135" t="s">
        <v>1078</v>
      </c>
      <c r="B142" s="136" t="s">
        <v>500</v>
      </c>
      <c r="C142" s="136" t="s">
        <v>2156</v>
      </c>
      <c r="D142" s="136">
        <v>0</v>
      </c>
      <c r="E142" s="136"/>
      <c r="F142" s="136" t="s">
        <v>476</v>
      </c>
      <c r="G142" s="136" t="s">
        <v>477</v>
      </c>
      <c r="H142" s="136"/>
      <c r="I142" s="136">
        <v>0</v>
      </c>
      <c r="J142" s="136" t="s">
        <v>1380</v>
      </c>
      <c r="K142" s="136" t="s">
        <v>1377</v>
      </c>
      <c r="L142" s="136"/>
      <c r="M142" s="136"/>
      <c r="N142" s="136" t="str">
        <f t="shared" si="4"/>
        <v>Passive(Sector05.common.passive01.weakness.buff)</v>
      </c>
      <c r="O142" s="136">
        <v>0</v>
      </c>
      <c r="P142" s="136">
        <v>0</v>
      </c>
      <c r="Q142" s="136"/>
      <c r="R142" s="137" t="b">
        <v>1</v>
      </c>
    </row>
    <row r="143" spans="1:18" x14ac:dyDescent="0.3">
      <c r="A143" s="135" t="s">
        <v>1379</v>
      </c>
      <c r="B143" s="136"/>
      <c r="C143" s="136"/>
      <c r="D143" s="136">
        <v>0</v>
      </c>
      <c r="E143" s="136">
        <v>1</v>
      </c>
      <c r="F143" s="136" t="s">
        <v>476</v>
      </c>
      <c r="G143" s="136" t="s">
        <v>477</v>
      </c>
      <c r="H143" s="136"/>
      <c r="I143" s="136">
        <v>0</v>
      </c>
      <c r="J143" s="136" t="s">
        <v>846</v>
      </c>
      <c r="K143" s="136" t="s">
        <v>872</v>
      </c>
      <c r="L143" s="136">
        <v>-200</v>
      </c>
      <c r="M143" s="136"/>
      <c r="N143" s="136" t="str">
        <f t="shared" ref="N143" si="5">J143&amp;"("&amp;IF(K143="","",K143)&amp;IF(L143="","",", "&amp;L143)&amp;IF(M143="","",", "&amp;M143)&amp;")"</f>
        <v>Status(DamageDerate, -200)</v>
      </c>
      <c r="O143" s="136">
        <v>0</v>
      </c>
      <c r="P143" s="136">
        <v>0</v>
      </c>
      <c r="Q143" s="136"/>
      <c r="R143" s="137" t="b">
        <v>1</v>
      </c>
    </row>
    <row r="144" spans="1:18" x14ac:dyDescent="0.3">
      <c r="A144" s="22" t="s">
        <v>998</v>
      </c>
      <c r="B144" s="23"/>
      <c r="C144" s="23"/>
      <c r="D144" s="23">
        <v>0</v>
      </c>
      <c r="E144" s="23">
        <v>1</v>
      </c>
      <c r="F144" s="23" t="s">
        <v>476</v>
      </c>
      <c r="G144" s="23" t="s">
        <v>477</v>
      </c>
      <c r="H144" s="23"/>
      <c r="I144" s="23">
        <v>0</v>
      </c>
      <c r="J144" s="23" t="s">
        <v>846</v>
      </c>
      <c r="K144" s="23" t="s">
        <v>853</v>
      </c>
      <c r="L144" s="23">
        <v>350</v>
      </c>
      <c r="M144" s="23"/>
      <c r="N144" s="23" t="str">
        <f t="shared" si="4"/>
        <v>Status(AttackSpeedRate, 350)</v>
      </c>
      <c r="O144" s="23">
        <v>0</v>
      </c>
      <c r="P144" s="23">
        <v>0</v>
      </c>
      <c r="Q144" s="23"/>
      <c r="R144" s="24" t="b">
        <v>1</v>
      </c>
    </row>
    <row r="145" spans="1:18" x14ac:dyDescent="0.3">
      <c r="A145" s="26" t="s">
        <v>999</v>
      </c>
      <c r="B145" s="27"/>
      <c r="C145" s="27"/>
      <c r="D145" s="27">
        <v>0</v>
      </c>
      <c r="E145" s="27">
        <v>1</v>
      </c>
      <c r="F145" s="27" t="s">
        <v>476</v>
      </c>
      <c r="G145" s="27" t="s">
        <v>477</v>
      </c>
      <c r="H145" s="27"/>
      <c r="I145" s="27">
        <v>0</v>
      </c>
      <c r="J145" s="27" t="s">
        <v>835</v>
      </c>
      <c r="K145" s="27" t="s">
        <v>845</v>
      </c>
      <c r="L145" s="27">
        <v>250</v>
      </c>
      <c r="M145" s="27"/>
      <c r="N145" s="27" t="str">
        <f t="shared" si="4"/>
        <v>Shield(MaxHp, 250)</v>
      </c>
      <c r="O145" s="27">
        <v>0</v>
      </c>
      <c r="P145" s="27">
        <v>0</v>
      </c>
      <c r="Q145" s="27"/>
      <c r="R145" s="28" t="b">
        <v>1</v>
      </c>
    </row>
    <row r="146" spans="1:18" x14ac:dyDescent="0.3">
      <c r="A146" s="22" t="s">
        <v>996</v>
      </c>
      <c r="B146" s="23"/>
      <c r="C146" s="23"/>
      <c r="D146" s="23">
        <v>0</v>
      </c>
      <c r="E146" s="23">
        <v>1</v>
      </c>
      <c r="F146" s="23" t="s">
        <v>476</v>
      </c>
      <c r="G146" s="23" t="s">
        <v>477</v>
      </c>
      <c r="H146" s="23"/>
      <c r="I146" s="23">
        <v>0</v>
      </c>
      <c r="J146" s="23" t="s">
        <v>1000</v>
      </c>
      <c r="K146" s="23" t="s">
        <v>1001</v>
      </c>
      <c r="L146" s="23">
        <v>-200</v>
      </c>
      <c r="M146" s="23"/>
      <c r="N146" s="23" t="str">
        <f t="shared" si="4"/>
        <v>Status(AttackSpeedRate, -200)</v>
      </c>
      <c r="O146" s="23">
        <v>0</v>
      </c>
      <c r="P146" s="23">
        <v>0</v>
      </c>
      <c r="Q146" s="23"/>
      <c r="R146" s="24" t="b">
        <v>1</v>
      </c>
    </row>
    <row r="147" spans="1:18" x14ac:dyDescent="0.3">
      <c r="A147" s="22" t="s">
        <v>997</v>
      </c>
      <c r="B147" s="23"/>
      <c r="C147" s="23"/>
      <c r="D147" s="23">
        <v>0</v>
      </c>
      <c r="E147" s="23">
        <v>1</v>
      </c>
      <c r="F147" s="23" t="s">
        <v>476</v>
      </c>
      <c r="G147" s="23" t="s">
        <v>477</v>
      </c>
      <c r="H147" s="23"/>
      <c r="I147" s="23">
        <v>0</v>
      </c>
      <c r="J147" s="23" t="s">
        <v>846</v>
      </c>
      <c r="K147" s="23" t="s">
        <v>847</v>
      </c>
      <c r="L147" s="23">
        <v>-300</v>
      </c>
      <c r="M147" s="23"/>
      <c r="N147" s="23" t="str">
        <f t="shared" ref="N147" si="6">J147&amp;"("&amp;IF(K147="","",K147)&amp;IF(L147="","",", "&amp;L147)&amp;IF(M147="","",", "&amp;M147)&amp;")"</f>
        <v>Status(DefenseRatio, -300)</v>
      </c>
      <c r="O147" s="23">
        <v>0</v>
      </c>
      <c r="P147" s="23">
        <v>0</v>
      </c>
      <c r="Q147" s="23"/>
      <c r="R147" s="24" t="b">
        <v>1</v>
      </c>
    </row>
    <row r="148" spans="1:18" x14ac:dyDescent="0.3">
      <c r="A148" s="26" t="s">
        <v>1015</v>
      </c>
      <c r="B148" s="27"/>
      <c r="C148" s="27"/>
      <c r="D148" s="27">
        <v>0</v>
      </c>
      <c r="E148" s="27">
        <v>1</v>
      </c>
      <c r="F148" s="27" t="s">
        <v>476</v>
      </c>
      <c r="G148" s="27" t="s">
        <v>477</v>
      </c>
      <c r="H148" s="27"/>
      <c r="I148" s="27">
        <v>0</v>
      </c>
      <c r="J148" s="27" t="s">
        <v>846</v>
      </c>
      <c r="K148" s="27" t="s">
        <v>847</v>
      </c>
      <c r="L148" s="27">
        <v>-300</v>
      </c>
      <c r="M148" s="27"/>
      <c r="N148" s="27" t="str">
        <f t="shared" si="4"/>
        <v>Status(DefenseRatio, -300)</v>
      </c>
      <c r="O148" s="27">
        <v>0</v>
      </c>
      <c r="P148" s="27">
        <v>0</v>
      </c>
      <c r="Q148" s="27"/>
      <c r="R148" s="28" t="b">
        <v>1</v>
      </c>
    </row>
    <row r="149" spans="1:18" x14ac:dyDescent="0.3">
      <c r="A149" s="22" t="s">
        <v>1011</v>
      </c>
      <c r="B149" s="23"/>
      <c r="C149" s="23"/>
      <c r="D149" s="23">
        <v>0</v>
      </c>
      <c r="E149" s="23">
        <v>1</v>
      </c>
      <c r="F149" s="23" t="s">
        <v>476</v>
      </c>
      <c r="G149" s="23" t="s">
        <v>477</v>
      </c>
      <c r="H149" s="23"/>
      <c r="I149" s="23">
        <v>0</v>
      </c>
      <c r="J149" s="23" t="s">
        <v>846</v>
      </c>
      <c r="K149" s="23" t="s">
        <v>852</v>
      </c>
      <c r="L149" s="23">
        <v>300</v>
      </c>
      <c r="M149" s="23"/>
      <c r="N149" s="23" t="str">
        <f t="shared" si="4"/>
        <v>Status(AttackRatio, 300)</v>
      </c>
      <c r="O149" s="23">
        <v>0</v>
      </c>
      <c r="P149" s="23">
        <v>0</v>
      </c>
      <c r="Q149" s="23"/>
      <c r="R149" s="24" t="b">
        <v>1</v>
      </c>
    </row>
    <row r="150" spans="1:18" x14ac:dyDescent="0.3">
      <c r="A150" s="22" t="s">
        <v>1012</v>
      </c>
      <c r="B150" s="23"/>
      <c r="C150" s="23"/>
      <c r="D150" s="23">
        <v>0</v>
      </c>
      <c r="E150" s="23">
        <v>1</v>
      </c>
      <c r="F150" s="23" t="s">
        <v>476</v>
      </c>
      <c r="G150" s="23" t="s">
        <v>477</v>
      </c>
      <c r="H150" s="23"/>
      <c r="I150" s="23">
        <v>0</v>
      </c>
      <c r="J150" s="23" t="s">
        <v>846</v>
      </c>
      <c r="K150" s="23" t="s">
        <v>847</v>
      </c>
      <c r="L150" s="23">
        <v>400</v>
      </c>
      <c r="M150" s="23"/>
      <c r="N150" s="23" t="str">
        <f t="shared" si="4"/>
        <v>Status(DefenseRatio, 400)</v>
      </c>
      <c r="O150" s="23">
        <v>0</v>
      </c>
      <c r="P150" s="23">
        <v>0</v>
      </c>
      <c r="Q150" s="23"/>
      <c r="R150" s="24" t="b">
        <v>1</v>
      </c>
    </row>
    <row r="151" spans="1:18" x14ac:dyDescent="0.3">
      <c r="A151" s="26" t="s">
        <v>1005</v>
      </c>
      <c r="B151" s="27"/>
      <c r="C151" s="27"/>
      <c r="D151" s="27">
        <v>0</v>
      </c>
      <c r="E151" s="27">
        <v>1</v>
      </c>
      <c r="F151" s="27" t="s">
        <v>476</v>
      </c>
      <c r="G151" s="27" t="s">
        <v>477</v>
      </c>
      <c r="H151" s="27"/>
      <c r="I151" s="27">
        <v>0</v>
      </c>
      <c r="J151" s="27" t="s">
        <v>846</v>
      </c>
      <c r="K151" s="27" t="s">
        <v>853</v>
      </c>
      <c r="L151" s="27">
        <v>350</v>
      </c>
      <c r="M151" s="27"/>
      <c r="N151" s="27" t="str">
        <f t="shared" si="4"/>
        <v>Status(AttackSpeedRate, 350)</v>
      </c>
      <c r="O151" s="27">
        <v>0</v>
      </c>
      <c r="P151" s="27">
        <v>0</v>
      </c>
      <c r="Q151" s="27"/>
      <c r="R151" s="28" t="b">
        <v>1</v>
      </c>
    </row>
    <row r="152" spans="1:18" x14ac:dyDescent="0.3">
      <c r="A152" s="26" t="s">
        <v>1008</v>
      </c>
      <c r="B152" s="27"/>
      <c r="C152" s="27"/>
      <c r="D152" s="27">
        <v>0</v>
      </c>
      <c r="E152" s="27">
        <v>1</v>
      </c>
      <c r="F152" s="27" t="s">
        <v>476</v>
      </c>
      <c r="G152" s="27" t="s">
        <v>477</v>
      </c>
      <c r="H152" s="27"/>
      <c r="I152" s="27">
        <v>0</v>
      </c>
      <c r="J152" s="27" t="s">
        <v>848</v>
      </c>
      <c r="K152" s="27" t="s">
        <v>891</v>
      </c>
      <c r="L152" s="27"/>
      <c r="M152" s="27"/>
      <c r="N152" s="27" t="str">
        <f t="shared" si="4"/>
        <v>CrowdControl(Silence)</v>
      </c>
      <c r="O152" s="27">
        <v>0</v>
      </c>
      <c r="P152" s="27">
        <v>0</v>
      </c>
      <c r="Q152" s="27"/>
      <c r="R152" s="28" t="b">
        <v>0</v>
      </c>
    </row>
    <row r="153" spans="1:18" x14ac:dyDescent="0.3">
      <c r="A153" s="26" t="s">
        <v>1009</v>
      </c>
      <c r="B153" s="27"/>
      <c r="C153" s="27"/>
      <c r="D153" s="27">
        <v>0</v>
      </c>
      <c r="E153" s="27">
        <v>1</v>
      </c>
      <c r="F153" s="27" t="s">
        <v>476</v>
      </c>
      <c r="G153" s="27" t="s">
        <v>477</v>
      </c>
      <c r="H153" s="27"/>
      <c r="I153" s="27">
        <v>0</v>
      </c>
      <c r="J153" s="27" t="s">
        <v>846</v>
      </c>
      <c r="K153" s="27" t="s">
        <v>847</v>
      </c>
      <c r="L153" s="27">
        <v>-450</v>
      </c>
      <c r="M153" s="27"/>
      <c r="N153" s="27" t="str">
        <f t="shared" si="4"/>
        <v>Status(DefenseRatio, -450)</v>
      </c>
      <c r="O153" s="27">
        <v>0</v>
      </c>
      <c r="P153" s="27">
        <v>0</v>
      </c>
      <c r="Q153" s="27"/>
      <c r="R153" s="28" t="b">
        <v>1</v>
      </c>
    </row>
    <row r="154" spans="1:18" x14ac:dyDescent="0.3">
      <c r="A154" s="22" t="s">
        <v>1013</v>
      </c>
      <c r="B154" s="23"/>
      <c r="C154" s="23"/>
      <c r="D154" s="23">
        <v>0</v>
      </c>
      <c r="E154" s="23">
        <v>1</v>
      </c>
      <c r="F154" s="23" t="s">
        <v>476</v>
      </c>
      <c r="G154" s="23" t="s">
        <v>477</v>
      </c>
      <c r="H154" s="23"/>
      <c r="I154" s="23">
        <v>0</v>
      </c>
      <c r="J154" s="23" t="s">
        <v>848</v>
      </c>
      <c r="K154" s="23" t="s">
        <v>850</v>
      </c>
      <c r="L154" s="23"/>
      <c r="M154" s="23"/>
      <c r="N154" s="23" t="str">
        <f t="shared" si="4"/>
        <v>CrowdControl(Knockback)</v>
      </c>
      <c r="O154" s="23">
        <v>0</v>
      </c>
      <c r="P154" s="23">
        <v>0</v>
      </c>
      <c r="Q154" s="23"/>
      <c r="R154" s="24" t="b">
        <v>1</v>
      </c>
    </row>
    <row r="155" spans="1:18" x14ac:dyDescent="0.3">
      <c r="A155" s="22" t="s">
        <v>497</v>
      </c>
      <c r="B155" s="23"/>
      <c r="C155" s="23"/>
      <c r="D155" s="23">
        <v>0</v>
      </c>
      <c r="E155" s="23">
        <v>1</v>
      </c>
      <c r="F155" s="23" t="s">
        <v>476</v>
      </c>
      <c r="G155" s="23" t="s">
        <v>477</v>
      </c>
      <c r="H155" s="23"/>
      <c r="I155" s="23">
        <v>0</v>
      </c>
      <c r="J155" s="23" t="s">
        <v>846</v>
      </c>
      <c r="K155" s="23" t="s">
        <v>853</v>
      </c>
      <c r="L155" s="23">
        <v>400</v>
      </c>
      <c r="M155" s="23"/>
      <c r="N155" s="23" t="str">
        <f t="shared" si="4"/>
        <v>Status(AttackSpeedRate, 400)</v>
      </c>
      <c r="O155" s="23">
        <v>0</v>
      </c>
      <c r="P155" s="23">
        <v>0</v>
      </c>
      <c r="Q155" s="23"/>
      <c r="R155" s="24" t="b">
        <v>1</v>
      </c>
    </row>
    <row r="156" spans="1:18" x14ac:dyDescent="0.3">
      <c r="A156" s="22" t="s">
        <v>498</v>
      </c>
      <c r="B156" s="23"/>
      <c r="C156" s="23"/>
      <c r="D156" s="23">
        <v>0</v>
      </c>
      <c r="E156" s="23">
        <v>1</v>
      </c>
      <c r="F156" s="23" t="s">
        <v>476</v>
      </c>
      <c r="G156" s="23" t="s">
        <v>477</v>
      </c>
      <c r="H156" s="23"/>
      <c r="I156" s="23">
        <v>0</v>
      </c>
      <c r="J156" s="23" t="s">
        <v>851</v>
      </c>
      <c r="K156" s="23" t="s">
        <v>844</v>
      </c>
      <c r="L156" s="23">
        <v>200</v>
      </c>
      <c r="M156" s="23"/>
      <c r="N156" s="23" t="str">
        <f t="shared" si="4"/>
        <v>Hot(Attack, 200)</v>
      </c>
      <c r="O156" s="23">
        <v>0</v>
      </c>
      <c r="P156" s="23">
        <v>1000</v>
      </c>
      <c r="Q156" s="23"/>
      <c r="R156" s="24" t="b">
        <v>1</v>
      </c>
    </row>
    <row r="157" spans="1:18" x14ac:dyDescent="0.3">
      <c r="A157" s="26" t="s">
        <v>959</v>
      </c>
      <c r="B157" s="27"/>
      <c r="C157" s="27"/>
      <c r="D157" s="27">
        <v>0</v>
      </c>
      <c r="E157" s="27">
        <v>1</v>
      </c>
      <c r="F157" s="27" t="s">
        <v>476</v>
      </c>
      <c r="G157" s="27" t="s">
        <v>477</v>
      </c>
      <c r="H157" s="27"/>
      <c r="I157" s="27">
        <v>0</v>
      </c>
      <c r="J157" s="27" t="s">
        <v>846</v>
      </c>
      <c r="K157" s="27" t="s">
        <v>980</v>
      </c>
      <c r="L157" s="27">
        <v>50</v>
      </c>
      <c r="M157" s="27"/>
      <c r="N157" s="27" t="str">
        <f t="shared" si="4"/>
        <v>Status(DamageIgnoreHpUnderRate, 50)</v>
      </c>
      <c r="O157" s="27">
        <v>0</v>
      </c>
      <c r="P157" s="27">
        <v>0</v>
      </c>
      <c r="Q157" s="27"/>
      <c r="R157" s="28" t="b">
        <v>1</v>
      </c>
    </row>
    <row r="158" spans="1:18" x14ac:dyDescent="0.3">
      <c r="A158" s="26" t="s">
        <v>964</v>
      </c>
      <c r="B158" s="27"/>
      <c r="C158" s="27"/>
      <c r="D158" s="27">
        <v>0</v>
      </c>
      <c r="E158" s="27">
        <v>1</v>
      </c>
      <c r="F158" s="27" t="s">
        <v>476</v>
      </c>
      <c r="G158" s="27" t="s">
        <v>477</v>
      </c>
      <c r="H158" s="27"/>
      <c r="I158" s="27">
        <v>0</v>
      </c>
      <c r="J158" s="27" t="s">
        <v>862</v>
      </c>
      <c r="K158" s="27" t="s">
        <v>863</v>
      </c>
      <c r="L158" s="27">
        <v>300</v>
      </c>
      <c r="M158" s="27"/>
      <c r="N158" s="27" t="str">
        <f t="shared" si="4"/>
        <v>EffectImmune(Damage, 300)</v>
      </c>
      <c r="O158" s="27">
        <v>0</v>
      </c>
      <c r="P158" s="27">
        <v>0</v>
      </c>
      <c r="Q158" s="27"/>
      <c r="R158" s="28" t="b">
        <v>1</v>
      </c>
    </row>
    <row r="159" spans="1:18" x14ac:dyDescent="0.3">
      <c r="A159" s="26" t="s">
        <v>965</v>
      </c>
      <c r="B159" s="27"/>
      <c r="C159" s="27"/>
      <c r="D159" s="27">
        <v>0</v>
      </c>
      <c r="E159" s="27">
        <v>1</v>
      </c>
      <c r="F159" s="27" t="s">
        <v>476</v>
      </c>
      <c r="G159" s="27" t="s">
        <v>477</v>
      </c>
      <c r="H159" s="27"/>
      <c r="I159" s="27">
        <v>0</v>
      </c>
      <c r="J159" s="27" t="s">
        <v>846</v>
      </c>
      <c r="K159" s="27" t="s">
        <v>852</v>
      </c>
      <c r="L159" s="27">
        <v>2000</v>
      </c>
      <c r="M159" s="27"/>
      <c r="N159" s="27" t="str">
        <f t="shared" si="4"/>
        <v>Status(AttackRatio, 2000)</v>
      </c>
      <c r="O159" s="27">
        <v>0</v>
      </c>
      <c r="P159" s="27">
        <v>0</v>
      </c>
      <c r="Q159" s="27"/>
      <c r="R159" s="28" t="b">
        <v>1</v>
      </c>
    </row>
    <row r="160" spans="1:18" x14ac:dyDescent="0.3">
      <c r="A160" s="26" t="s">
        <v>345</v>
      </c>
      <c r="B160" s="27"/>
      <c r="C160" s="27"/>
      <c r="D160" s="27">
        <v>0</v>
      </c>
      <c r="E160" s="27">
        <v>1</v>
      </c>
      <c r="F160" s="27" t="s">
        <v>476</v>
      </c>
      <c r="G160" s="27" t="s">
        <v>477</v>
      </c>
      <c r="H160" s="27"/>
      <c r="I160" s="27">
        <v>0</v>
      </c>
      <c r="J160" s="27" t="s">
        <v>860</v>
      </c>
      <c r="K160" s="27" t="s">
        <v>1053</v>
      </c>
      <c r="L160" s="27"/>
      <c r="M160" s="27"/>
      <c r="N160" s="27" t="str">
        <f t="shared" si="4"/>
        <v>Active(Sector05.goliath_1.passive01.skilleffect)</v>
      </c>
      <c r="O160" s="27">
        <v>0</v>
      </c>
      <c r="P160" s="27">
        <v>6000</v>
      </c>
      <c r="Q160" s="27"/>
      <c r="R160" s="28" t="b">
        <v>1</v>
      </c>
    </row>
    <row r="161" spans="1:18" x14ac:dyDescent="0.3">
      <c r="A161" s="26" t="s">
        <v>968</v>
      </c>
      <c r="B161" s="27" t="s">
        <v>487</v>
      </c>
      <c r="C161" s="27" t="s">
        <v>1054</v>
      </c>
      <c r="D161" s="27">
        <v>0</v>
      </c>
      <c r="E161" s="27">
        <v>1</v>
      </c>
      <c r="F161" s="27" t="s">
        <v>476</v>
      </c>
      <c r="G161" s="27" t="s">
        <v>477</v>
      </c>
      <c r="H161" s="27"/>
      <c r="I161" s="27">
        <v>0</v>
      </c>
      <c r="J161" s="27" t="s">
        <v>1384</v>
      </c>
      <c r="K161" s="27" t="s">
        <v>1381</v>
      </c>
      <c r="L161" s="27"/>
      <c r="M161" s="27"/>
      <c r="N161" s="27" t="str">
        <f t="shared" si="4"/>
        <v>Passive(Sector05.goliath_1.passive01.changeskill.buff)</v>
      </c>
      <c r="O161" s="27">
        <v>0</v>
      </c>
      <c r="P161" s="27">
        <v>0</v>
      </c>
      <c r="Q161" s="27"/>
      <c r="R161" s="28" t="b">
        <v>1</v>
      </c>
    </row>
    <row r="162" spans="1:18" x14ac:dyDescent="0.3">
      <c r="A162" s="26" t="s">
        <v>1383</v>
      </c>
      <c r="B162" s="27"/>
      <c r="C162" s="27"/>
      <c r="D162" s="27">
        <v>0</v>
      </c>
      <c r="E162" s="27">
        <v>1</v>
      </c>
      <c r="F162" s="27" t="s">
        <v>476</v>
      </c>
      <c r="G162" s="27" t="s">
        <v>477</v>
      </c>
      <c r="H162" s="27"/>
      <c r="I162" s="27">
        <v>0</v>
      </c>
      <c r="J162" s="27" t="s">
        <v>877</v>
      </c>
      <c r="K162" s="27" t="s">
        <v>982</v>
      </c>
      <c r="L162" s="27"/>
      <c r="M162" s="27"/>
      <c r="N162" s="27" t="str">
        <f t="shared" ref="N162" si="7">J162&amp;"("&amp;IF(K162="","",K162)&amp;IF(L162="","",", "&amp;L162)&amp;IF(M162="","",", "&amp;M162)&amp;")"</f>
        <v>ChangeSkill(Skill2)</v>
      </c>
      <c r="O162" s="27">
        <v>0</v>
      </c>
      <c r="P162" s="27">
        <v>0</v>
      </c>
      <c r="Q162" s="27"/>
      <c r="R162" s="28" t="b">
        <v>1</v>
      </c>
    </row>
    <row r="163" spans="1:18" x14ac:dyDescent="0.3">
      <c r="A163" s="26" t="s">
        <v>969</v>
      </c>
      <c r="B163" s="27"/>
      <c r="C163" s="27"/>
      <c r="D163" s="27">
        <v>0</v>
      </c>
      <c r="E163" s="27">
        <v>1</v>
      </c>
      <c r="F163" s="27" t="s">
        <v>476</v>
      </c>
      <c r="G163" s="27" t="s">
        <v>477</v>
      </c>
      <c r="H163" s="27"/>
      <c r="I163" s="27">
        <v>0</v>
      </c>
      <c r="J163" s="27" t="s">
        <v>846</v>
      </c>
      <c r="K163" s="27" t="s">
        <v>852</v>
      </c>
      <c r="L163" s="27">
        <v>70</v>
      </c>
      <c r="M163" s="27"/>
      <c r="N163" s="27" t="str">
        <f t="shared" si="4"/>
        <v>Status(AttackRatio, 70)</v>
      </c>
      <c r="O163" s="27">
        <v>0</v>
      </c>
      <c r="P163" s="27">
        <v>0</v>
      </c>
      <c r="Q163" s="27"/>
      <c r="R163" s="28" t="b">
        <v>1</v>
      </c>
    </row>
    <row r="164" spans="1:18" x14ac:dyDescent="0.3">
      <c r="A164" s="26" t="s">
        <v>971</v>
      </c>
      <c r="B164" s="27" t="s">
        <v>843</v>
      </c>
      <c r="C164" s="27">
        <v>-90</v>
      </c>
      <c r="D164" s="27">
        <v>0</v>
      </c>
      <c r="E164" s="27">
        <v>1</v>
      </c>
      <c r="F164" s="27" t="s">
        <v>476</v>
      </c>
      <c r="G164" s="27" t="s">
        <v>477</v>
      </c>
      <c r="H164" s="27"/>
      <c r="I164" s="27">
        <v>0</v>
      </c>
      <c r="J164" s="27" t="s">
        <v>860</v>
      </c>
      <c r="K164" s="27" t="s">
        <v>1045</v>
      </c>
      <c r="L164" s="27"/>
      <c r="M164" s="27"/>
      <c r="N164" s="27" t="str">
        <f t="shared" si="4"/>
        <v>Active(Sector05.goliath_1.passive02.buff.buffeffect.01.skilleffect)</v>
      </c>
      <c r="O164" s="27">
        <v>0</v>
      </c>
      <c r="P164" s="27">
        <v>0</v>
      </c>
      <c r="Q164" s="27"/>
      <c r="R164" s="28" t="b">
        <v>1</v>
      </c>
    </row>
    <row r="165" spans="1:18" x14ac:dyDescent="0.3">
      <c r="A165" s="26" t="s">
        <v>972</v>
      </c>
      <c r="B165" s="27" t="s">
        <v>843</v>
      </c>
      <c r="C165" s="27">
        <v>-80</v>
      </c>
      <c r="D165" s="27">
        <v>0</v>
      </c>
      <c r="E165" s="27">
        <v>1</v>
      </c>
      <c r="F165" s="27" t="s">
        <v>476</v>
      </c>
      <c r="G165" s="27" t="s">
        <v>477</v>
      </c>
      <c r="H165" s="27"/>
      <c r="I165" s="27">
        <v>0</v>
      </c>
      <c r="J165" s="27" t="s">
        <v>860</v>
      </c>
      <c r="K165" s="27" t="s">
        <v>1045</v>
      </c>
      <c r="L165" s="27"/>
      <c r="M165" s="27"/>
      <c r="N165" s="27" t="str">
        <f t="shared" si="4"/>
        <v>Active(Sector05.goliath_1.passive02.buff.buffeffect.01.skilleffect)</v>
      </c>
      <c r="O165" s="27">
        <v>0</v>
      </c>
      <c r="P165" s="27">
        <v>0</v>
      </c>
      <c r="Q165" s="27"/>
      <c r="R165" s="28" t="b">
        <v>1</v>
      </c>
    </row>
    <row r="166" spans="1:18" x14ac:dyDescent="0.3">
      <c r="A166" s="26" t="s">
        <v>973</v>
      </c>
      <c r="B166" s="27" t="s">
        <v>843</v>
      </c>
      <c r="C166" s="27">
        <v>-70</v>
      </c>
      <c r="D166" s="27">
        <v>0</v>
      </c>
      <c r="E166" s="27">
        <v>1</v>
      </c>
      <c r="F166" s="27" t="s">
        <v>476</v>
      </c>
      <c r="G166" s="27" t="s">
        <v>477</v>
      </c>
      <c r="H166" s="27"/>
      <c r="I166" s="27">
        <v>0</v>
      </c>
      <c r="J166" s="27" t="s">
        <v>860</v>
      </c>
      <c r="K166" s="27" t="s">
        <v>1045</v>
      </c>
      <c r="L166" s="27"/>
      <c r="M166" s="27"/>
      <c r="N166" s="27" t="str">
        <f t="shared" si="4"/>
        <v>Active(Sector05.goliath_1.passive02.buff.buffeffect.01.skilleffect)</v>
      </c>
      <c r="O166" s="27">
        <v>0</v>
      </c>
      <c r="P166" s="27">
        <v>0</v>
      </c>
      <c r="Q166" s="27"/>
      <c r="R166" s="28" t="b">
        <v>1</v>
      </c>
    </row>
    <row r="167" spans="1:18" x14ac:dyDescent="0.3">
      <c r="A167" s="26" t="s">
        <v>974</v>
      </c>
      <c r="B167" s="27" t="s">
        <v>843</v>
      </c>
      <c r="C167" s="27">
        <v>-60</v>
      </c>
      <c r="D167" s="27">
        <v>0</v>
      </c>
      <c r="E167" s="27">
        <v>1</v>
      </c>
      <c r="F167" s="27" t="s">
        <v>476</v>
      </c>
      <c r="G167" s="27" t="s">
        <v>477</v>
      </c>
      <c r="H167" s="27"/>
      <c r="I167" s="27">
        <v>0</v>
      </c>
      <c r="J167" s="27" t="s">
        <v>860</v>
      </c>
      <c r="K167" s="27" t="s">
        <v>1045</v>
      </c>
      <c r="L167" s="27"/>
      <c r="M167" s="27"/>
      <c r="N167" s="27" t="str">
        <f t="shared" si="4"/>
        <v>Active(Sector05.goliath_1.passive02.buff.buffeffect.01.skilleffect)</v>
      </c>
      <c r="O167" s="27">
        <v>0</v>
      </c>
      <c r="P167" s="27">
        <v>0</v>
      </c>
      <c r="Q167" s="27"/>
      <c r="R167" s="28" t="b">
        <v>1</v>
      </c>
    </row>
    <row r="168" spans="1:18" x14ac:dyDescent="0.3">
      <c r="A168" s="26" t="s">
        <v>975</v>
      </c>
      <c r="B168" s="27" t="s">
        <v>843</v>
      </c>
      <c r="C168" s="27">
        <v>-50</v>
      </c>
      <c r="D168" s="27">
        <v>0</v>
      </c>
      <c r="E168" s="27">
        <v>1</v>
      </c>
      <c r="F168" s="27" t="s">
        <v>476</v>
      </c>
      <c r="G168" s="27" t="s">
        <v>477</v>
      </c>
      <c r="H168" s="27"/>
      <c r="I168" s="27">
        <v>0</v>
      </c>
      <c r="J168" s="27" t="s">
        <v>860</v>
      </c>
      <c r="K168" s="27" t="s">
        <v>1045</v>
      </c>
      <c r="L168" s="27"/>
      <c r="M168" s="27"/>
      <c r="N168" s="27" t="str">
        <f t="shared" si="4"/>
        <v>Active(Sector05.goliath_1.passive02.buff.buffeffect.01.skilleffect)</v>
      </c>
      <c r="O168" s="27">
        <v>0</v>
      </c>
      <c r="P168" s="27">
        <v>0</v>
      </c>
      <c r="Q168" s="27"/>
      <c r="R168" s="28" t="b">
        <v>1</v>
      </c>
    </row>
    <row r="169" spans="1:18" x14ac:dyDescent="0.3">
      <c r="A169" s="26" t="s">
        <v>976</v>
      </c>
      <c r="B169" s="27" t="s">
        <v>843</v>
      </c>
      <c r="C169" s="27">
        <v>-40</v>
      </c>
      <c r="D169" s="27">
        <v>0</v>
      </c>
      <c r="E169" s="27">
        <v>1</v>
      </c>
      <c r="F169" s="27" t="s">
        <v>476</v>
      </c>
      <c r="G169" s="27" t="s">
        <v>477</v>
      </c>
      <c r="H169" s="27"/>
      <c r="I169" s="27">
        <v>0</v>
      </c>
      <c r="J169" s="27" t="s">
        <v>860</v>
      </c>
      <c r="K169" s="27" t="s">
        <v>1045</v>
      </c>
      <c r="L169" s="27"/>
      <c r="M169" s="27"/>
      <c r="N169" s="27" t="str">
        <f t="shared" si="4"/>
        <v>Active(Sector05.goliath_1.passive02.buff.buffeffect.01.skilleffect)</v>
      </c>
      <c r="O169" s="27">
        <v>0</v>
      </c>
      <c r="P169" s="27">
        <v>0</v>
      </c>
      <c r="Q169" s="27"/>
      <c r="R169" s="28" t="b">
        <v>1</v>
      </c>
    </row>
    <row r="170" spans="1:18" x14ac:dyDescent="0.3">
      <c r="A170" s="26" t="s">
        <v>977</v>
      </c>
      <c r="B170" s="27" t="s">
        <v>843</v>
      </c>
      <c r="C170" s="27">
        <v>-30</v>
      </c>
      <c r="D170" s="27">
        <v>0</v>
      </c>
      <c r="E170" s="27">
        <v>1</v>
      </c>
      <c r="F170" s="27" t="s">
        <v>476</v>
      </c>
      <c r="G170" s="27" t="s">
        <v>477</v>
      </c>
      <c r="H170" s="27"/>
      <c r="I170" s="27">
        <v>0</v>
      </c>
      <c r="J170" s="27" t="s">
        <v>860</v>
      </c>
      <c r="K170" s="27" t="s">
        <v>1045</v>
      </c>
      <c r="L170" s="27"/>
      <c r="M170" s="27"/>
      <c r="N170" s="27" t="str">
        <f t="shared" si="4"/>
        <v>Active(Sector05.goliath_1.passive02.buff.buffeffect.01.skilleffect)</v>
      </c>
      <c r="O170" s="27">
        <v>0</v>
      </c>
      <c r="P170" s="27">
        <v>0</v>
      </c>
      <c r="Q170" s="27"/>
      <c r="R170" s="28" t="b">
        <v>1</v>
      </c>
    </row>
    <row r="171" spans="1:18" x14ac:dyDescent="0.3">
      <c r="A171" s="26" t="s">
        <v>978</v>
      </c>
      <c r="B171" s="27" t="s">
        <v>843</v>
      </c>
      <c r="C171" s="27">
        <v>-20</v>
      </c>
      <c r="D171" s="27">
        <v>0</v>
      </c>
      <c r="E171" s="27">
        <v>1</v>
      </c>
      <c r="F171" s="27" t="s">
        <v>476</v>
      </c>
      <c r="G171" s="27" t="s">
        <v>477</v>
      </c>
      <c r="H171" s="27"/>
      <c r="I171" s="27">
        <v>0</v>
      </c>
      <c r="J171" s="27" t="s">
        <v>860</v>
      </c>
      <c r="K171" s="27" t="s">
        <v>1045</v>
      </c>
      <c r="L171" s="27"/>
      <c r="M171" s="27"/>
      <c r="N171" s="27" t="str">
        <f t="shared" si="4"/>
        <v>Active(Sector05.goliath_1.passive02.buff.buffeffect.01.skilleffect)</v>
      </c>
      <c r="O171" s="27">
        <v>0</v>
      </c>
      <c r="P171" s="27">
        <v>0</v>
      </c>
      <c r="Q171" s="27"/>
      <c r="R171" s="28" t="b">
        <v>1</v>
      </c>
    </row>
    <row r="172" spans="1:18" x14ac:dyDescent="0.3">
      <c r="A172" s="26" t="s">
        <v>979</v>
      </c>
      <c r="B172" s="27" t="s">
        <v>843</v>
      </c>
      <c r="C172" s="27">
        <v>-10</v>
      </c>
      <c r="D172" s="27">
        <v>0</v>
      </c>
      <c r="E172" s="27">
        <v>1</v>
      </c>
      <c r="F172" s="27" t="s">
        <v>476</v>
      </c>
      <c r="G172" s="27" t="s">
        <v>477</v>
      </c>
      <c r="H172" s="27"/>
      <c r="I172" s="27">
        <v>0</v>
      </c>
      <c r="J172" s="27" t="s">
        <v>860</v>
      </c>
      <c r="K172" s="27" t="s">
        <v>1045</v>
      </c>
      <c r="L172" s="27"/>
      <c r="M172" s="27"/>
      <c r="N172" s="27" t="str">
        <f t="shared" si="4"/>
        <v>Active(Sector05.goliath_1.passive02.buff.buffeffect.01.skilleffect)</v>
      </c>
      <c r="O172" s="27">
        <v>0</v>
      </c>
      <c r="P172" s="27">
        <v>0</v>
      </c>
      <c r="Q172" s="27"/>
      <c r="R172" s="28" t="b">
        <v>1</v>
      </c>
    </row>
    <row r="173" spans="1:18" x14ac:dyDescent="0.3">
      <c r="A173" s="26" t="s">
        <v>1046</v>
      </c>
      <c r="B173" s="27"/>
      <c r="C173" s="27"/>
      <c r="D173" s="27">
        <v>0</v>
      </c>
      <c r="E173" s="27">
        <v>1</v>
      </c>
      <c r="F173" s="27" t="s">
        <v>476</v>
      </c>
      <c r="G173" s="27" t="s">
        <v>477</v>
      </c>
      <c r="H173" s="27"/>
      <c r="I173" s="27">
        <v>0</v>
      </c>
      <c r="J173" s="27" t="s">
        <v>846</v>
      </c>
      <c r="K173" s="27" t="s">
        <v>847</v>
      </c>
      <c r="L173" s="27">
        <v>110</v>
      </c>
      <c r="M173" s="27"/>
      <c r="N173" s="27" t="str">
        <f t="shared" si="4"/>
        <v>Status(DefenseRatio, 110)</v>
      </c>
      <c r="O173" s="27">
        <v>0</v>
      </c>
      <c r="P173" s="27">
        <v>0</v>
      </c>
      <c r="Q173" s="27"/>
      <c r="R173" s="28" t="b">
        <v>1</v>
      </c>
    </row>
    <row r="174" spans="1:18" x14ac:dyDescent="0.3">
      <c r="A174" s="135" t="s">
        <v>1265</v>
      </c>
      <c r="B174" s="136"/>
      <c r="C174" s="136"/>
      <c r="D174" s="136">
        <v>0</v>
      </c>
      <c r="E174" s="136">
        <v>1</v>
      </c>
      <c r="F174" s="136" t="s">
        <v>476</v>
      </c>
      <c r="G174" s="136" t="s">
        <v>477</v>
      </c>
      <c r="H174" s="136"/>
      <c r="I174" s="136">
        <v>0</v>
      </c>
      <c r="J174" s="136" t="s">
        <v>846</v>
      </c>
      <c r="K174" s="136" t="s">
        <v>852</v>
      </c>
      <c r="L174" s="136">
        <v>-400</v>
      </c>
      <c r="M174" s="136"/>
      <c r="N174" s="136" t="str">
        <f t="shared" ref="N174:N184" si="8">J174&amp;"("&amp;IF(K174="","",K174)&amp;IF(L174="","",", "&amp;L174)&amp;IF(M174="","",", "&amp;M174)&amp;")"</f>
        <v>Status(AttackRatio, -400)</v>
      </c>
      <c r="O174" s="136">
        <v>0</v>
      </c>
      <c r="P174" s="136">
        <v>0</v>
      </c>
      <c r="Q174" s="136"/>
      <c r="R174" s="137" t="b">
        <v>1</v>
      </c>
    </row>
    <row r="175" spans="1:18" x14ac:dyDescent="0.3">
      <c r="A175" s="135" t="s">
        <v>1266</v>
      </c>
      <c r="B175" s="136"/>
      <c r="C175" s="136"/>
      <c r="D175" s="136">
        <v>0</v>
      </c>
      <c r="E175" s="136">
        <v>1</v>
      </c>
      <c r="F175" s="136" t="s">
        <v>476</v>
      </c>
      <c r="G175" s="136" t="s">
        <v>477</v>
      </c>
      <c r="H175" s="136"/>
      <c r="I175" s="136">
        <v>0</v>
      </c>
      <c r="J175" s="136" t="s">
        <v>846</v>
      </c>
      <c r="K175" s="136" t="s">
        <v>980</v>
      </c>
      <c r="L175" s="136">
        <v>50</v>
      </c>
      <c r="M175" s="136"/>
      <c r="N175" s="136" t="str">
        <f t="shared" ref="N175" si="9">J175&amp;"("&amp;IF(K175="","",K175)&amp;IF(L175="","",", "&amp;L175)&amp;IF(M175="","",", "&amp;M175)&amp;")"</f>
        <v>Status(DamageIgnoreHpUnderRate, 50)</v>
      </c>
      <c r="O175" s="136">
        <v>0</v>
      </c>
      <c r="P175" s="136">
        <v>0</v>
      </c>
      <c r="Q175" s="136"/>
      <c r="R175" s="137" t="b">
        <v>1</v>
      </c>
    </row>
    <row r="176" spans="1:18" x14ac:dyDescent="0.3">
      <c r="A176" s="135" t="s">
        <v>1267</v>
      </c>
      <c r="B176" s="136"/>
      <c r="C176" s="136"/>
      <c r="D176" s="136">
        <v>0</v>
      </c>
      <c r="E176" s="136">
        <v>1</v>
      </c>
      <c r="F176" s="136" t="s">
        <v>476</v>
      </c>
      <c r="G176" s="136" t="s">
        <v>477</v>
      </c>
      <c r="H176" s="136"/>
      <c r="I176" s="136">
        <v>0</v>
      </c>
      <c r="J176" s="136" t="s">
        <v>882</v>
      </c>
      <c r="K176" s="136" t="s">
        <v>895</v>
      </c>
      <c r="L176" s="136" t="s">
        <v>1268</v>
      </c>
      <c r="M176" s="136" t="s">
        <v>2166</v>
      </c>
      <c r="N176" s="136" t="str">
        <f t="shared" ref="N176:N177" si="10">J176&amp;"("&amp;IF(K176="","",K176)&amp;IF(L176="","",", "&amp;L176)&amp;IF(M176="","",", "&amp;M176)&amp;")"</f>
        <v>Event(DecHpOverRate, Sector05.goliath_4.skill03.hitevent.skilleffect, HpRateCondition(40))</v>
      </c>
      <c r="O176" s="136">
        <v>0</v>
      </c>
      <c r="P176" s="136">
        <v>0</v>
      </c>
      <c r="Q176" s="136"/>
      <c r="R176" s="137" t="b">
        <v>1</v>
      </c>
    </row>
    <row r="177" spans="1:18" x14ac:dyDescent="0.3">
      <c r="A177" s="135" t="s">
        <v>1282</v>
      </c>
      <c r="B177" s="136"/>
      <c r="C177" s="136"/>
      <c r="D177" s="136">
        <v>0</v>
      </c>
      <c r="E177" s="136">
        <v>1</v>
      </c>
      <c r="F177" s="136" t="s">
        <v>476</v>
      </c>
      <c r="G177" s="136" t="s">
        <v>477</v>
      </c>
      <c r="H177" s="136"/>
      <c r="I177" s="136">
        <v>0</v>
      </c>
      <c r="J177" s="136" t="s">
        <v>860</v>
      </c>
      <c r="K177" s="136" t="s">
        <v>1283</v>
      </c>
      <c r="L177" s="136"/>
      <c r="M177" s="136"/>
      <c r="N177" s="136" t="str">
        <f t="shared" si="10"/>
        <v>Active(Sector05.goliath_4.skill03.pre.buff.buffeffect03.skilleffect)</v>
      </c>
      <c r="O177" s="136">
        <v>0</v>
      </c>
      <c r="P177" s="136">
        <v>10000</v>
      </c>
      <c r="Q177" s="136"/>
      <c r="R177" s="137" t="b">
        <v>1</v>
      </c>
    </row>
    <row r="178" spans="1:18" x14ac:dyDescent="0.3">
      <c r="A178" s="135" t="s">
        <v>1269</v>
      </c>
      <c r="B178" s="136"/>
      <c r="C178" s="136"/>
      <c r="D178" s="136">
        <v>0</v>
      </c>
      <c r="E178" s="136">
        <v>1</v>
      </c>
      <c r="F178" s="136" t="s">
        <v>476</v>
      </c>
      <c r="G178" s="136" t="s">
        <v>477</v>
      </c>
      <c r="H178" s="136"/>
      <c r="I178" s="136">
        <v>0</v>
      </c>
      <c r="J178" s="136" t="s">
        <v>846</v>
      </c>
      <c r="K178" s="136" t="s">
        <v>857</v>
      </c>
      <c r="L178" s="136">
        <v>-500</v>
      </c>
      <c r="M178" s="136"/>
      <c r="N178" s="136" t="str">
        <f t="shared" ref="N178" si="11">J178&amp;"("&amp;IF(K178="","",K178)&amp;IF(L178="","",", "&amp;L178)&amp;IF(M178="","",", "&amp;M178)&amp;")"</f>
        <v>Status(DamageRate, -500)</v>
      </c>
      <c r="O178" s="136">
        <v>0</v>
      </c>
      <c r="P178" s="136">
        <v>0</v>
      </c>
      <c r="Q178" s="136"/>
      <c r="R178" s="137" t="b">
        <v>1</v>
      </c>
    </row>
    <row r="179" spans="1:18" x14ac:dyDescent="0.3">
      <c r="A179" s="135" t="s">
        <v>1270</v>
      </c>
      <c r="B179" s="136"/>
      <c r="C179" s="136"/>
      <c r="D179" s="136">
        <v>0</v>
      </c>
      <c r="E179" s="136">
        <v>1</v>
      </c>
      <c r="F179" s="136" t="s">
        <v>476</v>
      </c>
      <c r="G179" s="136" t="s">
        <v>477</v>
      </c>
      <c r="H179" s="136"/>
      <c r="I179" s="136">
        <v>0</v>
      </c>
      <c r="J179" s="136" t="s">
        <v>860</v>
      </c>
      <c r="K179" s="136" t="s">
        <v>1271</v>
      </c>
      <c r="L179" s="136"/>
      <c r="M179" s="136"/>
      <c r="N179" s="136" t="str">
        <f t="shared" si="8"/>
        <v>Active(Sector05.goliath_4.passive01.skilleffect)</v>
      </c>
      <c r="O179" s="136">
        <v>0</v>
      </c>
      <c r="P179" s="136">
        <v>6000</v>
      </c>
      <c r="Q179" s="136"/>
      <c r="R179" s="137" t="b">
        <v>1</v>
      </c>
    </row>
    <row r="180" spans="1:18" x14ac:dyDescent="0.3">
      <c r="A180" s="135" t="s">
        <v>1272</v>
      </c>
      <c r="B180" s="136" t="s">
        <v>487</v>
      </c>
      <c r="C180" s="136" t="s">
        <v>1273</v>
      </c>
      <c r="D180" s="136">
        <v>0</v>
      </c>
      <c r="E180" s="136">
        <v>1</v>
      </c>
      <c r="F180" s="136" t="s">
        <v>476</v>
      </c>
      <c r="G180" s="136" t="s">
        <v>477</v>
      </c>
      <c r="H180" s="136"/>
      <c r="I180" s="136">
        <v>0</v>
      </c>
      <c r="J180" s="136" t="s">
        <v>1384</v>
      </c>
      <c r="K180" s="136" t="s">
        <v>1385</v>
      </c>
      <c r="L180" s="136"/>
      <c r="M180" s="136"/>
      <c r="N180" s="136" t="str">
        <f t="shared" si="8"/>
        <v>Passive(Sector05.goliath_4.passive01.changeskill.buff)</v>
      </c>
      <c r="O180" s="136">
        <v>0</v>
      </c>
      <c r="P180" s="136">
        <v>0</v>
      </c>
      <c r="Q180" s="136"/>
      <c r="R180" s="137" t="b">
        <v>1</v>
      </c>
    </row>
    <row r="181" spans="1:18" x14ac:dyDescent="0.3">
      <c r="A181" s="135" t="s">
        <v>1387</v>
      </c>
      <c r="B181" s="136"/>
      <c r="C181" s="136"/>
      <c r="D181" s="136">
        <v>0</v>
      </c>
      <c r="E181" s="136">
        <v>1</v>
      </c>
      <c r="F181" s="136" t="s">
        <v>476</v>
      </c>
      <c r="G181" s="136" t="s">
        <v>477</v>
      </c>
      <c r="H181" s="136"/>
      <c r="I181" s="136">
        <v>0</v>
      </c>
      <c r="J181" s="136" t="s">
        <v>877</v>
      </c>
      <c r="K181" s="136" t="s">
        <v>982</v>
      </c>
      <c r="L181" s="136"/>
      <c r="M181" s="136"/>
      <c r="N181" s="136" t="str">
        <f t="shared" ref="N181" si="12">J181&amp;"("&amp;IF(K181="","",K181)&amp;IF(L181="","",", "&amp;L181)&amp;IF(M181="","",", "&amp;M181)&amp;")"</f>
        <v>ChangeSkill(Skill2)</v>
      </c>
      <c r="O181" s="136">
        <v>0</v>
      </c>
      <c r="P181" s="136">
        <v>0</v>
      </c>
      <c r="Q181" s="136"/>
      <c r="R181" s="137" t="b">
        <v>1</v>
      </c>
    </row>
    <row r="182" spans="1:18" x14ac:dyDescent="0.3">
      <c r="A182" s="135" t="s">
        <v>1274</v>
      </c>
      <c r="B182" s="136"/>
      <c r="C182" s="136"/>
      <c r="D182" s="136">
        <v>0</v>
      </c>
      <c r="E182" s="136">
        <v>1</v>
      </c>
      <c r="F182" s="136" t="s">
        <v>476</v>
      </c>
      <c r="G182" s="136" t="s">
        <v>477</v>
      </c>
      <c r="H182" s="136"/>
      <c r="I182" s="136">
        <v>0</v>
      </c>
      <c r="J182" s="136" t="s">
        <v>846</v>
      </c>
      <c r="K182" s="136" t="s">
        <v>852</v>
      </c>
      <c r="L182" s="136">
        <v>70</v>
      </c>
      <c r="M182" s="136"/>
      <c r="N182" s="136" t="str">
        <f t="shared" si="8"/>
        <v>Status(AttackRatio, 70)</v>
      </c>
      <c r="O182" s="136">
        <v>0</v>
      </c>
      <c r="P182" s="136">
        <v>0</v>
      </c>
      <c r="Q182" s="136"/>
      <c r="R182" s="137" t="b">
        <v>1</v>
      </c>
    </row>
    <row r="183" spans="1:18" x14ac:dyDescent="0.3">
      <c r="A183" s="135" t="s">
        <v>1275</v>
      </c>
      <c r="B183" s="136"/>
      <c r="C183" s="136"/>
      <c r="D183" s="136">
        <v>0</v>
      </c>
      <c r="E183" s="136">
        <v>1</v>
      </c>
      <c r="F183" s="136" t="s">
        <v>476</v>
      </c>
      <c r="G183" s="136" t="s">
        <v>477</v>
      </c>
      <c r="H183" s="136"/>
      <c r="I183" s="136">
        <v>0</v>
      </c>
      <c r="J183" s="136" t="s">
        <v>470</v>
      </c>
      <c r="K183" s="136" t="s">
        <v>867</v>
      </c>
      <c r="L183" s="136" t="s">
        <v>1276</v>
      </c>
      <c r="M183" s="136"/>
      <c r="N183" s="136" t="str">
        <f t="shared" si="8"/>
        <v>Effect(BeHit, Sector05.goliath_4.passive02.buff.buffeffect.01.skilleffect)</v>
      </c>
      <c r="O183" s="136">
        <v>0</v>
      </c>
      <c r="P183" s="136">
        <v>0</v>
      </c>
      <c r="Q183" s="136"/>
      <c r="R183" s="137" t="b">
        <v>1</v>
      </c>
    </row>
    <row r="184" spans="1:18" x14ac:dyDescent="0.3">
      <c r="A184" s="135" t="s">
        <v>1277</v>
      </c>
      <c r="B184" s="136"/>
      <c r="C184" s="136"/>
      <c r="D184" s="136">
        <v>0</v>
      </c>
      <c r="E184" s="136">
        <v>1</v>
      </c>
      <c r="F184" s="136" t="s">
        <v>476</v>
      </c>
      <c r="G184" s="136" t="s">
        <v>477</v>
      </c>
      <c r="H184" s="136"/>
      <c r="I184" s="136">
        <v>0</v>
      </c>
      <c r="J184" s="136" t="s">
        <v>846</v>
      </c>
      <c r="K184" s="136" t="s">
        <v>847</v>
      </c>
      <c r="L184" s="136">
        <v>5</v>
      </c>
      <c r="M184" s="136"/>
      <c r="N184" s="136" t="str">
        <f t="shared" si="8"/>
        <v>Status(DefenseRatio, 5)</v>
      </c>
      <c r="O184" s="136">
        <v>0</v>
      </c>
      <c r="P184" s="136">
        <v>0</v>
      </c>
      <c r="Q184" s="136"/>
      <c r="R184" s="137" t="b">
        <v>1</v>
      </c>
    </row>
    <row r="185" spans="1:18" x14ac:dyDescent="0.3">
      <c r="A185" s="30" t="s">
        <v>348</v>
      </c>
      <c r="B185" s="31"/>
      <c r="C185" s="31"/>
      <c r="D185" s="31">
        <v>0</v>
      </c>
      <c r="E185" s="31">
        <v>1</v>
      </c>
      <c r="F185" s="31" t="s">
        <v>476</v>
      </c>
      <c r="G185" s="31" t="s">
        <v>477</v>
      </c>
      <c r="H185" s="31"/>
      <c r="I185" s="31">
        <v>0</v>
      </c>
      <c r="J185" s="31" t="s">
        <v>505</v>
      </c>
      <c r="K185" s="31" t="s">
        <v>844</v>
      </c>
      <c r="L185" s="31">
        <v>350</v>
      </c>
      <c r="M185" s="31"/>
      <c r="N185" s="31" t="str">
        <f t="shared" si="4"/>
        <v>Bleed(Attack, 350)</v>
      </c>
      <c r="O185" s="31">
        <v>0</v>
      </c>
      <c r="P185" s="31">
        <v>1000</v>
      </c>
      <c r="Q185" s="31"/>
      <c r="R185" s="32" t="b">
        <v>1</v>
      </c>
    </row>
    <row r="186" spans="1:18" x14ac:dyDescent="0.3">
      <c r="A186" s="30" t="s">
        <v>350</v>
      </c>
      <c r="B186" s="31"/>
      <c r="C186" s="31"/>
      <c r="D186" s="31">
        <v>0</v>
      </c>
      <c r="E186" s="31">
        <v>1</v>
      </c>
      <c r="F186" s="31" t="s">
        <v>476</v>
      </c>
      <c r="G186" s="31" t="s">
        <v>477</v>
      </c>
      <c r="H186" s="31"/>
      <c r="I186" s="31">
        <v>0</v>
      </c>
      <c r="J186" s="31" t="s">
        <v>503</v>
      </c>
      <c r="K186" s="31" t="s">
        <v>844</v>
      </c>
      <c r="L186" s="31">
        <v>250</v>
      </c>
      <c r="M186" s="31"/>
      <c r="N186" s="31" t="str">
        <f t="shared" si="4"/>
        <v>Poison(Attack, 250)</v>
      </c>
      <c r="O186" s="31">
        <v>0</v>
      </c>
      <c r="P186" s="31">
        <v>1000</v>
      </c>
      <c r="Q186" s="31"/>
      <c r="R186" s="32" t="b">
        <v>1</v>
      </c>
    </row>
    <row r="187" spans="1:18" x14ac:dyDescent="0.3">
      <c r="A187" s="30" t="s">
        <v>355</v>
      </c>
      <c r="B187" s="31"/>
      <c r="C187" s="31"/>
      <c r="D187" s="31">
        <v>0</v>
      </c>
      <c r="E187" s="31">
        <v>1</v>
      </c>
      <c r="F187" s="31" t="s">
        <v>476</v>
      </c>
      <c r="G187" s="31" t="s">
        <v>477</v>
      </c>
      <c r="H187" s="31"/>
      <c r="I187" s="31">
        <v>0</v>
      </c>
      <c r="J187" s="31" t="s">
        <v>846</v>
      </c>
      <c r="K187" s="31" t="s">
        <v>853</v>
      </c>
      <c r="L187" s="31">
        <v>300</v>
      </c>
      <c r="M187" s="31"/>
      <c r="N187" s="31" t="str">
        <f t="shared" si="4"/>
        <v>Status(AttackSpeedRate, 300)</v>
      </c>
      <c r="O187" s="31">
        <v>0</v>
      </c>
      <c r="P187" s="31">
        <v>0</v>
      </c>
      <c r="Q187" s="31"/>
      <c r="R187" s="32" t="b">
        <v>1</v>
      </c>
    </row>
    <row r="188" spans="1:18" x14ac:dyDescent="0.3">
      <c r="A188" s="30" t="s">
        <v>357</v>
      </c>
      <c r="B188" s="31"/>
      <c r="C188" s="31"/>
      <c r="D188" s="31">
        <v>0</v>
      </c>
      <c r="E188" s="31">
        <v>1</v>
      </c>
      <c r="F188" s="31" t="s">
        <v>476</v>
      </c>
      <c r="G188" s="31" t="s">
        <v>477</v>
      </c>
      <c r="H188" s="31"/>
      <c r="I188" s="31">
        <v>0</v>
      </c>
      <c r="J188" s="31" t="s">
        <v>503</v>
      </c>
      <c r="K188" s="31" t="s">
        <v>844</v>
      </c>
      <c r="L188" s="31">
        <v>250</v>
      </c>
      <c r="M188" s="31"/>
      <c r="N188" s="31" t="str">
        <f t="shared" si="4"/>
        <v>Poison(Attack, 250)</v>
      </c>
      <c r="O188" s="31">
        <v>0</v>
      </c>
      <c r="P188" s="31">
        <v>1000</v>
      </c>
      <c r="Q188" s="31"/>
      <c r="R188" s="32" t="b">
        <v>1</v>
      </c>
    </row>
    <row r="189" spans="1:18" x14ac:dyDescent="0.3">
      <c r="A189" s="30" t="s">
        <v>359</v>
      </c>
      <c r="B189" s="31"/>
      <c r="C189" s="31"/>
      <c r="D189" s="31">
        <v>0</v>
      </c>
      <c r="E189" s="31">
        <v>1</v>
      </c>
      <c r="F189" s="31" t="s">
        <v>476</v>
      </c>
      <c r="G189" s="31" t="s">
        <v>477</v>
      </c>
      <c r="H189" s="31"/>
      <c r="I189" s="31">
        <v>0</v>
      </c>
      <c r="J189" s="31" t="s">
        <v>846</v>
      </c>
      <c r="K189" s="31" t="s">
        <v>847</v>
      </c>
      <c r="L189" s="31">
        <v>-350</v>
      </c>
      <c r="M189" s="31"/>
      <c r="N189" s="31" t="str">
        <f t="shared" si="4"/>
        <v>Status(DefenseRatio, -350)</v>
      </c>
      <c r="O189" s="31">
        <v>0</v>
      </c>
      <c r="P189" s="31">
        <v>0</v>
      </c>
      <c r="Q189" s="31"/>
      <c r="R189" s="32" t="b">
        <v>1</v>
      </c>
    </row>
    <row r="190" spans="1:18" x14ac:dyDescent="0.3">
      <c r="A190" s="47" t="s">
        <v>361</v>
      </c>
      <c r="B190" s="45"/>
      <c r="C190" s="45"/>
      <c r="D190" s="45">
        <v>0</v>
      </c>
      <c r="E190" s="45">
        <v>1</v>
      </c>
      <c r="F190" s="45" t="s">
        <v>476</v>
      </c>
      <c r="G190" s="45" t="s">
        <v>477</v>
      </c>
      <c r="H190" s="45"/>
      <c r="I190" s="45">
        <v>0</v>
      </c>
      <c r="J190" s="45" t="s">
        <v>846</v>
      </c>
      <c r="K190" s="45" t="s">
        <v>852</v>
      </c>
      <c r="L190" s="45">
        <v>550</v>
      </c>
      <c r="M190" s="45"/>
      <c r="N190" s="45" t="str">
        <f t="shared" si="4"/>
        <v>Status(AttackRatio, 550)</v>
      </c>
      <c r="O190" s="45">
        <v>0</v>
      </c>
      <c r="P190" s="45">
        <v>0</v>
      </c>
      <c r="Q190" s="45"/>
      <c r="R190" s="46" t="b">
        <v>1</v>
      </c>
    </row>
    <row r="191" spans="1:18" x14ac:dyDescent="0.3">
      <c r="A191" s="47" t="s">
        <v>363</v>
      </c>
      <c r="B191" s="45"/>
      <c r="C191" s="45"/>
      <c r="D191" s="45">
        <v>0</v>
      </c>
      <c r="E191" s="45">
        <v>1</v>
      </c>
      <c r="F191" s="45" t="s">
        <v>476</v>
      </c>
      <c r="G191" s="45" t="s">
        <v>477</v>
      </c>
      <c r="H191" s="45"/>
      <c r="I191" s="45">
        <v>0</v>
      </c>
      <c r="J191" s="45" t="s">
        <v>846</v>
      </c>
      <c r="K191" s="45" t="s">
        <v>847</v>
      </c>
      <c r="L191" s="45">
        <v>-350</v>
      </c>
      <c r="M191" s="45"/>
      <c r="N191" s="45" t="str">
        <f t="shared" si="4"/>
        <v>Status(DefenseRatio, -350)</v>
      </c>
      <c r="O191" s="45">
        <v>0</v>
      </c>
      <c r="P191" s="45">
        <v>0</v>
      </c>
      <c r="Q191" s="45"/>
      <c r="R191" s="46" t="b">
        <v>1</v>
      </c>
    </row>
    <row r="192" spans="1:18" x14ac:dyDescent="0.3">
      <c r="A192" s="47" t="s">
        <v>365</v>
      </c>
      <c r="B192" s="45"/>
      <c r="C192" s="45"/>
      <c r="D192" s="45">
        <v>0</v>
      </c>
      <c r="E192" s="45">
        <v>1</v>
      </c>
      <c r="F192" s="45" t="s">
        <v>476</v>
      </c>
      <c r="G192" s="45" t="s">
        <v>477</v>
      </c>
      <c r="H192" s="45"/>
      <c r="I192" s="45">
        <v>0</v>
      </c>
      <c r="J192" s="45" t="s">
        <v>501</v>
      </c>
      <c r="K192" s="45" t="s">
        <v>845</v>
      </c>
      <c r="L192" s="45">
        <v>10</v>
      </c>
      <c r="M192" s="45"/>
      <c r="N192" s="45" t="str">
        <f t="shared" si="4"/>
        <v>Burn(MaxHp, 10)</v>
      </c>
      <c r="O192" s="45">
        <v>0</v>
      </c>
      <c r="P192" s="45">
        <v>1000</v>
      </c>
      <c r="Q192" s="45"/>
      <c r="R192" s="46" t="b">
        <v>1</v>
      </c>
    </row>
    <row r="193" spans="1:18" x14ac:dyDescent="0.3">
      <c r="A193" s="30" t="s">
        <v>367</v>
      </c>
      <c r="B193" s="31"/>
      <c r="C193" s="31"/>
      <c r="D193" s="31">
        <v>0</v>
      </c>
      <c r="E193" s="31">
        <v>1</v>
      </c>
      <c r="F193" s="31" t="s">
        <v>476</v>
      </c>
      <c r="G193" s="31" t="s">
        <v>477</v>
      </c>
      <c r="H193" s="31"/>
      <c r="I193" s="31">
        <v>0</v>
      </c>
      <c r="J193" s="31" t="s">
        <v>503</v>
      </c>
      <c r="K193" s="31" t="s">
        <v>844</v>
      </c>
      <c r="L193" s="31">
        <v>250</v>
      </c>
      <c r="M193" s="31"/>
      <c r="N193" s="31" t="str">
        <f t="shared" si="4"/>
        <v>Poison(Attack, 250)</v>
      </c>
      <c r="O193" s="31">
        <v>0</v>
      </c>
      <c r="P193" s="31">
        <v>1000</v>
      </c>
      <c r="Q193" s="31"/>
      <c r="R193" s="32" t="b">
        <v>1</v>
      </c>
    </row>
    <row r="194" spans="1:18" x14ac:dyDescent="0.3">
      <c r="A194" s="47" t="s">
        <v>369</v>
      </c>
      <c r="B194" s="45"/>
      <c r="C194" s="45"/>
      <c r="D194" s="45">
        <v>0</v>
      </c>
      <c r="E194" s="45">
        <v>1</v>
      </c>
      <c r="F194" s="45" t="s">
        <v>476</v>
      </c>
      <c r="G194" s="45" t="s">
        <v>477</v>
      </c>
      <c r="H194" s="45"/>
      <c r="I194" s="45">
        <v>0</v>
      </c>
      <c r="J194" s="45" t="s">
        <v>503</v>
      </c>
      <c r="K194" s="45" t="s">
        <v>844</v>
      </c>
      <c r="L194" s="45">
        <v>250</v>
      </c>
      <c r="M194" s="45"/>
      <c r="N194" s="45" t="str">
        <f t="shared" si="4"/>
        <v>Poison(Attack, 250)</v>
      </c>
      <c r="O194" s="45">
        <v>0</v>
      </c>
      <c r="P194" s="45">
        <v>1000</v>
      </c>
      <c r="Q194" s="45"/>
      <c r="R194" s="46" t="b">
        <v>1</v>
      </c>
    </row>
    <row r="195" spans="1:18" x14ac:dyDescent="0.3">
      <c r="A195" s="47" t="s">
        <v>371</v>
      </c>
      <c r="B195" s="45"/>
      <c r="C195" s="45"/>
      <c r="D195" s="45">
        <v>0</v>
      </c>
      <c r="E195" s="45">
        <v>1</v>
      </c>
      <c r="F195" s="45" t="s">
        <v>476</v>
      </c>
      <c r="G195" s="45" t="s">
        <v>477</v>
      </c>
      <c r="H195" s="45"/>
      <c r="I195" s="45">
        <v>0</v>
      </c>
      <c r="J195" s="45" t="s">
        <v>846</v>
      </c>
      <c r="K195" s="45" t="s">
        <v>853</v>
      </c>
      <c r="L195" s="45">
        <v>-200</v>
      </c>
      <c r="M195" s="45"/>
      <c r="N195" s="45" t="str">
        <f t="shared" si="4"/>
        <v>Status(AttackSpeedRate, -200)</v>
      </c>
      <c r="O195" s="45">
        <v>0</v>
      </c>
      <c r="P195" s="45">
        <v>0</v>
      </c>
      <c r="Q195" s="45"/>
      <c r="R195" s="46" t="b">
        <v>1</v>
      </c>
    </row>
    <row r="196" spans="1:18" x14ac:dyDescent="0.3">
      <c r="A196" s="47" t="s">
        <v>374</v>
      </c>
      <c r="B196" s="45"/>
      <c r="C196" s="45"/>
      <c r="D196" s="45">
        <v>0</v>
      </c>
      <c r="E196" s="45">
        <v>1</v>
      </c>
      <c r="F196" s="45" t="s">
        <v>476</v>
      </c>
      <c r="G196" s="45" t="s">
        <v>477</v>
      </c>
      <c r="H196" s="45"/>
      <c r="I196" s="45">
        <v>0</v>
      </c>
      <c r="J196" s="45" t="s">
        <v>846</v>
      </c>
      <c r="K196" s="45" t="s">
        <v>852</v>
      </c>
      <c r="L196" s="45">
        <v>350</v>
      </c>
      <c r="M196" s="45"/>
      <c r="N196" s="45" t="str">
        <f t="shared" si="4"/>
        <v>Status(AttackRatio, 350)</v>
      </c>
      <c r="O196" s="45">
        <v>0</v>
      </c>
      <c r="P196" s="45">
        <v>0</v>
      </c>
      <c r="Q196" s="45"/>
      <c r="R196" s="46" t="b">
        <v>1</v>
      </c>
    </row>
    <row r="197" spans="1:18" x14ac:dyDescent="0.3">
      <c r="A197" s="30" t="s">
        <v>376</v>
      </c>
      <c r="B197" s="31"/>
      <c r="C197" s="31"/>
      <c r="D197" s="31">
        <v>0</v>
      </c>
      <c r="E197" s="31">
        <v>1</v>
      </c>
      <c r="F197" s="31" t="s">
        <v>476</v>
      </c>
      <c r="G197" s="31" t="s">
        <v>477</v>
      </c>
      <c r="H197" s="31"/>
      <c r="I197" s="31">
        <v>0</v>
      </c>
      <c r="J197" s="31" t="s">
        <v>503</v>
      </c>
      <c r="K197" s="31" t="s">
        <v>844</v>
      </c>
      <c r="L197" s="31">
        <v>80</v>
      </c>
      <c r="M197" s="31"/>
      <c r="N197" s="31" t="str">
        <f t="shared" si="4"/>
        <v>Poison(Attack, 80)</v>
      </c>
      <c r="O197" s="31">
        <v>0</v>
      </c>
      <c r="P197" s="31">
        <v>1000</v>
      </c>
      <c r="Q197" s="31"/>
      <c r="R197" s="32" t="b">
        <v>1</v>
      </c>
    </row>
    <row r="198" spans="1:18" x14ac:dyDescent="0.3">
      <c r="A198" s="30" t="s">
        <v>499</v>
      </c>
      <c r="B198" s="31" t="s">
        <v>500</v>
      </c>
      <c r="C198" s="31" t="s">
        <v>501</v>
      </c>
      <c r="D198" s="31">
        <v>0</v>
      </c>
      <c r="E198" s="31"/>
      <c r="F198" s="31" t="s">
        <v>476</v>
      </c>
      <c r="G198" s="31" t="s">
        <v>477</v>
      </c>
      <c r="H198" s="31"/>
      <c r="I198" s="31">
        <v>0</v>
      </c>
      <c r="J198" s="31" t="s">
        <v>860</v>
      </c>
      <c r="K198" s="31" t="str">
        <f>$A198&amp;".skilleffect"</f>
        <v>Sector06.toxic_1.passive01.buff.buffeffect01.skilleffect</v>
      </c>
      <c r="L198" s="31"/>
      <c r="M198" s="31"/>
      <c r="N198" s="31" t="str">
        <f t="shared" si="4"/>
        <v>Active(Sector06.toxic_1.passive01.buff.buffeffect01.skilleffect)</v>
      </c>
      <c r="O198" s="31">
        <v>0</v>
      </c>
      <c r="P198" s="31">
        <v>0</v>
      </c>
      <c r="Q198" s="31"/>
      <c r="R198" s="32" t="b">
        <v>1</v>
      </c>
    </row>
    <row r="199" spans="1:18" x14ac:dyDescent="0.3">
      <c r="A199" s="30" t="s">
        <v>502</v>
      </c>
      <c r="B199" s="31" t="s">
        <v>500</v>
      </c>
      <c r="C199" s="31" t="s">
        <v>503</v>
      </c>
      <c r="D199" s="31">
        <v>0</v>
      </c>
      <c r="E199" s="31"/>
      <c r="F199" s="31" t="s">
        <v>476</v>
      </c>
      <c r="G199" s="31" t="s">
        <v>477</v>
      </c>
      <c r="H199" s="31"/>
      <c r="I199" s="31">
        <v>0</v>
      </c>
      <c r="J199" s="31" t="s">
        <v>860</v>
      </c>
      <c r="K199" s="31" t="str">
        <f t="shared" ref="K199:K200" si="13">$A199&amp;".skilleffect"</f>
        <v>Sector06.toxic_1.passive01.buff.buffeffect02.skilleffect</v>
      </c>
      <c r="L199" s="31"/>
      <c r="M199" s="31"/>
      <c r="N199" s="31" t="str">
        <f t="shared" si="4"/>
        <v>Active(Sector06.toxic_1.passive01.buff.buffeffect02.skilleffect)</v>
      </c>
      <c r="O199" s="31">
        <v>0</v>
      </c>
      <c r="P199" s="31">
        <v>0</v>
      </c>
      <c r="Q199" s="31"/>
      <c r="R199" s="32" t="b">
        <v>1</v>
      </c>
    </row>
    <row r="200" spans="1:18" x14ac:dyDescent="0.3">
      <c r="A200" s="30" t="s">
        <v>504</v>
      </c>
      <c r="B200" s="31" t="s">
        <v>500</v>
      </c>
      <c r="C200" s="31" t="s">
        <v>505</v>
      </c>
      <c r="D200" s="31">
        <v>0</v>
      </c>
      <c r="E200" s="31"/>
      <c r="F200" s="31" t="s">
        <v>476</v>
      </c>
      <c r="G200" s="31" t="s">
        <v>477</v>
      </c>
      <c r="H200" s="31"/>
      <c r="I200" s="31">
        <v>0</v>
      </c>
      <c r="J200" s="31" t="s">
        <v>860</v>
      </c>
      <c r="K200" s="31" t="str">
        <f t="shared" si="13"/>
        <v>Sector06.toxic_1.passive01.buff.buffeffect03.skilleffect</v>
      </c>
      <c r="L200" s="31"/>
      <c r="M200" s="31"/>
      <c r="N200" s="31" t="str">
        <f t="shared" si="4"/>
        <v>Active(Sector06.toxic_1.passive01.buff.buffeffect03.skilleffect)</v>
      </c>
      <c r="O200" s="31">
        <v>0</v>
      </c>
      <c r="P200" s="31">
        <v>0</v>
      </c>
      <c r="Q200" s="31"/>
      <c r="R200" s="32" t="b">
        <v>1</v>
      </c>
    </row>
    <row r="201" spans="1:18" x14ac:dyDescent="0.3">
      <c r="A201" s="30" t="s">
        <v>382</v>
      </c>
      <c r="B201" s="31"/>
      <c r="C201" s="31"/>
      <c r="D201" s="31">
        <v>0</v>
      </c>
      <c r="E201" s="31">
        <v>1</v>
      </c>
      <c r="F201" s="31" t="s">
        <v>476</v>
      </c>
      <c r="G201" s="31" t="s">
        <v>477</v>
      </c>
      <c r="H201" s="31"/>
      <c r="I201" s="31">
        <v>0</v>
      </c>
      <c r="J201" s="31" t="s">
        <v>851</v>
      </c>
      <c r="K201" s="31" t="s">
        <v>845</v>
      </c>
      <c r="L201" s="31">
        <v>20</v>
      </c>
      <c r="M201" s="31"/>
      <c r="N201" s="31" t="str">
        <f t="shared" si="4"/>
        <v>Hot(MaxHp, 20)</v>
      </c>
      <c r="O201" s="31">
        <v>0</v>
      </c>
      <c r="P201" s="31">
        <v>1000</v>
      </c>
      <c r="Q201" s="31"/>
      <c r="R201" s="32" t="b">
        <v>1</v>
      </c>
    </row>
    <row r="202" spans="1:18" x14ac:dyDescent="0.3">
      <c r="A202" s="30" t="s">
        <v>384</v>
      </c>
      <c r="B202" s="31"/>
      <c r="C202" s="31"/>
      <c r="D202" s="31">
        <v>0</v>
      </c>
      <c r="E202" s="31">
        <v>1</v>
      </c>
      <c r="F202" s="31" t="s">
        <v>476</v>
      </c>
      <c r="G202" s="31" t="s">
        <v>477</v>
      </c>
      <c r="H202" s="31"/>
      <c r="I202" s="31">
        <v>0</v>
      </c>
      <c r="J202" s="31" t="s">
        <v>846</v>
      </c>
      <c r="K202" s="31" t="s">
        <v>892</v>
      </c>
      <c r="L202" s="31">
        <v>500</v>
      </c>
      <c r="M202" s="31"/>
      <c r="N202" s="31" t="str">
        <f t="shared" si="4"/>
        <v>Status(MeleeDamageDerate, 500)</v>
      </c>
      <c r="O202" s="31">
        <v>0</v>
      </c>
      <c r="P202" s="31">
        <v>0</v>
      </c>
      <c r="Q202" s="31"/>
      <c r="R202" s="32" t="b">
        <v>1</v>
      </c>
    </row>
    <row r="203" spans="1:18" x14ac:dyDescent="0.3">
      <c r="A203" s="53" t="s">
        <v>386</v>
      </c>
      <c r="B203" s="49"/>
      <c r="C203" s="49"/>
      <c r="D203" s="49">
        <v>0</v>
      </c>
      <c r="E203" s="49">
        <v>1</v>
      </c>
      <c r="F203" s="49" t="s">
        <v>476</v>
      </c>
      <c r="G203" s="49" t="s">
        <v>477</v>
      </c>
      <c r="H203" s="49"/>
      <c r="I203" s="49">
        <v>0</v>
      </c>
      <c r="J203" s="49" t="s">
        <v>503</v>
      </c>
      <c r="K203" s="49" t="s">
        <v>844</v>
      </c>
      <c r="L203" s="49">
        <v>80</v>
      </c>
      <c r="M203" s="49"/>
      <c r="N203" s="49" t="str">
        <f t="shared" si="4"/>
        <v>Poison(Attack, 80)</v>
      </c>
      <c r="O203" s="49">
        <v>0</v>
      </c>
      <c r="P203" s="49">
        <v>1000</v>
      </c>
      <c r="Q203" s="49"/>
      <c r="R203" s="50" t="b">
        <v>1</v>
      </c>
    </row>
    <row r="204" spans="1:18" x14ac:dyDescent="0.3">
      <c r="A204" s="53" t="s">
        <v>506</v>
      </c>
      <c r="B204" s="49" t="s">
        <v>500</v>
      </c>
      <c r="C204" s="49" t="s">
        <v>501</v>
      </c>
      <c r="D204" s="49">
        <v>0</v>
      </c>
      <c r="E204" s="49"/>
      <c r="F204" s="49" t="s">
        <v>476</v>
      </c>
      <c r="G204" s="49" t="s">
        <v>477</v>
      </c>
      <c r="H204" s="49"/>
      <c r="I204" s="49">
        <v>0</v>
      </c>
      <c r="J204" s="49" t="s">
        <v>860</v>
      </c>
      <c r="K204" s="49" t="str">
        <f t="shared" ref="K204:K206" si="14">$A204&amp;".skilleffect"</f>
        <v>Sector06.toxic_3.passive01.buff.buffeffect01.skilleffect</v>
      </c>
      <c r="L204" s="49"/>
      <c r="M204" s="49"/>
      <c r="N204" s="49" t="str">
        <f t="shared" si="4"/>
        <v>Active(Sector06.toxic_3.passive01.buff.buffeffect01.skilleffect)</v>
      </c>
      <c r="O204" s="49">
        <v>0</v>
      </c>
      <c r="P204" s="49">
        <v>0</v>
      </c>
      <c r="Q204" s="49"/>
      <c r="R204" s="50" t="b">
        <v>1</v>
      </c>
    </row>
    <row r="205" spans="1:18" x14ac:dyDescent="0.3">
      <c r="A205" s="53" t="s">
        <v>507</v>
      </c>
      <c r="B205" s="49" t="s">
        <v>500</v>
      </c>
      <c r="C205" s="49" t="s">
        <v>503</v>
      </c>
      <c r="D205" s="49">
        <v>0</v>
      </c>
      <c r="E205" s="49"/>
      <c r="F205" s="49" t="s">
        <v>476</v>
      </c>
      <c r="G205" s="49" t="s">
        <v>477</v>
      </c>
      <c r="H205" s="49"/>
      <c r="I205" s="49">
        <v>0</v>
      </c>
      <c r="J205" s="49" t="s">
        <v>860</v>
      </c>
      <c r="K205" s="49" t="str">
        <f t="shared" si="14"/>
        <v>Sector06.toxic_3.passive01.buff.buffeffect02.skilleffect</v>
      </c>
      <c r="L205" s="49"/>
      <c r="M205" s="49"/>
      <c r="N205" s="49" t="str">
        <f t="shared" si="4"/>
        <v>Active(Sector06.toxic_3.passive01.buff.buffeffect02.skilleffect)</v>
      </c>
      <c r="O205" s="49">
        <v>0</v>
      </c>
      <c r="P205" s="49">
        <v>0</v>
      </c>
      <c r="Q205" s="49"/>
      <c r="R205" s="50" t="b">
        <v>1</v>
      </c>
    </row>
    <row r="206" spans="1:18" x14ac:dyDescent="0.3">
      <c r="A206" s="53" t="s">
        <v>508</v>
      </c>
      <c r="B206" s="49" t="s">
        <v>500</v>
      </c>
      <c r="C206" s="49" t="s">
        <v>505</v>
      </c>
      <c r="D206" s="49">
        <v>0</v>
      </c>
      <c r="E206" s="49"/>
      <c r="F206" s="49" t="s">
        <v>476</v>
      </c>
      <c r="G206" s="49" t="s">
        <v>477</v>
      </c>
      <c r="H206" s="49"/>
      <c r="I206" s="49">
        <v>0</v>
      </c>
      <c r="J206" s="49" t="s">
        <v>860</v>
      </c>
      <c r="K206" s="49" t="str">
        <f t="shared" si="14"/>
        <v>Sector06.toxic_3.passive01.buff.buffeffect03.skilleffect</v>
      </c>
      <c r="L206" s="49"/>
      <c r="M206" s="49"/>
      <c r="N206" s="49" t="str">
        <f t="shared" si="4"/>
        <v>Active(Sector06.toxic_3.passive01.buff.buffeffect03.skilleffect)</v>
      </c>
      <c r="O206" s="49">
        <v>0</v>
      </c>
      <c r="P206" s="49">
        <v>0</v>
      </c>
      <c r="Q206" s="49"/>
      <c r="R206" s="50" t="b">
        <v>1</v>
      </c>
    </row>
    <row r="207" spans="1:18" x14ac:dyDescent="0.3">
      <c r="A207" s="53" t="s">
        <v>390</v>
      </c>
      <c r="B207" s="49"/>
      <c r="C207" s="49"/>
      <c r="D207" s="49">
        <v>0</v>
      </c>
      <c r="E207" s="49">
        <v>1</v>
      </c>
      <c r="F207" s="49" t="s">
        <v>476</v>
      </c>
      <c r="G207" s="49" t="s">
        <v>477</v>
      </c>
      <c r="H207" s="49"/>
      <c r="I207" s="49">
        <v>0</v>
      </c>
      <c r="J207" s="49" t="s">
        <v>851</v>
      </c>
      <c r="K207" s="49" t="s">
        <v>845</v>
      </c>
      <c r="L207" s="49">
        <v>20</v>
      </c>
      <c r="M207" s="49"/>
      <c r="N207" s="49" t="str">
        <f t="shared" si="4"/>
        <v>Hot(MaxHp, 20)</v>
      </c>
      <c r="O207" s="49">
        <v>0</v>
      </c>
      <c r="P207" s="49">
        <v>800</v>
      </c>
      <c r="Q207" s="49"/>
      <c r="R207" s="50" t="b">
        <v>1</v>
      </c>
    </row>
    <row r="208" spans="1:18" x14ac:dyDescent="0.3">
      <c r="A208" s="53" t="s">
        <v>509</v>
      </c>
      <c r="B208" s="49"/>
      <c r="C208" s="49"/>
      <c r="D208" s="49">
        <v>0</v>
      </c>
      <c r="E208" s="49">
        <v>1</v>
      </c>
      <c r="F208" s="49" t="s">
        <v>476</v>
      </c>
      <c r="G208" s="49" t="s">
        <v>477</v>
      </c>
      <c r="H208" s="49"/>
      <c r="I208" s="49">
        <v>0</v>
      </c>
      <c r="J208" s="49" t="s">
        <v>846</v>
      </c>
      <c r="K208" s="49" t="s">
        <v>892</v>
      </c>
      <c r="L208" s="49">
        <v>500</v>
      </c>
      <c r="M208" s="49"/>
      <c r="N208" s="49" t="str">
        <f t="shared" si="4"/>
        <v>Status(MeleeDamageDerate, 500)</v>
      </c>
      <c r="O208" s="49">
        <v>0</v>
      </c>
      <c r="P208" s="49">
        <v>0</v>
      </c>
      <c r="Q208" s="49"/>
      <c r="R208" s="50" t="b">
        <v>1</v>
      </c>
    </row>
    <row r="209" spans="1:18" x14ac:dyDescent="0.3">
      <c r="A209" s="53" t="s">
        <v>510</v>
      </c>
      <c r="B209" s="49"/>
      <c r="C209" s="49"/>
      <c r="D209" s="49">
        <v>0</v>
      </c>
      <c r="E209" s="49">
        <v>1</v>
      </c>
      <c r="F209" s="49" t="s">
        <v>476</v>
      </c>
      <c r="G209" s="49" t="s">
        <v>477</v>
      </c>
      <c r="H209" s="49"/>
      <c r="I209" s="49">
        <v>0</v>
      </c>
      <c r="J209" s="49" t="s">
        <v>470</v>
      </c>
      <c r="K209" s="49" t="s">
        <v>893</v>
      </c>
      <c r="L209" s="49" t="str">
        <f t="shared" ref="L209" si="15">$A209&amp;".skilleffect"</f>
        <v>Sector06.toxic_3.passive02.buff.buffeffect02.skilleffect</v>
      </c>
      <c r="M209" s="49"/>
      <c r="N209" s="49" t="str">
        <f t="shared" si="4"/>
        <v>Effect(BeHitMelee, Sector06.toxic_3.passive02.buff.buffeffect02.skilleffect)</v>
      </c>
      <c r="O209" s="49">
        <v>0</v>
      </c>
      <c r="P209" s="49">
        <v>0</v>
      </c>
      <c r="Q209" s="49"/>
      <c r="R209" s="50" t="b">
        <v>1</v>
      </c>
    </row>
    <row r="210" spans="1:18" x14ac:dyDescent="0.3">
      <c r="A210" s="20" t="s">
        <v>394</v>
      </c>
      <c r="B210" s="33"/>
      <c r="C210" s="33"/>
      <c r="D210" s="33">
        <v>0</v>
      </c>
      <c r="E210" s="33">
        <v>1</v>
      </c>
      <c r="F210" s="33" t="s">
        <v>476</v>
      </c>
      <c r="G210" s="33" t="s">
        <v>477</v>
      </c>
      <c r="H210" s="33"/>
      <c r="I210" s="33">
        <v>0</v>
      </c>
      <c r="J210" s="33" t="s">
        <v>835</v>
      </c>
      <c r="K210" s="33" t="s">
        <v>845</v>
      </c>
      <c r="L210" s="33">
        <v>250</v>
      </c>
      <c r="M210" s="33"/>
      <c r="N210" s="33" t="str">
        <f t="shared" si="4"/>
        <v>Shield(MaxHp, 250)</v>
      </c>
      <c r="O210" s="33">
        <v>0</v>
      </c>
      <c r="P210" s="33">
        <v>0</v>
      </c>
      <c r="Q210" s="33"/>
      <c r="R210" s="34" t="b">
        <v>1</v>
      </c>
    </row>
    <row r="211" spans="1:18" x14ac:dyDescent="0.3">
      <c r="A211" s="35" t="s">
        <v>396</v>
      </c>
      <c r="B211" s="36"/>
      <c r="C211" s="36"/>
      <c r="D211" s="36">
        <v>0</v>
      </c>
      <c r="E211" s="36">
        <v>1</v>
      </c>
      <c r="F211" s="36" t="s">
        <v>476</v>
      </c>
      <c r="G211" s="36" t="s">
        <v>477</v>
      </c>
      <c r="H211" s="36"/>
      <c r="I211" s="36">
        <v>0</v>
      </c>
      <c r="J211" s="36" t="s">
        <v>501</v>
      </c>
      <c r="K211" s="36" t="s">
        <v>845</v>
      </c>
      <c r="L211" s="36">
        <v>10</v>
      </c>
      <c r="M211" s="36"/>
      <c r="N211" s="36" t="str">
        <f t="shared" si="4"/>
        <v>Burn(MaxHp, 10)</v>
      </c>
      <c r="O211" s="36">
        <v>0</v>
      </c>
      <c r="P211" s="36">
        <v>1000</v>
      </c>
      <c r="Q211" s="36"/>
      <c r="R211" s="37" t="b">
        <v>1</v>
      </c>
    </row>
    <row r="212" spans="1:18" x14ac:dyDescent="0.3">
      <c r="A212" s="20" t="s">
        <v>398</v>
      </c>
      <c r="B212" s="33"/>
      <c r="C212" s="33"/>
      <c r="D212" s="33">
        <v>0</v>
      </c>
      <c r="E212" s="33">
        <v>1</v>
      </c>
      <c r="F212" s="33" t="s">
        <v>476</v>
      </c>
      <c r="G212" s="33" t="s">
        <v>477</v>
      </c>
      <c r="H212" s="33"/>
      <c r="I212" s="33">
        <v>0</v>
      </c>
      <c r="J212" s="33" t="s">
        <v>848</v>
      </c>
      <c r="K212" s="33" t="s">
        <v>849</v>
      </c>
      <c r="L212" s="33"/>
      <c r="M212" s="33"/>
      <c r="N212" s="33" t="str">
        <f t="shared" si="4"/>
        <v>CrowdControl(Stun)</v>
      </c>
      <c r="O212" s="33">
        <v>0</v>
      </c>
      <c r="P212" s="33">
        <v>0</v>
      </c>
      <c r="Q212" s="33"/>
      <c r="R212" s="34" t="b">
        <v>1</v>
      </c>
    </row>
    <row r="213" spans="1:18" x14ac:dyDescent="0.3">
      <c r="A213" s="35" t="s">
        <v>400</v>
      </c>
      <c r="B213" s="36"/>
      <c r="C213" s="36"/>
      <c r="D213" s="36">
        <v>0</v>
      </c>
      <c r="E213" s="36">
        <v>1</v>
      </c>
      <c r="F213" s="36" t="s">
        <v>476</v>
      </c>
      <c r="G213" s="36" t="s">
        <v>477</v>
      </c>
      <c r="H213" s="36"/>
      <c r="I213" s="36">
        <v>0</v>
      </c>
      <c r="J213" s="36" t="s">
        <v>846</v>
      </c>
      <c r="K213" s="36" t="s">
        <v>852</v>
      </c>
      <c r="L213" s="36">
        <v>600</v>
      </c>
      <c r="M213" s="36"/>
      <c r="N213" s="36" t="str">
        <f t="shared" si="4"/>
        <v>Status(AttackRatio, 600)</v>
      </c>
      <c r="O213" s="36">
        <v>0</v>
      </c>
      <c r="P213" s="36">
        <v>0</v>
      </c>
      <c r="Q213" s="36"/>
      <c r="R213" s="37" t="b">
        <v>1</v>
      </c>
    </row>
    <row r="214" spans="1:18" x14ac:dyDescent="0.3">
      <c r="A214" s="35" t="s">
        <v>402</v>
      </c>
      <c r="B214" s="36"/>
      <c r="C214" s="36"/>
      <c r="D214" s="36">
        <v>0</v>
      </c>
      <c r="E214" s="36">
        <v>1</v>
      </c>
      <c r="F214" s="36" t="s">
        <v>476</v>
      </c>
      <c r="G214" s="36" t="s">
        <v>477</v>
      </c>
      <c r="H214" s="36"/>
      <c r="I214" s="36">
        <v>0</v>
      </c>
      <c r="J214" s="36" t="s">
        <v>846</v>
      </c>
      <c r="K214" s="36" t="s">
        <v>853</v>
      </c>
      <c r="L214" s="36">
        <v>350</v>
      </c>
      <c r="M214" s="36"/>
      <c r="N214" s="36" t="str">
        <f t="shared" si="4"/>
        <v>Status(AttackSpeedRate, 350)</v>
      </c>
      <c r="O214" s="36">
        <v>0</v>
      </c>
      <c r="P214" s="36">
        <v>0</v>
      </c>
      <c r="Q214" s="36"/>
      <c r="R214" s="37" t="b">
        <v>1</v>
      </c>
    </row>
    <row r="215" spans="1:18" x14ac:dyDescent="0.3">
      <c r="A215" s="35" t="s">
        <v>404</v>
      </c>
      <c r="B215" s="36"/>
      <c r="C215" s="36"/>
      <c r="D215" s="36">
        <v>0</v>
      </c>
      <c r="E215" s="36">
        <v>1</v>
      </c>
      <c r="F215" s="36" t="s">
        <v>476</v>
      </c>
      <c r="G215" s="36" t="s">
        <v>477</v>
      </c>
      <c r="H215" s="36"/>
      <c r="I215" s="36">
        <v>0</v>
      </c>
      <c r="J215" s="36" t="s">
        <v>501</v>
      </c>
      <c r="K215" s="36" t="s">
        <v>845</v>
      </c>
      <c r="L215" s="36">
        <v>10</v>
      </c>
      <c r="M215" s="36"/>
      <c r="N215" s="36" t="str">
        <f t="shared" si="4"/>
        <v>Burn(MaxHp, 10)</v>
      </c>
      <c r="O215" s="36">
        <v>0</v>
      </c>
      <c r="P215" s="36">
        <v>1000</v>
      </c>
      <c r="Q215" s="36"/>
      <c r="R215" s="37" t="b">
        <v>1</v>
      </c>
    </row>
    <row r="216" spans="1:18" x14ac:dyDescent="0.3">
      <c r="A216" s="20" t="s">
        <v>406</v>
      </c>
      <c r="B216" s="33"/>
      <c r="C216" s="33"/>
      <c r="D216" s="33">
        <v>0</v>
      </c>
      <c r="E216" s="33">
        <v>1</v>
      </c>
      <c r="F216" s="33" t="s">
        <v>476</v>
      </c>
      <c r="G216" s="33" t="s">
        <v>477</v>
      </c>
      <c r="H216" s="33"/>
      <c r="I216" s="33">
        <v>0</v>
      </c>
      <c r="J216" s="33" t="s">
        <v>505</v>
      </c>
      <c r="K216" s="33" t="s">
        <v>844</v>
      </c>
      <c r="L216" s="33">
        <v>300</v>
      </c>
      <c r="M216" s="33"/>
      <c r="N216" s="33" t="str">
        <f t="shared" si="4"/>
        <v>Bleed(Attack, 300)</v>
      </c>
      <c r="O216" s="33">
        <v>0</v>
      </c>
      <c r="P216" s="33">
        <v>1000</v>
      </c>
      <c r="Q216" s="33"/>
      <c r="R216" s="34" t="b">
        <v>1</v>
      </c>
    </row>
    <row r="217" spans="1:18" x14ac:dyDescent="0.3">
      <c r="A217" s="20" t="s">
        <v>1134</v>
      </c>
      <c r="B217" s="33" t="s">
        <v>487</v>
      </c>
      <c r="C217" s="33" t="s">
        <v>1140</v>
      </c>
      <c r="D217" s="33">
        <v>0</v>
      </c>
      <c r="E217" s="33"/>
      <c r="F217" s="33" t="s">
        <v>476</v>
      </c>
      <c r="G217" s="33" t="s">
        <v>477</v>
      </c>
      <c r="H217" s="33"/>
      <c r="I217" s="33">
        <v>0</v>
      </c>
      <c r="J217" s="33" t="s">
        <v>470</v>
      </c>
      <c r="K217" s="33" t="s">
        <v>950</v>
      </c>
      <c r="L217" s="33" t="s">
        <v>1135</v>
      </c>
      <c r="M217" s="33"/>
      <c r="N217" s="33" t="str">
        <f t="shared" si="4"/>
        <v>Effect(OnDie, Sector07.clock_honor_knight_1.passive01.buff.buffeffect.skilleffect)</v>
      </c>
      <c r="O217" s="33">
        <v>0</v>
      </c>
      <c r="P217" s="33">
        <v>0</v>
      </c>
      <c r="Q217" s="33"/>
      <c r="R217" s="34" t="b">
        <v>1</v>
      </c>
    </row>
    <row r="218" spans="1:18" x14ac:dyDescent="0.3">
      <c r="A218" s="35" t="s">
        <v>1233</v>
      </c>
      <c r="B218" s="36"/>
      <c r="C218" s="36"/>
      <c r="D218" s="36">
        <v>0</v>
      </c>
      <c r="E218" s="36">
        <v>1</v>
      </c>
      <c r="F218" s="36" t="s">
        <v>476</v>
      </c>
      <c r="G218" s="36" t="s">
        <v>477</v>
      </c>
      <c r="H218" s="36"/>
      <c r="I218" s="36">
        <v>0</v>
      </c>
      <c r="J218" s="36" t="s">
        <v>505</v>
      </c>
      <c r="K218" s="36" t="s">
        <v>844</v>
      </c>
      <c r="L218" s="36">
        <v>300</v>
      </c>
      <c r="M218" s="36"/>
      <c r="N218" s="36" t="str">
        <f t="shared" ref="N218:N219" si="16">J218&amp;"("&amp;IF(K218="","",K218)&amp;IF(L218="","",", "&amp;L218)&amp;IF(M218="","",", "&amp;M218)&amp;")"</f>
        <v>Bleed(Attack, 300)</v>
      </c>
      <c r="O218" s="36">
        <v>0</v>
      </c>
      <c r="P218" s="36">
        <v>1000</v>
      </c>
      <c r="Q218" s="36"/>
      <c r="R218" s="37" t="b">
        <v>1</v>
      </c>
    </row>
    <row r="219" spans="1:18" x14ac:dyDescent="0.3">
      <c r="A219" s="35" t="s">
        <v>1234</v>
      </c>
      <c r="B219" s="36" t="s">
        <v>487</v>
      </c>
      <c r="C219" s="36" t="s">
        <v>1140</v>
      </c>
      <c r="D219" s="36">
        <v>0</v>
      </c>
      <c r="E219" s="36"/>
      <c r="F219" s="36" t="s">
        <v>476</v>
      </c>
      <c r="G219" s="36" t="s">
        <v>477</v>
      </c>
      <c r="H219" s="36"/>
      <c r="I219" s="36">
        <v>0</v>
      </c>
      <c r="J219" s="36" t="s">
        <v>470</v>
      </c>
      <c r="K219" s="36" t="s">
        <v>950</v>
      </c>
      <c r="L219" s="36" t="s">
        <v>1235</v>
      </c>
      <c r="M219" s="36"/>
      <c r="N219" s="36" t="str">
        <f t="shared" si="16"/>
        <v>Effect(OnDie, Sector07.clock_honor_knight_2.passive01.buff.buffeffect.skilleffect)</v>
      </c>
      <c r="O219" s="36">
        <v>0</v>
      </c>
      <c r="P219" s="36">
        <v>0</v>
      </c>
      <c r="Q219" s="36"/>
      <c r="R219" s="37" t="b">
        <v>1</v>
      </c>
    </row>
    <row r="220" spans="1:18" x14ac:dyDescent="0.3">
      <c r="A220" s="20" t="s">
        <v>408</v>
      </c>
      <c r="B220" s="33"/>
      <c r="C220" s="33"/>
      <c r="D220" s="33">
        <v>0</v>
      </c>
      <c r="E220" s="33">
        <v>1</v>
      </c>
      <c r="F220" s="33" t="s">
        <v>476</v>
      </c>
      <c r="G220" s="33" t="s">
        <v>477</v>
      </c>
      <c r="H220" s="33"/>
      <c r="I220" s="33">
        <v>0</v>
      </c>
      <c r="J220" s="33" t="s">
        <v>501</v>
      </c>
      <c r="K220" s="33" t="s">
        <v>844</v>
      </c>
      <c r="L220" s="33">
        <v>150</v>
      </c>
      <c r="M220" s="33"/>
      <c r="N220" s="33" t="str">
        <f t="shared" si="4"/>
        <v>Burn(Attack, 150)</v>
      </c>
      <c r="O220" s="33">
        <v>0</v>
      </c>
      <c r="P220" s="33">
        <v>1000</v>
      </c>
      <c r="Q220" s="33"/>
      <c r="R220" s="34" t="b">
        <v>1</v>
      </c>
    </row>
    <row r="221" spans="1:18" x14ac:dyDescent="0.3">
      <c r="A221" s="20" t="s">
        <v>410</v>
      </c>
      <c r="B221" s="33"/>
      <c r="C221" s="33"/>
      <c r="D221" s="33">
        <v>0</v>
      </c>
      <c r="E221" s="33">
        <v>1</v>
      </c>
      <c r="F221" s="33" t="s">
        <v>476</v>
      </c>
      <c r="G221" s="33" t="s">
        <v>477</v>
      </c>
      <c r="H221" s="33"/>
      <c r="I221" s="33">
        <v>0</v>
      </c>
      <c r="J221" s="33" t="s">
        <v>835</v>
      </c>
      <c r="K221" s="33" t="s">
        <v>981</v>
      </c>
      <c r="L221" s="33">
        <v>12000</v>
      </c>
      <c r="M221" s="33"/>
      <c r="N221" s="33" t="str">
        <f t="shared" si="4"/>
        <v>Shield(Defense, 12000)</v>
      </c>
      <c r="O221" s="33">
        <v>0</v>
      </c>
      <c r="P221" s="33">
        <v>0</v>
      </c>
      <c r="Q221" s="33"/>
      <c r="R221" s="34" t="b">
        <v>1</v>
      </c>
    </row>
    <row r="222" spans="1:18" x14ac:dyDescent="0.3">
      <c r="A222" s="20" t="s">
        <v>412</v>
      </c>
      <c r="B222" s="33"/>
      <c r="C222" s="33"/>
      <c r="D222" s="33">
        <v>0</v>
      </c>
      <c r="E222" s="33">
        <v>1</v>
      </c>
      <c r="F222" s="33" t="s">
        <v>476</v>
      </c>
      <c r="G222" s="33" t="s">
        <v>477</v>
      </c>
      <c r="H222" s="33"/>
      <c r="I222" s="33">
        <v>0</v>
      </c>
      <c r="J222" s="33" t="s">
        <v>848</v>
      </c>
      <c r="K222" s="33" t="s">
        <v>850</v>
      </c>
      <c r="L222" s="33"/>
      <c r="M222" s="33"/>
      <c r="N222" s="33" t="str">
        <f t="shared" si="4"/>
        <v>CrowdControl(Knockback)</v>
      </c>
      <c r="O222" s="33">
        <v>0</v>
      </c>
      <c r="P222" s="33">
        <v>0</v>
      </c>
      <c r="Q222" s="33"/>
      <c r="R222" s="34" t="b">
        <v>1</v>
      </c>
    </row>
    <row r="223" spans="1:18" x14ac:dyDescent="0.3">
      <c r="A223" s="20" t="s">
        <v>414</v>
      </c>
      <c r="B223" s="33"/>
      <c r="C223" s="33"/>
      <c r="D223" s="33">
        <v>0</v>
      </c>
      <c r="E223" s="33">
        <v>1</v>
      </c>
      <c r="F223" s="33" t="s">
        <v>476</v>
      </c>
      <c r="G223" s="33" t="s">
        <v>477</v>
      </c>
      <c r="H223" s="33"/>
      <c r="I223" s="33">
        <v>0</v>
      </c>
      <c r="J223" s="33" t="s">
        <v>860</v>
      </c>
      <c r="K223" s="33" t="s">
        <v>894</v>
      </c>
      <c r="L223" s="33"/>
      <c r="M223" s="33"/>
      <c r="N223" s="33" t="str">
        <f t="shared" si="4"/>
        <v>Active(Sector07.clock_noble_knight_1.passive01.buff.buffeffect.skilleffect)</v>
      </c>
      <c r="O223" s="33">
        <v>0</v>
      </c>
      <c r="P223" s="33">
        <v>0</v>
      </c>
      <c r="Q223" s="33"/>
      <c r="R223" s="34" t="b">
        <v>1</v>
      </c>
    </row>
    <row r="224" spans="1:18" x14ac:dyDescent="0.3">
      <c r="A224" s="20" t="s">
        <v>416</v>
      </c>
      <c r="B224" s="33"/>
      <c r="C224" s="33"/>
      <c r="D224" s="33">
        <v>0</v>
      </c>
      <c r="E224" s="33">
        <v>1</v>
      </c>
      <c r="F224" s="33" t="s">
        <v>476</v>
      </c>
      <c r="G224" s="33" t="s">
        <v>477</v>
      </c>
      <c r="H224" s="33"/>
      <c r="I224" s="33">
        <v>0</v>
      </c>
      <c r="J224" s="33" t="s">
        <v>871</v>
      </c>
      <c r="K224" s="33"/>
      <c r="L224" s="33"/>
      <c r="M224" s="33"/>
      <c r="N224" s="33" t="str">
        <f t="shared" si="4"/>
        <v>None()</v>
      </c>
      <c r="O224" s="33">
        <v>0</v>
      </c>
      <c r="P224" s="33">
        <v>0</v>
      </c>
      <c r="Q224" s="33"/>
      <c r="R224" s="34" t="b">
        <v>1</v>
      </c>
    </row>
    <row r="225" spans="1:18" x14ac:dyDescent="0.3">
      <c r="A225" s="20" t="s">
        <v>421</v>
      </c>
      <c r="B225" s="33"/>
      <c r="C225" s="33"/>
      <c r="D225" s="33">
        <v>0</v>
      </c>
      <c r="E225" s="33">
        <v>1</v>
      </c>
      <c r="F225" s="33" t="s">
        <v>476</v>
      </c>
      <c r="G225" s="33" t="s">
        <v>477</v>
      </c>
      <c r="H225" s="33"/>
      <c r="I225" s="33">
        <v>0</v>
      </c>
      <c r="J225" s="33" t="s">
        <v>846</v>
      </c>
      <c r="K225" s="33" t="s">
        <v>852</v>
      </c>
      <c r="L225" s="33">
        <v>1000</v>
      </c>
      <c r="M225" s="33"/>
      <c r="N225" s="33" t="str">
        <f t="shared" si="4"/>
        <v>Status(AttackRatio, 1000)</v>
      </c>
      <c r="O225" s="33">
        <v>0</v>
      </c>
      <c r="P225" s="33">
        <v>0</v>
      </c>
      <c r="Q225" s="33"/>
      <c r="R225" s="34" t="b">
        <v>1</v>
      </c>
    </row>
    <row r="226" spans="1:18" x14ac:dyDescent="0.3">
      <c r="A226" s="20" t="s">
        <v>423</v>
      </c>
      <c r="B226" s="33"/>
      <c r="C226" s="33"/>
      <c r="D226" s="33">
        <v>0</v>
      </c>
      <c r="E226" s="33">
        <v>1</v>
      </c>
      <c r="F226" s="33" t="s">
        <v>476</v>
      </c>
      <c r="G226" s="33" t="s">
        <v>477</v>
      </c>
      <c r="H226" s="33"/>
      <c r="I226" s="33">
        <v>0</v>
      </c>
      <c r="J226" s="33" t="s">
        <v>882</v>
      </c>
      <c r="K226" s="33" t="s">
        <v>895</v>
      </c>
      <c r="L226" s="33" t="s">
        <v>896</v>
      </c>
      <c r="M226" s="33" t="s">
        <v>960</v>
      </c>
      <c r="N226" s="33" t="str">
        <f t="shared" si="4"/>
        <v>Event(DecHpOverRate, Sector07.clock_noble_knight_1.passive02.buff.buffeffect.skilleffect, HpRateCondition(120))</v>
      </c>
      <c r="O226" s="33">
        <v>0</v>
      </c>
      <c r="P226" s="33">
        <v>0</v>
      </c>
      <c r="Q226" s="33"/>
      <c r="R226" s="34" t="b">
        <v>1</v>
      </c>
    </row>
    <row r="227" spans="1:18" x14ac:dyDescent="0.3">
      <c r="A227" s="35" t="s">
        <v>430</v>
      </c>
      <c r="B227" s="36"/>
      <c r="C227" s="36"/>
      <c r="D227" s="36">
        <v>0</v>
      </c>
      <c r="E227" s="36">
        <v>1</v>
      </c>
      <c r="F227" s="36" t="s">
        <v>476</v>
      </c>
      <c r="G227" s="36" t="s">
        <v>477</v>
      </c>
      <c r="H227" s="36"/>
      <c r="I227" s="36">
        <v>0</v>
      </c>
      <c r="J227" s="36" t="s">
        <v>846</v>
      </c>
      <c r="K227" s="36" t="s">
        <v>897</v>
      </c>
      <c r="L227" s="36">
        <v>-3000</v>
      </c>
      <c r="M227" s="36"/>
      <c r="N227" s="36" t="str">
        <f t="shared" si="4"/>
        <v>Status(ReceiveRecoveryRate, -3000)</v>
      </c>
      <c r="O227" s="36">
        <v>0</v>
      </c>
      <c r="P227" s="36">
        <v>0</v>
      </c>
      <c r="Q227" s="36"/>
      <c r="R227" s="37" t="b">
        <v>1</v>
      </c>
    </row>
    <row r="228" spans="1:18" x14ac:dyDescent="0.3">
      <c r="A228" s="20" t="s">
        <v>434</v>
      </c>
      <c r="B228" s="33"/>
      <c r="C228" s="33"/>
      <c r="D228" s="33">
        <v>0</v>
      </c>
      <c r="E228" s="33">
        <v>1</v>
      </c>
      <c r="F228" s="33" t="s">
        <v>476</v>
      </c>
      <c r="G228" s="33" t="s">
        <v>477</v>
      </c>
      <c r="H228" s="33"/>
      <c r="I228" s="33">
        <v>0</v>
      </c>
      <c r="J228" s="33" t="s">
        <v>848</v>
      </c>
      <c r="K228" s="33" t="s">
        <v>850</v>
      </c>
      <c r="L228" s="33"/>
      <c r="M228" s="33"/>
      <c r="N228" s="33" t="str">
        <f t="shared" ref="N228:N299" si="17">J228&amp;"("&amp;IF(K228="","",K228)&amp;IF(L228="","",", "&amp;L228)&amp;IF(M228="","",", "&amp;M228)&amp;")"</f>
        <v>CrowdControl(Knockback)</v>
      </c>
      <c r="O228" s="33">
        <v>0</v>
      </c>
      <c r="P228" s="33">
        <v>0</v>
      </c>
      <c r="Q228" s="33"/>
      <c r="R228" s="34" t="b">
        <v>1</v>
      </c>
    </row>
    <row r="229" spans="1:18" x14ac:dyDescent="0.3">
      <c r="A229" s="20" t="s">
        <v>436</v>
      </c>
      <c r="B229" s="33"/>
      <c r="C229" s="33"/>
      <c r="D229" s="33">
        <v>0</v>
      </c>
      <c r="E229" s="33">
        <v>1</v>
      </c>
      <c r="F229" s="33" t="s">
        <v>476</v>
      </c>
      <c r="G229" s="33" t="s">
        <v>477</v>
      </c>
      <c r="H229" s="33"/>
      <c r="I229" s="33">
        <v>0</v>
      </c>
      <c r="J229" s="33" t="s">
        <v>846</v>
      </c>
      <c r="K229" s="33" t="s">
        <v>875</v>
      </c>
      <c r="L229" s="33">
        <v>-500</v>
      </c>
      <c r="M229" s="33"/>
      <c r="N229" s="33" t="str">
        <f t="shared" si="17"/>
        <v>Status(MoveSpeedRate, -500)</v>
      </c>
      <c r="O229" s="33">
        <v>0</v>
      </c>
      <c r="P229" s="33">
        <v>0</v>
      </c>
      <c r="Q229" s="33"/>
      <c r="R229" s="34" t="b">
        <v>1</v>
      </c>
    </row>
    <row r="230" spans="1:18" x14ac:dyDescent="0.3">
      <c r="A230" s="20" t="s">
        <v>438</v>
      </c>
      <c r="B230" s="33"/>
      <c r="C230" s="33"/>
      <c r="D230" s="33">
        <v>0</v>
      </c>
      <c r="E230" s="33">
        <v>1</v>
      </c>
      <c r="F230" s="33" t="s">
        <v>476</v>
      </c>
      <c r="G230" s="33" t="s">
        <v>477</v>
      </c>
      <c r="H230" s="33"/>
      <c r="I230" s="33">
        <v>0</v>
      </c>
      <c r="J230" s="33" t="s">
        <v>501</v>
      </c>
      <c r="K230" s="33" t="s">
        <v>845</v>
      </c>
      <c r="L230" s="33">
        <v>10</v>
      </c>
      <c r="M230" s="33"/>
      <c r="N230" s="33" t="str">
        <f t="shared" si="17"/>
        <v>Burn(MaxHp, 10)</v>
      </c>
      <c r="O230" s="33">
        <v>0</v>
      </c>
      <c r="P230" s="33">
        <v>1000</v>
      </c>
      <c r="Q230" s="33"/>
      <c r="R230" s="34" t="b">
        <v>1</v>
      </c>
    </row>
    <row r="231" spans="1:18" x14ac:dyDescent="0.3">
      <c r="A231" s="20" t="s">
        <v>440</v>
      </c>
      <c r="B231" s="33"/>
      <c r="C231" s="33"/>
      <c r="D231" s="33">
        <v>0</v>
      </c>
      <c r="E231" s="33">
        <v>1</v>
      </c>
      <c r="F231" s="33" t="s">
        <v>476</v>
      </c>
      <c r="G231" s="33" t="s">
        <v>477</v>
      </c>
      <c r="H231" s="33"/>
      <c r="I231" s="33">
        <v>0</v>
      </c>
      <c r="J231" s="33" t="s">
        <v>846</v>
      </c>
      <c r="K231" s="33" t="s">
        <v>847</v>
      </c>
      <c r="L231" s="33">
        <v>-500</v>
      </c>
      <c r="M231" s="33"/>
      <c r="N231" s="33" t="str">
        <f t="shared" si="17"/>
        <v>Status(DefenseRatio, -500)</v>
      </c>
      <c r="O231" s="33">
        <v>0</v>
      </c>
      <c r="P231" s="33">
        <v>0</v>
      </c>
      <c r="Q231" s="33"/>
      <c r="R231" s="34" t="b">
        <v>1</v>
      </c>
    </row>
    <row r="232" spans="1:18" s="155" customFormat="1" x14ac:dyDescent="0.3">
      <c r="A232" s="35" t="s">
        <v>1070</v>
      </c>
      <c r="B232" s="36"/>
      <c r="C232" s="36"/>
      <c r="D232" s="36">
        <v>0</v>
      </c>
      <c r="E232" s="36">
        <v>1</v>
      </c>
      <c r="F232" s="36" t="s">
        <v>476</v>
      </c>
      <c r="G232" s="36" t="s">
        <v>477</v>
      </c>
      <c r="H232" s="36"/>
      <c r="I232" s="36">
        <v>0</v>
      </c>
      <c r="J232" s="36" t="s">
        <v>846</v>
      </c>
      <c r="K232" s="36" t="s">
        <v>897</v>
      </c>
      <c r="L232" s="36">
        <v>-800</v>
      </c>
      <c r="M232" s="36"/>
      <c r="N232" s="36" t="str">
        <f t="shared" ref="N232" si="18">J232&amp;"("&amp;IF(K232="","",K232)&amp;IF(L232="","",", "&amp;L232)&amp;IF(M232="","",", "&amp;M232)&amp;")"</f>
        <v>Status(ReceiveRecoveryRate, -800)</v>
      </c>
      <c r="O232" s="36">
        <v>0</v>
      </c>
      <c r="P232" s="36">
        <v>0</v>
      </c>
      <c r="Q232" s="36"/>
      <c r="R232" s="37" t="b">
        <v>1</v>
      </c>
    </row>
    <row r="233" spans="1:18" s="155" customFormat="1" x14ac:dyDescent="0.3">
      <c r="A233" s="35" t="s">
        <v>442</v>
      </c>
      <c r="B233" s="36"/>
      <c r="C233" s="36"/>
      <c r="D233" s="36">
        <v>0</v>
      </c>
      <c r="E233" s="36">
        <v>1</v>
      </c>
      <c r="F233" s="36" t="s">
        <v>476</v>
      </c>
      <c r="G233" s="36" t="s">
        <v>477</v>
      </c>
      <c r="H233" s="36"/>
      <c r="I233" s="36">
        <v>0</v>
      </c>
      <c r="J233" s="36" t="s">
        <v>846</v>
      </c>
      <c r="K233" s="36" t="s">
        <v>897</v>
      </c>
      <c r="L233" s="36">
        <v>-800</v>
      </c>
      <c r="M233" s="36"/>
      <c r="N233" s="36" t="str">
        <f t="shared" si="17"/>
        <v>Status(ReceiveRecoveryRate, -800)</v>
      </c>
      <c r="O233" s="36">
        <v>0</v>
      </c>
      <c r="P233" s="36">
        <v>0</v>
      </c>
      <c r="Q233" s="36"/>
      <c r="R233" s="37" t="b">
        <v>1</v>
      </c>
    </row>
    <row r="234" spans="1:18" s="155" customFormat="1" x14ac:dyDescent="0.3">
      <c r="A234" s="35" t="s">
        <v>444</v>
      </c>
      <c r="B234" s="36"/>
      <c r="C234" s="36"/>
      <c r="D234" s="36">
        <v>0</v>
      </c>
      <c r="E234" s="36">
        <v>1</v>
      </c>
      <c r="F234" s="36" t="s">
        <v>476</v>
      </c>
      <c r="G234" s="36" t="s">
        <v>477</v>
      </c>
      <c r="H234" s="36"/>
      <c r="I234" s="36">
        <v>0</v>
      </c>
      <c r="J234" s="36" t="s">
        <v>846</v>
      </c>
      <c r="K234" s="36" t="s">
        <v>852</v>
      </c>
      <c r="L234" s="36">
        <v>500</v>
      </c>
      <c r="M234" s="36"/>
      <c r="N234" s="36" t="str">
        <f t="shared" si="17"/>
        <v>Status(AttackRatio, 500)</v>
      </c>
      <c r="O234" s="36">
        <v>0</v>
      </c>
      <c r="P234" s="36">
        <v>0</v>
      </c>
      <c r="Q234" s="36"/>
      <c r="R234" s="37" t="b">
        <v>1</v>
      </c>
    </row>
    <row r="235" spans="1:18" s="155" customFormat="1" x14ac:dyDescent="0.3">
      <c r="A235" s="35" t="s">
        <v>446</v>
      </c>
      <c r="B235" s="36"/>
      <c r="C235" s="36"/>
      <c r="D235" s="36">
        <v>0</v>
      </c>
      <c r="E235" s="36">
        <v>1</v>
      </c>
      <c r="F235" s="36" t="s">
        <v>476</v>
      </c>
      <c r="G235" s="36" t="s">
        <v>477</v>
      </c>
      <c r="H235" s="36"/>
      <c r="I235" s="36">
        <v>0</v>
      </c>
      <c r="J235" s="36" t="s">
        <v>851</v>
      </c>
      <c r="K235" s="36" t="s">
        <v>845</v>
      </c>
      <c r="L235" s="36">
        <v>1</v>
      </c>
      <c r="M235" s="36"/>
      <c r="N235" s="36" t="str">
        <f t="shared" si="17"/>
        <v>Hot(MaxHp, 1)</v>
      </c>
      <c r="O235" s="36">
        <v>0</v>
      </c>
      <c r="P235" s="36">
        <v>1000</v>
      </c>
      <c r="Q235" s="36"/>
      <c r="R235" s="37" t="b">
        <v>1</v>
      </c>
    </row>
    <row r="236" spans="1:18" s="155" customFormat="1" x14ac:dyDescent="0.3">
      <c r="A236" s="35" t="s">
        <v>448</v>
      </c>
      <c r="B236" s="36"/>
      <c r="C236" s="36"/>
      <c r="D236" s="36">
        <v>0</v>
      </c>
      <c r="E236" s="36">
        <v>1</v>
      </c>
      <c r="F236" s="36" t="s">
        <v>476</v>
      </c>
      <c r="G236" s="36" t="s">
        <v>477</v>
      </c>
      <c r="H236" s="36"/>
      <c r="I236" s="36">
        <v>0</v>
      </c>
      <c r="J236" s="36" t="s">
        <v>882</v>
      </c>
      <c r="K236" s="36" t="s">
        <v>895</v>
      </c>
      <c r="L236" s="36" t="s">
        <v>898</v>
      </c>
      <c r="M236" s="36" t="s">
        <v>962</v>
      </c>
      <c r="N236" s="36" t="str">
        <f t="shared" si="17"/>
        <v>Event(DecHpOverRate, Sector07.clock_royal_queen_1.passive01.buff.buffeffect.skilleffect, HpRateCondition(50))</v>
      </c>
      <c r="O236" s="36">
        <v>0</v>
      </c>
      <c r="P236" s="36">
        <v>0</v>
      </c>
      <c r="Q236" s="36"/>
      <c r="R236" s="37" t="b">
        <v>1</v>
      </c>
    </row>
    <row r="237" spans="1:18" s="155" customFormat="1" x14ac:dyDescent="0.3">
      <c r="A237" s="35" t="s">
        <v>450</v>
      </c>
      <c r="B237" s="36"/>
      <c r="C237" s="36"/>
      <c r="D237" s="36">
        <v>0</v>
      </c>
      <c r="E237" s="36">
        <v>1</v>
      </c>
      <c r="F237" s="36" t="s">
        <v>476</v>
      </c>
      <c r="G237" s="36" t="s">
        <v>477</v>
      </c>
      <c r="H237" s="36"/>
      <c r="I237" s="36">
        <v>0</v>
      </c>
      <c r="J237" s="36" t="s">
        <v>882</v>
      </c>
      <c r="K237" s="36" t="s">
        <v>899</v>
      </c>
      <c r="L237" s="36" t="s">
        <v>900</v>
      </c>
      <c r="M237" s="36"/>
      <c r="N237" s="36" t="str">
        <f t="shared" si="17"/>
        <v>Event(AllyDie, Sector07.clock_royal_queen_1.passive02.buff.buffeffect.skilleffect)</v>
      </c>
      <c r="O237" s="36">
        <v>0</v>
      </c>
      <c r="P237" s="36">
        <v>0</v>
      </c>
      <c r="Q237" s="36"/>
      <c r="R237" s="37" t="b">
        <v>1</v>
      </c>
    </row>
    <row r="238" spans="1:18" s="155" customFormat="1" x14ac:dyDescent="0.3">
      <c r="A238" s="141" t="s">
        <v>1071</v>
      </c>
      <c r="B238" s="142"/>
      <c r="C238" s="142"/>
      <c r="D238" s="142">
        <v>0</v>
      </c>
      <c r="E238" s="142">
        <v>1</v>
      </c>
      <c r="F238" s="142" t="s">
        <v>476</v>
      </c>
      <c r="G238" s="142" t="s">
        <v>477</v>
      </c>
      <c r="H238" s="142"/>
      <c r="I238" s="142">
        <v>0</v>
      </c>
      <c r="J238" s="142" t="s">
        <v>848</v>
      </c>
      <c r="K238" s="142" t="s">
        <v>1122</v>
      </c>
      <c r="L238" s="142">
        <v>1000</v>
      </c>
      <c r="M238" s="142"/>
      <c r="N238" s="142" t="str">
        <f t="shared" ref="N238" si="19">J238&amp;"("&amp;IF(K238="","",K238)&amp;IF(L238="","",", "&amp;L238)&amp;IF(M238="","",", "&amp;M238)&amp;")"</f>
        <v>CrowdControl(DeathHeal, 1000)</v>
      </c>
      <c r="O238" s="142">
        <v>0</v>
      </c>
      <c r="P238" s="142">
        <v>0</v>
      </c>
      <c r="Q238" s="142"/>
      <c r="R238" s="143" t="b">
        <v>1</v>
      </c>
    </row>
    <row r="239" spans="1:18" s="155" customFormat="1" x14ac:dyDescent="0.3">
      <c r="A239" s="141" t="s">
        <v>452</v>
      </c>
      <c r="B239" s="142"/>
      <c r="C239" s="142"/>
      <c r="D239" s="142">
        <v>0</v>
      </c>
      <c r="E239" s="142">
        <v>1</v>
      </c>
      <c r="F239" s="142" t="s">
        <v>476</v>
      </c>
      <c r="G239" s="142" t="s">
        <v>477</v>
      </c>
      <c r="H239" s="142"/>
      <c r="I239" s="142">
        <v>0</v>
      </c>
      <c r="J239" s="142" t="s">
        <v>848</v>
      </c>
      <c r="K239" s="142" t="s">
        <v>1122</v>
      </c>
      <c r="L239" s="142">
        <v>1000</v>
      </c>
      <c r="M239" s="142"/>
      <c r="N239" s="142" t="str">
        <f t="shared" si="17"/>
        <v>CrowdControl(DeathHeal, 1000)</v>
      </c>
      <c r="O239" s="142">
        <v>0</v>
      </c>
      <c r="P239" s="142">
        <v>0</v>
      </c>
      <c r="Q239" s="142"/>
      <c r="R239" s="143" t="b">
        <v>1</v>
      </c>
    </row>
    <row r="240" spans="1:18" x14ac:dyDescent="0.3">
      <c r="A240" s="141" t="s">
        <v>454</v>
      </c>
      <c r="B240" s="142"/>
      <c r="C240" s="142"/>
      <c r="D240" s="142">
        <v>0</v>
      </c>
      <c r="E240" s="142">
        <v>1</v>
      </c>
      <c r="F240" s="142" t="s">
        <v>476</v>
      </c>
      <c r="G240" s="142" t="s">
        <v>477</v>
      </c>
      <c r="H240" s="142"/>
      <c r="I240" s="142">
        <v>0</v>
      </c>
      <c r="J240" s="142" t="s">
        <v>846</v>
      </c>
      <c r="K240" s="142" t="s">
        <v>852</v>
      </c>
      <c r="L240" s="142">
        <v>400</v>
      </c>
      <c r="M240" s="142"/>
      <c r="N240" s="142" t="str">
        <f t="shared" si="17"/>
        <v>Status(AttackRatio, 400)</v>
      </c>
      <c r="O240" s="142">
        <v>0</v>
      </c>
      <c r="P240" s="142">
        <v>0</v>
      </c>
      <c r="Q240" s="142"/>
      <c r="R240" s="143" t="b">
        <v>0</v>
      </c>
    </row>
    <row r="241" spans="1:18" x14ac:dyDescent="0.3">
      <c r="A241" s="141" t="s">
        <v>456</v>
      </c>
      <c r="B241" s="142"/>
      <c r="C241" s="142"/>
      <c r="D241" s="142">
        <v>0</v>
      </c>
      <c r="E241" s="142">
        <v>1</v>
      </c>
      <c r="F241" s="142" t="s">
        <v>476</v>
      </c>
      <c r="G241" s="142" t="s">
        <v>477</v>
      </c>
      <c r="H241" s="142"/>
      <c r="I241" s="142">
        <v>0</v>
      </c>
      <c r="J241" s="142" t="s">
        <v>846</v>
      </c>
      <c r="K241" s="142" t="s">
        <v>901</v>
      </c>
      <c r="L241" s="142">
        <v>1500</v>
      </c>
      <c r="M241" s="142"/>
      <c r="N241" s="142" t="str">
        <f t="shared" si="17"/>
        <v>Status(HpDrainOwnerRate, 1500)</v>
      </c>
      <c r="O241" s="142">
        <v>0</v>
      </c>
      <c r="P241" s="142">
        <v>0</v>
      </c>
      <c r="Q241" s="142"/>
      <c r="R241" s="143" t="b">
        <v>0</v>
      </c>
    </row>
    <row r="242" spans="1:18" x14ac:dyDescent="0.3">
      <c r="A242" s="141" t="s">
        <v>458</v>
      </c>
      <c r="B242" s="142"/>
      <c r="C242" s="142"/>
      <c r="D242" s="142">
        <v>0</v>
      </c>
      <c r="E242" s="142">
        <v>1</v>
      </c>
      <c r="F242" s="142" t="s">
        <v>476</v>
      </c>
      <c r="G242" s="142" t="s">
        <v>477</v>
      </c>
      <c r="H242" s="142"/>
      <c r="I242" s="142">
        <v>0</v>
      </c>
      <c r="J242" s="142" t="s">
        <v>871</v>
      </c>
      <c r="K242" s="142"/>
      <c r="L242" s="142"/>
      <c r="M242" s="142"/>
      <c r="N242" s="142" t="str">
        <f t="shared" si="17"/>
        <v>None()</v>
      </c>
      <c r="O242" s="142">
        <v>0</v>
      </c>
      <c r="P242" s="142">
        <v>0</v>
      </c>
      <c r="Q242" s="142"/>
      <c r="R242" s="143" t="b">
        <v>1</v>
      </c>
    </row>
    <row r="243" spans="1:18" x14ac:dyDescent="0.3">
      <c r="A243" s="141" t="s">
        <v>460</v>
      </c>
      <c r="B243" s="142"/>
      <c r="C243" s="142"/>
      <c r="D243" s="142">
        <v>0</v>
      </c>
      <c r="E243" s="142">
        <v>1</v>
      </c>
      <c r="F243" s="142" t="s">
        <v>476</v>
      </c>
      <c r="G243" s="142" t="s">
        <v>477</v>
      </c>
      <c r="H243" s="142"/>
      <c r="I243" s="142">
        <v>0</v>
      </c>
      <c r="J243" s="142" t="s">
        <v>882</v>
      </c>
      <c r="K243" s="142" t="s">
        <v>895</v>
      </c>
      <c r="L243" s="142" t="s">
        <v>902</v>
      </c>
      <c r="M243" s="142" t="s">
        <v>961</v>
      </c>
      <c r="N243" s="142" t="str">
        <f t="shared" si="17"/>
        <v>Event(DecHpOverRate, Sector07.clock_royal_queen_2.passive01.buff.buffeffect.skilleffect, HpRateCondition(50))</v>
      </c>
      <c r="O243" s="142">
        <v>0</v>
      </c>
      <c r="P243" s="142">
        <v>0</v>
      </c>
      <c r="Q243" s="142"/>
      <c r="R243" s="143" t="b">
        <v>1</v>
      </c>
    </row>
    <row r="244" spans="1:18" x14ac:dyDescent="0.3">
      <c r="A244" s="141" t="s">
        <v>462</v>
      </c>
      <c r="B244" s="142"/>
      <c r="C244" s="142"/>
      <c r="D244" s="142">
        <v>0</v>
      </c>
      <c r="E244" s="142">
        <v>1</v>
      </c>
      <c r="F244" s="142" t="s">
        <v>476</v>
      </c>
      <c r="G244" s="142" t="s">
        <v>477</v>
      </c>
      <c r="H244" s="142"/>
      <c r="I244" s="142">
        <v>0</v>
      </c>
      <c r="J244" s="142" t="s">
        <v>882</v>
      </c>
      <c r="K244" s="142" t="s">
        <v>899</v>
      </c>
      <c r="L244" s="142" t="s">
        <v>903</v>
      </c>
      <c r="M244" s="142"/>
      <c r="N244" s="142" t="str">
        <f t="shared" si="17"/>
        <v>Event(AllyDie, Sector07.clock_royal_queen_2.passive02.buff.buffeffect.skilleffect)</v>
      </c>
      <c r="O244" s="142">
        <v>0</v>
      </c>
      <c r="P244" s="142">
        <v>0</v>
      </c>
      <c r="Q244" s="142"/>
      <c r="R244" s="143" t="b">
        <v>1</v>
      </c>
    </row>
    <row r="245" spans="1:18" x14ac:dyDescent="0.3">
      <c r="A245" s="61" t="s">
        <v>1076</v>
      </c>
      <c r="B245" s="62" t="s">
        <v>500</v>
      </c>
      <c r="C245" s="62" t="s">
        <v>501</v>
      </c>
      <c r="D245" s="62">
        <v>0</v>
      </c>
      <c r="E245" s="62"/>
      <c r="F245" s="62" t="s">
        <v>476</v>
      </c>
      <c r="G245" s="62" t="s">
        <v>477</v>
      </c>
      <c r="H245" s="62"/>
      <c r="I245" s="62">
        <v>0</v>
      </c>
      <c r="J245" s="62" t="s">
        <v>1384</v>
      </c>
      <c r="K245" s="62" t="s">
        <v>1402</v>
      </c>
      <c r="L245" s="62"/>
      <c r="M245" s="62"/>
      <c r="N245" s="62" t="str">
        <f t="shared" si="17"/>
        <v>Passive(Sector08.common.passive01.weakness.buff)</v>
      </c>
      <c r="O245" s="62">
        <v>0</v>
      </c>
      <c r="P245" s="62">
        <v>0</v>
      </c>
      <c r="Q245" s="62"/>
      <c r="R245" s="40" t="b">
        <v>1</v>
      </c>
    </row>
    <row r="246" spans="1:18" x14ac:dyDescent="0.3">
      <c r="A246" s="61" t="s">
        <v>1389</v>
      </c>
      <c r="B246" s="62"/>
      <c r="C246" s="62"/>
      <c r="D246" s="62">
        <v>0</v>
      </c>
      <c r="E246" s="62">
        <v>1</v>
      </c>
      <c r="F246" s="62" t="s">
        <v>476</v>
      </c>
      <c r="G246" s="62" t="s">
        <v>477</v>
      </c>
      <c r="H246" s="62"/>
      <c r="I246" s="62">
        <v>0</v>
      </c>
      <c r="J246" s="62" t="s">
        <v>846</v>
      </c>
      <c r="K246" s="62" t="s">
        <v>1489</v>
      </c>
      <c r="L246" s="62">
        <v>-200</v>
      </c>
      <c r="M246" s="62"/>
      <c r="N246" s="62" t="str">
        <f t="shared" ref="N246" si="20">J246&amp;"("&amp;IF(K246="","",K246)&amp;IF(L246="","",", "&amp;L246)&amp;IF(M246="","",", "&amp;M246)&amp;")"</f>
        <v>Status(DamageDerate, -200)</v>
      </c>
      <c r="O246" s="62">
        <v>0</v>
      </c>
      <c r="P246" s="62">
        <v>0</v>
      </c>
      <c r="Q246" s="62"/>
      <c r="R246" s="40" t="b">
        <v>1</v>
      </c>
    </row>
    <row r="247" spans="1:18" x14ac:dyDescent="0.3">
      <c r="A247" s="112" t="s">
        <v>1029</v>
      </c>
      <c r="B247" s="113"/>
      <c r="C247" s="113"/>
      <c r="D247" s="113">
        <v>0</v>
      </c>
      <c r="E247" s="113">
        <v>1</v>
      </c>
      <c r="F247" s="113" t="s">
        <v>476</v>
      </c>
      <c r="G247" s="113" t="s">
        <v>477</v>
      </c>
      <c r="H247" s="113"/>
      <c r="I247" s="113">
        <v>0</v>
      </c>
      <c r="J247" s="113" t="s">
        <v>505</v>
      </c>
      <c r="K247" s="113" t="s">
        <v>844</v>
      </c>
      <c r="L247" s="113">
        <v>400</v>
      </c>
      <c r="M247" s="113"/>
      <c r="N247" s="113" t="str">
        <f t="shared" si="17"/>
        <v>Bleed(Attack, 400)</v>
      </c>
      <c r="O247" s="113">
        <v>0</v>
      </c>
      <c r="P247" s="113">
        <v>1000</v>
      </c>
      <c r="Q247" s="113"/>
      <c r="R247" s="39" t="b">
        <v>1</v>
      </c>
    </row>
    <row r="248" spans="1:18" x14ac:dyDescent="0.3">
      <c r="A248" s="112" t="s">
        <v>1055</v>
      </c>
      <c r="B248" s="113" t="s">
        <v>500</v>
      </c>
      <c r="C248" s="113" t="s">
        <v>1064</v>
      </c>
      <c r="D248" s="113">
        <v>0</v>
      </c>
      <c r="E248" s="113">
        <v>1</v>
      </c>
      <c r="F248" s="113" t="s">
        <v>476</v>
      </c>
      <c r="G248" s="113" t="s">
        <v>477</v>
      </c>
      <c r="H248" s="113"/>
      <c r="I248" s="113">
        <v>0</v>
      </c>
      <c r="J248" s="113" t="s">
        <v>860</v>
      </c>
      <c r="K248" s="113" t="s">
        <v>1061</v>
      </c>
      <c r="L248" s="113"/>
      <c r="M248" s="113"/>
      <c r="N248" s="113" t="str">
        <f t="shared" ref="N248" si="21">J248&amp;"("&amp;IF(K248="","",K248)&amp;IF(L248="","",", "&amp;L248)&amp;IF(M248="","",", "&amp;M248)&amp;")"</f>
        <v>Active(Sector08.plants_bark_1.passive01.damage.skilleffect)</v>
      </c>
      <c r="O248" s="113">
        <v>0</v>
      </c>
      <c r="P248" s="113">
        <v>1000</v>
      </c>
      <c r="Q248" s="113"/>
      <c r="R248" s="39" t="b">
        <v>1</v>
      </c>
    </row>
    <row r="249" spans="1:18" x14ac:dyDescent="0.3">
      <c r="A249" s="112" t="s">
        <v>1056</v>
      </c>
      <c r="B249" s="113"/>
      <c r="C249" s="113"/>
      <c r="D249" s="113">
        <v>0</v>
      </c>
      <c r="E249" s="113">
        <v>1</v>
      </c>
      <c r="F249" s="113" t="s">
        <v>476</v>
      </c>
      <c r="G249" s="113" t="s">
        <v>477</v>
      </c>
      <c r="H249" s="113"/>
      <c r="I249" s="113">
        <v>0</v>
      </c>
      <c r="J249" s="113" t="s">
        <v>846</v>
      </c>
      <c r="K249" s="113" t="s">
        <v>925</v>
      </c>
      <c r="L249" s="113">
        <v>-1000</v>
      </c>
      <c r="M249" s="113"/>
      <c r="N249" s="113" t="str">
        <f t="shared" ref="N249:N250" si="22">J249&amp;"("&amp;IF(K249="","",K249)&amp;IF(L249="","",", "&amp;L249)&amp;IF(M249="","",", "&amp;M249)&amp;")"</f>
        <v>Status(AccuracyDerate, -1000)</v>
      </c>
      <c r="O249" s="113">
        <v>0</v>
      </c>
      <c r="P249" s="113">
        <v>0</v>
      </c>
      <c r="Q249" s="113"/>
      <c r="R249" s="39" t="b">
        <v>1</v>
      </c>
    </row>
    <row r="250" spans="1:18" x14ac:dyDescent="0.3">
      <c r="A250" s="112" t="s">
        <v>1057</v>
      </c>
      <c r="B250" s="113" t="s">
        <v>1116</v>
      </c>
      <c r="C250" s="113">
        <v>-99</v>
      </c>
      <c r="D250" s="113">
        <v>0</v>
      </c>
      <c r="E250" s="113"/>
      <c r="F250" s="113" t="s">
        <v>476</v>
      </c>
      <c r="G250" s="113" t="s">
        <v>477</v>
      </c>
      <c r="H250" s="113"/>
      <c r="I250" s="113">
        <v>0</v>
      </c>
      <c r="J250" s="113" t="s">
        <v>860</v>
      </c>
      <c r="K250" s="113" t="s">
        <v>1117</v>
      </c>
      <c r="L250" s="113"/>
      <c r="M250" s="113"/>
      <c r="N250" s="113" t="str">
        <f t="shared" si="22"/>
        <v>Active(Sector08.plants_bark_1.passive01.heal.skilleffect)</v>
      </c>
      <c r="O250" s="113">
        <v>0</v>
      </c>
      <c r="P250" s="113">
        <v>500</v>
      </c>
      <c r="Q250" s="113"/>
      <c r="R250" s="39" t="b">
        <v>1</v>
      </c>
    </row>
    <row r="251" spans="1:18" x14ac:dyDescent="0.3">
      <c r="A251" s="130" t="s">
        <v>1030</v>
      </c>
      <c r="B251" s="131"/>
      <c r="C251" s="131"/>
      <c r="D251" s="131">
        <v>0</v>
      </c>
      <c r="E251" s="131">
        <v>1</v>
      </c>
      <c r="F251" s="131" t="s">
        <v>476</v>
      </c>
      <c r="G251" s="131" t="s">
        <v>477</v>
      </c>
      <c r="H251" s="131"/>
      <c r="I251" s="131">
        <v>0</v>
      </c>
      <c r="J251" s="131" t="s">
        <v>846</v>
      </c>
      <c r="K251" s="131" t="s">
        <v>853</v>
      </c>
      <c r="L251" s="131">
        <v>-350</v>
      </c>
      <c r="M251" s="131"/>
      <c r="N251" s="131" t="str">
        <f t="shared" si="17"/>
        <v>Status(AttackSpeedRate, -350)</v>
      </c>
      <c r="O251" s="131">
        <v>0</v>
      </c>
      <c r="P251" s="131">
        <v>0</v>
      </c>
      <c r="Q251" s="131"/>
      <c r="R251" s="132" t="b">
        <v>1</v>
      </c>
    </row>
    <row r="252" spans="1:18" x14ac:dyDescent="0.3">
      <c r="A252" s="130" t="s">
        <v>1058</v>
      </c>
      <c r="B252" s="131" t="s">
        <v>500</v>
      </c>
      <c r="C252" s="131" t="s">
        <v>501</v>
      </c>
      <c r="D252" s="131">
        <v>0</v>
      </c>
      <c r="E252" s="131">
        <v>1</v>
      </c>
      <c r="F252" s="131" t="s">
        <v>476</v>
      </c>
      <c r="G252" s="131" t="s">
        <v>477</v>
      </c>
      <c r="H252" s="131"/>
      <c r="I252" s="131">
        <v>0</v>
      </c>
      <c r="J252" s="131" t="s">
        <v>860</v>
      </c>
      <c r="K252" s="131" t="s">
        <v>1063</v>
      </c>
      <c r="L252" s="131"/>
      <c r="M252" s="131"/>
      <c r="N252" s="131" t="str">
        <f t="shared" ref="N252" si="23">J252&amp;"("&amp;IF(K252="","",K252)&amp;IF(L252="","",", "&amp;L252)&amp;IF(M252="","",", "&amp;M252)&amp;")"</f>
        <v>Active(Sector08.plants_branch_1.passive01.damage.skilleffect)</v>
      </c>
      <c r="O252" s="131">
        <v>0</v>
      </c>
      <c r="P252" s="131">
        <v>1000</v>
      </c>
      <c r="Q252" s="131"/>
      <c r="R252" s="132" t="b">
        <v>1</v>
      </c>
    </row>
    <row r="253" spans="1:18" x14ac:dyDescent="0.3">
      <c r="A253" s="130" t="s">
        <v>1059</v>
      </c>
      <c r="B253" s="131"/>
      <c r="C253" s="131"/>
      <c r="D253" s="131">
        <v>0</v>
      </c>
      <c r="E253" s="131">
        <v>1</v>
      </c>
      <c r="F253" s="131" t="s">
        <v>476</v>
      </c>
      <c r="G253" s="131" t="s">
        <v>477</v>
      </c>
      <c r="H253" s="131"/>
      <c r="I253" s="131">
        <v>0</v>
      </c>
      <c r="J253" s="131" t="s">
        <v>846</v>
      </c>
      <c r="K253" s="131" t="s">
        <v>1062</v>
      </c>
      <c r="L253" s="131">
        <v>-1000</v>
      </c>
      <c r="M253" s="131"/>
      <c r="N253" s="131" t="str">
        <f t="shared" ref="N253:N254" si="24">J253&amp;"("&amp;IF(K253="","",K253)&amp;IF(L253="","",", "&amp;L253)&amp;IF(M253="","",", "&amp;M253)&amp;")"</f>
        <v>Status(AccuracyDerate, -1000)</v>
      </c>
      <c r="O253" s="131">
        <v>0</v>
      </c>
      <c r="P253" s="131">
        <v>0</v>
      </c>
      <c r="Q253" s="131"/>
      <c r="R253" s="132" t="b">
        <v>1</v>
      </c>
    </row>
    <row r="254" spans="1:18" x14ac:dyDescent="0.3">
      <c r="A254" s="130" t="s">
        <v>1060</v>
      </c>
      <c r="B254" s="131" t="s">
        <v>843</v>
      </c>
      <c r="C254" s="131">
        <v>-99</v>
      </c>
      <c r="D254" s="131">
        <v>0</v>
      </c>
      <c r="E254" s="131"/>
      <c r="F254" s="131" t="s">
        <v>476</v>
      </c>
      <c r="G254" s="131" t="s">
        <v>477</v>
      </c>
      <c r="H254" s="131"/>
      <c r="I254" s="131">
        <v>0</v>
      </c>
      <c r="J254" s="131" t="s">
        <v>860</v>
      </c>
      <c r="K254" s="131" t="s">
        <v>1118</v>
      </c>
      <c r="L254" s="131"/>
      <c r="M254" s="131"/>
      <c r="N254" s="131" t="str">
        <f t="shared" si="24"/>
        <v>Active(Sector08.plants_branch_1.passive01.heal.skilleffect)</v>
      </c>
      <c r="O254" s="131">
        <v>0</v>
      </c>
      <c r="P254" s="131">
        <v>500</v>
      </c>
      <c r="Q254" s="131"/>
      <c r="R254" s="132" t="b">
        <v>1</v>
      </c>
    </row>
    <row r="255" spans="1:18" x14ac:dyDescent="0.3">
      <c r="A255" s="112" t="s">
        <v>1031</v>
      </c>
      <c r="B255" s="36"/>
      <c r="C255" s="36"/>
      <c r="D255" s="36">
        <v>0</v>
      </c>
      <c r="E255" s="36">
        <v>1</v>
      </c>
      <c r="F255" s="113" t="s">
        <v>476</v>
      </c>
      <c r="G255" s="113" t="s">
        <v>477</v>
      </c>
      <c r="H255" s="113"/>
      <c r="I255" s="113">
        <v>0</v>
      </c>
      <c r="J255" s="113" t="s">
        <v>505</v>
      </c>
      <c r="K255" s="113" t="s">
        <v>844</v>
      </c>
      <c r="L255" s="113">
        <v>500</v>
      </c>
      <c r="M255" s="113"/>
      <c r="N255" s="113" t="str">
        <f t="shared" si="17"/>
        <v>Bleed(Attack, 500)</v>
      </c>
      <c r="O255" s="113">
        <v>0</v>
      </c>
      <c r="P255" s="113">
        <v>1000</v>
      </c>
      <c r="Q255" s="113"/>
      <c r="R255" s="39" t="b">
        <v>1</v>
      </c>
    </row>
    <row r="256" spans="1:18" x14ac:dyDescent="0.3">
      <c r="A256" s="130" t="s">
        <v>1032</v>
      </c>
      <c r="B256" s="131"/>
      <c r="C256" s="131"/>
      <c r="D256" s="131">
        <v>0</v>
      </c>
      <c r="E256" s="131">
        <v>1</v>
      </c>
      <c r="F256" s="131" t="s">
        <v>476</v>
      </c>
      <c r="G256" s="131" t="s">
        <v>477</v>
      </c>
      <c r="H256" s="131"/>
      <c r="I256" s="131">
        <v>0</v>
      </c>
      <c r="J256" s="131" t="s">
        <v>503</v>
      </c>
      <c r="K256" s="131" t="s">
        <v>844</v>
      </c>
      <c r="L256" s="131">
        <v>300</v>
      </c>
      <c r="M256" s="131"/>
      <c r="N256" s="131" t="str">
        <f t="shared" si="17"/>
        <v>Poison(Attack, 300)</v>
      </c>
      <c r="O256" s="131">
        <v>0</v>
      </c>
      <c r="P256" s="131">
        <v>1000</v>
      </c>
      <c r="Q256" s="131"/>
      <c r="R256" s="132" t="b">
        <v>1</v>
      </c>
    </row>
    <row r="257" spans="1:18" x14ac:dyDescent="0.3">
      <c r="A257" s="112" t="s">
        <v>1033</v>
      </c>
      <c r="B257" s="36"/>
      <c r="C257" s="36"/>
      <c r="D257" s="36">
        <v>0</v>
      </c>
      <c r="E257" s="36">
        <v>1</v>
      </c>
      <c r="F257" s="113" t="s">
        <v>476</v>
      </c>
      <c r="G257" s="113" t="s">
        <v>477</v>
      </c>
      <c r="H257" s="113"/>
      <c r="I257" s="113">
        <v>0</v>
      </c>
      <c r="J257" s="113" t="s">
        <v>846</v>
      </c>
      <c r="K257" s="113" t="s">
        <v>852</v>
      </c>
      <c r="L257" s="113">
        <v>-300</v>
      </c>
      <c r="M257" s="113"/>
      <c r="N257" s="113" t="str">
        <f t="shared" si="17"/>
        <v>Status(AttackRatio, -300)</v>
      </c>
      <c r="O257" s="113">
        <v>0</v>
      </c>
      <c r="P257" s="113">
        <v>0</v>
      </c>
      <c r="Q257" s="113"/>
      <c r="R257" s="39" t="b">
        <v>1</v>
      </c>
    </row>
    <row r="258" spans="1:18" x14ac:dyDescent="0.3">
      <c r="A258" s="130" t="s">
        <v>1034</v>
      </c>
      <c r="B258" s="131"/>
      <c r="C258" s="131"/>
      <c r="D258" s="131">
        <v>0</v>
      </c>
      <c r="E258" s="131">
        <v>1</v>
      </c>
      <c r="F258" s="131" t="s">
        <v>476</v>
      </c>
      <c r="G258" s="131" t="s">
        <v>477</v>
      </c>
      <c r="H258" s="131"/>
      <c r="I258" s="131">
        <v>0</v>
      </c>
      <c r="J258" s="131" t="s">
        <v>846</v>
      </c>
      <c r="K258" s="131" t="s">
        <v>852</v>
      </c>
      <c r="L258" s="131">
        <v>400</v>
      </c>
      <c r="M258" s="131"/>
      <c r="N258" s="131" t="str">
        <f t="shared" si="17"/>
        <v>Status(AttackRatio, 400)</v>
      </c>
      <c r="O258" s="131">
        <v>0</v>
      </c>
      <c r="P258" s="131">
        <v>0</v>
      </c>
      <c r="Q258" s="131"/>
      <c r="R258" s="132" t="b">
        <v>1</v>
      </c>
    </row>
    <row r="259" spans="1:18" x14ac:dyDescent="0.3">
      <c r="A259" s="130" t="s">
        <v>1035</v>
      </c>
      <c r="B259" s="131"/>
      <c r="C259" s="131"/>
      <c r="D259" s="131">
        <v>0</v>
      </c>
      <c r="E259" s="131">
        <v>1</v>
      </c>
      <c r="F259" s="131" t="s">
        <v>476</v>
      </c>
      <c r="G259" s="131" t="s">
        <v>477</v>
      </c>
      <c r="H259" s="131"/>
      <c r="I259" s="131">
        <v>0</v>
      </c>
      <c r="J259" s="131" t="s">
        <v>846</v>
      </c>
      <c r="K259" s="131" t="s">
        <v>853</v>
      </c>
      <c r="L259" s="131">
        <v>300</v>
      </c>
      <c r="M259" s="131"/>
      <c r="N259" s="131" t="str">
        <f t="shared" si="17"/>
        <v>Status(AttackSpeedRate, 300)</v>
      </c>
      <c r="O259" s="131">
        <v>0</v>
      </c>
      <c r="P259" s="131">
        <v>0</v>
      </c>
      <c r="Q259" s="131"/>
      <c r="R259" s="132" t="b">
        <v>1</v>
      </c>
    </row>
    <row r="260" spans="1:18" x14ac:dyDescent="0.3">
      <c r="A260" s="130" t="s">
        <v>1036</v>
      </c>
      <c r="B260" s="131"/>
      <c r="C260" s="131"/>
      <c r="D260" s="131">
        <v>0</v>
      </c>
      <c r="E260" s="131">
        <v>1</v>
      </c>
      <c r="F260" s="131" t="s">
        <v>476</v>
      </c>
      <c r="G260" s="131" t="s">
        <v>477</v>
      </c>
      <c r="H260" s="131"/>
      <c r="I260" s="131">
        <v>0</v>
      </c>
      <c r="J260" s="131" t="s">
        <v>505</v>
      </c>
      <c r="K260" s="131" t="s">
        <v>844</v>
      </c>
      <c r="L260" s="131">
        <v>500</v>
      </c>
      <c r="M260" s="131"/>
      <c r="N260" s="131" t="str">
        <f t="shared" si="17"/>
        <v>Bleed(Attack, 500)</v>
      </c>
      <c r="O260" s="131">
        <v>0</v>
      </c>
      <c r="P260" s="131">
        <v>1000</v>
      </c>
      <c r="Q260" s="131"/>
      <c r="R260" s="132" t="b">
        <v>1</v>
      </c>
    </row>
    <row r="261" spans="1:18" x14ac:dyDescent="0.3">
      <c r="A261" s="112" t="s">
        <v>1037</v>
      </c>
      <c r="B261" s="36"/>
      <c r="C261" s="36"/>
      <c r="D261" s="36">
        <v>0</v>
      </c>
      <c r="E261" s="36">
        <v>1</v>
      </c>
      <c r="F261" s="113" t="s">
        <v>476</v>
      </c>
      <c r="G261" s="113" t="s">
        <v>477</v>
      </c>
      <c r="H261" s="113"/>
      <c r="I261" s="113">
        <v>0</v>
      </c>
      <c r="J261" s="113" t="s">
        <v>503</v>
      </c>
      <c r="K261" s="113" t="s">
        <v>844</v>
      </c>
      <c r="L261" s="113">
        <v>300</v>
      </c>
      <c r="M261" s="113"/>
      <c r="N261" s="113" t="str">
        <f>J261&amp;"("&amp;IF(K261="","",K261)&amp;IF(L261="","",", "&amp;L261)&amp;IF(M261="","",", "&amp;M261)&amp;")"</f>
        <v>Poison(Attack, 300)</v>
      </c>
      <c r="O261" s="113">
        <v>0</v>
      </c>
      <c r="P261" s="113">
        <v>1000</v>
      </c>
      <c r="Q261" s="113"/>
      <c r="R261" s="39" t="b">
        <v>1</v>
      </c>
    </row>
    <row r="262" spans="1:18" x14ac:dyDescent="0.3">
      <c r="A262" s="112" t="s">
        <v>1038</v>
      </c>
      <c r="B262" s="36"/>
      <c r="C262" s="36"/>
      <c r="D262" s="36">
        <v>0</v>
      </c>
      <c r="E262" s="36">
        <v>1</v>
      </c>
      <c r="F262" s="113" t="s">
        <v>476</v>
      </c>
      <c r="G262" s="113" t="s">
        <v>477</v>
      </c>
      <c r="H262" s="113"/>
      <c r="I262" s="113">
        <v>0</v>
      </c>
      <c r="J262" s="113" t="s">
        <v>848</v>
      </c>
      <c r="K262" s="113" t="s">
        <v>881</v>
      </c>
      <c r="L262" s="113">
        <v>10000</v>
      </c>
      <c r="M262" s="113"/>
      <c r="N262" s="113" t="str">
        <f t="shared" ref="N262" si="25">J262&amp;"("&amp;IF(K262="","",K262)&amp;IF(L262="","",", "&amp;L262)&amp;IF(M262="","",", "&amp;M262)&amp;")"</f>
        <v>CrowdControl(Pull, 10000)</v>
      </c>
      <c r="O262" s="113">
        <v>0</v>
      </c>
      <c r="P262" s="113">
        <v>0</v>
      </c>
      <c r="Q262" s="113"/>
      <c r="R262" s="39" t="b">
        <v>1</v>
      </c>
    </row>
    <row r="263" spans="1:18" x14ac:dyDescent="0.3">
      <c r="A263" s="112" t="s">
        <v>1039</v>
      </c>
      <c r="B263" s="36"/>
      <c r="C263" s="36"/>
      <c r="D263" s="36">
        <v>0</v>
      </c>
      <c r="E263" s="36">
        <v>1</v>
      </c>
      <c r="F263" s="113" t="s">
        <v>476</v>
      </c>
      <c r="G263" s="113" t="s">
        <v>477</v>
      </c>
      <c r="H263" s="113"/>
      <c r="I263" s="113">
        <v>0</v>
      </c>
      <c r="J263" s="113" t="s">
        <v>846</v>
      </c>
      <c r="K263" s="113" t="s">
        <v>853</v>
      </c>
      <c r="L263" s="113">
        <v>-400</v>
      </c>
      <c r="M263" s="113"/>
      <c r="N263" s="113" t="str">
        <f t="shared" ref="N263" si="26">J263&amp;"("&amp;IF(K263="","",K263)&amp;IF(L263="","",", "&amp;L263)&amp;IF(M263="","",", "&amp;M263)&amp;")"</f>
        <v>Status(AttackSpeedRate, -400)</v>
      </c>
      <c r="O263" s="113">
        <v>0</v>
      </c>
      <c r="P263" s="113">
        <v>0</v>
      </c>
      <c r="Q263" s="113"/>
      <c r="R263" s="39" t="b">
        <v>1</v>
      </c>
    </row>
    <row r="264" spans="1:18" x14ac:dyDescent="0.3">
      <c r="A264" s="130" t="s">
        <v>1040</v>
      </c>
      <c r="B264" s="131"/>
      <c r="C264" s="131"/>
      <c r="D264" s="131">
        <v>0</v>
      </c>
      <c r="E264" s="131">
        <v>1</v>
      </c>
      <c r="F264" s="131" t="s">
        <v>476</v>
      </c>
      <c r="G264" s="131" t="s">
        <v>477</v>
      </c>
      <c r="H264" s="131"/>
      <c r="I264" s="131">
        <v>0</v>
      </c>
      <c r="J264" s="131" t="s">
        <v>503</v>
      </c>
      <c r="K264" s="131" t="s">
        <v>844</v>
      </c>
      <c r="L264" s="131">
        <v>450</v>
      </c>
      <c r="M264" s="131"/>
      <c r="N264" s="131" t="str">
        <f>J264&amp;"("&amp;IF(K264="","",K264)&amp;IF(L264="","",", "&amp;L264)&amp;IF(M264="","",", "&amp;M264)&amp;")"</f>
        <v>Poison(Attack, 450)</v>
      </c>
      <c r="O264" s="131">
        <v>0</v>
      </c>
      <c r="P264" s="131">
        <v>1000</v>
      </c>
      <c r="Q264" s="131"/>
      <c r="R264" s="132" t="b">
        <v>1</v>
      </c>
    </row>
    <row r="265" spans="1:18" x14ac:dyDescent="0.3">
      <c r="A265" s="130" t="s">
        <v>1041</v>
      </c>
      <c r="B265" s="131"/>
      <c r="C265" s="131"/>
      <c r="D265" s="131">
        <v>0</v>
      </c>
      <c r="E265" s="131">
        <v>1</v>
      </c>
      <c r="F265" s="131" t="s">
        <v>476</v>
      </c>
      <c r="G265" s="131" t="s">
        <v>477</v>
      </c>
      <c r="H265" s="131"/>
      <c r="I265" s="131">
        <v>0</v>
      </c>
      <c r="J265" s="131" t="s">
        <v>846</v>
      </c>
      <c r="K265" s="131" t="s">
        <v>847</v>
      </c>
      <c r="L265" s="131">
        <v>-500</v>
      </c>
      <c r="M265" s="131"/>
      <c r="N265" s="131" t="str">
        <f>J265&amp;"("&amp;IF(K265="","",K265)&amp;IF(L265="","",", "&amp;L265)&amp;IF(M265="","",", "&amp;M265)&amp;")"</f>
        <v>Status(DefenseRatio, -500)</v>
      </c>
      <c r="O265" s="131">
        <v>0</v>
      </c>
      <c r="P265" s="131">
        <v>0</v>
      </c>
      <c r="Q265" s="131"/>
      <c r="R265" s="132" t="b">
        <v>1</v>
      </c>
    </row>
    <row r="266" spans="1:18" x14ac:dyDescent="0.3">
      <c r="A266" s="112" t="s">
        <v>988</v>
      </c>
      <c r="B266" s="113"/>
      <c r="C266" s="113"/>
      <c r="D266" s="113">
        <v>0</v>
      </c>
      <c r="E266" s="113">
        <v>1</v>
      </c>
      <c r="F266" s="113" t="s">
        <v>476</v>
      </c>
      <c r="G266" s="113" t="s">
        <v>477</v>
      </c>
      <c r="H266" s="113"/>
      <c r="I266" s="113">
        <v>0</v>
      </c>
      <c r="J266" s="113" t="s">
        <v>990</v>
      </c>
      <c r="K266" s="113" t="s">
        <v>845</v>
      </c>
      <c r="L266" s="113">
        <v>10</v>
      </c>
      <c r="M266" s="113"/>
      <c r="N266" s="113" t="str">
        <f t="shared" ref="N266:N269" si="27">J266&amp;"("&amp;IF(K266="","",K266)&amp;IF(L266="","",", "&amp;L266)&amp;IF(M266="","",", "&amp;M266)&amp;")"</f>
        <v>Hot(MaxHp, 10)</v>
      </c>
      <c r="O266" s="113">
        <v>0</v>
      </c>
      <c r="P266" s="113">
        <v>10000</v>
      </c>
      <c r="Q266" s="113"/>
      <c r="R266" s="39" t="b">
        <v>1</v>
      </c>
    </row>
    <row r="267" spans="1:18" x14ac:dyDescent="0.3">
      <c r="A267" s="112" t="s">
        <v>989</v>
      </c>
      <c r="B267" s="113"/>
      <c r="C267" s="113"/>
      <c r="D267" s="113">
        <v>0</v>
      </c>
      <c r="E267" s="113">
        <v>1</v>
      </c>
      <c r="F267" s="113" t="s">
        <v>476</v>
      </c>
      <c r="G267" s="113" t="s">
        <v>477</v>
      </c>
      <c r="H267" s="113"/>
      <c r="I267" s="113">
        <v>0</v>
      </c>
      <c r="J267" s="113" t="s">
        <v>991</v>
      </c>
      <c r="K267" s="113" t="s">
        <v>844</v>
      </c>
      <c r="L267" s="113">
        <v>400</v>
      </c>
      <c r="M267" s="113"/>
      <c r="N267" s="113" t="str">
        <f t="shared" si="27"/>
        <v>Status(Attack, 400)</v>
      </c>
      <c r="O267" s="113">
        <v>0</v>
      </c>
      <c r="P267" s="113">
        <v>0</v>
      </c>
      <c r="Q267" s="113"/>
      <c r="R267" s="39" t="b">
        <v>1</v>
      </c>
    </row>
    <row r="268" spans="1:18" x14ac:dyDescent="0.3">
      <c r="A268" s="112" t="s">
        <v>1043</v>
      </c>
      <c r="B268" s="113"/>
      <c r="C268" s="113"/>
      <c r="D268" s="113">
        <v>0</v>
      </c>
      <c r="E268" s="113">
        <v>1</v>
      </c>
      <c r="F268" s="113" t="s">
        <v>476</v>
      </c>
      <c r="G268" s="113" t="s">
        <v>477</v>
      </c>
      <c r="H268" s="113"/>
      <c r="I268" s="113">
        <v>0</v>
      </c>
      <c r="J268" s="113" t="s">
        <v>503</v>
      </c>
      <c r="K268" s="113" t="s">
        <v>844</v>
      </c>
      <c r="L268" s="113">
        <v>500</v>
      </c>
      <c r="M268" s="113"/>
      <c r="N268" s="113" t="str">
        <f>J268&amp;"("&amp;IF(K268="","",K268)&amp;IF(L268="","",", "&amp;L268)&amp;IF(M268="","",", "&amp;M268)&amp;")"</f>
        <v>Poison(Attack, 500)</v>
      </c>
      <c r="O268" s="113">
        <v>0</v>
      </c>
      <c r="P268" s="113">
        <v>500</v>
      </c>
      <c r="Q268" s="113"/>
      <c r="R268" s="39" t="b">
        <v>1</v>
      </c>
    </row>
    <row r="269" spans="1:18" x14ac:dyDescent="0.3">
      <c r="A269" s="112" t="s">
        <v>1065</v>
      </c>
      <c r="B269" s="113"/>
      <c r="C269" s="113"/>
      <c r="D269" s="113">
        <v>0</v>
      </c>
      <c r="E269" s="113">
        <v>1</v>
      </c>
      <c r="F269" s="113" t="s">
        <v>476</v>
      </c>
      <c r="G269" s="113" t="s">
        <v>477</v>
      </c>
      <c r="H269" s="113"/>
      <c r="I269" s="113">
        <v>0</v>
      </c>
      <c r="J269" s="113" t="s">
        <v>846</v>
      </c>
      <c r="K269" s="113" t="s">
        <v>947</v>
      </c>
      <c r="L269" s="113">
        <v>1000</v>
      </c>
      <c r="M269" s="113"/>
      <c r="N269" s="113" t="str">
        <f t="shared" si="27"/>
        <v>Status(RangeDamageDerate, 1000)</v>
      </c>
      <c r="O269" s="113">
        <v>0</v>
      </c>
      <c r="P269" s="113">
        <v>0</v>
      </c>
      <c r="Q269" s="113"/>
      <c r="R269" s="39" t="b">
        <v>1</v>
      </c>
    </row>
    <row r="270" spans="1:18" x14ac:dyDescent="0.3">
      <c r="A270" s="112" t="s">
        <v>1067</v>
      </c>
      <c r="B270" s="113" t="s">
        <v>500</v>
      </c>
      <c r="C270" s="113" t="s">
        <v>501</v>
      </c>
      <c r="D270" s="113">
        <v>0</v>
      </c>
      <c r="E270" s="113"/>
      <c r="F270" s="113" t="s">
        <v>476</v>
      </c>
      <c r="G270" s="113" t="s">
        <v>477</v>
      </c>
      <c r="H270" s="113"/>
      <c r="I270" s="113">
        <v>0</v>
      </c>
      <c r="J270" s="113" t="s">
        <v>1384</v>
      </c>
      <c r="K270" s="113" t="s">
        <v>1390</v>
      </c>
      <c r="L270" s="113"/>
      <c r="M270" s="113"/>
      <c r="N270" s="113" t="str">
        <f t="shared" ref="N270:N273" si="28">J270&amp;"("&amp;IF(K270="","",K270)&amp;IF(L270="","",", "&amp;L270)&amp;IF(M270="","",", "&amp;M270)&amp;")"</f>
        <v>Passive(Sector08.crawler_1.passive01.weakness.buff)</v>
      </c>
      <c r="O270" s="113">
        <v>0</v>
      </c>
      <c r="P270" s="113">
        <v>0</v>
      </c>
      <c r="Q270" s="113"/>
      <c r="R270" s="39" t="b">
        <v>1</v>
      </c>
    </row>
    <row r="271" spans="1:18" x14ac:dyDescent="0.3">
      <c r="A271" s="112" t="s">
        <v>1392</v>
      </c>
      <c r="B271" s="113"/>
      <c r="C271" s="113"/>
      <c r="D271" s="113">
        <v>0</v>
      </c>
      <c r="E271" s="113">
        <v>1</v>
      </c>
      <c r="F271" s="113" t="s">
        <v>476</v>
      </c>
      <c r="G271" s="113" t="s">
        <v>477</v>
      </c>
      <c r="H271" s="113"/>
      <c r="I271" s="113">
        <v>0</v>
      </c>
      <c r="J271" s="113" t="s">
        <v>846</v>
      </c>
      <c r="K271" s="113" t="s">
        <v>872</v>
      </c>
      <c r="L271" s="113">
        <v>-1000</v>
      </c>
      <c r="M271" s="113"/>
      <c r="N271" s="113" t="str">
        <f t="shared" ref="N271" si="29">J271&amp;"("&amp;IF(K271="","",K271)&amp;IF(L271="","",", "&amp;L271)&amp;IF(M271="","",", "&amp;M271)&amp;")"</f>
        <v>Status(DamageDerate, -1000)</v>
      </c>
      <c r="O271" s="113">
        <v>0</v>
      </c>
      <c r="P271" s="113">
        <v>0</v>
      </c>
      <c r="Q271" s="113"/>
      <c r="R271" s="39" t="b">
        <v>1</v>
      </c>
    </row>
    <row r="272" spans="1:18" x14ac:dyDescent="0.3">
      <c r="A272" s="61" t="s">
        <v>1290</v>
      </c>
      <c r="B272" s="62"/>
      <c r="C272" s="62"/>
      <c r="D272" s="62">
        <v>0</v>
      </c>
      <c r="E272" s="62">
        <v>1</v>
      </c>
      <c r="F272" s="62" t="s">
        <v>476</v>
      </c>
      <c r="G272" s="62" t="s">
        <v>477</v>
      </c>
      <c r="H272" s="62"/>
      <c r="I272" s="62">
        <v>0</v>
      </c>
      <c r="J272" s="62" t="s">
        <v>851</v>
      </c>
      <c r="K272" s="62" t="s">
        <v>845</v>
      </c>
      <c r="L272" s="62">
        <v>10</v>
      </c>
      <c r="M272" s="62"/>
      <c r="N272" s="62" t="str">
        <f t="shared" si="28"/>
        <v>Hot(MaxHp, 10)</v>
      </c>
      <c r="O272" s="62">
        <v>0</v>
      </c>
      <c r="P272" s="62">
        <v>10000</v>
      </c>
      <c r="Q272" s="62"/>
      <c r="R272" s="40" t="b">
        <v>1</v>
      </c>
    </row>
    <row r="273" spans="1:18" x14ac:dyDescent="0.3">
      <c r="A273" s="61" t="s">
        <v>1291</v>
      </c>
      <c r="B273" s="62"/>
      <c r="C273" s="62"/>
      <c r="D273" s="62">
        <v>0</v>
      </c>
      <c r="E273" s="62">
        <v>1</v>
      </c>
      <c r="F273" s="62" t="s">
        <v>476</v>
      </c>
      <c r="G273" s="62" t="s">
        <v>477</v>
      </c>
      <c r="H273" s="62"/>
      <c r="I273" s="62">
        <v>0</v>
      </c>
      <c r="J273" s="62" t="s">
        <v>846</v>
      </c>
      <c r="K273" s="62" t="s">
        <v>844</v>
      </c>
      <c r="L273" s="62">
        <v>400</v>
      </c>
      <c r="M273" s="62"/>
      <c r="N273" s="62" t="str">
        <f t="shared" si="28"/>
        <v>Status(Attack, 400)</v>
      </c>
      <c r="O273" s="62">
        <v>0</v>
      </c>
      <c r="P273" s="62">
        <v>0</v>
      </c>
      <c r="Q273" s="62"/>
      <c r="R273" s="40" t="b">
        <v>1</v>
      </c>
    </row>
    <row r="274" spans="1:18" x14ac:dyDescent="0.3">
      <c r="A274" s="61" t="s">
        <v>1292</v>
      </c>
      <c r="B274" s="62"/>
      <c r="C274" s="62"/>
      <c r="D274" s="62">
        <v>0</v>
      </c>
      <c r="E274" s="62">
        <v>1</v>
      </c>
      <c r="F274" s="62" t="s">
        <v>476</v>
      </c>
      <c r="G274" s="62" t="s">
        <v>477</v>
      </c>
      <c r="H274" s="62"/>
      <c r="I274" s="62">
        <v>0</v>
      </c>
      <c r="J274" s="62" t="s">
        <v>503</v>
      </c>
      <c r="K274" s="62" t="s">
        <v>844</v>
      </c>
      <c r="L274" s="62">
        <v>500</v>
      </c>
      <c r="M274" s="62"/>
      <c r="N274" s="62" t="str">
        <f>J274&amp;"("&amp;IF(K274="","",K274)&amp;IF(L274="","",", "&amp;L274)&amp;IF(M274="","",", "&amp;M274)&amp;")"</f>
        <v>Poison(Attack, 500)</v>
      </c>
      <c r="O274" s="62">
        <v>0</v>
      </c>
      <c r="P274" s="62">
        <v>500</v>
      </c>
      <c r="Q274" s="62"/>
      <c r="R274" s="40" t="b">
        <v>1</v>
      </c>
    </row>
    <row r="275" spans="1:18" x14ac:dyDescent="0.3">
      <c r="A275" s="61" t="s">
        <v>1293</v>
      </c>
      <c r="B275" s="62"/>
      <c r="C275" s="62"/>
      <c r="D275" s="62">
        <v>0</v>
      </c>
      <c r="E275" s="62">
        <v>1</v>
      </c>
      <c r="F275" s="62" t="s">
        <v>476</v>
      </c>
      <c r="G275" s="62" t="s">
        <v>477</v>
      </c>
      <c r="H275" s="62"/>
      <c r="I275" s="62">
        <v>0</v>
      </c>
      <c r="J275" s="62" t="s">
        <v>846</v>
      </c>
      <c r="K275" s="62" t="s">
        <v>947</v>
      </c>
      <c r="L275" s="62">
        <v>1000</v>
      </c>
      <c r="M275" s="62"/>
      <c r="N275" s="62" t="str">
        <f t="shared" ref="N275:N276" si="30">J275&amp;"("&amp;IF(K275="","",K275)&amp;IF(L275="","",", "&amp;L275)&amp;IF(M275="","",", "&amp;M275)&amp;")"</f>
        <v>Status(RangeDamageDerate, 1000)</v>
      </c>
      <c r="O275" s="62">
        <v>0</v>
      </c>
      <c r="P275" s="62">
        <v>0</v>
      </c>
      <c r="Q275" s="62"/>
      <c r="R275" s="40" t="b">
        <v>1</v>
      </c>
    </row>
    <row r="276" spans="1:18" x14ac:dyDescent="0.3">
      <c r="A276" s="61" t="s">
        <v>1294</v>
      </c>
      <c r="B276" s="62" t="s">
        <v>500</v>
      </c>
      <c r="C276" s="62" t="s">
        <v>501</v>
      </c>
      <c r="D276" s="62">
        <v>0</v>
      </c>
      <c r="E276" s="62"/>
      <c r="F276" s="62" t="s">
        <v>476</v>
      </c>
      <c r="G276" s="62" t="s">
        <v>477</v>
      </c>
      <c r="H276" s="62"/>
      <c r="I276" s="62">
        <v>0</v>
      </c>
      <c r="J276" s="62" t="s">
        <v>1384</v>
      </c>
      <c r="K276" s="62" t="s">
        <v>1393</v>
      </c>
      <c r="L276" s="62"/>
      <c r="M276" s="62"/>
      <c r="N276" s="62" t="str">
        <f t="shared" si="30"/>
        <v>Passive(Sector08.skull_crawler_1.passive01.weakness.buff)</v>
      </c>
      <c r="O276" s="62">
        <v>0</v>
      </c>
      <c r="P276" s="62">
        <v>0</v>
      </c>
      <c r="Q276" s="62"/>
      <c r="R276" s="40" t="b">
        <v>1</v>
      </c>
    </row>
    <row r="277" spans="1:18" x14ac:dyDescent="0.3">
      <c r="A277" s="61" t="s">
        <v>1395</v>
      </c>
      <c r="B277" s="62"/>
      <c r="C277" s="62"/>
      <c r="D277" s="62">
        <v>0</v>
      </c>
      <c r="E277" s="62">
        <v>1</v>
      </c>
      <c r="F277" s="62" t="s">
        <v>476</v>
      </c>
      <c r="G277" s="62" t="s">
        <v>477</v>
      </c>
      <c r="H277" s="62"/>
      <c r="I277" s="62">
        <v>0</v>
      </c>
      <c r="J277" s="62" t="s">
        <v>846</v>
      </c>
      <c r="K277" s="62" t="s">
        <v>872</v>
      </c>
      <c r="L277" s="62">
        <v>-1000</v>
      </c>
      <c r="M277" s="62"/>
      <c r="N277" s="62" t="str">
        <f t="shared" ref="N277" si="31">J277&amp;"("&amp;IF(K277="","",K277)&amp;IF(L277="","",", "&amp;L277)&amp;IF(M277="","",", "&amp;M277)&amp;")"</f>
        <v>Status(DamageDerate, -1000)</v>
      </c>
      <c r="O277" s="62">
        <v>0</v>
      </c>
      <c r="P277" s="62">
        <v>0</v>
      </c>
      <c r="Q277" s="62"/>
      <c r="R277" s="40" t="b">
        <v>1</v>
      </c>
    </row>
    <row r="278" spans="1:18" x14ac:dyDescent="0.3">
      <c r="A278" s="26" t="s">
        <v>1427</v>
      </c>
      <c r="B278" s="27"/>
      <c r="C278" s="27"/>
      <c r="D278" s="27">
        <v>0</v>
      </c>
      <c r="E278" s="27">
        <v>1</v>
      </c>
      <c r="F278" s="27" t="s">
        <v>476</v>
      </c>
      <c r="G278" s="27" t="s">
        <v>477</v>
      </c>
      <c r="H278" s="27"/>
      <c r="I278" s="27">
        <v>0</v>
      </c>
      <c r="J278" s="27" t="s">
        <v>846</v>
      </c>
      <c r="K278" s="27" t="s">
        <v>1428</v>
      </c>
      <c r="L278" s="27">
        <v>-400</v>
      </c>
      <c r="M278" s="27"/>
      <c r="N278" s="27" t="str">
        <f t="shared" ref="N278:N282" si="32">J278&amp;"("&amp;IF(K278="","",K278)&amp;IF(L278="","",", "&amp;L278)&amp;IF(M278="","",", "&amp;M278)&amp;")"</f>
        <v>Status(AttackRatio, -400)</v>
      </c>
      <c r="O278" s="27">
        <v>0</v>
      </c>
      <c r="P278" s="27">
        <v>0</v>
      </c>
      <c r="Q278" s="27"/>
      <c r="R278" s="28" t="b">
        <v>1</v>
      </c>
    </row>
    <row r="279" spans="1:18" x14ac:dyDescent="0.3">
      <c r="A279" s="26" t="s">
        <v>1432</v>
      </c>
      <c r="B279" s="27"/>
      <c r="C279" s="27"/>
      <c r="D279" s="27">
        <v>0</v>
      </c>
      <c r="E279" s="27">
        <v>1</v>
      </c>
      <c r="F279" s="27" t="s">
        <v>476</v>
      </c>
      <c r="G279" s="27" t="s">
        <v>477</v>
      </c>
      <c r="H279" s="27"/>
      <c r="I279" s="27">
        <v>0</v>
      </c>
      <c r="J279" s="27" t="s">
        <v>846</v>
      </c>
      <c r="K279" s="27" t="s">
        <v>887</v>
      </c>
      <c r="L279" s="27">
        <v>1000</v>
      </c>
      <c r="M279" s="27"/>
      <c r="N279" s="27" t="str">
        <f t="shared" si="32"/>
        <v>Status(HpDrainRate, 1000)</v>
      </c>
      <c r="O279" s="27">
        <v>0</v>
      </c>
      <c r="P279" s="27">
        <v>0</v>
      </c>
      <c r="Q279" s="27"/>
      <c r="R279" s="28" t="b">
        <v>1</v>
      </c>
    </row>
    <row r="280" spans="1:18" x14ac:dyDescent="0.3">
      <c r="A280" s="26" t="s">
        <v>1433</v>
      </c>
      <c r="B280" s="27"/>
      <c r="C280" s="27"/>
      <c r="D280" s="27">
        <v>0</v>
      </c>
      <c r="E280" s="27">
        <v>1</v>
      </c>
      <c r="F280" s="27" t="s">
        <v>476</v>
      </c>
      <c r="G280" s="27" t="s">
        <v>477</v>
      </c>
      <c r="H280" s="27"/>
      <c r="I280" s="27">
        <v>0</v>
      </c>
      <c r="J280" s="27" t="s">
        <v>1429</v>
      </c>
      <c r="K280" s="27" t="s">
        <v>1434</v>
      </c>
      <c r="L280" s="27"/>
      <c r="M280" s="27"/>
      <c r="N280" s="27" t="str">
        <f t="shared" si="32"/>
        <v>Active(Sector09.barnacle_builder_1.skill03.bedebuff.skilleffect)</v>
      </c>
      <c r="O280" s="27">
        <v>0</v>
      </c>
      <c r="P280" s="27">
        <v>0</v>
      </c>
      <c r="Q280" s="27"/>
      <c r="R280" s="28" t="b">
        <v>1</v>
      </c>
    </row>
    <row r="281" spans="1:18" x14ac:dyDescent="0.3">
      <c r="A281" s="26" t="s">
        <v>1436</v>
      </c>
      <c r="B281" s="27"/>
      <c r="C281" s="27"/>
      <c r="D281" s="27">
        <v>0</v>
      </c>
      <c r="E281" s="27">
        <v>1</v>
      </c>
      <c r="F281" s="27" t="s">
        <v>476</v>
      </c>
      <c r="G281" s="27" t="s">
        <v>477</v>
      </c>
      <c r="H281" s="27"/>
      <c r="I281" s="27">
        <v>0</v>
      </c>
      <c r="J281" s="27" t="s">
        <v>846</v>
      </c>
      <c r="K281" s="27" t="s">
        <v>1437</v>
      </c>
      <c r="L281" s="27">
        <v>-100</v>
      </c>
      <c r="M281" s="27"/>
      <c r="N281" s="27" t="str">
        <f t="shared" ref="N281" si="33">J281&amp;"("&amp;IF(K281="","",K281)&amp;IF(L281="","",", "&amp;L281)&amp;IF(M281="","",", "&amp;M281)&amp;")"</f>
        <v>Status(DamageRate, -100)</v>
      </c>
      <c r="O281" s="27">
        <v>0</v>
      </c>
      <c r="P281" s="27">
        <v>0</v>
      </c>
      <c r="Q281" s="27"/>
      <c r="R281" s="28" t="b">
        <v>1</v>
      </c>
    </row>
    <row r="282" spans="1:18" x14ac:dyDescent="0.3">
      <c r="A282" s="26" t="s">
        <v>1438</v>
      </c>
      <c r="B282" s="27"/>
      <c r="C282" s="27"/>
      <c r="D282" s="27">
        <v>0</v>
      </c>
      <c r="E282" s="27">
        <v>1</v>
      </c>
      <c r="F282" s="27" t="s">
        <v>476</v>
      </c>
      <c r="G282" s="27" t="s">
        <v>477</v>
      </c>
      <c r="H282" s="27"/>
      <c r="I282" s="27">
        <v>0</v>
      </c>
      <c r="J282" s="27" t="s">
        <v>865</v>
      </c>
      <c r="K282" s="27" t="s">
        <v>485</v>
      </c>
      <c r="L282" s="27">
        <v>300</v>
      </c>
      <c r="M282" s="27"/>
      <c r="N282" s="27" t="str">
        <f t="shared" si="32"/>
        <v>Reflect(All, 300)</v>
      </c>
      <c r="O282" s="27">
        <v>0</v>
      </c>
      <c r="P282" s="27">
        <v>0</v>
      </c>
      <c r="Q282" s="27"/>
      <c r="R282" s="28" t="b">
        <v>1</v>
      </c>
    </row>
    <row r="283" spans="1:18" x14ac:dyDescent="0.3">
      <c r="A283" s="26" t="s">
        <v>1439</v>
      </c>
      <c r="B283" s="27"/>
      <c r="C283" s="27"/>
      <c r="D283" s="27">
        <v>0</v>
      </c>
      <c r="E283" s="27">
        <v>1</v>
      </c>
      <c r="F283" s="27" t="s">
        <v>476</v>
      </c>
      <c r="G283" s="27" t="s">
        <v>477</v>
      </c>
      <c r="H283" s="27"/>
      <c r="I283" s="27">
        <v>0</v>
      </c>
      <c r="J283" s="27" t="s">
        <v>1429</v>
      </c>
      <c r="K283" s="27" t="s">
        <v>1440</v>
      </c>
      <c r="L283" s="27"/>
      <c r="M283" s="27"/>
      <c r="N283" s="27" t="str">
        <f t="shared" ref="N283" si="34">J283&amp;"("&amp;IF(K283="","",K283)&amp;IF(L283="","",", "&amp;L283)&amp;IF(M283="","",", "&amp;M283)&amp;")"</f>
        <v>Active(Sector09.barnacle_builder_1.passive01.bedebuff.skilleffect)</v>
      </c>
      <c r="O283" s="27">
        <v>0</v>
      </c>
      <c r="P283" s="27">
        <v>1000</v>
      </c>
      <c r="Q283" s="27"/>
      <c r="R283" s="28" t="b">
        <v>1</v>
      </c>
    </row>
    <row r="284" spans="1:18" x14ac:dyDescent="0.3">
      <c r="A284" s="26" t="s">
        <v>1446</v>
      </c>
      <c r="B284" s="27"/>
      <c r="C284" s="27"/>
      <c r="D284" s="27">
        <v>0</v>
      </c>
      <c r="E284" s="27">
        <v>1</v>
      </c>
      <c r="F284" s="27" t="s">
        <v>476</v>
      </c>
      <c r="G284" s="27" t="s">
        <v>477</v>
      </c>
      <c r="H284" s="27"/>
      <c r="I284" s="27">
        <v>0</v>
      </c>
      <c r="J284" s="27" t="s">
        <v>860</v>
      </c>
      <c r="K284" s="27" t="s">
        <v>1441</v>
      </c>
      <c r="L284" s="27"/>
      <c r="M284" s="27"/>
      <c r="N284" s="27" t="str">
        <f t="shared" ref="N284:N286" si="35">J284&amp;"("&amp;IF(K284="","",K284)&amp;IF(L284="","",", "&amp;L284)&amp;IF(M284="","",", "&amp;M284)&amp;")"</f>
        <v>Active(Sector09.barnacle_builder_1.passive01.effect.skilleffect)</v>
      </c>
      <c r="O284" s="27">
        <v>0</v>
      </c>
      <c r="P284" s="27">
        <v>20000</v>
      </c>
      <c r="Q284" s="27"/>
      <c r="R284" s="28" t="b">
        <v>1</v>
      </c>
    </row>
    <row r="285" spans="1:18" x14ac:dyDescent="0.3">
      <c r="A285" s="26" t="s">
        <v>1445</v>
      </c>
      <c r="B285" s="27"/>
      <c r="C285" s="27"/>
      <c r="D285" s="27">
        <v>0</v>
      </c>
      <c r="E285" s="27">
        <v>1</v>
      </c>
      <c r="F285" s="27" t="s">
        <v>476</v>
      </c>
      <c r="G285" s="27" t="s">
        <v>477</v>
      </c>
      <c r="H285" s="27"/>
      <c r="I285" s="27">
        <v>0</v>
      </c>
      <c r="J285" s="27" t="s">
        <v>470</v>
      </c>
      <c r="K285" s="27" t="s">
        <v>867</v>
      </c>
      <c r="L285" s="27" t="s">
        <v>1442</v>
      </c>
      <c r="M285" s="27"/>
      <c r="N285" s="27" t="str">
        <f t="shared" si="35"/>
        <v>Effect(BeHit, Sector09.barnacle_builder_1.passive01.reflect.effect.skilleffect)</v>
      </c>
      <c r="O285" s="27">
        <v>0</v>
      </c>
      <c r="P285" s="27">
        <v>0</v>
      </c>
      <c r="Q285" s="27"/>
      <c r="R285" s="28" t="b">
        <v>1</v>
      </c>
    </row>
    <row r="286" spans="1:18" x14ac:dyDescent="0.3">
      <c r="A286" s="47" t="s">
        <v>1461</v>
      </c>
      <c r="B286" s="45"/>
      <c r="C286" s="45"/>
      <c r="D286" s="45">
        <v>0</v>
      </c>
      <c r="E286" s="45">
        <v>1</v>
      </c>
      <c r="F286" s="45" t="s">
        <v>476</v>
      </c>
      <c r="G286" s="45" t="s">
        <v>477</v>
      </c>
      <c r="H286" s="45"/>
      <c r="I286" s="45">
        <v>0</v>
      </c>
      <c r="J286" s="45" t="s">
        <v>846</v>
      </c>
      <c r="K286" s="45" t="s">
        <v>852</v>
      </c>
      <c r="L286" s="45">
        <v>-400</v>
      </c>
      <c r="M286" s="45"/>
      <c r="N286" s="45" t="str">
        <f t="shared" si="35"/>
        <v>Status(AttackRatio, -400)</v>
      </c>
      <c r="O286" s="45">
        <v>0</v>
      </c>
      <c r="P286" s="45">
        <v>0</v>
      </c>
      <c r="Q286" s="45"/>
      <c r="R286" s="46" t="b">
        <v>1</v>
      </c>
    </row>
    <row r="287" spans="1:18" x14ac:dyDescent="0.3">
      <c r="A287" s="47" t="s">
        <v>1462</v>
      </c>
      <c r="B287" s="45"/>
      <c r="C287" s="45"/>
      <c r="D287" s="45">
        <v>0</v>
      </c>
      <c r="E287" s="45">
        <v>1</v>
      </c>
      <c r="F287" s="45" t="s">
        <v>476</v>
      </c>
      <c r="G287" s="45" t="s">
        <v>477</v>
      </c>
      <c r="H287" s="45"/>
      <c r="I287" s="45">
        <v>0</v>
      </c>
      <c r="J287" s="45" t="s">
        <v>877</v>
      </c>
      <c r="K287" s="45" t="s">
        <v>878</v>
      </c>
      <c r="L287" s="45"/>
      <c r="M287" s="45"/>
      <c r="N287" s="45" t="str">
        <f t="shared" ref="N287:N288" si="36">J287&amp;"("&amp;IF(K287="","",K287)&amp;IF(L287="","",", "&amp;L287)&amp;IF(M287="","",", "&amp;M287)&amp;")"</f>
        <v>ChangeSkill(Normal)</v>
      </c>
      <c r="O287" s="45">
        <v>0</v>
      </c>
      <c r="P287" s="45">
        <v>0</v>
      </c>
      <c r="Q287" s="45"/>
      <c r="R287" s="46" t="b">
        <v>1</v>
      </c>
    </row>
    <row r="288" spans="1:18" x14ac:dyDescent="0.3">
      <c r="A288" s="47" t="s">
        <v>1463</v>
      </c>
      <c r="B288" s="45"/>
      <c r="C288" s="45"/>
      <c r="D288" s="45">
        <v>0</v>
      </c>
      <c r="E288" s="45">
        <v>1</v>
      </c>
      <c r="F288" s="45" t="s">
        <v>476</v>
      </c>
      <c r="G288" s="45" t="s">
        <v>477</v>
      </c>
      <c r="H288" s="45"/>
      <c r="I288" s="45">
        <v>0</v>
      </c>
      <c r="J288" s="45" t="s">
        <v>846</v>
      </c>
      <c r="K288" s="45" t="s">
        <v>1464</v>
      </c>
      <c r="L288" s="45">
        <v>100</v>
      </c>
      <c r="M288" s="45"/>
      <c r="N288" s="45" t="str">
        <f t="shared" si="36"/>
        <v>Status(DamageDerate, 100)</v>
      </c>
      <c r="O288" s="45">
        <v>0</v>
      </c>
      <c r="P288" s="45">
        <v>0</v>
      </c>
      <c r="Q288" s="45"/>
      <c r="R288" s="46" t="b">
        <v>1</v>
      </c>
    </row>
    <row r="289" spans="1:18" x14ac:dyDescent="0.3">
      <c r="A289" s="19" t="s">
        <v>511</v>
      </c>
      <c r="B289" s="8"/>
      <c r="C289" s="8"/>
      <c r="D289" s="8">
        <v>0</v>
      </c>
      <c r="E289" s="8">
        <v>1</v>
      </c>
      <c r="F289" s="8" t="s">
        <v>476</v>
      </c>
      <c r="G289" s="8" t="s">
        <v>477</v>
      </c>
      <c r="H289" s="8"/>
      <c r="I289" s="8">
        <v>0</v>
      </c>
      <c r="J289" s="8" t="s">
        <v>860</v>
      </c>
      <c r="K289" s="8" t="s">
        <v>904</v>
      </c>
      <c r="L289" s="8"/>
      <c r="M289" s="8"/>
      <c r="N289" s="8" t="str">
        <f t="shared" si="17"/>
        <v>Active(stage.fever.buff.buffeffect.skilleffect.01)</v>
      </c>
      <c r="O289" s="8">
        <v>0</v>
      </c>
      <c r="P289" s="8">
        <v>120000</v>
      </c>
      <c r="Q289" s="8"/>
      <c r="R289" s="9" t="b">
        <v>1</v>
      </c>
    </row>
    <row r="290" spans="1:18" x14ac:dyDescent="0.3">
      <c r="A290" s="19" t="s">
        <v>512</v>
      </c>
      <c r="B290" s="8"/>
      <c r="C290" s="8"/>
      <c r="D290" s="8">
        <v>0</v>
      </c>
      <c r="E290" s="8">
        <v>1</v>
      </c>
      <c r="F290" s="8" t="s">
        <v>476</v>
      </c>
      <c r="G290" s="8" t="s">
        <v>477</v>
      </c>
      <c r="H290" s="8"/>
      <c r="I290" s="8">
        <v>0</v>
      </c>
      <c r="J290" s="8" t="s">
        <v>860</v>
      </c>
      <c r="K290" s="8" t="s">
        <v>905</v>
      </c>
      <c r="L290" s="8"/>
      <c r="M290" s="8"/>
      <c r="N290" s="8" t="str">
        <f t="shared" si="17"/>
        <v>Active(stage.fever.buff.buffeffect.skilleffect.02)</v>
      </c>
      <c r="O290" s="8">
        <v>0</v>
      </c>
      <c r="P290" s="8">
        <v>120000</v>
      </c>
      <c r="Q290" s="8"/>
      <c r="R290" s="9" t="b">
        <v>1</v>
      </c>
    </row>
    <row r="291" spans="1:18" x14ac:dyDescent="0.3">
      <c r="A291" s="19" t="s">
        <v>513</v>
      </c>
      <c r="B291" s="8"/>
      <c r="C291" s="8"/>
      <c r="D291" s="8">
        <v>0</v>
      </c>
      <c r="E291" s="8">
        <v>1</v>
      </c>
      <c r="F291" s="8" t="s">
        <v>476</v>
      </c>
      <c r="G291" s="8" t="s">
        <v>477</v>
      </c>
      <c r="H291" s="8"/>
      <c r="I291" s="8">
        <v>0</v>
      </c>
      <c r="J291" s="8" t="s">
        <v>860</v>
      </c>
      <c r="K291" s="8" t="s">
        <v>906</v>
      </c>
      <c r="L291" s="8"/>
      <c r="M291" s="8"/>
      <c r="N291" s="8" t="str">
        <f t="shared" si="17"/>
        <v>Active(stage.fever.buff.buffeffect.skilleffect.03)</v>
      </c>
      <c r="O291" s="8">
        <v>0</v>
      </c>
      <c r="P291" s="8">
        <v>120000</v>
      </c>
      <c r="Q291" s="8"/>
      <c r="R291" s="9" t="b">
        <v>1</v>
      </c>
    </row>
    <row r="292" spans="1:18" x14ac:dyDescent="0.3">
      <c r="A292" s="19" t="s">
        <v>514</v>
      </c>
      <c r="B292" s="8"/>
      <c r="C292" s="8"/>
      <c r="D292" s="8">
        <v>0</v>
      </c>
      <c r="E292" s="8">
        <v>1</v>
      </c>
      <c r="F292" s="8" t="s">
        <v>476</v>
      </c>
      <c r="G292" s="8" t="s">
        <v>477</v>
      </c>
      <c r="H292" s="8"/>
      <c r="I292" s="8">
        <v>0</v>
      </c>
      <c r="J292" s="8" t="s">
        <v>846</v>
      </c>
      <c r="K292" s="8" t="s">
        <v>853</v>
      </c>
      <c r="L292" s="8">
        <v>500</v>
      </c>
      <c r="M292" s="8"/>
      <c r="N292" s="8" t="str">
        <f t="shared" si="17"/>
        <v>Status(AttackSpeedRate, 500)</v>
      </c>
      <c r="O292" s="8">
        <v>0</v>
      </c>
      <c r="P292" s="8">
        <v>0</v>
      </c>
      <c r="Q292" s="8"/>
      <c r="R292" s="9" t="b">
        <v>1</v>
      </c>
    </row>
    <row r="293" spans="1:18" x14ac:dyDescent="0.3">
      <c r="A293" s="19" t="s">
        <v>515</v>
      </c>
      <c r="B293" s="8"/>
      <c r="C293" s="8"/>
      <c r="D293" s="8">
        <v>0</v>
      </c>
      <c r="E293" s="8">
        <v>1</v>
      </c>
      <c r="F293" s="8" t="s">
        <v>476</v>
      </c>
      <c r="G293" s="8" t="s">
        <v>477</v>
      </c>
      <c r="H293" s="8"/>
      <c r="I293" s="8">
        <v>0</v>
      </c>
      <c r="J293" s="8" t="s">
        <v>846</v>
      </c>
      <c r="K293" s="8" t="s">
        <v>853</v>
      </c>
      <c r="L293" s="8">
        <v>1000</v>
      </c>
      <c r="M293" s="8"/>
      <c r="N293" s="8" t="str">
        <f t="shared" si="17"/>
        <v>Status(AttackSpeedRate, 1000)</v>
      </c>
      <c r="O293" s="8">
        <v>0</v>
      </c>
      <c r="P293" s="8">
        <v>0</v>
      </c>
      <c r="Q293" s="8"/>
      <c r="R293" s="9" t="b">
        <v>1</v>
      </c>
    </row>
    <row r="294" spans="1:18" x14ac:dyDescent="0.3">
      <c r="A294" s="19" t="s">
        <v>516</v>
      </c>
      <c r="B294" s="8"/>
      <c r="C294" s="8"/>
      <c r="D294" s="8">
        <v>0</v>
      </c>
      <c r="E294" s="8">
        <v>1</v>
      </c>
      <c r="F294" s="8" t="s">
        <v>476</v>
      </c>
      <c r="G294" s="8" t="s">
        <v>477</v>
      </c>
      <c r="H294" s="8"/>
      <c r="I294" s="8">
        <v>0</v>
      </c>
      <c r="J294" s="8" t="s">
        <v>846</v>
      </c>
      <c r="K294" s="8" t="s">
        <v>853</v>
      </c>
      <c r="L294" s="8">
        <v>2000</v>
      </c>
      <c r="M294" s="8"/>
      <c r="N294" s="8" t="str">
        <f t="shared" si="17"/>
        <v>Status(AttackSpeedRate, 2000)</v>
      </c>
      <c r="O294" s="8">
        <v>0</v>
      </c>
      <c r="P294" s="8">
        <v>0</v>
      </c>
      <c r="Q294" s="8"/>
      <c r="R294" s="9" t="b">
        <v>1</v>
      </c>
    </row>
    <row r="295" spans="1:18" x14ac:dyDescent="0.3">
      <c r="A295" s="19" t="s">
        <v>517</v>
      </c>
      <c r="B295" s="8"/>
      <c r="C295" s="8"/>
      <c r="D295" s="8">
        <v>0</v>
      </c>
      <c r="E295" s="8">
        <v>1</v>
      </c>
      <c r="F295" s="8" t="s">
        <v>476</v>
      </c>
      <c r="G295" s="8" t="s">
        <v>477</v>
      </c>
      <c r="H295" s="8"/>
      <c r="I295" s="8">
        <v>0</v>
      </c>
      <c r="J295" s="8" t="s">
        <v>846</v>
      </c>
      <c r="K295" s="8" t="s">
        <v>852</v>
      </c>
      <c r="L295" s="8">
        <v>200</v>
      </c>
      <c r="M295" s="8"/>
      <c r="N295" s="8" t="str">
        <f t="shared" si="17"/>
        <v>Status(AttackRatio, 200)</v>
      </c>
      <c r="O295" s="8">
        <v>0</v>
      </c>
      <c r="P295" s="8">
        <v>0</v>
      </c>
      <c r="Q295" s="8"/>
      <c r="R295" s="9" t="b">
        <v>1</v>
      </c>
    </row>
    <row r="296" spans="1:18" x14ac:dyDescent="0.3">
      <c r="A296" s="19" t="s">
        <v>518</v>
      </c>
      <c r="B296" s="8"/>
      <c r="C296" s="8"/>
      <c r="D296" s="8">
        <v>0</v>
      </c>
      <c r="E296" s="8">
        <v>1</v>
      </c>
      <c r="F296" s="8" t="s">
        <v>476</v>
      </c>
      <c r="G296" s="8" t="s">
        <v>477</v>
      </c>
      <c r="H296" s="8"/>
      <c r="I296" s="8">
        <v>0</v>
      </c>
      <c r="J296" s="8" t="s">
        <v>846</v>
      </c>
      <c r="K296" s="8" t="s">
        <v>852</v>
      </c>
      <c r="L296" s="8">
        <v>500</v>
      </c>
      <c r="M296" s="8"/>
      <c r="N296" s="8" t="str">
        <f t="shared" si="17"/>
        <v>Status(AttackRatio, 500)</v>
      </c>
      <c r="O296" s="8">
        <v>0</v>
      </c>
      <c r="P296" s="8">
        <v>0</v>
      </c>
      <c r="Q296" s="8"/>
      <c r="R296" s="9" t="b">
        <v>1</v>
      </c>
    </row>
    <row r="297" spans="1:18" x14ac:dyDescent="0.3">
      <c r="A297" s="19" t="s">
        <v>519</v>
      </c>
      <c r="B297" s="8"/>
      <c r="C297" s="8"/>
      <c r="D297" s="8">
        <v>0</v>
      </c>
      <c r="E297" s="8">
        <v>1</v>
      </c>
      <c r="F297" s="8" t="s">
        <v>476</v>
      </c>
      <c r="G297" s="8" t="s">
        <v>477</v>
      </c>
      <c r="H297" s="8"/>
      <c r="I297" s="8">
        <v>0</v>
      </c>
      <c r="J297" s="8" t="s">
        <v>846</v>
      </c>
      <c r="K297" s="8" t="s">
        <v>852</v>
      </c>
      <c r="L297" s="8">
        <v>1000</v>
      </c>
      <c r="M297" s="8"/>
      <c r="N297" s="8" t="str">
        <f t="shared" si="17"/>
        <v>Status(AttackRatio, 1000)</v>
      </c>
      <c r="O297" s="8">
        <v>0</v>
      </c>
      <c r="P297" s="8">
        <v>0</v>
      </c>
      <c r="Q297" s="8"/>
      <c r="R297" s="9" t="b">
        <v>1</v>
      </c>
    </row>
    <row r="298" spans="1:18" x14ac:dyDescent="0.3">
      <c r="A298" s="19" t="s">
        <v>520</v>
      </c>
      <c r="B298" s="8"/>
      <c r="C298" s="8"/>
      <c r="D298" s="8">
        <v>0</v>
      </c>
      <c r="E298" s="8">
        <v>1</v>
      </c>
      <c r="F298" s="8" t="s">
        <v>476</v>
      </c>
      <c r="G298" s="8" t="s">
        <v>477</v>
      </c>
      <c r="H298" s="8"/>
      <c r="I298" s="8">
        <v>0</v>
      </c>
      <c r="J298" s="8" t="s">
        <v>846</v>
      </c>
      <c r="K298" s="8" t="s">
        <v>847</v>
      </c>
      <c r="L298" s="8">
        <v>-500</v>
      </c>
      <c r="M298" s="8"/>
      <c r="N298" s="8" t="str">
        <f t="shared" si="17"/>
        <v>Status(DefenseRatio, -500)</v>
      </c>
      <c r="O298" s="8">
        <v>0</v>
      </c>
      <c r="P298" s="8">
        <v>0</v>
      </c>
      <c r="Q298" s="8"/>
      <c r="R298" s="9" t="b">
        <v>1</v>
      </c>
    </row>
    <row r="299" spans="1:18" x14ac:dyDescent="0.3">
      <c r="A299" s="18" t="s">
        <v>465</v>
      </c>
      <c r="D299">
        <v>0</v>
      </c>
      <c r="E299">
        <v>1</v>
      </c>
      <c r="F299" s="11" t="s">
        <v>476</v>
      </c>
      <c r="G299" s="11" t="s">
        <v>477</v>
      </c>
      <c r="I299" s="11">
        <v>0</v>
      </c>
      <c r="J299" s="11" t="s">
        <v>848</v>
      </c>
      <c r="K299" s="11" t="s">
        <v>881</v>
      </c>
      <c r="L299" s="11">
        <v>10000</v>
      </c>
      <c r="M299" s="11"/>
      <c r="N299" s="11" t="str">
        <f t="shared" si="17"/>
        <v>CrowdControl(Pull, 10000)</v>
      </c>
      <c r="O299" s="11">
        <v>0</v>
      </c>
      <c r="P299" s="11">
        <v>0</v>
      </c>
      <c r="R299" s="12" t="b">
        <v>1</v>
      </c>
    </row>
  </sheetData>
  <phoneticPr fontId="2" type="noConversion"/>
  <conditionalFormatting sqref="A1:A1048576">
    <cfRule type="duplicateValues" dxfId="32" priority="63"/>
  </conditionalFormatting>
  <conditionalFormatting sqref="A1:R307">
    <cfRule type="containsBlanks" dxfId="31" priority="4">
      <formula>LEN(TRIM(A1))=0</formula>
    </cfRule>
    <cfRule type="cellIs" dxfId="30" priority="64" operator="equal">
      <formula>0</formula>
    </cfRule>
    <cfRule type="cellIs" dxfId="29" priority="66" operator="equal">
      <formula>FALSE</formula>
    </cfRule>
  </conditionalFormatting>
  <conditionalFormatting sqref="E1:E1048576">
    <cfRule type="cellIs" dxfId="28" priority="1" operator="equal">
      <formula>1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473"/>
  <sheetViews>
    <sheetView zoomScale="85" zoomScaleNormal="85" workbookViewId="0">
      <pane xSplit="1" ySplit="4" topLeftCell="B449" activePane="bottomRight" state="frozen"/>
      <selection activeCell="C58" sqref="C58"/>
      <selection pane="topRight" activeCell="C58" sqref="C58"/>
      <selection pane="bottomLeft" activeCell="C58" sqref="C58"/>
      <selection pane="bottomRight" activeCell="C464" sqref="C464"/>
    </sheetView>
  </sheetViews>
  <sheetFormatPr defaultRowHeight="16.5" x14ac:dyDescent="0.3"/>
  <cols>
    <col min="1" max="1" width="50.875" bestFit="1" customWidth="1"/>
    <col min="2" max="2" width="14.25" bestFit="1" customWidth="1"/>
    <col min="3" max="3" width="32.5" customWidth="1"/>
    <col min="4" max="6" width="9" bestFit="1" customWidth="1"/>
    <col min="7" max="7" width="63.625" bestFit="1" customWidth="1"/>
    <col min="8" max="8" width="10.375" bestFit="1" customWidth="1"/>
    <col min="9" max="9" width="15.25" customWidth="1"/>
    <col min="10" max="10" width="16.375" bestFit="1" customWidth="1"/>
    <col min="11" max="11" width="16.375" customWidth="1"/>
    <col min="12" max="12" width="50.75" customWidth="1"/>
    <col min="13" max="13" width="30.375" customWidth="1"/>
    <col min="14" max="14" width="28.875" bestFit="1" customWidth="1"/>
    <col min="15" max="15" width="27.375" style="63" bestFit="1" customWidth="1"/>
    <col min="16" max="16" width="18.125" bestFit="1" customWidth="1"/>
    <col min="17" max="17" width="9.375" bestFit="1" customWidth="1"/>
  </cols>
  <sheetData>
    <row r="1" spans="1:17" ht="27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3" t="s">
        <v>15</v>
      </c>
      <c r="Q1" s="5" t="s">
        <v>16</v>
      </c>
    </row>
    <row r="2" spans="1:17" x14ac:dyDescent="0.3">
      <c r="A2" s="5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 t="s">
        <v>23</v>
      </c>
      <c r="H2" s="4" t="s">
        <v>24</v>
      </c>
      <c r="I2" s="4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13" t="s">
        <v>32</v>
      </c>
      <c r="Q2" s="5" t="s">
        <v>33</v>
      </c>
    </row>
    <row r="3" spans="1:17" x14ac:dyDescent="0.3">
      <c r="A3" s="5" t="s">
        <v>34</v>
      </c>
      <c r="B3" s="1" t="s">
        <v>35</v>
      </c>
      <c r="C3" s="1" t="s">
        <v>36</v>
      </c>
      <c r="D3" s="1" t="s">
        <v>37</v>
      </c>
      <c r="E3" s="2" t="s">
        <v>37</v>
      </c>
      <c r="F3" s="2" t="s">
        <v>37</v>
      </c>
      <c r="G3" s="3" t="s">
        <v>38</v>
      </c>
      <c r="H3" s="4" t="s">
        <v>39</v>
      </c>
      <c r="I3" s="4" t="s">
        <v>40</v>
      </c>
      <c r="J3" s="5" t="s">
        <v>40</v>
      </c>
      <c r="K3" s="5" t="s">
        <v>40</v>
      </c>
      <c r="L3" s="5" t="s">
        <v>41</v>
      </c>
      <c r="M3" s="5" t="s">
        <v>36</v>
      </c>
      <c r="N3" s="5" t="s">
        <v>36</v>
      </c>
      <c r="O3" s="5" t="s">
        <v>36</v>
      </c>
      <c r="P3" s="13" t="s">
        <v>40</v>
      </c>
      <c r="Q3" s="5" t="s">
        <v>40</v>
      </c>
    </row>
    <row r="4" spans="1:17" x14ac:dyDescent="0.3">
      <c r="A4" s="5" t="s">
        <v>42</v>
      </c>
      <c r="B4" s="1" t="s">
        <v>42</v>
      </c>
      <c r="C4" s="1" t="s">
        <v>42</v>
      </c>
      <c r="D4" s="1" t="s">
        <v>42</v>
      </c>
      <c r="E4" s="2" t="s">
        <v>42</v>
      </c>
      <c r="F4" s="2" t="s">
        <v>42</v>
      </c>
      <c r="G4" s="3" t="s">
        <v>42</v>
      </c>
      <c r="H4" s="4" t="s">
        <v>42</v>
      </c>
      <c r="I4" s="4" t="s">
        <v>42</v>
      </c>
      <c r="J4" s="5" t="s">
        <v>42</v>
      </c>
      <c r="K4" s="5" t="s">
        <v>42</v>
      </c>
      <c r="L4" s="5" t="s">
        <v>43</v>
      </c>
      <c r="M4" s="5" t="s">
        <v>43</v>
      </c>
      <c r="N4" s="5" t="s">
        <v>43</v>
      </c>
      <c r="O4" s="5" t="s">
        <v>43</v>
      </c>
      <c r="P4" s="13" t="s">
        <v>43</v>
      </c>
      <c r="Q4" s="5" t="s">
        <v>42</v>
      </c>
    </row>
    <row r="5" spans="1:17" ht="81.75" x14ac:dyDescent="0.3">
      <c r="A5" s="9" t="s">
        <v>1145</v>
      </c>
      <c r="B5" s="8"/>
      <c r="C5" s="8"/>
      <c r="D5" s="7">
        <v>0</v>
      </c>
      <c r="E5" s="7">
        <v>0</v>
      </c>
      <c r="F5" s="7">
        <v>0</v>
      </c>
      <c r="G5" s="174" t="s">
        <v>1347</v>
      </c>
      <c r="H5" s="7"/>
      <c r="I5" s="14" t="b">
        <v>0</v>
      </c>
      <c r="J5" s="14" t="b">
        <v>0</v>
      </c>
      <c r="K5" s="85" t="b">
        <v>1</v>
      </c>
      <c r="L5" s="7"/>
      <c r="M5" s="7" t="s">
        <v>1329</v>
      </c>
      <c r="N5" s="7" t="s">
        <v>1328</v>
      </c>
      <c r="O5" s="7" t="s">
        <v>1348</v>
      </c>
      <c r="P5" s="15" t="b">
        <v>0</v>
      </c>
      <c r="Q5" s="14" t="b">
        <v>0</v>
      </c>
    </row>
    <row r="6" spans="1:17" x14ac:dyDescent="0.3">
      <c r="A6" s="9" t="s">
        <v>1148</v>
      </c>
      <c r="B6" s="8"/>
      <c r="C6" s="8"/>
      <c r="D6" s="7">
        <v>3000</v>
      </c>
      <c r="E6" s="7">
        <v>0</v>
      </c>
      <c r="F6" s="7">
        <v>0</v>
      </c>
      <c r="G6" s="9" t="s">
        <v>521</v>
      </c>
      <c r="H6" s="7"/>
      <c r="I6" s="14" t="b">
        <v>0</v>
      </c>
      <c r="J6" s="14" t="b">
        <v>0</v>
      </c>
      <c r="K6" s="85" t="b">
        <v>1</v>
      </c>
      <c r="L6" s="7"/>
      <c r="M6" s="7"/>
      <c r="N6" s="7"/>
      <c r="O6" s="7"/>
      <c r="P6" s="15" t="b">
        <v>0</v>
      </c>
      <c r="Q6" s="14" t="b">
        <v>0</v>
      </c>
    </row>
    <row r="7" spans="1:17" x14ac:dyDescent="0.3">
      <c r="A7" s="32" t="s">
        <v>1147</v>
      </c>
      <c r="B7" s="31"/>
      <c r="C7" s="31"/>
      <c r="D7" s="29">
        <v>0</v>
      </c>
      <c r="E7" s="29">
        <v>0</v>
      </c>
      <c r="F7" s="29">
        <v>0</v>
      </c>
      <c r="G7" s="175" t="s">
        <v>1146</v>
      </c>
      <c r="H7" s="29"/>
      <c r="I7" s="56" t="b">
        <v>0</v>
      </c>
      <c r="J7" s="56" t="b">
        <v>0</v>
      </c>
      <c r="K7" s="56" t="b">
        <v>1</v>
      </c>
      <c r="L7" s="29" t="s">
        <v>63</v>
      </c>
      <c r="M7" s="29" t="s">
        <v>523</v>
      </c>
      <c r="N7" s="29" t="s">
        <v>524</v>
      </c>
      <c r="O7" s="29" t="s">
        <v>1350</v>
      </c>
      <c r="P7" s="29" t="b">
        <v>0</v>
      </c>
      <c r="Q7" s="56" t="b">
        <v>0</v>
      </c>
    </row>
    <row r="8" spans="1:17" x14ac:dyDescent="0.3">
      <c r="A8" s="32" t="s">
        <v>1149</v>
      </c>
      <c r="B8" s="31"/>
      <c r="C8" s="31"/>
      <c r="D8" s="29">
        <v>0</v>
      </c>
      <c r="E8" s="29">
        <v>0</v>
      </c>
      <c r="F8" s="29">
        <v>0</v>
      </c>
      <c r="G8" s="175" t="s">
        <v>525</v>
      </c>
      <c r="H8" s="29"/>
      <c r="I8" s="56" t="b">
        <v>0</v>
      </c>
      <c r="J8" s="56" t="b">
        <v>0</v>
      </c>
      <c r="K8" s="56" t="b">
        <v>1</v>
      </c>
      <c r="L8" s="29"/>
      <c r="M8" s="29"/>
      <c r="N8" s="29"/>
      <c r="O8" s="29"/>
      <c r="P8" s="29" t="b">
        <v>0</v>
      </c>
      <c r="Q8" s="56" t="b">
        <v>0</v>
      </c>
    </row>
    <row r="9" spans="1:17" x14ac:dyDescent="0.3">
      <c r="A9" s="32" t="s">
        <v>526</v>
      </c>
      <c r="B9" s="31"/>
      <c r="C9" s="31"/>
      <c r="D9" s="29">
        <v>0</v>
      </c>
      <c r="E9" s="29">
        <v>0</v>
      </c>
      <c r="F9" s="29">
        <v>0</v>
      </c>
      <c r="G9" s="175" t="s">
        <v>527</v>
      </c>
      <c r="H9" s="29"/>
      <c r="I9" s="56" t="b">
        <v>0</v>
      </c>
      <c r="J9" s="56" t="b">
        <v>0</v>
      </c>
      <c r="K9" s="56" t="b">
        <v>1</v>
      </c>
      <c r="L9" s="29"/>
      <c r="M9" s="29"/>
      <c r="N9" s="29"/>
      <c r="O9" s="29"/>
      <c r="P9" s="29" t="b">
        <v>0</v>
      </c>
      <c r="Q9" s="56" t="b">
        <v>0</v>
      </c>
    </row>
    <row r="10" spans="1:17" x14ac:dyDescent="0.3">
      <c r="A10" s="32" t="s">
        <v>528</v>
      </c>
      <c r="B10" s="31"/>
      <c r="C10" s="31"/>
      <c r="D10" s="29">
        <v>0</v>
      </c>
      <c r="E10" s="29">
        <v>0</v>
      </c>
      <c r="F10" s="29">
        <v>0</v>
      </c>
      <c r="G10" s="175" t="s">
        <v>529</v>
      </c>
      <c r="H10" s="29"/>
      <c r="I10" s="56" t="b">
        <v>0</v>
      </c>
      <c r="J10" s="56" t="b">
        <v>0</v>
      </c>
      <c r="K10" s="56" t="b">
        <v>1</v>
      </c>
      <c r="L10" s="29"/>
      <c r="M10" s="29"/>
      <c r="N10" s="29"/>
      <c r="O10" s="29"/>
      <c r="P10" s="29" t="b">
        <v>0</v>
      </c>
      <c r="Q10" s="56" t="b">
        <v>0</v>
      </c>
    </row>
    <row r="11" spans="1:17" x14ac:dyDescent="0.3">
      <c r="A11" s="32" t="s">
        <v>530</v>
      </c>
      <c r="B11" s="31"/>
      <c r="C11" s="31"/>
      <c r="D11" s="29">
        <v>0</v>
      </c>
      <c r="E11" s="29">
        <v>0</v>
      </c>
      <c r="F11" s="29">
        <v>0</v>
      </c>
      <c r="G11" s="175" t="s">
        <v>531</v>
      </c>
      <c r="H11" s="29"/>
      <c r="I11" s="56" t="b">
        <v>0</v>
      </c>
      <c r="J11" s="56" t="b">
        <v>0</v>
      </c>
      <c r="K11" s="56" t="b">
        <v>1</v>
      </c>
      <c r="L11" s="29"/>
      <c r="M11" s="29"/>
      <c r="N11" s="29"/>
      <c r="O11" s="29"/>
      <c r="P11" s="29" t="b">
        <v>0</v>
      </c>
      <c r="Q11" s="56" t="b">
        <v>0</v>
      </c>
    </row>
    <row r="12" spans="1:17" x14ac:dyDescent="0.3">
      <c r="A12" s="32" t="s">
        <v>532</v>
      </c>
      <c r="B12" s="31"/>
      <c r="C12" s="31"/>
      <c r="D12" s="29">
        <v>0</v>
      </c>
      <c r="E12" s="29">
        <v>0</v>
      </c>
      <c r="F12" s="29">
        <v>0</v>
      </c>
      <c r="G12" s="175" t="s">
        <v>533</v>
      </c>
      <c r="H12" s="29"/>
      <c r="I12" s="56" t="b">
        <v>0</v>
      </c>
      <c r="J12" s="56" t="b">
        <v>0</v>
      </c>
      <c r="K12" s="56" t="b">
        <v>1</v>
      </c>
      <c r="L12" s="29"/>
      <c r="M12" s="29"/>
      <c r="N12" s="29"/>
      <c r="O12" s="29"/>
      <c r="P12" s="29" t="b">
        <v>0</v>
      </c>
      <c r="Q12" s="56" t="b">
        <v>0</v>
      </c>
    </row>
    <row r="13" spans="1:17" x14ac:dyDescent="0.3">
      <c r="A13" s="32" t="s">
        <v>1151</v>
      </c>
      <c r="B13" s="31"/>
      <c r="C13" s="31"/>
      <c r="D13" s="29">
        <v>8000</v>
      </c>
      <c r="E13" s="29">
        <v>0</v>
      </c>
      <c r="F13" s="29">
        <v>0</v>
      </c>
      <c r="G13" s="32" t="s">
        <v>173</v>
      </c>
      <c r="H13" s="29"/>
      <c r="I13" s="56" t="b">
        <v>0</v>
      </c>
      <c r="J13" s="56" t="b">
        <v>0</v>
      </c>
      <c r="K13" s="56" t="b">
        <v>1</v>
      </c>
      <c r="L13" s="29" t="s">
        <v>1418</v>
      </c>
      <c r="M13" s="29"/>
      <c r="N13" s="29"/>
      <c r="O13" s="29"/>
      <c r="P13" s="29" t="b">
        <v>0</v>
      </c>
      <c r="Q13" s="56" t="b">
        <v>0</v>
      </c>
    </row>
    <row r="14" spans="1:17" ht="27.75" customHeight="1" x14ac:dyDescent="0.3">
      <c r="A14" s="32" t="s">
        <v>1154</v>
      </c>
      <c r="B14" s="31"/>
      <c r="C14" s="31"/>
      <c r="D14" s="29">
        <v>5000</v>
      </c>
      <c r="E14" s="29">
        <v>0</v>
      </c>
      <c r="F14" s="29">
        <v>0</v>
      </c>
      <c r="G14" s="32" t="s">
        <v>1420</v>
      </c>
      <c r="H14" s="29" t="s">
        <v>534</v>
      </c>
      <c r="I14" s="56" t="b">
        <v>0</v>
      </c>
      <c r="J14" s="56" t="b">
        <v>0</v>
      </c>
      <c r="K14" s="56" t="b">
        <v>1</v>
      </c>
      <c r="L14" s="74" t="s">
        <v>535</v>
      </c>
      <c r="M14" s="29"/>
      <c r="N14" s="29"/>
      <c r="O14" s="29"/>
      <c r="P14" s="29" t="b">
        <v>0</v>
      </c>
      <c r="Q14" s="56" t="b">
        <v>0</v>
      </c>
    </row>
    <row r="15" spans="1:17" ht="27.75" customHeight="1" x14ac:dyDescent="0.3">
      <c r="A15" s="32" t="s">
        <v>536</v>
      </c>
      <c r="B15" s="31"/>
      <c r="C15" s="31"/>
      <c r="D15" s="29">
        <v>5000</v>
      </c>
      <c r="E15" s="29">
        <v>0</v>
      </c>
      <c r="F15" s="29">
        <v>0</v>
      </c>
      <c r="G15" s="32" t="s">
        <v>173</v>
      </c>
      <c r="H15" s="29" t="s">
        <v>534</v>
      </c>
      <c r="I15" s="56" t="b">
        <v>0</v>
      </c>
      <c r="J15" s="56" t="b">
        <v>0</v>
      </c>
      <c r="K15" s="56" t="b">
        <v>1</v>
      </c>
      <c r="L15" s="74" t="s">
        <v>535</v>
      </c>
      <c r="M15" s="29"/>
      <c r="N15" s="29"/>
      <c r="O15" s="29"/>
      <c r="P15" s="29" t="b">
        <v>0</v>
      </c>
      <c r="Q15" s="56" t="b">
        <v>0</v>
      </c>
    </row>
    <row r="16" spans="1:17" ht="27.75" customHeight="1" x14ac:dyDescent="0.3">
      <c r="A16" s="32" t="s">
        <v>537</v>
      </c>
      <c r="B16" s="31"/>
      <c r="C16" s="31"/>
      <c r="D16" s="29">
        <v>5000</v>
      </c>
      <c r="E16" s="29">
        <v>0</v>
      </c>
      <c r="F16" s="29">
        <v>0</v>
      </c>
      <c r="G16" s="32" t="s">
        <v>173</v>
      </c>
      <c r="H16" s="29" t="s">
        <v>534</v>
      </c>
      <c r="I16" s="56" t="b">
        <v>0</v>
      </c>
      <c r="J16" s="56" t="b">
        <v>0</v>
      </c>
      <c r="K16" s="56" t="b">
        <v>1</v>
      </c>
      <c r="L16" s="74" t="s">
        <v>535</v>
      </c>
      <c r="M16" s="29"/>
      <c r="N16" s="29"/>
      <c r="O16" s="29"/>
      <c r="P16" s="29" t="b">
        <v>0</v>
      </c>
      <c r="Q16" s="56" t="b">
        <v>0</v>
      </c>
    </row>
    <row r="17" spans="1:17" ht="27.75" customHeight="1" x14ac:dyDescent="0.3">
      <c r="A17" s="32" t="s">
        <v>538</v>
      </c>
      <c r="B17" s="31"/>
      <c r="C17" s="31"/>
      <c r="D17" s="29">
        <v>5000</v>
      </c>
      <c r="E17" s="29">
        <v>0</v>
      </c>
      <c r="F17" s="29">
        <v>0</v>
      </c>
      <c r="G17" s="32" t="s">
        <v>173</v>
      </c>
      <c r="H17" s="29" t="s">
        <v>534</v>
      </c>
      <c r="I17" s="56" t="b">
        <v>0</v>
      </c>
      <c r="J17" s="56" t="b">
        <v>0</v>
      </c>
      <c r="K17" s="56" t="b">
        <v>1</v>
      </c>
      <c r="L17" s="74" t="s">
        <v>539</v>
      </c>
      <c r="M17" s="29"/>
      <c r="N17" s="29"/>
      <c r="O17" s="29"/>
      <c r="P17" s="29" t="b">
        <v>0</v>
      </c>
      <c r="Q17" s="56" t="b">
        <v>0</v>
      </c>
    </row>
    <row r="18" spans="1:17" ht="27.75" customHeight="1" x14ac:dyDescent="0.3">
      <c r="A18" s="32" t="s">
        <v>540</v>
      </c>
      <c r="B18" s="31"/>
      <c r="C18" s="31"/>
      <c r="D18" s="29">
        <v>5000</v>
      </c>
      <c r="E18" s="29">
        <v>0</v>
      </c>
      <c r="F18" s="29">
        <v>0</v>
      </c>
      <c r="G18" s="32" t="s">
        <v>173</v>
      </c>
      <c r="H18" s="29" t="s">
        <v>534</v>
      </c>
      <c r="I18" s="56" t="b">
        <v>0</v>
      </c>
      <c r="J18" s="56" t="b">
        <v>0</v>
      </c>
      <c r="K18" s="56" t="b">
        <v>1</v>
      </c>
      <c r="L18" s="74" t="s">
        <v>541</v>
      </c>
      <c r="M18" s="29"/>
      <c r="N18" s="29"/>
      <c r="O18" s="29"/>
      <c r="P18" s="29" t="b">
        <v>0</v>
      </c>
      <c r="Q18" s="56" t="b">
        <v>0</v>
      </c>
    </row>
    <row r="19" spans="1:17" ht="81.75" customHeight="1" x14ac:dyDescent="0.3">
      <c r="A19" s="9" t="s">
        <v>1165</v>
      </c>
      <c r="B19" s="8"/>
      <c r="C19" s="8"/>
      <c r="D19" s="7">
        <v>0</v>
      </c>
      <c r="E19" s="7">
        <v>0</v>
      </c>
      <c r="F19" s="7">
        <v>0</v>
      </c>
      <c r="G19" s="174" t="s">
        <v>1166</v>
      </c>
      <c r="H19" s="7"/>
      <c r="I19" s="14" t="b">
        <v>0</v>
      </c>
      <c r="J19" s="14" t="b">
        <v>0</v>
      </c>
      <c r="K19" s="85" t="b">
        <v>1</v>
      </c>
      <c r="L19" s="7"/>
      <c r="M19" s="7" t="s">
        <v>1329</v>
      </c>
      <c r="N19" s="7" t="s">
        <v>1328</v>
      </c>
      <c r="O19" s="7" t="s">
        <v>1349</v>
      </c>
      <c r="P19" s="15" t="b">
        <v>0</v>
      </c>
      <c r="Q19" s="14" t="b">
        <v>0</v>
      </c>
    </row>
    <row r="20" spans="1:17" x14ac:dyDescent="0.3">
      <c r="A20" s="32" t="s">
        <v>1150</v>
      </c>
      <c r="B20" s="31"/>
      <c r="C20" s="31"/>
      <c r="D20" s="29">
        <v>0</v>
      </c>
      <c r="E20" s="29">
        <v>0</v>
      </c>
      <c r="F20" s="29">
        <v>0</v>
      </c>
      <c r="G20" s="175" t="s">
        <v>1155</v>
      </c>
      <c r="H20" s="29"/>
      <c r="I20" s="56" t="b">
        <v>0</v>
      </c>
      <c r="J20" s="56" t="b">
        <v>0</v>
      </c>
      <c r="K20" s="56" t="b">
        <v>1</v>
      </c>
      <c r="L20" s="29"/>
      <c r="M20" s="29"/>
      <c r="N20" s="29"/>
      <c r="O20" s="29"/>
      <c r="P20" s="29" t="b">
        <v>0</v>
      </c>
      <c r="Q20" s="56" t="b">
        <v>0</v>
      </c>
    </row>
    <row r="21" spans="1:17" x14ac:dyDescent="0.3">
      <c r="A21" s="32" t="s">
        <v>1153</v>
      </c>
      <c r="B21" s="31"/>
      <c r="C21" s="31"/>
      <c r="D21" s="29">
        <v>8000</v>
      </c>
      <c r="E21" s="29">
        <v>0</v>
      </c>
      <c r="F21" s="29">
        <v>0</v>
      </c>
      <c r="G21" s="32" t="s">
        <v>173</v>
      </c>
      <c r="H21" s="29"/>
      <c r="I21" s="56" t="b">
        <v>0</v>
      </c>
      <c r="J21" s="56" t="b">
        <v>0</v>
      </c>
      <c r="K21" s="56" t="b">
        <v>1</v>
      </c>
      <c r="L21" s="29"/>
      <c r="M21" s="29"/>
      <c r="N21" s="29"/>
      <c r="O21" s="29"/>
      <c r="P21" s="29" t="b">
        <v>0</v>
      </c>
      <c r="Q21" s="56" t="b">
        <v>0</v>
      </c>
    </row>
    <row r="22" spans="1:17" ht="27.75" x14ac:dyDescent="0.3">
      <c r="A22" s="32" t="s">
        <v>1152</v>
      </c>
      <c r="B22" s="31"/>
      <c r="C22" s="31"/>
      <c r="D22" s="29">
        <v>5000</v>
      </c>
      <c r="E22" s="29">
        <v>0</v>
      </c>
      <c r="F22" s="29">
        <v>0</v>
      </c>
      <c r="G22" s="32" t="s">
        <v>173</v>
      </c>
      <c r="H22" s="29" t="s">
        <v>1157</v>
      </c>
      <c r="I22" s="56" t="b">
        <v>0</v>
      </c>
      <c r="J22" s="56" t="b">
        <v>0</v>
      </c>
      <c r="K22" s="56" t="b">
        <v>1</v>
      </c>
      <c r="L22" s="74" t="s">
        <v>1419</v>
      </c>
      <c r="M22" s="29"/>
      <c r="N22" s="29"/>
      <c r="O22" s="29"/>
      <c r="P22" s="29" t="b">
        <v>0</v>
      </c>
      <c r="Q22" s="56" t="b">
        <v>0</v>
      </c>
    </row>
    <row r="23" spans="1:17" ht="27.75" customHeight="1" x14ac:dyDescent="0.3">
      <c r="A23" s="32" t="s">
        <v>1159</v>
      </c>
      <c r="B23" s="31"/>
      <c r="C23" s="31"/>
      <c r="D23" s="29">
        <v>0</v>
      </c>
      <c r="E23" s="29">
        <v>0</v>
      </c>
      <c r="F23" s="29">
        <v>0</v>
      </c>
      <c r="G23" s="32" t="s">
        <v>1160</v>
      </c>
      <c r="H23" s="29"/>
      <c r="I23" s="56" t="b">
        <v>0</v>
      </c>
      <c r="J23" s="56" t="b">
        <v>0</v>
      </c>
      <c r="K23" s="56" t="b">
        <v>0</v>
      </c>
      <c r="L23" s="74"/>
      <c r="M23" s="29" t="s">
        <v>241</v>
      </c>
      <c r="N23" s="29" t="s">
        <v>242</v>
      </c>
      <c r="O23" s="29" t="s">
        <v>1306</v>
      </c>
      <c r="P23" s="15" t="b">
        <v>0</v>
      </c>
      <c r="Q23" s="56" t="b">
        <v>0</v>
      </c>
    </row>
    <row r="24" spans="1:17" x14ac:dyDescent="0.3">
      <c r="A24" s="160" t="s">
        <v>1162</v>
      </c>
      <c r="B24" s="140"/>
      <c r="C24" s="140"/>
      <c r="D24" s="56">
        <v>0</v>
      </c>
      <c r="E24" s="158">
        <v>50</v>
      </c>
      <c r="F24" s="158">
        <v>1</v>
      </c>
      <c r="G24" s="176" t="s">
        <v>1164</v>
      </c>
      <c r="H24" s="158"/>
      <c r="I24" s="159" t="b">
        <v>0</v>
      </c>
      <c r="J24" s="159" t="b">
        <v>0</v>
      </c>
      <c r="K24" s="159" t="b">
        <v>0</v>
      </c>
      <c r="L24" s="159" t="s">
        <v>55</v>
      </c>
      <c r="M24" s="159" t="s">
        <v>241</v>
      </c>
      <c r="N24" s="159" t="s">
        <v>242</v>
      </c>
      <c r="O24" s="159" t="s">
        <v>1306</v>
      </c>
      <c r="P24" s="159" t="b">
        <v>0</v>
      </c>
      <c r="Q24" s="159" t="b">
        <v>1</v>
      </c>
    </row>
    <row r="25" spans="1:17" x14ac:dyDescent="0.3">
      <c r="A25" s="9" t="s">
        <v>542</v>
      </c>
      <c r="B25" s="8" t="s">
        <v>543</v>
      </c>
      <c r="C25" s="8" t="s">
        <v>544</v>
      </c>
      <c r="D25" s="7">
        <v>0</v>
      </c>
      <c r="E25" s="7">
        <v>0</v>
      </c>
      <c r="F25" s="7">
        <v>0</v>
      </c>
      <c r="G25" s="9" t="s">
        <v>545</v>
      </c>
      <c r="H25" s="7"/>
      <c r="I25" s="14" t="b">
        <v>0</v>
      </c>
      <c r="J25" s="14" t="b">
        <v>0</v>
      </c>
      <c r="K25" s="85" t="b">
        <v>1</v>
      </c>
      <c r="L25" s="7" t="s">
        <v>1168</v>
      </c>
      <c r="M25" s="7" t="s">
        <v>109</v>
      </c>
      <c r="N25" s="7" t="str">
        <f>"Buff.Name.Rotation."&amp;$C25</f>
        <v>Buff.Name.Rotation.Limerit</v>
      </c>
      <c r="O25" s="7" t="s">
        <v>1351</v>
      </c>
      <c r="P25" s="15" t="b">
        <v>0</v>
      </c>
      <c r="Q25" s="14" t="b">
        <v>0</v>
      </c>
    </row>
    <row r="26" spans="1:17" x14ac:dyDescent="0.3">
      <c r="A26" s="9" t="s">
        <v>546</v>
      </c>
      <c r="B26" s="8" t="s">
        <v>543</v>
      </c>
      <c r="C26" s="8" t="s">
        <v>547</v>
      </c>
      <c r="D26" s="7">
        <v>0</v>
      </c>
      <c r="E26" s="7">
        <v>0</v>
      </c>
      <c r="F26" s="7">
        <v>0</v>
      </c>
      <c r="G26" s="9" t="s">
        <v>548</v>
      </c>
      <c r="H26" s="7"/>
      <c r="I26" s="14" t="b">
        <v>0</v>
      </c>
      <c r="J26" s="14" t="b">
        <v>0</v>
      </c>
      <c r="K26" s="85" t="b">
        <v>1</v>
      </c>
      <c r="L26" s="7" t="s">
        <v>1167</v>
      </c>
      <c r="M26" s="7" t="s">
        <v>109</v>
      </c>
      <c r="N26" s="7" t="str">
        <f t="shared" ref="N26:N27" si="0">"Buff.Name.Rotation."&amp;$C26</f>
        <v>Buff.Name.Rotation.Stings</v>
      </c>
      <c r="O26" s="7" t="s">
        <v>1352</v>
      </c>
      <c r="P26" s="15" t="b">
        <v>0</v>
      </c>
      <c r="Q26" s="14" t="b">
        <v>0</v>
      </c>
    </row>
    <row r="27" spans="1:17" x14ac:dyDescent="0.3">
      <c r="A27" s="9" t="s">
        <v>549</v>
      </c>
      <c r="B27" s="8" t="s">
        <v>543</v>
      </c>
      <c r="C27" s="8" t="s">
        <v>550</v>
      </c>
      <c r="D27" s="7">
        <v>0</v>
      </c>
      <c r="E27" s="7">
        <v>0</v>
      </c>
      <c r="F27" s="7">
        <v>0</v>
      </c>
      <c r="G27" s="9" t="s">
        <v>551</v>
      </c>
      <c r="H27" s="7"/>
      <c r="I27" s="14" t="b">
        <v>0</v>
      </c>
      <c r="J27" s="14" t="b">
        <v>0</v>
      </c>
      <c r="K27" s="85" t="b">
        <v>1</v>
      </c>
      <c r="L27" s="7" t="s">
        <v>1167</v>
      </c>
      <c r="M27" s="7" t="s">
        <v>109</v>
      </c>
      <c r="N27" s="7" t="str">
        <f t="shared" si="0"/>
        <v>Buff.Name.Rotation.Artase</v>
      </c>
      <c r="O27" s="7" t="s">
        <v>1353</v>
      </c>
      <c r="P27" s="15" t="b">
        <v>0</v>
      </c>
      <c r="Q27" s="14" t="b">
        <v>0</v>
      </c>
    </row>
    <row r="28" spans="1:17" x14ac:dyDescent="0.3">
      <c r="A28" s="9" t="s">
        <v>552</v>
      </c>
      <c r="B28" s="8"/>
      <c r="C28" s="8"/>
      <c r="D28" s="7">
        <v>0</v>
      </c>
      <c r="E28" s="7">
        <v>0</v>
      </c>
      <c r="F28" s="7">
        <v>0</v>
      </c>
      <c r="G28" s="9" t="s">
        <v>553</v>
      </c>
      <c r="H28" s="7"/>
      <c r="I28" s="14" t="b">
        <v>0</v>
      </c>
      <c r="J28" s="14" t="b">
        <v>0</v>
      </c>
      <c r="K28" s="85" t="b">
        <v>1</v>
      </c>
      <c r="L28" s="7"/>
      <c r="M28" s="7" t="s">
        <v>80</v>
      </c>
      <c r="N28" s="7"/>
      <c r="O28" s="7"/>
      <c r="P28" s="15" t="b">
        <v>0</v>
      </c>
      <c r="Q28" s="14" t="b">
        <v>0</v>
      </c>
    </row>
    <row r="29" spans="1:17" x14ac:dyDescent="0.3">
      <c r="A29" s="9" t="s">
        <v>554</v>
      </c>
      <c r="B29" s="8"/>
      <c r="C29" s="8"/>
      <c r="D29" s="7">
        <v>0</v>
      </c>
      <c r="E29" s="7">
        <v>0</v>
      </c>
      <c r="F29" s="7">
        <v>0</v>
      </c>
      <c r="G29" s="9" t="s">
        <v>555</v>
      </c>
      <c r="H29" s="7"/>
      <c r="I29" s="14" t="b">
        <v>0</v>
      </c>
      <c r="J29" s="14" t="b">
        <v>0</v>
      </c>
      <c r="K29" s="85" t="b">
        <v>1</v>
      </c>
      <c r="L29" s="7"/>
      <c r="M29" s="7" t="s">
        <v>556</v>
      </c>
      <c r="N29" s="7"/>
      <c r="O29" s="7"/>
      <c r="P29" s="15" t="b">
        <v>0</v>
      </c>
      <c r="Q29" s="14" t="b">
        <v>0</v>
      </c>
    </row>
    <row r="30" spans="1:17" x14ac:dyDescent="0.3">
      <c r="A30" s="9" t="s">
        <v>557</v>
      </c>
      <c r="B30" s="8"/>
      <c r="C30" s="8"/>
      <c r="D30" s="7">
        <v>0</v>
      </c>
      <c r="E30" s="7">
        <v>0</v>
      </c>
      <c r="F30" s="7">
        <v>0</v>
      </c>
      <c r="G30" s="9" t="s">
        <v>558</v>
      </c>
      <c r="H30" s="7"/>
      <c r="I30" s="14" t="b">
        <v>0</v>
      </c>
      <c r="J30" s="14" t="b">
        <v>0</v>
      </c>
      <c r="K30" s="85" t="b">
        <v>1</v>
      </c>
      <c r="L30" s="7"/>
      <c r="M30" s="7" t="s">
        <v>56</v>
      </c>
      <c r="N30" s="7"/>
      <c r="O30" s="7"/>
      <c r="P30" s="15" t="b">
        <v>0</v>
      </c>
      <c r="Q30" s="14" t="b">
        <v>0</v>
      </c>
    </row>
    <row r="31" spans="1:17" ht="41.25" customHeight="1" x14ac:dyDescent="0.3">
      <c r="A31" s="9" t="s">
        <v>559</v>
      </c>
      <c r="B31" s="8"/>
      <c r="C31" s="8"/>
      <c r="D31" s="7">
        <v>0</v>
      </c>
      <c r="E31" s="7">
        <v>0</v>
      </c>
      <c r="F31" s="7">
        <v>0</v>
      </c>
      <c r="G31" s="174" t="s">
        <v>560</v>
      </c>
      <c r="H31" s="7"/>
      <c r="I31" s="14" t="b">
        <v>0</v>
      </c>
      <c r="J31" s="14" t="b">
        <v>0</v>
      </c>
      <c r="K31" s="85" t="b">
        <v>1</v>
      </c>
      <c r="L31" s="7"/>
      <c r="M31" s="7" t="s">
        <v>561</v>
      </c>
      <c r="N31" s="7"/>
      <c r="O31" s="7"/>
      <c r="P31" s="15" t="b">
        <v>0</v>
      </c>
      <c r="Q31" s="14" t="b">
        <v>0</v>
      </c>
    </row>
    <row r="32" spans="1:17" ht="41.25" customHeight="1" x14ac:dyDescent="0.3">
      <c r="A32" s="9" t="s">
        <v>562</v>
      </c>
      <c r="B32" s="8" t="s">
        <v>543</v>
      </c>
      <c r="C32" s="8" t="s">
        <v>544</v>
      </c>
      <c r="D32" s="7">
        <v>0</v>
      </c>
      <c r="E32" s="7">
        <v>0</v>
      </c>
      <c r="F32" s="7">
        <v>0</v>
      </c>
      <c r="G32" s="174" t="s">
        <v>560</v>
      </c>
      <c r="H32" s="7"/>
      <c r="I32" s="14" t="b">
        <v>0</v>
      </c>
      <c r="J32" s="14" t="b">
        <v>0</v>
      </c>
      <c r="K32" s="85" t="b">
        <v>1</v>
      </c>
      <c r="L32" s="7"/>
      <c r="M32" s="7" t="s">
        <v>563</v>
      </c>
      <c r="N32" s="7"/>
      <c r="O32" s="16" t="s">
        <v>564</v>
      </c>
      <c r="P32" s="15" t="b">
        <v>0</v>
      </c>
      <c r="Q32" s="14" t="b">
        <v>0</v>
      </c>
    </row>
    <row r="33" spans="1:17" ht="41.25" customHeight="1" x14ac:dyDescent="0.3">
      <c r="A33" s="9" t="s">
        <v>565</v>
      </c>
      <c r="B33" s="8" t="s">
        <v>543</v>
      </c>
      <c r="C33" s="8" t="s">
        <v>547</v>
      </c>
      <c r="D33" s="7">
        <v>0</v>
      </c>
      <c r="E33" s="7">
        <v>0</v>
      </c>
      <c r="F33" s="7">
        <v>0</v>
      </c>
      <c r="G33" s="174" t="s">
        <v>560</v>
      </c>
      <c r="H33" s="7"/>
      <c r="I33" s="14" t="b">
        <v>0</v>
      </c>
      <c r="J33" s="14" t="b">
        <v>0</v>
      </c>
      <c r="K33" s="85" t="b">
        <v>1</v>
      </c>
      <c r="L33" s="7"/>
      <c r="M33" s="7" t="s">
        <v>563</v>
      </c>
      <c r="N33" s="7"/>
      <c r="O33" s="16" t="s">
        <v>566</v>
      </c>
      <c r="P33" s="15" t="b">
        <v>0</v>
      </c>
      <c r="Q33" s="14" t="b">
        <v>0</v>
      </c>
    </row>
    <row r="34" spans="1:17" ht="41.25" customHeight="1" x14ac:dyDescent="0.3">
      <c r="A34" s="9" t="s">
        <v>567</v>
      </c>
      <c r="B34" s="8" t="s">
        <v>543</v>
      </c>
      <c r="C34" s="8" t="s">
        <v>550</v>
      </c>
      <c r="D34" s="7">
        <v>0</v>
      </c>
      <c r="E34" s="7">
        <v>0</v>
      </c>
      <c r="F34" s="7">
        <v>0</v>
      </c>
      <c r="G34" s="174" t="s">
        <v>560</v>
      </c>
      <c r="H34" s="7"/>
      <c r="I34" s="14" t="b">
        <v>0</v>
      </c>
      <c r="J34" s="14" t="b">
        <v>0</v>
      </c>
      <c r="K34" s="85" t="b">
        <v>1</v>
      </c>
      <c r="L34" s="7"/>
      <c r="M34" s="7" t="s">
        <v>563</v>
      </c>
      <c r="N34" s="7"/>
      <c r="O34" s="16" t="s">
        <v>568</v>
      </c>
      <c r="P34" s="15" t="b">
        <v>0</v>
      </c>
      <c r="Q34" s="14" t="b">
        <v>0</v>
      </c>
    </row>
    <row r="35" spans="1:17" ht="41.25" customHeight="1" x14ac:dyDescent="0.3">
      <c r="A35" s="39" t="s">
        <v>569</v>
      </c>
      <c r="B35" s="113" t="s">
        <v>543</v>
      </c>
      <c r="C35" s="113" t="s">
        <v>544</v>
      </c>
      <c r="D35" s="41">
        <v>0</v>
      </c>
      <c r="E35" s="41">
        <v>0</v>
      </c>
      <c r="F35" s="41">
        <v>0</v>
      </c>
      <c r="G35" s="177" t="s">
        <v>570</v>
      </c>
      <c r="H35" s="41"/>
      <c r="I35" s="98" t="b">
        <v>0</v>
      </c>
      <c r="J35" s="98" t="b">
        <v>0</v>
      </c>
      <c r="K35" s="98" t="b">
        <v>1</v>
      </c>
      <c r="L35" s="41" t="s">
        <v>63</v>
      </c>
      <c r="M35" s="41" t="s">
        <v>563</v>
      </c>
      <c r="N35" s="41" t="s">
        <v>571</v>
      </c>
      <c r="O35" s="114" t="s">
        <v>572</v>
      </c>
      <c r="P35" s="41" t="b">
        <v>0</v>
      </c>
      <c r="Q35" s="98" t="b">
        <v>0</v>
      </c>
    </row>
    <row r="36" spans="1:17" ht="41.25" customHeight="1" x14ac:dyDescent="0.3">
      <c r="A36" s="161" t="s">
        <v>573</v>
      </c>
      <c r="B36" s="41" t="s">
        <v>543</v>
      </c>
      <c r="C36" s="41" t="s">
        <v>547</v>
      </c>
      <c r="D36" s="107">
        <v>0</v>
      </c>
      <c r="E36" s="107">
        <v>0</v>
      </c>
      <c r="F36" s="107">
        <v>0</v>
      </c>
      <c r="G36" s="178" t="s">
        <v>570</v>
      </c>
      <c r="H36" s="107"/>
      <c r="I36" s="98" t="b">
        <v>0</v>
      </c>
      <c r="J36" s="98" t="b">
        <v>0</v>
      </c>
      <c r="K36" s="98" t="b">
        <v>1</v>
      </c>
      <c r="L36" s="107" t="s">
        <v>63</v>
      </c>
      <c r="M36" s="107" t="s">
        <v>563</v>
      </c>
      <c r="N36" s="107" t="s">
        <v>574</v>
      </c>
      <c r="O36" s="114" t="s">
        <v>575</v>
      </c>
      <c r="P36" s="41" t="b">
        <v>0</v>
      </c>
      <c r="Q36" s="98" t="b">
        <v>0</v>
      </c>
    </row>
    <row r="37" spans="1:17" ht="41.25" customHeight="1" x14ac:dyDescent="0.3">
      <c r="A37" s="161" t="s">
        <v>576</v>
      </c>
      <c r="B37" s="41" t="s">
        <v>543</v>
      </c>
      <c r="C37" s="41" t="s">
        <v>550</v>
      </c>
      <c r="D37" s="107">
        <v>0</v>
      </c>
      <c r="E37" s="107">
        <v>0</v>
      </c>
      <c r="F37" s="107">
        <v>0</v>
      </c>
      <c r="G37" s="178" t="s">
        <v>570</v>
      </c>
      <c r="H37" s="107"/>
      <c r="I37" s="98" t="b">
        <v>0</v>
      </c>
      <c r="J37" s="98" t="b">
        <v>0</v>
      </c>
      <c r="K37" s="98" t="b">
        <v>1</v>
      </c>
      <c r="L37" s="107" t="s">
        <v>63</v>
      </c>
      <c r="M37" s="107" t="s">
        <v>563</v>
      </c>
      <c r="N37" s="107" t="s">
        <v>577</v>
      </c>
      <c r="O37" s="114" t="s">
        <v>578</v>
      </c>
      <c r="P37" s="41" t="b">
        <v>0</v>
      </c>
      <c r="Q37" s="98" t="b">
        <v>0</v>
      </c>
    </row>
    <row r="38" spans="1:17" x14ac:dyDescent="0.3">
      <c r="A38" s="162" t="s">
        <v>579</v>
      </c>
      <c r="B38" s="101"/>
      <c r="C38" s="101"/>
      <c r="D38" s="100">
        <v>20000</v>
      </c>
      <c r="E38" s="100">
        <v>0</v>
      </c>
      <c r="F38" s="100">
        <v>0</v>
      </c>
      <c r="G38" s="179" t="s">
        <v>580</v>
      </c>
      <c r="H38" s="100"/>
      <c r="I38" s="102" t="b">
        <v>0</v>
      </c>
      <c r="J38" s="102" t="b">
        <v>0</v>
      </c>
      <c r="K38" s="102" t="b">
        <v>1</v>
      </c>
      <c r="L38" s="100" t="s">
        <v>63</v>
      </c>
      <c r="M38" s="100" t="s">
        <v>80</v>
      </c>
      <c r="N38" s="100" t="s">
        <v>81</v>
      </c>
      <c r="O38" s="103" t="s">
        <v>1296</v>
      </c>
      <c r="P38" s="101" t="b">
        <v>0</v>
      </c>
      <c r="Q38" s="102" t="b">
        <v>1</v>
      </c>
    </row>
    <row r="39" spans="1:17" x14ac:dyDescent="0.3">
      <c r="A39" s="162" t="s">
        <v>581</v>
      </c>
      <c r="B39" s="101"/>
      <c r="C39" s="101"/>
      <c r="D39" s="100">
        <v>5000</v>
      </c>
      <c r="E39" s="100">
        <v>0</v>
      </c>
      <c r="F39" s="100">
        <v>0</v>
      </c>
      <c r="G39" s="179" t="s">
        <v>582</v>
      </c>
      <c r="H39" s="100"/>
      <c r="I39" s="102" t="b">
        <v>0</v>
      </c>
      <c r="J39" s="102" t="b">
        <v>0</v>
      </c>
      <c r="K39" s="102" t="b">
        <v>0</v>
      </c>
      <c r="L39" s="100" t="s">
        <v>583</v>
      </c>
      <c r="M39" s="100" t="s">
        <v>584</v>
      </c>
      <c r="N39" s="100" t="s">
        <v>589</v>
      </c>
      <c r="O39" s="103" t="s">
        <v>1317</v>
      </c>
      <c r="P39" s="101" t="b">
        <v>0</v>
      </c>
      <c r="Q39" s="102" t="b">
        <v>1</v>
      </c>
    </row>
    <row r="40" spans="1:17" x14ac:dyDescent="0.3">
      <c r="A40" s="162" t="s">
        <v>585</v>
      </c>
      <c r="B40" s="101"/>
      <c r="C40" s="101"/>
      <c r="D40" s="100">
        <v>10000</v>
      </c>
      <c r="E40" s="100">
        <v>0</v>
      </c>
      <c r="F40" s="100">
        <v>0</v>
      </c>
      <c r="G40" s="179" t="s">
        <v>586</v>
      </c>
      <c r="H40" s="100"/>
      <c r="I40" s="102" t="b">
        <v>0</v>
      </c>
      <c r="J40" s="102" t="b">
        <v>0</v>
      </c>
      <c r="K40" s="102" t="b">
        <v>0</v>
      </c>
      <c r="L40" s="100"/>
      <c r="M40" s="100"/>
      <c r="N40" s="100"/>
      <c r="O40" s="103" t="s">
        <v>1301</v>
      </c>
      <c r="P40" s="101" t="b">
        <v>0</v>
      </c>
      <c r="Q40" s="102" t="b">
        <v>0</v>
      </c>
    </row>
    <row r="41" spans="1:17" ht="68.25" x14ac:dyDescent="0.3">
      <c r="A41" s="162" t="s">
        <v>587</v>
      </c>
      <c r="B41" s="101"/>
      <c r="C41" s="101"/>
      <c r="D41" s="100">
        <v>0</v>
      </c>
      <c r="E41" s="100">
        <v>0</v>
      </c>
      <c r="F41" s="100">
        <v>0</v>
      </c>
      <c r="G41" s="179" t="s">
        <v>2174</v>
      </c>
      <c r="H41" s="100"/>
      <c r="I41" s="102" t="b">
        <v>0</v>
      </c>
      <c r="J41" s="102" t="b">
        <v>0</v>
      </c>
      <c r="K41" s="102" t="b">
        <v>1</v>
      </c>
      <c r="L41" s="100"/>
      <c r="M41" s="100"/>
      <c r="N41" s="100"/>
      <c r="O41" s="103"/>
      <c r="P41" s="101" t="b">
        <v>0</v>
      </c>
      <c r="Q41" s="102" t="b">
        <v>0</v>
      </c>
    </row>
    <row r="42" spans="1:17" ht="41.25" x14ac:dyDescent="0.3">
      <c r="A42" s="162" t="s">
        <v>1398</v>
      </c>
      <c r="B42" s="101"/>
      <c r="C42" s="101"/>
      <c r="D42" s="100">
        <v>0</v>
      </c>
      <c r="E42" s="100">
        <v>0</v>
      </c>
      <c r="F42" s="100">
        <v>0</v>
      </c>
      <c r="G42" s="179" t="s">
        <v>1493</v>
      </c>
      <c r="H42" s="100"/>
      <c r="I42" s="102" t="b">
        <v>0</v>
      </c>
      <c r="J42" s="102" t="b">
        <v>0</v>
      </c>
      <c r="K42" s="102" t="b">
        <v>1</v>
      </c>
      <c r="L42" s="100"/>
      <c r="M42" s="100"/>
      <c r="N42" s="100"/>
      <c r="O42" s="103"/>
      <c r="P42" s="101" t="b">
        <v>0</v>
      </c>
      <c r="Q42" s="102" t="b">
        <v>0</v>
      </c>
    </row>
    <row r="43" spans="1:17" x14ac:dyDescent="0.3">
      <c r="A43" s="162" t="s">
        <v>2169</v>
      </c>
      <c r="B43" s="101"/>
      <c r="C43" s="101"/>
      <c r="D43" s="100">
        <v>50000</v>
      </c>
      <c r="E43" s="100">
        <v>0</v>
      </c>
      <c r="F43" s="100">
        <v>0</v>
      </c>
      <c r="G43" s="179" t="str">
        <f t="shared" ref="G43" si="1">A43&amp;".buffeffect"</f>
        <v>WorldRaid.eperiusunit_1.passive01.atkdown.buff.buffeffect</v>
      </c>
      <c r="H43" s="100"/>
      <c r="I43" s="102" t="b">
        <v>0</v>
      </c>
      <c r="J43" s="102" t="b">
        <v>0</v>
      </c>
      <c r="K43" s="102" t="b">
        <v>0</v>
      </c>
      <c r="L43" s="100"/>
      <c r="M43" s="100" t="s">
        <v>80</v>
      </c>
      <c r="N43" s="100" t="s">
        <v>2170</v>
      </c>
      <c r="O43" s="103" t="s">
        <v>2171</v>
      </c>
      <c r="P43" s="101" t="b">
        <v>0</v>
      </c>
      <c r="Q43" s="102" t="b">
        <v>1</v>
      </c>
    </row>
    <row r="44" spans="1:17" ht="54.75" x14ac:dyDescent="0.3">
      <c r="A44" s="165" t="s">
        <v>1849</v>
      </c>
      <c r="B44" s="48"/>
      <c r="C44" s="48"/>
      <c r="D44" s="90">
        <v>0</v>
      </c>
      <c r="E44" s="90">
        <v>0</v>
      </c>
      <c r="F44" s="90">
        <v>0</v>
      </c>
      <c r="G44" s="182" t="s">
        <v>1851</v>
      </c>
      <c r="H44" s="90"/>
      <c r="I44" s="95" t="b">
        <v>0</v>
      </c>
      <c r="J44" s="95" t="b">
        <v>0</v>
      </c>
      <c r="K44" s="95" t="b">
        <v>0</v>
      </c>
      <c r="L44" s="90"/>
      <c r="M44" s="90"/>
      <c r="N44" s="90"/>
      <c r="O44" s="145"/>
      <c r="P44" s="48" t="b">
        <v>0</v>
      </c>
      <c r="Q44" s="95" t="b">
        <v>0</v>
      </c>
    </row>
    <row r="45" spans="1:17" x14ac:dyDescent="0.3">
      <c r="A45" s="165" t="s">
        <v>1935</v>
      </c>
      <c r="B45" s="48"/>
      <c r="C45" s="48"/>
      <c r="D45" s="90">
        <v>0</v>
      </c>
      <c r="E45" s="90">
        <v>0</v>
      </c>
      <c r="F45" s="90">
        <v>0</v>
      </c>
      <c r="G45" s="182" t="s">
        <v>173</v>
      </c>
      <c r="H45" s="90"/>
      <c r="I45" s="95" t="b">
        <v>1</v>
      </c>
      <c r="J45" s="95" t="b">
        <v>0</v>
      </c>
      <c r="K45" s="95" t="b">
        <v>1</v>
      </c>
      <c r="L45" s="90"/>
      <c r="M45" s="90"/>
      <c r="N45" s="90"/>
      <c r="O45" s="145"/>
      <c r="P45" s="48" t="b">
        <v>0</v>
      </c>
      <c r="Q45" s="95" t="b">
        <v>0</v>
      </c>
    </row>
    <row r="46" spans="1:17" ht="27.75" customHeight="1" x14ac:dyDescent="0.3">
      <c r="A46" s="163" t="s">
        <v>1790</v>
      </c>
      <c r="B46" s="15"/>
      <c r="C46" s="15"/>
      <c r="D46" s="65">
        <v>3000</v>
      </c>
      <c r="E46" s="65">
        <v>0</v>
      </c>
      <c r="F46" s="65">
        <v>0</v>
      </c>
      <c r="G46" s="180" t="s">
        <v>1791</v>
      </c>
      <c r="H46" s="65"/>
      <c r="I46" s="57" t="b">
        <v>0</v>
      </c>
      <c r="J46" s="57" t="b">
        <v>0</v>
      </c>
      <c r="K46" s="57" t="b">
        <v>0</v>
      </c>
      <c r="L46" s="151" t="s">
        <v>588</v>
      </c>
      <c r="M46" s="65" t="s">
        <v>584</v>
      </c>
      <c r="N46" s="65" t="s">
        <v>589</v>
      </c>
      <c r="O46" s="66" t="s">
        <v>1317</v>
      </c>
      <c r="P46" s="15" t="b">
        <v>0</v>
      </c>
      <c r="Q46" s="57" t="b">
        <v>0</v>
      </c>
    </row>
    <row r="47" spans="1:17" x14ac:dyDescent="0.3">
      <c r="A47" s="163" t="s">
        <v>1792</v>
      </c>
      <c r="B47" s="15"/>
      <c r="C47" s="15"/>
      <c r="D47" s="65">
        <v>15000</v>
      </c>
      <c r="E47" s="65">
        <v>0</v>
      </c>
      <c r="F47" s="65">
        <v>0</v>
      </c>
      <c r="G47" s="180" t="str">
        <f>A47&amp;".buffeffect"</f>
        <v>Raid1001.kara_1.skill03.skillchange.buff.buffeffect</v>
      </c>
      <c r="H47" s="65"/>
      <c r="I47" s="57" t="b">
        <v>0</v>
      </c>
      <c r="J47" s="57" t="b">
        <v>0</v>
      </c>
      <c r="K47" s="57" t="b">
        <v>1</v>
      </c>
      <c r="L47" s="65" t="s">
        <v>590</v>
      </c>
      <c r="M47" s="65" t="s">
        <v>1335</v>
      </c>
      <c r="N47" s="65" t="s">
        <v>1336</v>
      </c>
      <c r="O47" s="66" t="s">
        <v>1337</v>
      </c>
      <c r="P47" s="15" t="b">
        <v>0</v>
      </c>
      <c r="Q47" s="57" t="b">
        <v>0</v>
      </c>
    </row>
    <row r="48" spans="1:17" x14ac:dyDescent="0.3">
      <c r="A48" s="163" t="s">
        <v>1793</v>
      </c>
      <c r="B48" s="15"/>
      <c r="C48" s="15"/>
      <c r="D48" s="65">
        <v>15000</v>
      </c>
      <c r="E48" s="65">
        <v>0</v>
      </c>
      <c r="F48" s="65">
        <v>0</v>
      </c>
      <c r="G48" s="180" t="str">
        <f t="shared" ref="G48:G49" si="2">A48&amp;".buffeffect"</f>
        <v>Raid1001.kara_1.skill03.atkspdup.buff.buffeffect</v>
      </c>
      <c r="H48" s="65"/>
      <c r="I48" s="57" t="b">
        <v>0</v>
      </c>
      <c r="J48" s="57" t="b">
        <v>0</v>
      </c>
      <c r="K48" s="57" t="b">
        <v>1</v>
      </c>
      <c r="L48" s="65"/>
      <c r="M48" s="65" t="s">
        <v>84</v>
      </c>
      <c r="N48" s="65" t="s">
        <v>85</v>
      </c>
      <c r="O48" s="66" t="s">
        <v>1309</v>
      </c>
      <c r="P48" s="15" t="b">
        <v>0</v>
      </c>
      <c r="Q48" s="57" t="b">
        <v>0</v>
      </c>
    </row>
    <row r="49" spans="1:17" x14ac:dyDescent="0.3">
      <c r="A49" s="163" t="s">
        <v>1794</v>
      </c>
      <c r="B49" s="15"/>
      <c r="C49" s="15"/>
      <c r="D49" s="65">
        <v>15000</v>
      </c>
      <c r="E49" s="65">
        <v>0</v>
      </c>
      <c r="F49" s="65">
        <v>0</v>
      </c>
      <c r="G49" s="180" t="str">
        <f t="shared" si="2"/>
        <v>Raid1001.kara_1.skill03.hpdrain.buff.buffeffect</v>
      </c>
      <c r="H49" s="65"/>
      <c r="I49" s="57" t="b">
        <v>0</v>
      </c>
      <c r="J49" s="57" t="b">
        <v>0</v>
      </c>
      <c r="K49" s="57" t="b">
        <v>1</v>
      </c>
      <c r="L49" s="65"/>
      <c r="M49" s="65" t="s">
        <v>80</v>
      </c>
      <c r="N49" s="65" t="s">
        <v>81</v>
      </c>
      <c r="O49" s="66" t="s">
        <v>1296</v>
      </c>
      <c r="P49" s="15" t="b">
        <v>0</v>
      </c>
      <c r="Q49" s="57" t="b">
        <v>0</v>
      </c>
    </row>
    <row r="50" spans="1:17" ht="27.75" x14ac:dyDescent="0.3">
      <c r="A50" s="163" t="s">
        <v>1795</v>
      </c>
      <c r="B50" s="15"/>
      <c r="C50" s="15"/>
      <c r="D50" s="65">
        <v>0</v>
      </c>
      <c r="E50" s="65">
        <v>0</v>
      </c>
      <c r="F50" s="65">
        <v>0</v>
      </c>
      <c r="G50" s="180" t="s">
        <v>1874</v>
      </c>
      <c r="H50" s="65"/>
      <c r="I50" s="57" t="b">
        <v>1</v>
      </c>
      <c r="J50" s="57" t="b">
        <v>0</v>
      </c>
      <c r="K50" s="57" t="b">
        <v>1</v>
      </c>
      <c r="L50" s="65"/>
      <c r="M50" s="65"/>
      <c r="N50" s="65"/>
      <c r="O50" s="66" t="s">
        <v>1301</v>
      </c>
      <c r="P50" s="15" t="b">
        <v>0</v>
      </c>
      <c r="Q50" s="57" t="b">
        <v>0</v>
      </c>
    </row>
    <row r="51" spans="1:17" ht="27.75" x14ac:dyDescent="0.3">
      <c r="A51" s="163" t="s">
        <v>1875</v>
      </c>
      <c r="B51" s="15"/>
      <c r="C51" s="15"/>
      <c r="D51" s="65">
        <v>0</v>
      </c>
      <c r="E51" s="65">
        <v>0</v>
      </c>
      <c r="F51" s="65">
        <v>0</v>
      </c>
      <c r="G51" s="180" t="str">
        <f t="shared" ref="G51:G52" si="3">LEFT(A51, LEN(A51) - 3 ) &amp;".buffeffect.01."&amp;RIGHT(A51,2) &amp;"
" &amp; LEFT(A51, LEN(A51) - 3 ) &amp;".buffeffect.02."&amp;RIGHT(A51,2)</f>
        <v>Raid1001.kara_1.passive02.buff.buffeffect.01.01
Raid1001.kara_1.passive02.buff.buffeffect.02.01</v>
      </c>
      <c r="H51" s="65"/>
      <c r="I51" s="57" t="b">
        <v>1</v>
      </c>
      <c r="J51" s="57" t="b">
        <v>0</v>
      </c>
      <c r="K51" s="57" t="b">
        <v>1</v>
      </c>
      <c r="L51" s="65"/>
      <c r="M51" s="65"/>
      <c r="N51" s="65"/>
      <c r="O51" s="66"/>
      <c r="P51" s="15" t="b">
        <v>0</v>
      </c>
      <c r="Q51" s="57" t="b">
        <v>0</v>
      </c>
    </row>
    <row r="52" spans="1:17" ht="27.75" x14ac:dyDescent="0.3">
      <c r="A52" s="163" t="s">
        <v>1876</v>
      </c>
      <c r="B52" s="15"/>
      <c r="C52" s="15"/>
      <c r="D52" s="65">
        <v>0</v>
      </c>
      <c r="E52" s="65">
        <v>0</v>
      </c>
      <c r="F52" s="65">
        <v>0</v>
      </c>
      <c r="G52" s="180" t="str">
        <f t="shared" si="3"/>
        <v>Raid1001.kara_1.passive02.buff.buffeffect.01.02
Raid1001.kara_1.passive02.buff.buffeffect.02.02</v>
      </c>
      <c r="H52" s="65"/>
      <c r="I52" s="57" t="b">
        <v>1</v>
      </c>
      <c r="J52" s="57" t="b">
        <v>0</v>
      </c>
      <c r="K52" s="57" t="b">
        <v>1</v>
      </c>
      <c r="L52" s="65"/>
      <c r="M52" s="65"/>
      <c r="N52" s="65"/>
      <c r="O52" s="66"/>
      <c r="P52" s="15" t="b">
        <v>0</v>
      </c>
      <c r="Q52" s="57" t="b">
        <v>0</v>
      </c>
    </row>
    <row r="53" spans="1:17" ht="27.75" x14ac:dyDescent="0.3">
      <c r="A53" s="163" t="s">
        <v>1877</v>
      </c>
      <c r="B53" s="15"/>
      <c r="C53" s="15"/>
      <c r="D53" s="65">
        <v>0</v>
      </c>
      <c r="E53" s="65">
        <v>0</v>
      </c>
      <c r="F53" s="65">
        <v>0</v>
      </c>
      <c r="G53" s="180" t="str">
        <f>LEFT(A53, LEN(A53) - 3 ) &amp;".buffeffect.01."&amp;RIGHT(A53,2) &amp;"
" &amp; LEFT(A53, LEN(A53) - 3 ) &amp;".buffeffect.02."&amp;RIGHT(A53,2)</f>
        <v>Raid1001.kara_1.passive02.buff.buffeffect.01.03
Raid1001.kara_1.passive02.buff.buffeffect.02.03</v>
      </c>
      <c r="H53" s="65"/>
      <c r="I53" s="57" t="b">
        <v>1</v>
      </c>
      <c r="J53" s="57" t="b">
        <v>0</v>
      </c>
      <c r="K53" s="57" t="b">
        <v>1</v>
      </c>
      <c r="L53" s="65"/>
      <c r="M53" s="65"/>
      <c r="N53" s="65"/>
      <c r="O53" s="66"/>
      <c r="P53" s="15" t="b">
        <v>0</v>
      </c>
      <c r="Q53" s="57" t="b">
        <v>0</v>
      </c>
    </row>
    <row r="54" spans="1:17" ht="27.75" x14ac:dyDescent="0.3">
      <c r="A54" s="163" t="s">
        <v>1878</v>
      </c>
      <c r="B54" s="15"/>
      <c r="C54" s="15"/>
      <c r="D54" s="65">
        <v>0</v>
      </c>
      <c r="E54" s="65">
        <v>0</v>
      </c>
      <c r="F54" s="65">
        <v>0</v>
      </c>
      <c r="G54" s="180" t="str">
        <f t="shared" ref="G54:G55" si="4">LEFT(A54, LEN(A54) - 3 ) &amp;".buffeffect.01."&amp;RIGHT(A54,2) &amp;"
" &amp; LEFT(A54, LEN(A54) - 3 ) &amp;".buffeffect.02."&amp;RIGHT(A54,2)</f>
        <v>Raid1001.kara_1.passive02.buff.buffeffect.01.04
Raid1001.kara_1.passive02.buff.buffeffect.02.04</v>
      </c>
      <c r="H54" s="65"/>
      <c r="I54" s="57" t="b">
        <v>1</v>
      </c>
      <c r="J54" s="57" t="b">
        <v>0</v>
      </c>
      <c r="K54" s="57" t="b">
        <v>1</v>
      </c>
      <c r="L54" s="65"/>
      <c r="M54" s="65"/>
      <c r="N54" s="65"/>
      <c r="O54" s="66"/>
      <c r="P54" s="15" t="b">
        <v>0</v>
      </c>
      <c r="Q54" s="57" t="b">
        <v>0</v>
      </c>
    </row>
    <row r="55" spans="1:17" ht="27.75" x14ac:dyDescent="0.3">
      <c r="A55" s="163" t="s">
        <v>1879</v>
      </c>
      <c r="B55" s="15"/>
      <c r="C55" s="15"/>
      <c r="D55" s="65">
        <v>0</v>
      </c>
      <c r="E55" s="65">
        <v>0</v>
      </c>
      <c r="F55" s="65">
        <v>0</v>
      </c>
      <c r="G55" s="180" t="str">
        <f t="shared" si="4"/>
        <v>Raid1001.kara_1.passive02.buff.buffeffect.01.05
Raid1001.kara_1.passive02.buff.buffeffect.02.05</v>
      </c>
      <c r="H55" s="65"/>
      <c r="I55" s="57" t="b">
        <v>1</v>
      </c>
      <c r="J55" s="57" t="b">
        <v>0</v>
      </c>
      <c r="K55" s="57" t="b">
        <v>1</v>
      </c>
      <c r="L55" s="65"/>
      <c r="M55" s="65"/>
      <c r="N55" s="65"/>
      <c r="O55" s="66"/>
      <c r="P55" s="15" t="b">
        <v>0</v>
      </c>
      <c r="Q55" s="57" t="b">
        <v>0</v>
      </c>
    </row>
    <row r="56" spans="1:17" ht="27.75" x14ac:dyDescent="0.3">
      <c r="A56" s="163" t="s">
        <v>2077</v>
      </c>
      <c r="B56" s="15"/>
      <c r="C56" s="15"/>
      <c r="D56" s="65">
        <v>0</v>
      </c>
      <c r="E56" s="65">
        <v>0</v>
      </c>
      <c r="F56" s="65">
        <v>0</v>
      </c>
      <c r="G56" s="180" t="str">
        <f t="shared" ref="G56:G60" si="5">LEFT(A56, LEN(A56) - 3 ) &amp;".buffeffect.01."&amp;RIGHT(A56,2) &amp;"
" &amp; LEFT(A56, LEN(A56) - 3 ) &amp;".buffeffect.02."&amp;RIGHT(A56,2)</f>
        <v>Raid1001.kara_1.passive02.buff.buffeffect.01.06
Raid1001.kara_1.passive02.buff.buffeffect.02.06</v>
      </c>
      <c r="H56" s="65"/>
      <c r="I56" s="57" t="b">
        <v>1</v>
      </c>
      <c r="J56" s="57" t="b">
        <v>0</v>
      </c>
      <c r="K56" s="57" t="b">
        <v>1</v>
      </c>
      <c r="L56" s="65"/>
      <c r="M56" s="65"/>
      <c r="N56" s="65"/>
      <c r="O56" s="66"/>
      <c r="P56" s="15" t="b">
        <v>0</v>
      </c>
      <c r="Q56" s="57" t="b">
        <v>0</v>
      </c>
    </row>
    <row r="57" spans="1:17" ht="27.75" x14ac:dyDescent="0.3">
      <c r="A57" s="163" t="s">
        <v>2078</v>
      </c>
      <c r="B57" s="15"/>
      <c r="C57" s="15"/>
      <c r="D57" s="65">
        <v>0</v>
      </c>
      <c r="E57" s="65">
        <v>0</v>
      </c>
      <c r="F57" s="65">
        <v>0</v>
      </c>
      <c r="G57" s="180" t="str">
        <f t="shared" si="5"/>
        <v>Raid1001.kara_1.passive02.buff.buffeffect.01.07
Raid1001.kara_1.passive02.buff.buffeffect.02.07</v>
      </c>
      <c r="H57" s="65"/>
      <c r="I57" s="57" t="b">
        <v>1</v>
      </c>
      <c r="J57" s="57" t="b">
        <v>0</v>
      </c>
      <c r="K57" s="57" t="b">
        <v>1</v>
      </c>
      <c r="L57" s="65"/>
      <c r="M57" s="65"/>
      <c r="N57" s="65"/>
      <c r="O57" s="66"/>
      <c r="P57" s="15" t="b">
        <v>0</v>
      </c>
      <c r="Q57" s="57" t="b">
        <v>0</v>
      </c>
    </row>
    <row r="58" spans="1:17" ht="27.75" x14ac:dyDescent="0.3">
      <c r="A58" s="163" t="s">
        <v>2079</v>
      </c>
      <c r="B58" s="15"/>
      <c r="C58" s="15"/>
      <c r="D58" s="65">
        <v>0</v>
      </c>
      <c r="E58" s="65">
        <v>0</v>
      </c>
      <c r="F58" s="65">
        <v>0</v>
      </c>
      <c r="G58" s="180" t="str">
        <f t="shared" si="5"/>
        <v>Raid1001.kara_1.passive02.buff.buffeffect.01.08
Raid1001.kara_1.passive02.buff.buffeffect.02.08</v>
      </c>
      <c r="H58" s="65"/>
      <c r="I58" s="57" t="b">
        <v>1</v>
      </c>
      <c r="J58" s="57" t="b">
        <v>0</v>
      </c>
      <c r="K58" s="57" t="b">
        <v>1</v>
      </c>
      <c r="L58" s="65"/>
      <c r="M58" s="65"/>
      <c r="N58" s="65"/>
      <c r="O58" s="66"/>
      <c r="P58" s="15" t="b">
        <v>0</v>
      </c>
      <c r="Q58" s="57" t="b">
        <v>0</v>
      </c>
    </row>
    <row r="59" spans="1:17" ht="27.75" x14ac:dyDescent="0.3">
      <c r="A59" s="163" t="s">
        <v>2080</v>
      </c>
      <c r="B59" s="15"/>
      <c r="C59" s="15"/>
      <c r="D59" s="65">
        <v>0</v>
      </c>
      <c r="E59" s="65">
        <v>0</v>
      </c>
      <c r="F59" s="65">
        <v>0</v>
      </c>
      <c r="G59" s="180" t="str">
        <f t="shared" si="5"/>
        <v>Raid1001.kara_1.passive02.buff.buffeffect.01.09
Raid1001.kara_1.passive02.buff.buffeffect.02.09</v>
      </c>
      <c r="H59" s="65"/>
      <c r="I59" s="57" t="b">
        <v>1</v>
      </c>
      <c r="J59" s="57" t="b">
        <v>0</v>
      </c>
      <c r="K59" s="57" t="b">
        <v>1</v>
      </c>
      <c r="L59" s="65"/>
      <c r="M59" s="65"/>
      <c r="N59" s="65"/>
      <c r="O59" s="66"/>
      <c r="P59" s="15" t="b">
        <v>0</v>
      </c>
      <c r="Q59" s="57" t="b">
        <v>0</v>
      </c>
    </row>
    <row r="60" spans="1:17" ht="27.75" x14ac:dyDescent="0.3">
      <c r="A60" s="163" t="s">
        <v>2081</v>
      </c>
      <c r="B60" s="15"/>
      <c r="C60" s="15"/>
      <c r="D60" s="65">
        <v>0</v>
      </c>
      <c r="E60" s="65">
        <v>0</v>
      </c>
      <c r="F60" s="65">
        <v>0</v>
      </c>
      <c r="G60" s="180" t="str">
        <f t="shared" si="5"/>
        <v>Raid1001.kara_1.passive02.buff.buffeffect.01.10
Raid1001.kara_1.passive02.buff.buffeffect.02.10</v>
      </c>
      <c r="H60" s="65"/>
      <c r="I60" s="57" t="b">
        <v>1</v>
      </c>
      <c r="J60" s="57" t="b">
        <v>0</v>
      </c>
      <c r="K60" s="57" t="b">
        <v>1</v>
      </c>
      <c r="L60" s="65"/>
      <c r="M60" s="65"/>
      <c r="N60" s="65"/>
      <c r="O60" s="66"/>
      <c r="P60" s="15" t="b">
        <v>0</v>
      </c>
      <c r="Q60" s="57" t="b">
        <v>0</v>
      </c>
    </row>
    <row r="61" spans="1:17" x14ac:dyDescent="0.3">
      <c r="A61" s="163" t="s">
        <v>1880</v>
      </c>
      <c r="B61" s="15"/>
      <c r="C61" s="15"/>
      <c r="D61" s="65">
        <v>0</v>
      </c>
      <c r="E61" s="65">
        <v>0</v>
      </c>
      <c r="F61" s="65">
        <v>0</v>
      </c>
      <c r="G61" s="180" t="str">
        <f>LEFT(A61, LEN(A61) - 3 ) &amp;".buffeffect."&amp;RIGHT(A61,2)</f>
        <v>Raid1001.kara_1.attacker.debuff.buff.buffeffect.01</v>
      </c>
      <c r="H61" s="65"/>
      <c r="I61" s="57" t="b">
        <v>1</v>
      </c>
      <c r="J61" s="57" t="b">
        <v>0</v>
      </c>
      <c r="K61" s="57" t="b">
        <v>1</v>
      </c>
      <c r="L61" s="65"/>
      <c r="M61" s="65"/>
      <c r="N61" s="65"/>
      <c r="O61" s="66"/>
      <c r="P61" s="15" t="b">
        <v>0</v>
      </c>
      <c r="Q61" s="57" t="b">
        <v>0</v>
      </c>
    </row>
    <row r="62" spans="1:17" x14ac:dyDescent="0.3">
      <c r="A62" s="163" t="s">
        <v>1881</v>
      </c>
      <c r="B62" s="15"/>
      <c r="C62" s="15"/>
      <c r="D62" s="65">
        <v>0</v>
      </c>
      <c r="E62" s="65">
        <v>0</v>
      </c>
      <c r="F62" s="65">
        <v>0</v>
      </c>
      <c r="G62" s="180" t="str">
        <f t="shared" ref="G62:G65" si="6">LEFT(A62, LEN(A62) - 3 ) &amp;".buffeffect."&amp;RIGHT(A62,2)</f>
        <v>Raid1001.kara_1.attacker.debuff.buff.buffeffect.02</v>
      </c>
      <c r="H62" s="65"/>
      <c r="I62" s="57" t="b">
        <v>1</v>
      </c>
      <c r="J62" s="57" t="b">
        <v>0</v>
      </c>
      <c r="K62" s="57" t="b">
        <v>1</v>
      </c>
      <c r="L62" s="65"/>
      <c r="M62" s="65"/>
      <c r="N62" s="65"/>
      <c r="O62" s="66"/>
      <c r="P62" s="15" t="b">
        <v>0</v>
      </c>
      <c r="Q62" s="57" t="b">
        <v>0</v>
      </c>
    </row>
    <row r="63" spans="1:17" x14ac:dyDescent="0.3">
      <c r="A63" s="163" t="s">
        <v>1882</v>
      </c>
      <c r="B63" s="15"/>
      <c r="C63" s="15"/>
      <c r="D63" s="65">
        <v>0</v>
      </c>
      <c r="E63" s="65">
        <v>0</v>
      </c>
      <c r="F63" s="65">
        <v>0</v>
      </c>
      <c r="G63" s="180" t="str">
        <f t="shared" si="6"/>
        <v>Raid1001.kara_1.attacker.debuff.buff.buffeffect.03</v>
      </c>
      <c r="H63" s="65"/>
      <c r="I63" s="57" t="b">
        <v>1</v>
      </c>
      <c r="J63" s="57" t="b">
        <v>0</v>
      </c>
      <c r="K63" s="57" t="b">
        <v>1</v>
      </c>
      <c r="L63" s="65"/>
      <c r="M63" s="65"/>
      <c r="N63" s="65"/>
      <c r="O63" s="66"/>
      <c r="P63" s="15" t="b">
        <v>0</v>
      </c>
      <c r="Q63" s="57" t="b">
        <v>0</v>
      </c>
    </row>
    <row r="64" spans="1:17" x14ac:dyDescent="0.3">
      <c r="A64" s="163" t="s">
        <v>1883</v>
      </c>
      <c r="B64" s="15"/>
      <c r="C64" s="15"/>
      <c r="D64" s="65">
        <v>0</v>
      </c>
      <c r="E64" s="65">
        <v>0</v>
      </c>
      <c r="F64" s="65">
        <v>0</v>
      </c>
      <c r="G64" s="180" t="str">
        <f t="shared" si="6"/>
        <v>Raid1001.kara_1.attacker.debuff.buff.buffeffect.04</v>
      </c>
      <c r="H64" s="65"/>
      <c r="I64" s="57" t="b">
        <v>1</v>
      </c>
      <c r="J64" s="57" t="b">
        <v>0</v>
      </c>
      <c r="K64" s="57" t="b">
        <v>1</v>
      </c>
      <c r="L64" s="65"/>
      <c r="M64" s="65"/>
      <c r="N64" s="65"/>
      <c r="O64" s="66"/>
      <c r="P64" s="15" t="b">
        <v>0</v>
      </c>
      <c r="Q64" s="57" t="b">
        <v>0</v>
      </c>
    </row>
    <row r="65" spans="1:17" x14ac:dyDescent="0.3">
      <c r="A65" s="163" t="s">
        <v>1884</v>
      </c>
      <c r="B65" s="15"/>
      <c r="C65" s="15"/>
      <c r="D65" s="65">
        <v>0</v>
      </c>
      <c r="E65" s="65">
        <v>0</v>
      </c>
      <c r="F65" s="65">
        <v>0</v>
      </c>
      <c r="G65" s="180" t="str">
        <f t="shared" si="6"/>
        <v>Raid1001.kara_1.attacker.debuff.buff.buffeffect.05</v>
      </c>
      <c r="H65" s="65"/>
      <c r="I65" s="57" t="b">
        <v>1</v>
      </c>
      <c r="J65" s="57" t="b">
        <v>0</v>
      </c>
      <c r="K65" s="57" t="b">
        <v>1</v>
      </c>
      <c r="L65" s="65"/>
      <c r="M65" s="65"/>
      <c r="N65" s="65"/>
      <c r="O65" s="66"/>
      <c r="P65" s="15" t="b">
        <v>0</v>
      </c>
      <c r="Q65" s="57" t="b">
        <v>0</v>
      </c>
    </row>
    <row r="66" spans="1:17" x14ac:dyDescent="0.3">
      <c r="A66" s="163" t="s">
        <v>2072</v>
      </c>
      <c r="B66" s="15"/>
      <c r="C66" s="15"/>
      <c r="D66" s="65">
        <v>0</v>
      </c>
      <c r="E66" s="65">
        <v>0</v>
      </c>
      <c r="F66" s="65">
        <v>0</v>
      </c>
      <c r="G66" s="180" t="str">
        <f t="shared" ref="G66:G70" si="7">LEFT(A66, LEN(A66) - 3 ) &amp;".buffeffect."&amp;RIGHT(A66,2)</f>
        <v>Raid1001.kara_1.attacker.debuff.buff.buffeffect.06</v>
      </c>
      <c r="H66" s="65"/>
      <c r="I66" s="57" t="b">
        <v>1</v>
      </c>
      <c r="J66" s="57" t="b">
        <v>0</v>
      </c>
      <c r="K66" s="57" t="b">
        <v>1</v>
      </c>
      <c r="L66" s="65"/>
      <c r="M66" s="65"/>
      <c r="N66" s="65"/>
      <c r="O66" s="66"/>
      <c r="P66" s="15" t="b">
        <v>0</v>
      </c>
      <c r="Q66" s="57" t="b">
        <v>0</v>
      </c>
    </row>
    <row r="67" spans="1:17" x14ac:dyDescent="0.3">
      <c r="A67" s="163" t="s">
        <v>2073</v>
      </c>
      <c r="B67" s="15"/>
      <c r="C67" s="15"/>
      <c r="D67" s="65">
        <v>0</v>
      </c>
      <c r="E67" s="65">
        <v>0</v>
      </c>
      <c r="F67" s="65">
        <v>0</v>
      </c>
      <c r="G67" s="180" t="str">
        <f t="shared" si="7"/>
        <v>Raid1001.kara_1.attacker.debuff.buff.buffeffect.07</v>
      </c>
      <c r="H67" s="65"/>
      <c r="I67" s="57" t="b">
        <v>1</v>
      </c>
      <c r="J67" s="57" t="b">
        <v>0</v>
      </c>
      <c r="K67" s="57" t="b">
        <v>1</v>
      </c>
      <c r="L67" s="65"/>
      <c r="M67" s="65"/>
      <c r="N67" s="65"/>
      <c r="O67" s="66"/>
      <c r="P67" s="15" t="b">
        <v>0</v>
      </c>
      <c r="Q67" s="57" t="b">
        <v>0</v>
      </c>
    </row>
    <row r="68" spans="1:17" x14ac:dyDescent="0.3">
      <c r="A68" s="163" t="s">
        <v>2074</v>
      </c>
      <c r="B68" s="15"/>
      <c r="C68" s="15"/>
      <c r="D68" s="65">
        <v>0</v>
      </c>
      <c r="E68" s="65">
        <v>0</v>
      </c>
      <c r="F68" s="65">
        <v>0</v>
      </c>
      <c r="G68" s="180" t="str">
        <f t="shared" si="7"/>
        <v>Raid1001.kara_1.attacker.debuff.buff.buffeffect.08</v>
      </c>
      <c r="H68" s="65"/>
      <c r="I68" s="57" t="b">
        <v>1</v>
      </c>
      <c r="J68" s="57" t="b">
        <v>0</v>
      </c>
      <c r="K68" s="57" t="b">
        <v>1</v>
      </c>
      <c r="L68" s="65"/>
      <c r="M68" s="65"/>
      <c r="N68" s="65"/>
      <c r="O68" s="66"/>
      <c r="P68" s="15" t="b">
        <v>0</v>
      </c>
      <c r="Q68" s="57" t="b">
        <v>0</v>
      </c>
    </row>
    <row r="69" spans="1:17" x14ac:dyDescent="0.3">
      <c r="A69" s="163" t="s">
        <v>2075</v>
      </c>
      <c r="B69" s="15"/>
      <c r="C69" s="15"/>
      <c r="D69" s="65">
        <v>0</v>
      </c>
      <c r="E69" s="65">
        <v>0</v>
      </c>
      <c r="F69" s="65">
        <v>0</v>
      </c>
      <c r="G69" s="180" t="str">
        <f t="shared" si="7"/>
        <v>Raid1001.kara_1.attacker.debuff.buff.buffeffect.09</v>
      </c>
      <c r="H69" s="65"/>
      <c r="I69" s="57" t="b">
        <v>1</v>
      </c>
      <c r="J69" s="57" t="b">
        <v>0</v>
      </c>
      <c r="K69" s="57" t="b">
        <v>1</v>
      </c>
      <c r="L69" s="65"/>
      <c r="M69" s="65"/>
      <c r="N69" s="65"/>
      <c r="O69" s="66"/>
      <c r="P69" s="15" t="b">
        <v>0</v>
      </c>
      <c r="Q69" s="57" t="b">
        <v>0</v>
      </c>
    </row>
    <row r="70" spans="1:17" x14ac:dyDescent="0.3">
      <c r="A70" s="163" t="s">
        <v>2076</v>
      </c>
      <c r="B70" s="15"/>
      <c r="C70" s="15"/>
      <c r="D70" s="65">
        <v>0</v>
      </c>
      <c r="E70" s="65">
        <v>0</v>
      </c>
      <c r="F70" s="65">
        <v>0</v>
      </c>
      <c r="G70" s="180" t="str">
        <f t="shared" si="7"/>
        <v>Raid1001.kara_1.attacker.debuff.buff.buffeffect.10</v>
      </c>
      <c r="H70" s="65"/>
      <c r="I70" s="57" t="b">
        <v>1</v>
      </c>
      <c r="J70" s="57" t="b">
        <v>0</v>
      </c>
      <c r="K70" s="57" t="b">
        <v>1</v>
      </c>
      <c r="L70" s="65"/>
      <c r="M70" s="65"/>
      <c r="N70" s="65"/>
      <c r="O70" s="66"/>
      <c r="P70" s="15" t="b">
        <v>0</v>
      </c>
      <c r="Q70" s="57" t="b">
        <v>0</v>
      </c>
    </row>
    <row r="71" spans="1:17" x14ac:dyDescent="0.3">
      <c r="A71" s="162" t="s">
        <v>1799</v>
      </c>
      <c r="B71" s="101"/>
      <c r="C71" s="101"/>
      <c r="D71" s="100">
        <v>3000</v>
      </c>
      <c r="E71" s="100">
        <v>0</v>
      </c>
      <c r="F71" s="100">
        <v>0</v>
      </c>
      <c r="G71" s="179" t="s">
        <v>1800</v>
      </c>
      <c r="H71" s="100"/>
      <c r="I71" s="102" t="b">
        <v>0</v>
      </c>
      <c r="J71" s="102" t="b">
        <v>0</v>
      </c>
      <c r="K71" s="102" t="b">
        <v>0</v>
      </c>
      <c r="L71" s="100" t="s">
        <v>583</v>
      </c>
      <c r="M71" s="100" t="s">
        <v>584</v>
      </c>
      <c r="N71" s="100" t="s">
        <v>589</v>
      </c>
      <c r="O71" s="103" t="s">
        <v>1317</v>
      </c>
      <c r="P71" s="101" t="b">
        <v>0</v>
      </c>
      <c r="Q71" s="102" t="b">
        <v>0</v>
      </c>
    </row>
    <row r="72" spans="1:17" x14ac:dyDescent="0.3">
      <c r="A72" s="162" t="s">
        <v>1801</v>
      </c>
      <c r="B72" s="101"/>
      <c r="C72" s="101"/>
      <c r="D72" s="100">
        <v>15000</v>
      </c>
      <c r="E72" s="100">
        <v>0</v>
      </c>
      <c r="F72" s="100">
        <v>0</v>
      </c>
      <c r="G72" s="179" t="str">
        <f>A72&amp;".buffeffect"</f>
        <v>Raid1001.kara_2.skill03.skillchange.buff.buffeffect</v>
      </c>
      <c r="H72" s="100"/>
      <c r="I72" s="102" t="b">
        <v>0</v>
      </c>
      <c r="J72" s="102" t="b">
        <v>0</v>
      </c>
      <c r="K72" s="102" t="b">
        <v>1</v>
      </c>
      <c r="L72" s="100" t="s">
        <v>590</v>
      </c>
      <c r="M72" s="100" t="s">
        <v>1335</v>
      </c>
      <c r="N72" s="100" t="s">
        <v>1336</v>
      </c>
      <c r="O72" s="103" t="s">
        <v>1337</v>
      </c>
      <c r="P72" s="101" t="b">
        <v>0</v>
      </c>
      <c r="Q72" s="102" t="b">
        <v>0</v>
      </c>
    </row>
    <row r="73" spans="1:17" x14ac:dyDescent="0.3">
      <c r="A73" s="162" t="s">
        <v>1802</v>
      </c>
      <c r="B73" s="101"/>
      <c r="C73" s="101"/>
      <c r="D73" s="100">
        <v>15000</v>
      </c>
      <c r="E73" s="100">
        <v>0</v>
      </c>
      <c r="F73" s="100">
        <v>0</v>
      </c>
      <c r="G73" s="179" t="str">
        <f t="shared" ref="G73:G74" si="8">A73&amp;".buffeffect"</f>
        <v>Raid1001.kara_2.skill03.atkspdup.buff.buffeffect</v>
      </c>
      <c r="H73" s="100"/>
      <c r="I73" s="102" t="b">
        <v>0</v>
      </c>
      <c r="J73" s="102" t="b">
        <v>0</v>
      </c>
      <c r="K73" s="102" t="b">
        <v>1</v>
      </c>
      <c r="L73" s="100"/>
      <c r="M73" s="100" t="s">
        <v>84</v>
      </c>
      <c r="N73" s="100" t="s">
        <v>85</v>
      </c>
      <c r="O73" s="103" t="s">
        <v>1309</v>
      </c>
      <c r="P73" s="101" t="b">
        <v>0</v>
      </c>
      <c r="Q73" s="102" t="b">
        <v>0</v>
      </c>
    </row>
    <row r="74" spans="1:17" x14ac:dyDescent="0.3">
      <c r="A74" s="162" t="s">
        <v>1803</v>
      </c>
      <c r="B74" s="101"/>
      <c r="C74" s="101"/>
      <c r="D74" s="100">
        <v>15000</v>
      </c>
      <c r="E74" s="100">
        <v>0</v>
      </c>
      <c r="F74" s="100">
        <v>0</v>
      </c>
      <c r="G74" s="179" t="str">
        <f t="shared" si="8"/>
        <v>Raid1001.kara_2.skill03.hpdrain.buff.buffeffect</v>
      </c>
      <c r="H74" s="100"/>
      <c r="I74" s="102" t="b">
        <v>0</v>
      </c>
      <c r="J74" s="102" t="b">
        <v>0</v>
      </c>
      <c r="K74" s="102" t="b">
        <v>1</v>
      </c>
      <c r="L74" s="100"/>
      <c r="M74" s="100" t="s">
        <v>80</v>
      </c>
      <c r="N74" s="100" t="s">
        <v>81</v>
      </c>
      <c r="O74" s="103" t="s">
        <v>1296</v>
      </c>
      <c r="P74" s="101" t="b">
        <v>0</v>
      </c>
      <c r="Q74" s="102" t="b">
        <v>0</v>
      </c>
    </row>
    <row r="75" spans="1:17" ht="27.75" x14ac:dyDescent="0.3">
      <c r="A75" s="162" t="s">
        <v>1804</v>
      </c>
      <c r="B75" s="101"/>
      <c r="C75" s="101"/>
      <c r="D75" s="100">
        <v>0</v>
      </c>
      <c r="E75" s="100">
        <v>0</v>
      </c>
      <c r="F75" s="100">
        <v>0</v>
      </c>
      <c r="G75" s="179" t="s">
        <v>1934</v>
      </c>
      <c r="H75" s="100"/>
      <c r="I75" s="102" t="b">
        <v>1</v>
      </c>
      <c r="J75" s="102" t="b">
        <v>0</v>
      </c>
      <c r="K75" s="102" t="b">
        <v>1</v>
      </c>
      <c r="L75" s="100"/>
      <c r="M75" s="100"/>
      <c r="N75" s="100"/>
      <c r="O75" s="103" t="s">
        <v>1301</v>
      </c>
      <c r="P75" s="101" t="b">
        <v>0</v>
      </c>
      <c r="Q75" s="102" t="b">
        <v>0</v>
      </c>
    </row>
    <row r="76" spans="1:17" ht="27.75" x14ac:dyDescent="0.3">
      <c r="A76" s="162" t="s">
        <v>1905</v>
      </c>
      <c r="B76" s="101"/>
      <c r="C76" s="101"/>
      <c r="D76" s="100">
        <v>0</v>
      </c>
      <c r="E76" s="100">
        <v>0</v>
      </c>
      <c r="F76" s="100">
        <v>0</v>
      </c>
      <c r="G76" s="179" t="str">
        <f t="shared" ref="G76:G77" si="9">LEFT(A76, LEN(A76) - 3 ) &amp;".buffeffect.01."&amp;RIGHT(A76,2) &amp;"
" &amp; LEFT(A76, LEN(A76) - 3 ) &amp;".buffeffect.02."&amp;RIGHT(A76,2)</f>
        <v>Raid1001.kara_2.passive02.buff.buffeffect.01.01
Raid1001.kara_2.passive02.buff.buffeffect.02.01</v>
      </c>
      <c r="H76" s="100"/>
      <c r="I76" s="102" t="b">
        <v>1</v>
      </c>
      <c r="J76" s="102" t="b">
        <v>0</v>
      </c>
      <c r="K76" s="102" t="b">
        <v>1</v>
      </c>
      <c r="L76" s="100"/>
      <c r="M76" s="100"/>
      <c r="N76" s="100"/>
      <c r="O76" s="103"/>
      <c r="P76" s="101" t="b">
        <v>0</v>
      </c>
      <c r="Q76" s="102" t="b">
        <v>0</v>
      </c>
    </row>
    <row r="77" spans="1:17" ht="27.75" x14ac:dyDescent="0.3">
      <c r="A77" s="162" t="s">
        <v>1906</v>
      </c>
      <c r="B77" s="101"/>
      <c r="C77" s="101"/>
      <c r="D77" s="100">
        <v>0</v>
      </c>
      <c r="E77" s="100">
        <v>0</v>
      </c>
      <c r="F77" s="100">
        <v>0</v>
      </c>
      <c r="G77" s="179" t="str">
        <f t="shared" si="9"/>
        <v>Raid1001.kara_2.passive02.buff.buffeffect.01.02
Raid1001.kara_2.passive02.buff.buffeffect.02.02</v>
      </c>
      <c r="H77" s="100"/>
      <c r="I77" s="102" t="b">
        <v>1</v>
      </c>
      <c r="J77" s="102" t="b">
        <v>0</v>
      </c>
      <c r="K77" s="102" t="b">
        <v>1</v>
      </c>
      <c r="L77" s="100"/>
      <c r="M77" s="100"/>
      <c r="N77" s="100"/>
      <c r="O77" s="103"/>
      <c r="P77" s="101" t="b">
        <v>0</v>
      </c>
      <c r="Q77" s="102" t="b">
        <v>0</v>
      </c>
    </row>
    <row r="78" spans="1:17" ht="27.75" x14ac:dyDescent="0.3">
      <c r="A78" s="162" t="s">
        <v>1907</v>
      </c>
      <c r="B78" s="101"/>
      <c r="C78" s="101"/>
      <c r="D78" s="100">
        <v>0</v>
      </c>
      <c r="E78" s="100">
        <v>0</v>
      </c>
      <c r="F78" s="100">
        <v>0</v>
      </c>
      <c r="G78" s="179" t="str">
        <f>LEFT(A78, LEN(A78) - 3 ) &amp;".buffeffect.01."&amp;RIGHT(A78,2) &amp;"
" &amp; LEFT(A78, LEN(A78) - 3 ) &amp;".buffeffect.02."&amp;RIGHT(A78,2)</f>
        <v>Raid1001.kara_2.passive02.buff.buffeffect.01.03
Raid1001.kara_2.passive02.buff.buffeffect.02.03</v>
      </c>
      <c r="H78" s="100"/>
      <c r="I78" s="102" t="b">
        <v>1</v>
      </c>
      <c r="J78" s="102" t="b">
        <v>0</v>
      </c>
      <c r="K78" s="102" t="b">
        <v>1</v>
      </c>
      <c r="L78" s="100"/>
      <c r="M78" s="100"/>
      <c r="N78" s="100"/>
      <c r="O78" s="103"/>
      <c r="P78" s="101" t="b">
        <v>0</v>
      </c>
      <c r="Q78" s="102" t="b">
        <v>0</v>
      </c>
    </row>
    <row r="79" spans="1:17" ht="27.75" x14ac:dyDescent="0.3">
      <c r="A79" s="162" t="s">
        <v>1908</v>
      </c>
      <c r="B79" s="101"/>
      <c r="C79" s="101"/>
      <c r="D79" s="100">
        <v>0</v>
      </c>
      <c r="E79" s="100">
        <v>0</v>
      </c>
      <c r="F79" s="100">
        <v>0</v>
      </c>
      <c r="G79" s="179" t="str">
        <f t="shared" ref="G79:G80" si="10">LEFT(A79, LEN(A79) - 3 ) &amp;".buffeffect.01."&amp;RIGHT(A79,2) &amp;"
" &amp; LEFT(A79, LEN(A79) - 3 ) &amp;".buffeffect.02."&amp;RIGHT(A79,2)</f>
        <v>Raid1001.kara_2.passive02.buff.buffeffect.01.04
Raid1001.kara_2.passive02.buff.buffeffect.02.04</v>
      </c>
      <c r="H79" s="100"/>
      <c r="I79" s="102" t="b">
        <v>1</v>
      </c>
      <c r="J79" s="102" t="b">
        <v>0</v>
      </c>
      <c r="K79" s="102" t="b">
        <v>1</v>
      </c>
      <c r="L79" s="100"/>
      <c r="M79" s="100"/>
      <c r="N79" s="100"/>
      <c r="O79" s="103"/>
      <c r="P79" s="101" t="b">
        <v>0</v>
      </c>
      <c r="Q79" s="102" t="b">
        <v>0</v>
      </c>
    </row>
    <row r="80" spans="1:17" ht="27.75" x14ac:dyDescent="0.3">
      <c r="A80" s="162" t="s">
        <v>1909</v>
      </c>
      <c r="B80" s="101"/>
      <c r="C80" s="101"/>
      <c r="D80" s="100">
        <v>0</v>
      </c>
      <c r="E80" s="100">
        <v>0</v>
      </c>
      <c r="F80" s="100">
        <v>0</v>
      </c>
      <c r="G80" s="179" t="str">
        <f t="shared" si="10"/>
        <v>Raid1001.kara_2.passive02.buff.buffeffect.01.05
Raid1001.kara_2.passive02.buff.buffeffect.02.05</v>
      </c>
      <c r="H80" s="100"/>
      <c r="I80" s="102" t="b">
        <v>1</v>
      </c>
      <c r="J80" s="102" t="b">
        <v>0</v>
      </c>
      <c r="K80" s="102" t="b">
        <v>1</v>
      </c>
      <c r="L80" s="100"/>
      <c r="M80" s="100"/>
      <c r="N80" s="100"/>
      <c r="O80" s="103"/>
      <c r="P80" s="101" t="b">
        <v>0</v>
      </c>
      <c r="Q80" s="102" t="b">
        <v>0</v>
      </c>
    </row>
    <row r="81" spans="1:17" x14ac:dyDescent="0.3">
      <c r="A81" s="162" t="s">
        <v>1910</v>
      </c>
      <c r="B81" s="101"/>
      <c r="C81" s="101"/>
      <c r="D81" s="100">
        <v>0</v>
      </c>
      <c r="E81" s="100">
        <v>0</v>
      </c>
      <c r="F81" s="100">
        <v>0</v>
      </c>
      <c r="G81" s="179" t="str">
        <f>LEFT(A81, LEN(A81) - 3 ) &amp;".buffeffect."&amp;RIGHT(A81,2)</f>
        <v>Raid1001.kara_2.attacker.debuff.buff.buffeffect.01</v>
      </c>
      <c r="H81" s="100"/>
      <c r="I81" s="102" t="b">
        <v>1</v>
      </c>
      <c r="J81" s="102" t="b">
        <v>0</v>
      </c>
      <c r="K81" s="102" t="b">
        <v>1</v>
      </c>
      <c r="L81" s="100"/>
      <c r="M81" s="100"/>
      <c r="N81" s="100"/>
      <c r="O81" s="103"/>
      <c r="P81" s="101" t="b">
        <v>0</v>
      </c>
      <c r="Q81" s="102" t="b">
        <v>0</v>
      </c>
    </row>
    <row r="82" spans="1:17" x14ac:dyDescent="0.3">
      <c r="A82" s="162" t="s">
        <v>1911</v>
      </c>
      <c r="B82" s="101"/>
      <c r="C82" s="101"/>
      <c r="D82" s="100">
        <v>0</v>
      </c>
      <c r="E82" s="100">
        <v>0</v>
      </c>
      <c r="F82" s="100">
        <v>0</v>
      </c>
      <c r="G82" s="179" t="str">
        <f t="shared" ref="G82:G85" si="11">LEFT(A82, LEN(A82) - 3 ) &amp;".buffeffect."&amp;RIGHT(A82,2)</f>
        <v>Raid1001.kara_2.attacker.debuff.buff.buffeffect.02</v>
      </c>
      <c r="H82" s="100"/>
      <c r="I82" s="102" t="b">
        <v>1</v>
      </c>
      <c r="J82" s="102" t="b">
        <v>0</v>
      </c>
      <c r="K82" s="102" t="b">
        <v>1</v>
      </c>
      <c r="L82" s="100"/>
      <c r="M82" s="100"/>
      <c r="N82" s="100"/>
      <c r="O82" s="103"/>
      <c r="P82" s="101" t="b">
        <v>0</v>
      </c>
      <c r="Q82" s="102" t="b">
        <v>0</v>
      </c>
    </row>
    <row r="83" spans="1:17" x14ac:dyDescent="0.3">
      <c r="A83" s="162" t="s">
        <v>1912</v>
      </c>
      <c r="B83" s="101"/>
      <c r="C83" s="101"/>
      <c r="D83" s="100">
        <v>0</v>
      </c>
      <c r="E83" s="100">
        <v>0</v>
      </c>
      <c r="F83" s="100">
        <v>0</v>
      </c>
      <c r="G83" s="179" t="str">
        <f t="shared" si="11"/>
        <v>Raid1001.kara_2.attacker.debuff.buff.buffeffect.03</v>
      </c>
      <c r="H83" s="100"/>
      <c r="I83" s="102" t="b">
        <v>1</v>
      </c>
      <c r="J83" s="102" t="b">
        <v>0</v>
      </c>
      <c r="K83" s="102" t="b">
        <v>1</v>
      </c>
      <c r="L83" s="100"/>
      <c r="M83" s="100"/>
      <c r="N83" s="100"/>
      <c r="O83" s="103"/>
      <c r="P83" s="101" t="b">
        <v>0</v>
      </c>
      <c r="Q83" s="102" t="b">
        <v>0</v>
      </c>
    </row>
    <row r="84" spans="1:17" x14ac:dyDescent="0.3">
      <c r="A84" s="162" t="s">
        <v>1913</v>
      </c>
      <c r="B84" s="101"/>
      <c r="C84" s="101"/>
      <c r="D84" s="100">
        <v>0</v>
      </c>
      <c r="E84" s="100">
        <v>0</v>
      </c>
      <c r="F84" s="100">
        <v>0</v>
      </c>
      <c r="G84" s="179" t="str">
        <f t="shared" si="11"/>
        <v>Raid1001.kara_2.attacker.debuff.buff.buffeffect.04</v>
      </c>
      <c r="H84" s="100"/>
      <c r="I84" s="102" t="b">
        <v>1</v>
      </c>
      <c r="J84" s="102" t="b">
        <v>0</v>
      </c>
      <c r="K84" s="102" t="b">
        <v>1</v>
      </c>
      <c r="L84" s="100"/>
      <c r="M84" s="100"/>
      <c r="N84" s="100"/>
      <c r="O84" s="103"/>
      <c r="P84" s="101" t="b">
        <v>0</v>
      </c>
      <c r="Q84" s="102" t="b">
        <v>0</v>
      </c>
    </row>
    <row r="85" spans="1:17" x14ac:dyDescent="0.3">
      <c r="A85" s="162" t="s">
        <v>1914</v>
      </c>
      <c r="B85" s="101"/>
      <c r="C85" s="101"/>
      <c r="D85" s="100">
        <v>0</v>
      </c>
      <c r="E85" s="100">
        <v>0</v>
      </c>
      <c r="F85" s="100">
        <v>0</v>
      </c>
      <c r="G85" s="179" t="str">
        <f t="shared" si="11"/>
        <v>Raid1001.kara_2.attacker.debuff.buff.buffeffect.05</v>
      </c>
      <c r="H85" s="100"/>
      <c r="I85" s="102" t="b">
        <v>1</v>
      </c>
      <c r="J85" s="102" t="b">
        <v>0</v>
      </c>
      <c r="K85" s="102" t="b">
        <v>1</v>
      </c>
      <c r="L85" s="100"/>
      <c r="M85" s="100"/>
      <c r="N85" s="100"/>
      <c r="O85" s="103"/>
      <c r="P85" s="101" t="b">
        <v>0</v>
      </c>
      <c r="Q85" s="102" t="b">
        <v>0</v>
      </c>
    </row>
    <row r="86" spans="1:17" x14ac:dyDescent="0.3">
      <c r="A86" s="166" t="s">
        <v>2144</v>
      </c>
      <c r="B86" s="43"/>
      <c r="C86" s="43"/>
      <c r="D86" s="68">
        <v>5000</v>
      </c>
      <c r="E86" s="68">
        <v>0</v>
      </c>
      <c r="F86" s="68">
        <v>0</v>
      </c>
      <c r="G86" s="183" t="str">
        <f t="shared" ref="G86:G87" si="12">A86&amp;".buffeffect"</f>
        <v>Raid2001.barnacle_builder_1.skill01.stun.buff.buffeffect</v>
      </c>
      <c r="H86" s="68"/>
      <c r="I86" s="44" t="b">
        <v>0</v>
      </c>
      <c r="J86" s="44" t="b">
        <v>0</v>
      </c>
      <c r="K86" s="44" t="b">
        <v>0</v>
      </c>
      <c r="L86" s="68" t="s">
        <v>55</v>
      </c>
      <c r="M86" s="68" t="s">
        <v>80</v>
      </c>
      <c r="N86" s="68" t="s">
        <v>231</v>
      </c>
      <c r="O86" s="70" t="s">
        <v>1305</v>
      </c>
      <c r="P86" s="43" t="b">
        <v>0</v>
      </c>
      <c r="Q86" s="44" t="b">
        <v>0</v>
      </c>
    </row>
    <row r="87" spans="1:17" x14ac:dyDescent="0.3">
      <c r="A87" s="166" t="s">
        <v>1810</v>
      </c>
      <c r="B87" s="43"/>
      <c r="C87" s="43"/>
      <c r="D87" s="68">
        <v>0</v>
      </c>
      <c r="E87" s="68">
        <v>0</v>
      </c>
      <c r="F87" s="68">
        <v>0</v>
      </c>
      <c r="G87" s="183" t="str">
        <f t="shared" si="12"/>
        <v>Raid2001.barnacle_builder_1.skill02.hpdrain.buff.buffeffect</v>
      </c>
      <c r="H87" s="68"/>
      <c r="I87" s="44" t="b">
        <v>0</v>
      </c>
      <c r="J87" s="44" t="b">
        <v>0</v>
      </c>
      <c r="K87" s="44" t="b">
        <v>1</v>
      </c>
      <c r="L87" s="68"/>
      <c r="M87" s="68"/>
      <c r="N87" s="68"/>
      <c r="O87" s="70"/>
      <c r="P87" s="43" t="b">
        <v>0</v>
      </c>
      <c r="Q87" s="44" t="b">
        <v>0</v>
      </c>
    </row>
    <row r="88" spans="1:17" ht="54.75" x14ac:dyDescent="0.3">
      <c r="A88" s="166" t="s">
        <v>1811</v>
      </c>
      <c r="B88" s="43"/>
      <c r="C88" s="43"/>
      <c r="D88" s="68">
        <v>0</v>
      </c>
      <c r="E88" s="68">
        <v>0</v>
      </c>
      <c r="F88" s="68">
        <v>0</v>
      </c>
      <c r="G88" s="183" t="s">
        <v>2143</v>
      </c>
      <c r="H88" s="68"/>
      <c r="I88" s="44" t="b">
        <v>0</v>
      </c>
      <c r="J88" s="44" t="b">
        <v>0</v>
      </c>
      <c r="K88" s="44" t="b">
        <v>1</v>
      </c>
      <c r="L88" s="68"/>
      <c r="M88" s="68"/>
      <c r="N88" s="68"/>
      <c r="O88" s="70"/>
      <c r="P88" s="43" t="b">
        <v>0</v>
      </c>
      <c r="Q88" s="44" t="b">
        <v>0</v>
      </c>
    </row>
    <row r="89" spans="1:17" x14ac:dyDescent="0.3">
      <c r="A89" s="166" t="s">
        <v>1812</v>
      </c>
      <c r="B89" s="43"/>
      <c r="C89" s="43"/>
      <c r="D89" s="68">
        <v>0</v>
      </c>
      <c r="E89" s="68">
        <v>0</v>
      </c>
      <c r="F89" s="68">
        <v>0</v>
      </c>
      <c r="G89" s="183" t="s">
        <v>173</v>
      </c>
      <c r="H89" s="68"/>
      <c r="I89" s="44" t="b">
        <v>1</v>
      </c>
      <c r="J89" s="44" t="b">
        <v>0</v>
      </c>
      <c r="K89" s="44" t="b">
        <v>1</v>
      </c>
      <c r="L89" s="68" t="s">
        <v>1808</v>
      </c>
      <c r="M89" s="68"/>
      <c r="N89" s="68"/>
      <c r="O89" s="70"/>
      <c r="P89" s="43" t="b">
        <v>0</v>
      </c>
      <c r="Q89" s="44" t="b">
        <v>0</v>
      </c>
    </row>
    <row r="90" spans="1:17" x14ac:dyDescent="0.3">
      <c r="A90" s="166" t="s">
        <v>2135</v>
      </c>
      <c r="B90" s="43"/>
      <c r="C90" s="43"/>
      <c r="D90" s="68">
        <v>0</v>
      </c>
      <c r="E90" s="68">
        <v>0</v>
      </c>
      <c r="F90" s="68">
        <v>0</v>
      </c>
      <c r="G90" s="183" t="s">
        <v>2138</v>
      </c>
      <c r="H90" s="68"/>
      <c r="I90" s="44" t="b">
        <v>0</v>
      </c>
      <c r="J90" s="44" t="b">
        <v>0</v>
      </c>
      <c r="K90" s="44" t="b">
        <v>1</v>
      </c>
      <c r="L90" s="68"/>
      <c r="M90" s="68"/>
      <c r="N90" s="68"/>
      <c r="O90" s="70"/>
      <c r="P90" s="43" t="b">
        <v>0</v>
      </c>
      <c r="Q90" s="44" t="b">
        <v>0</v>
      </c>
    </row>
    <row r="91" spans="1:17" ht="41.25" x14ac:dyDescent="0.3">
      <c r="A91" s="166" t="s">
        <v>1938</v>
      </c>
      <c r="B91" s="43"/>
      <c r="C91" s="43"/>
      <c r="D91" s="68">
        <v>0</v>
      </c>
      <c r="E91" s="68">
        <v>0</v>
      </c>
      <c r="F91" s="68">
        <v>0</v>
      </c>
      <c r="G91" s="183" t="str">
        <f>LEFT(A91, LEN(A91) - 3 ) &amp;".buffeffect.01."&amp;RIGHT(A91,2) &amp;"
" &amp; LEFT(A91, LEN(A91) - 3 ) &amp;".buffeffect.02."&amp;RIGHT(A91,2)&amp;"
" &amp; LEFT(A91, LEN(A91) - 3 ) &amp;".buffeffect.03."&amp;RIGHT(A91,2)</f>
        <v>Raid2001.barnacle_builder_1.passive02.buff.buffeffect.01.01
Raid2001.barnacle_builder_1.passive02.buff.buffeffect.02.01
Raid2001.barnacle_builder_1.passive02.buff.buffeffect.03.01</v>
      </c>
      <c r="H91" s="68"/>
      <c r="I91" s="44" t="b">
        <v>0</v>
      </c>
      <c r="J91" s="44" t="b">
        <v>0</v>
      </c>
      <c r="K91" s="44" t="b">
        <v>1</v>
      </c>
      <c r="L91" s="68"/>
      <c r="M91" s="68"/>
      <c r="N91" s="68"/>
      <c r="O91" s="70"/>
      <c r="P91" s="43" t="b">
        <v>0</v>
      </c>
      <c r="Q91" s="44" t="b">
        <v>0</v>
      </c>
    </row>
    <row r="92" spans="1:17" ht="41.25" x14ac:dyDescent="0.3">
      <c r="A92" s="166" t="s">
        <v>1939</v>
      </c>
      <c r="B92" s="43"/>
      <c r="C92" s="43"/>
      <c r="D92" s="68">
        <v>0</v>
      </c>
      <c r="E92" s="68">
        <v>0</v>
      </c>
      <c r="F92" s="68">
        <v>0</v>
      </c>
      <c r="G92" s="183" t="str">
        <f t="shared" ref="G92:G100" si="13">LEFT(A92, LEN(A92) - 3 ) &amp;".buffeffect.01."&amp;RIGHT(A92,2) &amp;"
" &amp; LEFT(A92, LEN(A92) - 3 ) &amp;".buffeffect.02."&amp;RIGHT(A92,2)&amp;"
" &amp; LEFT(A92, LEN(A92) - 3 ) &amp;".buffeffect.03."&amp;RIGHT(A92,2)</f>
        <v>Raid2001.barnacle_builder_1.passive02.buff.buffeffect.01.02
Raid2001.barnacle_builder_1.passive02.buff.buffeffect.02.02
Raid2001.barnacle_builder_1.passive02.buff.buffeffect.03.02</v>
      </c>
      <c r="H92" s="68"/>
      <c r="I92" s="44" t="b">
        <v>0</v>
      </c>
      <c r="J92" s="44" t="b">
        <v>0</v>
      </c>
      <c r="K92" s="44" t="b">
        <v>1</v>
      </c>
      <c r="L92" s="68"/>
      <c r="M92" s="68"/>
      <c r="N92" s="68"/>
      <c r="O92" s="70"/>
      <c r="P92" s="43" t="b">
        <v>0</v>
      </c>
      <c r="Q92" s="44" t="b">
        <v>0</v>
      </c>
    </row>
    <row r="93" spans="1:17" ht="41.25" x14ac:dyDescent="0.3">
      <c r="A93" s="166" t="s">
        <v>1940</v>
      </c>
      <c r="B93" s="43"/>
      <c r="C93" s="43"/>
      <c r="D93" s="68">
        <v>0</v>
      </c>
      <c r="E93" s="68">
        <v>0</v>
      </c>
      <c r="F93" s="68">
        <v>0</v>
      </c>
      <c r="G93" s="183" t="str">
        <f t="shared" si="13"/>
        <v>Raid2001.barnacle_builder_1.passive02.buff.buffeffect.01.03
Raid2001.barnacle_builder_1.passive02.buff.buffeffect.02.03
Raid2001.barnacle_builder_1.passive02.buff.buffeffect.03.03</v>
      </c>
      <c r="H93" s="68"/>
      <c r="I93" s="44" t="b">
        <v>0</v>
      </c>
      <c r="J93" s="44" t="b">
        <v>0</v>
      </c>
      <c r="K93" s="44" t="b">
        <v>1</v>
      </c>
      <c r="L93" s="68"/>
      <c r="M93" s="68"/>
      <c r="N93" s="68"/>
      <c r="O93" s="70"/>
      <c r="P93" s="43" t="b">
        <v>0</v>
      </c>
      <c r="Q93" s="44" t="b">
        <v>0</v>
      </c>
    </row>
    <row r="94" spans="1:17" ht="41.25" x14ac:dyDescent="0.3">
      <c r="A94" s="166" t="s">
        <v>1941</v>
      </c>
      <c r="B94" s="43"/>
      <c r="C94" s="43"/>
      <c r="D94" s="68">
        <v>0</v>
      </c>
      <c r="E94" s="68">
        <v>0</v>
      </c>
      <c r="F94" s="68">
        <v>0</v>
      </c>
      <c r="G94" s="183" t="str">
        <f t="shared" si="13"/>
        <v>Raid2001.barnacle_builder_1.passive02.buff.buffeffect.01.04
Raid2001.barnacle_builder_1.passive02.buff.buffeffect.02.04
Raid2001.barnacle_builder_1.passive02.buff.buffeffect.03.04</v>
      </c>
      <c r="H94" s="68"/>
      <c r="I94" s="44" t="b">
        <v>0</v>
      </c>
      <c r="J94" s="44" t="b">
        <v>0</v>
      </c>
      <c r="K94" s="44" t="b">
        <v>1</v>
      </c>
      <c r="L94" s="68"/>
      <c r="M94" s="68"/>
      <c r="N94" s="68"/>
      <c r="O94" s="70"/>
      <c r="P94" s="43" t="b">
        <v>0</v>
      </c>
      <c r="Q94" s="44" t="b">
        <v>0</v>
      </c>
    </row>
    <row r="95" spans="1:17" ht="41.25" x14ac:dyDescent="0.3">
      <c r="A95" s="166" t="s">
        <v>1942</v>
      </c>
      <c r="B95" s="43"/>
      <c r="C95" s="43"/>
      <c r="D95" s="68">
        <v>0</v>
      </c>
      <c r="E95" s="68">
        <v>0</v>
      </c>
      <c r="F95" s="68">
        <v>0</v>
      </c>
      <c r="G95" s="183" t="str">
        <f t="shared" si="13"/>
        <v>Raid2001.barnacle_builder_1.passive02.buff.buffeffect.01.05
Raid2001.barnacle_builder_1.passive02.buff.buffeffect.02.05
Raid2001.barnacle_builder_1.passive02.buff.buffeffect.03.05</v>
      </c>
      <c r="H95" s="68"/>
      <c r="I95" s="44" t="b">
        <v>0</v>
      </c>
      <c r="J95" s="44" t="b">
        <v>0</v>
      </c>
      <c r="K95" s="44" t="b">
        <v>1</v>
      </c>
      <c r="L95" s="68"/>
      <c r="M95" s="68"/>
      <c r="N95" s="68"/>
      <c r="O95" s="70"/>
      <c r="P95" s="43" t="b">
        <v>0</v>
      </c>
      <c r="Q95" s="44" t="b">
        <v>0</v>
      </c>
    </row>
    <row r="96" spans="1:17" ht="41.25" x14ac:dyDescent="0.3">
      <c r="A96" s="166" t="s">
        <v>1943</v>
      </c>
      <c r="B96" s="43"/>
      <c r="C96" s="43"/>
      <c r="D96" s="68">
        <v>0</v>
      </c>
      <c r="E96" s="68">
        <v>0</v>
      </c>
      <c r="F96" s="68">
        <v>0</v>
      </c>
      <c r="G96" s="183" t="str">
        <f t="shared" si="13"/>
        <v>Raid2001.barnacle_builder_1.passive02.buff.buffeffect.01.06
Raid2001.barnacle_builder_1.passive02.buff.buffeffect.02.06
Raid2001.barnacle_builder_1.passive02.buff.buffeffect.03.06</v>
      </c>
      <c r="H96" s="68"/>
      <c r="I96" s="44" t="b">
        <v>0</v>
      </c>
      <c r="J96" s="44" t="b">
        <v>0</v>
      </c>
      <c r="K96" s="44" t="b">
        <v>1</v>
      </c>
      <c r="L96" s="68"/>
      <c r="M96" s="68"/>
      <c r="N96" s="68"/>
      <c r="O96" s="70"/>
      <c r="P96" s="43" t="b">
        <v>0</v>
      </c>
      <c r="Q96" s="44" t="b">
        <v>0</v>
      </c>
    </row>
    <row r="97" spans="1:17" ht="41.25" x14ac:dyDescent="0.3">
      <c r="A97" s="166" t="s">
        <v>1944</v>
      </c>
      <c r="B97" s="43"/>
      <c r="C97" s="43"/>
      <c r="D97" s="68">
        <v>0</v>
      </c>
      <c r="E97" s="68">
        <v>0</v>
      </c>
      <c r="F97" s="68">
        <v>0</v>
      </c>
      <c r="G97" s="183" t="str">
        <f t="shared" si="13"/>
        <v>Raid2001.barnacle_builder_1.passive02.buff.buffeffect.01.07
Raid2001.barnacle_builder_1.passive02.buff.buffeffect.02.07
Raid2001.barnacle_builder_1.passive02.buff.buffeffect.03.07</v>
      </c>
      <c r="H97" s="68"/>
      <c r="I97" s="44" t="b">
        <v>0</v>
      </c>
      <c r="J97" s="44" t="b">
        <v>0</v>
      </c>
      <c r="K97" s="44" t="b">
        <v>1</v>
      </c>
      <c r="L97" s="68"/>
      <c r="M97" s="68"/>
      <c r="N97" s="68"/>
      <c r="O97" s="70"/>
      <c r="P97" s="43" t="b">
        <v>0</v>
      </c>
      <c r="Q97" s="44" t="b">
        <v>0</v>
      </c>
    </row>
    <row r="98" spans="1:17" ht="41.25" x14ac:dyDescent="0.3">
      <c r="A98" s="166" t="s">
        <v>1945</v>
      </c>
      <c r="B98" s="43"/>
      <c r="C98" s="43"/>
      <c r="D98" s="68">
        <v>0</v>
      </c>
      <c r="E98" s="68">
        <v>0</v>
      </c>
      <c r="F98" s="68">
        <v>0</v>
      </c>
      <c r="G98" s="183" t="str">
        <f t="shared" si="13"/>
        <v>Raid2001.barnacle_builder_1.passive02.buff.buffeffect.01.08
Raid2001.barnacle_builder_1.passive02.buff.buffeffect.02.08
Raid2001.barnacle_builder_1.passive02.buff.buffeffect.03.08</v>
      </c>
      <c r="H98" s="68"/>
      <c r="I98" s="44" t="b">
        <v>0</v>
      </c>
      <c r="J98" s="44" t="b">
        <v>0</v>
      </c>
      <c r="K98" s="44" t="b">
        <v>1</v>
      </c>
      <c r="L98" s="68"/>
      <c r="M98" s="68"/>
      <c r="N98" s="68"/>
      <c r="O98" s="70"/>
      <c r="P98" s="43" t="b">
        <v>0</v>
      </c>
      <c r="Q98" s="44" t="b">
        <v>0</v>
      </c>
    </row>
    <row r="99" spans="1:17" ht="41.25" x14ac:dyDescent="0.3">
      <c r="A99" s="166" t="s">
        <v>1946</v>
      </c>
      <c r="B99" s="43"/>
      <c r="C99" s="43"/>
      <c r="D99" s="68">
        <v>0</v>
      </c>
      <c r="E99" s="68">
        <v>0</v>
      </c>
      <c r="F99" s="68">
        <v>0</v>
      </c>
      <c r="G99" s="183" t="str">
        <f t="shared" si="13"/>
        <v>Raid2001.barnacle_builder_1.passive02.buff.buffeffect.01.09
Raid2001.barnacle_builder_1.passive02.buff.buffeffect.02.09
Raid2001.barnacle_builder_1.passive02.buff.buffeffect.03.09</v>
      </c>
      <c r="H99" s="68"/>
      <c r="I99" s="44" t="b">
        <v>0</v>
      </c>
      <c r="J99" s="44" t="b">
        <v>0</v>
      </c>
      <c r="K99" s="44" t="b">
        <v>1</v>
      </c>
      <c r="L99" s="68"/>
      <c r="M99" s="68"/>
      <c r="N99" s="68"/>
      <c r="O99" s="70"/>
      <c r="P99" s="43" t="b">
        <v>0</v>
      </c>
      <c r="Q99" s="44" t="b">
        <v>0</v>
      </c>
    </row>
    <row r="100" spans="1:17" ht="41.25" x14ac:dyDescent="0.3">
      <c r="A100" s="166" t="s">
        <v>1947</v>
      </c>
      <c r="B100" s="43"/>
      <c r="C100" s="43"/>
      <c r="D100" s="68">
        <v>0</v>
      </c>
      <c r="E100" s="68">
        <v>0</v>
      </c>
      <c r="F100" s="68">
        <v>0</v>
      </c>
      <c r="G100" s="183" t="str">
        <f t="shared" si="13"/>
        <v>Raid2001.barnacle_builder_1.passive02.buff.buffeffect.01.10
Raid2001.barnacle_builder_1.passive02.buff.buffeffect.02.10
Raid2001.barnacle_builder_1.passive02.buff.buffeffect.03.10</v>
      </c>
      <c r="H100" s="68"/>
      <c r="I100" s="44" t="b">
        <v>0</v>
      </c>
      <c r="J100" s="44" t="b">
        <v>0</v>
      </c>
      <c r="K100" s="44" t="b">
        <v>1</v>
      </c>
      <c r="L100" s="68"/>
      <c r="M100" s="68"/>
      <c r="N100" s="68"/>
      <c r="O100" s="70"/>
      <c r="P100" s="43" t="b">
        <v>0</v>
      </c>
      <c r="Q100" s="44" t="b">
        <v>0</v>
      </c>
    </row>
    <row r="101" spans="1:17" x14ac:dyDescent="0.3">
      <c r="A101" s="170" t="s">
        <v>2152</v>
      </c>
      <c r="B101" s="25"/>
      <c r="C101" s="25"/>
      <c r="D101" s="80">
        <v>0</v>
      </c>
      <c r="E101" s="80">
        <v>0</v>
      </c>
      <c r="F101" s="80">
        <v>0</v>
      </c>
      <c r="G101" s="187" t="str">
        <f t="shared" ref="G101" si="14">A101&amp;".buffeffect"</f>
        <v>Raid3001.mindloader_1.skill01.defdown.buff.buffeffect</v>
      </c>
      <c r="H101" s="80"/>
      <c r="I101" s="55" t="b">
        <v>0</v>
      </c>
      <c r="J101" s="55" t="b">
        <v>0</v>
      </c>
      <c r="K101" s="55" t="b">
        <v>0</v>
      </c>
      <c r="L101" s="80" t="s">
        <v>55</v>
      </c>
      <c r="M101" s="80" t="s">
        <v>56</v>
      </c>
      <c r="N101" s="80" t="s">
        <v>57</v>
      </c>
      <c r="O101" s="82" t="s">
        <v>1315</v>
      </c>
      <c r="P101" s="25" t="b">
        <v>0</v>
      </c>
      <c r="Q101" s="55" t="b">
        <v>0</v>
      </c>
    </row>
    <row r="102" spans="1:17" x14ac:dyDescent="0.3">
      <c r="A102" s="170" t="s">
        <v>2146</v>
      </c>
      <c r="B102" s="25"/>
      <c r="C102" s="25"/>
      <c r="D102" s="80">
        <v>0</v>
      </c>
      <c r="E102" s="80">
        <v>0</v>
      </c>
      <c r="F102" s="80">
        <v>0</v>
      </c>
      <c r="G102" s="187" t="s">
        <v>2149</v>
      </c>
      <c r="H102" s="80"/>
      <c r="I102" s="55" t="b">
        <v>0</v>
      </c>
      <c r="J102" s="55" t="b">
        <v>0</v>
      </c>
      <c r="K102" s="55" t="b">
        <v>1</v>
      </c>
      <c r="L102" s="80"/>
      <c r="M102" s="80"/>
      <c r="N102" s="80"/>
      <c r="O102" s="82"/>
      <c r="P102" s="25" t="b">
        <v>0</v>
      </c>
      <c r="Q102" s="55" t="b">
        <v>0</v>
      </c>
    </row>
    <row r="103" spans="1:17" ht="27.75" x14ac:dyDescent="0.3">
      <c r="A103" s="170" t="s">
        <v>1818</v>
      </c>
      <c r="B103" s="25"/>
      <c r="C103" s="25"/>
      <c r="D103" s="80">
        <v>0</v>
      </c>
      <c r="E103" s="80">
        <v>0</v>
      </c>
      <c r="F103" s="80">
        <v>0</v>
      </c>
      <c r="G103" s="187" t="s">
        <v>2154</v>
      </c>
      <c r="H103" s="80"/>
      <c r="I103" s="55" t="b">
        <v>0</v>
      </c>
      <c r="J103" s="55" t="b">
        <v>0</v>
      </c>
      <c r="K103" s="55" t="b">
        <v>1</v>
      </c>
      <c r="L103" s="80" t="s">
        <v>1809</v>
      </c>
      <c r="M103" s="80"/>
      <c r="N103" s="80"/>
      <c r="O103" s="82"/>
      <c r="P103" s="25" t="b">
        <v>0</v>
      </c>
      <c r="Q103" s="55" t="b">
        <v>0</v>
      </c>
    </row>
    <row r="104" spans="1:17" ht="54.75" x14ac:dyDescent="0.3">
      <c r="A104" s="170" t="s">
        <v>1819</v>
      </c>
      <c r="B104" s="25"/>
      <c r="C104" s="25"/>
      <c r="D104" s="80">
        <v>0</v>
      </c>
      <c r="E104" s="80">
        <v>0</v>
      </c>
      <c r="F104" s="80">
        <v>0</v>
      </c>
      <c r="G104" s="187" t="s">
        <v>1982</v>
      </c>
      <c r="H104" s="80"/>
      <c r="I104" s="55" t="b">
        <v>1</v>
      </c>
      <c r="J104" s="55" t="b">
        <v>0</v>
      </c>
      <c r="K104" s="55" t="b">
        <v>1</v>
      </c>
      <c r="L104" s="80"/>
      <c r="M104" s="80"/>
      <c r="N104" s="80"/>
      <c r="O104" s="82" t="s">
        <v>1301</v>
      </c>
      <c r="P104" s="25" t="b">
        <v>0</v>
      </c>
      <c r="Q104" s="55" t="b">
        <v>0</v>
      </c>
    </row>
    <row r="105" spans="1:17" x14ac:dyDescent="0.3">
      <c r="A105" s="170" t="s">
        <v>1861</v>
      </c>
      <c r="B105" s="25"/>
      <c r="C105" s="25"/>
      <c r="D105" s="80">
        <v>0</v>
      </c>
      <c r="E105" s="80">
        <v>0</v>
      </c>
      <c r="F105" s="80">
        <v>0</v>
      </c>
      <c r="G105" s="187" t="s">
        <v>1863</v>
      </c>
      <c r="H105" s="80"/>
      <c r="I105" s="55" t="b">
        <v>1</v>
      </c>
      <c r="J105" s="55" t="b">
        <v>0</v>
      </c>
      <c r="K105" s="55" t="b">
        <v>1</v>
      </c>
      <c r="L105" s="80"/>
      <c r="M105" s="80"/>
      <c r="N105" s="80"/>
      <c r="O105" s="82"/>
      <c r="P105" s="25" t="b">
        <v>0</v>
      </c>
      <c r="Q105" s="55" t="b">
        <v>0</v>
      </c>
    </row>
    <row r="106" spans="1:17" ht="27.75" x14ac:dyDescent="0.3">
      <c r="A106" s="170" t="s">
        <v>1983</v>
      </c>
      <c r="B106" s="25"/>
      <c r="C106" s="25"/>
      <c r="D106" s="80">
        <v>0</v>
      </c>
      <c r="E106" s="80">
        <v>0</v>
      </c>
      <c r="F106" s="80">
        <v>0</v>
      </c>
      <c r="G106" s="187" t="str">
        <f t="shared" ref="G106:G115" si="15">LEFT(A106, LEN(A106) - 3 ) &amp;".buffeffect.01."&amp;RIGHT(A106,2) &amp;"
" &amp; LEFT(A106, LEN(A106) - 3 ) &amp;".buffeffect.02."&amp;RIGHT(A106,2)</f>
        <v>Raid3001.mindloader_1.passive02.buff.buffeffect.01.01
Raid3001.mindloader_1.passive02.buff.buffeffect.02.01</v>
      </c>
      <c r="H106" s="80"/>
      <c r="I106" s="55" t="b">
        <v>1</v>
      </c>
      <c r="J106" s="55" t="b">
        <v>0</v>
      </c>
      <c r="K106" s="55" t="b">
        <v>1</v>
      </c>
      <c r="L106" s="80"/>
      <c r="M106" s="80"/>
      <c r="N106" s="80"/>
      <c r="O106" s="82"/>
      <c r="P106" s="25" t="b">
        <v>0</v>
      </c>
      <c r="Q106" s="55" t="b">
        <v>0</v>
      </c>
    </row>
    <row r="107" spans="1:17" ht="27.75" x14ac:dyDescent="0.3">
      <c r="A107" s="170" t="s">
        <v>1984</v>
      </c>
      <c r="B107" s="25"/>
      <c r="C107" s="25"/>
      <c r="D107" s="80">
        <v>0</v>
      </c>
      <c r="E107" s="80">
        <v>0</v>
      </c>
      <c r="F107" s="80">
        <v>0</v>
      </c>
      <c r="G107" s="187" t="str">
        <f t="shared" si="15"/>
        <v>Raid3001.mindloader_1.passive02.buff.buffeffect.01.02
Raid3001.mindloader_1.passive02.buff.buffeffect.02.02</v>
      </c>
      <c r="H107" s="80"/>
      <c r="I107" s="55" t="b">
        <v>1</v>
      </c>
      <c r="J107" s="55" t="b">
        <v>0</v>
      </c>
      <c r="K107" s="55" t="b">
        <v>1</v>
      </c>
      <c r="L107" s="80"/>
      <c r="M107" s="80"/>
      <c r="N107" s="80"/>
      <c r="O107" s="82"/>
      <c r="P107" s="25" t="b">
        <v>0</v>
      </c>
      <c r="Q107" s="55" t="b">
        <v>0</v>
      </c>
    </row>
    <row r="108" spans="1:17" ht="27.75" x14ac:dyDescent="0.3">
      <c r="A108" s="170" t="s">
        <v>1985</v>
      </c>
      <c r="B108" s="25"/>
      <c r="C108" s="25"/>
      <c r="D108" s="80">
        <v>0</v>
      </c>
      <c r="E108" s="80">
        <v>0</v>
      </c>
      <c r="F108" s="80">
        <v>0</v>
      </c>
      <c r="G108" s="187" t="str">
        <f t="shared" si="15"/>
        <v>Raid3001.mindloader_1.passive02.buff.buffeffect.01.03
Raid3001.mindloader_1.passive02.buff.buffeffect.02.03</v>
      </c>
      <c r="H108" s="80"/>
      <c r="I108" s="55" t="b">
        <v>1</v>
      </c>
      <c r="J108" s="55" t="b">
        <v>0</v>
      </c>
      <c r="K108" s="55" t="b">
        <v>1</v>
      </c>
      <c r="L108" s="80"/>
      <c r="M108" s="80"/>
      <c r="N108" s="80"/>
      <c r="O108" s="82"/>
      <c r="P108" s="25" t="b">
        <v>0</v>
      </c>
      <c r="Q108" s="55" t="b">
        <v>0</v>
      </c>
    </row>
    <row r="109" spans="1:17" ht="27.75" x14ac:dyDescent="0.3">
      <c r="A109" s="170" t="s">
        <v>1986</v>
      </c>
      <c r="B109" s="25"/>
      <c r="C109" s="25"/>
      <c r="D109" s="80">
        <v>0</v>
      </c>
      <c r="E109" s="80">
        <v>0</v>
      </c>
      <c r="F109" s="80">
        <v>0</v>
      </c>
      <c r="G109" s="187" t="str">
        <f t="shared" si="15"/>
        <v>Raid3001.mindloader_1.passive02.buff.buffeffect.01.04
Raid3001.mindloader_1.passive02.buff.buffeffect.02.04</v>
      </c>
      <c r="H109" s="80"/>
      <c r="I109" s="55" t="b">
        <v>1</v>
      </c>
      <c r="J109" s="55" t="b">
        <v>0</v>
      </c>
      <c r="K109" s="55" t="b">
        <v>1</v>
      </c>
      <c r="L109" s="80"/>
      <c r="M109" s="80"/>
      <c r="N109" s="80"/>
      <c r="O109" s="82"/>
      <c r="P109" s="25" t="b">
        <v>0</v>
      </c>
      <c r="Q109" s="55" t="b">
        <v>0</v>
      </c>
    </row>
    <row r="110" spans="1:17" ht="27.75" x14ac:dyDescent="0.3">
      <c r="A110" s="170" t="s">
        <v>1987</v>
      </c>
      <c r="B110" s="25"/>
      <c r="C110" s="25"/>
      <c r="D110" s="80">
        <v>0</v>
      </c>
      <c r="E110" s="80">
        <v>0</v>
      </c>
      <c r="F110" s="80">
        <v>0</v>
      </c>
      <c r="G110" s="187" t="str">
        <f t="shared" si="15"/>
        <v>Raid3001.mindloader_1.passive02.buff.buffeffect.01.05
Raid3001.mindloader_1.passive02.buff.buffeffect.02.05</v>
      </c>
      <c r="H110" s="80"/>
      <c r="I110" s="55" t="b">
        <v>1</v>
      </c>
      <c r="J110" s="55" t="b">
        <v>0</v>
      </c>
      <c r="K110" s="55" t="b">
        <v>1</v>
      </c>
      <c r="L110" s="80"/>
      <c r="M110" s="80"/>
      <c r="N110" s="80"/>
      <c r="O110" s="82"/>
      <c r="P110" s="25" t="b">
        <v>0</v>
      </c>
      <c r="Q110" s="55" t="b">
        <v>0</v>
      </c>
    </row>
    <row r="111" spans="1:17" ht="27.75" x14ac:dyDescent="0.3">
      <c r="A111" s="170" t="s">
        <v>1988</v>
      </c>
      <c r="B111" s="25"/>
      <c r="C111" s="25"/>
      <c r="D111" s="80">
        <v>0</v>
      </c>
      <c r="E111" s="80">
        <v>0</v>
      </c>
      <c r="F111" s="80">
        <v>0</v>
      </c>
      <c r="G111" s="187" t="str">
        <f t="shared" si="15"/>
        <v>Raid3001.mindloader_1.passive02.buff.buffeffect.01.06
Raid3001.mindloader_1.passive02.buff.buffeffect.02.06</v>
      </c>
      <c r="H111" s="80"/>
      <c r="I111" s="55" t="b">
        <v>1</v>
      </c>
      <c r="J111" s="55" t="b">
        <v>0</v>
      </c>
      <c r="K111" s="55" t="b">
        <v>1</v>
      </c>
      <c r="L111" s="80"/>
      <c r="M111" s="80"/>
      <c r="N111" s="80"/>
      <c r="O111" s="82"/>
      <c r="P111" s="25" t="b">
        <v>0</v>
      </c>
      <c r="Q111" s="55" t="b">
        <v>0</v>
      </c>
    </row>
    <row r="112" spans="1:17" ht="27.75" x14ac:dyDescent="0.3">
      <c r="A112" s="170" t="s">
        <v>1989</v>
      </c>
      <c r="B112" s="25"/>
      <c r="C112" s="25"/>
      <c r="D112" s="80">
        <v>0</v>
      </c>
      <c r="E112" s="80">
        <v>0</v>
      </c>
      <c r="F112" s="80">
        <v>0</v>
      </c>
      <c r="G112" s="187" t="str">
        <f t="shared" si="15"/>
        <v>Raid3001.mindloader_1.passive02.buff.buffeffect.01.07
Raid3001.mindloader_1.passive02.buff.buffeffect.02.07</v>
      </c>
      <c r="H112" s="80"/>
      <c r="I112" s="55" t="b">
        <v>1</v>
      </c>
      <c r="J112" s="55" t="b">
        <v>0</v>
      </c>
      <c r="K112" s="55" t="b">
        <v>1</v>
      </c>
      <c r="L112" s="80"/>
      <c r="M112" s="80"/>
      <c r="N112" s="80"/>
      <c r="O112" s="82"/>
      <c r="P112" s="25" t="b">
        <v>0</v>
      </c>
      <c r="Q112" s="55" t="b">
        <v>0</v>
      </c>
    </row>
    <row r="113" spans="1:17" ht="27.75" x14ac:dyDescent="0.3">
      <c r="A113" s="170" t="s">
        <v>1990</v>
      </c>
      <c r="B113" s="25"/>
      <c r="C113" s="25"/>
      <c r="D113" s="80">
        <v>0</v>
      </c>
      <c r="E113" s="80">
        <v>0</v>
      </c>
      <c r="F113" s="80">
        <v>0</v>
      </c>
      <c r="G113" s="187" t="str">
        <f t="shared" si="15"/>
        <v>Raid3001.mindloader_1.passive02.buff.buffeffect.01.08
Raid3001.mindloader_1.passive02.buff.buffeffect.02.08</v>
      </c>
      <c r="H113" s="80"/>
      <c r="I113" s="55" t="b">
        <v>1</v>
      </c>
      <c r="J113" s="55" t="b">
        <v>0</v>
      </c>
      <c r="K113" s="55" t="b">
        <v>1</v>
      </c>
      <c r="L113" s="80"/>
      <c r="M113" s="80"/>
      <c r="N113" s="80"/>
      <c r="O113" s="82"/>
      <c r="P113" s="25" t="b">
        <v>0</v>
      </c>
      <c r="Q113" s="55" t="b">
        <v>0</v>
      </c>
    </row>
    <row r="114" spans="1:17" ht="27.75" x14ac:dyDescent="0.3">
      <c r="A114" s="170" t="s">
        <v>1991</v>
      </c>
      <c r="B114" s="25"/>
      <c r="C114" s="25"/>
      <c r="D114" s="80">
        <v>0</v>
      </c>
      <c r="E114" s="80">
        <v>0</v>
      </c>
      <c r="F114" s="80">
        <v>0</v>
      </c>
      <c r="G114" s="187" t="str">
        <f t="shared" si="15"/>
        <v>Raid3001.mindloader_1.passive02.buff.buffeffect.01.09
Raid3001.mindloader_1.passive02.buff.buffeffect.02.09</v>
      </c>
      <c r="H114" s="80"/>
      <c r="I114" s="55" t="b">
        <v>1</v>
      </c>
      <c r="J114" s="55" t="b">
        <v>0</v>
      </c>
      <c r="K114" s="55" t="b">
        <v>1</v>
      </c>
      <c r="L114" s="80"/>
      <c r="M114" s="80"/>
      <c r="N114" s="80"/>
      <c r="O114" s="82"/>
      <c r="P114" s="25" t="b">
        <v>0</v>
      </c>
      <c r="Q114" s="55" t="b">
        <v>0</v>
      </c>
    </row>
    <row r="115" spans="1:17" ht="27.75" x14ac:dyDescent="0.3">
      <c r="A115" s="170" t="s">
        <v>1992</v>
      </c>
      <c r="B115" s="25"/>
      <c r="C115" s="25"/>
      <c r="D115" s="80">
        <v>0</v>
      </c>
      <c r="E115" s="80">
        <v>0</v>
      </c>
      <c r="F115" s="80">
        <v>0</v>
      </c>
      <c r="G115" s="187" t="str">
        <f t="shared" si="15"/>
        <v>Raid3001.mindloader_1.passive02.buff.buffeffect.01.10
Raid3001.mindloader_1.passive02.buff.buffeffect.02.10</v>
      </c>
      <c r="H115" s="80"/>
      <c r="I115" s="55" t="b">
        <v>1</v>
      </c>
      <c r="J115" s="55" t="b">
        <v>0</v>
      </c>
      <c r="K115" s="55" t="b">
        <v>1</v>
      </c>
      <c r="L115" s="80"/>
      <c r="M115" s="80"/>
      <c r="N115" s="80"/>
      <c r="O115" s="82"/>
      <c r="P115" s="25" t="b">
        <v>0</v>
      </c>
      <c r="Q115" s="55" t="b">
        <v>0</v>
      </c>
    </row>
    <row r="116" spans="1:17" x14ac:dyDescent="0.3">
      <c r="A116" s="163" t="s">
        <v>1833</v>
      </c>
      <c r="B116" s="15"/>
      <c r="C116" s="15"/>
      <c r="D116" s="65">
        <v>550</v>
      </c>
      <c r="E116" s="65">
        <v>0</v>
      </c>
      <c r="F116" s="65">
        <v>0</v>
      </c>
      <c r="G116" s="180" t="s">
        <v>1820</v>
      </c>
      <c r="H116" s="65"/>
      <c r="I116" s="57" t="b">
        <v>0</v>
      </c>
      <c r="J116" s="57" t="b">
        <v>0</v>
      </c>
      <c r="K116" s="57" t="b">
        <v>0</v>
      </c>
      <c r="L116" s="65"/>
      <c r="M116" s="65"/>
      <c r="N116" s="65" t="s">
        <v>72</v>
      </c>
      <c r="O116" s="66" t="s">
        <v>1300</v>
      </c>
      <c r="P116" s="15" t="b">
        <v>0</v>
      </c>
      <c r="Q116" s="57" t="b">
        <v>0</v>
      </c>
    </row>
    <row r="117" spans="1:17" x14ac:dyDescent="0.3">
      <c r="A117" s="163" t="s">
        <v>1834</v>
      </c>
      <c r="B117" s="15"/>
      <c r="C117" s="15"/>
      <c r="D117" s="65">
        <v>5000</v>
      </c>
      <c r="E117" s="65">
        <v>0</v>
      </c>
      <c r="F117" s="65">
        <v>0</v>
      </c>
      <c r="G117" s="180" t="s">
        <v>1821</v>
      </c>
      <c r="H117" s="65"/>
      <c r="I117" s="57" t="b">
        <v>0</v>
      </c>
      <c r="J117" s="57" t="b">
        <v>0</v>
      </c>
      <c r="K117" s="57" t="b">
        <v>0</v>
      </c>
      <c r="L117" s="65" t="s">
        <v>55</v>
      </c>
      <c r="M117" s="65" t="s">
        <v>262</v>
      </c>
      <c r="N117" s="65" t="s">
        <v>263</v>
      </c>
      <c r="O117" s="66" t="s">
        <v>1310</v>
      </c>
      <c r="P117" s="15" t="b">
        <v>0</v>
      </c>
      <c r="Q117" s="57" t="b">
        <v>0</v>
      </c>
    </row>
    <row r="118" spans="1:17" x14ac:dyDescent="0.3">
      <c r="A118" s="163" t="s">
        <v>1835</v>
      </c>
      <c r="B118" s="15"/>
      <c r="C118" s="15"/>
      <c r="D118" s="65">
        <v>600</v>
      </c>
      <c r="E118" s="65">
        <v>0</v>
      </c>
      <c r="F118" s="65">
        <v>0</v>
      </c>
      <c r="G118" s="180" t="s">
        <v>1822</v>
      </c>
      <c r="H118" s="65"/>
      <c r="I118" s="57" t="b">
        <v>0</v>
      </c>
      <c r="J118" s="57" t="b">
        <v>0</v>
      </c>
      <c r="K118" s="57" t="b">
        <v>0</v>
      </c>
      <c r="L118" s="65"/>
      <c r="M118" s="65"/>
      <c r="N118" s="65" t="s">
        <v>72</v>
      </c>
      <c r="O118" s="66" t="s">
        <v>1300</v>
      </c>
      <c r="P118" s="15" t="b">
        <v>0</v>
      </c>
      <c r="Q118" s="57" t="b">
        <v>0</v>
      </c>
    </row>
    <row r="119" spans="1:17" x14ac:dyDescent="0.3">
      <c r="A119" s="163" t="s">
        <v>1836</v>
      </c>
      <c r="B119" s="15"/>
      <c r="C119" s="15"/>
      <c r="D119" s="65">
        <v>4000</v>
      </c>
      <c r="E119" s="65">
        <v>0</v>
      </c>
      <c r="F119" s="65">
        <v>0</v>
      </c>
      <c r="G119" s="180" t="s">
        <v>1823</v>
      </c>
      <c r="H119" s="65"/>
      <c r="I119" s="57" t="b">
        <v>0</v>
      </c>
      <c r="J119" s="57" t="b">
        <v>0</v>
      </c>
      <c r="K119" s="57" t="b">
        <v>0</v>
      </c>
      <c r="L119" s="65" t="s">
        <v>67</v>
      </c>
      <c r="M119" s="65" t="s">
        <v>68</v>
      </c>
      <c r="N119" s="65" t="s">
        <v>69</v>
      </c>
      <c r="O119" s="66" t="s">
        <v>1303</v>
      </c>
      <c r="P119" s="15" t="b">
        <v>0</v>
      </c>
      <c r="Q119" s="57" t="b">
        <v>0</v>
      </c>
    </row>
    <row r="120" spans="1:17" x14ac:dyDescent="0.3">
      <c r="A120" s="163" t="s">
        <v>1837</v>
      </c>
      <c r="B120" s="15"/>
      <c r="C120" s="15"/>
      <c r="D120" s="65">
        <v>4000</v>
      </c>
      <c r="E120" s="65">
        <v>0</v>
      </c>
      <c r="F120" s="65">
        <v>0</v>
      </c>
      <c r="G120" s="180" t="s">
        <v>1824</v>
      </c>
      <c r="H120" s="65"/>
      <c r="I120" s="57" t="b">
        <v>0</v>
      </c>
      <c r="J120" s="57" t="b">
        <v>0</v>
      </c>
      <c r="K120" s="57" t="b">
        <v>0</v>
      </c>
      <c r="L120" s="65" t="s">
        <v>67</v>
      </c>
      <c r="M120" s="65" t="s">
        <v>68</v>
      </c>
      <c r="N120" s="65" t="s">
        <v>69</v>
      </c>
      <c r="O120" s="66" t="s">
        <v>1303</v>
      </c>
      <c r="P120" s="15" t="b">
        <v>0</v>
      </c>
      <c r="Q120" s="57" t="b">
        <v>0</v>
      </c>
    </row>
    <row r="121" spans="1:17" x14ac:dyDescent="0.3">
      <c r="A121" s="163" t="s">
        <v>1838</v>
      </c>
      <c r="B121" s="15"/>
      <c r="C121" s="15"/>
      <c r="D121" s="65">
        <v>550</v>
      </c>
      <c r="E121" s="65">
        <v>0</v>
      </c>
      <c r="F121" s="65">
        <v>0</v>
      </c>
      <c r="G121" s="180" t="s">
        <v>1825</v>
      </c>
      <c r="H121" s="65"/>
      <c r="I121" s="57" t="b">
        <v>0</v>
      </c>
      <c r="J121" s="57" t="b">
        <v>0</v>
      </c>
      <c r="K121" s="57" t="b">
        <v>0</v>
      </c>
      <c r="L121" s="65"/>
      <c r="M121" s="65"/>
      <c r="N121" s="65" t="s">
        <v>72</v>
      </c>
      <c r="O121" s="66" t="s">
        <v>1300</v>
      </c>
      <c r="P121" s="15" t="b">
        <v>0</v>
      </c>
      <c r="Q121" s="57" t="b">
        <v>0</v>
      </c>
    </row>
    <row r="122" spans="1:17" ht="27.75" x14ac:dyDescent="0.3">
      <c r="A122" s="163" t="s">
        <v>1839</v>
      </c>
      <c r="B122" s="15"/>
      <c r="C122" s="15"/>
      <c r="D122" s="65">
        <v>0</v>
      </c>
      <c r="E122" s="65">
        <v>0</v>
      </c>
      <c r="F122" s="65">
        <v>0</v>
      </c>
      <c r="G122" s="180" t="s">
        <v>1864</v>
      </c>
      <c r="H122" s="65"/>
      <c r="I122" s="57" t="b">
        <v>0</v>
      </c>
      <c r="J122" s="57" t="b">
        <v>0</v>
      </c>
      <c r="K122" s="57" t="b">
        <v>0</v>
      </c>
      <c r="L122" s="65"/>
      <c r="M122" s="65"/>
      <c r="N122" s="65"/>
      <c r="O122" s="66"/>
      <c r="P122" s="15" t="b">
        <v>0</v>
      </c>
      <c r="Q122" s="57" t="b">
        <v>0</v>
      </c>
    </row>
    <row r="123" spans="1:17" ht="27.75" x14ac:dyDescent="0.3">
      <c r="A123" s="163" t="s">
        <v>2025</v>
      </c>
      <c r="B123" s="15"/>
      <c r="C123" s="15"/>
      <c r="D123" s="65">
        <v>0</v>
      </c>
      <c r="E123" s="65">
        <v>0</v>
      </c>
      <c r="F123" s="65">
        <v>0</v>
      </c>
      <c r="G123" s="180" t="str">
        <f t="shared" ref="G123:G127" si="16">LEFT(A123, LEN(A123) - 3 ) &amp;".buffeffect.01."&amp;RIGHT(A123,2) &amp;"
" &amp; LEFT(A123, LEN(A123) - 3 ) &amp;".buffeffect.02."&amp;RIGHT(A123,2)</f>
        <v>Raid4001.gigantooth_1.passive02.buff.buffeffect.01.01
Raid4001.gigantooth_1.passive02.buff.buffeffect.02.01</v>
      </c>
      <c r="H123" s="65"/>
      <c r="I123" s="57" t="b">
        <v>0</v>
      </c>
      <c r="J123" s="57" t="b">
        <v>0</v>
      </c>
      <c r="K123" s="57" t="b">
        <v>1</v>
      </c>
      <c r="L123" s="65"/>
      <c r="M123" s="65"/>
      <c r="N123" s="65"/>
      <c r="O123" s="66"/>
      <c r="P123" s="15" t="b">
        <v>0</v>
      </c>
      <c r="Q123" s="57" t="b">
        <v>0</v>
      </c>
    </row>
    <row r="124" spans="1:17" ht="27.75" x14ac:dyDescent="0.3">
      <c r="A124" s="163" t="s">
        <v>2026</v>
      </c>
      <c r="B124" s="15"/>
      <c r="C124" s="15"/>
      <c r="D124" s="65">
        <v>0</v>
      </c>
      <c r="E124" s="65">
        <v>0</v>
      </c>
      <c r="F124" s="65">
        <v>0</v>
      </c>
      <c r="G124" s="180" t="str">
        <f t="shared" si="16"/>
        <v>Raid4001.gigantooth_1.passive02.buff.buffeffect.01.02
Raid4001.gigantooth_1.passive02.buff.buffeffect.02.02</v>
      </c>
      <c r="H124" s="65"/>
      <c r="I124" s="57" t="b">
        <v>0</v>
      </c>
      <c r="J124" s="57" t="b">
        <v>0</v>
      </c>
      <c r="K124" s="57" t="b">
        <v>1</v>
      </c>
      <c r="L124" s="65"/>
      <c r="M124" s="65"/>
      <c r="N124" s="65"/>
      <c r="O124" s="66"/>
      <c r="P124" s="15" t="b">
        <v>0</v>
      </c>
      <c r="Q124" s="57" t="b">
        <v>0</v>
      </c>
    </row>
    <row r="125" spans="1:17" ht="27.75" x14ac:dyDescent="0.3">
      <c r="A125" s="163" t="s">
        <v>2027</v>
      </c>
      <c r="B125" s="15"/>
      <c r="C125" s="15"/>
      <c r="D125" s="65">
        <v>0</v>
      </c>
      <c r="E125" s="65">
        <v>0</v>
      </c>
      <c r="F125" s="65">
        <v>0</v>
      </c>
      <c r="G125" s="180" t="str">
        <f t="shared" si="16"/>
        <v>Raid4001.gigantooth_1.passive02.buff.buffeffect.01.03
Raid4001.gigantooth_1.passive02.buff.buffeffect.02.03</v>
      </c>
      <c r="H125" s="65"/>
      <c r="I125" s="57" t="b">
        <v>0</v>
      </c>
      <c r="J125" s="57" t="b">
        <v>0</v>
      </c>
      <c r="K125" s="57" t="b">
        <v>1</v>
      </c>
      <c r="L125" s="65"/>
      <c r="M125" s="65"/>
      <c r="N125" s="65"/>
      <c r="O125" s="66"/>
      <c r="P125" s="15" t="b">
        <v>0</v>
      </c>
      <c r="Q125" s="57" t="b">
        <v>0</v>
      </c>
    </row>
    <row r="126" spans="1:17" ht="27.75" x14ac:dyDescent="0.3">
      <c r="A126" s="163" t="s">
        <v>2028</v>
      </c>
      <c r="B126" s="15"/>
      <c r="C126" s="15"/>
      <c r="D126" s="65">
        <v>0</v>
      </c>
      <c r="E126" s="65">
        <v>0</v>
      </c>
      <c r="F126" s="65">
        <v>0</v>
      </c>
      <c r="G126" s="180" t="str">
        <f t="shared" si="16"/>
        <v>Raid4001.gigantooth_1.passive02.buff.buffeffect.01.04
Raid4001.gigantooth_1.passive02.buff.buffeffect.02.04</v>
      </c>
      <c r="H126" s="65"/>
      <c r="I126" s="57" t="b">
        <v>0</v>
      </c>
      <c r="J126" s="57" t="b">
        <v>0</v>
      </c>
      <c r="K126" s="57" t="b">
        <v>1</v>
      </c>
      <c r="L126" s="65"/>
      <c r="M126" s="65"/>
      <c r="N126" s="65"/>
      <c r="O126" s="66"/>
      <c r="P126" s="15" t="b">
        <v>0</v>
      </c>
      <c r="Q126" s="57" t="b">
        <v>0</v>
      </c>
    </row>
    <row r="127" spans="1:17" ht="27.75" x14ac:dyDescent="0.3">
      <c r="A127" s="163" t="s">
        <v>2029</v>
      </c>
      <c r="B127" s="15"/>
      <c r="C127" s="15"/>
      <c r="D127" s="65">
        <v>0</v>
      </c>
      <c r="E127" s="65">
        <v>0</v>
      </c>
      <c r="F127" s="65">
        <v>0</v>
      </c>
      <c r="G127" s="180" t="str">
        <f t="shared" si="16"/>
        <v>Raid4001.gigantooth_1.passive02.buff.buffeffect.01.05
Raid4001.gigantooth_1.passive02.buff.buffeffect.02.05</v>
      </c>
      <c r="H127" s="65"/>
      <c r="I127" s="57" t="b">
        <v>0</v>
      </c>
      <c r="J127" s="57" t="b">
        <v>0</v>
      </c>
      <c r="K127" s="57" t="b">
        <v>1</v>
      </c>
      <c r="L127" s="65"/>
      <c r="M127" s="65"/>
      <c r="N127" s="65"/>
      <c r="O127" s="66"/>
      <c r="P127" s="15" t="b">
        <v>0</v>
      </c>
      <c r="Q127" s="57" t="b">
        <v>0</v>
      </c>
    </row>
    <row r="128" spans="1:17" ht="27.75" x14ac:dyDescent="0.3">
      <c r="A128" s="163" t="s">
        <v>2097</v>
      </c>
      <c r="B128" s="15"/>
      <c r="C128" s="15"/>
      <c r="D128" s="65">
        <v>0</v>
      </c>
      <c r="E128" s="65">
        <v>0</v>
      </c>
      <c r="F128" s="65">
        <v>0</v>
      </c>
      <c r="G128" s="180" t="str">
        <f t="shared" ref="G128:G132" si="17">LEFT(A128, LEN(A128) - 3 ) &amp;".buffeffect.01."&amp;RIGHT(A128,2) &amp;"
" &amp; LEFT(A128, LEN(A128) - 3 ) &amp;".buffeffect.02."&amp;RIGHT(A128,2)</f>
        <v>Raid4001.gigantooth_1.passive02.buff.buffeffect.01.06
Raid4001.gigantooth_1.passive02.buff.buffeffect.02.06</v>
      </c>
      <c r="H128" s="65"/>
      <c r="I128" s="57" t="b">
        <v>0</v>
      </c>
      <c r="J128" s="57" t="b">
        <v>0</v>
      </c>
      <c r="K128" s="57" t="b">
        <v>1</v>
      </c>
      <c r="L128" s="65"/>
      <c r="M128" s="65"/>
      <c r="N128" s="65"/>
      <c r="O128" s="66"/>
      <c r="P128" s="15" t="b">
        <v>0</v>
      </c>
      <c r="Q128" s="57" t="b">
        <v>0</v>
      </c>
    </row>
    <row r="129" spans="1:17" ht="27.75" x14ac:dyDescent="0.3">
      <c r="A129" s="163" t="s">
        <v>2098</v>
      </c>
      <c r="B129" s="15"/>
      <c r="C129" s="15"/>
      <c r="D129" s="65">
        <v>0</v>
      </c>
      <c r="E129" s="65">
        <v>0</v>
      </c>
      <c r="F129" s="65">
        <v>0</v>
      </c>
      <c r="G129" s="180" t="str">
        <f t="shared" si="17"/>
        <v>Raid4001.gigantooth_1.passive02.buff.buffeffect.01.07
Raid4001.gigantooth_1.passive02.buff.buffeffect.02.07</v>
      </c>
      <c r="H129" s="65"/>
      <c r="I129" s="57" t="b">
        <v>0</v>
      </c>
      <c r="J129" s="57" t="b">
        <v>0</v>
      </c>
      <c r="K129" s="57" t="b">
        <v>1</v>
      </c>
      <c r="L129" s="65"/>
      <c r="M129" s="65"/>
      <c r="N129" s="65"/>
      <c r="O129" s="66"/>
      <c r="P129" s="15" t="b">
        <v>0</v>
      </c>
      <c r="Q129" s="57" t="b">
        <v>0</v>
      </c>
    </row>
    <row r="130" spans="1:17" ht="27.75" x14ac:dyDescent="0.3">
      <c r="A130" s="163" t="s">
        <v>2099</v>
      </c>
      <c r="B130" s="15"/>
      <c r="C130" s="15"/>
      <c r="D130" s="65">
        <v>0</v>
      </c>
      <c r="E130" s="65">
        <v>0</v>
      </c>
      <c r="F130" s="65">
        <v>0</v>
      </c>
      <c r="G130" s="180" t="str">
        <f t="shared" si="17"/>
        <v>Raid4001.gigantooth_1.passive02.buff.buffeffect.01.08
Raid4001.gigantooth_1.passive02.buff.buffeffect.02.08</v>
      </c>
      <c r="H130" s="65"/>
      <c r="I130" s="57" t="b">
        <v>0</v>
      </c>
      <c r="J130" s="57" t="b">
        <v>0</v>
      </c>
      <c r="K130" s="57" t="b">
        <v>1</v>
      </c>
      <c r="L130" s="65"/>
      <c r="M130" s="65"/>
      <c r="N130" s="65"/>
      <c r="O130" s="66"/>
      <c r="P130" s="15" t="b">
        <v>0</v>
      </c>
      <c r="Q130" s="57" t="b">
        <v>0</v>
      </c>
    </row>
    <row r="131" spans="1:17" ht="27.75" x14ac:dyDescent="0.3">
      <c r="A131" s="163" t="s">
        <v>2100</v>
      </c>
      <c r="B131" s="15"/>
      <c r="C131" s="15"/>
      <c r="D131" s="65">
        <v>0</v>
      </c>
      <c r="E131" s="65">
        <v>0</v>
      </c>
      <c r="F131" s="65">
        <v>0</v>
      </c>
      <c r="G131" s="180" t="str">
        <f t="shared" si="17"/>
        <v>Raid4001.gigantooth_1.passive02.buff.buffeffect.01.09
Raid4001.gigantooth_1.passive02.buff.buffeffect.02.09</v>
      </c>
      <c r="H131" s="65"/>
      <c r="I131" s="57" t="b">
        <v>0</v>
      </c>
      <c r="J131" s="57" t="b">
        <v>0</v>
      </c>
      <c r="K131" s="57" t="b">
        <v>1</v>
      </c>
      <c r="L131" s="65"/>
      <c r="M131" s="65"/>
      <c r="N131" s="65"/>
      <c r="O131" s="66"/>
      <c r="P131" s="15" t="b">
        <v>0</v>
      </c>
      <c r="Q131" s="57" t="b">
        <v>0</v>
      </c>
    </row>
    <row r="132" spans="1:17" ht="27.75" x14ac:dyDescent="0.3">
      <c r="A132" s="163" t="s">
        <v>2101</v>
      </c>
      <c r="B132" s="15"/>
      <c r="C132" s="15"/>
      <c r="D132" s="65">
        <v>0</v>
      </c>
      <c r="E132" s="65">
        <v>0</v>
      </c>
      <c r="F132" s="65">
        <v>0</v>
      </c>
      <c r="G132" s="180" t="str">
        <f t="shared" si="17"/>
        <v>Raid4001.gigantooth_1.passive02.buff.buffeffect.01.10
Raid4001.gigantooth_1.passive02.buff.buffeffect.02.10</v>
      </c>
      <c r="H132" s="65"/>
      <c r="I132" s="57" t="b">
        <v>0</v>
      </c>
      <c r="J132" s="57" t="b">
        <v>0</v>
      </c>
      <c r="K132" s="57" t="b">
        <v>1</v>
      </c>
      <c r="L132" s="65"/>
      <c r="M132" s="65"/>
      <c r="N132" s="65"/>
      <c r="O132" s="66"/>
      <c r="P132" s="15" t="b">
        <v>0</v>
      </c>
      <c r="Q132" s="57" t="b">
        <v>0</v>
      </c>
    </row>
    <row r="133" spans="1:17" x14ac:dyDescent="0.3">
      <c r="A133" s="164" t="s">
        <v>1840</v>
      </c>
      <c r="B133" s="10"/>
      <c r="C133" s="10"/>
      <c r="D133" s="87">
        <v>550</v>
      </c>
      <c r="E133" s="87">
        <v>0</v>
      </c>
      <c r="F133" s="87">
        <v>0</v>
      </c>
      <c r="G133" s="181" t="s">
        <v>1826</v>
      </c>
      <c r="H133" s="87"/>
      <c r="I133" s="96" t="b">
        <v>0</v>
      </c>
      <c r="J133" s="96" t="b">
        <v>0</v>
      </c>
      <c r="K133" s="96" t="b">
        <v>0</v>
      </c>
      <c r="L133" s="87"/>
      <c r="M133" s="87"/>
      <c r="N133" s="87" t="s">
        <v>72</v>
      </c>
      <c r="O133" s="134" t="s">
        <v>1300</v>
      </c>
      <c r="P133" s="10" t="b">
        <v>0</v>
      </c>
      <c r="Q133" s="96" t="b">
        <v>0</v>
      </c>
    </row>
    <row r="134" spans="1:17" x14ac:dyDescent="0.3">
      <c r="A134" s="164" t="s">
        <v>1841</v>
      </c>
      <c r="B134" s="10"/>
      <c r="C134" s="10"/>
      <c r="D134" s="87">
        <v>5000</v>
      </c>
      <c r="E134" s="87">
        <v>0</v>
      </c>
      <c r="F134" s="87">
        <v>0</v>
      </c>
      <c r="G134" s="181" t="s">
        <v>1827</v>
      </c>
      <c r="H134" s="87"/>
      <c r="I134" s="96" t="b">
        <v>0</v>
      </c>
      <c r="J134" s="96" t="b">
        <v>0</v>
      </c>
      <c r="K134" s="96" t="b">
        <v>0</v>
      </c>
      <c r="L134" s="87" t="s">
        <v>55</v>
      </c>
      <c r="M134" s="87" t="s">
        <v>262</v>
      </c>
      <c r="N134" s="87" t="s">
        <v>263</v>
      </c>
      <c r="O134" s="134" t="s">
        <v>1310</v>
      </c>
      <c r="P134" s="10" t="b">
        <v>0</v>
      </c>
      <c r="Q134" s="96" t="b">
        <v>0</v>
      </c>
    </row>
    <row r="135" spans="1:17" x14ac:dyDescent="0.3">
      <c r="A135" s="164" t="s">
        <v>1842</v>
      </c>
      <c r="B135" s="10"/>
      <c r="C135" s="10"/>
      <c r="D135" s="87">
        <v>600</v>
      </c>
      <c r="E135" s="87">
        <v>0</v>
      </c>
      <c r="F135" s="87">
        <v>0</v>
      </c>
      <c r="G135" s="181" t="s">
        <v>1828</v>
      </c>
      <c r="H135" s="87"/>
      <c r="I135" s="96" t="b">
        <v>0</v>
      </c>
      <c r="J135" s="96" t="b">
        <v>0</v>
      </c>
      <c r="K135" s="96" t="b">
        <v>0</v>
      </c>
      <c r="L135" s="87"/>
      <c r="M135" s="87"/>
      <c r="N135" s="87" t="s">
        <v>72</v>
      </c>
      <c r="O135" s="134" t="s">
        <v>1300</v>
      </c>
      <c r="P135" s="10" t="b">
        <v>0</v>
      </c>
      <c r="Q135" s="96" t="b">
        <v>0</v>
      </c>
    </row>
    <row r="136" spans="1:17" x14ac:dyDescent="0.3">
      <c r="A136" s="164" t="s">
        <v>1843</v>
      </c>
      <c r="B136" s="10"/>
      <c r="C136" s="10"/>
      <c r="D136" s="87">
        <v>4000</v>
      </c>
      <c r="E136" s="87">
        <v>0</v>
      </c>
      <c r="F136" s="87">
        <v>0</v>
      </c>
      <c r="G136" s="181" t="s">
        <v>1829</v>
      </c>
      <c r="H136" s="87"/>
      <c r="I136" s="96" t="b">
        <v>0</v>
      </c>
      <c r="J136" s="96" t="b">
        <v>0</v>
      </c>
      <c r="K136" s="96" t="b">
        <v>0</v>
      </c>
      <c r="L136" s="87" t="s">
        <v>67</v>
      </c>
      <c r="M136" s="87" t="s">
        <v>68</v>
      </c>
      <c r="N136" s="87" t="s">
        <v>69</v>
      </c>
      <c r="O136" s="134" t="s">
        <v>1303</v>
      </c>
      <c r="P136" s="10" t="b">
        <v>0</v>
      </c>
      <c r="Q136" s="96" t="b">
        <v>0</v>
      </c>
    </row>
    <row r="137" spans="1:17" x14ac:dyDescent="0.3">
      <c r="A137" s="164" t="s">
        <v>1844</v>
      </c>
      <c r="B137" s="10"/>
      <c r="C137" s="10"/>
      <c r="D137" s="87">
        <v>4000</v>
      </c>
      <c r="E137" s="87">
        <v>0</v>
      </c>
      <c r="F137" s="87">
        <v>0</v>
      </c>
      <c r="G137" s="181" t="s">
        <v>1830</v>
      </c>
      <c r="H137" s="87"/>
      <c r="I137" s="96" t="b">
        <v>0</v>
      </c>
      <c r="J137" s="96" t="b">
        <v>0</v>
      </c>
      <c r="K137" s="96" t="b">
        <v>0</v>
      </c>
      <c r="L137" s="87" t="s">
        <v>583</v>
      </c>
      <c r="M137" s="87" t="s">
        <v>584</v>
      </c>
      <c r="N137" s="87" t="s">
        <v>589</v>
      </c>
      <c r="O137" s="134" t="s">
        <v>1317</v>
      </c>
      <c r="P137" s="10" t="b">
        <v>0</v>
      </c>
      <c r="Q137" s="96" t="b">
        <v>0</v>
      </c>
    </row>
    <row r="138" spans="1:17" x14ac:dyDescent="0.3">
      <c r="A138" s="164" t="s">
        <v>1845</v>
      </c>
      <c r="B138" s="10"/>
      <c r="C138" s="10"/>
      <c r="D138" s="87">
        <v>4000</v>
      </c>
      <c r="E138" s="87">
        <v>0</v>
      </c>
      <c r="F138" s="87">
        <v>0</v>
      </c>
      <c r="G138" s="181" t="s">
        <v>1831</v>
      </c>
      <c r="H138" s="87"/>
      <c r="I138" s="96" t="b">
        <v>0</v>
      </c>
      <c r="J138" s="96" t="b">
        <v>0</v>
      </c>
      <c r="K138" s="96" t="b">
        <v>0</v>
      </c>
      <c r="L138" s="87" t="s">
        <v>583</v>
      </c>
      <c r="M138" s="87" t="s">
        <v>584</v>
      </c>
      <c r="N138" s="87" t="s">
        <v>589</v>
      </c>
      <c r="O138" s="134" t="s">
        <v>1317</v>
      </c>
      <c r="P138" s="10" t="b">
        <v>0</v>
      </c>
      <c r="Q138" s="96" t="b">
        <v>0</v>
      </c>
    </row>
    <row r="139" spans="1:17" x14ac:dyDescent="0.3">
      <c r="A139" s="164" t="s">
        <v>1846</v>
      </c>
      <c r="B139" s="10"/>
      <c r="C139" s="10"/>
      <c r="D139" s="87">
        <v>550</v>
      </c>
      <c r="E139" s="87">
        <v>0</v>
      </c>
      <c r="F139" s="87">
        <v>0</v>
      </c>
      <c r="G139" s="181" t="s">
        <v>1832</v>
      </c>
      <c r="H139" s="87"/>
      <c r="I139" s="96" t="b">
        <v>0</v>
      </c>
      <c r="J139" s="96" t="b">
        <v>0</v>
      </c>
      <c r="K139" s="96" t="b">
        <v>0</v>
      </c>
      <c r="L139" s="87"/>
      <c r="M139" s="87"/>
      <c r="N139" s="87" t="s">
        <v>72</v>
      </c>
      <c r="O139" s="134" t="s">
        <v>1300</v>
      </c>
      <c r="P139" s="10" t="b">
        <v>0</v>
      </c>
      <c r="Q139" s="96" t="b">
        <v>0</v>
      </c>
    </row>
    <row r="140" spans="1:17" ht="27.75" x14ac:dyDescent="0.3">
      <c r="A140" s="164" t="s">
        <v>1847</v>
      </c>
      <c r="B140" s="10"/>
      <c r="C140" s="10"/>
      <c r="D140" s="87">
        <v>0</v>
      </c>
      <c r="E140" s="87">
        <v>0</v>
      </c>
      <c r="F140" s="87">
        <v>0</v>
      </c>
      <c r="G140" s="181" t="s">
        <v>1868</v>
      </c>
      <c r="H140" s="87"/>
      <c r="I140" s="96" t="b">
        <v>0</v>
      </c>
      <c r="J140" s="96" t="b">
        <v>0</v>
      </c>
      <c r="K140" s="96" t="b">
        <v>0</v>
      </c>
      <c r="L140" s="87"/>
      <c r="M140" s="87"/>
      <c r="N140" s="87"/>
      <c r="O140" s="134"/>
      <c r="P140" s="10" t="b">
        <v>0</v>
      </c>
      <c r="Q140" s="96" t="b">
        <v>0</v>
      </c>
    </row>
    <row r="141" spans="1:17" ht="27.75" x14ac:dyDescent="0.3">
      <c r="A141" s="164" t="s">
        <v>2052</v>
      </c>
      <c r="B141" s="10"/>
      <c r="C141" s="10"/>
      <c r="D141" s="87">
        <v>0</v>
      </c>
      <c r="E141" s="87">
        <v>0</v>
      </c>
      <c r="F141" s="87">
        <v>0</v>
      </c>
      <c r="G141" s="181" t="str">
        <f t="shared" ref="G141:G145" si="18">LEFT(A141, LEN(A141) - 3 ) &amp;".buffeffect.01."&amp;RIGHT(A141,2) &amp;"
" &amp; LEFT(A141, LEN(A141) - 3 ) &amp;".buffeffect.02."&amp;RIGHT(A141,2)</f>
        <v>Raid4001.gigantooth_2.passive02.buff.buffeffect.01.01
Raid4001.gigantooth_2.passive02.buff.buffeffect.02.01</v>
      </c>
      <c r="H141" s="87"/>
      <c r="I141" s="96" t="b">
        <v>0</v>
      </c>
      <c r="J141" s="96" t="b">
        <v>0</v>
      </c>
      <c r="K141" s="96" t="b">
        <v>1</v>
      </c>
      <c r="L141" s="87"/>
      <c r="M141" s="87"/>
      <c r="N141" s="87"/>
      <c r="O141" s="134"/>
      <c r="P141" s="10" t="b">
        <v>0</v>
      </c>
      <c r="Q141" s="96" t="b">
        <v>0</v>
      </c>
    </row>
    <row r="142" spans="1:17" ht="27.75" x14ac:dyDescent="0.3">
      <c r="A142" s="164" t="s">
        <v>2053</v>
      </c>
      <c r="B142" s="10"/>
      <c r="C142" s="10"/>
      <c r="D142" s="87">
        <v>0</v>
      </c>
      <c r="E142" s="87">
        <v>0</v>
      </c>
      <c r="F142" s="87">
        <v>0</v>
      </c>
      <c r="G142" s="181" t="str">
        <f t="shared" si="18"/>
        <v>Raid4001.gigantooth_2.passive02.buff.buffeffect.01.02
Raid4001.gigantooth_2.passive02.buff.buffeffect.02.02</v>
      </c>
      <c r="H142" s="87"/>
      <c r="I142" s="96" t="b">
        <v>0</v>
      </c>
      <c r="J142" s="96" t="b">
        <v>0</v>
      </c>
      <c r="K142" s="96" t="b">
        <v>1</v>
      </c>
      <c r="L142" s="87"/>
      <c r="M142" s="87"/>
      <c r="N142" s="87"/>
      <c r="O142" s="134"/>
      <c r="P142" s="10" t="b">
        <v>0</v>
      </c>
      <c r="Q142" s="96" t="b">
        <v>0</v>
      </c>
    </row>
    <row r="143" spans="1:17" ht="27.75" x14ac:dyDescent="0.3">
      <c r="A143" s="164" t="s">
        <v>2054</v>
      </c>
      <c r="B143" s="10"/>
      <c r="C143" s="10"/>
      <c r="D143" s="87">
        <v>0</v>
      </c>
      <c r="E143" s="87">
        <v>0</v>
      </c>
      <c r="F143" s="87">
        <v>0</v>
      </c>
      <c r="G143" s="181" t="str">
        <f t="shared" si="18"/>
        <v>Raid4001.gigantooth_2.passive02.buff.buffeffect.01.03
Raid4001.gigantooth_2.passive02.buff.buffeffect.02.03</v>
      </c>
      <c r="H143" s="87"/>
      <c r="I143" s="96" t="b">
        <v>0</v>
      </c>
      <c r="J143" s="96" t="b">
        <v>0</v>
      </c>
      <c r="K143" s="96" t="b">
        <v>1</v>
      </c>
      <c r="L143" s="87"/>
      <c r="M143" s="87"/>
      <c r="N143" s="87"/>
      <c r="O143" s="134"/>
      <c r="P143" s="10" t="b">
        <v>0</v>
      </c>
      <c r="Q143" s="96" t="b">
        <v>0</v>
      </c>
    </row>
    <row r="144" spans="1:17" ht="27.75" x14ac:dyDescent="0.3">
      <c r="A144" s="164" t="s">
        <v>2055</v>
      </c>
      <c r="B144" s="10"/>
      <c r="C144" s="10"/>
      <c r="D144" s="87">
        <v>0</v>
      </c>
      <c r="E144" s="87">
        <v>0</v>
      </c>
      <c r="F144" s="87">
        <v>0</v>
      </c>
      <c r="G144" s="181" t="str">
        <f t="shared" si="18"/>
        <v>Raid4001.gigantooth_2.passive02.buff.buffeffect.01.04
Raid4001.gigantooth_2.passive02.buff.buffeffect.02.04</v>
      </c>
      <c r="H144" s="87"/>
      <c r="I144" s="96" t="b">
        <v>0</v>
      </c>
      <c r="J144" s="96" t="b">
        <v>0</v>
      </c>
      <c r="K144" s="96" t="b">
        <v>1</v>
      </c>
      <c r="L144" s="87"/>
      <c r="M144" s="87"/>
      <c r="N144" s="87"/>
      <c r="O144" s="134"/>
      <c r="P144" s="10" t="b">
        <v>0</v>
      </c>
      <c r="Q144" s="96" t="b">
        <v>0</v>
      </c>
    </row>
    <row r="145" spans="1:17" ht="27.75" x14ac:dyDescent="0.3">
      <c r="A145" s="164" t="s">
        <v>2056</v>
      </c>
      <c r="B145" s="10"/>
      <c r="C145" s="10"/>
      <c r="D145" s="87">
        <v>0</v>
      </c>
      <c r="E145" s="87">
        <v>0</v>
      </c>
      <c r="F145" s="87">
        <v>0</v>
      </c>
      <c r="G145" s="181" t="str">
        <f t="shared" si="18"/>
        <v>Raid4001.gigantooth_2.passive02.buff.buffeffect.01.05
Raid4001.gigantooth_2.passive02.buff.buffeffect.02.05</v>
      </c>
      <c r="H145" s="87"/>
      <c r="I145" s="96" t="b">
        <v>0</v>
      </c>
      <c r="J145" s="96" t="b">
        <v>0</v>
      </c>
      <c r="K145" s="96" t="b">
        <v>1</v>
      </c>
      <c r="L145" s="87"/>
      <c r="M145" s="87"/>
      <c r="N145" s="87"/>
      <c r="O145" s="134"/>
      <c r="P145" s="10" t="b">
        <v>0</v>
      </c>
      <c r="Q145" s="96" t="b">
        <v>0</v>
      </c>
    </row>
    <row r="146" spans="1:17" ht="27.75" customHeight="1" x14ac:dyDescent="0.3">
      <c r="A146" s="165" t="s">
        <v>591</v>
      </c>
      <c r="B146" s="48"/>
      <c r="C146" s="48"/>
      <c r="D146" s="90">
        <v>0</v>
      </c>
      <c r="E146" s="90">
        <v>0</v>
      </c>
      <c r="F146" s="90">
        <v>0</v>
      </c>
      <c r="G146" s="182" t="s">
        <v>2208</v>
      </c>
      <c r="H146" s="90"/>
      <c r="I146" s="95" t="b">
        <v>1</v>
      </c>
      <c r="J146" s="95" t="b">
        <v>0</v>
      </c>
      <c r="K146" s="95" t="b">
        <v>1</v>
      </c>
      <c r="L146" s="90"/>
      <c r="M146" s="90" t="s">
        <v>80</v>
      </c>
      <c r="N146" s="90" t="s">
        <v>81</v>
      </c>
      <c r="O146" s="145" t="s">
        <v>1296</v>
      </c>
      <c r="P146" s="48" t="b">
        <v>0</v>
      </c>
      <c r="Q146" s="95" t="b">
        <v>0</v>
      </c>
    </row>
    <row r="147" spans="1:17" x14ac:dyDescent="0.3">
      <c r="A147" s="166" t="s">
        <v>592</v>
      </c>
      <c r="B147" s="43"/>
      <c r="C147" s="43"/>
      <c r="D147" s="68">
        <v>0</v>
      </c>
      <c r="E147" s="68">
        <v>99999</v>
      </c>
      <c r="F147" s="68">
        <v>1</v>
      </c>
      <c r="G147" s="183" t="s">
        <v>593</v>
      </c>
      <c r="H147" s="68"/>
      <c r="I147" s="44" t="b">
        <v>1</v>
      </c>
      <c r="J147" s="44" t="b">
        <v>0</v>
      </c>
      <c r="K147" s="44" t="b">
        <v>1</v>
      </c>
      <c r="L147" s="68" t="s">
        <v>63</v>
      </c>
      <c r="M147" s="68" t="s">
        <v>80</v>
      </c>
      <c r="N147" s="68" t="s">
        <v>81</v>
      </c>
      <c r="O147" s="70" t="s">
        <v>1296</v>
      </c>
      <c r="P147" s="43" t="b">
        <v>0</v>
      </c>
      <c r="Q147" s="44" t="b">
        <v>0</v>
      </c>
    </row>
    <row r="148" spans="1:17" x14ac:dyDescent="0.3">
      <c r="A148" s="166" t="s">
        <v>594</v>
      </c>
      <c r="B148" s="43"/>
      <c r="C148" s="43"/>
      <c r="D148" s="68">
        <v>0</v>
      </c>
      <c r="E148" s="68">
        <v>99999</v>
      </c>
      <c r="F148" s="68">
        <v>1</v>
      </c>
      <c r="G148" s="183" t="s">
        <v>595</v>
      </c>
      <c r="H148" s="68"/>
      <c r="I148" s="44" t="b">
        <v>1</v>
      </c>
      <c r="J148" s="44" t="b">
        <v>0</v>
      </c>
      <c r="K148" s="44" t="b">
        <v>1</v>
      </c>
      <c r="L148" s="68" t="s">
        <v>63</v>
      </c>
      <c r="M148" s="68" t="s">
        <v>56</v>
      </c>
      <c r="N148" s="68" t="s">
        <v>64</v>
      </c>
      <c r="O148" s="70" t="s">
        <v>1298</v>
      </c>
      <c r="P148" s="43" t="b">
        <v>0</v>
      </c>
      <c r="Q148" s="44" t="b">
        <v>0</v>
      </c>
    </row>
    <row r="149" spans="1:17" x14ac:dyDescent="0.3">
      <c r="A149" s="166" t="s">
        <v>596</v>
      </c>
      <c r="B149" s="43"/>
      <c r="C149" s="43"/>
      <c r="D149" s="68">
        <v>0</v>
      </c>
      <c r="E149" s="68">
        <v>99999</v>
      </c>
      <c r="F149" s="68">
        <v>1</v>
      </c>
      <c r="G149" s="183" t="s">
        <v>597</v>
      </c>
      <c r="H149" s="68"/>
      <c r="I149" s="44" t="b">
        <v>1</v>
      </c>
      <c r="J149" s="44" t="b">
        <v>0</v>
      </c>
      <c r="K149" s="44" t="b">
        <v>1</v>
      </c>
      <c r="L149" s="68" t="s">
        <v>63</v>
      </c>
      <c r="M149" s="68" t="s">
        <v>109</v>
      </c>
      <c r="N149" s="68" t="s">
        <v>110</v>
      </c>
      <c r="O149" s="70" t="s">
        <v>1307</v>
      </c>
      <c r="P149" s="43" t="b">
        <v>0</v>
      </c>
      <c r="Q149" s="44" t="b">
        <v>0</v>
      </c>
    </row>
    <row r="150" spans="1:17" ht="27.75" x14ac:dyDescent="0.3">
      <c r="A150" s="166" t="s">
        <v>598</v>
      </c>
      <c r="B150" s="43"/>
      <c r="C150" s="43"/>
      <c r="D150" s="68">
        <v>10000</v>
      </c>
      <c r="E150" s="68">
        <v>0</v>
      </c>
      <c r="F150" s="68">
        <v>0</v>
      </c>
      <c r="G150" s="183" t="s">
        <v>3515</v>
      </c>
      <c r="H150" s="68"/>
      <c r="I150" s="44" t="b">
        <v>0</v>
      </c>
      <c r="J150" s="44" t="b">
        <v>0</v>
      </c>
      <c r="K150" s="44" t="b">
        <v>0</v>
      </c>
      <c r="L150" s="68" t="s">
        <v>46</v>
      </c>
      <c r="M150" s="68" t="s">
        <v>162</v>
      </c>
      <c r="N150" s="68" t="s">
        <v>163</v>
      </c>
      <c r="O150" s="70" t="s">
        <v>1299</v>
      </c>
      <c r="P150" s="43" t="b">
        <v>0</v>
      </c>
      <c r="Q150" s="44" t="b">
        <v>0</v>
      </c>
    </row>
    <row r="151" spans="1:17" x14ac:dyDescent="0.3">
      <c r="A151" s="166" t="s">
        <v>599</v>
      </c>
      <c r="B151" s="43"/>
      <c r="C151" s="43"/>
      <c r="D151" s="68">
        <v>10000</v>
      </c>
      <c r="E151" s="68">
        <v>0</v>
      </c>
      <c r="F151" s="68">
        <v>0</v>
      </c>
      <c r="G151" s="183" t="s">
        <v>600</v>
      </c>
      <c r="H151" s="68"/>
      <c r="I151" s="44" t="b">
        <v>0</v>
      </c>
      <c r="J151" s="44" t="b">
        <v>0</v>
      </c>
      <c r="K151" s="44" t="b">
        <v>0</v>
      </c>
      <c r="L151" s="68" t="s">
        <v>55</v>
      </c>
      <c r="M151" s="68" t="s">
        <v>80</v>
      </c>
      <c r="N151" s="68" t="s">
        <v>231</v>
      </c>
      <c r="O151" s="70" t="s">
        <v>1305</v>
      </c>
      <c r="P151" s="43" t="b">
        <v>0</v>
      </c>
      <c r="Q151" s="44" t="b">
        <v>0</v>
      </c>
    </row>
    <row r="152" spans="1:17" x14ac:dyDescent="0.3">
      <c r="A152" s="166" t="s">
        <v>601</v>
      </c>
      <c r="B152" s="43"/>
      <c r="C152" s="43"/>
      <c r="D152" s="68">
        <v>10000</v>
      </c>
      <c r="E152" s="68">
        <v>0</v>
      </c>
      <c r="F152" s="68">
        <v>0</v>
      </c>
      <c r="G152" s="183" t="s">
        <v>602</v>
      </c>
      <c r="H152" s="68"/>
      <c r="I152" s="44" t="b">
        <v>0</v>
      </c>
      <c r="J152" s="44" t="b">
        <v>0</v>
      </c>
      <c r="K152" s="44" t="b">
        <v>0</v>
      </c>
      <c r="L152" s="68" t="s">
        <v>55</v>
      </c>
      <c r="M152" s="68" t="s">
        <v>80</v>
      </c>
      <c r="N152" s="68" t="s">
        <v>231</v>
      </c>
      <c r="O152" s="70" t="s">
        <v>1305</v>
      </c>
      <c r="P152" s="43" t="b">
        <v>0</v>
      </c>
      <c r="Q152" s="44" t="b">
        <v>0</v>
      </c>
    </row>
    <row r="153" spans="1:17" x14ac:dyDescent="0.3">
      <c r="A153" s="166" t="s">
        <v>603</v>
      </c>
      <c r="B153" s="43"/>
      <c r="C153" s="43"/>
      <c r="D153" s="68">
        <v>10000</v>
      </c>
      <c r="E153" s="68">
        <v>0</v>
      </c>
      <c r="F153" s="68">
        <v>0</v>
      </c>
      <c r="G153" s="183" t="s">
        <v>604</v>
      </c>
      <c r="H153" s="68"/>
      <c r="I153" s="44" t="b">
        <v>0</v>
      </c>
      <c r="J153" s="44" t="b">
        <v>0</v>
      </c>
      <c r="K153" s="44" t="b">
        <v>0</v>
      </c>
      <c r="L153" s="68" t="s">
        <v>51</v>
      </c>
      <c r="M153" s="68" t="s">
        <v>52</v>
      </c>
      <c r="N153" s="68" t="s">
        <v>53</v>
      </c>
      <c r="O153" s="70" t="s">
        <v>1311</v>
      </c>
      <c r="P153" s="43" t="b">
        <v>0</v>
      </c>
      <c r="Q153" s="44" t="b">
        <v>0</v>
      </c>
    </row>
    <row r="154" spans="1:17" x14ac:dyDescent="0.3">
      <c r="A154" s="166" t="s">
        <v>605</v>
      </c>
      <c r="B154" s="43"/>
      <c r="C154" s="43"/>
      <c r="D154" s="68">
        <v>10000</v>
      </c>
      <c r="E154" s="68">
        <v>0</v>
      </c>
      <c r="F154" s="68">
        <v>0</v>
      </c>
      <c r="G154" s="183" t="s">
        <v>378</v>
      </c>
      <c r="H154" s="68"/>
      <c r="I154" s="44" t="b">
        <v>0</v>
      </c>
      <c r="J154" s="44" t="b">
        <v>0</v>
      </c>
      <c r="K154" s="44" t="b">
        <v>0</v>
      </c>
      <c r="L154" s="68" t="s">
        <v>67</v>
      </c>
      <c r="M154" s="68" t="s">
        <v>68</v>
      </c>
      <c r="N154" s="68" t="s">
        <v>69</v>
      </c>
      <c r="O154" s="70" t="s">
        <v>1303</v>
      </c>
      <c r="P154" s="43" t="b">
        <v>0</v>
      </c>
      <c r="Q154" s="44" t="b">
        <v>0</v>
      </c>
    </row>
    <row r="155" spans="1:17" x14ac:dyDescent="0.3">
      <c r="A155" s="166" t="s">
        <v>606</v>
      </c>
      <c r="B155" s="43"/>
      <c r="C155" s="43"/>
      <c r="D155" s="68">
        <v>0</v>
      </c>
      <c r="E155" s="68">
        <v>0</v>
      </c>
      <c r="F155" s="68">
        <v>0</v>
      </c>
      <c r="G155" s="183" t="s">
        <v>607</v>
      </c>
      <c r="H155" s="68"/>
      <c r="I155" s="44" t="b">
        <v>1</v>
      </c>
      <c r="J155" s="44" t="b">
        <v>0</v>
      </c>
      <c r="K155" s="44" t="b">
        <v>1</v>
      </c>
      <c r="L155" s="68"/>
      <c r="M155" s="68"/>
      <c r="N155" s="68"/>
      <c r="O155" s="70" t="s">
        <v>1301</v>
      </c>
      <c r="P155" s="43" t="b">
        <v>0</v>
      </c>
      <c r="Q155" s="44" t="b">
        <v>0</v>
      </c>
    </row>
    <row r="156" spans="1:17" x14ac:dyDescent="0.3">
      <c r="A156" s="166" t="s">
        <v>608</v>
      </c>
      <c r="B156" s="43"/>
      <c r="C156" s="43"/>
      <c r="D156" s="68">
        <v>0</v>
      </c>
      <c r="E156" s="68">
        <v>0</v>
      </c>
      <c r="F156" s="68">
        <v>0</v>
      </c>
      <c r="G156" s="183" t="s">
        <v>609</v>
      </c>
      <c r="H156" s="68"/>
      <c r="I156" s="44" t="b">
        <v>1</v>
      </c>
      <c r="J156" s="44" t="b">
        <v>0</v>
      </c>
      <c r="K156" s="44" t="b">
        <v>1</v>
      </c>
      <c r="L156" s="68"/>
      <c r="M156" s="68"/>
      <c r="N156" s="68"/>
      <c r="O156" s="70"/>
      <c r="P156" s="43" t="b">
        <v>0</v>
      </c>
      <c r="Q156" s="44" t="b">
        <v>0</v>
      </c>
    </row>
    <row r="157" spans="1:17" ht="54.75" customHeight="1" x14ac:dyDescent="0.3">
      <c r="A157" s="166" t="s">
        <v>610</v>
      </c>
      <c r="B157" s="43"/>
      <c r="C157" s="43"/>
      <c r="D157" s="68">
        <v>0</v>
      </c>
      <c r="E157" s="68">
        <v>0</v>
      </c>
      <c r="F157" s="68">
        <v>0</v>
      </c>
      <c r="G157" s="183" t="s">
        <v>611</v>
      </c>
      <c r="H157" s="68"/>
      <c r="I157" s="44" t="b">
        <v>1</v>
      </c>
      <c r="J157" s="44" t="b">
        <v>0</v>
      </c>
      <c r="K157" s="44" t="b">
        <v>1</v>
      </c>
      <c r="L157" s="68"/>
      <c r="M157" s="68"/>
      <c r="N157" s="68"/>
      <c r="O157" s="70"/>
      <c r="P157" s="43" t="b">
        <v>0</v>
      </c>
      <c r="Q157" s="44" t="b">
        <v>0</v>
      </c>
    </row>
    <row r="158" spans="1:17" x14ac:dyDescent="0.3">
      <c r="A158" s="166" t="s">
        <v>3498</v>
      </c>
      <c r="B158" s="43"/>
      <c r="C158" s="43"/>
      <c r="D158" s="68">
        <v>10000</v>
      </c>
      <c r="E158" s="68">
        <v>0</v>
      </c>
      <c r="F158" s="68">
        <v>0</v>
      </c>
      <c r="G158" s="183" t="s">
        <v>612</v>
      </c>
      <c r="H158" s="68"/>
      <c r="I158" s="44" t="b">
        <v>1</v>
      </c>
      <c r="J158" s="44" t="b">
        <v>0</v>
      </c>
      <c r="K158" s="44" t="b">
        <v>0</v>
      </c>
      <c r="L158" s="68" t="s">
        <v>55</v>
      </c>
      <c r="M158" s="68" t="s">
        <v>241</v>
      </c>
      <c r="N158" s="68" t="s">
        <v>242</v>
      </c>
      <c r="O158" s="70" t="s">
        <v>1306</v>
      </c>
      <c r="P158" s="43" t="b">
        <v>0</v>
      </c>
      <c r="Q158" s="44" t="b">
        <v>0</v>
      </c>
    </row>
    <row r="159" spans="1:17" ht="54.75" x14ac:dyDescent="0.3">
      <c r="A159" s="166" t="s">
        <v>3497</v>
      </c>
      <c r="B159" s="43"/>
      <c r="C159" s="43"/>
      <c r="D159" s="68">
        <v>0</v>
      </c>
      <c r="E159" s="68">
        <v>0</v>
      </c>
      <c r="F159" s="68">
        <v>0</v>
      </c>
      <c r="G159" s="183" t="s">
        <v>3504</v>
      </c>
      <c r="H159" s="68"/>
      <c r="I159" s="44" t="b">
        <v>1</v>
      </c>
      <c r="J159" s="44" t="b">
        <v>0</v>
      </c>
      <c r="K159" s="44" t="b">
        <v>1</v>
      </c>
      <c r="L159" s="68"/>
      <c r="M159" s="68"/>
      <c r="N159" s="68"/>
      <c r="O159" s="70"/>
      <c r="P159" s="43" t="b">
        <v>0</v>
      </c>
      <c r="Q159" s="44" t="b">
        <v>0</v>
      </c>
    </row>
    <row r="160" spans="1:17" x14ac:dyDescent="0.3">
      <c r="A160" s="166" t="s">
        <v>3505</v>
      </c>
      <c r="B160" s="43"/>
      <c r="C160" s="43"/>
      <c r="D160" s="68">
        <v>10000</v>
      </c>
      <c r="E160" s="68">
        <v>0</v>
      </c>
      <c r="F160" s="68">
        <v>0</v>
      </c>
      <c r="G160" s="183" t="s">
        <v>3503</v>
      </c>
      <c r="H160" s="68"/>
      <c r="I160" s="44" t="b">
        <v>1</v>
      </c>
      <c r="J160" s="44" t="b">
        <v>0</v>
      </c>
      <c r="K160" s="44" t="b">
        <v>1</v>
      </c>
      <c r="L160" s="68" t="s">
        <v>63</v>
      </c>
      <c r="M160" s="68" t="s">
        <v>241</v>
      </c>
      <c r="N160" s="68" t="s">
        <v>708</v>
      </c>
      <c r="O160" s="70" t="s">
        <v>1333</v>
      </c>
      <c r="P160" s="43" t="b">
        <v>0</v>
      </c>
      <c r="Q160" s="44" t="b">
        <v>0</v>
      </c>
    </row>
    <row r="161" spans="1:17" ht="27.75" customHeight="1" x14ac:dyDescent="0.3">
      <c r="A161" s="161" t="s">
        <v>613</v>
      </c>
      <c r="B161" s="41"/>
      <c r="C161" s="41"/>
      <c r="D161" s="107">
        <v>0</v>
      </c>
      <c r="E161" s="107">
        <v>0</v>
      </c>
      <c r="F161" s="107">
        <v>0</v>
      </c>
      <c r="G161" s="178" t="s">
        <v>614</v>
      </c>
      <c r="H161" s="107"/>
      <c r="I161" s="98" t="b">
        <v>1</v>
      </c>
      <c r="J161" s="98" t="b">
        <v>0</v>
      </c>
      <c r="K161" s="98" t="b">
        <v>1</v>
      </c>
      <c r="L161" s="107"/>
      <c r="M161" s="107"/>
      <c r="N161" s="107"/>
      <c r="O161" s="114" t="s">
        <v>1301</v>
      </c>
      <c r="P161" s="41" t="b">
        <v>0</v>
      </c>
      <c r="Q161" s="98" t="b">
        <v>0</v>
      </c>
    </row>
    <row r="162" spans="1:17" x14ac:dyDescent="0.3">
      <c r="A162" s="161" t="s">
        <v>615</v>
      </c>
      <c r="B162" s="41"/>
      <c r="C162" s="41"/>
      <c r="D162" s="107">
        <v>0</v>
      </c>
      <c r="E162" s="107">
        <v>20</v>
      </c>
      <c r="F162" s="107">
        <v>20</v>
      </c>
      <c r="G162" s="178" t="s">
        <v>616</v>
      </c>
      <c r="H162" s="107"/>
      <c r="I162" s="98" t="b">
        <v>0</v>
      </c>
      <c r="J162" s="98" t="b">
        <v>0</v>
      </c>
      <c r="K162" s="98" t="b">
        <v>1</v>
      </c>
      <c r="L162" s="107" t="s">
        <v>60</v>
      </c>
      <c r="M162" s="107" t="s">
        <v>1115</v>
      </c>
      <c r="N162" s="107" t="s">
        <v>1101</v>
      </c>
      <c r="O162" s="114" t="s">
        <v>1102</v>
      </c>
      <c r="P162" s="41" t="b">
        <v>0</v>
      </c>
      <c r="Q162" s="98" t="b">
        <v>0</v>
      </c>
    </row>
    <row r="163" spans="1:17" x14ac:dyDescent="0.3">
      <c r="A163" s="161" t="s">
        <v>617</v>
      </c>
      <c r="B163" s="41"/>
      <c r="C163" s="41"/>
      <c r="D163" s="107">
        <v>0</v>
      </c>
      <c r="E163" s="107">
        <v>0</v>
      </c>
      <c r="F163" s="107">
        <v>0</v>
      </c>
      <c r="G163" s="178" t="s">
        <v>618</v>
      </c>
      <c r="H163" s="107"/>
      <c r="I163" s="98" t="b">
        <v>1</v>
      </c>
      <c r="J163" s="98" t="b">
        <v>0</v>
      </c>
      <c r="K163" s="98" t="b">
        <v>1</v>
      </c>
      <c r="L163" s="107"/>
      <c r="M163" s="107"/>
      <c r="N163" s="107"/>
      <c r="O163" s="114" t="s">
        <v>1301</v>
      </c>
      <c r="P163" s="41" t="b">
        <v>0</v>
      </c>
      <c r="Q163" s="98" t="b">
        <v>0</v>
      </c>
    </row>
    <row r="164" spans="1:17" x14ac:dyDescent="0.3">
      <c r="A164" s="161" t="s">
        <v>619</v>
      </c>
      <c r="B164" s="41"/>
      <c r="C164" s="41"/>
      <c r="D164" s="107">
        <v>10000</v>
      </c>
      <c r="E164" s="107">
        <v>0</v>
      </c>
      <c r="F164" s="107">
        <v>0</v>
      </c>
      <c r="G164" s="178" t="s">
        <v>3512</v>
      </c>
      <c r="H164" s="107"/>
      <c r="I164" s="98" t="b">
        <v>0</v>
      </c>
      <c r="J164" s="98" t="b">
        <v>0</v>
      </c>
      <c r="K164" s="98" t="b">
        <v>0</v>
      </c>
      <c r="L164" s="107" t="s">
        <v>620</v>
      </c>
      <c r="M164" s="107" t="s">
        <v>621</v>
      </c>
      <c r="N164" s="107" t="s">
        <v>3513</v>
      </c>
      <c r="O164" s="114" t="s">
        <v>3514</v>
      </c>
      <c r="P164" s="41" t="b">
        <v>0</v>
      </c>
      <c r="Q164" s="98" t="b">
        <v>0</v>
      </c>
    </row>
    <row r="165" spans="1:17" ht="27.75" customHeight="1" x14ac:dyDescent="0.3">
      <c r="A165" s="167" t="s">
        <v>622</v>
      </c>
      <c r="B165" s="126"/>
      <c r="C165" s="126"/>
      <c r="D165" s="127">
        <v>0</v>
      </c>
      <c r="E165" s="127">
        <v>0</v>
      </c>
      <c r="F165" s="127">
        <v>0</v>
      </c>
      <c r="G165" s="184" t="s">
        <v>623</v>
      </c>
      <c r="H165" s="127"/>
      <c r="I165" s="129" t="b">
        <v>1</v>
      </c>
      <c r="J165" s="129" t="b">
        <v>0</v>
      </c>
      <c r="K165" s="129" t="b">
        <v>1</v>
      </c>
      <c r="L165" s="127"/>
      <c r="M165" s="127"/>
      <c r="N165" s="127"/>
      <c r="O165" s="133" t="s">
        <v>1301</v>
      </c>
      <c r="P165" s="126" t="b">
        <v>0</v>
      </c>
      <c r="Q165" s="129" t="b">
        <v>0</v>
      </c>
    </row>
    <row r="166" spans="1:17" x14ac:dyDescent="0.3">
      <c r="A166" s="167" t="s">
        <v>624</v>
      </c>
      <c r="B166" s="126"/>
      <c r="C166" s="126"/>
      <c r="D166" s="127">
        <v>0</v>
      </c>
      <c r="E166" s="127">
        <v>5</v>
      </c>
      <c r="F166" s="127">
        <v>5</v>
      </c>
      <c r="G166" s="184" t="s">
        <v>625</v>
      </c>
      <c r="H166" s="127"/>
      <c r="I166" s="129" t="b">
        <v>0</v>
      </c>
      <c r="J166" s="129" t="b">
        <v>0</v>
      </c>
      <c r="K166" s="129" t="b">
        <v>1</v>
      </c>
      <c r="L166" s="127" t="s">
        <v>60</v>
      </c>
      <c r="M166" s="127" t="s">
        <v>1115</v>
      </c>
      <c r="N166" s="127" t="s">
        <v>1101</v>
      </c>
      <c r="O166" s="133" t="s">
        <v>1102</v>
      </c>
      <c r="P166" s="126" t="b">
        <v>0</v>
      </c>
      <c r="Q166" s="129" t="b">
        <v>0</v>
      </c>
    </row>
    <row r="167" spans="1:17" x14ac:dyDescent="0.3">
      <c r="A167" s="167" t="s">
        <v>626</v>
      </c>
      <c r="B167" s="126"/>
      <c r="C167" s="126"/>
      <c r="D167" s="127">
        <v>0</v>
      </c>
      <c r="E167" s="127">
        <v>0</v>
      </c>
      <c r="F167" s="127">
        <v>0</v>
      </c>
      <c r="G167" s="184" t="s">
        <v>627</v>
      </c>
      <c r="H167" s="127"/>
      <c r="I167" s="129" t="b">
        <v>1</v>
      </c>
      <c r="J167" s="129" t="b">
        <v>0</v>
      </c>
      <c r="K167" s="129" t="b">
        <v>1</v>
      </c>
      <c r="L167" s="127"/>
      <c r="M167" s="127"/>
      <c r="N167" s="127"/>
      <c r="O167" s="133" t="s">
        <v>1301</v>
      </c>
      <c r="P167" s="126" t="b">
        <v>0</v>
      </c>
      <c r="Q167" s="129" t="b">
        <v>0</v>
      </c>
    </row>
    <row r="168" spans="1:17" x14ac:dyDescent="0.3">
      <c r="A168" s="161" t="s">
        <v>628</v>
      </c>
      <c r="B168" s="41"/>
      <c r="C168" s="41"/>
      <c r="D168" s="107">
        <v>0</v>
      </c>
      <c r="E168" s="107">
        <v>20</v>
      </c>
      <c r="F168" s="107">
        <v>20</v>
      </c>
      <c r="G168" s="178" t="s">
        <v>629</v>
      </c>
      <c r="H168" s="107"/>
      <c r="I168" s="98" t="b">
        <v>0</v>
      </c>
      <c r="J168" s="98" t="b">
        <v>0</v>
      </c>
      <c r="K168" s="98" t="b">
        <v>1</v>
      </c>
      <c r="L168" s="107" t="s">
        <v>60</v>
      </c>
      <c r="M168" s="107" t="s">
        <v>1115</v>
      </c>
      <c r="N168" s="107" t="s">
        <v>1101</v>
      </c>
      <c r="O168" s="114" t="s">
        <v>1102</v>
      </c>
      <c r="P168" s="41" t="b">
        <v>0</v>
      </c>
      <c r="Q168" s="98" t="b">
        <v>0</v>
      </c>
    </row>
    <row r="169" spans="1:17" ht="27.75" x14ac:dyDescent="0.3">
      <c r="A169" s="161" t="s">
        <v>1103</v>
      </c>
      <c r="B169" s="41"/>
      <c r="C169" s="41"/>
      <c r="D169" s="107">
        <v>0</v>
      </c>
      <c r="E169" s="107">
        <v>0</v>
      </c>
      <c r="F169" s="107">
        <v>0</v>
      </c>
      <c r="G169" s="178" t="s">
        <v>1104</v>
      </c>
      <c r="H169" s="107"/>
      <c r="I169" s="98" t="b">
        <v>1</v>
      </c>
      <c r="J169" s="98" t="b">
        <v>0</v>
      </c>
      <c r="K169" s="98" t="b">
        <v>1</v>
      </c>
      <c r="L169" s="107"/>
      <c r="M169" s="107"/>
      <c r="N169" s="107"/>
      <c r="O169" s="114" t="s">
        <v>1301</v>
      </c>
      <c r="P169" s="41" t="b">
        <v>0</v>
      </c>
      <c r="Q169" s="98" t="b">
        <v>0</v>
      </c>
    </row>
    <row r="170" spans="1:17" x14ac:dyDescent="0.3">
      <c r="A170" s="161" t="s">
        <v>1105</v>
      </c>
      <c r="B170" s="41"/>
      <c r="C170" s="41"/>
      <c r="D170" s="107">
        <v>0</v>
      </c>
      <c r="E170" s="107">
        <v>5</v>
      </c>
      <c r="F170" s="107">
        <v>5</v>
      </c>
      <c r="G170" s="178" t="s">
        <v>1106</v>
      </c>
      <c r="H170" s="107"/>
      <c r="I170" s="98" t="b">
        <v>0</v>
      </c>
      <c r="J170" s="98" t="b">
        <v>0</v>
      </c>
      <c r="K170" s="98" t="b">
        <v>1</v>
      </c>
      <c r="L170" s="107" t="s">
        <v>60</v>
      </c>
      <c r="M170" s="107" t="s">
        <v>1115</v>
      </c>
      <c r="N170" s="107" t="s">
        <v>1101</v>
      </c>
      <c r="O170" s="114" t="s">
        <v>1102</v>
      </c>
      <c r="P170" s="41" t="b">
        <v>0</v>
      </c>
      <c r="Q170" s="98" t="b">
        <v>0</v>
      </c>
    </row>
    <row r="171" spans="1:17" x14ac:dyDescent="0.3">
      <c r="A171" s="161" t="s">
        <v>1107</v>
      </c>
      <c r="B171" s="41"/>
      <c r="C171" s="41"/>
      <c r="D171" s="107">
        <v>0</v>
      </c>
      <c r="E171" s="107">
        <v>0</v>
      </c>
      <c r="F171" s="107">
        <v>0</v>
      </c>
      <c r="G171" s="178" t="s">
        <v>1108</v>
      </c>
      <c r="H171" s="107"/>
      <c r="I171" s="98" t="b">
        <v>1</v>
      </c>
      <c r="J171" s="98" t="b">
        <v>0</v>
      </c>
      <c r="K171" s="98" t="b">
        <v>1</v>
      </c>
      <c r="L171" s="107"/>
      <c r="M171" s="107"/>
      <c r="N171" s="107"/>
      <c r="O171" s="114" t="s">
        <v>1301</v>
      </c>
      <c r="P171" s="41" t="b">
        <v>0</v>
      </c>
      <c r="Q171" s="98" t="b">
        <v>0</v>
      </c>
    </row>
    <row r="172" spans="1:17" ht="27.75" customHeight="1" x14ac:dyDescent="0.3">
      <c r="A172" s="163" t="s">
        <v>630</v>
      </c>
      <c r="B172" s="15"/>
      <c r="C172" s="15"/>
      <c r="D172" s="65">
        <v>0</v>
      </c>
      <c r="E172" s="65">
        <v>0</v>
      </c>
      <c r="F172" s="65">
        <v>0</v>
      </c>
      <c r="G172" s="180" t="s">
        <v>2162</v>
      </c>
      <c r="H172" s="65"/>
      <c r="I172" s="57" t="b">
        <v>1</v>
      </c>
      <c r="J172" s="57" t="b">
        <v>0</v>
      </c>
      <c r="K172" s="57" t="b">
        <v>1</v>
      </c>
      <c r="L172" s="65"/>
      <c r="M172" s="65" t="s">
        <v>80</v>
      </c>
      <c r="N172" s="65" t="s">
        <v>81</v>
      </c>
      <c r="O172" s="66" t="s">
        <v>1296</v>
      </c>
      <c r="P172" s="15" t="b">
        <v>0</v>
      </c>
      <c r="Q172" s="57" t="b">
        <v>0</v>
      </c>
    </row>
    <row r="173" spans="1:17" ht="27.75" customHeight="1" x14ac:dyDescent="0.3">
      <c r="A173" s="162" t="s">
        <v>631</v>
      </c>
      <c r="B173" s="101"/>
      <c r="C173" s="101"/>
      <c r="D173" s="100">
        <v>0</v>
      </c>
      <c r="E173" s="100">
        <v>0</v>
      </c>
      <c r="F173" s="100">
        <v>0</v>
      </c>
      <c r="G173" s="179" t="s">
        <v>2163</v>
      </c>
      <c r="H173" s="100"/>
      <c r="I173" s="102" t="b">
        <v>1</v>
      </c>
      <c r="J173" s="102" t="b">
        <v>0</v>
      </c>
      <c r="K173" s="102" t="b">
        <v>1</v>
      </c>
      <c r="L173" s="100"/>
      <c r="M173" s="100" t="s">
        <v>80</v>
      </c>
      <c r="N173" s="100" t="s">
        <v>81</v>
      </c>
      <c r="O173" s="103" t="s">
        <v>1296</v>
      </c>
      <c r="P173" s="101" t="b">
        <v>0</v>
      </c>
      <c r="Q173" s="102" t="b">
        <v>0</v>
      </c>
    </row>
    <row r="174" spans="1:17" x14ac:dyDescent="0.3">
      <c r="A174" s="163" t="s">
        <v>632</v>
      </c>
      <c r="B174" s="15"/>
      <c r="C174" s="15"/>
      <c r="D174" s="65">
        <v>0</v>
      </c>
      <c r="E174" s="65">
        <v>99999</v>
      </c>
      <c r="F174" s="65">
        <v>1</v>
      </c>
      <c r="G174" s="180" t="s">
        <v>633</v>
      </c>
      <c r="H174" s="65"/>
      <c r="I174" s="57" t="b">
        <v>1</v>
      </c>
      <c r="J174" s="57" t="b">
        <v>0</v>
      </c>
      <c r="K174" s="57" t="b">
        <v>1</v>
      </c>
      <c r="L174" s="65" t="s">
        <v>63</v>
      </c>
      <c r="M174" s="65" t="s">
        <v>80</v>
      </c>
      <c r="N174" s="65" t="s">
        <v>81</v>
      </c>
      <c r="O174" s="66" t="s">
        <v>1296</v>
      </c>
      <c r="P174" s="15" t="b">
        <v>0</v>
      </c>
      <c r="Q174" s="57" t="b">
        <v>0</v>
      </c>
    </row>
    <row r="175" spans="1:17" x14ac:dyDescent="0.3">
      <c r="A175" s="163" t="s">
        <v>634</v>
      </c>
      <c r="B175" s="15"/>
      <c r="C175" s="15"/>
      <c r="D175" s="65">
        <v>0</v>
      </c>
      <c r="E175" s="65">
        <v>99999</v>
      </c>
      <c r="F175" s="65">
        <v>1</v>
      </c>
      <c r="G175" s="180" t="s">
        <v>635</v>
      </c>
      <c r="H175" s="65"/>
      <c r="I175" s="57" t="b">
        <v>1</v>
      </c>
      <c r="J175" s="57" t="b">
        <v>0</v>
      </c>
      <c r="K175" s="57" t="b">
        <v>1</v>
      </c>
      <c r="L175" s="65" t="s">
        <v>63</v>
      </c>
      <c r="M175" s="65" t="s">
        <v>56</v>
      </c>
      <c r="N175" s="65" t="s">
        <v>64</v>
      </c>
      <c r="O175" s="66" t="s">
        <v>1298</v>
      </c>
      <c r="P175" s="15" t="b">
        <v>0</v>
      </c>
      <c r="Q175" s="57" t="b">
        <v>0</v>
      </c>
    </row>
    <row r="176" spans="1:17" x14ac:dyDescent="0.3">
      <c r="A176" s="163" t="s">
        <v>636</v>
      </c>
      <c r="B176" s="15"/>
      <c r="C176" s="15"/>
      <c r="D176" s="65">
        <v>0</v>
      </c>
      <c r="E176" s="65">
        <v>99999</v>
      </c>
      <c r="F176" s="65">
        <v>1</v>
      </c>
      <c r="G176" s="180" t="s">
        <v>637</v>
      </c>
      <c r="H176" s="65"/>
      <c r="I176" s="57" t="b">
        <v>1</v>
      </c>
      <c r="J176" s="57" t="b">
        <v>0</v>
      </c>
      <c r="K176" s="57" t="b">
        <v>1</v>
      </c>
      <c r="L176" s="65" t="s">
        <v>63</v>
      </c>
      <c r="M176" s="65" t="s">
        <v>109</v>
      </c>
      <c r="N176" s="65" t="s">
        <v>110</v>
      </c>
      <c r="O176" s="66" t="s">
        <v>1307</v>
      </c>
      <c r="P176" s="15" t="b">
        <v>0</v>
      </c>
      <c r="Q176" s="57" t="b">
        <v>0</v>
      </c>
    </row>
    <row r="177" spans="1:17" x14ac:dyDescent="0.3">
      <c r="A177" s="162" t="s">
        <v>638</v>
      </c>
      <c r="B177" s="101"/>
      <c r="C177" s="101"/>
      <c r="D177" s="100">
        <v>0</v>
      </c>
      <c r="E177" s="100">
        <v>99999</v>
      </c>
      <c r="F177" s="100">
        <v>1</v>
      </c>
      <c r="G177" s="179" t="s">
        <v>639</v>
      </c>
      <c r="H177" s="100"/>
      <c r="I177" s="102" t="b">
        <v>1</v>
      </c>
      <c r="J177" s="102" t="b">
        <v>0</v>
      </c>
      <c r="K177" s="102" t="b">
        <v>1</v>
      </c>
      <c r="L177" s="100" t="s">
        <v>63</v>
      </c>
      <c r="M177" s="100" t="s">
        <v>80</v>
      </c>
      <c r="N177" s="100" t="s">
        <v>81</v>
      </c>
      <c r="O177" s="103" t="s">
        <v>1296</v>
      </c>
      <c r="P177" s="101" t="b">
        <v>0</v>
      </c>
      <c r="Q177" s="102" t="b">
        <v>0</v>
      </c>
    </row>
    <row r="178" spans="1:17" x14ac:dyDescent="0.3">
      <c r="A178" s="162" t="s">
        <v>640</v>
      </c>
      <c r="B178" s="101"/>
      <c r="C178" s="101"/>
      <c r="D178" s="100">
        <v>0</v>
      </c>
      <c r="E178" s="100">
        <v>99999</v>
      </c>
      <c r="F178" s="100">
        <v>1</v>
      </c>
      <c r="G178" s="179" t="s">
        <v>641</v>
      </c>
      <c r="H178" s="100"/>
      <c r="I178" s="102" t="b">
        <v>1</v>
      </c>
      <c r="J178" s="102" t="b">
        <v>0</v>
      </c>
      <c r="K178" s="102" t="b">
        <v>1</v>
      </c>
      <c r="L178" s="100" t="s">
        <v>63</v>
      </c>
      <c r="M178" s="100" t="s">
        <v>56</v>
      </c>
      <c r="N178" s="100" t="s">
        <v>64</v>
      </c>
      <c r="O178" s="103" t="s">
        <v>1298</v>
      </c>
      <c r="P178" s="101" t="b">
        <v>0</v>
      </c>
      <c r="Q178" s="102" t="b">
        <v>0</v>
      </c>
    </row>
    <row r="179" spans="1:17" x14ac:dyDescent="0.3">
      <c r="A179" s="162" t="s">
        <v>642</v>
      </c>
      <c r="B179" s="101"/>
      <c r="C179" s="101"/>
      <c r="D179" s="100">
        <v>0</v>
      </c>
      <c r="E179" s="100">
        <v>99999</v>
      </c>
      <c r="F179" s="100">
        <v>1</v>
      </c>
      <c r="G179" s="179" t="s">
        <v>643</v>
      </c>
      <c r="H179" s="100"/>
      <c r="I179" s="102" t="b">
        <v>1</v>
      </c>
      <c r="J179" s="102" t="b">
        <v>0</v>
      </c>
      <c r="K179" s="102" t="b">
        <v>1</v>
      </c>
      <c r="L179" s="100" t="s">
        <v>63</v>
      </c>
      <c r="M179" s="100" t="s">
        <v>109</v>
      </c>
      <c r="N179" s="100" t="s">
        <v>110</v>
      </c>
      <c r="O179" s="103" t="s">
        <v>1307</v>
      </c>
      <c r="P179" s="101" t="b">
        <v>0</v>
      </c>
      <c r="Q179" s="102" t="b">
        <v>0</v>
      </c>
    </row>
    <row r="180" spans="1:17" x14ac:dyDescent="0.3">
      <c r="A180" s="168" t="s">
        <v>644</v>
      </c>
      <c r="B180" s="146"/>
      <c r="C180" s="146"/>
      <c r="D180" s="147">
        <v>0</v>
      </c>
      <c r="E180" s="147">
        <v>4</v>
      </c>
      <c r="F180" s="147">
        <v>1</v>
      </c>
      <c r="G180" s="185" t="s">
        <v>645</v>
      </c>
      <c r="H180" s="147"/>
      <c r="I180" s="148" t="b">
        <v>0</v>
      </c>
      <c r="J180" s="148" t="b">
        <v>0</v>
      </c>
      <c r="K180" s="148" t="b">
        <v>1</v>
      </c>
      <c r="L180" s="147"/>
      <c r="M180" s="147"/>
      <c r="N180" s="147"/>
      <c r="O180" s="149" t="s">
        <v>1301</v>
      </c>
      <c r="P180" s="146" t="b">
        <v>0</v>
      </c>
      <c r="Q180" s="148" t="b">
        <v>0</v>
      </c>
    </row>
    <row r="181" spans="1:17" x14ac:dyDescent="0.3">
      <c r="A181" s="163" t="s">
        <v>2118</v>
      </c>
      <c r="B181" s="15"/>
      <c r="C181" s="15"/>
      <c r="D181" s="65">
        <v>10000</v>
      </c>
      <c r="E181" s="65">
        <v>0</v>
      </c>
      <c r="F181" s="65">
        <v>0</v>
      </c>
      <c r="G181" s="180" t="s">
        <v>2120</v>
      </c>
      <c r="H181" s="65"/>
      <c r="I181" s="57" t="b">
        <v>0</v>
      </c>
      <c r="J181" s="57" t="b">
        <v>0</v>
      </c>
      <c r="K181" s="57" t="b">
        <v>0</v>
      </c>
      <c r="L181" s="65" t="s">
        <v>46</v>
      </c>
      <c r="M181" s="65" t="s">
        <v>162</v>
      </c>
      <c r="N181" s="65" t="s">
        <v>163</v>
      </c>
      <c r="O181" s="66" t="s">
        <v>1299</v>
      </c>
      <c r="P181" s="15" t="b">
        <v>0</v>
      </c>
      <c r="Q181" s="57" t="b">
        <v>0</v>
      </c>
    </row>
    <row r="182" spans="1:17" x14ac:dyDescent="0.3">
      <c r="A182" s="163" t="s">
        <v>646</v>
      </c>
      <c r="B182" s="15"/>
      <c r="C182" s="15"/>
      <c r="D182" s="65">
        <v>0</v>
      </c>
      <c r="E182" s="65">
        <v>0</v>
      </c>
      <c r="F182" s="65">
        <v>0</v>
      </c>
      <c r="G182" s="180" t="s">
        <v>647</v>
      </c>
      <c r="H182" s="65"/>
      <c r="I182" s="57" t="b">
        <v>0</v>
      </c>
      <c r="J182" s="57" t="b">
        <v>0</v>
      </c>
      <c r="K182" s="57" t="b">
        <v>1</v>
      </c>
      <c r="L182" s="65"/>
      <c r="M182" s="65"/>
      <c r="N182" s="65"/>
      <c r="O182" s="66" t="s">
        <v>1301</v>
      </c>
      <c r="P182" s="15" t="b">
        <v>0</v>
      </c>
      <c r="Q182" s="57" t="b">
        <v>0</v>
      </c>
    </row>
    <row r="183" spans="1:17" x14ac:dyDescent="0.3">
      <c r="A183" s="163" t="s">
        <v>648</v>
      </c>
      <c r="B183" s="15"/>
      <c r="C183" s="15"/>
      <c r="D183" s="65">
        <v>0</v>
      </c>
      <c r="E183" s="65">
        <v>0</v>
      </c>
      <c r="F183" s="65">
        <v>0</v>
      </c>
      <c r="G183" s="180" t="s">
        <v>649</v>
      </c>
      <c r="H183" s="65"/>
      <c r="I183" s="57" t="b">
        <v>0</v>
      </c>
      <c r="J183" s="57" t="b">
        <v>0</v>
      </c>
      <c r="K183" s="57" t="b">
        <v>0</v>
      </c>
      <c r="L183" s="65" t="s">
        <v>55</v>
      </c>
      <c r="M183" s="65" t="s">
        <v>241</v>
      </c>
      <c r="N183" s="65" t="s">
        <v>242</v>
      </c>
      <c r="O183" s="66" t="s">
        <v>1306</v>
      </c>
      <c r="P183" s="15" t="b">
        <v>0</v>
      </c>
      <c r="Q183" s="57" t="b">
        <v>0</v>
      </c>
    </row>
    <row r="184" spans="1:17" x14ac:dyDescent="0.3">
      <c r="A184" s="163" t="s">
        <v>650</v>
      </c>
      <c r="B184" s="15"/>
      <c r="C184" s="15"/>
      <c r="D184" s="65">
        <v>10000</v>
      </c>
      <c r="E184" s="65">
        <v>9999</v>
      </c>
      <c r="F184" s="65">
        <v>1</v>
      </c>
      <c r="G184" s="180" t="s">
        <v>651</v>
      </c>
      <c r="H184" s="65"/>
      <c r="I184" s="57" t="b">
        <v>0</v>
      </c>
      <c r="J184" s="57" t="b">
        <v>0</v>
      </c>
      <c r="K184" s="57" t="b">
        <v>1</v>
      </c>
      <c r="L184" s="65" t="s">
        <v>63</v>
      </c>
      <c r="M184" s="65" t="s">
        <v>109</v>
      </c>
      <c r="N184" s="65" t="s">
        <v>110</v>
      </c>
      <c r="O184" s="66" t="s">
        <v>1307</v>
      </c>
      <c r="P184" s="15" t="b">
        <v>0</v>
      </c>
      <c r="Q184" s="57" t="b">
        <v>0</v>
      </c>
    </row>
    <row r="185" spans="1:17" ht="27.75" customHeight="1" x14ac:dyDescent="0.3">
      <c r="A185" s="169" t="s">
        <v>652</v>
      </c>
      <c r="B185" s="21"/>
      <c r="C185" s="21"/>
      <c r="D185" s="76">
        <v>0</v>
      </c>
      <c r="E185" s="76">
        <v>0</v>
      </c>
      <c r="F185" s="76">
        <v>0</v>
      </c>
      <c r="G185" s="186" t="s">
        <v>653</v>
      </c>
      <c r="H185" s="76"/>
      <c r="I185" s="52" t="b">
        <v>1</v>
      </c>
      <c r="J185" s="52" t="b">
        <v>0</v>
      </c>
      <c r="K185" s="52" t="b">
        <v>1</v>
      </c>
      <c r="L185" s="76"/>
      <c r="M185" s="76"/>
      <c r="N185" s="76"/>
      <c r="O185" s="78" t="s">
        <v>1301</v>
      </c>
      <c r="P185" s="21" t="b">
        <v>0</v>
      </c>
      <c r="Q185" s="52" t="b">
        <v>0</v>
      </c>
    </row>
    <row r="186" spans="1:17" x14ac:dyDescent="0.3">
      <c r="A186" s="169" t="s">
        <v>654</v>
      </c>
      <c r="B186" s="21"/>
      <c r="C186" s="21"/>
      <c r="D186" s="76">
        <v>200</v>
      </c>
      <c r="E186" s="76">
        <v>0</v>
      </c>
      <c r="F186" s="76">
        <v>0</v>
      </c>
      <c r="G186" s="186" t="s">
        <v>655</v>
      </c>
      <c r="H186" s="76"/>
      <c r="I186" s="52" t="b">
        <v>0</v>
      </c>
      <c r="J186" s="52" t="b">
        <v>0</v>
      </c>
      <c r="K186" s="52" t="b">
        <v>0</v>
      </c>
      <c r="L186" s="76"/>
      <c r="M186" s="76"/>
      <c r="N186" s="76" t="s">
        <v>72</v>
      </c>
      <c r="O186" s="78" t="s">
        <v>1300</v>
      </c>
      <c r="P186" s="21" t="b">
        <v>0</v>
      </c>
      <c r="Q186" s="52" t="b">
        <v>0</v>
      </c>
    </row>
    <row r="187" spans="1:17" x14ac:dyDescent="0.3">
      <c r="A187" s="169" t="s">
        <v>656</v>
      </c>
      <c r="B187" s="21"/>
      <c r="C187" s="21"/>
      <c r="D187" s="76">
        <v>10000</v>
      </c>
      <c r="E187" s="76">
        <v>0</v>
      </c>
      <c r="F187" s="76">
        <v>0</v>
      </c>
      <c r="G187" s="186" t="s">
        <v>657</v>
      </c>
      <c r="H187" s="76"/>
      <c r="I187" s="52" t="b">
        <v>0</v>
      </c>
      <c r="J187" s="52" t="b">
        <v>0</v>
      </c>
      <c r="K187" s="52" t="b">
        <v>0</v>
      </c>
      <c r="L187" s="76" t="s">
        <v>55</v>
      </c>
      <c r="M187" s="76" t="s">
        <v>207</v>
      </c>
      <c r="N187" s="76" t="s">
        <v>208</v>
      </c>
      <c r="O187" s="78" t="s">
        <v>1304</v>
      </c>
      <c r="P187" s="21" t="b">
        <v>0</v>
      </c>
      <c r="Q187" s="52" t="b">
        <v>0</v>
      </c>
    </row>
    <row r="188" spans="1:17" x14ac:dyDescent="0.3">
      <c r="A188" s="169" t="s">
        <v>658</v>
      </c>
      <c r="B188" s="21"/>
      <c r="C188" s="21"/>
      <c r="D188" s="76">
        <v>3000</v>
      </c>
      <c r="E188" s="76">
        <v>0</v>
      </c>
      <c r="F188" s="76">
        <v>0</v>
      </c>
      <c r="G188" s="186" t="s">
        <v>659</v>
      </c>
      <c r="H188" s="76"/>
      <c r="I188" s="52" t="b">
        <v>0</v>
      </c>
      <c r="J188" s="52" t="b">
        <v>0</v>
      </c>
      <c r="K188" s="52" t="b">
        <v>0</v>
      </c>
      <c r="L188" s="76" t="s">
        <v>583</v>
      </c>
      <c r="M188" s="76" t="s">
        <v>584</v>
      </c>
      <c r="N188" s="76" t="s">
        <v>589</v>
      </c>
      <c r="O188" s="78" t="s">
        <v>1317</v>
      </c>
      <c r="P188" s="21" t="b">
        <v>0</v>
      </c>
      <c r="Q188" s="52" t="b">
        <v>0</v>
      </c>
    </row>
    <row r="189" spans="1:17" x14ac:dyDescent="0.3">
      <c r="A189" s="169" t="s">
        <v>1338</v>
      </c>
      <c r="B189" s="21"/>
      <c r="C189" s="21"/>
      <c r="D189" s="76">
        <v>1000</v>
      </c>
      <c r="E189" s="76">
        <v>0</v>
      </c>
      <c r="F189" s="76">
        <v>0</v>
      </c>
      <c r="G189" s="186" t="s">
        <v>1341</v>
      </c>
      <c r="H189" s="76"/>
      <c r="I189" s="52" t="b">
        <v>0</v>
      </c>
      <c r="J189" s="52" t="b">
        <v>0</v>
      </c>
      <c r="K189" s="52" t="b">
        <v>1</v>
      </c>
      <c r="L189" s="76"/>
      <c r="M189" s="76"/>
      <c r="N189" s="76"/>
      <c r="O189" s="78"/>
      <c r="P189" s="21" t="b">
        <v>0</v>
      </c>
      <c r="Q189" s="52" t="b">
        <v>0</v>
      </c>
    </row>
    <row r="190" spans="1:17" x14ac:dyDescent="0.3">
      <c r="A190" s="169" t="s">
        <v>1339</v>
      </c>
      <c r="B190" s="21"/>
      <c r="C190" s="21"/>
      <c r="D190" s="76">
        <v>1000</v>
      </c>
      <c r="E190" s="76">
        <v>0</v>
      </c>
      <c r="F190" s="76">
        <v>0</v>
      </c>
      <c r="G190" s="186" t="s">
        <v>1343</v>
      </c>
      <c r="H190" s="76"/>
      <c r="I190" s="52" t="b">
        <v>0</v>
      </c>
      <c r="J190" s="52" t="b">
        <v>0</v>
      </c>
      <c r="K190" s="52" t="b">
        <v>1</v>
      </c>
      <c r="L190" s="76"/>
      <c r="M190" s="76"/>
      <c r="N190" s="76"/>
      <c r="O190" s="78"/>
      <c r="P190" s="21" t="b">
        <v>0</v>
      </c>
      <c r="Q190" s="52" t="b">
        <v>0</v>
      </c>
    </row>
    <row r="191" spans="1:17" x14ac:dyDescent="0.3">
      <c r="A191" s="169" t="s">
        <v>660</v>
      </c>
      <c r="B191" s="21"/>
      <c r="C191" s="21"/>
      <c r="D191" s="76">
        <v>0</v>
      </c>
      <c r="E191" s="76">
        <v>2</v>
      </c>
      <c r="F191" s="76">
        <v>1</v>
      </c>
      <c r="G191" s="186" t="s">
        <v>661</v>
      </c>
      <c r="H191" s="76"/>
      <c r="I191" s="52" t="b">
        <v>0</v>
      </c>
      <c r="J191" s="52" t="b">
        <v>0</v>
      </c>
      <c r="K191" s="52" t="b">
        <v>1</v>
      </c>
      <c r="L191" s="76"/>
      <c r="M191" s="76"/>
      <c r="N191" s="76"/>
      <c r="O191" s="78" t="s">
        <v>1301</v>
      </c>
      <c r="P191" s="21" t="b">
        <v>0</v>
      </c>
      <c r="Q191" s="52" t="b">
        <v>0</v>
      </c>
    </row>
    <row r="192" spans="1:17" ht="27.75" x14ac:dyDescent="0.3">
      <c r="A192" s="169" t="s">
        <v>662</v>
      </c>
      <c r="B192" s="21"/>
      <c r="C192" s="21"/>
      <c r="D192" s="76">
        <v>0</v>
      </c>
      <c r="E192" s="76">
        <v>0</v>
      </c>
      <c r="F192" s="76">
        <v>0</v>
      </c>
      <c r="G192" s="186" t="s">
        <v>1409</v>
      </c>
      <c r="H192" s="76"/>
      <c r="I192" s="52" t="b">
        <v>1</v>
      </c>
      <c r="J192" s="52" t="b">
        <v>0</v>
      </c>
      <c r="K192" s="52" t="b">
        <v>1</v>
      </c>
      <c r="L192" s="76"/>
      <c r="M192" s="76"/>
      <c r="N192" s="76"/>
      <c r="O192" s="78"/>
      <c r="P192" s="21" t="b">
        <v>0</v>
      </c>
      <c r="Q192" s="52" t="b">
        <v>0</v>
      </c>
    </row>
    <row r="193" spans="1:17" ht="41.25" x14ac:dyDescent="0.3">
      <c r="A193" s="169" t="s">
        <v>663</v>
      </c>
      <c r="B193" s="21"/>
      <c r="C193" s="21"/>
      <c r="D193" s="76">
        <v>0</v>
      </c>
      <c r="E193" s="76">
        <v>0</v>
      </c>
      <c r="F193" s="76">
        <v>0</v>
      </c>
      <c r="G193" s="186" t="s">
        <v>1407</v>
      </c>
      <c r="H193" s="76"/>
      <c r="I193" s="52" t="b">
        <v>0</v>
      </c>
      <c r="J193" s="52" t="b">
        <v>0</v>
      </c>
      <c r="K193" s="52" t="b">
        <v>1</v>
      </c>
      <c r="L193" s="76" t="s">
        <v>665</v>
      </c>
      <c r="M193" s="76" t="s">
        <v>178</v>
      </c>
      <c r="N193" s="76" t="s">
        <v>1346</v>
      </c>
      <c r="O193" s="78" t="s">
        <v>1302</v>
      </c>
      <c r="P193" s="21" t="b">
        <v>0</v>
      </c>
      <c r="Q193" s="52" t="b">
        <v>0</v>
      </c>
    </row>
    <row r="194" spans="1:17" ht="41.25" x14ac:dyDescent="0.3">
      <c r="A194" s="169" t="s">
        <v>666</v>
      </c>
      <c r="B194" s="21"/>
      <c r="C194" s="21"/>
      <c r="D194" s="76">
        <v>0</v>
      </c>
      <c r="E194" s="76">
        <v>0</v>
      </c>
      <c r="F194" s="76">
        <v>0</v>
      </c>
      <c r="G194" s="186" t="s">
        <v>1406</v>
      </c>
      <c r="H194" s="76"/>
      <c r="I194" s="52" t="b">
        <v>0</v>
      </c>
      <c r="J194" s="52" t="b">
        <v>0</v>
      </c>
      <c r="K194" s="52" t="b">
        <v>1</v>
      </c>
      <c r="L194" s="76" t="s">
        <v>665</v>
      </c>
      <c r="M194" s="76" t="s">
        <v>178</v>
      </c>
      <c r="N194" s="76" t="s">
        <v>179</v>
      </c>
      <c r="O194" s="78" t="s">
        <v>1302</v>
      </c>
      <c r="P194" s="21" t="b">
        <v>0</v>
      </c>
      <c r="Q194" s="52" t="b">
        <v>0</v>
      </c>
    </row>
    <row r="195" spans="1:17" x14ac:dyDescent="0.3">
      <c r="A195" s="169" t="s">
        <v>668</v>
      </c>
      <c r="B195" s="21"/>
      <c r="C195" s="21"/>
      <c r="D195" s="76">
        <v>1000</v>
      </c>
      <c r="E195" s="76">
        <v>0</v>
      </c>
      <c r="F195" s="76">
        <v>0</v>
      </c>
      <c r="G195" s="186" t="s">
        <v>173</v>
      </c>
      <c r="H195" s="76"/>
      <c r="I195" s="52" t="b">
        <v>0</v>
      </c>
      <c r="J195" s="52" t="b">
        <v>0</v>
      </c>
      <c r="K195" s="52" t="b">
        <v>1</v>
      </c>
      <c r="L195" s="76" t="s">
        <v>669</v>
      </c>
      <c r="M195" s="76"/>
      <c r="N195" s="76"/>
      <c r="O195" s="78" t="s">
        <v>1301</v>
      </c>
      <c r="P195" s="21" t="b">
        <v>0</v>
      </c>
      <c r="Q195" s="52" t="b">
        <v>0</v>
      </c>
    </row>
    <row r="196" spans="1:17" x14ac:dyDescent="0.3">
      <c r="A196" s="170" t="s">
        <v>670</v>
      </c>
      <c r="B196" s="25"/>
      <c r="C196" s="25"/>
      <c r="D196" s="80">
        <v>0</v>
      </c>
      <c r="E196" s="80">
        <v>0</v>
      </c>
      <c r="F196" s="80">
        <v>0</v>
      </c>
      <c r="G196" s="187" t="s">
        <v>671</v>
      </c>
      <c r="H196" s="80"/>
      <c r="I196" s="55" t="b">
        <v>0</v>
      </c>
      <c r="J196" s="55" t="b">
        <v>0</v>
      </c>
      <c r="K196" s="55" t="b">
        <v>1</v>
      </c>
      <c r="L196" s="80"/>
      <c r="M196" s="80" t="s">
        <v>563</v>
      </c>
      <c r="N196" s="80"/>
      <c r="O196" s="82" t="s">
        <v>1301</v>
      </c>
      <c r="P196" s="25" t="b">
        <v>0</v>
      </c>
      <c r="Q196" s="55" t="b">
        <v>0</v>
      </c>
    </row>
    <row r="197" spans="1:17" x14ac:dyDescent="0.3">
      <c r="A197" s="170" t="s">
        <v>672</v>
      </c>
      <c r="B197" s="25"/>
      <c r="C197" s="25"/>
      <c r="D197" s="80">
        <v>0</v>
      </c>
      <c r="E197" s="80">
        <v>3</v>
      </c>
      <c r="F197" s="80">
        <v>3</v>
      </c>
      <c r="G197" s="187" t="s">
        <v>673</v>
      </c>
      <c r="H197" s="80"/>
      <c r="I197" s="55" t="b">
        <v>0</v>
      </c>
      <c r="J197" s="55" t="b">
        <v>0</v>
      </c>
      <c r="K197" s="55" t="b">
        <v>1</v>
      </c>
      <c r="L197" s="80" t="s">
        <v>674</v>
      </c>
      <c r="M197" s="80" t="s">
        <v>1115</v>
      </c>
      <c r="N197" s="80" t="s">
        <v>1101</v>
      </c>
      <c r="O197" s="82" t="s">
        <v>1102</v>
      </c>
      <c r="P197" s="25" t="b">
        <v>0</v>
      </c>
      <c r="Q197" s="55" t="b">
        <v>0</v>
      </c>
    </row>
    <row r="198" spans="1:17" x14ac:dyDescent="0.3">
      <c r="A198" s="170" t="s">
        <v>675</v>
      </c>
      <c r="B198" s="25"/>
      <c r="C198" s="25"/>
      <c r="D198" s="80">
        <v>5000</v>
      </c>
      <c r="E198" s="80">
        <v>0</v>
      </c>
      <c r="F198" s="80">
        <v>0</v>
      </c>
      <c r="G198" s="187" t="s">
        <v>676</v>
      </c>
      <c r="H198" s="80" t="s">
        <v>677</v>
      </c>
      <c r="I198" s="55" t="b">
        <v>0</v>
      </c>
      <c r="J198" s="55" t="b">
        <v>0</v>
      </c>
      <c r="K198" s="55" t="b">
        <v>1</v>
      </c>
      <c r="L198" s="80"/>
      <c r="M198" s="80" t="s">
        <v>156</v>
      </c>
      <c r="N198" s="80" t="s">
        <v>157</v>
      </c>
      <c r="O198" s="82" t="s">
        <v>1297</v>
      </c>
      <c r="P198" s="25" t="b">
        <v>0</v>
      </c>
      <c r="Q198" s="55" t="b">
        <v>1</v>
      </c>
    </row>
    <row r="199" spans="1:17" x14ac:dyDescent="0.3">
      <c r="A199" s="170" t="s">
        <v>678</v>
      </c>
      <c r="B199" s="25"/>
      <c r="C199" s="25"/>
      <c r="D199" s="80">
        <v>0</v>
      </c>
      <c r="E199" s="80">
        <v>5</v>
      </c>
      <c r="F199" s="80">
        <v>1</v>
      </c>
      <c r="G199" s="187" t="s">
        <v>679</v>
      </c>
      <c r="H199" s="80"/>
      <c r="I199" s="55" t="b">
        <v>0</v>
      </c>
      <c r="J199" s="55" t="b">
        <v>0</v>
      </c>
      <c r="K199" s="55" t="b">
        <v>1</v>
      </c>
      <c r="L199" s="80"/>
      <c r="M199" s="80"/>
      <c r="N199" s="80"/>
      <c r="O199" s="82" t="s">
        <v>1301</v>
      </c>
      <c r="P199" s="25" t="b">
        <v>0</v>
      </c>
      <c r="Q199" s="55" t="b">
        <v>0</v>
      </c>
    </row>
    <row r="200" spans="1:17" ht="41.25" customHeight="1" x14ac:dyDescent="0.3">
      <c r="A200" s="171" t="s">
        <v>680</v>
      </c>
      <c r="B200" s="29"/>
      <c r="C200" s="29"/>
      <c r="D200" s="72">
        <v>0</v>
      </c>
      <c r="E200" s="72">
        <v>0</v>
      </c>
      <c r="F200" s="72">
        <v>0</v>
      </c>
      <c r="G200" s="188" t="s">
        <v>1237</v>
      </c>
      <c r="H200" s="72"/>
      <c r="I200" s="56" t="b">
        <v>1</v>
      </c>
      <c r="J200" s="56" t="b">
        <v>0</v>
      </c>
      <c r="K200" s="56" t="b">
        <v>1</v>
      </c>
      <c r="L200" s="72"/>
      <c r="M200" s="72" t="s">
        <v>1329</v>
      </c>
      <c r="N200" s="72" t="s">
        <v>1328</v>
      </c>
      <c r="O200" s="74" t="s">
        <v>1354</v>
      </c>
      <c r="P200" s="29" t="b">
        <v>0</v>
      </c>
      <c r="Q200" s="56" t="b">
        <v>0</v>
      </c>
    </row>
    <row r="201" spans="1:17" ht="54.75" customHeight="1" x14ac:dyDescent="0.3">
      <c r="A201" s="171" t="s">
        <v>681</v>
      </c>
      <c r="B201" s="29"/>
      <c r="C201" s="29"/>
      <c r="D201" s="72">
        <v>0</v>
      </c>
      <c r="E201" s="72">
        <v>0</v>
      </c>
      <c r="F201" s="72">
        <v>0</v>
      </c>
      <c r="G201" s="188" t="s">
        <v>1238</v>
      </c>
      <c r="H201" s="72"/>
      <c r="I201" s="56" t="b">
        <v>1</v>
      </c>
      <c r="J201" s="56" t="b">
        <v>0</v>
      </c>
      <c r="K201" s="56" t="b">
        <v>1</v>
      </c>
      <c r="L201" s="72"/>
      <c r="M201" s="72" t="s">
        <v>1329</v>
      </c>
      <c r="N201" s="72" t="s">
        <v>1327</v>
      </c>
      <c r="O201" s="74" t="s">
        <v>1355</v>
      </c>
      <c r="P201" s="29" t="b">
        <v>0</v>
      </c>
      <c r="Q201" s="56" t="b">
        <v>0</v>
      </c>
    </row>
    <row r="202" spans="1:17" x14ac:dyDescent="0.3">
      <c r="A202" s="171" t="s">
        <v>682</v>
      </c>
      <c r="B202" s="29"/>
      <c r="C202" s="29"/>
      <c r="D202" s="72">
        <v>0</v>
      </c>
      <c r="E202" s="72">
        <v>0</v>
      </c>
      <c r="F202" s="72">
        <v>0</v>
      </c>
      <c r="G202" s="188" t="s">
        <v>683</v>
      </c>
      <c r="H202" s="72"/>
      <c r="I202" s="56" t="b">
        <v>1</v>
      </c>
      <c r="J202" s="56" t="b">
        <v>0</v>
      </c>
      <c r="K202" s="56" t="b">
        <v>1</v>
      </c>
      <c r="L202" s="72"/>
      <c r="M202" s="72"/>
      <c r="N202" s="72"/>
      <c r="O202" s="74" t="s">
        <v>1301</v>
      </c>
      <c r="P202" s="29" t="b">
        <v>0</v>
      </c>
      <c r="Q202" s="56" t="b">
        <v>0</v>
      </c>
    </row>
    <row r="203" spans="1:17" x14ac:dyDescent="0.3">
      <c r="A203" s="167" t="s">
        <v>684</v>
      </c>
      <c r="B203" s="126"/>
      <c r="C203" s="126"/>
      <c r="D203" s="127">
        <v>0</v>
      </c>
      <c r="E203" s="127">
        <v>999</v>
      </c>
      <c r="F203" s="127">
        <v>1</v>
      </c>
      <c r="G203" s="184" t="s">
        <v>685</v>
      </c>
      <c r="H203" s="127"/>
      <c r="I203" s="129" t="b">
        <v>0</v>
      </c>
      <c r="J203" s="129" t="b">
        <v>0</v>
      </c>
      <c r="K203" s="129" t="b">
        <v>1</v>
      </c>
      <c r="L203" s="138" t="s">
        <v>686</v>
      </c>
      <c r="M203" s="127" t="s">
        <v>80</v>
      </c>
      <c r="N203" s="127" t="s">
        <v>81</v>
      </c>
      <c r="O203" s="133" t="s">
        <v>1296</v>
      </c>
      <c r="P203" s="126" t="b">
        <v>0</v>
      </c>
      <c r="Q203" s="129" t="b">
        <v>0</v>
      </c>
    </row>
    <row r="204" spans="1:17" ht="41.25" customHeight="1" x14ac:dyDescent="0.3">
      <c r="A204" s="167" t="s">
        <v>687</v>
      </c>
      <c r="B204" s="126"/>
      <c r="C204" s="126"/>
      <c r="D204" s="127">
        <v>0</v>
      </c>
      <c r="E204" s="127">
        <v>0</v>
      </c>
      <c r="F204" s="127">
        <v>0</v>
      </c>
      <c r="G204" s="184" t="s">
        <v>688</v>
      </c>
      <c r="H204" s="127"/>
      <c r="I204" s="129" t="b">
        <v>0</v>
      </c>
      <c r="J204" s="129" t="b">
        <v>0</v>
      </c>
      <c r="K204" s="129" t="b">
        <v>1</v>
      </c>
      <c r="L204" s="127"/>
      <c r="M204" s="127" t="s">
        <v>241</v>
      </c>
      <c r="N204" s="127" t="s">
        <v>3588</v>
      </c>
      <c r="O204" s="133" t="s">
        <v>3589</v>
      </c>
      <c r="P204" s="126" t="b">
        <v>0</v>
      </c>
      <c r="Q204" s="129" t="b">
        <v>0</v>
      </c>
    </row>
    <row r="205" spans="1:17" x14ac:dyDescent="0.3">
      <c r="A205" s="167" t="s">
        <v>1412</v>
      </c>
      <c r="B205" s="126"/>
      <c r="C205" s="126"/>
      <c r="D205" s="127">
        <v>0</v>
      </c>
      <c r="E205" s="127">
        <v>0</v>
      </c>
      <c r="F205" s="127">
        <v>0</v>
      </c>
      <c r="G205" s="184" t="s">
        <v>1414</v>
      </c>
      <c r="H205" s="127"/>
      <c r="I205" s="129" t="b">
        <v>1</v>
      </c>
      <c r="J205" s="129" t="b">
        <v>0</v>
      </c>
      <c r="K205" s="129" t="b">
        <v>1</v>
      </c>
      <c r="L205" s="127"/>
      <c r="M205" s="127"/>
      <c r="N205" s="127"/>
      <c r="O205" s="133" t="s">
        <v>1301</v>
      </c>
      <c r="P205" s="126" t="b">
        <v>0</v>
      </c>
      <c r="Q205" s="129" t="b">
        <v>0</v>
      </c>
    </row>
    <row r="206" spans="1:17" x14ac:dyDescent="0.3">
      <c r="A206" s="167" t="s">
        <v>689</v>
      </c>
      <c r="B206" s="126"/>
      <c r="C206" s="126"/>
      <c r="D206" s="127">
        <v>0</v>
      </c>
      <c r="E206" s="127">
        <v>2</v>
      </c>
      <c r="F206" s="127">
        <v>1</v>
      </c>
      <c r="G206" s="184" t="s">
        <v>1410</v>
      </c>
      <c r="H206" s="127"/>
      <c r="I206" s="129" t="b">
        <v>1</v>
      </c>
      <c r="J206" s="129" t="b">
        <v>0</v>
      </c>
      <c r="K206" s="129" t="b">
        <v>1</v>
      </c>
      <c r="L206" s="127"/>
      <c r="M206" s="127"/>
      <c r="N206" s="127"/>
      <c r="O206" s="133" t="s">
        <v>1301</v>
      </c>
      <c r="P206" s="126" t="b">
        <v>0</v>
      </c>
      <c r="Q206" s="129" t="b">
        <v>0</v>
      </c>
    </row>
    <row r="207" spans="1:17" x14ac:dyDescent="0.3">
      <c r="A207" s="161" t="s">
        <v>690</v>
      </c>
      <c r="B207" s="41"/>
      <c r="C207" s="41"/>
      <c r="D207" s="107">
        <v>0</v>
      </c>
      <c r="E207" s="107">
        <v>999</v>
      </c>
      <c r="F207" s="107">
        <v>1</v>
      </c>
      <c r="G207" s="178" t="s">
        <v>691</v>
      </c>
      <c r="H207" s="107"/>
      <c r="I207" s="98" t="b">
        <v>0</v>
      </c>
      <c r="J207" s="98" t="b">
        <v>0</v>
      </c>
      <c r="K207" s="98" t="b">
        <v>1</v>
      </c>
      <c r="L207" s="107" t="s">
        <v>686</v>
      </c>
      <c r="M207" s="107" t="s">
        <v>84</v>
      </c>
      <c r="N207" s="107" t="s">
        <v>85</v>
      </c>
      <c r="O207" s="114" t="s">
        <v>1309</v>
      </c>
      <c r="P207" s="41" t="b">
        <v>0</v>
      </c>
      <c r="Q207" s="98" t="b">
        <v>0</v>
      </c>
    </row>
    <row r="208" spans="1:17" x14ac:dyDescent="0.3">
      <c r="A208" s="161" t="s">
        <v>692</v>
      </c>
      <c r="B208" s="41"/>
      <c r="C208" s="41"/>
      <c r="D208" s="107">
        <v>0</v>
      </c>
      <c r="E208" s="107">
        <v>999</v>
      </c>
      <c r="F208" s="107">
        <v>1</v>
      </c>
      <c r="G208" s="178" t="s">
        <v>693</v>
      </c>
      <c r="H208" s="107"/>
      <c r="I208" s="98" t="b">
        <v>0</v>
      </c>
      <c r="J208" s="98" t="b">
        <v>0</v>
      </c>
      <c r="K208" s="98" t="b">
        <v>1</v>
      </c>
      <c r="L208" s="107" t="s">
        <v>686</v>
      </c>
      <c r="M208" s="107" t="s">
        <v>139</v>
      </c>
      <c r="N208" s="107" t="s">
        <v>140</v>
      </c>
      <c r="O208" s="114" t="s">
        <v>1356</v>
      </c>
      <c r="P208" s="41" t="b">
        <v>0</v>
      </c>
      <c r="Q208" s="98" t="b">
        <v>0</v>
      </c>
    </row>
    <row r="209" spans="1:17" ht="27.75" customHeight="1" x14ac:dyDescent="0.3">
      <c r="A209" s="161" t="s">
        <v>694</v>
      </c>
      <c r="B209" s="41"/>
      <c r="C209" s="41"/>
      <c r="D209" s="107">
        <v>0</v>
      </c>
      <c r="E209" s="107">
        <v>0</v>
      </c>
      <c r="F209" s="107">
        <v>0</v>
      </c>
      <c r="G209" s="178" t="s">
        <v>695</v>
      </c>
      <c r="H209" s="107"/>
      <c r="I209" s="98" t="b">
        <v>0</v>
      </c>
      <c r="J209" s="98" t="b">
        <v>0</v>
      </c>
      <c r="K209" s="98" t="b">
        <v>1</v>
      </c>
      <c r="L209" s="107"/>
      <c r="M209" s="107"/>
      <c r="N209" s="107"/>
      <c r="O209" s="114" t="s">
        <v>1301</v>
      </c>
      <c r="P209" s="41" t="b">
        <v>0</v>
      </c>
      <c r="Q209" s="98" t="b">
        <v>0</v>
      </c>
    </row>
    <row r="210" spans="1:17" x14ac:dyDescent="0.3">
      <c r="A210" s="161" t="s">
        <v>696</v>
      </c>
      <c r="B210" s="41"/>
      <c r="C210" s="41"/>
      <c r="D210" s="107">
        <v>3000</v>
      </c>
      <c r="E210" s="107">
        <v>0</v>
      </c>
      <c r="F210" s="107">
        <v>0</v>
      </c>
      <c r="G210" s="178" t="s">
        <v>697</v>
      </c>
      <c r="H210" s="107"/>
      <c r="I210" s="98" t="b">
        <v>0</v>
      </c>
      <c r="J210" s="98" t="b">
        <v>0</v>
      </c>
      <c r="K210" s="98" t="b">
        <v>0</v>
      </c>
      <c r="L210" s="107" t="s">
        <v>67</v>
      </c>
      <c r="M210" s="107" t="s">
        <v>68</v>
      </c>
      <c r="N210" s="107" t="s">
        <v>69</v>
      </c>
      <c r="O210" s="114" t="s">
        <v>1303</v>
      </c>
      <c r="P210" s="41" t="b">
        <v>0</v>
      </c>
      <c r="Q210" s="98" t="b">
        <v>0</v>
      </c>
    </row>
    <row r="211" spans="1:17" x14ac:dyDescent="0.3">
      <c r="A211" s="161" t="s">
        <v>698</v>
      </c>
      <c r="B211" s="41"/>
      <c r="C211" s="41"/>
      <c r="D211" s="107">
        <v>5000</v>
      </c>
      <c r="E211" s="107">
        <v>0</v>
      </c>
      <c r="F211" s="107">
        <v>0</v>
      </c>
      <c r="G211" s="178" t="s">
        <v>699</v>
      </c>
      <c r="H211" s="107"/>
      <c r="I211" s="98" t="b">
        <v>0</v>
      </c>
      <c r="J211" s="98" t="b">
        <v>0</v>
      </c>
      <c r="K211" s="98" t="b">
        <v>1</v>
      </c>
      <c r="L211" s="107" t="s">
        <v>63</v>
      </c>
      <c r="M211" s="107" t="s">
        <v>56</v>
      </c>
      <c r="N211" s="107" t="s">
        <v>64</v>
      </c>
      <c r="O211" s="114" t="s">
        <v>1298</v>
      </c>
      <c r="P211" s="41" t="b">
        <v>0</v>
      </c>
      <c r="Q211" s="98" t="b">
        <v>0</v>
      </c>
    </row>
    <row r="212" spans="1:17" x14ac:dyDescent="0.3">
      <c r="A212" s="161" t="s">
        <v>700</v>
      </c>
      <c r="B212" s="41"/>
      <c r="C212" s="41"/>
      <c r="D212" s="107">
        <v>2000</v>
      </c>
      <c r="E212" s="107">
        <v>0</v>
      </c>
      <c r="F212" s="107">
        <v>0</v>
      </c>
      <c r="G212" s="178" t="s">
        <v>701</v>
      </c>
      <c r="H212" s="107"/>
      <c r="I212" s="98" t="b">
        <v>0</v>
      </c>
      <c r="J212" s="98" t="b">
        <v>0</v>
      </c>
      <c r="K212" s="98" t="b">
        <v>0</v>
      </c>
      <c r="L212" s="107" t="s">
        <v>67</v>
      </c>
      <c r="M212" s="107" t="s">
        <v>68</v>
      </c>
      <c r="N212" s="107" t="s">
        <v>69</v>
      </c>
      <c r="O212" s="114" t="s">
        <v>1303</v>
      </c>
      <c r="P212" s="41" t="b">
        <v>0</v>
      </c>
      <c r="Q212" s="98" t="b">
        <v>0</v>
      </c>
    </row>
    <row r="213" spans="1:17" x14ac:dyDescent="0.3">
      <c r="A213" s="169" t="s">
        <v>702</v>
      </c>
      <c r="B213" s="21"/>
      <c r="C213" s="21"/>
      <c r="D213" s="76">
        <v>8000</v>
      </c>
      <c r="E213" s="76">
        <v>0</v>
      </c>
      <c r="F213" s="76">
        <v>0</v>
      </c>
      <c r="G213" s="186" t="s">
        <v>703</v>
      </c>
      <c r="H213" s="76"/>
      <c r="I213" s="52" t="b">
        <v>0</v>
      </c>
      <c r="J213" s="52" t="b">
        <v>0</v>
      </c>
      <c r="K213" s="52" t="b">
        <v>1</v>
      </c>
      <c r="L213" s="76" t="s">
        <v>247</v>
      </c>
      <c r="M213" s="76" t="s">
        <v>248</v>
      </c>
      <c r="N213" s="76" t="s">
        <v>249</v>
      </c>
      <c r="O213" s="78" t="s">
        <v>1308</v>
      </c>
      <c r="P213" s="21" t="b">
        <v>0</v>
      </c>
      <c r="Q213" s="52" t="b">
        <v>0</v>
      </c>
    </row>
    <row r="214" spans="1:17" x14ac:dyDescent="0.3">
      <c r="A214" s="170" t="s">
        <v>704</v>
      </c>
      <c r="B214" s="25"/>
      <c r="C214" s="25"/>
      <c r="D214" s="80">
        <v>0</v>
      </c>
      <c r="E214" s="80">
        <v>0</v>
      </c>
      <c r="F214" s="80">
        <v>0</v>
      </c>
      <c r="G214" s="187" t="s">
        <v>705</v>
      </c>
      <c r="H214" s="80"/>
      <c r="I214" s="55" t="b">
        <v>1</v>
      </c>
      <c r="J214" s="55" t="b">
        <v>0</v>
      </c>
      <c r="K214" s="55" t="b">
        <v>1</v>
      </c>
      <c r="L214" s="80"/>
      <c r="M214" s="80" t="s">
        <v>241</v>
      </c>
      <c r="N214" s="80" t="s">
        <v>708</v>
      </c>
      <c r="O214" s="82" t="s">
        <v>1333</v>
      </c>
      <c r="P214" s="25" t="b">
        <v>0</v>
      </c>
      <c r="Q214" s="55" t="b">
        <v>0</v>
      </c>
    </row>
    <row r="215" spans="1:17" x14ac:dyDescent="0.3">
      <c r="A215" s="170" t="s">
        <v>706</v>
      </c>
      <c r="B215" s="25"/>
      <c r="C215" s="25"/>
      <c r="D215" s="80">
        <v>0</v>
      </c>
      <c r="E215" s="80">
        <v>0</v>
      </c>
      <c r="F215" s="80">
        <v>0</v>
      </c>
      <c r="G215" s="187" t="s">
        <v>707</v>
      </c>
      <c r="H215" s="80"/>
      <c r="I215" s="55" t="b">
        <v>1</v>
      </c>
      <c r="J215" s="55" t="b">
        <v>0</v>
      </c>
      <c r="K215" s="55" t="b">
        <v>1</v>
      </c>
      <c r="L215" s="80" t="s">
        <v>63</v>
      </c>
      <c r="M215" s="80" t="s">
        <v>241</v>
      </c>
      <c r="N215" s="80" t="s">
        <v>708</v>
      </c>
      <c r="O215" s="82" t="s">
        <v>1333</v>
      </c>
      <c r="P215" s="25" t="b">
        <v>0</v>
      </c>
      <c r="Q215" s="55" t="b">
        <v>0</v>
      </c>
    </row>
    <row r="216" spans="1:17" x14ac:dyDescent="0.3">
      <c r="A216" s="169" t="s">
        <v>709</v>
      </c>
      <c r="B216" s="21"/>
      <c r="C216" s="21"/>
      <c r="D216" s="76">
        <v>0</v>
      </c>
      <c r="E216" s="76">
        <v>0</v>
      </c>
      <c r="F216" s="76">
        <v>0</v>
      </c>
      <c r="G216" s="186" t="s">
        <v>710</v>
      </c>
      <c r="H216" s="76"/>
      <c r="I216" s="52" t="b">
        <v>1</v>
      </c>
      <c r="J216" s="52" t="b">
        <v>0</v>
      </c>
      <c r="K216" s="52" t="b">
        <v>1</v>
      </c>
      <c r="L216" s="76"/>
      <c r="M216" s="76" t="s">
        <v>713</v>
      </c>
      <c r="N216" s="76" t="s">
        <v>714</v>
      </c>
      <c r="O216" s="78" t="s">
        <v>1334</v>
      </c>
      <c r="P216" s="21" t="b">
        <v>0</v>
      </c>
      <c r="Q216" s="52" t="b">
        <v>0</v>
      </c>
    </row>
    <row r="217" spans="1:17" x14ac:dyDescent="0.3">
      <c r="A217" s="169" t="s">
        <v>711</v>
      </c>
      <c r="B217" s="21"/>
      <c r="C217" s="21"/>
      <c r="D217" s="76">
        <v>0</v>
      </c>
      <c r="E217" s="76">
        <v>0</v>
      </c>
      <c r="F217" s="76">
        <v>0</v>
      </c>
      <c r="G217" s="186" t="s">
        <v>712</v>
      </c>
      <c r="H217" s="76"/>
      <c r="I217" s="52" t="b">
        <v>1</v>
      </c>
      <c r="J217" s="52" t="b">
        <v>0</v>
      </c>
      <c r="K217" s="52" t="b">
        <v>1</v>
      </c>
      <c r="L217" s="76" t="s">
        <v>63</v>
      </c>
      <c r="M217" s="76" t="s">
        <v>713</v>
      </c>
      <c r="N217" s="76" t="s">
        <v>714</v>
      </c>
      <c r="O217" s="78" t="s">
        <v>1334</v>
      </c>
      <c r="P217" s="21" t="b">
        <v>0</v>
      </c>
      <c r="Q217" s="52" t="b">
        <v>0</v>
      </c>
    </row>
    <row r="218" spans="1:17" x14ac:dyDescent="0.3">
      <c r="A218" s="170" t="s">
        <v>715</v>
      </c>
      <c r="B218" s="25"/>
      <c r="C218" s="25"/>
      <c r="D218" s="80">
        <v>0</v>
      </c>
      <c r="E218" s="80">
        <v>0</v>
      </c>
      <c r="F218" s="80">
        <v>0</v>
      </c>
      <c r="G218" s="187" t="s">
        <v>716</v>
      </c>
      <c r="H218" s="80"/>
      <c r="I218" s="55" t="b">
        <v>1</v>
      </c>
      <c r="J218" s="55" t="b">
        <v>0</v>
      </c>
      <c r="K218" s="55" t="b">
        <v>1</v>
      </c>
      <c r="L218" s="80"/>
      <c r="M218" s="80" t="s">
        <v>156</v>
      </c>
      <c r="N218" s="80" t="s">
        <v>157</v>
      </c>
      <c r="O218" s="82" t="s">
        <v>1297</v>
      </c>
      <c r="P218" s="25" t="b">
        <v>0</v>
      </c>
      <c r="Q218" s="55" t="b">
        <v>0</v>
      </c>
    </row>
    <row r="219" spans="1:17" x14ac:dyDescent="0.3">
      <c r="A219" s="170" t="s">
        <v>717</v>
      </c>
      <c r="B219" s="25"/>
      <c r="C219" s="25"/>
      <c r="D219" s="80">
        <v>6000</v>
      </c>
      <c r="E219" s="80">
        <v>0</v>
      </c>
      <c r="F219" s="80">
        <v>0</v>
      </c>
      <c r="G219" s="187" t="s">
        <v>718</v>
      </c>
      <c r="H219" s="80"/>
      <c r="I219" s="55" t="b">
        <v>1</v>
      </c>
      <c r="J219" s="55" t="b">
        <v>0</v>
      </c>
      <c r="K219" s="55" t="b">
        <v>1</v>
      </c>
      <c r="L219" s="80" t="s">
        <v>719</v>
      </c>
      <c r="M219" s="80" t="s">
        <v>156</v>
      </c>
      <c r="N219" s="80" t="s">
        <v>157</v>
      </c>
      <c r="O219" s="82" t="s">
        <v>1297</v>
      </c>
      <c r="P219" s="25" t="b">
        <v>0</v>
      </c>
      <c r="Q219" s="55" t="b">
        <v>0</v>
      </c>
    </row>
    <row r="220" spans="1:17" x14ac:dyDescent="0.3">
      <c r="A220" s="170" t="s">
        <v>720</v>
      </c>
      <c r="B220" s="25"/>
      <c r="C220" s="25"/>
      <c r="D220" s="80">
        <v>0</v>
      </c>
      <c r="E220" s="80">
        <v>0</v>
      </c>
      <c r="F220" s="80">
        <v>0</v>
      </c>
      <c r="G220" s="187" t="s">
        <v>721</v>
      </c>
      <c r="H220" s="80"/>
      <c r="I220" s="55" t="b">
        <v>1</v>
      </c>
      <c r="J220" s="55" t="b">
        <v>0</v>
      </c>
      <c r="K220" s="55" t="b">
        <v>1</v>
      </c>
      <c r="L220" s="80"/>
      <c r="M220" s="80"/>
      <c r="N220" s="80"/>
      <c r="O220" s="82" t="s">
        <v>1301</v>
      </c>
      <c r="P220" s="25" t="b">
        <v>0</v>
      </c>
      <c r="Q220" s="55" t="b">
        <v>0</v>
      </c>
    </row>
    <row r="221" spans="1:17" x14ac:dyDescent="0.3">
      <c r="A221" s="169" t="s">
        <v>722</v>
      </c>
      <c r="B221" s="21"/>
      <c r="C221" s="21"/>
      <c r="D221" s="76">
        <v>6000</v>
      </c>
      <c r="E221" s="76">
        <v>0</v>
      </c>
      <c r="F221" s="76">
        <v>0</v>
      </c>
      <c r="G221" s="186" t="s">
        <v>723</v>
      </c>
      <c r="H221" s="76"/>
      <c r="I221" s="52" t="b">
        <v>0</v>
      </c>
      <c r="J221" s="52" t="b">
        <v>0</v>
      </c>
      <c r="K221" s="52" t="b">
        <v>1</v>
      </c>
      <c r="L221" s="76" t="s">
        <v>63</v>
      </c>
      <c r="M221" s="76" t="s">
        <v>56</v>
      </c>
      <c r="N221" s="76" t="s">
        <v>64</v>
      </c>
      <c r="O221" s="78" t="s">
        <v>1298</v>
      </c>
      <c r="P221" s="21" t="b">
        <v>0</v>
      </c>
      <c r="Q221" s="52" t="b">
        <v>0</v>
      </c>
    </row>
    <row r="222" spans="1:17" x14ac:dyDescent="0.3">
      <c r="A222" s="169" t="s">
        <v>724</v>
      </c>
      <c r="B222" s="21"/>
      <c r="C222" s="21"/>
      <c r="D222" s="76">
        <v>6000</v>
      </c>
      <c r="E222" s="76">
        <v>0</v>
      </c>
      <c r="F222" s="76">
        <v>0</v>
      </c>
      <c r="G222" s="186" t="s">
        <v>725</v>
      </c>
      <c r="H222" s="76"/>
      <c r="I222" s="52" t="b">
        <v>0</v>
      </c>
      <c r="J222" s="52" t="b">
        <v>0</v>
      </c>
      <c r="K222" s="52" t="b">
        <v>1</v>
      </c>
      <c r="L222" s="76" t="s">
        <v>63</v>
      </c>
      <c r="M222" s="76" t="s">
        <v>56</v>
      </c>
      <c r="N222" s="76" t="s">
        <v>64</v>
      </c>
      <c r="O222" s="78" t="s">
        <v>1298</v>
      </c>
      <c r="P222" s="21" t="b">
        <v>0</v>
      </c>
      <c r="Q222" s="52" t="b">
        <v>0</v>
      </c>
    </row>
    <row r="223" spans="1:17" x14ac:dyDescent="0.3">
      <c r="A223" s="169" t="s">
        <v>726</v>
      </c>
      <c r="B223" s="21"/>
      <c r="C223" s="21"/>
      <c r="D223" s="76">
        <v>400</v>
      </c>
      <c r="E223" s="76">
        <v>0</v>
      </c>
      <c r="F223" s="76">
        <v>0</v>
      </c>
      <c r="G223" s="186" t="s">
        <v>727</v>
      </c>
      <c r="H223" s="76"/>
      <c r="I223" s="52" t="b">
        <v>0</v>
      </c>
      <c r="J223" s="52" t="b">
        <v>0</v>
      </c>
      <c r="K223" s="52" t="b">
        <v>0</v>
      </c>
      <c r="L223" s="76"/>
      <c r="M223" s="76"/>
      <c r="N223" s="76" t="s">
        <v>72</v>
      </c>
      <c r="O223" s="78" t="s">
        <v>1300</v>
      </c>
      <c r="P223" s="21" t="b">
        <v>0</v>
      </c>
      <c r="Q223" s="52" t="b">
        <v>0</v>
      </c>
    </row>
    <row r="224" spans="1:17" x14ac:dyDescent="0.3">
      <c r="A224" s="169" t="s">
        <v>728</v>
      </c>
      <c r="B224" s="21"/>
      <c r="C224" s="21"/>
      <c r="D224" s="76">
        <v>400</v>
      </c>
      <c r="E224" s="76">
        <v>0</v>
      </c>
      <c r="F224" s="76">
        <v>0</v>
      </c>
      <c r="G224" s="186" t="s">
        <v>729</v>
      </c>
      <c r="H224" s="76"/>
      <c r="I224" s="52" t="b">
        <v>0</v>
      </c>
      <c r="J224" s="52" t="b">
        <v>0</v>
      </c>
      <c r="K224" s="52" t="b">
        <v>0</v>
      </c>
      <c r="L224" s="76"/>
      <c r="M224" s="76"/>
      <c r="N224" s="76" t="s">
        <v>72</v>
      </c>
      <c r="O224" s="78" t="s">
        <v>1300</v>
      </c>
      <c r="P224" s="21" t="b">
        <v>0</v>
      </c>
      <c r="Q224" s="52" t="b">
        <v>0</v>
      </c>
    </row>
    <row r="225" spans="1:17" x14ac:dyDescent="0.3">
      <c r="A225" s="169" t="s">
        <v>730</v>
      </c>
      <c r="B225" s="21"/>
      <c r="C225" s="21"/>
      <c r="D225" s="76">
        <v>6000</v>
      </c>
      <c r="E225" s="76">
        <v>0</v>
      </c>
      <c r="F225" s="76">
        <v>0</v>
      </c>
      <c r="G225" s="186" t="s">
        <v>731</v>
      </c>
      <c r="H225" s="76"/>
      <c r="I225" s="52" t="b">
        <v>0</v>
      </c>
      <c r="J225" s="52" t="b">
        <v>0</v>
      </c>
      <c r="K225" s="52" t="b">
        <v>1</v>
      </c>
      <c r="L225" s="76" t="s">
        <v>63</v>
      </c>
      <c r="M225" s="76" t="s">
        <v>56</v>
      </c>
      <c r="N225" s="76" t="s">
        <v>64</v>
      </c>
      <c r="O225" s="78" t="s">
        <v>1298</v>
      </c>
      <c r="P225" s="21" t="b">
        <v>0</v>
      </c>
      <c r="Q225" s="52" t="b">
        <v>0</v>
      </c>
    </row>
    <row r="226" spans="1:17" x14ac:dyDescent="0.3">
      <c r="A226" s="169" t="s">
        <v>732</v>
      </c>
      <c r="B226" s="21"/>
      <c r="C226" s="21"/>
      <c r="D226" s="76">
        <v>400</v>
      </c>
      <c r="E226" s="76">
        <v>0</v>
      </c>
      <c r="F226" s="76">
        <v>0</v>
      </c>
      <c r="G226" s="186" t="s">
        <v>733</v>
      </c>
      <c r="H226" s="76"/>
      <c r="I226" s="52" t="b">
        <v>0</v>
      </c>
      <c r="J226" s="52" t="b">
        <v>0</v>
      </c>
      <c r="K226" s="52" t="b">
        <v>0</v>
      </c>
      <c r="L226" s="76"/>
      <c r="M226" s="76"/>
      <c r="N226" s="76" t="s">
        <v>72</v>
      </c>
      <c r="O226" s="78" t="s">
        <v>1300</v>
      </c>
      <c r="P226" s="21" t="b">
        <v>0</v>
      </c>
      <c r="Q226" s="52" t="b">
        <v>0</v>
      </c>
    </row>
    <row r="227" spans="1:17" x14ac:dyDescent="0.3">
      <c r="A227" s="169" t="s">
        <v>734</v>
      </c>
      <c r="B227" s="21"/>
      <c r="C227" s="21"/>
      <c r="D227" s="76">
        <v>6000</v>
      </c>
      <c r="E227" s="76">
        <v>0</v>
      </c>
      <c r="F227" s="76">
        <v>0</v>
      </c>
      <c r="G227" s="186" t="s">
        <v>735</v>
      </c>
      <c r="H227" s="76"/>
      <c r="I227" s="52" t="b">
        <v>0</v>
      </c>
      <c r="J227" s="52" t="b">
        <v>0</v>
      </c>
      <c r="K227" s="52" t="b">
        <v>1</v>
      </c>
      <c r="L227" s="76" t="s">
        <v>63</v>
      </c>
      <c r="M227" s="76" t="s">
        <v>56</v>
      </c>
      <c r="N227" s="76" t="s">
        <v>64</v>
      </c>
      <c r="O227" s="78" t="s">
        <v>1298</v>
      </c>
      <c r="P227" s="21" t="b">
        <v>0</v>
      </c>
      <c r="Q227" s="52" t="b">
        <v>0</v>
      </c>
    </row>
    <row r="228" spans="1:17" x14ac:dyDescent="0.3">
      <c r="A228" s="169" t="s">
        <v>736</v>
      </c>
      <c r="B228" s="21"/>
      <c r="C228" s="21"/>
      <c r="D228" s="76">
        <v>10000</v>
      </c>
      <c r="E228" s="76">
        <v>0</v>
      </c>
      <c r="F228" s="76">
        <v>0</v>
      </c>
      <c r="G228" s="186" t="s">
        <v>737</v>
      </c>
      <c r="H228" s="76"/>
      <c r="I228" s="52" t="b">
        <v>0</v>
      </c>
      <c r="J228" s="52" t="b">
        <v>0</v>
      </c>
      <c r="K228" s="52" t="b">
        <v>1</v>
      </c>
      <c r="L228" s="76"/>
      <c r="M228" s="76"/>
      <c r="N228" s="76"/>
      <c r="O228" s="78" t="s">
        <v>1301</v>
      </c>
      <c r="P228" s="21" t="b">
        <v>0</v>
      </c>
      <c r="Q228" s="52" t="b">
        <v>0</v>
      </c>
    </row>
    <row r="229" spans="1:17" x14ac:dyDescent="0.3">
      <c r="A229" s="170" t="s">
        <v>738</v>
      </c>
      <c r="B229" s="25"/>
      <c r="C229" s="25"/>
      <c r="D229" s="80">
        <v>0</v>
      </c>
      <c r="E229" s="80">
        <v>0</v>
      </c>
      <c r="F229" s="80">
        <v>0</v>
      </c>
      <c r="G229" s="187" t="s">
        <v>739</v>
      </c>
      <c r="H229" s="80"/>
      <c r="I229" s="55" t="b">
        <v>0</v>
      </c>
      <c r="J229" s="55" t="b">
        <v>0</v>
      </c>
      <c r="K229" s="55" t="b">
        <v>1</v>
      </c>
      <c r="L229" s="80"/>
      <c r="M229" s="80" t="s">
        <v>80</v>
      </c>
      <c r="N229" s="80" t="s">
        <v>81</v>
      </c>
      <c r="O229" s="82" t="s">
        <v>1296</v>
      </c>
      <c r="P229" s="25" t="b">
        <v>0</v>
      </c>
      <c r="Q229" s="55" t="b">
        <v>0</v>
      </c>
    </row>
    <row r="230" spans="1:17" x14ac:dyDescent="0.3">
      <c r="A230" s="170" t="s">
        <v>740</v>
      </c>
      <c r="B230" s="25"/>
      <c r="C230" s="25"/>
      <c r="D230" s="80">
        <v>90000</v>
      </c>
      <c r="E230" s="80">
        <v>0</v>
      </c>
      <c r="F230" s="80">
        <v>0</v>
      </c>
      <c r="G230" s="187" t="s">
        <v>741</v>
      </c>
      <c r="H230" s="80"/>
      <c r="I230" s="55" t="b">
        <v>1</v>
      </c>
      <c r="J230" s="55" t="b">
        <v>1</v>
      </c>
      <c r="K230" s="55" t="b">
        <v>1</v>
      </c>
      <c r="L230" s="80" t="s">
        <v>298</v>
      </c>
      <c r="M230" s="80" t="s">
        <v>80</v>
      </c>
      <c r="N230" s="80" t="s">
        <v>81</v>
      </c>
      <c r="O230" s="82" t="s">
        <v>1296</v>
      </c>
      <c r="P230" s="25" t="b">
        <v>0</v>
      </c>
      <c r="Q230" s="55" t="b">
        <v>0</v>
      </c>
    </row>
    <row r="231" spans="1:17" x14ac:dyDescent="0.3">
      <c r="A231" s="161" t="s">
        <v>742</v>
      </c>
      <c r="B231" s="41"/>
      <c r="C231" s="41"/>
      <c r="D231" s="107">
        <v>5000</v>
      </c>
      <c r="E231" s="107">
        <v>0</v>
      </c>
      <c r="F231" s="107">
        <v>0</v>
      </c>
      <c r="G231" s="178" t="s">
        <v>743</v>
      </c>
      <c r="H231" s="107"/>
      <c r="I231" s="98" t="b">
        <v>0</v>
      </c>
      <c r="J231" s="98" t="b">
        <v>0</v>
      </c>
      <c r="K231" s="98" t="b">
        <v>1</v>
      </c>
      <c r="L231" s="107" t="s">
        <v>60</v>
      </c>
      <c r="M231" s="107" t="s">
        <v>156</v>
      </c>
      <c r="N231" s="107" t="s">
        <v>157</v>
      </c>
      <c r="O231" s="114" t="s">
        <v>1297</v>
      </c>
      <c r="P231" s="41" t="b">
        <v>0</v>
      </c>
      <c r="Q231" s="98" t="b">
        <v>0</v>
      </c>
    </row>
    <row r="232" spans="1:17" x14ac:dyDescent="0.3">
      <c r="A232" s="161" t="s">
        <v>744</v>
      </c>
      <c r="B232" s="41"/>
      <c r="C232" s="41"/>
      <c r="D232" s="107">
        <v>6000</v>
      </c>
      <c r="E232" s="107">
        <v>5</v>
      </c>
      <c r="F232" s="107">
        <v>1</v>
      </c>
      <c r="G232" s="178" t="s">
        <v>745</v>
      </c>
      <c r="H232" s="107"/>
      <c r="I232" s="98" t="b">
        <v>0</v>
      </c>
      <c r="J232" s="98" t="b">
        <v>0</v>
      </c>
      <c r="K232" s="98" t="b">
        <v>0</v>
      </c>
      <c r="L232" s="107" t="s">
        <v>46</v>
      </c>
      <c r="M232" s="107" t="s">
        <v>162</v>
      </c>
      <c r="N232" s="107" t="s">
        <v>163</v>
      </c>
      <c r="O232" s="114" t="s">
        <v>1299</v>
      </c>
      <c r="P232" s="41" t="b">
        <v>0</v>
      </c>
      <c r="Q232" s="98" t="b">
        <v>0</v>
      </c>
    </row>
    <row r="233" spans="1:17" x14ac:dyDescent="0.3">
      <c r="A233" s="167" t="s">
        <v>746</v>
      </c>
      <c r="B233" s="126"/>
      <c r="C233" s="126"/>
      <c r="D233" s="127">
        <v>0</v>
      </c>
      <c r="E233" s="127">
        <v>0</v>
      </c>
      <c r="F233" s="127">
        <v>0</v>
      </c>
      <c r="G233" s="184" t="s">
        <v>1079</v>
      </c>
      <c r="H233" s="127"/>
      <c r="I233" s="129" t="b">
        <v>1</v>
      </c>
      <c r="J233" s="129" t="b">
        <v>0</v>
      </c>
      <c r="K233" s="129" t="b">
        <v>1</v>
      </c>
      <c r="L233" s="127"/>
      <c r="M233" s="127" t="s">
        <v>556</v>
      </c>
      <c r="N233" s="127" t="s">
        <v>748</v>
      </c>
      <c r="O233" s="133" t="s">
        <v>1357</v>
      </c>
      <c r="P233" s="126" t="b">
        <v>0</v>
      </c>
      <c r="Q233" s="129" t="b">
        <v>0</v>
      </c>
    </row>
    <row r="234" spans="1:17" x14ac:dyDescent="0.3">
      <c r="A234" s="167" t="s">
        <v>749</v>
      </c>
      <c r="B234" s="126"/>
      <c r="C234" s="126"/>
      <c r="D234" s="127">
        <v>8000</v>
      </c>
      <c r="E234" s="127">
        <v>0</v>
      </c>
      <c r="F234" s="127">
        <v>0</v>
      </c>
      <c r="G234" s="184" t="s">
        <v>750</v>
      </c>
      <c r="H234" s="127"/>
      <c r="I234" s="129" t="b">
        <v>0</v>
      </c>
      <c r="J234" s="129" t="b">
        <v>0</v>
      </c>
      <c r="K234" s="129" t="b">
        <v>0</v>
      </c>
      <c r="L234" s="127" t="s">
        <v>55</v>
      </c>
      <c r="M234" s="127" t="s">
        <v>80</v>
      </c>
      <c r="N234" s="127" t="s">
        <v>231</v>
      </c>
      <c r="O234" s="133" t="s">
        <v>1305</v>
      </c>
      <c r="P234" s="126" t="b">
        <v>0</v>
      </c>
      <c r="Q234" s="129" t="b">
        <v>0</v>
      </c>
    </row>
    <row r="235" spans="1:17" x14ac:dyDescent="0.3">
      <c r="A235" s="161" t="s">
        <v>751</v>
      </c>
      <c r="B235" s="41"/>
      <c r="C235" s="41"/>
      <c r="D235" s="107">
        <v>3000</v>
      </c>
      <c r="E235" s="107">
        <v>0</v>
      </c>
      <c r="F235" s="107">
        <v>0</v>
      </c>
      <c r="G235" s="178" t="s">
        <v>752</v>
      </c>
      <c r="H235" s="107"/>
      <c r="I235" s="98" t="b">
        <v>0</v>
      </c>
      <c r="J235" s="98" t="b">
        <v>0</v>
      </c>
      <c r="K235" s="98" t="b">
        <v>0</v>
      </c>
      <c r="L235" s="107" t="s">
        <v>67</v>
      </c>
      <c r="M235" s="107" t="s">
        <v>68</v>
      </c>
      <c r="N235" s="107" t="s">
        <v>69</v>
      </c>
      <c r="O235" s="114" t="s">
        <v>1303</v>
      </c>
      <c r="P235" s="41" t="b">
        <v>0</v>
      </c>
      <c r="Q235" s="98" t="b">
        <v>0</v>
      </c>
    </row>
    <row r="236" spans="1:17" x14ac:dyDescent="0.3">
      <c r="A236" s="161" t="s">
        <v>753</v>
      </c>
      <c r="B236" s="41"/>
      <c r="C236" s="41"/>
      <c r="D236" s="107">
        <v>6000</v>
      </c>
      <c r="E236" s="107">
        <v>0</v>
      </c>
      <c r="F236" s="107">
        <v>0</v>
      </c>
      <c r="G236" s="178" t="s">
        <v>754</v>
      </c>
      <c r="H236" s="107"/>
      <c r="I236" s="98" t="b">
        <v>0</v>
      </c>
      <c r="J236" s="98" t="b">
        <v>0</v>
      </c>
      <c r="K236" s="98" t="b">
        <v>0</v>
      </c>
      <c r="L236" s="107" t="s">
        <v>55</v>
      </c>
      <c r="M236" s="107" t="s">
        <v>80</v>
      </c>
      <c r="N236" s="107" t="s">
        <v>231</v>
      </c>
      <c r="O236" s="114" t="s">
        <v>1305</v>
      </c>
      <c r="P236" s="41" t="b">
        <v>0</v>
      </c>
      <c r="Q236" s="98" t="b">
        <v>0</v>
      </c>
    </row>
    <row r="237" spans="1:17" x14ac:dyDescent="0.3">
      <c r="A237" s="161" t="s">
        <v>755</v>
      </c>
      <c r="B237" s="41"/>
      <c r="C237" s="41"/>
      <c r="D237" s="107">
        <v>20000</v>
      </c>
      <c r="E237" s="107">
        <v>0</v>
      </c>
      <c r="F237" s="107">
        <v>0</v>
      </c>
      <c r="G237" s="178" t="s">
        <v>756</v>
      </c>
      <c r="H237" s="107"/>
      <c r="I237" s="98" t="b">
        <v>0</v>
      </c>
      <c r="J237" s="98" t="b">
        <v>0</v>
      </c>
      <c r="K237" s="98" t="b">
        <v>1</v>
      </c>
      <c r="L237" s="107" t="s">
        <v>298</v>
      </c>
      <c r="M237" s="107" t="s">
        <v>80</v>
      </c>
      <c r="N237" s="107" t="s">
        <v>81</v>
      </c>
      <c r="O237" s="114" t="s">
        <v>1296</v>
      </c>
      <c r="P237" s="41" t="b">
        <v>0</v>
      </c>
      <c r="Q237" s="98" t="b">
        <v>0</v>
      </c>
    </row>
    <row r="238" spans="1:17" x14ac:dyDescent="0.3">
      <c r="A238" s="161" t="s">
        <v>757</v>
      </c>
      <c r="B238" s="41"/>
      <c r="C238" s="41"/>
      <c r="D238" s="107">
        <v>5000</v>
      </c>
      <c r="E238" s="107">
        <v>0</v>
      </c>
      <c r="F238" s="107">
        <v>0</v>
      </c>
      <c r="G238" s="178" t="s">
        <v>758</v>
      </c>
      <c r="H238" s="107"/>
      <c r="I238" s="98" t="b">
        <v>0</v>
      </c>
      <c r="J238" s="98" t="b">
        <v>0</v>
      </c>
      <c r="K238" s="98" t="b">
        <v>1</v>
      </c>
      <c r="L238" s="107" t="s">
        <v>63</v>
      </c>
      <c r="M238" s="107" t="s">
        <v>301</v>
      </c>
      <c r="N238" s="107" t="s">
        <v>302</v>
      </c>
      <c r="O238" s="114" t="s">
        <v>1358</v>
      </c>
      <c r="P238" s="41" t="b">
        <v>0</v>
      </c>
      <c r="Q238" s="98" t="b">
        <v>0</v>
      </c>
    </row>
    <row r="239" spans="1:17" x14ac:dyDescent="0.3">
      <c r="A239" s="161" t="s">
        <v>759</v>
      </c>
      <c r="B239" s="41"/>
      <c r="C239" s="41"/>
      <c r="D239" s="107">
        <v>6000</v>
      </c>
      <c r="E239" s="107">
        <v>5</v>
      </c>
      <c r="F239" s="107">
        <v>1</v>
      </c>
      <c r="G239" s="178" t="s">
        <v>760</v>
      </c>
      <c r="H239" s="107"/>
      <c r="I239" s="98" t="b">
        <v>0</v>
      </c>
      <c r="J239" s="98" t="b">
        <v>0</v>
      </c>
      <c r="K239" s="98" t="b">
        <v>0</v>
      </c>
      <c r="L239" s="107" t="s">
        <v>761</v>
      </c>
      <c r="M239" s="107" t="s">
        <v>352</v>
      </c>
      <c r="N239" s="107" t="s">
        <v>353</v>
      </c>
      <c r="O239" s="114" t="s">
        <v>1319</v>
      </c>
      <c r="P239" s="41" t="b">
        <v>0</v>
      </c>
      <c r="Q239" s="98" t="b">
        <v>0</v>
      </c>
    </row>
    <row r="240" spans="1:17" x14ac:dyDescent="0.3">
      <c r="A240" s="161" t="s">
        <v>762</v>
      </c>
      <c r="B240" s="41"/>
      <c r="C240" s="41"/>
      <c r="D240" s="107">
        <v>6000</v>
      </c>
      <c r="E240" s="107">
        <v>0</v>
      </c>
      <c r="F240" s="107">
        <v>0</v>
      </c>
      <c r="G240" s="178" t="s">
        <v>763</v>
      </c>
      <c r="H240" s="107"/>
      <c r="I240" s="98" t="b">
        <v>0</v>
      </c>
      <c r="J240" s="98" t="b">
        <v>0</v>
      </c>
      <c r="K240" s="98" t="b">
        <v>0</v>
      </c>
      <c r="L240" s="107" t="s">
        <v>55</v>
      </c>
      <c r="M240" s="107" t="s">
        <v>80</v>
      </c>
      <c r="N240" s="107" t="s">
        <v>231</v>
      </c>
      <c r="O240" s="114" t="s">
        <v>1305</v>
      </c>
      <c r="P240" s="41" t="b">
        <v>0</v>
      </c>
      <c r="Q240" s="98" t="b">
        <v>0</v>
      </c>
    </row>
    <row r="241" spans="1:17" x14ac:dyDescent="0.3">
      <c r="A241" s="161" t="s">
        <v>764</v>
      </c>
      <c r="B241" s="41"/>
      <c r="C241" s="41"/>
      <c r="D241" s="107">
        <v>6000</v>
      </c>
      <c r="E241" s="107">
        <v>0</v>
      </c>
      <c r="F241" s="107">
        <v>0</v>
      </c>
      <c r="G241" s="178" t="s">
        <v>765</v>
      </c>
      <c r="H241" s="107"/>
      <c r="I241" s="98" t="b">
        <v>0</v>
      </c>
      <c r="J241" s="98" t="b">
        <v>0</v>
      </c>
      <c r="K241" s="98" t="b">
        <v>1</v>
      </c>
      <c r="L241" s="107" t="s">
        <v>63</v>
      </c>
      <c r="M241" s="107" t="s">
        <v>84</v>
      </c>
      <c r="N241" s="107" t="s">
        <v>85</v>
      </c>
      <c r="O241" s="114" t="s">
        <v>1309</v>
      </c>
      <c r="P241" s="41" t="b">
        <v>0</v>
      </c>
      <c r="Q241" s="98" t="b">
        <v>0</v>
      </c>
    </row>
    <row r="242" spans="1:17" x14ac:dyDescent="0.3">
      <c r="A242" s="161" t="s">
        <v>766</v>
      </c>
      <c r="B242" s="41"/>
      <c r="C242" s="41"/>
      <c r="D242" s="107">
        <v>6000</v>
      </c>
      <c r="E242" s="107">
        <v>5</v>
      </c>
      <c r="F242" s="107">
        <v>1</v>
      </c>
      <c r="G242" s="178" t="s">
        <v>767</v>
      </c>
      <c r="H242" s="107"/>
      <c r="I242" s="98" t="b">
        <v>0</v>
      </c>
      <c r="J242" s="98" t="b">
        <v>0</v>
      </c>
      <c r="K242" s="98" t="b">
        <v>0</v>
      </c>
      <c r="L242" s="107" t="s">
        <v>761</v>
      </c>
      <c r="M242" s="107" t="s">
        <v>352</v>
      </c>
      <c r="N242" s="107" t="s">
        <v>353</v>
      </c>
      <c r="O242" s="114" t="s">
        <v>1319</v>
      </c>
      <c r="P242" s="41" t="b">
        <v>0</v>
      </c>
      <c r="Q242" s="98" t="b">
        <v>0</v>
      </c>
    </row>
    <row r="243" spans="1:17" x14ac:dyDescent="0.3">
      <c r="A243" s="161" t="s">
        <v>768</v>
      </c>
      <c r="B243" s="41"/>
      <c r="C243" s="41"/>
      <c r="D243" s="107">
        <v>6000</v>
      </c>
      <c r="E243" s="107">
        <v>0</v>
      </c>
      <c r="F243" s="107">
        <v>0</v>
      </c>
      <c r="G243" s="178" t="s">
        <v>769</v>
      </c>
      <c r="H243" s="107"/>
      <c r="I243" s="98" t="b">
        <v>0</v>
      </c>
      <c r="J243" s="98" t="b">
        <v>0</v>
      </c>
      <c r="K243" s="98" t="b">
        <v>1</v>
      </c>
      <c r="L243" s="107" t="s">
        <v>63</v>
      </c>
      <c r="M243" s="107" t="s">
        <v>56</v>
      </c>
      <c r="N243" s="107" t="s">
        <v>64</v>
      </c>
      <c r="O243" s="114" t="s">
        <v>1298</v>
      </c>
      <c r="P243" s="41" t="b">
        <v>0</v>
      </c>
      <c r="Q243" s="98" t="b">
        <v>0</v>
      </c>
    </row>
    <row r="244" spans="1:17" x14ac:dyDescent="0.3">
      <c r="A244" s="161" t="s">
        <v>770</v>
      </c>
      <c r="B244" s="41"/>
      <c r="C244" s="41"/>
      <c r="D244" s="107">
        <v>6000</v>
      </c>
      <c r="E244" s="107">
        <v>0</v>
      </c>
      <c r="F244" s="107">
        <v>0</v>
      </c>
      <c r="G244" s="178" t="s">
        <v>771</v>
      </c>
      <c r="H244" s="107"/>
      <c r="I244" s="98" t="b">
        <v>0</v>
      </c>
      <c r="J244" s="98" t="b">
        <v>0</v>
      </c>
      <c r="K244" s="98" t="b">
        <v>0</v>
      </c>
      <c r="L244" s="107" t="s">
        <v>55</v>
      </c>
      <c r="M244" s="107" t="s">
        <v>80</v>
      </c>
      <c r="N244" s="107" t="s">
        <v>231</v>
      </c>
      <c r="O244" s="114" t="s">
        <v>1305</v>
      </c>
      <c r="P244" s="41" t="b">
        <v>0</v>
      </c>
      <c r="Q244" s="98" t="b">
        <v>0</v>
      </c>
    </row>
    <row r="245" spans="1:17" x14ac:dyDescent="0.3">
      <c r="A245" s="161" t="s">
        <v>772</v>
      </c>
      <c r="B245" s="41"/>
      <c r="C245" s="41"/>
      <c r="D245" s="107">
        <v>6000</v>
      </c>
      <c r="E245" s="107">
        <v>7</v>
      </c>
      <c r="F245" s="107">
        <v>1</v>
      </c>
      <c r="G245" s="178" t="s">
        <v>773</v>
      </c>
      <c r="H245" s="107"/>
      <c r="I245" s="98" t="b">
        <v>0</v>
      </c>
      <c r="J245" s="98" t="b">
        <v>0</v>
      </c>
      <c r="K245" s="98" t="b">
        <v>0</v>
      </c>
      <c r="L245" s="107" t="s">
        <v>46</v>
      </c>
      <c r="M245" s="107" t="s">
        <v>162</v>
      </c>
      <c r="N245" s="107" t="s">
        <v>163</v>
      </c>
      <c r="O245" s="114" t="s">
        <v>1299</v>
      </c>
      <c r="P245" s="41" t="b">
        <v>0</v>
      </c>
      <c r="Q245" s="98" t="b">
        <v>0</v>
      </c>
    </row>
    <row r="246" spans="1:17" x14ac:dyDescent="0.3">
      <c r="A246" s="161"/>
      <c r="B246" s="41"/>
      <c r="C246" s="41"/>
      <c r="D246" s="107"/>
      <c r="E246" s="107"/>
      <c r="F246" s="107"/>
      <c r="G246" s="178"/>
      <c r="H246" s="107"/>
      <c r="I246" s="98"/>
      <c r="J246" s="98"/>
      <c r="K246" s="98"/>
      <c r="L246" s="107"/>
      <c r="M246" s="107"/>
      <c r="N246" s="107"/>
      <c r="O246" s="114"/>
      <c r="P246" s="41"/>
      <c r="Q246" s="98"/>
    </row>
    <row r="247" spans="1:17" x14ac:dyDescent="0.3">
      <c r="A247" s="79" t="s">
        <v>1639</v>
      </c>
      <c r="B247" s="25"/>
      <c r="C247" s="25"/>
      <c r="D247" s="80">
        <v>8000</v>
      </c>
      <c r="E247" s="80">
        <v>0</v>
      </c>
      <c r="F247" s="80">
        <v>0</v>
      </c>
      <c r="G247" s="81" t="s">
        <v>1507</v>
      </c>
      <c r="H247" s="80"/>
      <c r="I247" s="80" t="b">
        <v>0</v>
      </c>
      <c r="J247" s="55" t="b">
        <v>0</v>
      </c>
      <c r="K247" s="55" t="b">
        <v>1</v>
      </c>
      <c r="L247" s="80" t="s">
        <v>90</v>
      </c>
      <c r="M247" s="80" t="s">
        <v>156</v>
      </c>
      <c r="N247" s="80" t="s">
        <v>157</v>
      </c>
      <c r="O247" s="25"/>
      <c r="P247" s="25" t="b">
        <v>1</v>
      </c>
      <c r="Q247" s="55" t="b">
        <v>0</v>
      </c>
    </row>
    <row r="248" spans="1:17" x14ac:dyDescent="0.3">
      <c r="A248" s="79" t="s">
        <v>1640</v>
      </c>
      <c r="B248" s="25"/>
      <c r="C248" s="25"/>
      <c r="D248" s="80">
        <v>3000</v>
      </c>
      <c r="E248" s="80">
        <v>0</v>
      </c>
      <c r="F248" s="80">
        <v>0</v>
      </c>
      <c r="G248" s="81" t="s">
        <v>1508</v>
      </c>
      <c r="H248" s="80"/>
      <c r="I248" s="80" t="b">
        <v>0</v>
      </c>
      <c r="J248" s="55" t="b">
        <v>0</v>
      </c>
      <c r="K248" s="55" t="b">
        <v>0</v>
      </c>
      <c r="L248" s="80" t="s">
        <v>67</v>
      </c>
      <c r="M248" s="80" t="s">
        <v>68</v>
      </c>
      <c r="N248" s="80" t="s">
        <v>69</v>
      </c>
      <c r="O248" s="25"/>
      <c r="P248" s="25" t="b">
        <v>1</v>
      </c>
      <c r="Q248" s="55" t="b">
        <v>0</v>
      </c>
    </row>
    <row r="249" spans="1:17" x14ac:dyDescent="0.3">
      <c r="A249" s="79" t="s">
        <v>1786</v>
      </c>
      <c r="B249" s="25"/>
      <c r="C249" s="25"/>
      <c r="D249" s="80">
        <v>0</v>
      </c>
      <c r="E249" s="80">
        <v>0</v>
      </c>
      <c r="F249" s="80">
        <v>0</v>
      </c>
      <c r="G249" s="81" t="str">
        <f t="shared" ref="G249" si="19">A249&amp;".buffeffect"</f>
        <v>BossChallenge.gallius_1.passive01.buff.buffeffect</v>
      </c>
      <c r="H249" s="80"/>
      <c r="I249" s="80" t="b">
        <v>0</v>
      </c>
      <c r="J249" s="55" t="b">
        <v>0</v>
      </c>
      <c r="K249" s="55" t="b">
        <v>1</v>
      </c>
      <c r="L249" s="80"/>
      <c r="M249" s="80"/>
      <c r="N249" s="80"/>
      <c r="O249" s="25" t="s">
        <v>1301</v>
      </c>
      <c r="P249" s="25" t="b">
        <v>0</v>
      </c>
      <c r="Q249" s="55" t="b">
        <v>0</v>
      </c>
    </row>
    <row r="250" spans="1:17" ht="41.25" x14ac:dyDescent="0.3">
      <c r="A250" s="115" t="s">
        <v>1641</v>
      </c>
      <c r="B250" s="116"/>
      <c r="C250" s="116"/>
      <c r="D250" s="117">
        <v>8000</v>
      </c>
      <c r="E250" s="117">
        <v>0</v>
      </c>
      <c r="F250" s="117">
        <v>0</v>
      </c>
      <c r="G250" s="118" t="s">
        <v>1642</v>
      </c>
      <c r="H250" s="117"/>
      <c r="I250" s="117" t="b">
        <v>0</v>
      </c>
      <c r="J250" s="119" t="b">
        <v>0</v>
      </c>
      <c r="K250" s="119" t="b">
        <v>1</v>
      </c>
      <c r="L250" s="117" t="s">
        <v>189</v>
      </c>
      <c r="M250" s="117" t="s">
        <v>178</v>
      </c>
      <c r="N250" s="117" t="s">
        <v>179</v>
      </c>
      <c r="O250" s="116"/>
      <c r="P250" s="116" t="b">
        <v>1</v>
      </c>
      <c r="Q250" s="119" t="b">
        <v>0</v>
      </c>
    </row>
    <row r="251" spans="1:17" x14ac:dyDescent="0.3">
      <c r="A251" s="115" t="s">
        <v>1643</v>
      </c>
      <c r="B251" s="116"/>
      <c r="C251" s="116"/>
      <c r="D251" s="117">
        <v>1000</v>
      </c>
      <c r="E251" s="117">
        <v>0</v>
      </c>
      <c r="F251" s="117">
        <v>0</v>
      </c>
      <c r="G251" s="118" t="s">
        <v>173</v>
      </c>
      <c r="H251" s="117"/>
      <c r="I251" s="117" t="b">
        <v>0</v>
      </c>
      <c r="J251" s="119" t="b">
        <v>0</v>
      </c>
      <c r="K251" s="119" t="b">
        <v>1</v>
      </c>
      <c r="L251" s="117" t="s">
        <v>1501</v>
      </c>
      <c r="M251" s="117"/>
      <c r="N251" s="117"/>
      <c r="O251" s="116"/>
      <c r="P251" s="116" t="b">
        <v>1</v>
      </c>
      <c r="Q251" s="119" t="b">
        <v>0</v>
      </c>
    </row>
    <row r="252" spans="1:17" x14ac:dyDescent="0.3">
      <c r="A252" s="115" t="s">
        <v>1644</v>
      </c>
      <c r="B252" s="116"/>
      <c r="C252" s="116"/>
      <c r="D252" s="117">
        <v>3000</v>
      </c>
      <c r="E252" s="117">
        <v>0</v>
      </c>
      <c r="F252" s="117">
        <v>0</v>
      </c>
      <c r="G252" s="118" t="s">
        <v>1513</v>
      </c>
      <c r="H252" s="117"/>
      <c r="I252" s="117" t="b">
        <v>0</v>
      </c>
      <c r="J252" s="119" t="b">
        <v>0</v>
      </c>
      <c r="K252" s="119" t="b">
        <v>0</v>
      </c>
      <c r="L252" s="117" t="s">
        <v>67</v>
      </c>
      <c r="M252" s="117" t="s">
        <v>68</v>
      </c>
      <c r="N252" s="117" t="s">
        <v>69</v>
      </c>
      <c r="O252" s="116"/>
      <c r="P252" s="116" t="b">
        <v>1</v>
      </c>
      <c r="Q252" s="119" t="b">
        <v>0</v>
      </c>
    </row>
    <row r="253" spans="1:17" x14ac:dyDescent="0.3">
      <c r="A253" s="115" t="s">
        <v>1787</v>
      </c>
      <c r="B253" s="116"/>
      <c r="C253" s="116"/>
      <c r="D253" s="117">
        <v>0</v>
      </c>
      <c r="E253" s="117">
        <v>0</v>
      </c>
      <c r="F253" s="117">
        <v>0</v>
      </c>
      <c r="G253" s="118" t="str">
        <f t="shared" ref="G253" si="20">A253&amp;".buffeffect"</f>
        <v>BossChallenge.gallius_2.passive01.buff.buffeffect</v>
      </c>
      <c r="H253" s="117"/>
      <c r="I253" s="117" t="b">
        <v>0</v>
      </c>
      <c r="J253" s="119" t="b">
        <v>0</v>
      </c>
      <c r="K253" s="119" t="b">
        <v>1</v>
      </c>
      <c r="L253" s="117"/>
      <c r="M253" s="117"/>
      <c r="N253" s="117"/>
      <c r="O253" s="116" t="s">
        <v>1301</v>
      </c>
      <c r="P253" s="116" t="b">
        <v>0</v>
      </c>
      <c r="Q253" s="119" t="b">
        <v>0</v>
      </c>
    </row>
    <row r="254" spans="1:17" x14ac:dyDescent="0.3">
      <c r="A254" s="71" t="s">
        <v>1645</v>
      </c>
      <c r="B254" s="29"/>
      <c r="C254" s="29"/>
      <c r="D254" s="72">
        <v>0</v>
      </c>
      <c r="E254" s="72">
        <v>0</v>
      </c>
      <c r="F254" s="72">
        <v>0</v>
      </c>
      <c r="G254" s="73" t="s">
        <v>1514</v>
      </c>
      <c r="H254" s="72"/>
      <c r="I254" s="72" t="b">
        <v>0</v>
      </c>
      <c r="J254" s="56" t="b">
        <v>0</v>
      </c>
      <c r="K254" s="56" t="b">
        <v>1</v>
      </c>
      <c r="L254" s="72"/>
      <c r="M254" s="72"/>
      <c r="N254" s="72"/>
      <c r="O254" s="29"/>
      <c r="P254" s="29" t="b">
        <v>1</v>
      </c>
      <c r="Q254" s="56" t="b">
        <v>0</v>
      </c>
    </row>
    <row r="255" spans="1:17" x14ac:dyDescent="0.3">
      <c r="A255" s="71" t="s">
        <v>1646</v>
      </c>
      <c r="B255" s="29"/>
      <c r="C255" s="29"/>
      <c r="D255" s="72">
        <v>0</v>
      </c>
      <c r="E255" s="72">
        <v>9999</v>
      </c>
      <c r="F255" s="72">
        <v>1</v>
      </c>
      <c r="G255" s="73" t="s">
        <v>1516</v>
      </c>
      <c r="H255" s="72"/>
      <c r="I255" s="72" t="b">
        <v>1</v>
      </c>
      <c r="J255" s="56" t="b">
        <v>0</v>
      </c>
      <c r="K255" s="56" t="b">
        <v>1</v>
      </c>
      <c r="L255" s="72" t="s">
        <v>63</v>
      </c>
      <c r="M255" s="72" t="s">
        <v>80</v>
      </c>
      <c r="N255" s="72" t="s">
        <v>81</v>
      </c>
      <c r="O255" s="29"/>
      <c r="P255" s="29" t="b">
        <v>1</v>
      </c>
      <c r="Q255" s="56" t="b">
        <v>0</v>
      </c>
    </row>
    <row r="256" spans="1:17" x14ac:dyDescent="0.3">
      <c r="A256" s="89" t="s">
        <v>1647</v>
      </c>
      <c r="B256" s="48"/>
      <c r="C256" s="48"/>
      <c r="D256" s="90">
        <v>6000</v>
      </c>
      <c r="E256" s="90">
        <v>0</v>
      </c>
      <c r="F256" s="90">
        <v>0</v>
      </c>
      <c r="G256" s="91" t="s">
        <v>1517</v>
      </c>
      <c r="H256" s="90"/>
      <c r="I256" s="90" t="b">
        <v>0</v>
      </c>
      <c r="J256" s="95" t="b">
        <v>0</v>
      </c>
      <c r="K256" s="95" t="b">
        <v>0</v>
      </c>
      <c r="L256" s="90" t="s">
        <v>55</v>
      </c>
      <c r="M256" s="90" t="s">
        <v>207</v>
      </c>
      <c r="N256" s="90" t="s">
        <v>208</v>
      </c>
      <c r="O256" s="48"/>
      <c r="P256" s="48" t="b">
        <v>1</v>
      </c>
      <c r="Q256" s="95" t="b">
        <v>0</v>
      </c>
    </row>
    <row r="257" spans="1:17" x14ac:dyDescent="0.3">
      <c r="A257" s="89" t="s">
        <v>1648</v>
      </c>
      <c r="B257" s="48"/>
      <c r="C257" s="48"/>
      <c r="D257" s="90">
        <v>0</v>
      </c>
      <c r="E257" s="90">
        <v>0</v>
      </c>
      <c r="F257" s="90">
        <v>0</v>
      </c>
      <c r="G257" s="91" t="s">
        <v>1518</v>
      </c>
      <c r="H257" s="90"/>
      <c r="I257" s="90" t="b">
        <v>0</v>
      </c>
      <c r="J257" s="95" t="b">
        <v>0</v>
      </c>
      <c r="K257" s="95" t="b">
        <v>1</v>
      </c>
      <c r="L257" s="90"/>
      <c r="M257" s="90"/>
      <c r="N257" s="90"/>
      <c r="O257" s="48"/>
      <c r="P257" s="48" t="b">
        <v>1</v>
      </c>
      <c r="Q257" s="95" t="b">
        <v>0</v>
      </c>
    </row>
    <row r="258" spans="1:17" x14ac:dyDescent="0.3">
      <c r="A258" s="89" t="s">
        <v>1649</v>
      </c>
      <c r="B258" s="48"/>
      <c r="C258" s="48"/>
      <c r="D258" s="90">
        <v>0</v>
      </c>
      <c r="E258" s="90">
        <v>60</v>
      </c>
      <c r="F258" s="90">
        <v>1</v>
      </c>
      <c r="G258" s="91" t="s">
        <v>1520</v>
      </c>
      <c r="H258" s="90"/>
      <c r="I258" s="90" t="b">
        <v>0</v>
      </c>
      <c r="J258" s="95" t="b">
        <v>0</v>
      </c>
      <c r="K258" s="95" t="b">
        <v>1</v>
      </c>
      <c r="L258" s="90" t="s">
        <v>213</v>
      </c>
      <c r="M258" s="90" t="s">
        <v>80</v>
      </c>
      <c r="N258" s="90" t="s">
        <v>81</v>
      </c>
      <c r="O258" s="48"/>
      <c r="P258" s="48" t="b">
        <v>1</v>
      </c>
      <c r="Q258" s="95" t="b">
        <v>0</v>
      </c>
    </row>
    <row r="259" spans="1:17" x14ac:dyDescent="0.3">
      <c r="A259" s="89" t="s">
        <v>1650</v>
      </c>
      <c r="B259" s="48"/>
      <c r="C259" s="48"/>
      <c r="D259" s="90">
        <v>0</v>
      </c>
      <c r="E259" s="90">
        <v>0</v>
      </c>
      <c r="F259" s="90">
        <v>0</v>
      </c>
      <c r="G259" s="91" t="s">
        <v>1521</v>
      </c>
      <c r="H259" s="90"/>
      <c r="I259" s="90" t="b">
        <v>0</v>
      </c>
      <c r="J259" s="95" t="b">
        <v>0</v>
      </c>
      <c r="K259" s="95" t="b">
        <v>1</v>
      </c>
      <c r="L259" s="90" t="s">
        <v>216</v>
      </c>
      <c r="M259" s="90"/>
      <c r="N259" s="90"/>
      <c r="O259" s="48"/>
      <c r="P259" s="48" t="b">
        <v>1</v>
      </c>
      <c r="Q259" s="95" t="b">
        <v>0</v>
      </c>
    </row>
    <row r="260" spans="1:17" x14ac:dyDescent="0.3">
      <c r="A260" s="92" t="s">
        <v>1651</v>
      </c>
      <c r="B260" s="38"/>
      <c r="C260" s="38"/>
      <c r="D260" s="93">
        <v>5000</v>
      </c>
      <c r="E260" s="93">
        <v>0</v>
      </c>
      <c r="F260" s="93">
        <v>0</v>
      </c>
      <c r="G260" s="94" t="s">
        <v>1522</v>
      </c>
      <c r="H260" s="93"/>
      <c r="I260" s="93" t="b">
        <v>0</v>
      </c>
      <c r="J260" s="97" t="b">
        <v>0</v>
      </c>
      <c r="K260" s="97" t="b">
        <v>0</v>
      </c>
      <c r="L260" s="93" t="s">
        <v>55</v>
      </c>
      <c r="M260" s="93" t="s">
        <v>80</v>
      </c>
      <c r="N260" s="93" t="s">
        <v>231</v>
      </c>
      <c r="O260" s="38"/>
      <c r="P260" s="38" t="b">
        <v>1</v>
      </c>
      <c r="Q260" s="97" t="b">
        <v>0</v>
      </c>
    </row>
    <row r="261" spans="1:17" x14ac:dyDescent="0.3">
      <c r="A261" s="92" t="s">
        <v>1652</v>
      </c>
      <c r="B261" s="38"/>
      <c r="C261" s="38"/>
      <c r="D261" s="93">
        <v>3000</v>
      </c>
      <c r="E261" s="93">
        <v>0</v>
      </c>
      <c r="F261" s="93">
        <v>0</v>
      </c>
      <c r="G261" s="94" t="s">
        <v>1523</v>
      </c>
      <c r="H261" s="93"/>
      <c r="I261" s="93" t="b">
        <v>0</v>
      </c>
      <c r="J261" s="97" t="b">
        <v>0</v>
      </c>
      <c r="K261" s="97" t="b">
        <v>0</v>
      </c>
      <c r="L261" s="93" t="s">
        <v>67</v>
      </c>
      <c r="M261" s="93" t="s">
        <v>68</v>
      </c>
      <c r="N261" s="93" t="s">
        <v>69</v>
      </c>
      <c r="O261" s="38" t="s">
        <v>1499</v>
      </c>
      <c r="P261" s="38" t="b">
        <v>1</v>
      </c>
      <c r="Q261" s="97" t="b">
        <v>0</v>
      </c>
    </row>
    <row r="262" spans="1:17" ht="27.75" x14ac:dyDescent="0.3">
      <c r="A262" s="92" t="s">
        <v>1653</v>
      </c>
      <c r="B262" s="38"/>
      <c r="C262" s="38"/>
      <c r="D262" s="93">
        <v>90000</v>
      </c>
      <c r="E262" s="93">
        <v>23</v>
      </c>
      <c r="F262" s="93">
        <v>23</v>
      </c>
      <c r="G262" s="94" t="s">
        <v>1654</v>
      </c>
      <c r="H262" s="93"/>
      <c r="I262" s="93" t="b">
        <v>0</v>
      </c>
      <c r="J262" s="97" t="b">
        <v>0</v>
      </c>
      <c r="K262" s="97" t="b">
        <v>1</v>
      </c>
      <c r="L262" s="93" t="s">
        <v>235</v>
      </c>
      <c r="M262" s="93" t="s">
        <v>1115</v>
      </c>
      <c r="N262" s="93" t="s">
        <v>236</v>
      </c>
      <c r="O262" s="38" t="s">
        <v>237</v>
      </c>
      <c r="P262" s="38" t="b">
        <v>0</v>
      </c>
      <c r="Q262" s="97" t="b">
        <v>0</v>
      </c>
    </row>
    <row r="263" spans="1:17" x14ac:dyDescent="0.3">
      <c r="A263" s="92" t="s">
        <v>1655</v>
      </c>
      <c r="B263" s="38"/>
      <c r="C263" s="38"/>
      <c r="D263" s="93">
        <v>1000</v>
      </c>
      <c r="E263" s="93">
        <v>0</v>
      </c>
      <c r="F263" s="93">
        <v>0</v>
      </c>
      <c r="G263" s="94" t="s">
        <v>173</v>
      </c>
      <c r="H263" s="93"/>
      <c r="I263" s="93" t="b">
        <v>0</v>
      </c>
      <c r="J263" s="97" t="b">
        <v>0</v>
      </c>
      <c r="K263" s="97" t="b">
        <v>1</v>
      </c>
      <c r="L263" s="93" t="s">
        <v>1090</v>
      </c>
      <c r="M263" s="93"/>
      <c r="N263" s="93"/>
      <c r="O263" s="38"/>
      <c r="P263" s="38" t="b">
        <v>1</v>
      </c>
      <c r="Q263" s="97" t="b">
        <v>0</v>
      </c>
    </row>
    <row r="264" spans="1:17" x14ac:dyDescent="0.3">
      <c r="A264" s="92" t="s">
        <v>1656</v>
      </c>
      <c r="B264" s="38" t="s">
        <v>239</v>
      </c>
      <c r="C264" s="38" t="s">
        <v>1657</v>
      </c>
      <c r="D264" s="93">
        <v>10000</v>
      </c>
      <c r="E264" s="93">
        <v>0</v>
      </c>
      <c r="F264" s="93">
        <v>0</v>
      </c>
      <c r="G264" s="94" t="s">
        <v>1527</v>
      </c>
      <c r="H264" s="93"/>
      <c r="I264" s="93" t="b">
        <v>0</v>
      </c>
      <c r="J264" s="97" t="b">
        <v>0</v>
      </c>
      <c r="K264" s="97" t="b">
        <v>0</v>
      </c>
      <c r="L264" s="93" t="s">
        <v>55</v>
      </c>
      <c r="M264" s="93" t="s">
        <v>241</v>
      </c>
      <c r="N264" s="93" t="s">
        <v>242</v>
      </c>
      <c r="O264" s="38"/>
      <c r="P264" s="38" t="b">
        <v>1</v>
      </c>
      <c r="Q264" s="97" t="b">
        <v>0</v>
      </c>
    </row>
    <row r="265" spans="1:17" x14ac:dyDescent="0.3">
      <c r="A265" s="92" t="s">
        <v>1658</v>
      </c>
      <c r="B265" s="38" t="s">
        <v>239</v>
      </c>
      <c r="C265" s="38" t="s">
        <v>1659</v>
      </c>
      <c r="D265" s="93">
        <v>10000</v>
      </c>
      <c r="E265" s="93">
        <v>0</v>
      </c>
      <c r="F265" s="93">
        <v>0</v>
      </c>
      <c r="G265" s="94" t="s">
        <v>1528</v>
      </c>
      <c r="H265" s="93"/>
      <c r="I265" s="93" t="b">
        <v>0</v>
      </c>
      <c r="J265" s="97" t="b">
        <v>0</v>
      </c>
      <c r="K265" s="97" t="b">
        <v>1</v>
      </c>
      <c r="L265" s="93" t="s">
        <v>63</v>
      </c>
      <c r="M265" s="93" t="s">
        <v>109</v>
      </c>
      <c r="N265" s="93" t="s">
        <v>110</v>
      </c>
      <c r="O265" s="38"/>
      <c r="P265" s="38" t="b">
        <v>1</v>
      </c>
      <c r="Q265" s="97" t="b">
        <v>0</v>
      </c>
    </row>
    <row r="266" spans="1:17" x14ac:dyDescent="0.3">
      <c r="A266" s="92" t="s">
        <v>1660</v>
      </c>
      <c r="B266" s="38"/>
      <c r="C266" s="38"/>
      <c r="D266" s="93">
        <v>5000</v>
      </c>
      <c r="E266" s="93">
        <v>0</v>
      </c>
      <c r="F266" s="93">
        <v>0</v>
      </c>
      <c r="G266" s="94" t="s">
        <v>1529</v>
      </c>
      <c r="H266" s="93"/>
      <c r="I266" s="93" t="b">
        <v>0</v>
      </c>
      <c r="J266" s="97" t="b">
        <v>0</v>
      </c>
      <c r="K266" s="97" t="b">
        <v>1</v>
      </c>
      <c r="L266" s="93" t="s">
        <v>247</v>
      </c>
      <c r="M266" s="93" t="s">
        <v>248</v>
      </c>
      <c r="N266" s="93" t="s">
        <v>249</v>
      </c>
      <c r="O266" s="38"/>
      <c r="P266" s="38" t="b">
        <v>1</v>
      </c>
      <c r="Q266" s="97" t="b">
        <v>0</v>
      </c>
    </row>
    <row r="267" spans="1:17" x14ac:dyDescent="0.3">
      <c r="A267" s="92" t="s">
        <v>1661</v>
      </c>
      <c r="B267" s="38"/>
      <c r="C267" s="38"/>
      <c r="D267" s="93">
        <v>0</v>
      </c>
      <c r="E267" s="93">
        <v>0</v>
      </c>
      <c r="F267" s="93">
        <v>0</v>
      </c>
      <c r="G267" s="94" t="s">
        <v>1530</v>
      </c>
      <c r="H267" s="93"/>
      <c r="I267" s="93" t="b">
        <v>0</v>
      </c>
      <c r="J267" s="97" t="b">
        <v>0</v>
      </c>
      <c r="K267" s="97" t="b">
        <v>1</v>
      </c>
      <c r="L267" s="93"/>
      <c r="M267" s="93"/>
      <c r="N267" s="93"/>
      <c r="O267" s="38"/>
      <c r="P267" s="38" t="b">
        <v>1</v>
      </c>
      <c r="Q267" s="97" t="b">
        <v>0</v>
      </c>
    </row>
    <row r="268" spans="1:17" x14ac:dyDescent="0.3">
      <c r="A268" s="92" t="s">
        <v>1662</v>
      </c>
      <c r="B268" s="38"/>
      <c r="C268" s="38"/>
      <c r="D268" s="93">
        <v>10000</v>
      </c>
      <c r="E268" s="93">
        <v>0</v>
      </c>
      <c r="F268" s="93">
        <v>0</v>
      </c>
      <c r="G268" s="94" t="s">
        <v>1532</v>
      </c>
      <c r="H268" s="93"/>
      <c r="I268" s="93" t="b">
        <v>0</v>
      </c>
      <c r="J268" s="97" t="b">
        <v>0</v>
      </c>
      <c r="K268" s="97" t="b">
        <v>1</v>
      </c>
      <c r="L268" s="93" t="s">
        <v>63</v>
      </c>
      <c r="M268" s="93" t="s">
        <v>84</v>
      </c>
      <c r="N268" s="93" t="s">
        <v>85</v>
      </c>
      <c r="O268" s="38"/>
      <c r="P268" s="38" t="b">
        <v>1</v>
      </c>
      <c r="Q268" s="97" t="b">
        <v>0</v>
      </c>
    </row>
    <row r="269" spans="1:17" s="155" customFormat="1" x14ac:dyDescent="0.3">
      <c r="A269" s="120" t="s">
        <v>1663</v>
      </c>
      <c r="B269" s="121"/>
      <c r="C269" s="121"/>
      <c r="D269" s="122">
        <v>5000</v>
      </c>
      <c r="E269" s="122">
        <v>0</v>
      </c>
      <c r="F269" s="122">
        <v>0</v>
      </c>
      <c r="G269" s="123" t="s">
        <v>1533</v>
      </c>
      <c r="H269" s="122"/>
      <c r="I269" s="122" t="b">
        <v>0</v>
      </c>
      <c r="J269" s="124" t="b">
        <v>0</v>
      </c>
      <c r="K269" s="124" t="b">
        <v>0</v>
      </c>
      <c r="L269" s="122" t="s">
        <v>55</v>
      </c>
      <c r="M269" s="122" t="s">
        <v>80</v>
      </c>
      <c r="N269" s="122" t="s">
        <v>231</v>
      </c>
      <c r="O269" s="121"/>
      <c r="P269" s="121" t="b">
        <v>1</v>
      </c>
      <c r="Q269" s="124" t="b">
        <v>0</v>
      </c>
    </row>
    <row r="270" spans="1:17" s="155" customFormat="1" x14ac:dyDescent="0.3">
      <c r="A270" s="120" t="s">
        <v>1664</v>
      </c>
      <c r="B270" s="121"/>
      <c r="C270" s="121"/>
      <c r="D270" s="122">
        <v>3000</v>
      </c>
      <c r="E270" s="122">
        <v>0</v>
      </c>
      <c r="F270" s="122">
        <v>0</v>
      </c>
      <c r="G270" s="123" t="s">
        <v>1534</v>
      </c>
      <c r="H270" s="122"/>
      <c r="I270" s="122" t="b">
        <v>0</v>
      </c>
      <c r="J270" s="124" t="b">
        <v>0</v>
      </c>
      <c r="K270" s="124" t="b">
        <v>0</v>
      </c>
      <c r="L270" s="122" t="s">
        <v>67</v>
      </c>
      <c r="M270" s="122" t="s">
        <v>68</v>
      </c>
      <c r="N270" s="122" t="s">
        <v>69</v>
      </c>
      <c r="O270" s="121" t="s">
        <v>1499</v>
      </c>
      <c r="P270" s="121" t="b">
        <v>1</v>
      </c>
      <c r="Q270" s="124" t="b">
        <v>0</v>
      </c>
    </row>
    <row r="271" spans="1:17" s="155" customFormat="1" x14ac:dyDescent="0.3">
      <c r="A271" s="120" t="s">
        <v>1665</v>
      </c>
      <c r="B271" s="121"/>
      <c r="C271" s="121"/>
      <c r="D271" s="122">
        <v>200</v>
      </c>
      <c r="E271" s="122">
        <v>0</v>
      </c>
      <c r="F271" s="122">
        <v>0</v>
      </c>
      <c r="G271" s="123" t="s">
        <v>1535</v>
      </c>
      <c r="H271" s="122"/>
      <c r="I271" s="122" t="b">
        <v>0</v>
      </c>
      <c r="J271" s="124" t="b">
        <v>0</v>
      </c>
      <c r="K271" s="124" t="b">
        <v>0</v>
      </c>
      <c r="L271" s="122"/>
      <c r="M271" s="122"/>
      <c r="N271" s="122" t="s">
        <v>72</v>
      </c>
      <c r="O271" s="121"/>
      <c r="P271" s="121" t="b">
        <v>1</v>
      </c>
      <c r="Q271" s="124" t="b">
        <v>0</v>
      </c>
    </row>
    <row r="272" spans="1:17" s="155" customFormat="1" x14ac:dyDescent="0.3">
      <c r="A272" s="120" t="s">
        <v>1666</v>
      </c>
      <c r="B272" s="121"/>
      <c r="C272" s="121"/>
      <c r="D272" s="122">
        <v>3000</v>
      </c>
      <c r="E272" s="122">
        <v>0</v>
      </c>
      <c r="F272" s="122">
        <v>0</v>
      </c>
      <c r="G272" s="123" t="s">
        <v>1536</v>
      </c>
      <c r="H272" s="122"/>
      <c r="I272" s="122" t="b">
        <v>0</v>
      </c>
      <c r="J272" s="124" t="b">
        <v>0</v>
      </c>
      <c r="K272" s="124" t="b">
        <v>0</v>
      </c>
      <c r="L272" s="122" t="s">
        <v>55</v>
      </c>
      <c r="M272" s="122" t="s">
        <v>262</v>
      </c>
      <c r="N272" s="122" t="s">
        <v>263</v>
      </c>
      <c r="O272" s="121"/>
      <c r="P272" s="121" t="b">
        <v>1</v>
      </c>
      <c r="Q272" s="124" t="b">
        <v>0</v>
      </c>
    </row>
    <row r="273" spans="1:17" s="155" customFormat="1" x14ac:dyDescent="0.3">
      <c r="A273" s="120" t="s">
        <v>1667</v>
      </c>
      <c r="B273" s="121"/>
      <c r="C273" s="121"/>
      <c r="D273" s="122">
        <v>15000</v>
      </c>
      <c r="E273" s="122">
        <v>0</v>
      </c>
      <c r="F273" s="122">
        <v>0</v>
      </c>
      <c r="G273" s="123" t="s">
        <v>173</v>
      </c>
      <c r="H273" s="122"/>
      <c r="I273" s="122" t="b">
        <v>1</v>
      </c>
      <c r="J273" s="124" t="b">
        <v>0</v>
      </c>
      <c r="K273" s="124" t="b">
        <v>1</v>
      </c>
      <c r="L273" s="122" t="s">
        <v>265</v>
      </c>
      <c r="M273" s="122"/>
      <c r="N273" s="122"/>
      <c r="O273" s="121"/>
      <c r="P273" s="121" t="b">
        <v>1</v>
      </c>
      <c r="Q273" s="124" t="b">
        <v>0</v>
      </c>
    </row>
    <row r="274" spans="1:17" s="155" customFormat="1" ht="54.75" customHeight="1" x14ac:dyDescent="0.3">
      <c r="A274" s="120" t="s">
        <v>1668</v>
      </c>
      <c r="B274" s="121"/>
      <c r="C274" s="121"/>
      <c r="D274" s="122">
        <v>12000</v>
      </c>
      <c r="E274" s="122">
        <v>0</v>
      </c>
      <c r="F274" s="122">
        <v>0</v>
      </c>
      <c r="G274" s="123" t="s">
        <v>1669</v>
      </c>
      <c r="H274" s="122"/>
      <c r="I274" s="122" t="b">
        <v>0</v>
      </c>
      <c r="J274" s="124" t="b">
        <v>0</v>
      </c>
      <c r="K274" s="124" t="b">
        <v>1</v>
      </c>
      <c r="L274" s="122" t="s">
        <v>247</v>
      </c>
      <c r="M274" s="122" t="s">
        <v>248</v>
      </c>
      <c r="N274" s="122" t="s">
        <v>249</v>
      </c>
      <c r="O274" s="121"/>
      <c r="P274" s="121" t="b">
        <v>1</v>
      </c>
      <c r="Q274" s="124" t="b">
        <v>0</v>
      </c>
    </row>
    <row r="275" spans="1:17" s="155" customFormat="1" ht="27.75" x14ac:dyDescent="0.3">
      <c r="A275" s="120" t="s">
        <v>1670</v>
      </c>
      <c r="B275" s="121"/>
      <c r="C275" s="121"/>
      <c r="D275" s="122">
        <v>90000</v>
      </c>
      <c r="E275" s="122">
        <v>23</v>
      </c>
      <c r="F275" s="122">
        <v>23</v>
      </c>
      <c r="G275" s="123" t="s">
        <v>1671</v>
      </c>
      <c r="H275" s="122"/>
      <c r="I275" s="122" t="b">
        <v>0</v>
      </c>
      <c r="J275" s="124" t="b">
        <v>0</v>
      </c>
      <c r="K275" s="124" t="b">
        <v>1</v>
      </c>
      <c r="L275" s="122" t="s">
        <v>235</v>
      </c>
      <c r="M275" s="122" t="s">
        <v>1115</v>
      </c>
      <c r="N275" s="122" t="s">
        <v>268</v>
      </c>
      <c r="O275" s="121" t="s">
        <v>269</v>
      </c>
      <c r="P275" s="121" t="b">
        <v>0</v>
      </c>
      <c r="Q275" s="124" t="b">
        <v>0</v>
      </c>
    </row>
    <row r="276" spans="1:17" s="155" customFormat="1" x14ac:dyDescent="0.3">
      <c r="A276" s="120" t="s">
        <v>1672</v>
      </c>
      <c r="B276" s="121"/>
      <c r="C276" s="121"/>
      <c r="D276" s="122">
        <v>1000</v>
      </c>
      <c r="E276" s="122">
        <v>0</v>
      </c>
      <c r="F276" s="122">
        <v>0</v>
      </c>
      <c r="G276" s="123" t="s">
        <v>173</v>
      </c>
      <c r="H276" s="122"/>
      <c r="I276" s="122" t="b">
        <v>0</v>
      </c>
      <c r="J276" s="124" t="b">
        <v>0</v>
      </c>
      <c r="K276" s="124" t="b">
        <v>1</v>
      </c>
      <c r="L276" s="122" t="s">
        <v>1090</v>
      </c>
      <c r="M276" s="122"/>
      <c r="N276" s="122"/>
      <c r="O276" s="121"/>
      <c r="P276" s="121" t="b">
        <v>1</v>
      </c>
      <c r="Q276" s="124" t="b">
        <v>0</v>
      </c>
    </row>
    <row r="277" spans="1:17" s="155" customFormat="1" x14ac:dyDescent="0.3">
      <c r="A277" s="120" t="s">
        <v>1673</v>
      </c>
      <c r="B277" s="121" t="s">
        <v>239</v>
      </c>
      <c r="C277" s="121" t="s">
        <v>1674</v>
      </c>
      <c r="D277" s="122">
        <v>10000</v>
      </c>
      <c r="E277" s="122">
        <v>0</v>
      </c>
      <c r="F277" s="122">
        <v>0</v>
      </c>
      <c r="G277" s="123" t="s">
        <v>1544</v>
      </c>
      <c r="H277" s="122"/>
      <c r="I277" s="122" t="b">
        <v>0</v>
      </c>
      <c r="J277" s="124" t="b">
        <v>0</v>
      </c>
      <c r="K277" s="124" t="b">
        <v>0</v>
      </c>
      <c r="L277" s="122" t="s">
        <v>55</v>
      </c>
      <c r="M277" s="122" t="s">
        <v>241</v>
      </c>
      <c r="N277" s="122" t="s">
        <v>242</v>
      </c>
      <c r="O277" s="121"/>
      <c r="P277" s="121" t="b">
        <v>1</v>
      </c>
      <c r="Q277" s="124" t="b">
        <v>0</v>
      </c>
    </row>
    <row r="278" spans="1:17" s="155" customFormat="1" x14ac:dyDescent="0.3">
      <c r="A278" s="120" t="s">
        <v>1675</v>
      </c>
      <c r="B278" s="121" t="s">
        <v>239</v>
      </c>
      <c r="C278" s="121" t="s">
        <v>1676</v>
      </c>
      <c r="D278" s="122">
        <v>10000</v>
      </c>
      <c r="E278" s="122">
        <v>0</v>
      </c>
      <c r="F278" s="122">
        <v>0</v>
      </c>
      <c r="G278" s="123" t="s">
        <v>1545</v>
      </c>
      <c r="H278" s="122"/>
      <c r="I278" s="122" t="b">
        <v>0</v>
      </c>
      <c r="J278" s="124" t="b">
        <v>0</v>
      </c>
      <c r="K278" s="124" t="b">
        <v>1</v>
      </c>
      <c r="L278" s="122" t="s">
        <v>63</v>
      </c>
      <c r="M278" s="122" t="s">
        <v>109</v>
      </c>
      <c r="N278" s="122" t="s">
        <v>110</v>
      </c>
      <c r="O278" s="121"/>
      <c r="P278" s="121" t="b">
        <v>1</v>
      </c>
      <c r="Q278" s="124" t="b">
        <v>0</v>
      </c>
    </row>
    <row r="279" spans="1:17" s="155" customFormat="1" x14ac:dyDescent="0.3">
      <c r="A279" s="120" t="s">
        <v>1677</v>
      </c>
      <c r="B279" s="121"/>
      <c r="C279" s="121"/>
      <c r="D279" s="122">
        <v>0</v>
      </c>
      <c r="E279" s="122">
        <v>0</v>
      </c>
      <c r="F279" s="122">
        <v>0</v>
      </c>
      <c r="G279" s="123" t="s">
        <v>1546</v>
      </c>
      <c r="H279" s="122"/>
      <c r="I279" s="122" t="b">
        <v>0</v>
      </c>
      <c r="J279" s="124" t="b">
        <v>0</v>
      </c>
      <c r="K279" s="124" t="b">
        <v>1</v>
      </c>
      <c r="L279" s="122"/>
      <c r="M279" s="122"/>
      <c r="N279" s="122"/>
      <c r="O279" s="121"/>
      <c r="P279" s="121" t="b">
        <v>1</v>
      </c>
      <c r="Q279" s="124" t="b">
        <v>0</v>
      </c>
    </row>
    <row r="280" spans="1:17" s="155" customFormat="1" x14ac:dyDescent="0.3">
      <c r="A280" s="120" t="s">
        <v>1678</v>
      </c>
      <c r="B280" s="121"/>
      <c r="C280" s="121"/>
      <c r="D280" s="122">
        <v>200</v>
      </c>
      <c r="E280" s="122">
        <v>0</v>
      </c>
      <c r="F280" s="122">
        <v>0</v>
      </c>
      <c r="G280" s="123" t="s">
        <v>1547</v>
      </c>
      <c r="H280" s="122"/>
      <c r="I280" s="122" t="b">
        <v>0</v>
      </c>
      <c r="J280" s="124" t="b">
        <v>0</v>
      </c>
      <c r="K280" s="124" t="b">
        <v>0</v>
      </c>
      <c r="L280" s="122"/>
      <c r="M280" s="122"/>
      <c r="N280" s="122" t="s">
        <v>72</v>
      </c>
      <c r="O280" s="121"/>
      <c r="P280" s="121" t="b">
        <v>1</v>
      </c>
      <c r="Q280" s="124" t="b">
        <v>0</v>
      </c>
    </row>
    <row r="281" spans="1:17" s="155" customFormat="1" x14ac:dyDescent="0.3">
      <c r="A281" s="120" t="s">
        <v>1679</v>
      </c>
      <c r="B281" s="121"/>
      <c r="C281" s="121"/>
      <c r="D281" s="122">
        <v>3000</v>
      </c>
      <c r="E281" s="122">
        <v>0</v>
      </c>
      <c r="F281" s="122">
        <v>0</v>
      </c>
      <c r="G281" s="123" t="s">
        <v>1548</v>
      </c>
      <c r="H281" s="122"/>
      <c r="I281" s="122" t="b">
        <v>0</v>
      </c>
      <c r="J281" s="124" t="b">
        <v>0</v>
      </c>
      <c r="K281" s="124" t="b">
        <v>0</v>
      </c>
      <c r="L281" s="122" t="s">
        <v>67</v>
      </c>
      <c r="M281" s="122" t="s">
        <v>68</v>
      </c>
      <c r="N281" s="122" t="s">
        <v>69</v>
      </c>
      <c r="O281" s="121" t="s">
        <v>1499</v>
      </c>
      <c r="P281" s="121" t="b">
        <v>1</v>
      </c>
      <c r="Q281" s="124" t="b">
        <v>0</v>
      </c>
    </row>
    <row r="282" spans="1:17" s="155" customFormat="1" x14ac:dyDescent="0.3">
      <c r="A282" s="120" t="s">
        <v>1680</v>
      </c>
      <c r="B282" s="121"/>
      <c r="C282" s="121"/>
      <c r="D282" s="122">
        <v>0</v>
      </c>
      <c r="E282" s="122">
        <v>0</v>
      </c>
      <c r="F282" s="122">
        <v>0</v>
      </c>
      <c r="G282" s="123" t="s">
        <v>1549</v>
      </c>
      <c r="H282" s="122"/>
      <c r="I282" s="122" t="b">
        <v>0</v>
      </c>
      <c r="J282" s="124" t="b">
        <v>0</v>
      </c>
      <c r="K282" s="124" t="b">
        <v>1</v>
      </c>
      <c r="L282" s="122"/>
      <c r="M282" s="122"/>
      <c r="N282" s="122"/>
      <c r="O282" s="121"/>
      <c r="P282" s="121" t="b">
        <v>1</v>
      </c>
      <c r="Q282" s="124" t="b">
        <v>0</v>
      </c>
    </row>
    <row r="283" spans="1:17" s="155" customFormat="1" x14ac:dyDescent="0.3">
      <c r="A283" s="120" t="s">
        <v>1681</v>
      </c>
      <c r="B283" s="121"/>
      <c r="C283" s="121"/>
      <c r="D283" s="122">
        <v>10000</v>
      </c>
      <c r="E283" s="122">
        <v>0</v>
      </c>
      <c r="F283" s="122">
        <v>0</v>
      </c>
      <c r="G283" s="123" t="s">
        <v>1551</v>
      </c>
      <c r="H283" s="122"/>
      <c r="I283" s="122" t="b">
        <v>0</v>
      </c>
      <c r="J283" s="124" t="b">
        <v>0</v>
      </c>
      <c r="K283" s="124" t="b">
        <v>1</v>
      </c>
      <c r="L283" s="122" t="s">
        <v>63</v>
      </c>
      <c r="M283" s="122" t="s">
        <v>84</v>
      </c>
      <c r="N283" s="122" t="s">
        <v>85</v>
      </c>
      <c r="O283" s="121"/>
      <c r="P283" s="121" t="b">
        <v>1</v>
      </c>
      <c r="Q283" s="124" t="b">
        <v>0</v>
      </c>
    </row>
    <row r="284" spans="1:17" x14ac:dyDescent="0.3">
      <c r="A284" s="125" t="s">
        <v>1682</v>
      </c>
      <c r="B284" s="126"/>
      <c r="C284" s="126"/>
      <c r="D284" s="127">
        <v>5000</v>
      </c>
      <c r="E284" s="127">
        <v>5</v>
      </c>
      <c r="F284" s="127">
        <v>1</v>
      </c>
      <c r="G284" s="128" t="s">
        <v>1552</v>
      </c>
      <c r="H284" s="127"/>
      <c r="I284" s="127" t="b">
        <v>0</v>
      </c>
      <c r="J284" s="129" t="b">
        <v>0</v>
      </c>
      <c r="K284" s="129" t="b">
        <v>0</v>
      </c>
      <c r="L284" s="127" t="s">
        <v>51</v>
      </c>
      <c r="M284" s="127" t="s">
        <v>52</v>
      </c>
      <c r="N284" s="127" t="s">
        <v>53</v>
      </c>
      <c r="O284" s="132"/>
      <c r="P284" s="126" t="b">
        <v>1</v>
      </c>
      <c r="Q284" s="129" t="b">
        <v>0</v>
      </c>
    </row>
    <row r="285" spans="1:17" x14ac:dyDescent="0.3">
      <c r="A285" s="125" t="s">
        <v>1683</v>
      </c>
      <c r="B285" s="126"/>
      <c r="C285" s="126"/>
      <c r="D285" s="127">
        <v>600</v>
      </c>
      <c r="E285" s="127">
        <v>0</v>
      </c>
      <c r="F285" s="127">
        <v>0</v>
      </c>
      <c r="G285" s="128" t="s">
        <v>1553</v>
      </c>
      <c r="H285" s="127"/>
      <c r="I285" s="127" t="b">
        <v>0</v>
      </c>
      <c r="J285" s="129" t="b">
        <v>0</v>
      </c>
      <c r="K285" s="129" t="b">
        <v>0</v>
      </c>
      <c r="L285" s="127"/>
      <c r="M285" s="127"/>
      <c r="N285" s="127" t="s">
        <v>72</v>
      </c>
      <c r="O285" s="132"/>
      <c r="P285" s="126" t="b">
        <v>1</v>
      </c>
      <c r="Q285" s="129" t="b">
        <v>0</v>
      </c>
    </row>
    <row r="286" spans="1:17" x14ac:dyDescent="0.3">
      <c r="A286" s="125" t="s">
        <v>1684</v>
      </c>
      <c r="B286" s="126"/>
      <c r="C286" s="126"/>
      <c r="D286" s="127">
        <v>5000</v>
      </c>
      <c r="E286" s="127">
        <v>0</v>
      </c>
      <c r="F286" s="127">
        <v>0</v>
      </c>
      <c r="G286" s="128" t="s">
        <v>1554</v>
      </c>
      <c r="H286" s="127"/>
      <c r="I286" s="127" t="b">
        <v>0</v>
      </c>
      <c r="J286" s="129" t="b">
        <v>0</v>
      </c>
      <c r="K286" s="129" t="b">
        <v>0</v>
      </c>
      <c r="L286" s="127" t="s">
        <v>67</v>
      </c>
      <c r="M286" s="127" t="s">
        <v>68</v>
      </c>
      <c r="N286" s="127" t="s">
        <v>69</v>
      </c>
      <c r="O286" s="126" t="s">
        <v>1499</v>
      </c>
      <c r="P286" s="126" t="b">
        <v>1</v>
      </c>
      <c r="Q286" s="129" t="b">
        <v>0</v>
      </c>
    </row>
    <row r="287" spans="1:17" x14ac:dyDescent="0.3">
      <c r="A287" s="125" t="s">
        <v>1685</v>
      </c>
      <c r="B287" s="126"/>
      <c r="C287" s="126"/>
      <c r="D287" s="127">
        <v>0</v>
      </c>
      <c r="E287" s="127">
        <v>9999</v>
      </c>
      <c r="F287" s="127">
        <v>1</v>
      </c>
      <c r="G287" s="128" t="s">
        <v>1555</v>
      </c>
      <c r="H287" s="127"/>
      <c r="I287" s="127" t="b">
        <v>0</v>
      </c>
      <c r="J287" s="129" t="b">
        <v>0</v>
      </c>
      <c r="K287" s="129" t="b">
        <v>1</v>
      </c>
      <c r="L287" s="127" t="s">
        <v>298</v>
      </c>
      <c r="M287" s="127" t="s">
        <v>317</v>
      </c>
      <c r="N287" s="127" t="s">
        <v>85</v>
      </c>
      <c r="O287" s="132"/>
      <c r="P287" s="126" t="b">
        <v>1</v>
      </c>
      <c r="Q287" s="129" t="b">
        <v>0</v>
      </c>
    </row>
    <row r="288" spans="1:17" x14ac:dyDescent="0.3">
      <c r="A288" s="125" t="s">
        <v>1686</v>
      </c>
      <c r="B288" s="126"/>
      <c r="C288" s="126"/>
      <c r="D288" s="127">
        <v>0</v>
      </c>
      <c r="E288" s="127">
        <v>0</v>
      </c>
      <c r="F288" s="127">
        <v>0</v>
      </c>
      <c r="G288" s="128" t="s">
        <v>1556</v>
      </c>
      <c r="H288" s="127"/>
      <c r="I288" s="127" t="b">
        <v>0</v>
      </c>
      <c r="J288" s="129" t="b">
        <v>0</v>
      </c>
      <c r="K288" s="129" t="b">
        <v>1</v>
      </c>
      <c r="L288" s="127" t="s">
        <v>63</v>
      </c>
      <c r="M288" s="127" t="s">
        <v>301</v>
      </c>
      <c r="N288" s="127" t="s">
        <v>302</v>
      </c>
      <c r="O288" s="132"/>
      <c r="P288" s="126" t="b">
        <v>1</v>
      </c>
      <c r="Q288" s="129" t="b">
        <v>0</v>
      </c>
    </row>
    <row r="289" spans="1:17" x14ac:dyDescent="0.3">
      <c r="A289" s="125" t="s">
        <v>1687</v>
      </c>
      <c r="B289" s="126"/>
      <c r="C289" s="126"/>
      <c r="D289" s="127">
        <v>0</v>
      </c>
      <c r="E289" s="127">
        <v>0</v>
      </c>
      <c r="F289" s="127">
        <v>0</v>
      </c>
      <c r="G289" s="128" t="s">
        <v>1557</v>
      </c>
      <c r="H289" s="127"/>
      <c r="I289" s="127" t="b">
        <v>0</v>
      </c>
      <c r="J289" s="129" t="b">
        <v>0</v>
      </c>
      <c r="K289" s="129" t="b">
        <v>1</v>
      </c>
      <c r="L289" s="127"/>
      <c r="M289" s="127"/>
      <c r="N289" s="127"/>
      <c r="O289" s="132"/>
      <c r="P289" s="126" t="b">
        <v>1</v>
      </c>
      <c r="Q289" s="129" t="b">
        <v>0</v>
      </c>
    </row>
    <row r="290" spans="1:17" x14ac:dyDescent="0.3">
      <c r="A290" s="125" t="s">
        <v>1688</v>
      </c>
      <c r="B290" s="126"/>
      <c r="C290" s="126"/>
      <c r="D290" s="127">
        <v>0</v>
      </c>
      <c r="E290" s="127">
        <v>0</v>
      </c>
      <c r="F290" s="127">
        <v>0</v>
      </c>
      <c r="G290" s="128" t="s">
        <v>1559</v>
      </c>
      <c r="H290" s="127"/>
      <c r="I290" s="127" t="b">
        <v>0</v>
      </c>
      <c r="J290" s="129" t="b">
        <v>0</v>
      </c>
      <c r="K290" s="129" t="b">
        <v>1</v>
      </c>
      <c r="L290" s="127"/>
      <c r="M290" s="127"/>
      <c r="N290" s="127"/>
      <c r="O290" s="132"/>
      <c r="P290" s="126" t="b">
        <v>1</v>
      </c>
      <c r="Q290" s="129" t="b">
        <v>0</v>
      </c>
    </row>
    <row r="291" spans="1:17" x14ac:dyDescent="0.3">
      <c r="A291" s="109" t="s">
        <v>1689</v>
      </c>
      <c r="B291" s="42"/>
      <c r="C291" s="42"/>
      <c r="D291" s="110">
        <v>1500</v>
      </c>
      <c r="E291" s="110">
        <v>0</v>
      </c>
      <c r="F291" s="110">
        <v>0</v>
      </c>
      <c r="G291" s="111" t="s">
        <v>1561</v>
      </c>
      <c r="H291" s="110"/>
      <c r="I291" s="76" t="b">
        <v>0</v>
      </c>
      <c r="J291" s="99" t="b">
        <v>0</v>
      </c>
      <c r="K291" s="99" t="b">
        <v>1</v>
      </c>
      <c r="L291" s="110"/>
      <c r="M291" s="110"/>
      <c r="N291" s="110"/>
      <c r="O291" s="40"/>
      <c r="P291" s="42" t="b">
        <v>1</v>
      </c>
      <c r="Q291" s="99" t="b">
        <v>0</v>
      </c>
    </row>
    <row r="292" spans="1:17" x14ac:dyDescent="0.3">
      <c r="A292" s="109" t="s">
        <v>1690</v>
      </c>
      <c r="B292" s="42"/>
      <c r="C292" s="42"/>
      <c r="D292" s="110">
        <v>5000</v>
      </c>
      <c r="E292" s="110">
        <v>5</v>
      </c>
      <c r="F292" s="110">
        <v>1</v>
      </c>
      <c r="G292" s="111" t="s">
        <v>1562</v>
      </c>
      <c r="H292" s="110"/>
      <c r="I292" s="76" t="b">
        <v>0</v>
      </c>
      <c r="J292" s="99" t="b">
        <v>0</v>
      </c>
      <c r="K292" s="99" t="b">
        <v>0</v>
      </c>
      <c r="L292" s="110" t="s">
        <v>51</v>
      </c>
      <c r="M292" s="110" t="s">
        <v>52</v>
      </c>
      <c r="N292" s="110" t="s">
        <v>53</v>
      </c>
      <c r="O292" s="40"/>
      <c r="P292" s="42" t="b">
        <v>1</v>
      </c>
      <c r="Q292" s="99" t="b">
        <v>0</v>
      </c>
    </row>
    <row r="293" spans="1:17" x14ac:dyDescent="0.3">
      <c r="A293" s="109" t="s">
        <v>1691</v>
      </c>
      <c r="B293" s="42"/>
      <c r="C293" s="42"/>
      <c r="D293" s="110">
        <v>600</v>
      </c>
      <c r="E293" s="110">
        <v>0</v>
      </c>
      <c r="F293" s="110">
        <v>0</v>
      </c>
      <c r="G293" s="111" t="s">
        <v>1563</v>
      </c>
      <c r="H293" s="110"/>
      <c r="I293" s="76" t="b">
        <v>0</v>
      </c>
      <c r="J293" s="99" t="b">
        <v>0</v>
      </c>
      <c r="K293" s="99" t="b">
        <v>0</v>
      </c>
      <c r="L293" s="110"/>
      <c r="M293" s="110"/>
      <c r="N293" s="110" t="s">
        <v>72</v>
      </c>
      <c r="O293" s="40"/>
      <c r="P293" s="42" t="b">
        <v>1</v>
      </c>
      <c r="Q293" s="99" t="b">
        <v>0</v>
      </c>
    </row>
    <row r="294" spans="1:17" x14ac:dyDescent="0.3">
      <c r="A294" s="109" t="s">
        <v>1692</v>
      </c>
      <c r="B294" s="42"/>
      <c r="C294" s="42"/>
      <c r="D294" s="110">
        <v>5000</v>
      </c>
      <c r="E294" s="110">
        <v>0</v>
      </c>
      <c r="F294" s="110">
        <v>0</v>
      </c>
      <c r="G294" s="111" t="s">
        <v>1564</v>
      </c>
      <c r="H294" s="110"/>
      <c r="I294" s="76" t="b">
        <v>0</v>
      </c>
      <c r="J294" s="99" t="b">
        <v>0</v>
      </c>
      <c r="K294" s="99" t="b">
        <v>0</v>
      </c>
      <c r="L294" s="110" t="s">
        <v>67</v>
      </c>
      <c r="M294" s="110" t="s">
        <v>68</v>
      </c>
      <c r="N294" s="110" t="s">
        <v>69</v>
      </c>
      <c r="O294" s="40" t="s">
        <v>1499</v>
      </c>
      <c r="P294" s="42" t="b">
        <v>1</v>
      </c>
      <c r="Q294" s="99" t="b">
        <v>0</v>
      </c>
    </row>
    <row r="295" spans="1:17" x14ac:dyDescent="0.3">
      <c r="A295" s="109" t="s">
        <v>1693</v>
      </c>
      <c r="B295" s="42"/>
      <c r="C295" s="42"/>
      <c r="D295" s="110">
        <v>0</v>
      </c>
      <c r="E295" s="110">
        <v>0</v>
      </c>
      <c r="F295" s="110">
        <v>0</v>
      </c>
      <c r="G295" s="111" t="s">
        <v>1565</v>
      </c>
      <c r="H295" s="110"/>
      <c r="I295" s="76" t="b">
        <v>0</v>
      </c>
      <c r="J295" s="99" t="b">
        <v>0</v>
      </c>
      <c r="K295" s="99" t="b">
        <v>1</v>
      </c>
      <c r="L295" s="110"/>
      <c r="M295" s="110" t="s">
        <v>1500</v>
      </c>
      <c r="N295" s="110" t="s">
        <v>85</v>
      </c>
      <c r="O295" s="40"/>
      <c r="P295" s="42" t="b">
        <v>1</v>
      </c>
      <c r="Q295" s="99" t="b">
        <v>0</v>
      </c>
    </row>
    <row r="296" spans="1:17" x14ac:dyDescent="0.3">
      <c r="A296" s="109" t="s">
        <v>1694</v>
      </c>
      <c r="B296" s="42"/>
      <c r="C296" s="42"/>
      <c r="D296" s="110">
        <v>0</v>
      </c>
      <c r="E296" s="110">
        <v>9999</v>
      </c>
      <c r="F296" s="110">
        <v>1</v>
      </c>
      <c r="G296" s="111" t="s">
        <v>1566</v>
      </c>
      <c r="H296" s="110"/>
      <c r="I296" s="76" t="b">
        <v>0</v>
      </c>
      <c r="J296" s="99" t="b">
        <v>0</v>
      </c>
      <c r="K296" s="99" t="b">
        <v>1</v>
      </c>
      <c r="L296" s="110" t="s">
        <v>298</v>
      </c>
      <c r="M296" s="110" t="s">
        <v>317</v>
      </c>
      <c r="N296" s="110" t="s">
        <v>85</v>
      </c>
      <c r="O296" s="40"/>
      <c r="P296" s="42" t="b">
        <v>1</v>
      </c>
      <c r="Q296" s="99" t="b">
        <v>0</v>
      </c>
    </row>
    <row r="297" spans="1:17" x14ac:dyDescent="0.3">
      <c r="A297" s="109" t="s">
        <v>1695</v>
      </c>
      <c r="B297" s="42"/>
      <c r="C297" s="42"/>
      <c r="D297" s="110">
        <v>0</v>
      </c>
      <c r="E297" s="110">
        <v>0</v>
      </c>
      <c r="F297" s="110">
        <v>0</v>
      </c>
      <c r="G297" s="111" t="s">
        <v>1567</v>
      </c>
      <c r="H297" s="110"/>
      <c r="I297" s="76" t="b">
        <v>0</v>
      </c>
      <c r="J297" s="99" t="b">
        <v>0</v>
      </c>
      <c r="K297" s="99" t="b">
        <v>1</v>
      </c>
      <c r="L297" s="110" t="s">
        <v>63</v>
      </c>
      <c r="M297" s="110" t="s">
        <v>301</v>
      </c>
      <c r="N297" s="110" t="s">
        <v>302</v>
      </c>
      <c r="O297" s="40"/>
      <c r="P297" s="42" t="b">
        <v>1</v>
      </c>
      <c r="Q297" s="99" t="b">
        <v>0</v>
      </c>
    </row>
    <row r="298" spans="1:17" x14ac:dyDescent="0.3">
      <c r="A298" s="109" t="s">
        <v>1696</v>
      </c>
      <c r="B298" s="42"/>
      <c r="C298" s="42"/>
      <c r="D298" s="110">
        <v>0</v>
      </c>
      <c r="E298" s="110">
        <v>0</v>
      </c>
      <c r="F298" s="110">
        <v>0</v>
      </c>
      <c r="G298" s="111" t="s">
        <v>1568</v>
      </c>
      <c r="H298" s="110"/>
      <c r="I298" s="76" t="b">
        <v>0</v>
      </c>
      <c r="J298" s="99" t="b">
        <v>0</v>
      </c>
      <c r="K298" s="99" t="b">
        <v>1</v>
      </c>
      <c r="L298" s="110"/>
      <c r="M298" s="110"/>
      <c r="N298" s="110"/>
      <c r="O298" s="40"/>
      <c r="P298" s="42" t="b">
        <v>1</v>
      </c>
      <c r="Q298" s="99" t="b">
        <v>0</v>
      </c>
    </row>
    <row r="299" spans="1:17" x14ac:dyDescent="0.3">
      <c r="A299" s="109" t="s">
        <v>1697</v>
      </c>
      <c r="B299" s="42"/>
      <c r="C299" s="42"/>
      <c r="D299" s="110">
        <v>0</v>
      </c>
      <c r="E299" s="110">
        <v>0</v>
      </c>
      <c r="F299" s="110">
        <v>0</v>
      </c>
      <c r="G299" s="111" t="s">
        <v>1570</v>
      </c>
      <c r="H299" s="110"/>
      <c r="I299" s="76" t="b">
        <v>0</v>
      </c>
      <c r="J299" s="99" t="b">
        <v>0</v>
      </c>
      <c r="K299" s="99" t="b">
        <v>1</v>
      </c>
      <c r="L299" s="110"/>
      <c r="M299" s="110"/>
      <c r="N299" s="110"/>
      <c r="O299" s="40"/>
      <c r="P299" s="42" t="b">
        <v>1</v>
      </c>
      <c r="Q299" s="99" t="b">
        <v>0</v>
      </c>
    </row>
    <row r="300" spans="1:17" x14ac:dyDescent="0.3">
      <c r="A300" s="109" t="s">
        <v>1698</v>
      </c>
      <c r="B300" s="42"/>
      <c r="C300" s="42"/>
      <c r="D300" s="110">
        <v>0</v>
      </c>
      <c r="E300" s="110">
        <v>0</v>
      </c>
      <c r="F300" s="110">
        <v>0</v>
      </c>
      <c r="G300" s="111" t="s">
        <v>1572</v>
      </c>
      <c r="H300" s="110"/>
      <c r="I300" s="76" t="b">
        <v>0</v>
      </c>
      <c r="J300" s="99" t="b">
        <v>0</v>
      </c>
      <c r="K300" s="99" t="b">
        <v>1</v>
      </c>
      <c r="L300" s="110"/>
      <c r="M300" s="110"/>
      <c r="N300" s="110"/>
      <c r="O300" s="40"/>
      <c r="P300" s="42" t="b">
        <v>1</v>
      </c>
      <c r="Q300" s="99" t="b">
        <v>0</v>
      </c>
    </row>
    <row r="301" spans="1:17" x14ac:dyDescent="0.3">
      <c r="A301" s="86" t="s">
        <v>1699</v>
      </c>
      <c r="B301" s="10"/>
      <c r="C301" s="10"/>
      <c r="D301" s="87">
        <v>8000</v>
      </c>
      <c r="E301" s="87">
        <v>0</v>
      </c>
      <c r="F301" s="87">
        <v>0</v>
      </c>
      <c r="G301" s="88" t="s">
        <v>1573</v>
      </c>
      <c r="H301" s="87"/>
      <c r="I301" s="87" t="b">
        <v>0</v>
      </c>
      <c r="J301" s="96" t="b">
        <v>0</v>
      </c>
      <c r="K301" s="96" t="b">
        <v>0</v>
      </c>
      <c r="L301" s="87" t="s">
        <v>55</v>
      </c>
      <c r="M301" s="87" t="s">
        <v>431</v>
      </c>
      <c r="N301" s="87" t="s">
        <v>432</v>
      </c>
      <c r="O301" s="10"/>
      <c r="P301" s="10" t="b">
        <v>1</v>
      </c>
      <c r="Q301" s="96" t="b">
        <v>0</v>
      </c>
    </row>
    <row r="302" spans="1:17" x14ac:dyDescent="0.3">
      <c r="A302" s="86" t="s">
        <v>1700</v>
      </c>
      <c r="B302" s="10"/>
      <c r="C302" s="10"/>
      <c r="D302" s="87">
        <v>8000</v>
      </c>
      <c r="E302" s="87">
        <v>0</v>
      </c>
      <c r="F302" s="87">
        <v>0</v>
      </c>
      <c r="G302" s="88" t="s">
        <v>1574</v>
      </c>
      <c r="H302" s="87"/>
      <c r="I302" s="87" t="b">
        <v>0</v>
      </c>
      <c r="J302" s="96" t="b">
        <v>0</v>
      </c>
      <c r="K302" s="96" t="b">
        <v>0</v>
      </c>
      <c r="L302" s="87" t="s">
        <v>55</v>
      </c>
      <c r="M302" s="87" t="s">
        <v>431</v>
      </c>
      <c r="N302" s="87" t="s">
        <v>432</v>
      </c>
      <c r="O302" s="10"/>
      <c r="P302" s="10" t="b">
        <v>1</v>
      </c>
      <c r="Q302" s="96" t="b">
        <v>0</v>
      </c>
    </row>
    <row r="303" spans="1:17" x14ac:dyDescent="0.3">
      <c r="A303" s="86" t="s">
        <v>1701</v>
      </c>
      <c r="B303" s="10"/>
      <c r="C303" s="10"/>
      <c r="D303" s="87">
        <v>8000</v>
      </c>
      <c r="E303" s="87">
        <v>0</v>
      </c>
      <c r="F303" s="87">
        <v>0</v>
      </c>
      <c r="G303" s="88" t="s">
        <v>1575</v>
      </c>
      <c r="H303" s="87"/>
      <c r="I303" s="87" t="b">
        <v>0</v>
      </c>
      <c r="J303" s="96" t="b">
        <v>0</v>
      </c>
      <c r="K303" s="96" t="b">
        <v>1</v>
      </c>
      <c r="L303" s="87" t="s">
        <v>63</v>
      </c>
      <c r="M303" s="87" t="s">
        <v>80</v>
      </c>
      <c r="N303" s="87" t="s">
        <v>81</v>
      </c>
      <c r="O303" s="10"/>
      <c r="P303" s="10" t="b">
        <v>1</v>
      </c>
      <c r="Q303" s="96" t="b">
        <v>0</v>
      </c>
    </row>
    <row r="304" spans="1:17" x14ac:dyDescent="0.3">
      <c r="A304" s="86" t="s">
        <v>1702</v>
      </c>
      <c r="B304" s="10"/>
      <c r="C304" s="10"/>
      <c r="D304" s="87">
        <v>8000</v>
      </c>
      <c r="E304" s="87">
        <v>0</v>
      </c>
      <c r="F304" s="87">
        <v>0</v>
      </c>
      <c r="G304" s="88" t="s">
        <v>1576</v>
      </c>
      <c r="H304" s="87"/>
      <c r="I304" s="87" t="b">
        <v>0</v>
      </c>
      <c r="J304" s="96" t="b">
        <v>0</v>
      </c>
      <c r="K304" s="96" t="b">
        <v>1</v>
      </c>
      <c r="L304" s="87" t="s">
        <v>247</v>
      </c>
      <c r="M304" s="87" t="s">
        <v>248</v>
      </c>
      <c r="N304" s="87" t="s">
        <v>249</v>
      </c>
      <c r="O304" s="10"/>
      <c r="P304" s="10" t="b">
        <v>1</v>
      </c>
      <c r="Q304" s="96" t="b">
        <v>0</v>
      </c>
    </row>
    <row r="305" spans="1:17" x14ac:dyDescent="0.3">
      <c r="A305" s="86" t="s">
        <v>1703</v>
      </c>
      <c r="B305" s="10"/>
      <c r="C305" s="10"/>
      <c r="D305" s="87">
        <v>0</v>
      </c>
      <c r="E305" s="87">
        <v>0</v>
      </c>
      <c r="F305" s="87">
        <v>0</v>
      </c>
      <c r="G305" s="88" t="s">
        <v>1577</v>
      </c>
      <c r="H305" s="87"/>
      <c r="I305" s="87" t="b">
        <v>0</v>
      </c>
      <c r="J305" s="96" t="b">
        <v>0</v>
      </c>
      <c r="K305" s="96" t="b">
        <v>0</v>
      </c>
      <c r="L305" s="87"/>
      <c r="M305" s="87"/>
      <c r="N305" s="87"/>
      <c r="O305" s="10"/>
      <c r="P305" s="10" t="b">
        <v>1</v>
      </c>
      <c r="Q305" s="96" t="b">
        <v>0</v>
      </c>
    </row>
    <row r="306" spans="1:17" x14ac:dyDescent="0.3">
      <c r="A306" s="86" t="s">
        <v>1704</v>
      </c>
      <c r="B306" s="10"/>
      <c r="C306" s="10"/>
      <c r="D306" s="87">
        <v>0</v>
      </c>
      <c r="E306" s="87">
        <v>0</v>
      </c>
      <c r="F306" s="87">
        <v>0</v>
      </c>
      <c r="G306" s="88" t="s">
        <v>1579</v>
      </c>
      <c r="H306" s="87"/>
      <c r="I306" s="87" t="b">
        <v>0</v>
      </c>
      <c r="J306" s="96" t="b">
        <v>0</v>
      </c>
      <c r="K306" s="96" t="b">
        <v>0</v>
      </c>
      <c r="L306" s="87"/>
      <c r="M306" s="87"/>
      <c r="N306" s="87"/>
      <c r="O306" s="10"/>
      <c r="P306" s="10" t="b">
        <v>1</v>
      </c>
      <c r="Q306" s="96" t="b">
        <v>0</v>
      </c>
    </row>
    <row r="307" spans="1:17" x14ac:dyDescent="0.3">
      <c r="A307" s="120" t="s">
        <v>1705</v>
      </c>
      <c r="B307" s="121"/>
      <c r="C307" s="121"/>
      <c r="D307" s="122">
        <v>8000</v>
      </c>
      <c r="E307" s="122">
        <v>0</v>
      </c>
      <c r="F307" s="122">
        <v>0</v>
      </c>
      <c r="G307" s="123" t="s">
        <v>1581</v>
      </c>
      <c r="H307" s="122"/>
      <c r="I307" s="122" t="b">
        <v>0</v>
      </c>
      <c r="J307" s="124" t="b">
        <v>0</v>
      </c>
      <c r="K307" s="124" t="b">
        <v>0</v>
      </c>
      <c r="L307" s="122" t="s">
        <v>1123</v>
      </c>
      <c r="M307" s="122" t="s">
        <v>1125</v>
      </c>
      <c r="N307" s="122" t="s">
        <v>1126</v>
      </c>
      <c r="O307" s="121"/>
      <c r="P307" s="121" t="b">
        <v>1</v>
      </c>
      <c r="Q307" s="124" t="b">
        <v>0</v>
      </c>
    </row>
    <row r="308" spans="1:17" x14ac:dyDescent="0.3">
      <c r="A308" s="120" t="s">
        <v>1706</v>
      </c>
      <c r="B308" s="121"/>
      <c r="C308" s="121"/>
      <c r="D308" s="122">
        <v>8000</v>
      </c>
      <c r="E308" s="122">
        <v>0</v>
      </c>
      <c r="F308" s="122">
        <v>0</v>
      </c>
      <c r="G308" s="123" t="s">
        <v>1582</v>
      </c>
      <c r="H308" s="122"/>
      <c r="I308" s="122" t="b">
        <v>0</v>
      </c>
      <c r="J308" s="124" t="b">
        <v>0</v>
      </c>
      <c r="K308" s="124" t="b">
        <v>0</v>
      </c>
      <c r="L308" s="122" t="s">
        <v>1123</v>
      </c>
      <c r="M308" s="122" t="s">
        <v>1125</v>
      </c>
      <c r="N308" s="122" t="s">
        <v>1126</v>
      </c>
      <c r="O308" s="121"/>
      <c r="P308" s="121" t="b">
        <v>1</v>
      </c>
      <c r="Q308" s="124" t="b">
        <v>0</v>
      </c>
    </row>
    <row r="309" spans="1:17" x14ac:dyDescent="0.3">
      <c r="A309" s="120" t="s">
        <v>1707</v>
      </c>
      <c r="B309" s="121"/>
      <c r="C309" s="121"/>
      <c r="D309" s="122">
        <v>8000</v>
      </c>
      <c r="E309" s="122">
        <v>0</v>
      </c>
      <c r="F309" s="122">
        <v>0</v>
      </c>
      <c r="G309" s="123" t="s">
        <v>1583</v>
      </c>
      <c r="H309" s="122"/>
      <c r="I309" s="122" t="b">
        <v>0</v>
      </c>
      <c r="J309" s="124" t="b">
        <v>0</v>
      </c>
      <c r="K309" s="124" t="b">
        <v>1</v>
      </c>
      <c r="L309" s="122" t="s">
        <v>63</v>
      </c>
      <c r="M309" s="122" t="s">
        <v>80</v>
      </c>
      <c r="N309" s="122" t="s">
        <v>81</v>
      </c>
      <c r="O309" s="121"/>
      <c r="P309" s="121" t="b">
        <v>1</v>
      </c>
      <c r="Q309" s="124" t="b">
        <v>0</v>
      </c>
    </row>
    <row r="310" spans="1:17" x14ac:dyDescent="0.3">
      <c r="A310" s="120" t="s">
        <v>1708</v>
      </c>
      <c r="B310" s="121"/>
      <c r="C310" s="121"/>
      <c r="D310" s="122">
        <v>8000</v>
      </c>
      <c r="E310" s="122">
        <v>0</v>
      </c>
      <c r="F310" s="122">
        <v>0</v>
      </c>
      <c r="G310" s="123" t="s">
        <v>1584</v>
      </c>
      <c r="H310" s="122"/>
      <c r="I310" s="122" t="b">
        <v>0</v>
      </c>
      <c r="J310" s="124" t="b">
        <v>0</v>
      </c>
      <c r="K310" s="124" t="b">
        <v>1</v>
      </c>
      <c r="L310" s="122"/>
      <c r="M310" s="122"/>
      <c r="N310" s="122"/>
      <c r="O310" s="121"/>
      <c r="P310" s="121" t="b">
        <v>1</v>
      </c>
      <c r="Q310" s="124" t="b">
        <v>0</v>
      </c>
    </row>
    <row r="311" spans="1:17" x14ac:dyDescent="0.3">
      <c r="A311" s="120" t="s">
        <v>1709</v>
      </c>
      <c r="B311" s="121"/>
      <c r="C311" s="121"/>
      <c r="D311" s="122">
        <v>10000</v>
      </c>
      <c r="E311" s="122">
        <v>0</v>
      </c>
      <c r="F311" s="122">
        <v>0</v>
      </c>
      <c r="G311" s="123" t="s">
        <v>1585</v>
      </c>
      <c r="H311" s="122"/>
      <c r="I311" s="122" t="b">
        <v>0</v>
      </c>
      <c r="J311" s="124" t="b">
        <v>0</v>
      </c>
      <c r="K311" s="124" t="b">
        <v>1</v>
      </c>
      <c r="L311" s="122"/>
      <c r="M311" s="122"/>
      <c r="N311" s="122"/>
      <c r="O311" s="121"/>
      <c r="P311" s="121" t="b">
        <v>1</v>
      </c>
      <c r="Q311" s="124" t="b">
        <v>0</v>
      </c>
    </row>
    <row r="312" spans="1:17" x14ac:dyDescent="0.3">
      <c r="A312" s="120" t="s">
        <v>1710</v>
      </c>
      <c r="B312" s="121"/>
      <c r="C312" s="121"/>
      <c r="D312" s="122">
        <v>0</v>
      </c>
      <c r="E312" s="122">
        <v>0</v>
      </c>
      <c r="F312" s="122">
        <v>0</v>
      </c>
      <c r="G312" s="123" t="s">
        <v>1586</v>
      </c>
      <c r="H312" s="122"/>
      <c r="I312" s="122" t="b">
        <v>0</v>
      </c>
      <c r="J312" s="124" t="b">
        <v>0</v>
      </c>
      <c r="K312" s="124" t="b">
        <v>0</v>
      </c>
      <c r="L312" s="122"/>
      <c r="M312" s="122"/>
      <c r="N312" s="122"/>
      <c r="O312" s="121"/>
      <c r="P312" s="121" t="b">
        <v>1</v>
      </c>
      <c r="Q312" s="124" t="b">
        <v>0</v>
      </c>
    </row>
    <row r="313" spans="1:17" x14ac:dyDescent="0.3">
      <c r="A313" s="120" t="s">
        <v>1711</v>
      </c>
      <c r="B313" s="121"/>
      <c r="C313" s="121"/>
      <c r="D313" s="122">
        <v>0</v>
      </c>
      <c r="E313" s="122">
        <v>0</v>
      </c>
      <c r="F313" s="122">
        <v>0</v>
      </c>
      <c r="G313" s="123" t="s">
        <v>1588</v>
      </c>
      <c r="H313" s="122"/>
      <c r="I313" s="122" t="b">
        <v>0</v>
      </c>
      <c r="J313" s="124" t="b">
        <v>0</v>
      </c>
      <c r="K313" s="124" t="b">
        <v>0</v>
      </c>
      <c r="L313" s="122"/>
      <c r="M313" s="122"/>
      <c r="N313" s="122"/>
      <c r="O313" s="121"/>
      <c r="P313" s="121" t="b">
        <v>1</v>
      </c>
      <c r="Q313" s="124" t="b">
        <v>0</v>
      </c>
    </row>
    <row r="314" spans="1:17" x14ac:dyDescent="0.3">
      <c r="A314" s="67" t="s">
        <v>1712</v>
      </c>
      <c r="B314" s="43"/>
      <c r="C314" s="43"/>
      <c r="D314" s="68">
        <v>50000</v>
      </c>
      <c r="E314" s="68">
        <v>10</v>
      </c>
      <c r="F314" s="68">
        <v>1</v>
      </c>
      <c r="G314" s="69" t="str">
        <f>A314&amp;".buffeffect"</f>
        <v>BossChallenge.toxic_1.poison01.buff.buffeffect</v>
      </c>
      <c r="H314" s="68"/>
      <c r="I314" s="68" t="b">
        <v>0</v>
      </c>
      <c r="J314" s="44" t="b">
        <v>0</v>
      </c>
      <c r="K314" s="44" t="b">
        <v>0</v>
      </c>
      <c r="L314" s="68" t="s">
        <v>351</v>
      </c>
      <c r="M314" s="68" t="s">
        <v>352</v>
      </c>
      <c r="N314" s="68" t="s">
        <v>353</v>
      </c>
      <c r="O314" s="43"/>
      <c r="P314" s="43" t="b">
        <v>1</v>
      </c>
      <c r="Q314" s="44" t="b">
        <v>0</v>
      </c>
    </row>
    <row r="315" spans="1:17" x14ac:dyDescent="0.3">
      <c r="A315" s="67" t="s">
        <v>1713</v>
      </c>
      <c r="B315" s="43"/>
      <c r="C315" s="43"/>
      <c r="D315" s="68">
        <v>4000</v>
      </c>
      <c r="E315" s="68">
        <v>0</v>
      </c>
      <c r="F315" s="68">
        <v>0</v>
      </c>
      <c r="G315" s="69" t="s">
        <v>378</v>
      </c>
      <c r="H315" s="68"/>
      <c r="I315" s="68" t="b">
        <v>0</v>
      </c>
      <c r="J315" s="44" t="b">
        <v>0</v>
      </c>
      <c r="K315" s="44" t="b">
        <v>0</v>
      </c>
      <c r="L315" s="68" t="s">
        <v>67</v>
      </c>
      <c r="M315" s="68" t="s">
        <v>68</v>
      </c>
      <c r="N315" s="68" t="s">
        <v>69</v>
      </c>
      <c r="O315" s="43" t="s">
        <v>1499</v>
      </c>
      <c r="P315" s="43" t="b">
        <v>1</v>
      </c>
      <c r="Q315" s="44" t="b">
        <v>0</v>
      </c>
    </row>
    <row r="316" spans="1:17" ht="41.25" x14ac:dyDescent="0.3">
      <c r="A316" s="67" t="s">
        <v>1714</v>
      </c>
      <c r="B316" s="43"/>
      <c r="C316" s="43"/>
      <c r="D316" s="68">
        <v>0</v>
      </c>
      <c r="E316" s="68">
        <v>0</v>
      </c>
      <c r="F316" s="68">
        <v>0</v>
      </c>
      <c r="G316" s="69" t="s">
        <v>1715</v>
      </c>
      <c r="H316" s="68"/>
      <c r="I316" s="68" t="b">
        <v>0</v>
      </c>
      <c r="J316" s="44" t="b">
        <v>0</v>
      </c>
      <c r="K316" s="44" t="b">
        <v>0</v>
      </c>
      <c r="L316" s="68"/>
      <c r="M316" s="68"/>
      <c r="N316" s="68"/>
      <c r="O316" s="43"/>
      <c r="P316" s="43" t="b">
        <v>1</v>
      </c>
      <c r="Q316" s="44" t="b">
        <v>0</v>
      </c>
    </row>
    <row r="317" spans="1:17" x14ac:dyDescent="0.3">
      <c r="A317" s="67" t="s">
        <v>1716</v>
      </c>
      <c r="B317" s="43"/>
      <c r="C317" s="43"/>
      <c r="D317" s="68">
        <v>5000</v>
      </c>
      <c r="E317" s="68">
        <v>0</v>
      </c>
      <c r="F317" s="68">
        <v>0</v>
      </c>
      <c r="G317" s="69" t="str">
        <f>A317&amp;".buffeffect"</f>
        <v>BossChallenge.toxic_1.passive01.hot.buff.buffeffect</v>
      </c>
      <c r="H317" s="68"/>
      <c r="I317" s="68" t="b">
        <v>0</v>
      </c>
      <c r="J317" s="44" t="b">
        <v>0</v>
      </c>
      <c r="K317" s="44" t="b">
        <v>1</v>
      </c>
      <c r="L317" s="68" t="s">
        <v>247</v>
      </c>
      <c r="M317" s="68" t="s">
        <v>248</v>
      </c>
      <c r="N317" s="68" t="s">
        <v>249</v>
      </c>
      <c r="O317" s="43"/>
      <c r="P317" s="43" t="b">
        <v>1</v>
      </c>
      <c r="Q317" s="44" t="b">
        <v>0</v>
      </c>
    </row>
    <row r="318" spans="1:17" x14ac:dyDescent="0.3">
      <c r="A318" s="67" t="s">
        <v>1717</v>
      </c>
      <c r="B318" s="43"/>
      <c r="C318" s="43"/>
      <c r="D318" s="68">
        <v>0</v>
      </c>
      <c r="E318" s="68">
        <v>0</v>
      </c>
      <c r="F318" s="68">
        <v>0</v>
      </c>
      <c r="G318" s="69" t="str">
        <f>A318&amp;".buffeffect"</f>
        <v>BossChallenge.toxic_1.passive02.buff.buffeffect</v>
      </c>
      <c r="H318" s="68"/>
      <c r="I318" s="68" t="b">
        <v>0</v>
      </c>
      <c r="J318" s="44" t="b">
        <v>0</v>
      </c>
      <c r="K318" s="44" t="b">
        <v>0</v>
      </c>
      <c r="L318" s="68"/>
      <c r="M318" s="68"/>
      <c r="N318" s="68"/>
      <c r="O318" s="43"/>
      <c r="P318" s="43" t="b">
        <v>1</v>
      </c>
      <c r="Q318" s="44" t="b">
        <v>0</v>
      </c>
    </row>
    <row r="319" spans="1:17" x14ac:dyDescent="0.3">
      <c r="A319" s="89" t="s">
        <v>1718</v>
      </c>
      <c r="B319" s="48"/>
      <c r="C319" s="48"/>
      <c r="D319" s="90">
        <v>0</v>
      </c>
      <c r="E319" s="90">
        <v>0</v>
      </c>
      <c r="F319" s="90">
        <v>0</v>
      </c>
      <c r="G319" s="91" t="str">
        <f>A319&amp;".buffeffect"</f>
        <v>BossChallenge.toxic_3.atkdown01.buff.buffeffect</v>
      </c>
      <c r="H319" s="90"/>
      <c r="I319" s="90" t="b">
        <v>0</v>
      </c>
      <c r="J319" s="95" t="b">
        <v>0</v>
      </c>
      <c r="K319" s="95" t="b">
        <v>0</v>
      </c>
      <c r="L319" s="90" t="s">
        <v>55</v>
      </c>
      <c r="M319" s="90" t="s">
        <v>80</v>
      </c>
      <c r="N319" s="90" t="s">
        <v>231</v>
      </c>
      <c r="O319" s="48"/>
      <c r="P319" s="48" t="b">
        <v>1</v>
      </c>
      <c r="Q319" s="95" t="b">
        <v>0</v>
      </c>
    </row>
    <row r="320" spans="1:17" x14ac:dyDescent="0.3">
      <c r="A320" s="89" t="s">
        <v>1719</v>
      </c>
      <c r="B320" s="48"/>
      <c r="C320" s="48"/>
      <c r="D320" s="90">
        <v>10000</v>
      </c>
      <c r="E320" s="90">
        <v>0</v>
      </c>
      <c r="F320" s="90">
        <v>0</v>
      </c>
      <c r="G320" s="91" t="str">
        <f>A320&amp;".buffeffect"</f>
        <v>BossChallenge.toxic_3.poison01.buff.buffeffect</v>
      </c>
      <c r="H320" s="90"/>
      <c r="I320" s="90" t="b">
        <v>0</v>
      </c>
      <c r="J320" s="95" t="b">
        <v>0</v>
      </c>
      <c r="K320" s="95" t="b">
        <v>0</v>
      </c>
      <c r="L320" s="90" t="s">
        <v>351</v>
      </c>
      <c r="M320" s="90" t="s">
        <v>352</v>
      </c>
      <c r="N320" s="90" t="s">
        <v>353</v>
      </c>
      <c r="O320" s="48"/>
      <c r="P320" s="48" t="b">
        <v>1</v>
      </c>
      <c r="Q320" s="95" t="b">
        <v>0</v>
      </c>
    </row>
    <row r="321" spans="1:17" ht="41.25" x14ac:dyDescent="0.3">
      <c r="A321" s="89" t="s">
        <v>1720</v>
      </c>
      <c r="B321" s="48"/>
      <c r="C321" s="48"/>
      <c r="D321" s="90">
        <v>0</v>
      </c>
      <c r="E321" s="90">
        <v>0</v>
      </c>
      <c r="F321" s="90">
        <v>0</v>
      </c>
      <c r="G321" s="91" t="s">
        <v>1721</v>
      </c>
      <c r="H321" s="90"/>
      <c r="I321" s="90" t="b">
        <v>0</v>
      </c>
      <c r="J321" s="95" t="b">
        <v>0</v>
      </c>
      <c r="K321" s="95" t="b">
        <v>1</v>
      </c>
      <c r="L321" s="90"/>
      <c r="M321" s="90"/>
      <c r="N321" s="90"/>
      <c r="O321" s="48"/>
      <c r="P321" s="48" t="b">
        <v>1</v>
      </c>
      <c r="Q321" s="95" t="b">
        <v>0</v>
      </c>
    </row>
    <row r="322" spans="1:17" x14ac:dyDescent="0.3">
      <c r="A322" s="89" t="s">
        <v>1722</v>
      </c>
      <c r="B322" s="48"/>
      <c r="C322" s="48"/>
      <c r="D322" s="90">
        <v>5000</v>
      </c>
      <c r="E322" s="90">
        <v>0</v>
      </c>
      <c r="F322" s="90">
        <v>0</v>
      </c>
      <c r="G322" s="91" t="str">
        <f>A322&amp;".buffeffect"</f>
        <v>BossChallenge.toxic_3.passive01.hot.buff.buffeffect</v>
      </c>
      <c r="H322" s="90"/>
      <c r="I322" s="90" t="b">
        <v>0</v>
      </c>
      <c r="J322" s="95" t="b">
        <v>0</v>
      </c>
      <c r="K322" s="95" t="b">
        <v>1</v>
      </c>
      <c r="L322" s="90" t="s">
        <v>247</v>
      </c>
      <c r="M322" s="90" t="s">
        <v>248</v>
      </c>
      <c r="N322" s="90" t="s">
        <v>249</v>
      </c>
      <c r="O322" s="48"/>
      <c r="P322" s="48" t="b">
        <v>1</v>
      </c>
      <c r="Q322" s="95" t="b">
        <v>0</v>
      </c>
    </row>
    <row r="323" spans="1:17" ht="27.75" x14ac:dyDescent="0.3">
      <c r="A323" s="89" t="s">
        <v>1723</v>
      </c>
      <c r="B323" s="48"/>
      <c r="C323" s="48"/>
      <c r="D323" s="90">
        <v>0</v>
      </c>
      <c r="E323" s="90">
        <v>0</v>
      </c>
      <c r="F323" s="90">
        <v>0</v>
      </c>
      <c r="G323" s="91" t="s">
        <v>1724</v>
      </c>
      <c r="H323" s="90"/>
      <c r="I323" s="90" t="b">
        <v>0</v>
      </c>
      <c r="J323" s="95" t="b">
        <v>0</v>
      </c>
      <c r="K323" s="95" t="b">
        <v>1</v>
      </c>
      <c r="L323" s="90"/>
      <c r="M323" s="90"/>
      <c r="N323" s="90"/>
      <c r="O323" s="48"/>
      <c r="P323" s="48" t="b">
        <v>1</v>
      </c>
      <c r="Q323" s="95" t="b">
        <v>0</v>
      </c>
    </row>
    <row r="324" spans="1:17" x14ac:dyDescent="0.3">
      <c r="A324" s="79" t="s">
        <v>1725</v>
      </c>
      <c r="B324" s="25"/>
      <c r="C324" s="25"/>
      <c r="D324" s="80">
        <v>5000</v>
      </c>
      <c r="E324" s="80">
        <v>0</v>
      </c>
      <c r="F324" s="80">
        <v>0</v>
      </c>
      <c r="G324" s="81" t="s">
        <v>1498</v>
      </c>
      <c r="H324" s="80"/>
      <c r="I324" s="80" t="b">
        <v>0</v>
      </c>
      <c r="J324" s="55" t="b">
        <v>0</v>
      </c>
      <c r="K324" s="55" t="b">
        <v>0</v>
      </c>
      <c r="L324" s="80" t="s">
        <v>588</v>
      </c>
      <c r="M324" s="80" t="s">
        <v>584</v>
      </c>
      <c r="N324" s="80" t="s">
        <v>589</v>
      </c>
      <c r="O324" s="25"/>
      <c r="P324" s="25" t="b">
        <v>1</v>
      </c>
      <c r="Q324" s="55" t="b">
        <v>0</v>
      </c>
    </row>
    <row r="325" spans="1:17" x14ac:dyDescent="0.3">
      <c r="A325" s="79" t="s">
        <v>1726</v>
      </c>
      <c r="B325" s="25"/>
      <c r="C325" s="25"/>
      <c r="D325" s="80">
        <v>0</v>
      </c>
      <c r="E325" s="80">
        <v>0</v>
      </c>
      <c r="F325" s="80">
        <v>0</v>
      </c>
      <c r="G325" s="81" t="str">
        <f>A325&amp;".buffeffect"</f>
        <v>BossChallenge.goliath_1.skill03.pre.buff.buffeffect</v>
      </c>
      <c r="H325" s="80"/>
      <c r="I325" s="80" t="b">
        <v>0</v>
      </c>
      <c r="J325" s="55" t="b">
        <v>0</v>
      </c>
      <c r="K325" s="55" t="b">
        <v>0</v>
      </c>
      <c r="L325" s="80"/>
      <c r="M325" s="80"/>
      <c r="N325" s="80"/>
      <c r="O325" s="25"/>
      <c r="P325" s="25" t="b">
        <v>1</v>
      </c>
      <c r="Q325" s="55" t="b">
        <v>0</v>
      </c>
    </row>
    <row r="326" spans="1:17" x14ac:dyDescent="0.3">
      <c r="A326" s="79" t="s">
        <v>1727</v>
      </c>
      <c r="B326" s="25"/>
      <c r="C326" s="25"/>
      <c r="D326" s="80">
        <v>12000</v>
      </c>
      <c r="E326" s="80">
        <v>0</v>
      </c>
      <c r="F326" s="80">
        <v>0</v>
      </c>
      <c r="G326" s="81" t="str">
        <f>A326&amp;".buffeffect"</f>
        <v>BossChallenge.goliath_1.skill03.immun.buff.buffeffect</v>
      </c>
      <c r="H326" s="80"/>
      <c r="I326" s="80" t="b">
        <v>1</v>
      </c>
      <c r="J326" s="55" t="b">
        <v>0</v>
      </c>
      <c r="K326" s="55" t="b">
        <v>1</v>
      </c>
      <c r="L326" s="80" t="s">
        <v>1048</v>
      </c>
      <c r="M326" s="80" t="s">
        <v>301</v>
      </c>
      <c r="N326" s="80" t="s">
        <v>963</v>
      </c>
      <c r="O326" s="25" t="s">
        <v>1497</v>
      </c>
      <c r="P326" s="25" t="b">
        <v>0</v>
      </c>
      <c r="Q326" s="55" t="b">
        <v>0</v>
      </c>
    </row>
    <row r="327" spans="1:17" x14ac:dyDescent="0.3">
      <c r="A327" s="79" t="s">
        <v>1728</v>
      </c>
      <c r="B327" s="25"/>
      <c r="C327" s="25"/>
      <c r="D327" s="80">
        <v>12000</v>
      </c>
      <c r="E327" s="80">
        <v>0</v>
      </c>
      <c r="F327" s="80">
        <v>0</v>
      </c>
      <c r="G327" s="81" t="str">
        <f>A327&amp;".buffeffect"</f>
        <v>BossChallenge.goliath_1.skill03.atkup.buff.buffeffect</v>
      </c>
      <c r="H327" s="80"/>
      <c r="I327" s="80" t="b">
        <v>1</v>
      </c>
      <c r="J327" s="55" t="b">
        <v>0</v>
      </c>
      <c r="K327" s="55" t="b">
        <v>1</v>
      </c>
      <c r="L327" s="80" t="s">
        <v>63</v>
      </c>
      <c r="M327" s="80" t="s">
        <v>80</v>
      </c>
      <c r="N327" s="80" t="s">
        <v>81</v>
      </c>
      <c r="O327" s="25"/>
      <c r="P327" s="25" t="b">
        <v>1</v>
      </c>
      <c r="Q327" s="55" t="b">
        <v>0</v>
      </c>
    </row>
    <row r="328" spans="1:17" x14ac:dyDescent="0.3">
      <c r="A328" s="79" t="s">
        <v>1729</v>
      </c>
      <c r="B328" s="25"/>
      <c r="C328" s="25"/>
      <c r="D328" s="80">
        <v>0</v>
      </c>
      <c r="E328" s="80">
        <v>0</v>
      </c>
      <c r="F328" s="80">
        <v>0</v>
      </c>
      <c r="G328" s="81" t="str">
        <f>A328&amp;".buffeffect"</f>
        <v>BossChallenge.goliath_1.passive01.buff.buffeffect</v>
      </c>
      <c r="H328" s="80"/>
      <c r="I328" s="80" t="b">
        <v>0</v>
      </c>
      <c r="J328" s="55" t="b">
        <v>0</v>
      </c>
      <c r="K328" s="55" t="b">
        <v>1</v>
      </c>
      <c r="L328" s="80"/>
      <c r="M328" s="80"/>
      <c r="N328" s="80"/>
      <c r="O328" s="25"/>
      <c r="P328" s="25" t="b">
        <v>0</v>
      </c>
      <c r="Q328" s="55" t="b">
        <v>0</v>
      </c>
    </row>
    <row r="329" spans="1:17" x14ac:dyDescent="0.3">
      <c r="A329" s="79" t="s">
        <v>1730</v>
      </c>
      <c r="B329" s="25"/>
      <c r="C329" s="25"/>
      <c r="D329" s="80">
        <v>4000</v>
      </c>
      <c r="E329" s="80">
        <v>0</v>
      </c>
      <c r="F329" s="80">
        <v>0</v>
      </c>
      <c r="G329" s="81" t="s">
        <v>173</v>
      </c>
      <c r="H329" s="80"/>
      <c r="I329" s="80" t="b">
        <v>0</v>
      </c>
      <c r="J329" s="55" t="b">
        <v>0</v>
      </c>
      <c r="K329" s="55" t="b">
        <v>1</v>
      </c>
      <c r="L329" s="80" t="s">
        <v>346</v>
      </c>
      <c r="M329" s="80"/>
      <c r="N329" s="80"/>
      <c r="O329" s="25"/>
      <c r="P329" s="25" t="b">
        <v>0</v>
      </c>
      <c r="Q329" s="55" t="b">
        <v>0</v>
      </c>
    </row>
    <row r="330" spans="1:17" x14ac:dyDescent="0.3">
      <c r="A330" s="79" t="s">
        <v>1731</v>
      </c>
      <c r="B330" s="25"/>
      <c r="C330" s="25"/>
      <c r="D330" s="80">
        <v>0</v>
      </c>
      <c r="E330" s="80">
        <v>10</v>
      </c>
      <c r="F330" s="80">
        <v>1</v>
      </c>
      <c r="G330" s="81" t="str">
        <f>A330&amp;".buffeffect"</f>
        <v>BossChallenge.goliath_1.passive01.stack.buff.buffeffect</v>
      </c>
      <c r="H330" s="80"/>
      <c r="I330" s="80" t="b">
        <v>1</v>
      </c>
      <c r="J330" s="55" t="b">
        <v>0</v>
      </c>
      <c r="K330" s="55" t="b">
        <v>1</v>
      </c>
      <c r="L330" s="80"/>
      <c r="M330" s="80"/>
      <c r="N330" s="80"/>
      <c r="O330" s="25"/>
      <c r="P330" s="25" t="b">
        <v>0</v>
      </c>
      <c r="Q330" s="55" t="b">
        <v>0</v>
      </c>
    </row>
    <row r="331" spans="1:17" x14ac:dyDescent="0.3">
      <c r="A331" s="79" t="s">
        <v>1732</v>
      </c>
      <c r="B331" s="25"/>
      <c r="C331" s="25"/>
      <c r="D331" s="80">
        <v>0</v>
      </c>
      <c r="E331" s="80">
        <v>10</v>
      </c>
      <c r="F331" s="80">
        <v>1</v>
      </c>
      <c r="G331" s="81" t="str">
        <f>A331&amp;".buffeffect"</f>
        <v>BossChallenge.goliath_1.passive01.atkup.buff.buffeffect</v>
      </c>
      <c r="H331" s="80"/>
      <c r="I331" s="80" t="b">
        <v>1</v>
      </c>
      <c r="J331" s="55" t="b">
        <v>0</v>
      </c>
      <c r="K331" s="55" t="b">
        <v>1</v>
      </c>
      <c r="L331" s="80" t="s">
        <v>63</v>
      </c>
      <c r="M331" s="80" t="s">
        <v>1044</v>
      </c>
      <c r="N331" s="80" t="s">
        <v>81</v>
      </c>
      <c r="O331" s="25"/>
      <c r="P331" s="25" t="b">
        <v>1</v>
      </c>
      <c r="Q331" s="55" t="b">
        <v>0</v>
      </c>
    </row>
    <row r="332" spans="1:17" ht="122.25" x14ac:dyDescent="0.3">
      <c r="A332" s="79" t="s">
        <v>1733</v>
      </c>
      <c r="B332" s="25"/>
      <c r="C332" s="25"/>
      <c r="D332" s="80">
        <v>0</v>
      </c>
      <c r="E332" s="80">
        <v>0</v>
      </c>
      <c r="F332" s="80">
        <v>0</v>
      </c>
      <c r="G332" s="81" t="s">
        <v>1734</v>
      </c>
      <c r="H332" s="80"/>
      <c r="I332" s="80" t="b">
        <v>0</v>
      </c>
      <c r="J332" s="55" t="b">
        <v>0</v>
      </c>
      <c r="K332" s="55" t="b">
        <v>1</v>
      </c>
      <c r="L332" s="80"/>
      <c r="M332" s="80"/>
      <c r="N332" s="80"/>
      <c r="O332" s="25"/>
      <c r="P332" s="25" t="b">
        <v>0</v>
      </c>
      <c r="Q332" s="55" t="b">
        <v>0</v>
      </c>
    </row>
    <row r="333" spans="1:17" x14ac:dyDescent="0.3">
      <c r="A333" s="79" t="s">
        <v>1735</v>
      </c>
      <c r="B333" s="25"/>
      <c r="C333" s="25"/>
      <c r="D333" s="80">
        <v>0</v>
      </c>
      <c r="E333" s="80">
        <v>10</v>
      </c>
      <c r="F333" s="80">
        <v>1</v>
      </c>
      <c r="G333" s="81" t="str">
        <f>A333&amp;".buffeffect"</f>
        <v>BossChallenge.goliath_1.passive02.defup.buff.buffeffect</v>
      </c>
      <c r="H333" s="80"/>
      <c r="I333" s="80" t="b">
        <v>1</v>
      </c>
      <c r="J333" s="55" t="b">
        <v>0</v>
      </c>
      <c r="K333" s="55" t="b">
        <v>1</v>
      </c>
      <c r="L333" s="80" t="s">
        <v>63</v>
      </c>
      <c r="M333" s="80" t="s">
        <v>56</v>
      </c>
      <c r="N333" s="80" t="s">
        <v>64</v>
      </c>
      <c r="O333" s="25"/>
      <c r="P333" s="25" t="b">
        <v>1</v>
      </c>
      <c r="Q333" s="55" t="b">
        <v>0</v>
      </c>
    </row>
    <row r="334" spans="1:17" ht="27.75" x14ac:dyDescent="0.3">
      <c r="A334" s="115" t="s">
        <v>1742</v>
      </c>
      <c r="B334" s="116"/>
      <c r="C334" s="116"/>
      <c r="D334" s="117">
        <v>4000</v>
      </c>
      <c r="E334" s="117">
        <v>0</v>
      </c>
      <c r="F334" s="117">
        <v>0</v>
      </c>
      <c r="G334" s="118" t="s">
        <v>1740</v>
      </c>
      <c r="H334" s="117"/>
      <c r="I334" s="117" t="b">
        <v>0</v>
      </c>
      <c r="J334" s="119" t="b">
        <v>0</v>
      </c>
      <c r="K334" s="119" t="b">
        <v>0</v>
      </c>
      <c r="L334" s="117" t="s">
        <v>588</v>
      </c>
      <c r="M334" s="117" t="s">
        <v>584</v>
      </c>
      <c r="N334" s="117" t="s">
        <v>589</v>
      </c>
      <c r="O334" s="116" t="s">
        <v>1317</v>
      </c>
      <c r="P334" s="116" t="b">
        <v>0</v>
      </c>
      <c r="Q334" s="119" t="b">
        <v>0</v>
      </c>
    </row>
    <row r="335" spans="1:17" x14ac:dyDescent="0.3">
      <c r="A335" s="115" t="s">
        <v>1743</v>
      </c>
      <c r="B335" s="116"/>
      <c r="C335" s="116"/>
      <c r="D335" s="117">
        <v>10000</v>
      </c>
      <c r="E335" s="117">
        <v>0</v>
      </c>
      <c r="F335" s="117">
        <v>0</v>
      </c>
      <c r="G335" s="118" t="str">
        <f t="shared" ref="G335" si="21">A335&amp;".buffeffect"</f>
        <v>BossChallenge.goliath_4.skill02.atkdown.buff.buffeffect</v>
      </c>
      <c r="H335" s="117"/>
      <c r="I335" s="117" t="b">
        <v>0</v>
      </c>
      <c r="J335" s="119" t="b">
        <v>0</v>
      </c>
      <c r="K335" s="119" t="b">
        <v>0</v>
      </c>
      <c r="L335" s="117" t="s">
        <v>55</v>
      </c>
      <c r="M335" s="117" t="s">
        <v>80</v>
      </c>
      <c r="N335" s="117" t="s">
        <v>231</v>
      </c>
      <c r="O335" s="116" t="s">
        <v>1305</v>
      </c>
      <c r="P335" s="116" t="b">
        <v>0</v>
      </c>
      <c r="Q335" s="119" t="b">
        <v>0</v>
      </c>
    </row>
    <row r="336" spans="1:17" ht="41.25" x14ac:dyDescent="0.3">
      <c r="A336" s="115" t="s">
        <v>1744</v>
      </c>
      <c r="B336" s="116"/>
      <c r="C336" s="116"/>
      <c r="D336" s="117">
        <v>0</v>
      </c>
      <c r="E336" s="117">
        <v>0</v>
      </c>
      <c r="F336" s="117">
        <v>0</v>
      </c>
      <c r="G336" s="118" t="s">
        <v>1745</v>
      </c>
      <c r="H336" s="117"/>
      <c r="I336" s="117" t="b">
        <v>0</v>
      </c>
      <c r="J336" s="119" t="b">
        <v>0</v>
      </c>
      <c r="K336" s="119" t="b">
        <v>0</v>
      </c>
      <c r="L336" s="117"/>
      <c r="M336" s="117"/>
      <c r="N336" s="117"/>
      <c r="O336" s="116" t="s">
        <v>1301</v>
      </c>
      <c r="P336" s="116" t="b">
        <v>0</v>
      </c>
      <c r="Q336" s="119" t="b">
        <v>0</v>
      </c>
    </row>
    <row r="337" spans="1:17" x14ac:dyDescent="0.3">
      <c r="A337" s="115" t="s">
        <v>1746</v>
      </c>
      <c r="B337" s="116"/>
      <c r="C337" s="116"/>
      <c r="D337" s="117">
        <v>6000</v>
      </c>
      <c r="E337" s="117">
        <v>0</v>
      </c>
      <c r="F337" s="117">
        <v>0</v>
      </c>
      <c r="G337" s="118" t="s">
        <v>173</v>
      </c>
      <c r="H337" s="117"/>
      <c r="I337" s="117" t="b">
        <v>0</v>
      </c>
      <c r="J337" s="119" t="b">
        <v>0</v>
      </c>
      <c r="K337" s="119" t="b">
        <v>1</v>
      </c>
      <c r="L337" s="117" t="s">
        <v>1280</v>
      </c>
      <c r="M337" s="117"/>
      <c r="N337" s="117"/>
      <c r="O337" s="116" t="s">
        <v>1301</v>
      </c>
      <c r="P337" s="116" t="b">
        <v>0</v>
      </c>
      <c r="Q337" s="119" t="b">
        <v>0</v>
      </c>
    </row>
    <row r="338" spans="1:17" x14ac:dyDescent="0.3">
      <c r="A338" s="115" t="s">
        <v>1747</v>
      </c>
      <c r="B338" s="116"/>
      <c r="C338" s="116"/>
      <c r="D338" s="117">
        <v>6000</v>
      </c>
      <c r="E338" s="117">
        <v>0</v>
      </c>
      <c r="F338" s="117">
        <v>0</v>
      </c>
      <c r="G338" s="118" t="s">
        <v>173</v>
      </c>
      <c r="H338" s="117"/>
      <c r="I338" s="117" t="b">
        <v>0</v>
      </c>
      <c r="J338" s="119" t="b">
        <v>0</v>
      </c>
      <c r="K338" s="119" t="b">
        <v>1</v>
      </c>
      <c r="L338" s="117" t="s">
        <v>1741</v>
      </c>
      <c r="M338" s="117"/>
      <c r="N338" s="117"/>
      <c r="O338" s="116" t="s">
        <v>1301</v>
      </c>
      <c r="P338" s="116" t="b">
        <v>0</v>
      </c>
      <c r="Q338" s="119" t="b">
        <v>0</v>
      </c>
    </row>
    <row r="339" spans="1:17" x14ac:dyDescent="0.3">
      <c r="A339" s="115" t="s">
        <v>1748</v>
      </c>
      <c r="B339" s="116"/>
      <c r="C339" s="116"/>
      <c r="D339" s="117">
        <v>0</v>
      </c>
      <c r="E339" s="117">
        <v>2</v>
      </c>
      <c r="F339" s="117">
        <v>1</v>
      </c>
      <c r="G339" s="118" t="s">
        <v>173</v>
      </c>
      <c r="H339" s="117"/>
      <c r="I339" s="117" t="b">
        <v>0</v>
      </c>
      <c r="J339" s="119" t="b">
        <v>0</v>
      </c>
      <c r="K339" s="119" t="b">
        <v>0</v>
      </c>
      <c r="L339" s="117"/>
      <c r="M339" s="117"/>
      <c r="N339" s="117"/>
      <c r="O339" s="116" t="s">
        <v>1301</v>
      </c>
      <c r="P339" s="116" t="b">
        <v>0</v>
      </c>
      <c r="Q339" s="119" t="b">
        <v>0</v>
      </c>
    </row>
    <row r="340" spans="1:17" x14ac:dyDescent="0.3">
      <c r="A340" s="115" t="s">
        <v>1749</v>
      </c>
      <c r="B340" s="116"/>
      <c r="C340" s="116"/>
      <c r="D340" s="117">
        <v>0</v>
      </c>
      <c r="E340" s="117">
        <v>0</v>
      </c>
      <c r="F340" s="117">
        <v>0</v>
      </c>
      <c r="G340" s="118" t="str">
        <f t="shared" ref="G340" si="22">A340&amp;".buffeffect"</f>
        <v>BossChallenge.goliath_4.skill03.dmgratedown.buff.buffeffect</v>
      </c>
      <c r="H340" s="117"/>
      <c r="I340" s="117" t="b">
        <v>0</v>
      </c>
      <c r="J340" s="119" t="b">
        <v>0</v>
      </c>
      <c r="K340" s="119" t="b">
        <v>0</v>
      </c>
      <c r="L340" s="117"/>
      <c r="M340" s="117"/>
      <c r="N340" s="117"/>
      <c r="O340" s="116" t="s">
        <v>1301</v>
      </c>
      <c r="P340" s="116" t="b">
        <v>0</v>
      </c>
      <c r="Q340" s="119" t="b">
        <v>0</v>
      </c>
    </row>
    <row r="341" spans="1:17" x14ac:dyDescent="0.3">
      <c r="A341" s="115" t="s">
        <v>1750</v>
      </c>
      <c r="B341" s="116"/>
      <c r="C341" s="116"/>
      <c r="D341" s="117">
        <v>5000</v>
      </c>
      <c r="E341" s="117">
        <v>0</v>
      </c>
      <c r="F341" s="117">
        <v>0</v>
      </c>
      <c r="G341" s="118" t="s">
        <v>378</v>
      </c>
      <c r="H341" s="117"/>
      <c r="I341" s="117" t="b">
        <v>1</v>
      </c>
      <c r="J341" s="119" t="b">
        <v>0</v>
      </c>
      <c r="K341" s="119" t="b">
        <v>0</v>
      </c>
      <c r="L341" s="117" t="s">
        <v>67</v>
      </c>
      <c r="M341" s="117" t="s">
        <v>68</v>
      </c>
      <c r="N341" s="117" t="s">
        <v>69</v>
      </c>
      <c r="O341" s="116" t="s">
        <v>1303</v>
      </c>
      <c r="P341" s="116" t="b">
        <v>0</v>
      </c>
      <c r="Q341" s="119" t="b">
        <v>0</v>
      </c>
    </row>
    <row r="342" spans="1:17" x14ac:dyDescent="0.3">
      <c r="A342" s="115" t="s">
        <v>1751</v>
      </c>
      <c r="B342" s="116"/>
      <c r="C342" s="116"/>
      <c r="D342" s="117">
        <v>0</v>
      </c>
      <c r="E342" s="117">
        <v>0</v>
      </c>
      <c r="F342" s="117">
        <v>0</v>
      </c>
      <c r="G342" s="118" t="str">
        <f>A342&amp;".buffeffect"</f>
        <v>BossChallenge.goliath_4.passive01.buff.buffeffect</v>
      </c>
      <c r="H342" s="117"/>
      <c r="I342" s="117" t="b">
        <v>0</v>
      </c>
      <c r="J342" s="119" t="b">
        <v>0</v>
      </c>
      <c r="K342" s="119" t="b">
        <v>1</v>
      </c>
      <c r="L342" s="117"/>
      <c r="M342" s="117"/>
      <c r="N342" s="117"/>
      <c r="O342" s="116" t="s">
        <v>1301</v>
      </c>
      <c r="P342" s="116" t="b">
        <v>0</v>
      </c>
      <c r="Q342" s="119" t="b">
        <v>0</v>
      </c>
    </row>
    <row r="343" spans="1:17" x14ac:dyDescent="0.3">
      <c r="A343" s="115" t="s">
        <v>1752</v>
      </c>
      <c r="B343" s="116"/>
      <c r="C343" s="116"/>
      <c r="D343" s="117">
        <v>4000</v>
      </c>
      <c r="E343" s="117">
        <v>0</v>
      </c>
      <c r="F343" s="117">
        <v>0</v>
      </c>
      <c r="G343" s="118" t="s">
        <v>173</v>
      </c>
      <c r="H343" s="117"/>
      <c r="I343" s="117" t="b">
        <v>0</v>
      </c>
      <c r="J343" s="119" t="b">
        <v>0</v>
      </c>
      <c r="K343" s="119" t="b">
        <v>1</v>
      </c>
      <c r="L343" s="117" t="s">
        <v>346</v>
      </c>
      <c r="M343" s="117"/>
      <c r="N343" s="117"/>
      <c r="O343" s="116" t="s">
        <v>1301</v>
      </c>
      <c r="P343" s="116" t="b">
        <v>0</v>
      </c>
      <c r="Q343" s="119" t="b">
        <v>0</v>
      </c>
    </row>
    <row r="344" spans="1:17" x14ac:dyDescent="0.3">
      <c r="A344" s="115" t="s">
        <v>1753</v>
      </c>
      <c r="B344" s="116"/>
      <c r="C344" s="116"/>
      <c r="D344" s="117">
        <v>0</v>
      </c>
      <c r="E344" s="117">
        <v>10</v>
      </c>
      <c r="F344" s="117">
        <v>1</v>
      </c>
      <c r="G344" s="118" t="str">
        <f t="shared" ref="G344:G354" si="23">A344&amp;".buffeffect"</f>
        <v>BossChallenge.goliath_4.passive01.stack.buff.buffeffect</v>
      </c>
      <c r="H344" s="117"/>
      <c r="I344" s="117" t="b">
        <v>1</v>
      </c>
      <c r="J344" s="119" t="b">
        <v>0</v>
      </c>
      <c r="K344" s="119" t="b">
        <v>1</v>
      </c>
      <c r="L344" s="117"/>
      <c r="M344" s="117"/>
      <c r="N344" s="117"/>
      <c r="O344" s="116" t="s">
        <v>1301</v>
      </c>
      <c r="P344" s="116" t="b">
        <v>0</v>
      </c>
      <c r="Q344" s="119" t="b">
        <v>0</v>
      </c>
    </row>
    <row r="345" spans="1:17" x14ac:dyDescent="0.3">
      <c r="A345" s="115" t="s">
        <v>1754</v>
      </c>
      <c r="B345" s="116"/>
      <c r="C345" s="116"/>
      <c r="D345" s="117">
        <v>0</v>
      </c>
      <c r="E345" s="117">
        <v>0</v>
      </c>
      <c r="F345" s="117">
        <v>0</v>
      </c>
      <c r="G345" s="118" t="str">
        <f t="shared" si="23"/>
        <v>BossChallenge.goliath_4.passive01.changeskill.buff.buffeffect</v>
      </c>
      <c r="H345" s="117"/>
      <c r="I345" s="117" t="b">
        <v>1</v>
      </c>
      <c r="J345" s="119" t="b">
        <v>0</v>
      </c>
      <c r="K345" s="119" t="b">
        <v>1</v>
      </c>
      <c r="L345" s="117"/>
      <c r="M345" s="117"/>
      <c r="N345" s="117"/>
      <c r="O345" s="116" t="s">
        <v>1301</v>
      </c>
      <c r="P345" s="116" t="b">
        <v>0</v>
      </c>
      <c r="Q345" s="119" t="b">
        <v>0</v>
      </c>
    </row>
    <row r="346" spans="1:17" x14ac:dyDescent="0.3">
      <c r="A346" s="115" t="s">
        <v>1755</v>
      </c>
      <c r="B346" s="116"/>
      <c r="C346" s="116"/>
      <c r="D346" s="117">
        <v>0</v>
      </c>
      <c r="E346" s="117">
        <v>10</v>
      </c>
      <c r="F346" s="117">
        <v>1</v>
      </c>
      <c r="G346" s="118" t="str">
        <f t="shared" si="23"/>
        <v>BossChallenge.goliath_4.passive01.atkup.buff.buffeffect</v>
      </c>
      <c r="H346" s="117"/>
      <c r="I346" s="117" t="b">
        <v>1</v>
      </c>
      <c r="J346" s="119" t="b">
        <v>0</v>
      </c>
      <c r="K346" s="119" t="b">
        <v>1</v>
      </c>
      <c r="L346" s="117" t="s">
        <v>63</v>
      </c>
      <c r="M346" s="117" t="s">
        <v>1044</v>
      </c>
      <c r="N346" s="117" t="s">
        <v>81</v>
      </c>
      <c r="O346" s="116" t="s">
        <v>1296</v>
      </c>
      <c r="P346" s="116" t="b">
        <v>0</v>
      </c>
      <c r="Q346" s="119" t="b">
        <v>0</v>
      </c>
    </row>
    <row r="347" spans="1:17" x14ac:dyDescent="0.3">
      <c r="A347" s="115" t="s">
        <v>1756</v>
      </c>
      <c r="B347" s="116"/>
      <c r="C347" s="116"/>
      <c r="D347" s="117">
        <v>0</v>
      </c>
      <c r="E347" s="117">
        <v>0</v>
      </c>
      <c r="F347" s="117">
        <v>0</v>
      </c>
      <c r="G347" s="118" t="str">
        <f t="shared" si="23"/>
        <v>BossChallenge.goliath_4.passive02.buff.buffeffect</v>
      </c>
      <c r="H347" s="117"/>
      <c r="I347" s="117" t="b">
        <v>0</v>
      </c>
      <c r="J347" s="119" t="b">
        <v>0</v>
      </c>
      <c r="K347" s="119" t="b">
        <v>1</v>
      </c>
      <c r="L347" s="117"/>
      <c r="M347" s="117"/>
      <c r="N347" s="117"/>
      <c r="O347" s="116" t="s">
        <v>1301</v>
      </c>
      <c r="P347" s="116" t="b">
        <v>0</v>
      </c>
      <c r="Q347" s="119" t="b">
        <v>0</v>
      </c>
    </row>
    <row r="348" spans="1:17" x14ac:dyDescent="0.3">
      <c r="A348" s="115" t="s">
        <v>1757</v>
      </c>
      <c r="B348" s="116"/>
      <c r="C348" s="116"/>
      <c r="D348" s="117">
        <v>0</v>
      </c>
      <c r="E348" s="117">
        <v>200</v>
      </c>
      <c r="F348" s="117">
        <v>1</v>
      </c>
      <c r="G348" s="118" t="str">
        <f t="shared" si="23"/>
        <v>BossChallenge.goliath_4.passive02.defup.buff.buffeffect</v>
      </c>
      <c r="H348" s="117"/>
      <c r="I348" s="117" t="b">
        <v>1</v>
      </c>
      <c r="J348" s="119" t="b">
        <v>0</v>
      </c>
      <c r="K348" s="119" t="b">
        <v>1</v>
      </c>
      <c r="L348" s="117" t="s">
        <v>63</v>
      </c>
      <c r="M348" s="117" t="s">
        <v>56</v>
      </c>
      <c r="N348" s="117" t="s">
        <v>64</v>
      </c>
      <c r="O348" s="116" t="s">
        <v>1298</v>
      </c>
      <c r="P348" s="116" t="b">
        <v>0</v>
      </c>
      <c r="Q348" s="119" t="b">
        <v>0</v>
      </c>
    </row>
    <row r="349" spans="1:17" x14ac:dyDescent="0.3">
      <c r="A349" s="125" t="s">
        <v>1736</v>
      </c>
      <c r="B349" s="126"/>
      <c r="C349" s="126"/>
      <c r="D349" s="127">
        <v>20000</v>
      </c>
      <c r="E349" s="127">
        <v>10</v>
      </c>
      <c r="F349" s="127">
        <v>1</v>
      </c>
      <c r="G349" s="128" t="str">
        <f t="shared" si="23"/>
        <v>BossChallenge.crawler_1.skill02.heal.buff.buffeffect</v>
      </c>
      <c r="H349" s="127"/>
      <c r="I349" s="127" t="b">
        <v>1</v>
      </c>
      <c r="J349" s="129" t="b">
        <v>0</v>
      </c>
      <c r="K349" s="129" t="b">
        <v>1</v>
      </c>
      <c r="L349" s="127" t="s">
        <v>247</v>
      </c>
      <c r="M349" s="127" t="s">
        <v>248</v>
      </c>
      <c r="N349" s="127" t="s">
        <v>249</v>
      </c>
      <c r="O349" s="126"/>
      <c r="P349" s="126" t="b">
        <v>1</v>
      </c>
      <c r="Q349" s="129" t="b">
        <v>0</v>
      </c>
    </row>
    <row r="350" spans="1:17" x14ac:dyDescent="0.3">
      <c r="A350" s="125" t="s">
        <v>1737</v>
      </c>
      <c r="B350" s="126"/>
      <c r="C350" s="126"/>
      <c r="D350" s="127">
        <v>20000</v>
      </c>
      <c r="E350" s="127">
        <v>10</v>
      </c>
      <c r="F350" s="127">
        <v>1</v>
      </c>
      <c r="G350" s="128" t="str">
        <f t="shared" si="23"/>
        <v>BossChallenge.crawler_1.skill02.atkup.buff.buffeffect</v>
      </c>
      <c r="H350" s="127"/>
      <c r="I350" s="127" t="b">
        <v>1</v>
      </c>
      <c r="J350" s="129" t="b">
        <v>0</v>
      </c>
      <c r="K350" s="129" t="b">
        <v>1</v>
      </c>
      <c r="L350" s="127" t="s">
        <v>63</v>
      </c>
      <c r="M350" s="127" t="s">
        <v>80</v>
      </c>
      <c r="N350" s="127" t="s">
        <v>81</v>
      </c>
      <c r="O350" s="126"/>
      <c r="P350" s="126" t="b">
        <v>1</v>
      </c>
      <c r="Q350" s="129" t="b">
        <v>0</v>
      </c>
    </row>
    <row r="351" spans="1:17" x14ac:dyDescent="0.3">
      <c r="A351" s="125" t="s">
        <v>1738</v>
      </c>
      <c r="B351" s="126"/>
      <c r="C351" s="126"/>
      <c r="D351" s="127">
        <v>10000</v>
      </c>
      <c r="E351" s="127">
        <v>0</v>
      </c>
      <c r="F351" s="127">
        <v>0</v>
      </c>
      <c r="G351" s="128" t="str">
        <f t="shared" si="23"/>
        <v>BossChallenge.crawler_1.skill03.poison.buff.buffeffect</v>
      </c>
      <c r="H351" s="127"/>
      <c r="I351" s="127" t="b">
        <v>0</v>
      </c>
      <c r="J351" s="129" t="b">
        <v>0</v>
      </c>
      <c r="K351" s="129" t="b">
        <v>0</v>
      </c>
      <c r="L351" s="127" t="s">
        <v>351</v>
      </c>
      <c r="M351" s="127" t="s">
        <v>352</v>
      </c>
      <c r="N351" s="127" t="s">
        <v>353</v>
      </c>
      <c r="O351" s="126"/>
      <c r="P351" s="126" t="b">
        <v>1</v>
      </c>
      <c r="Q351" s="129" t="b">
        <v>0</v>
      </c>
    </row>
    <row r="352" spans="1:17" x14ac:dyDescent="0.3">
      <c r="A352" s="125" t="s">
        <v>1739</v>
      </c>
      <c r="B352" s="126"/>
      <c r="C352" s="126"/>
      <c r="D352" s="127">
        <v>0</v>
      </c>
      <c r="E352" s="127">
        <v>0</v>
      </c>
      <c r="F352" s="127">
        <v>0</v>
      </c>
      <c r="G352" s="128" t="str">
        <f t="shared" si="23"/>
        <v>BossChallenge.crawler_1.passive01.buff.buffeffect</v>
      </c>
      <c r="H352" s="127"/>
      <c r="I352" s="127" t="b">
        <v>1</v>
      </c>
      <c r="J352" s="129" t="b">
        <v>0</v>
      </c>
      <c r="K352" s="129" t="b">
        <v>1</v>
      </c>
      <c r="L352" s="127"/>
      <c r="M352" s="127"/>
      <c r="N352" s="127"/>
      <c r="O352" s="126"/>
      <c r="P352" s="126" t="b">
        <v>1</v>
      </c>
      <c r="Q352" s="129" t="b">
        <v>0</v>
      </c>
    </row>
    <row r="353" spans="1:17" x14ac:dyDescent="0.3">
      <c r="A353" s="109" t="s">
        <v>1774</v>
      </c>
      <c r="B353" s="42"/>
      <c r="C353" s="42"/>
      <c r="D353" s="110">
        <v>25000</v>
      </c>
      <c r="E353" s="110">
        <v>10</v>
      </c>
      <c r="F353" s="110">
        <v>1</v>
      </c>
      <c r="G353" s="111" t="str">
        <f t="shared" si="23"/>
        <v>BossChallenge.skull_crawler_1.skill02.heal.buff.buffeffect</v>
      </c>
      <c r="H353" s="110"/>
      <c r="I353" s="110" t="b">
        <v>1</v>
      </c>
      <c r="J353" s="99" t="b">
        <v>0</v>
      </c>
      <c r="K353" s="99" t="b">
        <v>1</v>
      </c>
      <c r="L353" s="110" t="s">
        <v>247</v>
      </c>
      <c r="M353" s="110" t="s">
        <v>248</v>
      </c>
      <c r="N353" s="110" t="s">
        <v>249</v>
      </c>
      <c r="O353" s="42" t="s">
        <v>1308</v>
      </c>
      <c r="P353" s="42" t="b">
        <v>0</v>
      </c>
      <c r="Q353" s="99" t="b">
        <v>0</v>
      </c>
    </row>
    <row r="354" spans="1:17" x14ac:dyDescent="0.3">
      <c r="A354" s="109" t="s">
        <v>1775</v>
      </c>
      <c r="B354" s="42"/>
      <c r="C354" s="42"/>
      <c r="D354" s="110">
        <v>25000</v>
      </c>
      <c r="E354" s="110">
        <v>10</v>
      </c>
      <c r="F354" s="110">
        <v>1</v>
      </c>
      <c r="G354" s="111" t="str">
        <f t="shared" si="23"/>
        <v>BossChallenge.skull_crawler_1.skill02.atkup.buff.buffeffect</v>
      </c>
      <c r="H354" s="110"/>
      <c r="I354" s="110" t="b">
        <v>1</v>
      </c>
      <c r="J354" s="99" t="b">
        <v>0</v>
      </c>
      <c r="K354" s="99" t="b">
        <v>1</v>
      </c>
      <c r="L354" s="110" t="s">
        <v>63</v>
      </c>
      <c r="M354" s="110" t="s">
        <v>80</v>
      </c>
      <c r="N354" s="110" t="s">
        <v>81</v>
      </c>
      <c r="O354" s="42" t="s">
        <v>1296</v>
      </c>
      <c r="P354" s="42" t="b">
        <v>0</v>
      </c>
      <c r="Q354" s="99" t="b">
        <v>0</v>
      </c>
    </row>
    <row r="355" spans="1:17" x14ac:dyDescent="0.3">
      <c r="A355" s="109" t="s">
        <v>1776</v>
      </c>
      <c r="B355" s="42"/>
      <c r="C355" s="42"/>
      <c r="D355" s="110">
        <v>10000</v>
      </c>
      <c r="E355" s="110">
        <v>0</v>
      </c>
      <c r="F355" s="110">
        <v>0</v>
      </c>
      <c r="G355" s="111" t="str">
        <f>A355&amp;".buffeffect"</f>
        <v>BossChallenge.skull_crawler_1.skill03.poison.buff.buffeffect</v>
      </c>
      <c r="H355" s="110"/>
      <c r="I355" s="110" t="b">
        <v>0</v>
      </c>
      <c r="J355" s="99" t="b">
        <v>0</v>
      </c>
      <c r="K355" s="99" t="b">
        <v>0</v>
      </c>
      <c r="L355" s="110" t="s">
        <v>351</v>
      </c>
      <c r="M355" s="110" t="s">
        <v>352</v>
      </c>
      <c r="N355" s="110" t="s">
        <v>353</v>
      </c>
      <c r="O355" s="42" t="s">
        <v>1319</v>
      </c>
      <c r="P355" s="42" t="b">
        <v>0</v>
      </c>
      <c r="Q355" s="99" t="b">
        <v>0</v>
      </c>
    </row>
    <row r="356" spans="1:17" ht="27.75" x14ac:dyDescent="0.3">
      <c r="A356" s="109" t="s">
        <v>1777</v>
      </c>
      <c r="B356" s="42"/>
      <c r="C356" s="42"/>
      <c r="D356" s="110">
        <v>0</v>
      </c>
      <c r="E356" s="110">
        <v>0</v>
      </c>
      <c r="F356" s="110">
        <v>0</v>
      </c>
      <c r="G356" s="111" t="s">
        <v>1778</v>
      </c>
      <c r="H356" s="110"/>
      <c r="I356" s="110" t="b">
        <v>1</v>
      </c>
      <c r="J356" s="99" t="b">
        <v>0</v>
      </c>
      <c r="K356" s="99" t="b">
        <v>1</v>
      </c>
      <c r="L356" s="110"/>
      <c r="M356" s="110" t="s">
        <v>241</v>
      </c>
      <c r="N356" s="110" t="s">
        <v>3588</v>
      </c>
      <c r="O356" s="42" t="s">
        <v>3589</v>
      </c>
      <c r="P356" s="42" t="b">
        <v>0</v>
      </c>
      <c r="Q356" s="99" t="b">
        <v>0</v>
      </c>
    </row>
    <row r="357" spans="1:17" x14ac:dyDescent="0.3">
      <c r="A357" s="109" t="s">
        <v>1779</v>
      </c>
      <c r="B357" s="42"/>
      <c r="C357" s="42"/>
      <c r="D357" s="110">
        <v>0</v>
      </c>
      <c r="E357" s="110">
        <v>0</v>
      </c>
      <c r="F357" s="110">
        <v>0</v>
      </c>
      <c r="G357" s="111" t="str">
        <f t="shared" ref="G357" si="24">A357&amp;".buffeffect"</f>
        <v>BossChallenge.skull_crawler_1.passive01.weakness.buff.buffeffect</v>
      </c>
      <c r="H357" s="110"/>
      <c r="I357" s="110" t="b">
        <v>1</v>
      </c>
      <c r="J357" s="99" t="b">
        <v>0</v>
      </c>
      <c r="K357" s="99" t="b">
        <v>1</v>
      </c>
      <c r="L357" s="110"/>
      <c r="M357" s="110"/>
      <c r="N357" s="110"/>
      <c r="O357" s="42"/>
      <c r="P357" s="42" t="b">
        <v>0</v>
      </c>
      <c r="Q357" s="99" t="b">
        <v>0</v>
      </c>
    </row>
    <row r="358" spans="1:17" x14ac:dyDescent="0.3">
      <c r="A358" s="161"/>
      <c r="B358" s="41"/>
      <c r="C358" s="41"/>
      <c r="D358" s="107"/>
      <c r="E358" s="107"/>
      <c r="F358" s="107"/>
      <c r="G358" s="178"/>
      <c r="H358" s="107"/>
      <c r="I358" s="98"/>
      <c r="J358" s="98"/>
      <c r="K358" s="98"/>
      <c r="L358" s="107"/>
      <c r="M358" s="107"/>
      <c r="N358" s="107"/>
      <c r="O358" s="114"/>
      <c r="P358" s="41"/>
      <c r="Q358" s="98"/>
    </row>
    <row r="359" spans="1:17" x14ac:dyDescent="0.3">
      <c r="A359" s="173" t="s">
        <v>1136</v>
      </c>
      <c r="B359" s="38"/>
      <c r="C359" s="38"/>
      <c r="D359" s="93">
        <v>0</v>
      </c>
      <c r="E359" s="93">
        <v>0</v>
      </c>
      <c r="F359" s="93">
        <v>0</v>
      </c>
      <c r="G359" s="190" t="str">
        <f t="shared" ref="G359" si="25">A359&amp;".buffeffect"</f>
        <v>event.boss.passive.01.buff.buffeffect</v>
      </c>
      <c r="H359" s="93"/>
      <c r="I359" s="97" t="b">
        <v>1</v>
      </c>
      <c r="J359" s="97" t="b">
        <v>0</v>
      </c>
      <c r="K359" s="97" t="b">
        <v>1</v>
      </c>
      <c r="L359" s="93"/>
      <c r="M359" s="93"/>
      <c r="N359" s="93"/>
      <c r="O359" s="38" t="s">
        <v>1301</v>
      </c>
      <c r="P359" s="38" t="b">
        <v>0</v>
      </c>
      <c r="Q359" s="38" t="b">
        <v>0</v>
      </c>
    </row>
    <row r="360" spans="1:17" x14ac:dyDescent="0.3">
      <c r="A360" s="173" t="s">
        <v>1137</v>
      </c>
      <c r="B360" s="38"/>
      <c r="C360" s="38"/>
      <c r="D360" s="93">
        <v>0</v>
      </c>
      <c r="E360" s="93">
        <v>0</v>
      </c>
      <c r="F360" s="93">
        <v>0</v>
      </c>
      <c r="G360" s="190" t="s">
        <v>1073</v>
      </c>
      <c r="H360" s="93"/>
      <c r="I360" s="97" t="b">
        <v>1</v>
      </c>
      <c r="J360" s="97" t="b">
        <v>0</v>
      </c>
      <c r="K360" s="97" t="b">
        <v>1</v>
      </c>
      <c r="L360" s="93" t="s">
        <v>1072</v>
      </c>
      <c r="M360" s="93"/>
      <c r="N360" s="93"/>
      <c r="O360" s="38" t="s">
        <v>1301</v>
      </c>
      <c r="P360" s="38" t="b">
        <v>0</v>
      </c>
      <c r="Q360" s="38" t="b">
        <v>0</v>
      </c>
    </row>
    <row r="361" spans="1:17" ht="27.75" x14ac:dyDescent="0.3">
      <c r="A361" s="164" t="s">
        <v>2157</v>
      </c>
      <c r="B361" s="10"/>
      <c r="C361" s="10"/>
      <c r="D361" s="87">
        <v>0</v>
      </c>
      <c r="E361" s="87">
        <v>0</v>
      </c>
      <c r="F361" s="87">
        <v>0</v>
      </c>
      <c r="G361" s="181" t="s">
        <v>2161</v>
      </c>
      <c r="H361" s="87"/>
      <c r="I361" s="96" t="b">
        <v>0</v>
      </c>
      <c r="J361" s="96" t="b">
        <v>0</v>
      </c>
      <c r="K361" s="96" t="b">
        <v>1</v>
      </c>
      <c r="L361" s="87"/>
      <c r="M361" s="87"/>
      <c r="N361" s="87"/>
      <c r="O361" s="10"/>
      <c r="P361" s="10" t="b">
        <v>0</v>
      </c>
      <c r="Q361" s="10" t="b">
        <v>0</v>
      </c>
    </row>
    <row r="362" spans="1:17" x14ac:dyDescent="0.3">
      <c r="A362" s="173" t="s">
        <v>1496</v>
      </c>
      <c r="B362" s="38"/>
      <c r="C362" s="38"/>
      <c r="D362" s="93">
        <v>0</v>
      </c>
      <c r="E362" s="93">
        <v>0</v>
      </c>
      <c r="F362" s="93">
        <v>0</v>
      </c>
      <c r="G362" s="190" t="str">
        <f t="shared" ref="G362:G364" si="26">A362&amp;".buffeffect"</f>
        <v>EventStory.mechatoa_1.skill01.pre.shield.buff.buffeffect</v>
      </c>
      <c r="H362" s="93"/>
      <c r="I362" s="97" t="b">
        <v>0</v>
      </c>
      <c r="J362" s="97" t="b">
        <v>0</v>
      </c>
      <c r="K362" s="97" t="b">
        <v>1</v>
      </c>
      <c r="L362" s="93"/>
      <c r="M362" s="93"/>
      <c r="N362" s="93"/>
      <c r="O362" s="38"/>
      <c r="P362" s="38" t="b">
        <v>0</v>
      </c>
      <c r="Q362" s="38" t="b">
        <v>0</v>
      </c>
    </row>
    <row r="363" spans="1:17" x14ac:dyDescent="0.3">
      <c r="A363" s="173" t="s">
        <v>2187</v>
      </c>
      <c r="B363" s="38"/>
      <c r="C363" s="38"/>
      <c r="D363" s="93">
        <v>6000</v>
      </c>
      <c r="E363" s="93">
        <v>0</v>
      </c>
      <c r="F363" s="93">
        <v>0</v>
      </c>
      <c r="G363" s="190" t="str">
        <f t="shared" ref="G363" si="27">A363&amp;".buffeffect"</f>
        <v>EventStory.mechatoa_1.skill01.shield.buff.buffeffect</v>
      </c>
      <c r="H363" s="93"/>
      <c r="I363" s="97" t="b">
        <v>0</v>
      </c>
      <c r="J363" s="97" t="b">
        <v>0</v>
      </c>
      <c r="K363" s="97" t="b">
        <v>1</v>
      </c>
      <c r="L363" s="93" t="s">
        <v>60</v>
      </c>
      <c r="M363" s="93" t="s">
        <v>156</v>
      </c>
      <c r="N363" s="93" t="s">
        <v>157</v>
      </c>
      <c r="O363" s="38" t="s">
        <v>1297</v>
      </c>
      <c r="P363" s="38" t="b">
        <v>0</v>
      </c>
      <c r="Q363" s="38" t="b">
        <v>0</v>
      </c>
    </row>
    <row r="364" spans="1:17" x14ac:dyDescent="0.3">
      <c r="A364" s="173" t="s">
        <v>2182</v>
      </c>
      <c r="B364" s="38"/>
      <c r="C364" s="38"/>
      <c r="D364" s="93">
        <v>5900</v>
      </c>
      <c r="E364" s="93">
        <v>0</v>
      </c>
      <c r="F364" s="93">
        <v>0</v>
      </c>
      <c r="G364" s="190" t="str">
        <f t="shared" si="26"/>
        <v>EventStory.mechatoa_1.skill01.pre.groggy.buff.buffeffect</v>
      </c>
      <c r="H364" s="93"/>
      <c r="I364" s="97" t="b">
        <v>0</v>
      </c>
      <c r="J364" s="97" t="b">
        <v>0</v>
      </c>
      <c r="K364" s="97" t="b">
        <v>1</v>
      </c>
      <c r="L364" s="93"/>
      <c r="M364" s="93"/>
      <c r="N364" s="93"/>
      <c r="O364" s="38"/>
      <c r="P364" s="38" t="b">
        <v>0</v>
      </c>
      <c r="Q364" s="38" t="b">
        <v>0</v>
      </c>
    </row>
    <row r="365" spans="1:17" ht="27.75" x14ac:dyDescent="0.3">
      <c r="A365" s="173" t="s">
        <v>2175</v>
      </c>
      <c r="B365" s="38"/>
      <c r="C365" s="38"/>
      <c r="D365" s="93">
        <v>0</v>
      </c>
      <c r="E365" s="93">
        <v>0</v>
      </c>
      <c r="F365" s="93">
        <v>0</v>
      </c>
      <c r="G365" s="190" t="s">
        <v>2185</v>
      </c>
      <c r="H365" s="93"/>
      <c r="I365" s="97" t="b">
        <v>0</v>
      </c>
      <c r="J365" s="97" t="b">
        <v>0</v>
      </c>
      <c r="K365" s="97" t="b">
        <v>1</v>
      </c>
      <c r="L365" s="93"/>
      <c r="M365" s="93"/>
      <c r="N365" s="93"/>
      <c r="O365" s="38"/>
      <c r="P365" s="38" t="b">
        <v>0</v>
      </c>
      <c r="Q365" s="38" t="b">
        <v>0</v>
      </c>
    </row>
    <row r="366" spans="1:17" ht="41.25" x14ac:dyDescent="0.3">
      <c r="A366" s="173" t="s">
        <v>2178</v>
      </c>
      <c r="B366" s="38"/>
      <c r="C366" s="38"/>
      <c r="D366" s="93">
        <v>0</v>
      </c>
      <c r="E366" s="93">
        <v>0</v>
      </c>
      <c r="F366" s="93">
        <v>0</v>
      </c>
      <c r="G366" s="190" t="s">
        <v>2179</v>
      </c>
      <c r="H366" s="93"/>
      <c r="I366" s="97" t="b">
        <v>0</v>
      </c>
      <c r="J366" s="97" t="b">
        <v>0</v>
      </c>
      <c r="K366" s="97" t="b">
        <v>0</v>
      </c>
      <c r="L366" s="93"/>
      <c r="M366" s="93"/>
      <c r="N366" s="93"/>
      <c r="O366" s="38"/>
      <c r="P366" s="38" t="b">
        <v>0</v>
      </c>
      <c r="Q366" s="38" t="b">
        <v>0</v>
      </c>
    </row>
    <row r="367" spans="1:17" x14ac:dyDescent="0.3">
      <c r="A367" s="164" t="s">
        <v>2197</v>
      </c>
      <c r="B367" s="10"/>
      <c r="C367" s="10"/>
      <c r="D367" s="87">
        <v>0</v>
      </c>
      <c r="E367" s="87">
        <v>0</v>
      </c>
      <c r="F367" s="87">
        <v>0</v>
      </c>
      <c r="G367" s="181" t="str">
        <f t="shared" ref="G367" si="28">A367&amp;".buffeffect"</f>
        <v>EventStory.pandahappy_1.skill01.buff.buffeffect</v>
      </c>
      <c r="H367" s="87"/>
      <c r="I367" s="96" t="b">
        <v>0</v>
      </c>
      <c r="J367" s="96" t="b">
        <v>0</v>
      </c>
      <c r="K367" s="96" t="b">
        <v>1</v>
      </c>
      <c r="L367" s="87"/>
      <c r="M367" s="87"/>
      <c r="N367" s="87"/>
      <c r="O367" s="10"/>
      <c r="P367" s="10" t="b">
        <v>0</v>
      </c>
      <c r="Q367" s="10" t="b">
        <v>0</v>
      </c>
    </row>
    <row r="368" spans="1:17" x14ac:dyDescent="0.3">
      <c r="A368" s="164" t="s">
        <v>2198</v>
      </c>
      <c r="B368" s="10"/>
      <c r="C368" s="10"/>
      <c r="D368" s="87">
        <v>5000</v>
      </c>
      <c r="E368" s="87">
        <v>0</v>
      </c>
      <c r="F368" s="87">
        <v>0</v>
      </c>
      <c r="G368" s="181" t="s">
        <v>2200</v>
      </c>
      <c r="H368" s="87"/>
      <c r="I368" s="96" t="b">
        <v>0</v>
      </c>
      <c r="J368" s="96" t="b">
        <v>0</v>
      </c>
      <c r="K368" s="96" t="b">
        <v>0</v>
      </c>
      <c r="L368" s="87" t="s">
        <v>67</v>
      </c>
      <c r="M368" s="87" t="s">
        <v>68</v>
      </c>
      <c r="N368" s="87" t="s">
        <v>69</v>
      </c>
      <c r="O368" s="10" t="s">
        <v>1303</v>
      </c>
      <c r="P368" s="10" t="b">
        <v>0</v>
      </c>
      <c r="Q368" s="10" t="b">
        <v>0</v>
      </c>
    </row>
    <row r="369" spans="1:17" x14ac:dyDescent="0.3">
      <c r="A369" s="164" t="s">
        <v>2201</v>
      </c>
      <c r="B369" s="10"/>
      <c r="C369" s="10"/>
      <c r="D369" s="87">
        <v>0</v>
      </c>
      <c r="E369" s="87">
        <v>0</v>
      </c>
      <c r="F369" s="87">
        <v>0</v>
      </c>
      <c r="G369" s="181" t="str">
        <f t="shared" ref="G369:G375" si="29">A369&amp;".buffeffect"</f>
        <v>EventStory.pandahappy_1.passive01.buff.buffeffect</v>
      </c>
      <c r="H369" s="87"/>
      <c r="I369" s="96" t="b">
        <v>0</v>
      </c>
      <c r="J369" s="96" t="b">
        <v>0</v>
      </c>
      <c r="K369" s="96" t="b">
        <v>1</v>
      </c>
      <c r="L369" s="87"/>
      <c r="M369" s="87"/>
      <c r="N369" s="87"/>
      <c r="O369" s="10"/>
      <c r="P369" s="10" t="b">
        <v>0</v>
      </c>
      <c r="Q369" s="10" t="b">
        <v>0</v>
      </c>
    </row>
    <row r="370" spans="1:17" ht="27.75" x14ac:dyDescent="0.3">
      <c r="A370" s="173" t="s">
        <v>3493</v>
      </c>
      <c r="B370" s="38"/>
      <c r="C370" s="38"/>
      <c r="D370" s="93">
        <v>0</v>
      </c>
      <c r="E370" s="93">
        <v>0</v>
      </c>
      <c r="F370" s="93">
        <v>0</v>
      </c>
      <c r="G370" s="190" t="s">
        <v>3494</v>
      </c>
      <c r="H370" s="93"/>
      <c r="I370" s="97" t="b">
        <v>0</v>
      </c>
      <c r="J370" s="97" t="b">
        <v>0</v>
      </c>
      <c r="K370" s="97" t="b">
        <v>1</v>
      </c>
      <c r="L370" s="93"/>
      <c r="M370" s="93"/>
      <c r="N370" s="93"/>
      <c r="O370" s="38"/>
      <c r="P370" s="38" t="b">
        <v>0</v>
      </c>
      <c r="Q370" s="38" t="b">
        <v>0</v>
      </c>
    </row>
    <row r="371" spans="1:17" x14ac:dyDescent="0.3">
      <c r="A371" s="164" t="s">
        <v>3591</v>
      </c>
      <c r="B371" s="10"/>
      <c r="C371" s="10"/>
      <c r="D371" s="87">
        <v>0</v>
      </c>
      <c r="E371" s="87">
        <v>0</v>
      </c>
      <c r="F371" s="87">
        <v>0</v>
      </c>
      <c r="G371" s="181" t="str">
        <f t="shared" si="29"/>
        <v>EventStory.sibiurobot_1.skill01.pre.buff.buffeffect</v>
      </c>
      <c r="H371" s="87"/>
      <c r="I371" s="96" t="b">
        <v>0</v>
      </c>
      <c r="J371" s="96" t="b">
        <v>0</v>
      </c>
      <c r="K371" s="96" t="b">
        <v>1</v>
      </c>
      <c r="L371" s="87"/>
      <c r="M371" s="87"/>
      <c r="N371" s="87"/>
      <c r="O371" s="10"/>
      <c r="P371" s="10" t="b">
        <v>0</v>
      </c>
      <c r="Q371" s="10" t="b">
        <v>0</v>
      </c>
    </row>
    <row r="372" spans="1:17" ht="27.75" x14ac:dyDescent="0.3">
      <c r="A372" s="164" t="s">
        <v>3590</v>
      </c>
      <c r="B372" s="10"/>
      <c r="C372" s="10"/>
      <c r="D372" s="87">
        <v>0</v>
      </c>
      <c r="E372" s="87">
        <v>0</v>
      </c>
      <c r="F372" s="87">
        <v>0</v>
      </c>
      <c r="G372" s="181" t="s">
        <v>3598</v>
      </c>
      <c r="H372" s="87"/>
      <c r="I372" s="96" t="b">
        <v>0</v>
      </c>
      <c r="J372" s="96" t="b">
        <v>0</v>
      </c>
      <c r="K372" s="96" t="b">
        <v>1</v>
      </c>
      <c r="L372" s="87"/>
      <c r="M372" s="87"/>
      <c r="N372" s="87"/>
      <c r="O372" s="10"/>
      <c r="P372" s="10" t="b">
        <v>0</v>
      </c>
      <c r="Q372" s="10" t="b">
        <v>0</v>
      </c>
    </row>
    <row r="373" spans="1:17" x14ac:dyDescent="0.3">
      <c r="A373" s="173" t="s">
        <v>2190</v>
      </c>
      <c r="B373" s="38"/>
      <c r="C373" s="38"/>
      <c r="D373" s="93">
        <v>300</v>
      </c>
      <c r="E373" s="93">
        <v>0</v>
      </c>
      <c r="F373" s="93">
        <v>0</v>
      </c>
      <c r="G373" s="190" t="s">
        <v>1191</v>
      </c>
      <c r="H373" s="93"/>
      <c r="I373" s="97" t="b">
        <v>0</v>
      </c>
      <c r="J373" s="97" t="b">
        <v>0</v>
      </c>
      <c r="K373" s="97" t="b">
        <v>0</v>
      </c>
      <c r="L373" s="93"/>
      <c r="M373" s="93"/>
      <c r="N373" s="93" t="s">
        <v>72</v>
      </c>
      <c r="O373" s="38" t="s">
        <v>1300</v>
      </c>
      <c r="P373" s="38" t="b">
        <v>0</v>
      </c>
      <c r="Q373" s="38" t="b">
        <v>0</v>
      </c>
    </row>
    <row r="374" spans="1:17" x14ac:dyDescent="0.3">
      <c r="A374" s="173" t="s">
        <v>2191</v>
      </c>
      <c r="B374" s="38"/>
      <c r="C374" s="38"/>
      <c r="D374" s="93">
        <v>40000</v>
      </c>
      <c r="E374" s="93">
        <v>0</v>
      </c>
      <c r="F374" s="93">
        <v>0</v>
      </c>
      <c r="G374" s="190" t="str">
        <f t="shared" si="29"/>
        <v>EventStory.dronenest_1.skill01.atkup.buff.buffeffect</v>
      </c>
      <c r="H374" s="93"/>
      <c r="I374" s="97" t="b">
        <v>0</v>
      </c>
      <c r="J374" s="97" t="b">
        <v>0</v>
      </c>
      <c r="K374" s="97" t="b">
        <v>1</v>
      </c>
      <c r="L374" s="93" t="s">
        <v>63</v>
      </c>
      <c r="M374" s="93" t="s">
        <v>80</v>
      </c>
      <c r="N374" s="93" t="s">
        <v>81</v>
      </c>
      <c r="O374" s="38" t="s">
        <v>1296</v>
      </c>
      <c r="P374" s="38" t="b">
        <v>0</v>
      </c>
      <c r="Q374" s="38" t="b">
        <v>0</v>
      </c>
    </row>
    <row r="375" spans="1:17" x14ac:dyDescent="0.3">
      <c r="A375" s="173" t="s">
        <v>2192</v>
      </c>
      <c r="B375" s="38"/>
      <c r="C375" s="38"/>
      <c r="D375" s="93">
        <v>40000</v>
      </c>
      <c r="E375" s="93">
        <v>0</v>
      </c>
      <c r="F375" s="93">
        <v>0</v>
      </c>
      <c r="G375" s="190" t="str">
        <f t="shared" si="29"/>
        <v>EventStory.dronenest_1.skill01.defup.buff.buffeffect</v>
      </c>
      <c r="H375" s="93"/>
      <c r="I375" s="97" t="b">
        <v>0</v>
      </c>
      <c r="J375" s="97" t="b">
        <v>0</v>
      </c>
      <c r="K375" s="97" t="b">
        <v>1</v>
      </c>
      <c r="L375" s="93" t="s">
        <v>63</v>
      </c>
      <c r="M375" s="93" t="s">
        <v>56</v>
      </c>
      <c r="N375" s="93" t="s">
        <v>64</v>
      </c>
      <c r="O375" s="38" t="s">
        <v>1298</v>
      </c>
      <c r="P375" s="38" t="b">
        <v>0</v>
      </c>
      <c r="Q375" s="38" t="b">
        <v>0</v>
      </c>
    </row>
    <row r="376" spans="1:17" x14ac:dyDescent="0.3">
      <c r="A376" s="173"/>
      <c r="B376" s="38"/>
      <c r="C376" s="38"/>
      <c r="D376" s="93"/>
      <c r="E376" s="93"/>
      <c r="F376" s="93"/>
      <c r="G376" s="190"/>
      <c r="H376" s="93"/>
      <c r="I376" s="97"/>
      <c r="J376" s="97"/>
      <c r="K376" s="97"/>
      <c r="L376" s="93"/>
      <c r="M376" s="93"/>
      <c r="N376" s="93"/>
      <c r="O376" s="38"/>
      <c r="P376" s="38"/>
      <c r="Q376" s="38"/>
    </row>
    <row r="377" spans="1:17" ht="27.75" x14ac:dyDescent="0.3">
      <c r="A377" s="165" t="s">
        <v>2204</v>
      </c>
      <c r="B377" s="48"/>
      <c r="C377" s="48"/>
      <c r="D377" s="90">
        <v>0</v>
      </c>
      <c r="E377" s="90">
        <v>0</v>
      </c>
      <c r="F377" s="90">
        <v>0</v>
      </c>
      <c r="G377" s="182" t="s">
        <v>2206</v>
      </c>
      <c r="H377" s="90"/>
      <c r="I377" s="95" t="b">
        <v>1</v>
      </c>
      <c r="J377" s="95" t="b">
        <v>0</v>
      </c>
      <c r="K377" s="95" t="b">
        <v>1</v>
      </c>
      <c r="L377" s="90"/>
      <c r="M377" s="90"/>
      <c r="N377" s="90"/>
      <c r="O377" s="48" t="s">
        <v>1301</v>
      </c>
      <c r="P377" s="48" t="b">
        <v>0</v>
      </c>
      <c r="Q377" s="48" t="b">
        <v>0</v>
      </c>
    </row>
    <row r="378" spans="1:17" x14ac:dyDescent="0.3">
      <c r="A378" s="165"/>
      <c r="B378" s="48"/>
      <c r="C378" s="48"/>
      <c r="D378" s="90"/>
      <c r="E378" s="90"/>
      <c r="F378" s="90"/>
      <c r="G378" s="182"/>
      <c r="H378" s="90"/>
      <c r="I378" s="95"/>
      <c r="J378" s="95"/>
      <c r="K378" s="95"/>
      <c r="L378" s="90"/>
      <c r="M378" s="90"/>
      <c r="N378" s="90"/>
      <c r="O378" s="48"/>
      <c r="P378" s="48"/>
      <c r="Q378" s="48"/>
    </row>
    <row r="379" spans="1:17" ht="27.75" x14ac:dyDescent="0.3">
      <c r="A379" s="162" t="s">
        <v>2210</v>
      </c>
      <c r="B379" s="101"/>
      <c r="C379" s="101"/>
      <c r="D379" s="100">
        <v>0</v>
      </c>
      <c r="E379" s="100">
        <v>0</v>
      </c>
      <c r="F379" s="100">
        <v>0</v>
      </c>
      <c r="G379" s="179" t="str">
        <f>A379 &amp; ".Atk.Down.Buffeffect
" &amp;A379&amp;".Def.Down.Buffeffect"</f>
        <v>Monster.Debuff.01.01.Atk.Down.Buffeffect
Monster.Debuff.01.01.Def.Down.Buffeffect</v>
      </c>
      <c r="H379" s="100"/>
      <c r="I379" s="102" t="b">
        <v>1</v>
      </c>
      <c r="J379" s="102" t="b">
        <v>0</v>
      </c>
      <c r="K379" s="102" t="b">
        <v>1</v>
      </c>
      <c r="L379" s="100"/>
      <c r="M379" s="100"/>
      <c r="N379" s="100"/>
      <c r="O379" s="101"/>
      <c r="P379" s="101" t="b">
        <v>0</v>
      </c>
      <c r="Q379" s="101" t="b">
        <v>0</v>
      </c>
    </row>
    <row r="380" spans="1:17" ht="27.75" x14ac:dyDescent="0.3">
      <c r="A380" s="162" t="s">
        <v>2211</v>
      </c>
      <c r="B380" s="101"/>
      <c r="C380" s="101"/>
      <c r="D380" s="100">
        <v>0</v>
      </c>
      <c r="E380" s="100">
        <v>0</v>
      </c>
      <c r="F380" s="100">
        <v>0</v>
      </c>
      <c r="G380" s="179" t="str">
        <f t="shared" ref="G380:G389" si="30">A380 &amp; ".Atk.Down.Buffeffect
" &amp;A380&amp;".Def.Down.Buffeffect"</f>
        <v>Monster.Debuff.01.02.Atk.Down.Buffeffect
Monster.Debuff.01.02.Def.Down.Buffeffect</v>
      </c>
      <c r="H380" s="100"/>
      <c r="I380" s="102" t="b">
        <v>1</v>
      </c>
      <c r="J380" s="102" t="b">
        <v>0</v>
      </c>
      <c r="K380" s="102" t="b">
        <v>1</v>
      </c>
      <c r="L380" s="100"/>
      <c r="M380" s="100"/>
      <c r="N380" s="100"/>
      <c r="O380" s="101"/>
      <c r="P380" s="101" t="b">
        <v>0</v>
      </c>
      <c r="Q380" s="101" t="b">
        <v>0</v>
      </c>
    </row>
    <row r="381" spans="1:17" ht="27.75" x14ac:dyDescent="0.3">
      <c r="A381" s="162" t="s">
        <v>2212</v>
      </c>
      <c r="B381" s="101"/>
      <c r="C381" s="101"/>
      <c r="D381" s="100">
        <v>0</v>
      </c>
      <c r="E381" s="100">
        <v>0</v>
      </c>
      <c r="F381" s="100">
        <v>0</v>
      </c>
      <c r="G381" s="179" t="str">
        <f t="shared" si="30"/>
        <v>Monster.Debuff.01.03.Atk.Down.Buffeffect
Monster.Debuff.01.03.Def.Down.Buffeffect</v>
      </c>
      <c r="H381" s="100"/>
      <c r="I381" s="102" t="b">
        <v>1</v>
      </c>
      <c r="J381" s="102" t="b">
        <v>0</v>
      </c>
      <c r="K381" s="102" t="b">
        <v>1</v>
      </c>
      <c r="L381" s="100"/>
      <c r="M381" s="100"/>
      <c r="N381" s="100"/>
      <c r="O381" s="101"/>
      <c r="P381" s="101" t="b">
        <v>0</v>
      </c>
      <c r="Q381" s="101" t="b">
        <v>0</v>
      </c>
    </row>
    <row r="382" spans="1:17" ht="27.75" x14ac:dyDescent="0.3">
      <c r="A382" s="168" t="s">
        <v>2213</v>
      </c>
      <c r="B382" s="146"/>
      <c r="C382" s="146"/>
      <c r="D382" s="147">
        <v>0</v>
      </c>
      <c r="E382" s="147">
        <v>0</v>
      </c>
      <c r="F382" s="147">
        <v>0</v>
      </c>
      <c r="G382" s="185" t="str">
        <f t="shared" si="30"/>
        <v>Monster.Debuff.02.01.Atk.Down.Buffeffect
Monster.Debuff.02.01.Def.Down.Buffeffect</v>
      </c>
      <c r="H382" s="147"/>
      <c r="I382" s="148" t="b">
        <v>1</v>
      </c>
      <c r="J382" s="148" t="b">
        <v>0</v>
      </c>
      <c r="K382" s="148" t="b">
        <v>1</v>
      </c>
      <c r="L382" s="147"/>
      <c r="M382" s="147"/>
      <c r="N382" s="147"/>
      <c r="O382" s="146"/>
      <c r="P382" s="146" t="b">
        <v>0</v>
      </c>
      <c r="Q382" s="146" t="b">
        <v>0</v>
      </c>
    </row>
    <row r="383" spans="1:17" ht="27.75" x14ac:dyDescent="0.3">
      <c r="A383" s="168" t="s">
        <v>2214</v>
      </c>
      <c r="B383" s="146"/>
      <c r="C383" s="146"/>
      <c r="D383" s="147">
        <v>0</v>
      </c>
      <c r="E383" s="147">
        <v>0</v>
      </c>
      <c r="F383" s="147">
        <v>0</v>
      </c>
      <c r="G383" s="185" t="str">
        <f t="shared" si="30"/>
        <v>Monster.Debuff.02.02.Atk.Down.Buffeffect
Monster.Debuff.02.02.Def.Down.Buffeffect</v>
      </c>
      <c r="H383" s="147"/>
      <c r="I383" s="148" t="b">
        <v>1</v>
      </c>
      <c r="J383" s="148" t="b">
        <v>0</v>
      </c>
      <c r="K383" s="148" t="b">
        <v>1</v>
      </c>
      <c r="L383" s="147"/>
      <c r="M383" s="147"/>
      <c r="N383" s="147"/>
      <c r="O383" s="146"/>
      <c r="P383" s="146" t="b">
        <v>0</v>
      </c>
      <c r="Q383" s="146" t="b">
        <v>0</v>
      </c>
    </row>
    <row r="384" spans="1:17" ht="27.75" x14ac:dyDescent="0.3">
      <c r="A384" s="168" t="s">
        <v>2215</v>
      </c>
      <c r="B384" s="146"/>
      <c r="C384" s="146"/>
      <c r="D384" s="147">
        <v>0</v>
      </c>
      <c r="E384" s="147">
        <v>0</v>
      </c>
      <c r="F384" s="147">
        <v>0</v>
      </c>
      <c r="G384" s="185" t="str">
        <f t="shared" si="30"/>
        <v>Monster.Debuff.02.03.Atk.Down.Buffeffect
Monster.Debuff.02.03.Def.Down.Buffeffect</v>
      </c>
      <c r="H384" s="147"/>
      <c r="I384" s="148" t="b">
        <v>1</v>
      </c>
      <c r="J384" s="148" t="b">
        <v>0</v>
      </c>
      <c r="K384" s="148" t="b">
        <v>1</v>
      </c>
      <c r="L384" s="147"/>
      <c r="M384" s="147"/>
      <c r="N384" s="147"/>
      <c r="O384" s="146"/>
      <c r="P384" s="146" t="b">
        <v>0</v>
      </c>
      <c r="Q384" s="146" t="b">
        <v>0</v>
      </c>
    </row>
    <row r="385" spans="1:17" ht="27.75" x14ac:dyDescent="0.3">
      <c r="A385" s="162" t="s">
        <v>2216</v>
      </c>
      <c r="B385" s="101"/>
      <c r="C385" s="101"/>
      <c r="D385" s="100">
        <v>0</v>
      </c>
      <c r="E385" s="100">
        <v>0</v>
      </c>
      <c r="F385" s="100">
        <v>0</v>
      </c>
      <c r="G385" s="179" t="str">
        <f t="shared" si="30"/>
        <v>Monster.Debuff.03.01.Atk.Down.Buffeffect
Monster.Debuff.03.01.Def.Down.Buffeffect</v>
      </c>
      <c r="H385" s="100"/>
      <c r="I385" s="102" t="b">
        <v>1</v>
      </c>
      <c r="J385" s="102" t="b">
        <v>0</v>
      </c>
      <c r="K385" s="102" t="b">
        <v>1</v>
      </c>
      <c r="L385" s="100"/>
      <c r="M385" s="100"/>
      <c r="N385" s="100"/>
      <c r="O385" s="101"/>
      <c r="P385" s="101" t="b">
        <v>0</v>
      </c>
      <c r="Q385" s="101" t="b">
        <v>0</v>
      </c>
    </row>
    <row r="386" spans="1:17" ht="27.75" x14ac:dyDescent="0.3">
      <c r="A386" s="162" t="s">
        <v>2217</v>
      </c>
      <c r="B386" s="101"/>
      <c r="C386" s="101"/>
      <c r="D386" s="100">
        <v>0</v>
      </c>
      <c r="E386" s="100">
        <v>0</v>
      </c>
      <c r="F386" s="100">
        <v>0</v>
      </c>
      <c r="G386" s="179" t="str">
        <f t="shared" si="30"/>
        <v>Monster.Debuff.03.02.Atk.Down.Buffeffect
Monster.Debuff.03.02.Def.Down.Buffeffect</v>
      </c>
      <c r="H386" s="100"/>
      <c r="I386" s="102" t="b">
        <v>1</v>
      </c>
      <c r="J386" s="102" t="b">
        <v>0</v>
      </c>
      <c r="K386" s="102" t="b">
        <v>1</v>
      </c>
      <c r="L386" s="100"/>
      <c r="M386" s="100"/>
      <c r="N386" s="100"/>
      <c r="O386" s="101"/>
      <c r="P386" s="101" t="b">
        <v>0</v>
      </c>
      <c r="Q386" s="101" t="b">
        <v>0</v>
      </c>
    </row>
    <row r="387" spans="1:17" ht="27.75" x14ac:dyDescent="0.3">
      <c r="A387" s="162" t="s">
        <v>2218</v>
      </c>
      <c r="B387" s="101"/>
      <c r="C387" s="101"/>
      <c r="D387" s="100">
        <v>0</v>
      </c>
      <c r="E387" s="100">
        <v>0</v>
      </c>
      <c r="F387" s="100">
        <v>0</v>
      </c>
      <c r="G387" s="179" t="str">
        <f t="shared" si="30"/>
        <v>Monster.Debuff.03.03.Atk.Down.Buffeffect
Monster.Debuff.03.03.Def.Down.Buffeffect</v>
      </c>
      <c r="H387" s="100"/>
      <c r="I387" s="102" t="b">
        <v>1</v>
      </c>
      <c r="J387" s="102" t="b">
        <v>0</v>
      </c>
      <c r="K387" s="102" t="b">
        <v>1</v>
      </c>
      <c r="L387" s="100"/>
      <c r="M387" s="100"/>
      <c r="N387" s="100"/>
      <c r="O387" s="101"/>
      <c r="P387" s="101" t="b">
        <v>0</v>
      </c>
      <c r="Q387" s="101" t="b">
        <v>0</v>
      </c>
    </row>
    <row r="388" spans="1:17" ht="27.75" x14ac:dyDescent="0.3">
      <c r="A388" s="168" t="s">
        <v>2219</v>
      </c>
      <c r="B388" s="146"/>
      <c r="C388" s="146"/>
      <c r="D388" s="147">
        <v>0</v>
      </c>
      <c r="E388" s="147">
        <v>0</v>
      </c>
      <c r="F388" s="147">
        <v>0</v>
      </c>
      <c r="G388" s="185" t="str">
        <f t="shared" si="30"/>
        <v>Monster.Debuff.04.01.Atk.Down.Buffeffect
Monster.Debuff.04.01.Def.Down.Buffeffect</v>
      </c>
      <c r="H388" s="147"/>
      <c r="I388" s="148" t="b">
        <v>1</v>
      </c>
      <c r="J388" s="148" t="b">
        <v>0</v>
      </c>
      <c r="K388" s="148" t="b">
        <v>1</v>
      </c>
      <c r="L388" s="147"/>
      <c r="M388" s="147"/>
      <c r="N388" s="147"/>
      <c r="O388" s="146"/>
      <c r="P388" s="146" t="b">
        <v>0</v>
      </c>
      <c r="Q388" s="146" t="b">
        <v>0</v>
      </c>
    </row>
    <row r="389" spans="1:17" ht="27.75" x14ac:dyDescent="0.3">
      <c r="A389" s="168" t="s">
        <v>2220</v>
      </c>
      <c r="B389" s="146"/>
      <c r="C389" s="146"/>
      <c r="D389" s="147">
        <v>0</v>
      </c>
      <c r="E389" s="147">
        <v>0</v>
      </c>
      <c r="F389" s="147">
        <v>0</v>
      </c>
      <c r="G389" s="185" t="str">
        <f t="shared" si="30"/>
        <v>Monster.Debuff.04.02.Atk.Down.Buffeffect
Monster.Debuff.04.02.Def.Down.Buffeffect</v>
      </c>
      <c r="H389" s="147"/>
      <c r="I389" s="148" t="b">
        <v>1</v>
      </c>
      <c r="J389" s="148" t="b">
        <v>0</v>
      </c>
      <c r="K389" s="148" t="b">
        <v>1</v>
      </c>
      <c r="L389" s="147"/>
      <c r="M389" s="147"/>
      <c r="N389" s="147"/>
      <c r="O389" s="146"/>
      <c r="P389" s="146" t="b">
        <v>0</v>
      </c>
      <c r="Q389" s="146" t="b">
        <v>0</v>
      </c>
    </row>
    <row r="390" spans="1:17" ht="27.75" x14ac:dyDescent="0.3">
      <c r="A390" s="168" t="s">
        <v>2221</v>
      </c>
      <c r="B390" s="146"/>
      <c r="C390" s="146"/>
      <c r="D390" s="147">
        <v>0</v>
      </c>
      <c r="E390" s="147">
        <v>0</v>
      </c>
      <c r="F390" s="147">
        <v>0</v>
      </c>
      <c r="G390" s="185" t="str">
        <f t="shared" ref="G390" si="31">A390 &amp; ".Atk.Down.Buffeffect
" &amp;A390&amp;".Def.Down.Buffeffect"</f>
        <v>Monster.Debuff.04.03.Atk.Down.Buffeffect
Monster.Debuff.04.03.Def.Down.Buffeffect</v>
      </c>
      <c r="H390" s="147"/>
      <c r="I390" s="148" t="b">
        <v>1</v>
      </c>
      <c r="J390" s="148" t="b">
        <v>0</v>
      </c>
      <c r="K390" s="148" t="b">
        <v>1</v>
      </c>
      <c r="L390" s="147"/>
      <c r="M390" s="147"/>
      <c r="N390" s="147"/>
      <c r="O390" s="146"/>
      <c r="P390" s="146" t="b">
        <v>0</v>
      </c>
      <c r="Q390" s="146" t="b">
        <v>0</v>
      </c>
    </row>
    <row r="391" spans="1:17" x14ac:dyDescent="0.3">
      <c r="A391" s="165"/>
      <c r="B391" s="48"/>
      <c r="C391" s="48"/>
      <c r="D391" s="90"/>
      <c r="E391" s="90"/>
      <c r="F391" s="90"/>
      <c r="G391" s="182"/>
      <c r="H391" s="90"/>
      <c r="I391" s="95"/>
      <c r="J391" s="95"/>
      <c r="K391" s="95"/>
      <c r="L391" s="90"/>
      <c r="M391" s="90"/>
      <c r="N391" s="90"/>
      <c r="O391" s="48"/>
      <c r="P391" s="48"/>
      <c r="Q391" s="48"/>
    </row>
    <row r="392" spans="1:17" x14ac:dyDescent="0.3">
      <c r="A392" s="172" t="s">
        <v>774</v>
      </c>
      <c r="B392" s="7"/>
      <c r="C392" s="7"/>
      <c r="D392" s="64">
        <v>0</v>
      </c>
      <c r="E392" s="64">
        <v>0</v>
      </c>
      <c r="F392" s="64">
        <v>0</v>
      </c>
      <c r="G392" s="189" t="s">
        <v>511</v>
      </c>
      <c r="H392" s="64"/>
      <c r="I392" s="85" t="b">
        <v>1</v>
      </c>
      <c r="J392" s="14" t="b">
        <v>0</v>
      </c>
      <c r="K392" s="85" t="b">
        <v>1</v>
      </c>
      <c r="L392" s="64"/>
      <c r="M392" s="64"/>
      <c r="N392" s="64"/>
      <c r="O392" s="7" t="s">
        <v>1301</v>
      </c>
      <c r="P392" s="15" t="b">
        <v>0</v>
      </c>
      <c r="Q392" s="14" t="b">
        <v>0</v>
      </c>
    </row>
    <row r="393" spans="1:17" x14ac:dyDescent="0.3">
      <c r="A393" s="172" t="s">
        <v>775</v>
      </c>
      <c r="B393" s="7"/>
      <c r="C393" s="7"/>
      <c r="D393" s="64">
        <v>0</v>
      </c>
      <c r="E393" s="64">
        <v>0</v>
      </c>
      <c r="F393" s="64">
        <v>0</v>
      </c>
      <c r="G393" s="189" t="s">
        <v>512</v>
      </c>
      <c r="H393" s="64"/>
      <c r="I393" s="85" t="b">
        <v>1</v>
      </c>
      <c r="J393" s="14" t="b">
        <v>0</v>
      </c>
      <c r="K393" s="85" t="b">
        <v>1</v>
      </c>
      <c r="L393" s="64"/>
      <c r="M393" s="64"/>
      <c r="N393" s="64"/>
      <c r="O393" s="7" t="s">
        <v>1301</v>
      </c>
      <c r="P393" s="15" t="b">
        <v>0</v>
      </c>
      <c r="Q393" s="14" t="b">
        <v>0</v>
      </c>
    </row>
    <row r="394" spans="1:17" x14ac:dyDescent="0.3">
      <c r="A394" s="172" t="s">
        <v>776</v>
      </c>
      <c r="B394" s="7"/>
      <c r="C394" s="7"/>
      <c r="D394" s="64">
        <v>0</v>
      </c>
      <c r="E394" s="64">
        <v>0</v>
      </c>
      <c r="F394" s="64">
        <v>0</v>
      </c>
      <c r="G394" s="189" t="s">
        <v>513</v>
      </c>
      <c r="H394" s="64"/>
      <c r="I394" s="85" t="b">
        <v>1</v>
      </c>
      <c r="J394" s="14" t="b">
        <v>0</v>
      </c>
      <c r="K394" s="85" t="b">
        <v>1</v>
      </c>
      <c r="L394" s="64"/>
      <c r="M394" s="64"/>
      <c r="N394" s="64"/>
      <c r="O394" s="7" t="s">
        <v>1301</v>
      </c>
      <c r="P394" s="15" t="b">
        <v>0</v>
      </c>
      <c r="Q394" s="14" t="b">
        <v>0</v>
      </c>
    </row>
    <row r="395" spans="1:17" ht="27.75" customHeight="1" x14ac:dyDescent="0.3">
      <c r="A395" s="172" t="s">
        <v>777</v>
      </c>
      <c r="B395" s="7"/>
      <c r="C395" s="7"/>
      <c r="D395" s="64">
        <v>30000</v>
      </c>
      <c r="E395" s="64">
        <v>0</v>
      </c>
      <c r="F395" s="64">
        <v>0</v>
      </c>
      <c r="G395" s="189" t="s">
        <v>778</v>
      </c>
      <c r="H395" s="64"/>
      <c r="I395" s="85" t="b">
        <v>1</v>
      </c>
      <c r="J395" s="14" t="b">
        <v>0</v>
      </c>
      <c r="K395" s="85" t="b">
        <v>1</v>
      </c>
      <c r="L395" s="64" t="s">
        <v>779</v>
      </c>
      <c r="M395" s="64" t="s">
        <v>561</v>
      </c>
      <c r="N395" s="64" t="s">
        <v>780</v>
      </c>
      <c r="O395" s="7" t="s">
        <v>1359</v>
      </c>
      <c r="P395" s="15" t="b">
        <v>0</v>
      </c>
      <c r="Q395" s="15" t="b">
        <v>1</v>
      </c>
    </row>
    <row r="396" spans="1:17" ht="27.75" customHeight="1" x14ac:dyDescent="0.3">
      <c r="A396" s="172" t="s">
        <v>781</v>
      </c>
      <c r="B396" s="7"/>
      <c r="C396" s="7"/>
      <c r="D396" s="64">
        <v>30000</v>
      </c>
      <c r="E396" s="64">
        <v>0</v>
      </c>
      <c r="F396" s="64">
        <v>0</v>
      </c>
      <c r="G396" s="189" t="s">
        <v>782</v>
      </c>
      <c r="H396" s="64"/>
      <c r="I396" s="85" t="b">
        <v>1</v>
      </c>
      <c r="J396" s="14" t="b">
        <v>0</v>
      </c>
      <c r="K396" s="85" t="b">
        <v>1</v>
      </c>
      <c r="L396" s="64" t="s">
        <v>783</v>
      </c>
      <c r="M396" s="64" t="s">
        <v>561</v>
      </c>
      <c r="N396" s="64" t="s">
        <v>780</v>
      </c>
      <c r="O396" s="7" t="s">
        <v>1359</v>
      </c>
      <c r="P396" s="15" t="b">
        <v>0</v>
      </c>
      <c r="Q396" s="15" t="b">
        <v>1</v>
      </c>
    </row>
    <row r="397" spans="1:17" ht="41.25" customHeight="1" x14ac:dyDescent="0.3">
      <c r="A397" s="172" t="s">
        <v>784</v>
      </c>
      <c r="B397" s="7"/>
      <c r="C397" s="7"/>
      <c r="D397" s="64">
        <v>30000</v>
      </c>
      <c r="E397" s="64">
        <v>0</v>
      </c>
      <c r="F397" s="64">
        <v>0</v>
      </c>
      <c r="G397" s="189" t="s">
        <v>785</v>
      </c>
      <c r="H397" s="64"/>
      <c r="I397" s="85" t="b">
        <v>1</v>
      </c>
      <c r="J397" s="14" t="b">
        <v>0</v>
      </c>
      <c r="K397" s="85" t="b">
        <v>1</v>
      </c>
      <c r="L397" s="64" t="s">
        <v>298</v>
      </c>
      <c r="M397" s="64" t="s">
        <v>561</v>
      </c>
      <c r="N397" s="64" t="s">
        <v>780</v>
      </c>
      <c r="O397" s="7" t="s">
        <v>1359</v>
      </c>
      <c r="P397" s="15" t="b">
        <v>0</v>
      </c>
      <c r="Q397" s="15" t="b">
        <v>1</v>
      </c>
    </row>
    <row r="398" spans="1:17" x14ac:dyDescent="0.3">
      <c r="A398" s="172" t="s">
        <v>786</v>
      </c>
      <c r="B398" s="7"/>
      <c r="C398" s="7"/>
      <c r="D398" s="64">
        <v>0</v>
      </c>
      <c r="E398" s="64">
        <v>0</v>
      </c>
      <c r="F398" s="64">
        <v>0</v>
      </c>
      <c r="G398" s="189" t="s">
        <v>787</v>
      </c>
      <c r="H398" s="64"/>
      <c r="I398" s="85" t="b">
        <v>1</v>
      </c>
      <c r="J398" s="14" t="b">
        <v>0</v>
      </c>
      <c r="K398" s="85" t="b">
        <v>1</v>
      </c>
      <c r="L398" s="64"/>
      <c r="M398" s="64"/>
      <c r="N398" s="64"/>
      <c r="O398" s="7" t="s">
        <v>1301</v>
      </c>
      <c r="P398" s="15" t="b">
        <v>0</v>
      </c>
      <c r="Q398" s="15" t="b">
        <v>0</v>
      </c>
    </row>
    <row r="399" spans="1:17" x14ac:dyDescent="0.3">
      <c r="A399" s="172" t="s">
        <v>1250</v>
      </c>
      <c r="B399" s="7"/>
      <c r="C399" s="7"/>
      <c r="D399" s="64">
        <v>0</v>
      </c>
      <c r="E399" s="64">
        <v>0</v>
      </c>
      <c r="F399" s="64">
        <v>0</v>
      </c>
      <c r="G399" s="189" t="s">
        <v>1252</v>
      </c>
      <c r="H399" s="64"/>
      <c r="I399" s="85" t="b">
        <v>1</v>
      </c>
      <c r="J399" s="14" t="b">
        <v>0</v>
      </c>
      <c r="K399" s="85" t="b">
        <v>1</v>
      </c>
      <c r="L399" s="64"/>
      <c r="M399" s="64"/>
      <c r="N399" s="64"/>
      <c r="O399" s="7" t="s">
        <v>1301</v>
      </c>
      <c r="P399" s="15" t="b">
        <v>0</v>
      </c>
      <c r="Q399" s="15" t="b">
        <v>0</v>
      </c>
    </row>
    <row r="400" spans="1:17" x14ac:dyDescent="0.3">
      <c r="A400" s="172" t="s">
        <v>788</v>
      </c>
      <c r="B400" s="7"/>
      <c r="C400" s="7"/>
      <c r="D400" s="64">
        <v>2300</v>
      </c>
      <c r="E400" s="64">
        <v>0</v>
      </c>
      <c r="F400" s="64">
        <v>0</v>
      </c>
      <c r="G400" s="189" t="s">
        <v>789</v>
      </c>
      <c r="H400" s="64"/>
      <c r="I400" s="85" t="b">
        <v>0</v>
      </c>
      <c r="J400" s="14" t="b">
        <v>0</v>
      </c>
      <c r="K400" s="85" t="b">
        <v>0</v>
      </c>
      <c r="L400" s="64" t="s">
        <v>583</v>
      </c>
      <c r="M400" s="64" t="s">
        <v>584</v>
      </c>
      <c r="N400" s="64" t="s">
        <v>589</v>
      </c>
      <c r="O400" s="7" t="s">
        <v>1317</v>
      </c>
      <c r="P400" s="15" t="b">
        <v>0</v>
      </c>
      <c r="Q400" s="15" t="b">
        <v>0</v>
      </c>
    </row>
    <row r="401" spans="1:17" x14ac:dyDescent="0.3">
      <c r="A401" s="173"/>
      <c r="B401" s="38"/>
      <c r="C401" s="38"/>
      <c r="D401" s="93"/>
      <c r="E401" s="93"/>
      <c r="F401" s="93"/>
      <c r="G401" s="190"/>
      <c r="H401" s="93"/>
      <c r="I401" s="97"/>
      <c r="J401" s="97"/>
      <c r="K401" s="97"/>
      <c r="L401" s="93"/>
      <c r="M401" s="93"/>
      <c r="N401" s="93"/>
      <c r="O401" s="38"/>
      <c r="P401" s="38"/>
      <c r="Q401" s="38"/>
    </row>
    <row r="402" spans="1:17" x14ac:dyDescent="0.3">
      <c r="A402" s="172" t="s">
        <v>4148</v>
      </c>
      <c r="B402" s="7"/>
      <c r="C402" s="7"/>
      <c r="D402" s="64">
        <v>0</v>
      </c>
      <c r="E402" s="64">
        <v>0</v>
      </c>
      <c r="F402" s="64">
        <v>0</v>
      </c>
      <c r="G402" s="271" t="str">
        <f>A402&amp;".Buffeffect"</f>
        <v>symbolraid.boss.attack.up.buff.01.Buffeffect</v>
      </c>
      <c r="H402" s="64"/>
      <c r="I402" s="85" t="b">
        <v>1</v>
      </c>
      <c r="J402" s="14" t="b">
        <v>0</v>
      </c>
      <c r="K402" s="85" t="b">
        <v>0</v>
      </c>
      <c r="L402" s="64"/>
      <c r="M402" s="64" t="s">
        <v>4149</v>
      </c>
      <c r="N402" s="64" t="s">
        <v>4150</v>
      </c>
      <c r="O402" s="7" t="s">
        <v>4151</v>
      </c>
      <c r="P402" s="15" t="b">
        <v>0</v>
      </c>
      <c r="Q402" s="15" t="b">
        <v>0</v>
      </c>
    </row>
    <row r="403" spans="1:17" x14ac:dyDescent="0.3">
      <c r="A403" s="172" t="s">
        <v>4152</v>
      </c>
      <c r="B403" s="7"/>
      <c r="C403" s="7"/>
      <c r="D403" s="64">
        <v>0</v>
      </c>
      <c r="E403" s="64">
        <v>0</v>
      </c>
      <c r="F403" s="64">
        <v>0</v>
      </c>
      <c r="G403" s="271" t="str">
        <f t="shared" ref="G403:G462" si="32">A403&amp;".Buffeffect"</f>
        <v>symbolraid.boss.attack.up.buff.02.Buffeffect</v>
      </c>
      <c r="H403" s="64"/>
      <c r="I403" s="85" t="b">
        <v>1</v>
      </c>
      <c r="J403" s="14" t="b">
        <v>0</v>
      </c>
      <c r="K403" s="85" t="b">
        <v>0</v>
      </c>
      <c r="L403" s="64"/>
      <c r="M403" s="64" t="s">
        <v>80</v>
      </c>
      <c r="N403" s="64" t="s">
        <v>4153</v>
      </c>
      <c r="O403" s="7" t="s">
        <v>4151</v>
      </c>
      <c r="P403" s="15" t="b">
        <v>0</v>
      </c>
      <c r="Q403" s="15" t="b">
        <v>0</v>
      </c>
    </row>
    <row r="404" spans="1:17" x14ac:dyDescent="0.3">
      <c r="A404" s="172" t="s">
        <v>4154</v>
      </c>
      <c r="B404" s="7"/>
      <c r="C404" s="7"/>
      <c r="D404" s="64">
        <v>0</v>
      </c>
      <c r="E404" s="64">
        <v>0</v>
      </c>
      <c r="F404" s="64">
        <v>0</v>
      </c>
      <c r="G404" s="271" t="str">
        <f t="shared" si="32"/>
        <v>symbolraid.boss.attack.up.buff.03.Buffeffect</v>
      </c>
      <c r="H404" s="64"/>
      <c r="I404" s="85" t="b">
        <v>1</v>
      </c>
      <c r="J404" s="14" t="b">
        <v>0</v>
      </c>
      <c r="K404" s="85" t="b">
        <v>0</v>
      </c>
      <c r="L404" s="64"/>
      <c r="M404" s="64" t="s">
        <v>80</v>
      </c>
      <c r="N404" s="64" t="s">
        <v>4153</v>
      </c>
      <c r="O404" s="7" t="s">
        <v>4151</v>
      </c>
      <c r="P404" s="15" t="b">
        <v>0</v>
      </c>
      <c r="Q404" s="15" t="b">
        <v>0</v>
      </c>
    </row>
    <row r="405" spans="1:17" x14ac:dyDescent="0.3">
      <c r="A405" s="172" t="s">
        <v>4155</v>
      </c>
      <c r="B405" s="7"/>
      <c r="C405" s="7"/>
      <c r="D405" s="64">
        <v>0</v>
      </c>
      <c r="E405" s="64">
        <v>0</v>
      </c>
      <c r="F405" s="64">
        <v>0</v>
      </c>
      <c r="G405" s="271" t="str">
        <f t="shared" si="32"/>
        <v>symbolraid.boss.attack.up.buff.04.Buffeffect</v>
      </c>
      <c r="H405" s="64"/>
      <c r="I405" s="85" t="b">
        <v>1</v>
      </c>
      <c r="J405" s="14" t="b">
        <v>0</v>
      </c>
      <c r="K405" s="85" t="b">
        <v>0</v>
      </c>
      <c r="L405" s="64"/>
      <c r="M405" s="64" t="s">
        <v>80</v>
      </c>
      <c r="N405" s="64" t="s">
        <v>4153</v>
      </c>
      <c r="O405" s="7" t="s">
        <v>4151</v>
      </c>
      <c r="P405" s="15" t="b">
        <v>0</v>
      </c>
      <c r="Q405" s="15" t="b">
        <v>0</v>
      </c>
    </row>
    <row r="406" spans="1:17" x14ac:dyDescent="0.3">
      <c r="A406" s="172" t="s">
        <v>4156</v>
      </c>
      <c r="B406" s="7"/>
      <c r="C406" s="7"/>
      <c r="D406" s="64">
        <v>0</v>
      </c>
      <c r="E406" s="64">
        <v>0</v>
      </c>
      <c r="F406" s="64">
        <v>0</v>
      </c>
      <c r="G406" s="271" t="str">
        <f t="shared" si="32"/>
        <v>symbolraid.boss.attack.up.buff.05.Buffeffect</v>
      </c>
      <c r="H406" s="64"/>
      <c r="I406" s="85" t="b">
        <v>1</v>
      </c>
      <c r="J406" s="14" t="b">
        <v>0</v>
      </c>
      <c r="K406" s="85" t="b">
        <v>0</v>
      </c>
      <c r="L406" s="64"/>
      <c r="M406" s="64" t="s">
        <v>80</v>
      </c>
      <c r="N406" s="64" t="s">
        <v>4153</v>
      </c>
      <c r="O406" s="7" t="s">
        <v>4151</v>
      </c>
      <c r="P406" s="15" t="b">
        <v>0</v>
      </c>
      <c r="Q406" s="15" t="b">
        <v>0</v>
      </c>
    </row>
    <row r="407" spans="1:17" x14ac:dyDescent="0.3">
      <c r="A407" s="172" t="s">
        <v>4157</v>
      </c>
      <c r="B407" s="7"/>
      <c r="C407" s="7"/>
      <c r="D407" s="64">
        <v>0</v>
      </c>
      <c r="E407" s="64">
        <v>0</v>
      </c>
      <c r="F407" s="64">
        <v>0</v>
      </c>
      <c r="G407" s="271" t="str">
        <f t="shared" si="32"/>
        <v>symbolraid.boss.attack.up.buff.06.Buffeffect</v>
      </c>
      <c r="H407" s="64"/>
      <c r="I407" s="85" t="b">
        <v>1</v>
      </c>
      <c r="J407" s="14" t="b">
        <v>0</v>
      </c>
      <c r="K407" s="85" t="b">
        <v>0</v>
      </c>
      <c r="L407" s="64"/>
      <c r="M407" s="64" t="s">
        <v>80</v>
      </c>
      <c r="N407" s="64" t="s">
        <v>4153</v>
      </c>
      <c r="O407" s="7" t="s">
        <v>4151</v>
      </c>
      <c r="P407" s="15" t="b">
        <v>0</v>
      </c>
      <c r="Q407" s="15" t="b">
        <v>0</v>
      </c>
    </row>
    <row r="408" spans="1:17" x14ac:dyDescent="0.3">
      <c r="A408" s="172" t="s">
        <v>4158</v>
      </c>
      <c r="B408" s="7"/>
      <c r="C408" s="7"/>
      <c r="D408" s="64">
        <v>0</v>
      </c>
      <c r="E408" s="64">
        <v>0</v>
      </c>
      <c r="F408" s="64">
        <v>0</v>
      </c>
      <c r="G408" s="271" t="str">
        <f t="shared" si="32"/>
        <v>symbolraid.boss.attack.up.buff.07.Buffeffect</v>
      </c>
      <c r="H408" s="64"/>
      <c r="I408" s="85" t="b">
        <v>1</v>
      </c>
      <c r="J408" s="14" t="b">
        <v>0</v>
      </c>
      <c r="K408" s="85" t="b">
        <v>0</v>
      </c>
      <c r="L408" s="64"/>
      <c r="M408" s="64" t="s">
        <v>80</v>
      </c>
      <c r="N408" s="64" t="s">
        <v>4153</v>
      </c>
      <c r="O408" s="7" t="s">
        <v>4151</v>
      </c>
      <c r="P408" s="15" t="b">
        <v>0</v>
      </c>
      <c r="Q408" s="15" t="b">
        <v>0</v>
      </c>
    </row>
    <row r="409" spans="1:17" x14ac:dyDescent="0.3">
      <c r="A409" s="172" t="s">
        <v>4159</v>
      </c>
      <c r="B409" s="7"/>
      <c r="C409" s="7"/>
      <c r="D409" s="64">
        <v>0</v>
      </c>
      <c r="E409" s="64">
        <v>0</v>
      </c>
      <c r="F409" s="64">
        <v>0</v>
      </c>
      <c r="G409" s="271" t="str">
        <f t="shared" si="32"/>
        <v>symbolraid.boss.attack.up.buff.08.Buffeffect</v>
      </c>
      <c r="H409" s="64"/>
      <c r="I409" s="85" t="b">
        <v>1</v>
      </c>
      <c r="J409" s="14" t="b">
        <v>0</v>
      </c>
      <c r="K409" s="85" t="b">
        <v>0</v>
      </c>
      <c r="L409" s="64"/>
      <c r="M409" s="64" t="s">
        <v>80</v>
      </c>
      <c r="N409" s="64" t="s">
        <v>4153</v>
      </c>
      <c r="O409" s="7" t="s">
        <v>4151</v>
      </c>
      <c r="P409" s="15" t="b">
        <v>0</v>
      </c>
      <c r="Q409" s="15" t="b">
        <v>0</v>
      </c>
    </row>
    <row r="410" spans="1:17" x14ac:dyDescent="0.3">
      <c r="A410" s="172" t="s">
        <v>4160</v>
      </c>
      <c r="B410" s="7"/>
      <c r="C410" s="7"/>
      <c r="D410" s="64">
        <v>0</v>
      </c>
      <c r="E410" s="64">
        <v>0</v>
      </c>
      <c r="F410" s="64">
        <v>0</v>
      </c>
      <c r="G410" s="271" t="str">
        <f t="shared" si="32"/>
        <v>symbolraid.boss.attack.up.buff.09.Buffeffect</v>
      </c>
      <c r="H410" s="64"/>
      <c r="I410" s="85" t="b">
        <v>1</v>
      </c>
      <c r="J410" s="14" t="b">
        <v>0</v>
      </c>
      <c r="K410" s="85" t="b">
        <v>0</v>
      </c>
      <c r="L410" s="64"/>
      <c r="M410" s="64" t="s">
        <v>80</v>
      </c>
      <c r="N410" s="64" t="s">
        <v>4153</v>
      </c>
      <c r="O410" s="7" t="s">
        <v>4151</v>
      </c>
      <c r="P410" s="15" t="b">
        <v>0</v>
      </c>
      <c r="Q410" s="15" t="b">
        <v>0</v>
      </c>
    </row>
    <row r="411" spans="1:17" x14ac:dyDescent="0.3">
      <c r="A411" s="172" t="s">
        <v>4161</v>
      </c>
      <c r="B411" s="7"/>
      <c r="C411" s="7"/>
      <c r="D411" s="64">
        <v>0</v>
      </c>
      <c r="E411" s="64">
        <v>0</v>
      </c>
      <c r="F411" s="64">
        <v>0</v>
      </c>
      <c r="G411" s="271" t="str">
        <f t="shared" si="32"/>
        <v>symbolraid.boss.attack.up.buff.10.Buffeffect</v>
      </c>
      <c r="H411" s="64"/>
      <c r="I411" s="85" t="b">
        <v>1</v>
      </c>
      <c r="J411" s="14" t="b">
        <v>0</v>
      </c>
      <c r="K411" s="85" t="b">
        <v>0</v>
      </c>
      <c r="L411" s="64"/>
      <c r="M411" s="64" t="s">
        <v>80</v>
      </c>
      <c r="N411" s="64" t="s">
        <v>4153</v>
      </c>
      <c r="O411" s="7" t="s">
        <v>4151</v>
      </c>
      <c r="P411" s="15" t="b">
        <v>0</v>
      </c>
      <c r="Q411" s="15" t="b">
        <v>0</v>
      </c>
    </row>
    <row r="412" spans="1:17" x14ac:dyDescent="0.3">
      <c r="A412" s="172" t="s">
        <v>4162</v>
      </c>
      <c r="B412" s="7"/>
      <c r="C412" s="7"/>
      <c r="D412" s="64">
        <v>0</v>
      </c>
      <c r="E412" s="64">
        <v>0</v>
      </c>
      <c r="F412" s="64">
        <v>0</v>
      </c>
      <c r="G412" s="271" t="str">
        <f t="shared" si="32"/>
        <v>symbolraid.boss.defense.up.buff.01.Buffeffect</v>
      </c>
      <c r="H412" s="64"/>
      <c r="I412" s="85" t="b">
        <v>1</v>
      </c>
      <c r="J412" s="14" t="b">
        <v>0</v>
      </c>
      <c r="K412" s="85" t="b">
        <v>0</v>
      </c>
      <c r="L412" s="64"/>
      <c r="M412" s="64" t="s">
        <v>4163</v>
      </c>
      <c r="N412" s="64" t="s">
        <v>4164</v>
      </c>
      <c r="O412" s="7" t="s">
        <v>4165</v>
      </c>
      <c r="P412" s="15" t="b">
        <v>0</v>
      </c>
      <c r="Q412" s="15" t="b">
        <v>0</v>
      </c>
    </row>
    <row r="413" spans="1:17" x14ac:dyDescent="0.3">
      <c r="A413" s="172" t="s">
        <v>4166</v>
      </c>
      <c r="B413" s="7"/>
      <c r="C413" s="7"/>
      <c r="D413" s="64">
        <v>0</v>
      </c>
      <c r="E413" s="64">
        <v>0</v>
      </c>
      <c r="F413" s="64">
        <v>0</v>
      </c>
      <c r="G413" s="271" t="str">
        <f t="shared" si="32"/>
        <v>symbolraid.boss.defense.up.buff.02.Buffeffect</v>
      </c>
      <c r="H413" s="64"/>
      <c r="I413" s="85" t="b">
        <v>1</v>
      </c>
      <c r="J413" s="14" t="b">
        <v>0</v>
      </c>
      <c r="K413" s="85" t="b">
        <v>0</v>
      </c>
      <c r="L413" s="64"/>
      <c r="M413" s="64" t="s">
        <v>56</v>
      </c>
      <c r="N413" s="64" t="s">
        <v>4167</v>
      </c>
      <c r="O413" s="7" t="s">
        <v>4165</v>
      </c>
      <c r="P413" s="15" t="b">
        <v>0</v>
      </c>
      <c r="Q413" s="15" t="b">
        <v>0</v>
      </c>
    </row>
    <row r="414" spans="1:17" x14ac:dyDescent="0.3">
      <c r="A414" s="172" t="s">
        <v>4168</v>
      </c>
      <c r="B414" s="7"/>
      <c r="C414" s="7"/>
      <c r="D414" s="64">
        <v>0</v>
      </c>
      <c r="E414" s="64">
        <v>0</v>
      </c>
      <c r="F414" s="64">
        <v>0</v>
      </c>
      <c r="G414" s="271" t="str">
        <f t="shared" si="32"/>
        <v>symbolraid.boss.defense.up.buff.03.Buffeffect</v>
      </c>
      <c r="H414" s="64"/>
      <c r="I414" s="85" t="b">
        <v>1</v>
      </c>
      <c r="J414" s="14" t="b">
        <v>0</v>
      </c>
      <c r="K414" s="85" t="b">
        <v>0</v>
      </c>
      <c r="L414" s="64"/>
      <c r="M414" s="64" t="s">
        <v>56</v>
      </c>
      <c r="N414" s="64" t="s">
        <v>4167</v>
      </c>
      <c r="O414" s="7" t="s">
        <v>4165</v>
      </c>
      <c r="P414" s="15" t="b">
        <v>0</v>
      </c>
      <c r="Q414" s="15" t="b">
        <v>0</v>
      </c>
    </row>
    <row r="415" spans="1:17" x14ac:dyDescent="0.3">
      <c r="A415" s="172" t="s">
        <v>4169</v>
      </c>
      <c r="B415" s="7"/>
      <c r="C415" s="7"/>
      <c r="D415" s="64">
        <v>0</v>
      </c>
      <c r="E415" s="64">
        <v>0</v>
      </c>
      <c r="F415" s="64">
        <v>0</v>
      </c>
      <c r="G415" s="271" t="str">
        <f t="shared" si="32"/>
        <v>symbolraid.boss.defense.up.buff.04.Buffeffect</v>
      </c>
      <c r="H415" s="64"/>
      <c r="I415" s="85" t="b">
        <v>1</v>
      </c>
      <c r="J415" s="14" t="b">
        <v>0</v>
      </c>
      <c r="K415" s="85" t="b">
        <v>0</v>
      </c>
      <c r="L415" s="64"/>
      <c r="M415" s="64" t="s">
        <v>56</v>
      </c>
      <c r="N415" s="64" t="s">
        <v>4167</v>
      </c>
      <c r="O415" s="7" t="s">
        <v>4165</v>
      </c>
      <c r="P415" s="15" t="b">
        <v>0</v>
      </c>
      <c r="Q415" s="15" t="b">
        <v>0</v>
      </c>
    </row>
    <row r="416" spans="1:17" x14ac:dyDescent="0.3">
      <c r="A416" s="172" t="s">
        <v>4170</v>
      </c>
      <c r="B416" s="7"/>
      <c r="C416" s="7"/>
      <c r="D416" s="64">
        <v>0</v>
      </c>
      <c r="E416" s="64">
        <v>0</v>
      </c>
      <c r="F416" s="64">
        <v>0</v>
      </c>
      <c r="G416" s="271" t="str">
        <f t="shared" si="32"/>
        <v>symbolraid.boss.defense.up.buff.05.Buffeffect</v>
      </c>
      <c r="H416" s="64"/>
      <c r="I416" s="85" t="b">
        <v>1</v>
      </c>
      <c r="J416" s="14" t="b">
        <v>0</v>
      </c>
      <c r="K416" s="85" t="b">
        <v>0</v>
      </c>
      <c r="L416" s="64"/>
      <c r="M416" s="64" t="s">
        <v>56</v>
      </c>
      <c r="N416" s="64" t="s">
        <v>4167</v>
      </c>
      <c r="O416" s="7" t="s">
        <v>4165</v>
      </c>
      <c r="P416" s="15" t="b">
        <v>0</v>
      </c>
      <c r="Q416" s="15" t="b">
        <v>0</v>
      </c>
    </row>
    <row r="417" spans="1:17" x14ac:dyDescent="0.3">
      <c r="A417" s="172" t="s">
        <v>4171</v>
      </c>
      <c r="B417" s="7"/>
      <c r="C417" s="7"/>
      <c r="D417" s="64">
        <v>0</v>
      </c>
      <c r="E417" s="64">
        <v>0</v>
      </c>
      <c r="F417" s="64">
        <v>0</v>
      </c>
      <c r="G417" s="271" t="str">
        <f t="shared" si="32"/>
        <v>symbolraid.boss.defense.up.buff.06.Buffeffect</v>
      </c>
      <c r="H417" s="64"/>
      <c r="I417" s="85" t="b">
        <v>1</v>
      </c>
      <c r="J417" s="14" t="b">
        <v>0</v>
      </c>
      <c r="K417" s="85" t="b">
        <v>0</v>
      </c>
      <c r="L417" s="64"/>
      <c r="M417" s="64" t="s">
        <v>56</v>
      </c>
      <c r="N417" s="64" t="s">
        <v>4167</v>
      </c>
      <c r="O417" s="7" t="s">
        <v>4165</v>
      </c>
      <c r="P417" s="15" t="b">
        <v>0</v>
      </c>
      <c r="Q417" s="15" t="b">
        <v>0</v>
      </c>
    </row>
    <row r="418" spans="1:17" x14ac:dyDescent="0.3">
      <c r="A418" s="172" t="s">
        <v>4172</v>
      </c>
      <c r="B418" s="7"/>
      <c r="C418" s="7"/>
      <c r="D418" s="64">
        <v>0</v>
      </c>
      <c r="E418" s="64">
        <v>0</v>
      </c>
      <c r="F418" s="64">
        <v>0</v>
      </c>
      <c r="G418" s="271" t="str">
        <f t="shared" si="32"/>
        <v>symbolraid.boss.defense.up.buff.07.Buffeffect</v>
      </c>
      <c r="H418" s="64"/>
      <c r="I418" s="85" t="b">
        <v>1</v>
      </c>
      <c r="J418" s="14" t="b">
        <v>0</v>
      </c>
      <c r="K418" s="85" t="b">
        <v>0</v>
      </c>
      <c r="L418" s="64"/>
      <c r="M418" s="64" t="s">
        <v>56</v>
      </c>
      <c r="N418" s="64" t="s">
        <v>4167</v>
      </c>
      <c r="O418" s="7" t="s">
        <v>4165</v>
      </c>
      <c r="P418" s="15" t="b">
        <v>0</v>
      </c>
      <c r="Q418" s="15" t="b">
        <v>0</v>
      </c>
    </row>
    <row r="419" spans="1:17" x14ac:dyDescent="0.3">
      <c r="A419" s="172" t="s">
        <v>4173</v>
      </c>
      <c r="B419" s="7"/>
      <c r="C419" s="7"/>
      <c r="D419" s="64">
        <v>0</v>
      </c>
      <c r="E419" s="64">
        <v>0</v>
      </c>
      <c r="F419" s="64">
        <v>0</v>
      </c>
      <c r="G419" s="271" t="str">
        <f t="shared" si="32"/>
        <v>symbolraid.boss.defense.up.buff.08.Buffeffect</v>
      </c>
      <c r="H419" s="64"/>
      <c r="I419" s="85" t="b">
        <v>1</v>
      </c>
      <c r="J419" s="14" t="b">
        <v>0</v>
      </c>
      <c r="K419" s="85" t="b">
        <v>0</v>
      </c>
      <c r="L419" s="64"/>
      <c r="M419" s="64" t="s">
        <v>56</v>
      </c>
      <c r="N419" s="64" t="s">
        <v>4167</v>
      </c>
      <c r="O419" s="7" t="s">
        <v>4165</v>
      </c>
      <c r="P419" s="15" t="b">
        <v>0</v>
      </c>
      <c r="Q419" s="15" t="b">
        <v>0</v>
      </c>
    </row>
    <row r="420" spans="1:17" x14ac:dyDescent="0.3">
      <c r="A420" s="172" t="s">
        <v>4174</v>
      </c>
      <c r="B420" s="7"/>
      <c r="C420" s="7"/>
      <c r="D420" s="64">
        <v>0</v>
      </c>
      <c r="E420" s="64">
        <v>0</v>
      </c>
      <c r="F420" s="64">
        <v>0</v>
      </c>
      <c r="G420" s="271" t="str">
        <f t="shared" si="32"/>
        <v>symbolraid.boss.defense.up.buff.09.Buffeffect</v>
      </c>
      <c r="H420" s="64"/>
      <c r="I420" s="85" t="b">
        <v>1</v>
      </c>
      <c r="J420" s="14" t="b">
        <v>0</v>
      </c>
      <c r="K420" s="85" t="b">
        <v>0</v>
      </c>
      <c r="L420" s="64"/>
      <c r="M420" s="64" t="s">
        <v>56</v>
      </c>
      <c r="N420" s="64" t="s">
        <v>4167</v>
      </c>
      <c r="O420" s="7" t="s">
        <v>4165</v>
      </c>
      <c r="P420" s="15" t="b">
        <v>0</v>
      </c>
      <c r="Q420" s="15" t="b">
        <v>0</v>
      </c>
    </row>
    <row r="421" spans="1:17" x14ac:dyDescent="0.3">
      <c r="A421" s="172" t="s">
        <v>4175</v>
      </c>
      <c r="B421" s="7"/>
      <c r="C421" s="7"/>
      <c r="D421" s="64">
        <v>0</v>
      </c>
      <c r="E421" s="64">
        <v>0</v>
      </c>
      <c r="F421" s="64">
        <v>0</v>
      </c>
      <c r="G421" s="271" t="str">
        <f t="shared" si="32"/>
        <v>symbolraid.boss.defense.up.buff.10.Buffeffect</v>
      </c>
      <c r="H421" s="64"/>
      <c r="I421" s="85" t="b">
        <v>1</v>
      </c>
      <c r="J421" s="14" t="b">
        <v>0</v>
      </c>
      <c r="K421" s="85" t="b">
        <v>0</v>
      </c>
      <c r="L421" s="64"/>
      <c r="M421" s="64" t="s">
        <v>56</v>
      </c>
      <c r="N421" s="64" t="s">
        <v>4167</v>
      </c>
      <c r="O421" s="7" t="s">
        <v>4165</v>
      </c>
      <c r="P421" s="15" t="b">
        <v>0</v>
      </c>
      <c r="Q421" s="15" t="b">
        <v>0</v>
      </c>
    </row>
    <row r="422" spans="1:17" x14ac:dyDescent="0.3">
      <c r="A422" s="172" t="s">
        <v>4176</v>
      </c>
      <c r="B422" s="7"/>
      <c r="C422" s="7"/>
      <c r="D422" s="64">
        <v>0</v>
      </c>
      <c r="E422" s="64">
        <v>0</v>
      </c>
      <c r="F422" s="64">
        <v>0</v>
      </c>
      <c r="G422" s="271" t="str">
        <f t="shared" si="32"/>
        <v>symbolraid.boss.meleedamage.reduce.buff.01.Buffeffect</v>
      </c>
      <c r="H422" s="64"/>
      <c r="I422" s="85" t="b">
        <v>1</v>
      </c>
      <c r="J422" s="14" t="b">
        <v>0</v>
      </c>
      <c r="K422" s="85" t="b">
        <v>0</v>
      </c>
      <c r="L422" s="64"/>
      <c r="M422" s="64" t="s">
        <v>4177</v>
      </c>
      <c r="N422" s="64" t="s">
        <v>4178</v>
      </c>
      <c r="O422" s="64" t="s">
        <v>4179</v>
      </c>
      <c r="P422" s="15" t="b">
        <v>0</v>
      </c>
      <c r="Q422" s="15" t="b">
        <v>0</v>
      </c>
    </row>
    <row r="423" spans="1:17" x14ac:dyDescent="0.3">
      <c r="A423" s="172" t="s">
        <v>4180</v>
      </c>
      <c r="B423" s="7"/>
      <c r="C423" s="7"/>
      <c r="D423" s="64">
        <v>0</v>
      </c>
      <c r="E423" s="64">
        <v>0</v>
      </c>
      <c r="F423" s="64">
        <v>0</v>
      </c>
      <c r="G423" s="271" t="str">
        <f t="shared" si="32"/>
        <v>symbolraid.boss.meleedamage.reduce.buff.02.Buffeffect</v>
      </c>
      <c r="H423" s="64"/>
      <c r="I423" s="85" t="b">
        <v>1</v>
      </c>
      <c r="J423" s="14" t="b">
        <v>0</v>
      </c>
      <c r="K423" s="85" t="b">
        <v>0</v>
      </c>
      <c r="L423" s="64"/>
      <c r="M423" s="64" t="s">
        <v>4177</v>
      </c>
      <c r="N423" s="64" t="s">
        <v>4178</v>
      </c>
      <c r="O423" s="64" t="s">
        <v>4179</v>
      </c>
      <c r="P423" s="15" t="b">
        <v>0</v>
      </c>
      <c r="Q423" s="15" t="b">
        <v>0</v>
      </c>
    </row>
    <row r="424" spans="1:17" x14ac:dyDescent="0.3">
      <c r="A424" s="172" t="s">
        <v>4181</v>
      </c>
      <c r="B424" s="7"/>
      <c r="C424" s="7"/>
      <c r="D424" s="64">
        <v>0</v>
      </c>
      <c r="E424" s="64">
        <v>0</v>
      </c>
      <c r="F424" s="64">
        <v>0</v>
      </c>
      <c r="G424" s="271" t="str">
        <f t="shared" si="32"/>
        <v>symbolraid.boss.meleedamage.reduce.buff.03.Buffeffect</v>
      </c>
      <c r="H424" s="64"/>
      <c r="I424" s="85" t="b">
        <v>1</v>
      </c>
      <c r="J424" s="14" t="b">
        <v>0</v>
      </c>
      <c r="K424" s="85" t="b">
        <v>0</v>
      </c>
      <c r="L424" s="64"/>
      <c r="M424" s="64" t="s">
        <v>4177</v>
      </c>
      <c r="N424" s="64" t="s">
        <v>4178</v>
      </c>
      <c r="O424" s="64" t="s">
        <v>4179</v>
      </c>
      <c r="P424" s="15" t="b">
        <v>0</v>
      </c>
      <c r="Q424" s="15" t="b">
        <v>0</v>
      </c>
    </row>
    <row r="425" spans="1:17" x14ac:dyDescent="0.3">
      <c r="A425" s="172" t="s">
        <v>4182</v>
      </c>
      <c r="B425" s="7"/>
      <c r="C425" s="7"/>
      <c r="D425" s="64">
        <v>0</v>
      </c>
      <c r="E425" s="64">
        <v>0</v>
      </c>
      <c r="F425" s="64">
        <v>0</v>
      </c>
      <c r="G425" s="271" t="str">
        <f t="shared" si="32"/>
        <v>symbolraid.boss.meleedamage.reduce.buff.04.Buffeffect</v>
      </c>
      <c r="H425" s="64"/>
      <c r="I425" s="85" t="b">
        <v>1</v>
      </c>
      <c r="J425" s="14" t="b">
        <v>0</v>
      </c>
      <c r="K425" s="85" t="b">
        <v>0</v>
      </c>
      <c r="L425" s="64"/>
      <c r="M425" s="64" t="s">
        <v>4177</v>
      </c>
      <c r="N425" s="64" t="s">
        <v>4178</v>
      </c>
      <c r="O425" s="64" t="s">
        <v>4179</v>
      </c>
      <c r="P425" s="15" t="b">
        <v>0</v>
      </c>
      <c r="Q425" s="15" t="b">
        <v>0</v>
      </c>
    </row>
    <row r="426" spans="1:17" x14ac:dyDescent="0.3">
      <c r="A426" s="172" t="s">
        <v>4183</v>
      </c>
      <c r="B426" s="7"/>
      <c r="C426" s="7"/>
      <c r="D426" s="64">
        <v>0</v>
      </c>
      <c r="E426" s="64">
        <v>0</v>
      </c>
      <c r="F426" s="64">
        <v>0</v>
      </c>
      <c r="G426" s="271" t="str">
        <f t="shared" si="32"/>
        <v>symbolraid.boss.meleedamage.reduce.buff.05.Buffeffect</v>
      </c>
      <c r="H426" s="64"/>
      <c r="I426" s="85" t="b">
        <v>1</v>
      </c>
      <c r="J426" s="14" t="b">
        <v>0</v>
      </c>
      <c r="K426" s="85" t="b">
        <v>0</v>
      </c>
      <c r="L426" s="64"/>
      <c r="M426" s="64" t="s">
        <v>4177</v>
      </c>
      <c r="N426" s="64" t="s">
        <v>4178</v>
      </c>
      <c r="O426" s="64" t="s">
        <v>4179</v>
      </c>
      <c r="P426" s="15" t="b">
        <v>0</v>
      </c>
      <c r="Q426" s="15" t="b">
        <v>0</v>
      </c>
    </row>
    <row r="427" spans="1:17" x14ac:dyDescent="0.3">
      <c r="A427" s="172" t="s">
        <v>4184</v>
      </c>
      <c r="B427" s="7"/>
      <c r="C427" s="7"/>
      <c r="D427" s="64">
        <v>0</v>
      </c>
      <c r="E427" s="64">
        <v>0</v>
      </c>
      <c r="F427" s="64">
        <v>0</v>
      </c>
      <c r="G427" s="271" t="str">
        <f t="shared" si="32"/>
        <v>symbolraid.boss.rangedamage.reduce.buff.01.Buffeffect</v>
      </c>
      <c r="H427" s="64"/>
      <c r="I427" s="85" t="b">
        <v>1</v>
      </c>
      <c r="J427" s="14" t="b">
        <v>0</v>
      </c>
      <c r="K427" s="85" t="b">
        <v>0</v>
      </c>
      <c r="L427" s="64"/>
      <c r="M427" s="64" t="s">
        <v>4185</v>
      </c>
      <c r="N427" s="64" t="s">
        <v>4186</v>
      </c>
      <c r="O427" s="64" t="s">
        <v>4187</v>
      </c>
      <c r="P427" s="15" t="b">
        <v>0</v>
      </c>
      <c r="Q427" s="15" t="b">
        <v>0</v>
      </c>
    </row>
    <row r="428" spans="1:17" x14ac:dyDescent="0.3">
      <c r="A428" s="172" t="s">
        <v>4188</v>
      </c>
      <c r="B428" s="7"/>
      <c r="C428" s="7"/>
      <c r="D428" s="64">
        <v>0</v>
      </c>
      <c r="E428" s="64">
        <v>0</v>
      </c>
      <c r="F428" s="64">
        <v>0</v>
      </c>
      <c r="G428" s="271" t="str">
        <f t="shared" si="32"/>
        <v>symbolraid.boss.rangedamage.reduce.buff.02.Buffeffect</v>
      </c>
      <c r="H428" s="64"/>
      <c r="I428" s="85" t="b">
        <v>1</v>
      </c>
      <c r="J428" s="14" t="b">
        <v>0</v>
      </c>
      <c r="K428" s="85" t="b">
        <v>0</v>
      </c>
      <c r="L428" s="64"/>
      <c r="M428" s="64" t="s">
        <v>4185</v>
      </c>
      <c r="N428" s="64" t="s">
        <v>4186</v>
      </c>
      <c r="O428" s="64" t="s">
        <v>4187</v>
      </c>
      <c r="P428" s="15" t="b">
        <v>0</v>
      </c>
      <c r="Q428" s="15" t="b">
        <v>0</v>
      </c>
    </row>
    <row r="429" spans="1:17" x14ac:dyDescent="0.3">
      <c r="A429" s="172" t="s">
        <v>4189</v>
      </c>
      <c r="B429" s="7"/>
      <c r="C429" s="7"/>
      <c r="D429" s="64">
        <v>0</v>
      </c>
      <c r="E429" s="64">
        <v>0</v>
      </c>
      <c r="F429" s="64">
        <v>0</v>
      </c>
      <c r="G429" s="271" t="str">
        <f t="shared" si="32"/>
        <v>symbolraid.boss.rangedamage.reduce.buff.03.Buffeffect</v>
      </c>
      <c r="H429" s="64"/>
      <c r="I429" s="85" t="b">
        <v>1</v>
      </c>
      <c r="J429" s="14" t="b">
        <v>0</v>
      </c>
      <c r="K429" s="85" t="b">
        <v>0</v>
      </c>
      <c r="L429" s="64"/>
      <c r="M429" s="64" t="s">
        <v>4185</v>
      </c>
      <c r="N429" s="64" t="s">
        <v>4186</v>
      </c>
      <c r="O429" s="64" t="s">
        <v>4187</v>
      </c>
      <c r="P429" s="15" t="b">
        <v>0</v>
      </c>
      <c r="Q429" s="15" t="b">
        <v>0</v>
      </c>
    </row>
    <row r="430" spans="1:17" x14ac:dyDescent="0.3">
      <c r="A430" s="172" t="s">
        <v>4190</v>
      </c>
      <c r="B430" s="7"/>
      <c r="C430" s="7"/>
      <c r="D430" s="64">
        <v>0</v>
      </c>
      <c r="E430" s="64">
        <v>0</v>
      </c>
      <c r="F430" s="64">
        <v>0</v>
      </c>
      <c r="G430" s="271" t="str">
        <f t="shared" si="32"/>
        <v>symbolraid.boss.rangedamage.reduce.buff.04.Buffeffect</v>
      </c>
      <c r="H430" s="64"/>
      <c r="I430" s="85" t="b">
        <v>1</v>
      </c>
      <c r="J430" s="14" t="b">
        <v>0</v>
      </c>
      <c r="K430" s="85" t="b">
        <v>0</v>
      </c>
      <c r="L430" s="64"/>
      <c r="M430" s="64" t="s">
        <v>4185</v>
      </c>
      <c r="N430" s="64" t="s">
        <v>4186</v>
      </c>
      <c r="O430" s="64" t="s">
        <v>4187</v>
      </c>
      <c r="P430" s="15" t="b">
        <v>0</v>
      </c>
      <c r="Q430" s="15" t="b">
        <v>0</v>
      </c>
    </row>
    <row r="431" spans="1:17" x14ac:dyDescent="0.3">
      <c r="A431" s="172" t="s">
        <v>4191</v>
      </c>
      <c r="B431" s="7"/>
      <c r="C431" s="7"/>
      <c r="D431" s="64">
        <v>0</v>
      </c>
      <c r="E431" s="64">
        <v>0</v>
      </c>
      <c r="F431" s="64">
        <v>0</v>
      </c>
      <c r="G431" s="271" t="str">
        <f t="shared" si="32"/>
        <v>symbolraid.boss.rangedamage.reduce.buff.05.Buffeffect</v>
      </c>
      <c r="H431" s="64"/>
      <c r="I431" s="85" t="b">
        <v>1</v>
      </c>
      <c r="J431" s="14" t="b">
        <v>0</v>
      </c>
      <c r="K431" s="85" t="b">
        <v>0</v>
      </c>
      <c r="L431" s="64"/>
      <c r="M431" s="64" t="s">
        <v>4185</v>
      </c>
      <c r="N431" s="64" t="s">
        <v>4186</v>
      </c>
      <c r="O431" s="64" t="s">
        <v>4187</v>
      </c>
      <c r="P431" s="15" t="b">
        <v>0</v>
      </c>
      <c r="Q431" s="15" t="b">
        <v>0</v>
      </c>
    </row>
    <row r="432" spans="1:17" x14ac:dyDescent="0.3">
      <c r="A432" s="172" t="s">
        <v>4192</v>
      </c>
      <c r="B432" s="7"/>
      <c r="C432" s="7"/>
      <c r="D432" s="64">
        <v>0</v>
      </c>
      <c r="E432" s="64">
        <v>0</v>
      </c>
      <c r="F432" s="64">
        <v>0</v>
      </c>
      <c r="G432" s="271" t="str">
        <f t="shared" si="32"/>
        <v>symbolraid.boss.areadamage.reduce.buff.01.Buffeffect</v>
      </c>
      <c r="H432" s="64"/>
      <c r="I432" s="85" t="b">
        <v>1</v>
      </c>
      <c r="J432" s="14" t="b">
        <v>0</v>
      </c>
      <c r="K432" s="85" t="b">
        <v>0</v>
      </c>
      <c r="L432" s="64"/>
      <c r="M432" s="64" t="s">
        <v>80</v>
      </c>
      <c r="N432" s="64" t="s">
        <v>4193</v>
      </c>
      <c r="O432" s="64" t="s">
        <v>4194</v>
      </c>
      <c r="P432" s="15" t="b">
        <v>0</v>
      </c>
      <c r="Q432" s="15" t="b">
        <v>0</v>
      </c>
    </row>
    <row r="433" spans="1:17" x14ac:dyDescent="0.3">
      <c r="A433" s="172" t="s">
        <v>4195</v>
      </c>
      <c r="B433" s="7"/>
      <c r="C433" s="7"/>
      <c r="D433" s="64">
        <v>0</v>
      </c>
      <c r="E433" s="64">
        <v>0</v>
      </c>
      <c r="F433" s="64">
        <v>0</v>
      </c>
      <c r="G433" s="271" t="str">
        <f t="shared" si="32"/>
        <v>symbolraid.boss.areadamage.reduce.buff.02.Buffeffect</v>
      </c>
      <c r="H433" s="64"/>
      <c r="I433" s="85" t="b">
        <v>1</v>
      </c>
      <c r="J433" s="14" t="b">
        <v>0</v>
      </c>
      <c r="K433" s="85" t="b">
        <v>0</v>
      </c>
      <c r="L433" s="64"/>
      <c r="M433" s="64" t="s">
        <v>80</v>
      </c>
      <c r="N433" s="64" t="s">
        <v>4193</v>
      </c>
      <c r="O433" s="64" t="s">
        <v>4194</v>
      </c>
      <c r="P433" s="15" t="b">
        <v>0</v>
      </c>
      <c r="Q433" s="15" t="b">
        <v>0</v>
      </c>
    </row>
    <row r="434" spans="1:17" x14ac:dyDescent="0.3">
      <c r="A434" s="172" t="s">
        <v>4196</v>
      </c>
      <c r="B434" s="7"/>
      <c r="C434" s="7"/>
      <c r="D434" s="64">
        <v>0</v>
      </c>
      <c r="E434" s="64">
        <v>0</v>
      </c>
      <c r="F434" s="64">
        <v>0</v>
      </c>
      <c r="G434" s="271" t="str">
        <f t="shared" si="32"/>
        <v>symbolraid.boss.areadamage.reduce.buff.03.Buffeffect</v>
      </c>
      <c r="H434" s="64"/>
      <c r="I434" s="85" t="b">
        <v>1</v>
      </c>
      <c r="J434" s="14" t="b">
        <v>0</v>
      </c>
      <c r="K434" s="85" t="b">
        <v>0</v>
      </c>
      <c r="L434" s="64"/>
      <c r="M434" s="64" t="s">
        <v>80</v>
      </c>
      <c r="N434" s="64" t="s">
        <v>4193</v>
      </c>
      <c r="O434" s="64" t="s">
        <v>4194</v>
      </c>
      <c r="P434" s="15" t="b">
        <v>0</v>
      </c>
      <c r="Q434" s="15" t="b">
        <v>0</v>
      </c>
    </row>
    <row r="435" spans="1:17" x14ac:dyDescent="0.3">
      <c r="A435" s="172" t="s">
        <v>4197</v>
      </c>
      <c r="B435" s="7"/>
      <c r="C435" s="7"/>
      <c r="D435" s="64">
        <v>0</v>
      </c>
      <c r="E435" s="64">
        <v>0</v>
      </c>
      <c r="F435" s="64">
        <v>0</v>
      </c>
      <c r="G435" s="271" t="str">
        <f t="shared" si="32"/>
        <v>symbolraid.boss.areadamage.reduce.buff.04.Buffeffect</v>
      </c>
      <c r="H435" s="64"/>
      <c r="I435" s="85" t="b">
        <v>1</v>
      </c>
      <c r="J435" s="14" t="b">
        <v>0</v>
      </c>
      <c r="K435" s="85" t="b">
        <v>0</v>
      </c>
      <c r="L435" s="64"/>
      <c r="M435" s="64" t="s">
        <v>80</v>
      </c>
      <c r="N435" s="64" t="s">
        <v>4193</v>
      </c>
      <c r="O435" s="64" t="s">
        <v>4194</v>
      </c>
      <c r="P435" s="15" t="b">
        <v>0</v>
      </c>
      <c r="Q435" s="15" t="b">
        <v>0</v>
      </c>
    </row>
    <row r="436" spans="1:17" x14ac:dyDescent="0.3">
      <c r="A436" s="172" t="s">
        <v>4198</v>
      </c>
      <c r="B436" s="7"/>
      <c r="C436" s="7"/>
      <c r="D436" s="64">
        <v>0</v>
      </c>
      <c r="E436" s="64">
        <v>0</v>
      </c>
      <c r="F436" s="64">
        <v>0</v>
      </c>
      <c r="G436" s="271" t="str">
        <f t="shared" si="32"/>
        <v>symbolraid.boss.areadamage.reduce.buff.05.Buffeffect</v>
      </c>
      <c r="H436" s="64"/>
      <c r="I436" s="85" t="b">
        <v>1</v>
      </c>
      <c r="J436" s="14" t="b">
        <v>0</v>
      </c>
      <c r="K436" s="85" t="b">
        <v>0</v>
      </c>
      <c r="L436" s="64"/>
      <c r="M436" s="64" t="s">
        <v>80</v>
      </c>
      <c r="N436" s="64" t="s">
        <v>4193</v>
      </c>
      <c r="O436" s="64" t="s">
        <v>4194</v>
      </c>
      <c r="P436" s="15" t="b">
        <v>0</v>
      </c>
      <c r="Q436" s="15" t="b">
        <v>0</v>
      </c>
    </row>
    <row r="437" spans="1:17" x14ac:dyDescent="0.3">
      <c r="A437" s="172" t="s">
        <v>4199</v>
      </c>
      <c r="B437" s="7"/>
      <c r="C437" s="7"/>
      <c r="D437" s="64">
        <v>0</v>
      </c>
      <c r="E437" s="64">
        <v>0</v>
      </c>
      <c r="F437" s="64">
        <v>0</v>
      </c>
      <c r="G437" s="271" t="str">
        <f t="shared" si="32"/>
        <v>symbolraid.boss.singleareadamage.reduce.buff.01.Buffeffect</v>
      </c>
      <c r="H437" s="64"/>
      <c r="I437" s="85" t="b">
        <v>1</v>
      </c>
      <c r="J437" s="14" t="b">
        <v>0</v>
      </c>
      <c r="K437" s="85" t="b">
        <v>0</v>
      </c>
      <c r="L437" s="64"/>
      <c r="M437" s="64" t="s">
        <v>80</v>
      </c>
      <c r="N437" s="64" t="s">
        <v>4200</v>
      </c>
      <c r="O437" s="64" t="s">
        <v>4201</v>
      </c>
      <c r="P437" s="15" t="b">
        <v>0</v>
      </c>
      <c r="Q437" s="15" t="b">
        <v>0</v>
      </c>
    </row>
    <row r="438" spans="1:17" x14ac:dyDescent="0.3">
      <c r="A438" s="172" t="s">
        <v>4202</v>
      </c>
      <c r="B438" s="7"/>
      <c r="C438" s="7"/>
      <c r="D438" s="64">
        <v>0</v>
      </c>
      <c r="E438" s="64">
        <v>0</v>
      </c>
      <c r="F438" s="64">
        <v>0</v>
      </c>
      <c r="G438" s="271" t="str">
        <f t="shared" si="32"/>
        <v>symbolraid.boss.singleareadamage.reduce.buff.02.Buffeffect</v>
      </c>
      <c r="H438" s="64"/>
      <c r="I438" s="85" t="b">
        <v>1</v>
      </c>
      <c r="J438" s="14" t="b">
        <v>0</v>
      </c>
      <c r="K438" s="85" t="b">
        <v>0</v>
      </c>
      <c r="L438" s="64"/>
      <c r="M438" s="64" t="s">
        <v>80</v>
      </c>
      <c r="N438" s="64" t="s">
        <v>4200</v>
      </c>
      <c r="O438" s="64" t="s">
        <v>4201</v>
      </c>
      <c r="P438" s="15" t="b">
        <v>0</v>
      </c>
      <c r="Q438" s="15" t="b">
        <v>0</v>
      </c>
    </row>
    <row r="439" spans="1:17" x14ac:dyDescent="0.3">
      <c r="A439" s="172" t="s">
        <v>4203</v>
      </c>
      <c r="B439" s="7"/>
      <c r="C439" s="7"/>
      <c r="D439" s="64">
        <v>0</v>
      </c>
      <c r="E439" s="64">
        <v>0</v>
      </c>
      <c r="F439" s="64">
        <v>0</v>
      </c>
      <c r="G439" s="271" t="str">
        <f t="shared" si="32"/>
        <v>symbolraid.boss.singleareadamage.reduce.buff.03.Buffeffect</v>
      </c>
      <c r="H439" s="64"/>
      <c r="I439" s="85" t="b">
        <v>1</v>
      </c>
      <c r="J439" s="14" t="b">
        <v>0</v>
      </c>
      <c r="K439" s="85" t="b">
        <v>0</v>
      </c>
      <c r="L439" s="64"/>
      <c r="M439" s="64" t="s">
        <v>80</v>
      </c>
      <c r="N439" s="64" t="s">
        <v>4200</v>
      </c>
      <c r="O439" s="64" t="s">
        <v>4201</v>
      </c>
      <c r="P439" s="15" t="b">
        <v>0</v>
      </c>
      <c r="Q439" s="15" t="b">
        <v>0</v>
      </c>
    </row>
    <row r="440" spans="1:17" x14ac:dyDescent="0.3">
      <c r="A440" s="172" t="s">
        <v>4204</v>
      </c>
      <c r="B440" s="7"/>
      <c r="C440" s="7"/>
      <c r="D440" s="64">
        <v>0</v>
      </c>
      <c r="E440" s="64">
        <v>0</v>
      </c>
      <c r="F440" s="64">
        <v>0</v>
      </c>
      <c r="G440" s="271" t="str">
        <f t="shared" si="32"/>
        <v>symbolraid.boss.singleareadamage.reduce.buff.04.Buffeffect</v>
      </c>
      <c r="H440" s="64"/>
      <c r="I440" s="85" t="b">
        <v>1</v>
      </c>
      <c r="J440" s="14" t="b">
        <v>0</v>
      </c>
      <c r="K440" s="85" t="b">
        <v>0</v>
      </c>
      <c r="L440" s="64"/>
      <c r="M440" s="64" t="s">
        <v>80</v>
      </c>
      <c r="N440" s="64" t="s">
        <v>4200</v>
      </c>
      <c r="O440" s="64" t="s">
        <v>4201</v>
      </c>
      <c r="P440" s="15" t="b">
        <v>0</v>
      </c>
      <c r="Q440" s="15" t="b">
        <v>0</v>
      </c>
    </row>
    <row r="441" spans="1:17" x14ac:dyDescent="0.3">
      <c r="A441" s="172" t="s">
        <v>4205</v>
      </c>
      <c r="B441" s="7"/>
      <c r="C441" s="7"/>
      <c r="D441" s="64">
        <v>0</v>
      </c>
      <c r="E441" s="64">
        <v>0</v>
      </c>
      <c r="F441" s="64">
        <v>0</v>
      </c>
      <c r="G441" s="271" t="str">
        <f t="shared" si="32"/>
        <v>symbolraid.boss.singleareadamage.reduce.buff.05.Buffeffect</v>
      </c>
      <c r="H441" s="64"/>
      <c r="I441" s="85" t="b">
        <v>1</v>
      </c>
      <c r="J441" s="14" t="b">
        <v>0</v>
      </c>
      <c r="K441" s="85" t="b">
        <v>0</v>
      </c>
      <c r="L441" s="64"/>
      <c r="M441" s="64" t="s">
        <v>80</v>
      </c>
      <c r="N441" s="64" t="s">
        <v>4200</v>
      </c>
      <c r="O441" s="64" t="s">
        <v>4201</v>
      </c>
      <c r="P441" s="15" t="b">
        <v>0</v>
      </c>
      <c r="Q441" s="15" t="b">
        <v>0</v>
      </c>
    </row>
    <row r="442" spans="1:17" x14ac:dyDescent="0.3">
      <c r="A442" s="272"/>
      <c r="B442" s="60"/>
      <c r="C442" s="60"/>
      <c r="D442" s="273"/>
      <c r="E442" s="273"/>
      <c r="F442" s="273"/>
      <c r="G442" s="274"/>
      <c r="H442" s="275"/>
      <c r="I442" s="276"/>
      <c r="J442" s="277"/>
      <c r="K442" s="276"/>
      <c r="L442" s="275"/>
      <c r="M442" s="275"/>
      <c r="N442" s="275"/>
      <c r="O442" s="60"/>
      <c r="P442" s="278"/>
      <c r="Q442" s="278"/>
    </row>
    <row r="443" spans="1:17" x14ac:dyDescent="0.3">
      <c r="A443" s="172" t="s">
        <v>4206</v>
      </c>
      <c r="B443" s="7"/>
      <c r="C443" s="7"/>
      <c r="D443" s="64">
        <v>0</v>
      </c>
      <c r="E443" s="64">
        <v>0</v>
      </c>
      <c r="F443" s="64">
        <v>0</v>
      </c>
      <c r="G443" s="271" t="str">
        <f t="shared" si="32"/>
        <v>symbolraid.character.eprecharge.down.buff.01.Buffeffect</v>
      </c>
      <c r="H443" s="64"/>
      <c r="I443" s="85" t="b">
        <v>1</v>
      </c>
      <c r="J443" s="14" t="b">
        <v>0</v>
      </c>
      <c r="K443" s="85" t="b">
        <v>1</v>
      </c>
      <c r="L443" s="64"/>
      <c r="M443" s="64" t="s">
        <v>4207</v>
      </c>
      <c r="N443" s="64" t="s">
        <v>4208</v>
      </c>
      <c r="O443" s="64" t="s">
        <v>4209</v>
      </c>
      <c r="P443" s="15" t="b">
        <v>0</v>
      </c>
      <c r="Q443" s="15" t="b">
        <v>0</v>
      </c>
    </row>
    <row r="444" spans="1:17" x14ac:dyDescent="0.3">
      <c r="A444" s="172" t="s">
        <v>4210</v>
      </c>
      <c r="B444" s="7"/>
      <c r="C444" s="7"/>
      <c r="D444" s="64">
        <v>0</v>
      </c>
      <c r="E444" s="64">
        <v>0</v>
      </c>
      <c r="F444" s="64">
        <v>0</v>
      </c>
      <c r="G444" s="271" t="str">
        <f t="shared" si="32"/>
        <v>symbolraid.character.eprecharge.down.buff.02.Buffeffect</v>
      </c>
      <c r="H444" s="64"/>
      <c r="I444" s="85" t="b">
        <v>1</v>
      </c>
      <c r="J444" s="14" t="b">
        <v>0</v>
      </c>
      <c r="K444" s="85" t="b">
        <v>1</v>
      </c>
      <c r="L444" s="64"/>
      <c r="M444" s="64" t="s">
        <v>4207</v>
      </c>
      <c r="N444" s="64" t="s">
        <v>4208</v>
      </c>
      <c r="O444" s="64" t="s">
        <v>4209</v>
      </c>
      <c r="P444" s="15" t="b">
        <v>0</v>
      </c>
      <c r="Q444" s="15" t="b">
        <v>0</v>
      </c>
    </row>
    <row r="445" spans="1:17" x14ac:dyDescent="0.3">
      <c r="A445" s="172" t="s">
        <v>4211</v>
      </c>
      <c r="B445" s="7"/>
      <c r="C445" s="7"/>
      <c r="D445" s="64">
        <v>0</v>
      </c>
      <c r="E445" s="64">
        <v>0</v>
      </c>
      <c r="F445" s="64">
        <v>0</v>
      </c>
      <c r="G445" s="271" t="str">
        <f t="shared" si="32"/>
        <v>symbolraid.character.eprecharge.down.buff.03.Buffeffect</v>
      </c>
      <c r="H445" s="64"/>
      <c r="I445" s="85" t="b">
        <v>1</v>
      </c>
      <c r="J445" s="14" t="b">
        <v>0</v>
      </c>
      <c r="K445" s="85" t="b">
        <v>1</v>
      </c>
      <c r="L445" s="64"/>
      <c r="M445" s="64" t="s">
        <v>4207</v>
      </c>
      <c r="N445" s="64" t="s">
        <v>4208</v>
      </c>
      <c r="O445" s="64" t="s">
        <v>4209</v>
      </c>
      <c r="P445" s="15" t="b">
        <v>0</v>
      </c>
      <c r="Q445" s="15" t="b">
        <v>0</v>
      </c>
    </row>
    <row r="446" spans="1:17" x14ac:dyDescent="0.3">
      <c r="A446" s="172" t="s">
        <v>4212</v>
      </c>
      <c r="B446" s="7"/>
      <c r="C446" s="7"/>
      <c r="D446" s="64">
        <v>0</v>
      </c>
      <c r="E446" s="64">
        <v>0</v>
      </c>
      <c r="F446" s="64">
        <v>0</v>
      </c>
      <c r="G446" s="271" t="str">
        <f t="shared" si="32"/>
        <v>symbolraid.character.eprecharge.down.buff.04.Buffeffect</v>
      </c>
      <c r="H446" s="64"/>
      <c r="I446" s="85" t="b">
        <v>1</v>
      </c>
      <c r="J446" s="14" t="b">
        <v>0</v>
      </c>
      <c r="K446" s="85" t="b">
        <v>1</v>
      </c>
      <c r="L446" s="64"/>
      <c r="M446" s="64" t="s">
        <v>4207</v>
      </c>
      <c r="N446" s="64" t="s">
        <v>4208</v>
      </c>
      <c r="O446" s="64" t="s">
        <v>4209</v>
      </c>
      <c r="P446" s="15" t="b">
        <v>0</v>
      </c>
      <c r="Q446" s="15" t="b">
        <v>0</v>
      </c>
    </row>
    <row r="447" spans="1:17" x14ac:dyDescent="0.3">
      <c r="A447" s="172" t="s">
        <v>4213</v>
      </c>
      <c r="B447" s="7"/>
      <c r="C447" s="7"/>
      <c r="D447" s="64">
        <v>0</v>
      </c>
      <c r="E447" s="64">
        <v>0</v>
      </c>
      <c r="F447" s="64">
        <v>0</v>
      </c>
      <c r="G447" s="271" t="str">
        <f t="shared" si="32"/>
        <v>symbolraid.character.eprecharge.down.buff.05.Buffeffect</v>
      </c>
      <c r="H447" s="64"/>
      <c r="I447" s="85" t="b">
        <v>1</v>
      </c>
      <c r="J447" s="14" t="b">
        <v>0</v>
      </c>
      <c r="K447" s="85" t="b">
        <v>1</v>
      </c>
      <c r="L447" s="64"/>
      <c r="M447" s="64" t="s">
        <v>4207</v>
      </c>
      <c r="N447" s="64" t="s">
        <v>4208</v>
      </c>
      <c r="O447" s="64" t="s">
        <v>4209</v>
      </c>
      <c r="P447" s="15" t="b">
        <v>0</v>
      </c>
      <c r="Q447" s="15" t="b">
        <v>0</v>
      </c>
    </row>
    <row r="448" spans="1:17" x14ac:dyDescent="0.3">
      <c r="A448" s="172" t="s">
        <v>4214</v>
      </c>
      <c r="B448" s="7"/>
      <c r="C448" s="7"/>
      <c r="D448" s="64">
        <v>0</v>
      </c>
      <c r="E448" s="64">
        <v>0</v>
      </c>
      <c r="F448" s="64">
        <v>0</v>
      </c>
      <c r="G448" s="271" t="str">
        <f t="shared" si="32"/>
        <v>symbolraid.character.receiverecovery.down.buff.01.Buffeffect</v>
      </c>
      <c r="H448" s="64"/>
      <c r="I448" s="85" t="b">
        <v>1</v>
      </c>
      <c r="J448" s="14" t="b">
        <v>0</v>
      </c>
      <c r="K448" s="85" t="b">
        <v>1</v>
      </c>
      <c r="L448" s="64"/>
      <c r="M448" s="64" t="s">
        <v>4215</v>
      </c>
      <c r="N448" s="64" t="s">
        <v>4216</v>
      </c>
      <c r="O448" s="64" t="s">
        <v>4217</v>
      </c>
      <c r="P448" s="15" t="b">
        <v>0</v>
      </c>
      <c r="Q448" s="15" t="b">
        <v>0</v>
      </c>
    </row>
    <row r="449" spans="1:17" x14ac:dyDescent="0.3">
      <c r="A449" s="172" t="s">
        <v>4218</v>
      </c>
      <c r="B449" s="7"/>
      <c r="C449" s="7"/>
      <c r="D449" s="64">
        <v>0</v>
      </c>
      <c r="E449" s="64">
        <v>0</v>
      </c>
      <c r="F449" s="64">
        <v>0</v>
      </c>
      <c r="G449" s="271" t="str">
        <f t="shared" si="32"/>
        <v>symbolraid.character.receiverecovery.down.buff.02.Buffeffect</v>
      </c>
      <c r="H449" s="64"/>
      <c r="I449" s="85" t="b">
        <v>1</v>
      </c>
      <c r="J449" s="14" t="b">
        <v>0</v>
      </c>
      <c r="K449" s="85" t="b">
        <v>1</v>
      </c>
      <c r="L449" s="64"/>
      <c r="M449" s="64" t="s">
        <v>4215</v>
      </c>
      <c r="N449" s="64" t="s">
        <v>4216</v>
      </c>
      <c r="O449" s="64" t="s">
        <v>4217</v>
      </c>
      <c r="P449" s="15" t="b">
        <v>0</v>
      </c>
      <c r="Q449" s="15" t="b">
        <v>0</v>
      </c>
    </row>
    <row r="450" spans="1:17" x14ac:dyDescent="0.3">
      <c r="A450" s="172" t="s">
        <v>4219</v>
      </c>
      <c r="B450" s="7"/>
      <c r="C450" s="7"/>
      <c r="D450" s="64">
        <v>0</v>
      </c>
      <c r="E450" s="64">
        <v>0</v>
      </c>
      <c r="F450" s="64">
        <v>0</v>
      </c>
      <c r="G450" s="271" t="str">
        <f t="shared" si="32"/>
        <v>symbolraid.character.receiverecovery.down.buff.03.Buffeffect</v>
      </c>
      <c r="H450" s="64"/>
      <c r="I450" s="85" t="b">
        <v>1</v>
      </c>
      <c r="J450" s="14" t="b">
        <v>0</v>
      </c>
      <c r="K450" s="85" t="b">
        <v>1</v>
      </c>
      <c r="L450" s="64"/>
      <c r="M450" s="64" t="s">
        <v>4215</v>
      </c>
      <c r="N450" s="64" t="s">
        <v>4216</v>
      </c>
      <c r="O450" s="64" t="s">
        <v>4217</v>
      </c>
      <c r="P450" s="15" t="b">
        <v>0</v>
      </c>
      <c r="Q450" s="15" t="b">
        <v>0</v>
      </c>
    </row>
    <row r="451" spans="1:17" x14ac:dyDescent="0.3">
      <c r="A451" s="172" t="s">
        <v>4220</v>
      </c>
      <c r="B451" s="7"/>
      <c r="C451" s="7"/>
      <c r="D451" s="64">
        <v>0</v>
      </c>
      <c r="E451" s="64">
        <v>0</v>
      </c>
      <c r="F451" s="64">
        <v>0</v>
      </c>
      <c r="G451" s="271" t="str">
        <f t="shared" si="32"/>
        <v>symbolraid.character.receiverecovery.down.buff.04.Buffeffect</v>
      </c>
      <c r="H451" s="64"/>
      <c r="I451" s="85" t="b">
        <v>1</v>
      </c>
      <c r="J451" s="14" t="b">
        <v>0</v>
      </c>
      <c r="K451" s="85" t="b">
        <v>1</v>
      </c>
      <c r="L451" s="64"/>
      <c r="M451" s="64" t="s">
        <v>4215</v>
      </c>
      <c r="N451" s="64" t="s">
        <v>4216</v>
      </c>
      <c r="O451" s="64" t="s">
        <v>4217</v>
      </c>
      <c r="P451" s="15" t="b">
        <v>0</v>
      </c>
      <c r="Q451" s="15" t="b">
        <v>0</v>
      </c>
    </row>
    <row r="452" spans="1:17" x14ac:dyDescent="0.3">
      <c r="A452" s="172" t="s">
        <v>4221</v>
      </c>
      <c r="B452" s="7"/>
      <c r="C452" s="7"/>
      <c r="D452" s="64">
        <v>0</v>
      </c>
      <c r="E452" s="64">
        <v>0</v>
      </c>
      <c r="F452" s="64">
        <v>0</v>
      </c>
      <c r="G452" s="271" t="str">
        <f t="shared" si="32"/>
        <v>symbolraid.character.receiverecovery.down.buff.05.Buffeffect</v>
      </c>
      <c r="H452" s="64"/>
      <c r="I452" s="85" t="b">
        <v>1</v>
      </c>
      <c r="J452" s="14" t="b">
        <v>0</v>
      </c>
      <c r="K452" s="85" t="b">
        <v>1</v>
      </c>
      <c r="L452" s="64"/>
      <c r="M452" s="64" t="s">
        <v>4215</v>
      </c>
      <c r="N452" s="64" t="s">
        <v>4216</v>
      </c>
      <c r="O452" s="64" t="s">
        <v>4217</v>
      </c>
      <c r="P452" s="15" t="b">
        <v>0</v>
      </c>
      <c r="Q452" s="15" t="b">
        <v>0</v>
      </c>
    </row>
    <row r="453" spans="1:17" x14ac:dyDescent="0.3">
      <c r="A453" s="172" t="s">
        <v>4222</v>
      </c>
      <c r="B453" s="7"/>
      <c r="C453" s="7"/>
      <c r="D453" s="64">
        <v>0</v>
      </c>
      <c r="E453" s="64">
        <v>0</v>
      </c>
      <c r="F453" s="64">
        <v>0</v>
      </c>
      <c r="G453" s="271" t="str">
        <f t="shared" si="32"/>
        <v>symbolraid.character.maxhp.down.buff.01.Buffeffect</v>
      </c>
      <c r="H453" s="64"/>
      <c r="I453" s="85" t="b">
        <v>1</v>
      </c>
      <c r="J453" s="14" t="b">
        <v>0</v>
      </c>
      <c r="K453" s="85" t="b">
        <v>1</v>
      </c>
      <c r="L453" s="64"/>
      <c r="M453" s="64" t="s">
        <v>80</v>
      </c>
      <c r="N453" s="64" t="s">
        <v>4223</v>
      </c>
      <c r="O453" s="64" t="s">
        <v>4224</v>
      </c>
      <c r="P453" s="15" t="b">
        <v>0</v>
      </c>
      <c r="Q453" s="15" t="b">
        <v>0</v>
      </c>
    </row>
    <row r="454" spans="1:17" x14ac:dyDescent="0.3">
      <c r="A454" s="172" t="s">
        <v>4225</v>
      </c>
      <c r="B454" s="7"/>
      <c r="C454" s="7"/>
      <c r="D454" s="64">
        <v>0</v>
      </c>
      <c r="E454" s="64">
        <v>0</v>
      </c>
      <c r="F454" s="64">
        <v>0</v>
      </c>
      <c r="G454" s="271" t="str">
        <f t="shared" si="32"/>
        <v>symbolraid.character.maxhp.down.buff.02.Buffeffect</v>
      </c>
      <c r="H454" s="64"/>
      <c r="I454" s="85" t="b">
        <v>1</v>
      </c>
      <c r="J454" s="14" t="b">
        <v>0</v>
      </c>
      <c r="K454" s="85" t="b">
        <v>1</v>
      </c>
      <c r="L454" s="64"/>
      <c r="M454" s="64" t="s">
        <v>80</v>
      </c>
      <c r="N454" s="64" t="s">
        <v>4223</v>
      </c>
      <c r="O454" s="64" t="s">
        <v>4224</v>
      </c>
      <c r="P454" s="15" t="b">
        <v>0</v>
      </c>
      <c r="Q454" s="15" t="b">
        <v>0</v>
      </c>
    </row>
    <row r="455" spans="1:17" x14ac:dyDescent="0.3">
      <c r="A455" s="172" t="s">
        <v>4226</v>
      </c>
      <c r="B455" s="7"/>
      <c r="C455" s="7"/>
      <c r="D455" s="64">
        <v>0</v>
      </c>
      <c r="E455" s="64">
        <v>0</v>
      </c>
      <c r="F455" s="64">
        <v>0</v>
      </c>
      <c r="G455" s="271" t="str">
        <f t="shared" si="32"/>
        <v>symbolraid.character.maxhp.down.buff.03.Buffeffect</v>
      </c>
      <c r="H455" s="64"/>
      <c r="I455" s="85" t="b">
        <v>1</v>
      </c>
      <c r="J455" s="14" t="b">
        <v>0</v>
      </c>
      <c r="K455" s="85" t="b">
        <v>1</v>
      </c>
      <c r="L455" s="64"/>
      <c r="M455" s="64" t="s">
        <v>80</v>
      </c>
      <c r="N455" s="64" t="s">
        <v>4223</v>
      </c>
      <c r="O455" s="64" t="s">
        <v>4224</v>
      </c>
      <c r="P455" s="15" t="b">
        <v>0</v>
      </c>
      <c r="Q455" s="15" t="b">
        <v>0</v>
      </c>
    </row>
    <row r="456" spans="1:17" x14ac:dyDescent="0.3">
      <c r="A456" s="172" t="s">
        <v>4227</v>
      </c>
      <c r="B456" s="7"/>
      <c r="C456" s="7"/>
      <c r="D456" s="64">
        <v>0</v>
      </c>
      <c r="E456" s="64">
        <v>0</v>
      </c>
      <c r="F456" s="64">
        <v>0</v>
      </c>
      <c r="G456" s="271" t="str">
        <f t="shared" si="32"/>
        <v>symbolraid.character.maxhp.down.buff.04.Buffeffect</v>
      </c>
      <c r="H456" s="64"/>
      <c r="I456" s="85" t="b">
        <v>1</v>
      </c>
      <c r="J456" s="14" t="b">
        <v>0</v>
      </c>
      <c r="K456" s="85" t="b">
        <v>1</v>
      </c>
      <c r="L456" s="64"/>
      <c r="M456" s="64" t="s">
        <v>80</v>
      </c>
      <c r="N456" s="64" t="s">
        <v>4223</v>
      </c>
      <c r="O456" s="64" t="s">
        <v>4224</v>
      </c>
      <c r="P456" s="15" t="b">
        <v>0</v>
      </c>
      <c r="Q456" s="15" t="b">
        <v>0</v>
      </c>
    </row>
    <row r="457" spans="1:17" x14ac:dyDescent="0.3">
      <c r="A457" s="172" t="s">
        <v>4228</v>
      </c>
      <c r="B457" s="7"/>
      <c r="C457" s="7"/>
      <c r="D457" s="64">
        <v>0</v>
      </c>
      <c r="E457" s="64">
        <v>0</v>
      </c>
      <c r="F457" s="64">
        <v>0</v>
      </c>
      <c r="G457" s="271" t="str">
        <f t="shared" si="32"/>
        <v>symbolraid.character.maxhp.down.buff.05.Buffeffect</v>
      </c>
      <c r="H457" s="64"/>
      <c r="I457" s="85" t="b">
        <v>1</v>
      </c>
      <c r="J457" s="14" t="b">
        <v>0</v>
      </c>
      <c r="K457" s="85" t="b">
        <v>1</v>
      </c>
      <c r="L457" s="64"/>
      <c r="M457" s="64" t="s">
        <v>80</v>
      </c>
      <c r="N457" s="64" t="s">
        <v>4223</v>
      </c>
      <c r="O457" s="64" t="s">
        <v>4224</v>
      </c>
      <c r="P457" s="15" t="b">
        <v>0</v>
      </c>
      <c r="Q457" s="15" t="b">
        <v>0</v>
      </c>
    </row>
    <row r="458" spans="1:17" x14ac:dyDescent="0.3">
      <c r="A458" s="172" t="s">
        <v>4229</v>
      </c>
      <c r="B458" s="60"/>
      <c r="C458" s="60"/>
      <c r="D458" s="64">
        <v>0</v>
      </c>
      <c r="E458" s="64">
        <v>0</v>
      </c>
      <c r="F458" s="64">
        <v>0</v>
      </c>
      <c r="G458" s="271" t="str">
        <f t="shared" si="32"/>
        <v>symbolraid.character.maxhp.down.buff.06.Buffeffect</v>
      </c>
      <c r="H458" s="275"/>
      <c r="I458" s="85" t="b">
        <v>1</v>
      </c>
      <c r="J458" s="14" t="b">
        <v>0</v>
      </c>
      <c r="K458" s="85" t="b">
        <v>1</v>
      </c>
      <c r="L458" s="64"/>
      <c r="M458" s="64" t="s">
        <v>80</v>
      </c>
      <c r="N458" s="64" t="s">
        <v>4223</v>
      </c>
      <c r="O458" s="64" t="s">
        <v>4224</v>
      </c>
      <c r="P458" s="15" t="b">
        <v>0</v>
      </c>
      <c r="Q458" s="15" t="b">
        <v>0</v>
      </c>
    </row>
    <row r="459" spans="1:17" x14ac:dyDescent="0.3">
      <c r="A459" s="172" t="s">
        <v>4230</v>
      </c>
      <c r="B459" s="60"/>
      <c r="C459" s="60"/>
      <c r="D459" s="64">
        <v>0</v>
      </c>
      <c r="E459" s="64">
        <v>0</v>
      </c>
      <c r="F459" s="64">
        <v>0</v>
      </c>
      <c r="G459" s="271" t="str">
        <f t="shared" si="32"/>
        <v>symbolraid.character.maxhp.down.buff.07.Buffeffect</v>
      </c>
      <c r="H459" s="275"/>
      <c r="I459" s="85" t="b">
        <v>1</v>
      </c>
      <c r="J459" s="14" t="b">
        <v>0</v>
      </c>
      <c r="K459" s="85" t="b">
        <v>1</v>
      </c>
      <c r="L459" s="64"/>
      <c r="M459" s="64" t="s">
        <v>80</v>
      </c>
      <c r="N459" s="64" t="s">
        <v>4223</v>
      </c>
      <c r="O459" s="64" t="s">
        <v>4224</v>
      </c>
      <c r="P459" s="15" t="b">
        <v>0</v>
      </c>
      <c r="Q459" s="15" t="b">
        <v>0</v>
      </c>
    </row>
    <row r="460" spans="1:17" x14ac:dyDescent="0.3">
      <c r="A460" s="172" t="s">
        <v>4231</v>
      </c>
      <c r="B460" s="60"/>
      <c r="C460" s="60"/>
      <c r="D460" s="64">
        <v>0</v>
      </c>
      <c r="E460" s="64">
        <v>0</v>
      </c>
      <c r="F460" s="64">
        <v>0</v>
      </c>
      <c r="G460" s="271" t="str">
        <f t="shared" si="32"/>
        <v>symbolraid.character.maxhp.down.buff.08.Buffeffect</v>
      </c>
      <c r="H460" s="275"/>
      <c r="I460" s="85" t="b">
        <v>1</v>
      </c>
      <c r="J460" s="14" t="b">
        <v>0</v>
      </c>
      <c r="K460" s="85" t="b">
        <v>1</v>
      </c>
      <c r="L460" s="64"/>
      <c r="M460" s="64" t="s">
        <v>80</v>
      </c>
      <c r="N460" s="64" t="s">
        <v>4223</v>
      </c>
      <c r="O460" s="64" t="s">
        <v>4224</v>
      </c>
      <c r="P460" s="15" t="b">
        <v>0</v>
      </c>
      <c r="Q460" s="15" t="b">
        <v>0</v>
      </c>
    </row>
    <row r="461" spans="1:17" x14ac:dyDescent="0.3">
      <c r="A461" s="172" t="s">
        <v>4232</v>
      </c>
      <c r="B461" s="60"/>
      <c r="C461" s="60"/>
      <c r="D461" s="64">
        <v>0</v>
      </c>
      <c r="E461" s="64">
        <v>0</v>
      </c>
      <c r="F461" s="64">
        <v>0</v>
      </c>
      <c r="G461" s="271" t="str">
        <f t="shared" si="32"/>
        <v>symbolraid.character.maxhp.down.buff.09.Buffeffect</v>
      </c>
      <c r="H461" s="275"/>
      <c r="I461" s="85" t="b">
        <v>1</v>
      </c>
      <c r="J461" s="14" t="b">
        <v>0</v>
      </c>
      <c r="K461" s="85" t="b">
        <v>1</v>
      </c>
      <c r="L461" s="64"/>
      <c r="M461" s="64" t="s">
        <v>80</v>
      </c>
      <c r="N461" s="64" t="s">
        <v>4223</v>
      </c>
      <c r="O461" s="64" t="s">
        <v>4224</v>
      </c>
      <c r="P461" s="15" t="b">
        <v>0</v>
      </c>
      <c r="Q461" s="15" t="b">
        <v>0</v>
      </c>
    </row>
    <row r="462" spans="1:17" x14ac:dyDescent="0.3">
      <c r="A462" s="172" t="s">
        <v>4233</v>
      </c>
      <c r="B462" s="60"/>
      <c r="C462" s="60"/>
      <c r="D462" s="64">
        <v>0</v>
      </c>
      <c r="E462" s="64">
        <v>0</v>
      </c>
      <c r="F462" s="64">
        <v>0</v>
      </c>
      <c r="G462" s="271" t="str">
        <f t="shared" si="32"/>
        <v>symbolraid.character.maxhp.down.buff.10.Buffeffect</v>
      </c>
      <c r="H462" s="275"/>
      <c r="I462" s="85" t="b">
        <v>1</v>
      </c>
      <c r="J462" s="14" t="b">
        <v>0</v>
      </c>
      <c r="K462" s="85" t="b">
        <v>1</v>
      </c>
      <c r="L462" s="64"/>
      <c r="M462" s="64" t="s">
        <v>80</v>
      </c>
      <c r="N462" s="64" t="s">
        <v>4223</v>
      </c>
      <c r="O462" s="64" t="s">
        <v>4224</v>
      </c>
      <c r="P462" s="15" t="b">
        <v>0</v>
      </c>
      <c r="Q462" s="15" t="b">
        <v>0</v>
      </c>
    </row>
    <row r="463" spans="1:17" x14ac:dyDescent="0.3">
      <c r="A463" s="172"/>
      <c r="B463" s="7"/>
      <c r="C463" s="7"/>
      <c r="D463" s="64"/>
      <c r="E463" s="64"/>
      <c r="F463" s="64"/>
      <c r="G463" s="189"/>
      <c r="H463" s="64"/>
      <c r="I463" s="85"/>
      <c r="J463" s="14"/>
      <c r="K463" s="85"/>
      <c r="L463" s="64"/>
      <c r="M463" s="64"/>
      <c r="N463" s="64"/>
      <c r="O463" s="7"/>
      <c r="P463" s="15"/>
      <c r="Q463" s="15"/>
    </row>
    <row r="464" spans="1:17" ht="41.25" x14ac:dyDescent="0.3">
      <c r="A464" s="115" t="s">
        <v>4344</v>
      </c>
      <c r="B464" s="116"/>
      <c r="C464" s="116"/>
      <c r="D464" s="117">
        <v>8000</v>
      </c>
      <c r="E464" s="117">
        <v>0</v>
      </c>
      <c r="F464" s="117">
        <v>0</v>
      </c>
      <c r="G464" s="118" t="s">
        <v>4345</v>
      </c>
      <c r="H464" s="117"/>
      <c r="I464" s="117" t="b">
        <v>0</v>
      </c>
      <c r="J464" s="119" t="b">
        <v>0</v>
      </c>
      <c r="K464" s="119" t="b">
        <v>1</v>
      </c>
      <c r="L464" s="117" t="s">
        <v>189</v>
      </c>
      <c r="M464" s="117" t="s">
        <v>178</v>
      </c>
      <c r="N464" s="117" t="s">
        <v>179</v>
      </c>
      <c r="O464" s="116"/>
      <c r="P464" s="116" t="b">
        <v>1</v>
      </c>
      <c r="Q464" s="119" t="b">
        <v>0</v>
      </c>
    </row>
    <row r="465" spans="1:17" x14ac:dyDescent="0.3">
      <c r="A465" s="115" t="s">
        <v>4346</v>
      </c>
      <c r="B465" s="116"/>
      <c r="C465" s="116"/>
      <c r="D465" s="117">
        <v>1000</v>
      </c>
      <c r="E465" s="117">
        <v>0</v>
      </c>
      <c r="F465" s="117">
        <v>0</v>
      </c>
      <c r="G465" s="118" t="s">
        <v>173</v>
      </c>
      <c r="H465" s="117"/>
      <c r="I465" s="117" t="b">
        <v>0</v>
      </c>
      <c r="J465" s="119" t="b">
        <v>0</v>
      </c>
      <c r="K465" s="119" t="b">
        <v>1</v>
      </c>
      <c r="L465" s="117" t="s">
        <v>1501</v>
      </c>
      <c r="M465" s="117"/>
      <c r="N465" s="117"/>
      <c r="O465" s="116"/>
      <c r="P465" s="116" t="b">
        <v>1</v>
      </c>
      <c r="Q465" s="119" t="b">
        <v>0</v>
      </c>
    </row>
    <row r="466" spans="1:17" x14ac:dyDescent="0.3">
      <c r="A466" s="115" t="s">
        <v>4347</v>
      </c>
      <c r="B466" s="116"/>
      <c r="C466" s="116"/>
      <c r="D466" s="117">
        <v>3000</v>
      </c>
      <c r="E466" s="117">
        <v>0</v>
      </c>
      <c r="F466" s="117">
        <v>0</v>
      </c>
      <c r="G466" s="118" t="s">
        <v>4348</v>
      </c>
      <c r="H466" s="117"/>
      <c r="I466" s="117" t="b">
        <v>0</v>
      </c>
      <c r="J466" s="119" t="b">
        <v>0</v>
      </c>
      <c r="K466" s="119" t="b">
        <v>0</v>
      </c>
      <c r="L466" s="117" t="s">
        <v>67</v>
      </c>
      <c r="M466" s="117" t="s">
        <v>68</v>
      </c>
      <c r="N466" s="117" t="s">
        <v>69</v>
      </c>
      <c r="O466" s="116"/>
      <c r="P466" s="116" t="b">
        <v>1</v>
      </c>
      <c r="Q466" s="119" t="b">
        <v>0</v>
      </c>
    </row>
    <row r="467" spans="1:17" x14ac:dyDescent="0.3">
      <c r="A467" s="115" t="s">
        <v>4349</v>
      </c>
      <c r="B467" s="116"/>
      <c r="C467" s="116"/>
      <c r="D467" s="117">
        <v>0</v>
      </c>
      <c r="E467" s="117">
        <v>0</v>
      </c>
      <c r="F467" s="117">
        <v>0</v>
      </c>
      <c r="G467" s="118" t="str">
        <f t="shared" ref="G467" si="33">A467&amp;".buffeffect"</f>
        <v>SymbolRaid.gallius_2.passive01.buff.buffeffect</v>
      </c>
      <c r="H467" s="117"/>
      <c r="I467" s="117" t="b">
        <v>0</v>
      </c>
      <c r="J467" s="119" t="b">
        <v>0</v>
      </c>
      <c r="K467" s="119" t="b">
        <v>1</v>
      </c>
      <c r="L467" s="117"/>
      <c r="M467" s="117"/>
      <c r="N467" s="117"/>
      <c r="O467" s="116" t="s">
        <v>1301</v>
      </c>
      <c r="P467" s="116" t="b">
        <v>0</v>
      </c>
      <c r="Q467" s="119" t="b">
        <v>0</v>
      </c>
    </row>
    <row r="468" spans="1:17" x14ac:dyDescent="0.3">
      <c r="A468" s="89" t="s">
        <v>4350</v>
      </c>
      <c r="B468" s="48"/>
      <c r="C468" s="48"/>
      <c r="D468" s="90">
        <v>6000</v>
      </c>
      <c r="E468" s="90">
        <v>0</v>
      </c>
      <c r="F468" s="90">
        <v>0</v>
      </c>
      <c r="G468" s="91" t="s">
        <v>4351</v>
      </c>
      <c r="H468" s="90"/>
      <c r="I468" s="90" t="b">
        <v>0</v>
      </c>
      <c r="J468" s="95" t="b">
        <v>0</v>
      </c>
      <c r="K468" s="95" t="b">
        <v>0</v>
      </c>
      <c r="L468" s="90" t="s">
        <v>55</v>
      </c>
      <c r="M468" s="90" t="s">
        <v>207</v>
      </c>
      <c r="N468" s="90" t="s">
        <v>208</v>
      </c>
      <c r="O468" s="48"/>
      <c r="P468" s="48" t="b">
        <v>1</v>
      </c>
      <c r="Q468" s="95" t="b">
        <v>0</v>
      </c>
    </row>
    <row r="469" spans="1:17" x14ac:dyDescent="0.3">
      <c r="A469" s="89" t="s">
        <v>4352</v>
      </c>
      <c r="B469" s="48"/>
      <c r="C469" s="48"/>
      <c r="D469" s="90">
        <v>0</v>
      </c>
      <c r="E469" s="90">
        <v>0</v>
      </c>
      <c r="F469" s="90">
        <v>0</v>
      </c>
      <c r="G469" s="91" t="s">
        <v>4353</v>
      </c>
      <c r="H469" s="90"/>
      <c r="I469" s="90" t="b">
        <v>0</v>
      </c>
      <c r="J469" s="95" t="b">
        <v>0</v>
      </c>
      <c r="K469" s="95" t="b">
        <v>1</v>
      </c>
      <c r="L469" s="90"/>
      <c r="M469" s="90"/>
      <c r="N469" s="90"/>
      <c r="O469" s="48"/>
      <c r="P469" s="48" t="b">
        <v>1</v>
      </c>
      <c r="Q469" s="95" t="b">
        <v>0</v>
      </c>
    </row>
    <row r="470" spans="1:17" x14ac:dyDescent="0.3">
      <c r="A470" s="89" t="s">
        <v>4354</v>
      </c>
      <c r="B470" s="48"/>
      <c r="C470" s="48"/>
      <c r="D470" s="90">
        <v>0</v>
      </c>
      <c r="E470" s="90">
        <v>60</v>
      </c>
      <c r="F470" s="90">
        <v>1</v>
      </c>
      <c r="G470" s="91" t="s">
        <v>4355</v>
      </c>
      <c r="H470" s="90"/>
      <c r="I470" s="90" t="b">
        <v>0</v>
      </c>
      <c r="J470" s="95" t="b">
        <v>0</v>
      </c>
      <c r="K470" s="95" t="b">
        <v>1</v>
      </c>
      <c r="L470" s="90" t="s">
        <v>213</v>
      </c>
      <c r="M470" s="90" t="s">
        <v>80</v>
      </c>
      <c r="N470" s="90" t="s">
        <v>81</v>
      </c>
      <c r="O470" s="48"/>
      <c r="P470" s="48" t="b">
        <v>1</v>
      </c>
      <c r="Q470" s="95" t="b">
        <v>0</v>
      </c>
    </row>
    <row r="471" spans="1:17" x14ac:dyDescent="0.3">
      <c r="A471" s="89" t="s">
        <v>4356</v>
      </c>
      <c r="B471" s="48"/>
      <c r="C471" s="48"/>
      <c r="D471" s="90">
        <v>0</v>
      </c>
      <c r="E471" s="90">
        <v>0</v>
      </c>
      <c r="F471" s="90">
        <v>0</v>
      </c>
      <c r="G471" s="91" t="s">
        <v>4357</v>
      </c>
      <c r="H471" s="90"/>
      <c r="I471" s="90" t="b">
        <v>0</v>
      </c>
      <c r="J471" s="95" t="b">
        <v>0</v>
      </c>
      <c r="K471" s="95" t="b">
        <v>1</v>
      </c>
      <c r="L471" s="90" t="s">
        <v>216</v>
      </c>
      <c r="M471" s="90"/>
      <c r="N471" s="90"/>
      <c r="O471" s="48"/>
      <c r="P471" s="48" t="b">
        <v>1</v>
      </c>
      <c r="Q471" s="95" t="b">
        <v>0</v>
      </c>
    </row>
    <row r="472" spans="1:17" x14ac:dyDescent="0.3">
      <c r="A472" s="172"/>
      <c r="B472" s="7"/>
      <c r="C472" s="7"/>
      <c r="D472" s="64"/>
      <c r="E472" s="64"/>
      <c r="F472" s="64"/>
      <c r="G472" s="189"/>
      <c r="H472" s="64"/>
      <c r="I472" s="85"/>
      <c r="J472" s="14"/>
      <c r="K472" s="85"/>
      <c r="L472" s="64"/>
      <c r="M472" s="64"/>
      <c r="N472" s="64"/>
      <c r="O472" s="7"/>
      <c r="P472" s="15"/>
      <c r="Q472" s="15"/>
    </row>
    <row r="473" spans="1:17" x14ac:dyDescent="0.3">
      <c r="A473" s="172"/>
      <c r="B473" s="7"/>
      <c r="C473" s="7"/>
      <c r="D473" s="64"/>
      <c r="E473" s="64"/>
      <c r="F473" s="64"/>
      <c r="G473" s="189"/>
      <c r="H473" s="64"/>
      <c r="I473" s="85"/>
      <c r="J473" s="14"/>
      <c r="K473" s="85"/>
      <c r="L473" s="64"/>
      <c r="M473" s="64"/>
      <c r="N473" s="64"/>
      <c r="O473" s="7"/>
      <c r="P473" s="15"/>
      <c r="Q473" s="15"/>
    </row>
  </sheetData>
  <phoneticPr fontId="2" type="noConversion"/>
  <conditionalFormatting sqref="A301">
    <cfRule type="duplicateValues" dxfId="27" priority="15"/>
  </conditionalFormatting>
  <conditionalFormatting sqref="A302:A306 A247:A300 A308:A357">
    <cfRule type="duplicateValues" dxfId="26" priority="476"/>
  </conditionalFormatting>
  <conditionalFormatting sqref="A307">
    <cfRule type="duplicateValues" dxfId="25" priority="14"/>
  </conditionalFormatting>
  <conditionalFormatting sqref="A472:A1048576 A358:A401 A1:A246 A463">
    <cfRule type="duplicateValues" dxfId="24" priority="248"/>
  </conditionalFormatting>
  <conditionalFormatting sqref="A402:A462">
    <cfRule type="duplicateValues" dxfId="23" priority="8"/>
  </conditionalFormatting>
  <conditionalFormatting sqref="A1:Q473">
    <cfRule type="containsBlanks" dxfId="22" priority="30">
      <formula>LEN(TRIM(A1))=0</formula>
    </cfRule>
    <cfRule type="cellIs" dxfId="21" priority="31" operator="equal">
      <formula>0</formula>
    </cfRule>
    <cfRule type="cellIs" dxfId="20" priority="32" operator="equal">
      <formula>FALSE</formula>
    </cfRule>
  </conditionalFormatting>
  <conditionalFormatting sqref="M308">
    <cfRule type="cellIs" dxfId="19" priority="9" operator="equal">
      <formula>0</formula>
    </cfRule>
    <cfRule type="cellIs" dxfId="18" priority="10" operator="equal">
      <formula>FALSE</formula>
    </cfRule>
  </conditionalFormatting>
  <conditionalFormatting sqref="A464:A471">
    <cfRule type="duplicateValues" dxfId="0" priority="51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86"/>
  <sheetViews>
    <sheetView tabSelected="1" zoomScale="85" zoomScaleNormal="85" workbookViewId="0">
      <pane xSplit="3" ySplit="4" topLeftCell="D558" activePane="bottomRight" state="frozen"/>
      <selection activeCell="C58" sqref="C58"/>
      <selection pane="topRight" activeCell="C58" sqref="C58"/>
      <selection pane="bottomLeft" activeCell="C58" sqref="C58"/>
      <selection pane="bottomRight" activeCell="B573" sqref="B573"/>
    </sheetView>
  </sheetViews>
  <sheetFormatPr defaultRowHeight="16.5" x14ac:dyDescent="0.3"/>
  <cols>
    <col min="1" max="1" width="61.25" bestFit="1" customWidth="1"/>
    <col min="2" max="2" width="17.125" customWidth="1"/>
    <col min="3" max="4" width="16.75" customWidth="1"/>
    <col min="5" max="5" width="16.125" bestFit="1" customWidth="1"/>
    <col min="6" max="6" width="15.75" customWidth="1"/>
    <col min="7" max="7" width="9.875" bestFit="1" customWidth="1"/>
    <col min="8" max="8" width="9.25" bestFit="1" customWidth="1"/>
    <col min="9" max="9" width="11" bestFit="1" customWidth="1"/>
    <col min="10" max="10" width="16.625" customWidth="1"/>
    <col min="11" max="11" width="43" customWidth="1"/>
    <col min="12" max="13" width="16.625" customWidth="1"/>
    <col min="14" max="14" width="79.75" customWidth="1"/>
    <col min="15" max="15" width="9.875" bestFit="1" customWidth="1"/>
    <col min="16" max="16" width="8.375" bestFit="1" customWidth="1"/>
    <col min="17" max="17" width="11.625" bestFit="1" customWidth="1"/>
    <col min="20" max="20" width="11.375" bestFit="1" customWidth="1"/>
    <col min="21" max="21" width="14.25" bestFit="1" customWidth="1"/>
  </cols>
  <sheetData>
    <row r="1" spans="1:18" ht="27" x14ac:dyDescent="0.3">
      <c r="A1" s="5" t="s">
        <v>0</v>
      </c>
      <c r="B1" s="1" t="s">
        <v>1</v>
      </c>
      <c r="C1" s="1" t="s">
        <v>2</v>
      </c>
      <c r="D1" s="1" t="s">
        <v>1364</v>
      </c>
      <c r="E1" s="1" t="s">
        <v>1376</v>
      </c>
      <c r="F1" s="2" t="s">
        <v>790</v>
      </c>
      <c r="G1" s="2" t="s">
        <v>791</v>
      </c>
      <c r="H1" s="2" t="s">
        <v>792</v>
      </c>
      <c r="I1" s="2" t="s">
        <v>793</v>
      </c>
      <c r="J1" s="152" t="s">
        <v>915</v>
      </c>
      <c r="K1" s="152" t="s">
        <v>916</v>
      </c>
      <c r="L1" s="152" t="s">
        <v>916</v>
      </c>
      <c r="M1" s="152" t="s">
        <v>916</v>
      </c>
      <c r="N1" s="6" t="s">
        <v>794</v>
      </c>
      <c r="O1" s="5" t="s">
        <v>795</v>
      </c>
      <c r="P1" s="5" t="s">
        <v>796</v>
      </c>
      <c r="Q1" s="5" t="s">
        <v>797</v>
      </c>
      <c r="R1" s="5" t="s">
        <v>798</v>
      </c>
    </row>
    <row r="2" spans="1:18" x14ac:dyDescent="0.3">
      <c r="A2" s="5" t="s">
        <v>17</v>
      </c>
      <c r="B2" s="1" t="s">
        <v>18</v>
      </c>
      <c r="C2" s="1" t="s">
        <v>19</v>
      </c>
      <c r="D2" s="1" t="s">
        <v>1373</v>
      </c>
      <c r="E2" s="1" t="s">
        <v>1374</v>
      </c>
      <c r="F2" s="2" t="s">
        <v>466</v>
      </c>
      <c r="G2" s="2" t="s">
        <v>467</v>
      </c>
      <c r="H2" s="2" t="s">
        <v>468</v>
      </c>
      <c r="I2" s="2" t="s">
        <v>469</v>
      </c>
      <c r="J2" s="152" t="s">
        <v>907</v>
      </c>
      <c r="K2" s="152" t="s">
        <v>911</v>
      </c>
      <c r="L2" s="152" t="s">
        <v>913</v>
      </c>
      <c r="M2" s="152" t="s">
        <v>914</v>
      </c>
      <c r="N2" s="6" t="s">
        <v>470</v>
      </c>
      <c r="O2" s="5" t="s">
        <v>471</v>
      </c>
      <c r="P2" s="5" t="s">
        <v>472</v>
      </c>
      <c r="Q2" s="5" t="s">
        <v>30</v>
      </c>
      <c r="R2" s="205" t="s">
        <v>473</v>
      </c>
    </row>
    <row r="3" spans="1:18" x14ac:dyDescent="0.3">
      <c r="A3" s="5" t="s">
        <v>34</v>
      </c>
      <c r="B3" s="1" t="s">
        <v>35</v>
      </c>
      <c r="C3" s="1" t="s">
        <v>36</v>
      </c>
      <c r="D3" s="1" t="s">
        <v>37</v>
      </c>
      <c r="E3" s="1" t="s">
        <v>1401</v>
      </c>
      <c r="F3" s="2" t="s">
        <v>466</v>
      </c>
      <c r="G3" s="2" t="s">
        <v>467</v>
      </c>
      <c r="H3" s="2" t="s">
        <v>474</v>
      </c>
      <c r="I3" s="2" t="s">
        <v>37</v>
      </c>
      <c r="J3" s="152" t="s">
        <v>908</v>
      </c>
      <c r="K3" s="152" t="s">
        <v>912</v>
      </c>
      <c r="L3" s="152" t="s">
        <v>912</v>
      </c>
      <c r="M3" s="152" t="s">
        <v>912</v>
      </c>
      <c r="N3" s="6" t="s">
        <v>475</v>
      </c>
      <c r="O3" s="5" t="s">
        <v>37</v>
      </c>
      <c r="P3" s="5" t="s">
        <v>37</v>
      </c>
      <c r="Q3" s="5" t="s">
        <v>36</v>
      </c>
      <c r="R3" s="205" t="s">
        <v>40</v>
      </c>
    </row>
    <row r="4" spans="1:18" x14ac:dyDescent="0.3">
      <c r="A4" s="5" t="s">
        <v>42</v>
      </c>
      <c r="B4" s="1" t="s">
        <v>42</v>
      </c>
      <c r="C4" s="1" t="s">
        <v>42</v>
      </c>
      <c r="D4" s="1" t="s">
        <v>42</v>
      </c>
      <c r="E4" s="1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152" t="s">
        <v>910</v>
      </c>
      <c r="K4" s="152" t="s">
        <v>909</v>
      </c>
      <c r="L4" s="152" t="s">
        <v>909</v>
      </c>
      <c r="M4" s="152" t="s">
        <v>909</v>
      </c>
      <c r="N4" s="6" t="s">
        <v>42</v>
      </c>
      <c r="O4" s="5" t="s">
        <v>42</v>
      </c>
      <c r="P4" s="5" t="s">
        <v>42</v>
      </c>
      <c r="Q4" s="5" t="s">
        <v>43</v>
      </c>
      <c r="R4" s="205" t="s">
        <v>42</v>
      </c>
    </row>
    <row r="5" spans="1:18" x14ac:dyDescent="0.3">
      <c r="A5" s="191" t="s">
        <v>799</v>
      </c>
      <c r="B5" s="8"/>
      <c r="C5" s="8"/>
      <c r="D5" s="8">
        <v>0</v>
      </c>
      <c r="E5" s="8">
        <v>1</v>
      </c>
      <c r="F5" s="8" t="s">
        <v>476</v>
      </c>
      <c r="G5" s="8" t="s">
        <v>477</v>
      </c>
      <c r="H5" s="8"/>
      <c r="I5" s="8">
        <v>0</v>
      </c>
      <c r="J5" s="8" t="s">
        <v>856</v>
      </c>
      <c r="K5" s="8" t="s">
        <v>501</v>
      </c>
      <c r="L5" s="8">
        <v>100</v>
      </c>
      <c r="M5" s="8"/>
      <c r="N5" s="8" t="str">
        <f t="shared" ref="N5:N204" si="0">J5&amp;"("&amp;IF(K5="","",K5)&amp;IF(L5="","",", "&amp;L5)&amp;IF(M5="","",", "&amp;M5)&amp;")"</f>
        <v>DebuffResist(Burn, 100)</v>
      </c>
      <c r="O5" s="8">
        <v>0</v>
      </c>
      <c r="P5" s="8">
        <v>0</v>
      </c>
      <c r="Q5" s="8"/>
      <c r="R5" s="9" t="b">
        <v>1</v>
      </c>
    </row>
    <row r="6" spans="1:18" x14ac:dyDescent="0.3">
      <c r="A6" s="191" t="s">
        <v>800</v>
      </c>
      <c r="B6" s="8"/>
      <c r="C6" s="8"/>
      <c r="D6" s="8">
        <v>0</v>
      </c>
      <c r="E6" s="8">
        <v>1</v>
      </c>
      <c r="F6" s="8" t="s">
        <v>476</v>
      </c>
      <c r="G6" s="8" t="s">
        <v>477</v>
      </c>
      <c r="H6" s="8"/>
      <c r="I6" s="8">
        <v>0</v>
      </c>
      <c r="J6" s="8" t="s">
        <v>856</v>
      </c>
      <c r="K6" s="8" t="s">
        <v>503</v>
      </c>
      <c r="L6" s="8">
        <v>100</v>
      </c>
      <c r="M6" s="8"/>
      <c r="N6" s="8" t="str">
        <f t="shared" si="0"/>
        <v>DebuffResist(Poison, 100)</v>
      </c>
      <c r="O6" s="8">
        <v>0</v>
      </c>
      <c r="P6" s="8">
        <v>0</v>
      </c>
      <c r="Q6" s="8"/>
      <c r="R6" s="9" t="b">
        <v>1</v>
      </c>
    </row>
    <row r="7" spans="1:18" x14ac:dyDescent="0.3">
      <c r="A7" s="191" t="s">
        <v>801</v>
      </c>
      <c r="B7" s="8"/>
      <c r="C7" s="8"/>
      <c r="D7" s="8">
        <v>0</v>
      </c>
      <c r="E7" s="8">
        <v>1</v>
      </c>
      <c r="F7" s="8" t="s">
        <v>476</v>
      </c>
      <c r="G7" s="8" t="s">
        <v>477</v>
      </c>
      <c r="H7" s="8"/>
      <c r="I7" s="8">
        <v>0</v>
      </c>
      <c r="J7" s="8" t="s">
        <v>856</v>
      </c>
      <c r="K7" s="8" t="s">
        <v>505</v>
      </c>
      <c r="L7" s="8">
        <v>100</v>
      </c>
      <c r="M7" s="8"/>
      <c r="N7" s="8" t="str">
        <f t="shared" si="0"/>
        <v>DebuffResist(Bleed, 100)</v>
      </c>
      <c r="O7" s="8">
        <v>0</v>
      </c>
      <c r="P7" s="8">
        <v>0</v>
      </c>
      <c r="Q7" s="8"/>
      <c r="R7" s="9" t="b">
        <v>1</v>
      </c>
    </row>
    <row r="8" spans="1:18" x14ac:dyDescent="0.3">
      <c r="A8" s="191" t="s">
        <v>802</v>
      </c>
      <c r="B8" s="8"/>
      <c r="C8" s="8"/>
      <c r="D8" s="8">
        <v>0</v>
      </c>
      <c r="E8" s="8">
        <v>1</v>
      </c>
      <c r="F8" s="8" t="s">
        <v>476</v>
      </c>
      <c r="G8" s="8" t="s">
        <v>477</v>
      </c>
      <c r="H8" s="8"/>
      <c r="I8" s="8">
        <v>0</v>
      </c>
      <c r="J8" s="8" t="s">
        <v>856</v>
      </c>
      <c r="K8" s="8" t="s">
        <v>848</v>
      </c>
      <c r="L8" s="8">
        <v>100</v>
      </c>
      <c r="M8" s="8"/>
      <c r="N8" s="8" t="str">
        <f t="shared" si="0"/>
        <v>DebuffResist(CrowdControl, 100)</v>
      </c>
      <c r="O8" s="8">
        <v>0</v>
      </c>
      <c r="P8" s="8">
        <v>0</v>
      </c>
      <c r="Q8" s="8"/>
      <c r="R8" s="9" t="b">
        <v>0</v>
      </c>
    </row>
    <row r="9" spans="1:18" x14ac:dyDescent="0.3">
      <c r="A9" s="191" t="s">
        <v>521</v>
      </c>
      <c r="B9" s="8"/>
      <c r="C9" s="8"/>
      <c r="D9" s="8">
        <v>0</v>
      </c>
      <c r="E9" s="8">
        <v>1</v>
      </c>
      <c r="F9" s="8" t="s">
        <v>476</v>
      </c>
      <c r="G9" s="8" t="s">
        <v>477</v>
      </c>
      <c r="H9" s="8"/>
      <c r="I9" s="8">
        <v>0</v>
      </c>
      <c r="J9" s="8" t="s">
        <v>848</v>
      </c>
      <c r="K9" s="8" t="s">
        <v>849</v>
      </c>
      <c r="L9" s="8"/>
      <c r="M9" s="8"/>
      <c r="N9" s="8" t="str">
        <f t="shared" si="0"/>
        <v>CrowdControl(Stun)</v>
      </c>
      <c r="O9" s="8">
        <v>0</v>
      </c>
      <c r="P9" s="8">
        <v>0</v>
      </c>
      <c r="Q9" s="8"/>
      <c r="R9" s="9" t="b">
        <v>0</v>
      </c>
    </row>
    <row r="10" spans="1:18" x14ac:dyDescent="0.3">
      <c r="A10" s="192" t="s">
        <v>522</v>
      </c>
      <c r="B10" s="31"/>
      <c r="C10" s="31"/>
      <c r="D10" s="31">
        <v>0</v>
      </c>
      <c r="E10" s="31">
        <v>1</v>
      </c>
      <c r="F10" s="31" t="s">
        <v>476</v>
      </c>
      <c r="G10" s="31" t="s">
        <v>477</v>
      </c>
      <c r="H10" s="31"/>
      <c r="I10" s="31">
        <v>0</v>
      </c>
      <c r="J10" s="31" t="s">
        <v>846</v>
      </c>
      <c r="K10" s="31" t="s">
        <v>869</v>
      </c>
      <c r="L10" s="31">
        <v>1000</v>
      </c>
      <c r="M10" s="31"/>
      <c r="N10" s="31" t="str">
        <f t="shared" si="0"/>
        <v>Status(AddEnergyRate, 1000)</v>
      </c>
      <c r="O10" s="31">
        <v>0</v>
      </c>
      <c r="P10" s="31">
        <v>0</v>
      </c>
      <c r="Q10" s="31"/>
      <c r="R10" s="32" t="b">
        <v>1</v>
      </c>
    </row>
    <row r="11" spans="1:18" x14ac:dyDescent="0.3">
      <c r="A11" s="192" t="s">
        <v>803</v>
      </c>
      <c r="B11" s="31"/>
      <c r="C11" s="31"/>
      <c r="D11" s="31">
        <v>0</v>
      </c>
      <c r="E11" s="31">
        <v>1</v>
      </c>
      <c r="F11" s="31" t="s">
        <v>476</v>
      </c>
      <c r="G11" s="31" t="s">
        <v>477</v>
      </c>
      <c r="H11" s="31"/>
      <c r="I11" s="31">
        <v>0</v>
      </c>
      <c r="J11" s="31" t="s">
        <v>860</v>
      </c>
      <c r="K11" s="31" t="s">
        <v>534</v>
      </c>
      <c r="L11" s="31"/>
      <c r="M11" s="31"/>
      <c r="N11" s="31" t="str">
        <f t="shared" si="0"/>
        <v>Active(Rotation.cube.idle.effect)</v>
      </c>
      <c r="O11" s="31">
        <v>0</v>
      </c>
      <c r="P11" s="31">
        <v>0</v>
      </c>
      <c r="Q11" s="31"/>
      <c r="R11" s="32" t="b">
        <v>1</v>
      </c>
    </row>
    <row r="12" spans="1:18" x14ac:dyDescent="0.3">
      <c r="A12" s="192" t="s">
        <v>525</v>
      </c>
      <c r="B12" s="31"/>
      <c r="C12" s="31"/>
      <c r="D12" s="31">
        <v>0</v>
      </c>
      <c r="E12" s="31">
        <v>1</v>
      </c>
      <c r="F12" s="31" t="s">
        <v>476</v>
      </c>
      <c r="G12" s="31" t="s">
        <v>477</v>
      </c>
      <c r="H12" s="31"/>
      <c r="I12" s="31">
        <v>0</v>
      </c>
      <c r="J12" s="31" t="s">
        <v>860</v>
      </c>
      <c r="K12" s="31" t="s">
        <v>917</v>
      </c>
      <c r="L12" s="31"/>
      <c r="M12" s="31"/>
      <c r="N12" s="31" t="str">
        <f t="shared" si="0"/>
        <v>Active(Rotation.Cube.tier01.start.buff.buffeffect.skilleffect)</v>
      </c>
      <c r="O12" s="31">
        <v>0</v>
      </c>
      <c r="P12" s="31">
        <v>0</v>
      </c>
      <c r="Q12" s="31"/>
      <c r="R12" s="32" t="b">
        <v>1</v>
      </c>
    </row>
    <row r="13" spans="1:18" x14ac:dyDescent="0.3">
      <c r="A13" s="192" t="s">
        <v>527</v>
      </c>
      <c r="B13" s="31"/>
      <c r="C13" s="31"/>
      <c r="D13" s="31">
        <v>0</v>
      </c>
      <c r="E13" s="31">
        <v>1</v>
      </c>
      <c r="F13" s="31" t="s">
        <v>476</v>
      </c>
      <c r="G13" s="31" t="s">
        <v>477</v>
      </c>
      <c r="H13" s="31"/>
      <c r="I13" s="31">
        <v>0</v>
      </c>
      <c r="J13" s="31" t="s">
        <v>860</v>
      </c>
      <c r="K13" s="31" t="s">
        <v>918</v>
      </c>
      <c r="L13" s="31"/>
      <c r="M13" s="31"/>
      <c r="N13" s="31" t="str">
        <f t="shared" si="0"/>
        <v>Active(Rotation.Cube.tier02.start.buff.buffeffect.skilleffect)</v>
      </c>
      <c r="O13" s="31">
        <v>0</v>
      </c>
      <c r="P13" s="31">
        <v>0</v>
      </c>
      <c r="Q13" s="31"/>
      <c r="R13" s="32" t="b">
        <v>1</v>
      </c>
    </row>
    <row r="14" spans="1:18" x14ac:dyDescent="0.3">
      <c r="A14" s="192" t="s">
        <v>529</v>
      </c>
      <c r="B14" s="31"/>
      <c r="C14" s="31"/>
      <c r="D14" s="31">
        <v>0</v>
      </c>
      <c r="E14" s="31">
        <v>1</v>
      </c>
      <c r="F14" s="31" t="s">
        <v>476</v>
      </c>
      <c r="G14" s="31" t="s">
        <v>477</v>
      </c>
      <c r="H14" s="31"/>
      <c r="I14" s="31">
        <v>0</v>
      </c>
      <c r="J14" s="31" t="s">
        <v>860</v>
      </c>
      <c r="K14" s="31" t="s">
        <v>919</v>
      </c>
      <c r="L14" s="31"/>
      <c r="M14" s="31"/>
      <c r="N14" s="31" t="str">
        <f t="shared" si="0"/>
        <v>Active(Rotation.Cube.tier03.start.buff.buffeffect.skilleffect)</v>
      </c>
      <c r="O14" s="31">
        <v>0</v>
      </c>
      <c r="P14" s="31">
        <v>0</v>
      </c>
      <c r="Q14" s="31"/>
      <c r="R14" s="32" t="b">
        <v>1</v>
      </c>
    </row>
    <row r="15" spans="1:18" x14ac:dyDescent="0.3">
      <c r="A15" s="192" t="s">
        <v>531</v>
      </c>
      <c r="B15" s="31"/>
      <c r="C15" s="31"/>
      <c r="D15" s="31">
        <v>0</v>
      </c>
      <c r="E15" s="31">
        <v>1</v>
      </c>
      <c r="F15" s="31" t="s">
        <v>476</v>
      </c>
      <c r="G15" s="31" t="s">
        <v>477</v>
      </c>
      <c r="H15" s="31"/>
      <c r="I15" s="31">
        <v>0</v>
      </c>
      <c r="J15" s="31" t="s">
        <v>860</v>
      </c>
      <c r="K15" s="31" t="s">
        <v>920</v>
      </c>
      <c r="L15" s="31"/>
      <c r="M15" s="31"/>
      <c r="N15" s="31" t="str">
        <f t="shared" si="0"/>
        <v>Active(Rotation.Cube.tier04.start.buff.buffeffect.skilleffect)</v>
      </c>
      <c r="O15" s="31">
        <v>0</v>
      </c>
      <c r="P15" s="31">
        <v>0</v>
      </c>
      <c r="Q15" s="31"/>
      <c r="R15" s="32" t="b">
        <v>1</v>
      </c>
    </row>
    <row r="16" spans="1:18" x14ac:dyDescent="0.3">
      <c r="A16" s="192" t="s">
        <v>533</v>
      </c>
      <c r="B16" s="31"/>
      <c r="C16" s="31"/>
      <c r="D16" s="31">
        <v>0</v>
      </c>
      <c r="E16" s="31">
        <v>1</v>
      </c>
      <c r="F16" s="31" t="s">
        <v>476</v>
      </c>
      <c r="G16" s="31" t="s">
        <v>477</v>
      </c>
      <c r="H16" s="31"/>
      <c r="I16" s="31">
        <v>0</v>
      </c>
      <c r="J16" s="31" t="s">
        <v>860</v>
      </c>
      <c r="K16" s="31" t="s">
        <v>921</v>
      </c>
      <c r="L16" s="31"/>
      <c r="M16" s="31"/>
      <c r="N16" s="31" t="str">
        <f t="shared" si="0"/>
        <v>Active(Rotation.Cube.tier05.start.buff.buffeffect.skilleffect)</v>
      </c>
      <c r="O16" s="31">
        <v>0</v>
      </c>
      <c r="P16" s="31">
        <v>0</v>
      </c>
      <c r="Q16" s="31"/>
      <c r="R16" s="32" t="b">
        <v>1</v>
      </c>
    </row>
    <row r="17" spans="1:18" x14ac:dyDescent="0.3">
      <c r="A17" s="192" t="s">
        <v>1155</v>
      </c>
      <c r="B17" s="31"/>
      <c r="C17" s="31"/>
      <c r="D17" s="31">
        <v>0</v>
      </c>
      <c r="E17" s="31">
        <v>1</v>
      </c>
      <c r="F17" s="31" t="s">
        <v>476</v>
      </c>
      <c r="G17" s="31" t="s">
        <v>477</v>
      </c>
      <c r="H17" s="31"/>
      <c r="I17" s="31">
        <v>0</v>
      </c>
      <c r="J17" s="31" t="s">
        <v>860</v>
      </c>
      <c r="K17" s="31" t="s">
        <v>1156</v>
      </c>
      <c r="L17" s="31"/>
      <c r="M17" s="31"/>
      <c r="N17" s="31" t="str">
        <f t="shared" ref="N17" si="1">J17&amp;"("&amp;IF(K17="","",K17)&amp;IF(L17="","",", "&amp;L17)&amp;IF(M17="","",", "&amp;M17)&amp;")"</f>
        <v>Active(Hamberger.start.buff.buffeffect.skilleffect)</v>
      </c>
      <c r="O17" s="31">
        <v>0</v>
      </c>
      <c r="P17" s="31">
        <v>0</v>
      </c>
      <c r="Q17" s="31"/>
      <c r="R17" s="32" t="b">
        <v>1</v>
      </c>
    </row>
    <row r="18" spans="1:18" x14ac:dyDescent="0.3">
      <c r="A18" s="192" t="s">
        <v>1160</v>
      </c>
      <c r="B18" s="31" t="s">
        <v>1158</v>
      </c>
      <c r="C18" s="31" t="s">
        <v>1163</v>
      </c>
      <c r="D18" s="31">
        <v>0</v>
      </c>
      <c r="E18" s="31"/>
      <c r="F18" s="31" t="s">
        <v>476</v>
      </c>
      <c r="G18" s="31" t="s">
        <v>477</v>
      </c>
      <c r="H18" s="31"/>
      <c r="I18" s="31">
        <v>0</v>
      </c>
      <c r="J18" s="31" t="s">
        <v>860</v>
      </c>
      <c r="K18" s="31" t="s">
        <v>1161</v>
      </c>
      <c r="L18" s="31"/>
      <c r="M18" s="31"/>
      <c r="N18" s="31" t="str">
        <f t="shared" ref="N18:N19" si="2">J18&amp;"("&amp;IF(K18="","",K18)&amp;IF(L18="","",", "&amp;L18)&amp;IF(M18="","",", "&amp;M18)&amp;")"</f>
        <v>Active(Hamberger.Poison.stack.buff.buffeffect.skilleffect)</v>
      </c>
      <c r="O18" s="31">
        <v>0</v>
      </c>
      <c r="P18" s="31">
        <v>1000</v>
      </c>
      <c r="Q18" s="31"/>
      <c r="R18" s="32" t="b">
        <v>1</v>
      </c>
    </row>
    <row r="19" spans="1:18" x14ac:dyDescent="0.3">
      <c r="A19" s="193" t="s">
        <v>1164</v>
      </c>
      <c r="B19" s="157"/>
      <c r="C19" s="157"/>
      <c r="D19" s="157">
        <v>0</v>
      </c>
      <c r="E19" s="157">
        <v>1</v>
      </c>
      <c r="F19" s="157" t="s">
        <v>476</v>
      </c>
      <c r="G19" s="157" t="s">
        <v>477</v>
      </c>
      <c r="H19" s="157"/>
      <c r="I19" s="157">
        <v>0</v>
      </c>
      <c r="J19" s="157" t="s">
        <v>846</v>
      </c>
      <c r="K19" s="157" t="s">
        <v>872</v>
      </c>
      <c r="L19" s="157">
        <v>-20</v>
      </c>
      <c r="M19" s="157"/>
      <c r="N19" s="157" t="str">
        <f t="shared" si="2"/>
        <v>Status(DamageDerate, -20)</v>
      </c>
      <c r="O19" s="157">
        <v>0</v>
      </c>
      <c r="P19" s="157">
        <v>0</v>
      </c>
      <c r="Q19" s="157"/>
      <c r="R19" s="157" t="b">
        <v>1</v>
      </c>
    </row>
    <row r="20" spans="1:18" x14ac:dyDescent="0.3">
      <c r="A20" s="191" t="s">
        <v>545</v>
      </c>
      <c r="B20" s="8"/>
      <c r="C20" s="8"/>
      <c r="D20" s="8">
        <v>0</v>
      </c>
      <c r="E20" s="8">
        <v>1</v>
      </c>
      <c r="F20" s="8" t="s">
        <v>476</v>
      </c>
      <c r="G20" s="8" t="s">
        <v>477</v>
      </c>
      <c r="H20" s="8"/>
      <c r="I20" s="8">
        <v>0</v>
      </c>
      <c r="J20" s="8" t="s">
        <v>846</v>
      </c>
      <c r="K20" s="8" t="s">
        <v>857</v>
      </c>
      <c r="L20" s="8">
        <v>2000</v>
      </c>
      <c r="M20" s="8"/>
      <c r="N20" s="8" t="str">
        <f t="shared" si="0"/>
        <v>Status(DamageRate, 2000)</v>
      </c>
      <c r="O20" s="8">
        <v>0</v>
      </c>
      <c r="P20" s="8">
        <v>0</v>
      </c>
      <c r="Q20" s="8"/>
      <c r="R20" s="9" t="b">
        <v>0</v>
      </c>
    </row>
    <row r="21" spans="1:18" x14ac:dyDescent="0.3">
      <c r="A21" s="191" t="s">
        <v>548</v>
      </c>
      <c r="B21" s="8"/>
      <c r="C21" s="8"/>
      <c r="D21" s="8">
        <v>0</v>
      </c>
      <c r="E21" s="8">
        <v>1</v>
      </c>
      <c r="F21" s="8" t="s">
        <v>476</v>
      </c>
      <c r="G21" s="8" t="s">
        <v>477</v>
      </c>
      <c r="H21" s="8"/>
      <c r="I21" s="8">
        <v>0</v>
      </c>
      <c r="J21" s="8" t="s">
        <v>846</v>
      </c>
      <c r="K21" s="8" t="s">
        <v>857</v>
      </c>
      <c r="L21" s="8">
        <v>2000</v>
      </c>
      <c r="M21" s="8"/>
      <c r="N21" s="8" t="str">
        <f t="shared" si="0"/>
        <v>Status(DamageRate, 2000)</v>
      </c>
      <c r="O21" s="8">
        <v>0</v>
      </c>
      <c r="P21" s="8">
        <v>0</v>
      </c>
      <c r="Q21" s="8"/>
      <c r="R21" s="9" t="b">
        <v>0</v>
      </c>
    </row>
    <row r="22" spans="1:18" x14ac:dyDescent="0.3">
      <c r="A22" s="191" t="s">
        <v>551</v>
      </c>
      <c r="B22" s="8"/>
      <c r="C22" s="8"/>
      <c r="D22" s="8">
        <v>0</v>
      </c>
      <c r="E22" s="8">
        <v>1</v>
      </c>
      <c r="F22" s="8" t="s">
        <v>476</v>
      </c>
      <c r="G22" s="8" t="s">
        <v>477</v>
      </c>
      <c r="H22" s="8"/>
      <c r="I22" s="8">
        <v>0</v>
      </c>
      <c r="J22" s="8" t="s">
        <v>846</v>
      </c>
      <c r="K22" s="8" t="s">
        <v>857</v>
      </c>
      <c r="L22" s="8">
        <v>2000</v>
      </c>
      <c r="M22" s="8"/>
      <c r="N22" s="8" t="str">
        <f t="shared" si="0"/>
        <v>Status(DamageRate, 2000)</v>
      </c>
      <c r="O22" s="8">
        <v>0</v>
      </c>
      <c r="P22" s="8">
        <v>0</v>
      </c>
      <c r="Q22" s="8"/>
      <c r="R22" s="9" t="b">
        <v>0</v>
      </c>
    </row>
    <row r="23" spans="1:18" x14ac:dyDescent="0.3">
      <c r="A23" s="191" t="s">
        <v>553</v>
      </c>
      <c r="B23" s="8"/>
      <c r="C23" s="8"/>
      <c r="D23" s="8">
        <v>0</v>
      </c>
      <c r="E23" s="8">
        <v>1</v>
      </c>
      <c r="F23" s="8" t="s">
        <v>476</v>
      </c>
      <c r="G23" s="8" t="s">
        <v>477</v>
      </c>
      <c r="H23" s="8"/>
      <c r="I23" s="8">
        <v>0</v>
      </c>
      <c r="J23" s="8" t="s">
        <v>846</v>
      </c>
      <c r="K23" s="8" t="s">
        <v>852</v>
      </c>
      <c r="L23" s="8">
        <v>200</v>
      </c>
      <c r="M23" s="8"/>
      <c r="N23" s="8" t="str">
        <f t="shared" si="0"/>
        <v>Status(AttackRatio, 200)</v>
      </c>
      <c r="O23" s="8">
        <v>0</v>
      </c>
      <c r="P23" s="8">
        <v>0</v>
      </c>
      <c r="Q23" s="8"/>
      <c r="R23" s="9" t="b">
        <v>0</v>
      </c>
    </row>
    <row r="24" spans="1:18" x14ac:dyDescent="0.3">
      <c r="A24" s="191" t="s">
        <v>555</v>
      </c>
      <c r="B24" s="8"/>
      <c r="C24" s="8"/>
      <c r="D24" s="8">
        <v>0</v>
      </c>
      <c r="E24" s="8">
        <v>1</v>
      </c>
      <c r="F24" s="8" t="s">
        <v>476</v>
      </c>
      <c r="G24" s="8" t="s">
        <v>477</v>
      </c>
      <c r="H24" s="8"/>
      <c r="I24" s="8">
        <v>0</v>
      </c>
      <c r="J24" s="8" t="s">
        <v>846</v>
      </c>
      <c r="K24" s="8" t="s">
        <v>922</v>
      </c>
      <c r="L24" s="8">
        <v>200</v>
      </c>
      <c r="M24" s="8"/>
      <c r="N24" s="8" t="str">
        <f t="shared" si="0"/>
        <v>Status(MaxHpRatio, 200)</v>
      </c>
      <c r="O24" s="8">
        <v>0</v>
      </c>
      <c r="P24" s="8">
        <v>0</v>
      </c>
      <c r="Q24" s="8"/>
      <c r="R24" s="9" t="b">
        <v>0</v>
      </c>
    </row>
    <row r="25" spans="1:18" x14ac:dyDescent="0.3">
      <c r="A25" s="191" t="s">
        <v>558</v>
      </c>
      <c r="B25" s="8"/>
      <c r="C25" s="8"/>
      <c r="D25" s="8">
        <v>0</v>
      </c>
      <c r="E25" s="8">
        <v>1</v>
      </c>
      <c r="F25" s="8" t="s">
        <v>476</v>
      </c>
      <c r="G25" s="8" t="s">
        <v>477</v>
      </c>
      <c r="H25" s="8"/>
      <c r="I25" s="8">
        <v>0</v>
      </c>
      <c r="J25" s="8" t="s">
        <v>846</v>
      </c>
      <c r="K25" s="8" t="s">
        <v>847</v>
      </c>
      <c r="L25" s="8">
        <v>200</v>
      </c>
      <c r="M25" s="8"/>
      <c r="N25" s="8" t="str">
        <f t="shared" si="0"/>
        <v>Status(DefenseRatio, 200)</v>
      </c>
      <c r="O25" s="8">
        <v>0</v>
      </c>
      <c r="P25" s="8">
        <v>0</v>
      </c>
      <c r="Q25" s="8"/>
      <c r="R25" s="9" t="b">
        <v>0</v>
      </c>
    </row>
    <row r="26" spans="1:18" x14ac:dyDescent="0.3">
      <c r="A26" s="191" t="s">
        <v>804</v>
      </c>
      <c r="B26" s="8"/>
      <c r="C26" s="8"/>
      <c r="D26" s="8">
        <v>0</v>
      </c>
      <c r="E26" s="8">
        <v>1</v>
      </c>
      <c r="F26" s="8" t="s">
        <v>476</v>
      </c>
      <c r="G26" s="8" t="s">
        <v>477</v>
      </c>
      <c r="H26" s="8"/>
      <c r="I26" s="8">
        <v>0</v>
      </c>
      <c r="J26" s="8" t="s">
        <v>846</v>
      </c>
      <c r="K26" s="8" t="s">
        <v>852</v>
      </c>
      <c r="L26" s="8">
        <v>100</v>
      </c>
      <c r="M26" s="8"/>
      <c r="N26" s="8" t="str">
        <f t="shared" si="0"/>
        <v>Status(AttackRatio, 100)</v>
      </c>
      <c r="O26" s="8">
        <v>0</v>
      </c>
      <c r="P26" s="8">
        <v>0</v>
      </c>
      <c r="Q26" s="8"/>
      <c r="R26" s="9" t="b">
        <v>0</v>
      </c>
    </row>
    <row r="27" spans="1:18" x14ac:dyDescent="0.3">
      <c r="A27" s="191" t="s">
        <v>805</v>
      </c>
      <c r="B27" s="8"/>
      <c r="C27" s="8"/>
      <c r="D27" s="8">
        <v>0</v>
      </c>
      <c r="E27" s="8">
        <v>1</v>
      </c>
      <c r="F27" s="8" t="s">
        <v>476</v>
      </c>
      <c r="G27" s="8" t="s">
        <v>477</v>
      </c>
      <c r="H27" s="8"/>
      <c r="I27" s="8">
        <v>0</v>
      </c>
      <c r="J27" s="8" t="s">
        <v>846</v>
      </c>
      <c r="K27" s="8" t="s">
        <v>922</v>
      </c>
      <c r="L27" s="8">
        <v>100</v>
      </c>
      <c r="M27" s="8"/>
      <c r="N27" s="8" t="str">
        <f t="shared" si="0"/>
        <v>Status(MaxHpRatio, 100)</v>
      </c>
      <c r="O27" s="8">
        <v>0</v>
      </c>
      <c r="P27" s="8">
        <v>0</v>
      </c>
      <c r="Q27" s="8"/>
      <c r="R27" s="9" t="b">
        <v>0</v>
      </c>
    </row>
    <row r="28" spans="1:18" x14ac:dyDescent="0.3">
      <c r="A28" s="191" t="s">
        <v>806</v>
      </c>
      <c r="B28" s="8"/>
      <c r="C28" s="8"/>
      <c r="D28" s="8">
        <v>0</v>
      </c>
      <c r="E28" s="8">
        <v>1</v>
      </c>
      <c r="F28" s="8" t="s">
        <v>476</v>
      </c>
      <c r="G28" s="8" t="s">
        <v>477</v>
      </c>
      <c r="H28" s="8"/>
      <c r="I28" s="8">
        <v>0</v>
      </c>
      <c r="J28" s="8" t="s">
        <v>846</v>
      </c>
      <c r="K28" s="8" t="s">
        <v>847</v>
      </c>
      <c r="L28" s="8">
        <v>100</v>
      </c>
      <c r="M28" s="8"/>
      <c r="N28" s="8" t="str">
        <f t="shared" si="0"/>
        <v>Status(DefenseRatio, 100)</v>
      </c>
      <c r="O28" s="8">
        <v>0</v>
      </c>
      <c r="P28" s="8">
        <v>0</v>
      </c>
      <c r="Q28" s="8"/>
      <c r="R28" s="9" t="b">
        <v>0</v>
      </c>
    </row>
    <row r="29" spans="1:18" x14ac:dyDescent="0.3">
      <c r="A29" s="191" t="s">
        <v>807</v>
      </c>
      <c r="B29" s="8"/>
      <c r="C29" s="8"/>
      <c r="D29" s="8">
        <v>0</v>
      </c>
      <c r="E29" s="8">
        <v>1</v>
      </c>
      <c r="F29" s="8" t="s">
        <v>476</v>
      </c>
      <c r="G29" s="8" t="s">
        <v>477</v>
      </c>
      <c r="H29" s="8"/>
      <c r="I29" s="8">
        <v>0</v>
      </c>
      <c r="J29" s="8" t="s">
        <v>846</v>
      </c>
      <c r="K29" s="8" t="s">
        <v>852</v>
      </c>
      <c r="L29" s="8">
        <v>100</v>
      </c>
      <c r="M29" s="8"/>
      <c r="N29" s="8" t="str">
        <f t="shared" si="0"/>
        <v>Status(AttackRatio, 100)</v>
      </c>
      <c r="O29" s="8">
        <v>0</v>
      </c>
      <c r="P29" s="8">
        <v>0</v>
      </c>
      <c r="Q29" s="8"/>
      <c r="R29" s="9" t="b">
        <v>0</v>
      </c>
    </row>
    <row r="30" spans="1:18" x14ac:dyDescent="0.3">
      <c r="A30" s="191" t="s">
        <v>808</v>
      </c>
      <c r="B30" s="8"/>
      <c r="C30" s="8"/>
      <c r="D30" s="8">
        <v>0</v>
      </c>
      <c r="E30" s="8">
        <v>1</v>
      </c>
      <c r="F30" s="8" t="s">
        <v>476</v>
      </c>
      <c r="G30" s="8" t="s">
        <v>477</v>
      </c>
      <c r="H30" s="8"/>
      <c r="I30" s="8">
        <v>0</v>
      </c>
      <c r="J30" s="8" t="s">
        <v>846</v>
      </c>
      <c r="K30" s="8" t="s">
        <v>922</v>
      </c>
      <c r="L30" s="8">
        <v>100</v>
      </c>
      <c r="M30" s="8"/>
      <c r="N30" s="8" t="str">
        <f t="shared" si="0"/>
        <v>Status(MaxHpRatio, 100)</v>
      </c>
      <c r="O30" s="8">
        <v>0</v>
      </c>
      <c r="P30" s="8">
        <v>0</v>
      </c>
      <c r="Q30" s="8"/>
      <c r="R30" s="9" t="b">
        <v>0</v>
      </c>
    </row>
    <row r="31" spans="1:18" x14ac:dyDescent="0.3">
      <c r="A31" s="191" t="s">
        <v>809</v>
      </c>
      <c r="B31" s="8"/>
      <c r="C31" s="8"/>
      <c r="D31" s="8">
        <v>0</v>
      </c>
      <c r="E31" s="8">
        <v>1</v>
      </c>
      <c r="F31" s="8" t="s">
        <v>476</v>
      </c>
      <c r="G31" s="8" t="s">
        <v>477</v>
      </c>
      <c r="H31" s="8"/>
      <c r="I31" s="8">
        <v>0</v>
      </c>
      <c r="J31" s="8" t="s">
        <v>846</v>
      </c>
      <c r="K31" s="8" t="s">
        <v>847</v>
      </c>
      <c r="L31" s="8">
        <v>100</v>
      </c>
      <c r="M31" s="8"/>
      <c r="N31" s="8" t="str">
        <f t="shared" si="0"/>
        <v>Status(DefenseRatio, 100)</v>
      </c>
      <c r="O31" s="8">
        <v>0</v>
      </c>
      <c r="P31" s="8">
        <v>0</v>
      </c>
      <c r="Q31" s="8"/>
      <c r="R31" s="9" t="b">
        <v>0</v>
      </c>
    </row>
    <row r="32" spans="1:18" x14ac:dyDescent="0.3">
      <c r="A32" s="194" t="s">
        <v>580</v>
      </c>
      <c r="B32" s="104"/>
      <c r="C32" s="104"/>
      <c r="D32" s="104">
        <v>0</v>
      </c>
      <c r="E32" s="104">
        <v>1</v>
      </c>
      <c r="F32" s="104" t="s">
        <v>476</v>
      </c>
      <c r="G32" s="104" t="s">
        <v>477</v>
      </c>
      <c r="H32" s="104"/>
      <c r="I32" s="104">
        <v>0</v>
      </c>
      <c r="J32" s="104" t="s">
        <v>846</v>
      </c>
      <c r="K32" s="104" t="s">
        <v>852</v>
      </c>
      <c r="L32" s="104">
        <v>300</v>
      </c>
      <c r="M32" s="104"/>
      <c r="N32" s="104" t="str">
        <f t="shared" si="0"/>
        <v>Status(AttackRatio, 300)</v>
      </c>
      <c r="O32" s="104">
        <v>0</v>
      </c>
      <c r="P32" s="104">
        <v>0</v>
      </c>
      <c r="Q32" s="104"/>
      <c r="R32" s="105" t="b">
        <v>1</v>
      </c>
    </row>
    <row r="33" spans="1:18" x14ac:dyDescent="0.3">
      <c r="A33" s="194" t="s">
        <v>582</v>
      </c>
      <c r="B33" s="104"/>
      <c r="C33" s="104"/>
      <c r="D33" s="104">
        <v>0</v>
      </c>
      <c r="E33" s="104">
        <v>1</v>
      </c>
      <c r="F33" s="104" t="s">
        <v>476</v>
      </c>
      <c r="G33" s="104" t="s">
        <v>477</v>
      </c>
      <c r="H33" s="104"/>
      <c r="I33" s="104">
        <v>0</v>
      </c>
      <c r="J33" s="104" t="s">
        <v>848</v>
      </c>
      <c r="K33" s="104" t="s">
        <v>923</v>
      </c>
      <c r="L33" s="104"/>
      <c r="M33" s="104"/>
      <c r="N33" s="104" t="str">
        <f t="shared" si="0"/>
        <v>CrowdControl(Shock)</v>
      </c>
      <c r="O33" s="104">
        <v>0</v>
      </c>
      <c r="P33" s="104">
        <v>0</v>
      </c>
      <c r="Q33" s="104"/>
      <c r="R33" s="105" t="b">
        <v>1</v>
      </c>
    </row>
    <row r="34" spans="1:18" x14ac:dyDescent="0.3">
      <c r="A34" s="194" t="s">
        <v>586</v>
      </c>
      <c r="B34" s="104"/>
      <c r="C34" s="104"/>
      <c r="D34" s="104">
        <v>0</v>
      </c>
      <c r="E34" s="104">
        <v>1</v>
      </c>
      <c r="F34" s="104" t="s">
        <v>476</v>
      </c>
      <c r="G34" s="104" t="s">
        <v>477</v>
      </c>
      <c r="H34" s="104"/>
      <c r="I34" s="104">
        <v>0</v>
      </c>
      <c r="J34" s="104" t="s">
        <v>846</v>
      </c>
      <c r="K34" s="104" t="s">
        <v>876</v>
      </c>
      <c r="L34" s="104">
        <v>1000</v>
      </c>
      <c r="M34" s="104"/>
      <c r="N34" s="104" t="str">
        <f t="shared" si="0"/>
        <v>Status(AccuracyRate, 1000)</v>
      </c>
      <c r="O34" s="104">
        <v>0</v>
      </c>
      <c r="P34" s="104">
        <v>0</v>
      </c>
      <c r="Q34" s="104"/>
      <c r="R34" s="105" t="b">
        <v>1</v>
      </c>
    </row>
    <row r="35" spans="1:18" x14ac:dyDescent="0.3">
      <c r="A35" s="194" t="s">
        <v>810</v>
      </c>
      <c r="B35" s="104" t="s">
        <v>487</v>
      </c>
      <c r="C35" s="104" t="s">
        <v>585</v>
      </c>
      <c r="D35" s="104">
        <v>0</v>
      </c>
      <c r="E35" s="104"/>
      <c r="F35" s="104" t="s">
        <v>476</v>
      </c>
      <c r="G35" s="104" t="s">
        <v>477</v>
      </c>
      <c r="H35" s="104"/>
      <c r="I35" s="104">
        <v>0</v>
      </c>
      <c r="J35" s="104" t="s">
        <v>813</v>
      </c>
      <c r="K35" s="104">
        <v>1</v>
      </c>
      <c r="L35" s="104">
        <v>400</v>
      </c>
      <c r="M35" s="104"/>
      <c r="N35" s="104" t="str">
        <f t="shared" si="0"/>
        <v>Groggy(1, 400)</v>
      </c>
      <c r="O35" s="104">
        <v>0</v>
      </c>
      <c r="P35" s="104">
        <v>0</v>
      </c>
      <c r="Q35" s="104"/>
      <c r="R35" s="105" t="b">
        <v>1</v>
      </c>
    </row>
    <row r="36" spans="1:18" x14ac:dyDescent="0.3">
      <c r="A36" s="194" t="s">
        <v>811</v>
      </c>
      <c r="B36" s="104" t="s">
        <v>812</v>
      </c>
      <c r="C36" s="104" t="s">
        <v>813</v>
      </c>
      <c r="D36" s="104">
        <v>0</v>
      </c>
      <c r="E36" s="104"/>
      <c r="F36" s="104" t="s">
        <v>476</v>
      </c>
      <c r="G36" s="104" t="s">
        <v>477</v>
      </c>
      <c r="H36" s="104"/>
      <c r="I36" s="104">
        <v>0</v>
      </c>
      <c r="J36" s="104" t="s">
        <v>1380</v>
      </c>
      <c r="K36" s="104" t="s">
        <v>1397</v>
      </c>
      <c r="L36" s="104"/>
      <c r="M36" s="104"/>
      <c r="N36" s="104" t="str">
        <f t="shared" si="0"/>
        <v>Passive(WorldRaid.eperiusunit_1.passive01.groggy.buff)</v>
      </c>
      <c r="O36" s="104">
        <v>0</v>
      </c>
      <c r="P36" s="104">
        <v>0</v>
      </c>
      <c r="Q36" s="104"/>
      <c r="R36" s="105" t="b">
        <v>1</v>
      </c>
    </row>
    <row r="37" spans="1:18" x14ac:dyDescent="0.3">
      <c r="A37" s="194" t="s">
        <v>1396</v>
      </c>
      <c r="B37" s="104"/>
      <c r="C37" s="104"/>
      <c r="D37" s="104">
        <v>0</v>
      </c>
      <c r="E37" s="104">
        <v>1</v>
      </c>
      <c r="F37" s="104" t="s">
        <v>476</v>
      </c>
      <c r="G37" s="104" t="s">
        <v>477</v>
      </c>
      <c r="H37" s="104"/>
      <c r="I37" s="104">
        <v>0</v>
      </c>
      <c r="J37" s="104" t="s">
        <v>860</v>
      </c>
      <c r="K37" s="104" t="s">
        <v>926</v>
      </c>
      <c r="L37" s="104"/>
      <c r="M37" s="104"/>
      <c r="N37" s="104" t="str">
        <f t="shared" ref="N37" si="3">J37&amp;"("&amp;IF(K37="","",K37)&amp;IF(L37="","",", "&amp;L37)&amp;IF(M37="","",", "&amp;M37)&amp;")"</f>
        <v>Active(WorldRaid.eperiusunit_1.passive01.bonus.skilleffect)</v>
      </c>
      <c r="O37" s="104">
        <v>0</v>
      </c>
      <c r="P37" s="104">
        <v>0</v>
      </c>
      <c r="Q37" s="104"/>
      <c r="R37" s="105" t="b">
        <v>1</v>
      </c>
    </row>
    <row r="38" spans="1:18" x14ac:dyDescent="0.3">
      <c r="A38" s="194" t="s">
        <v>2167</v>
      </c>
      <c r="B38" s="104"/>
      <c r="C38" s="104"/>
      <c r="D38" s="104">
        <v>0</v>
      </c>
      <c r="E38" s="104">
        <v>1</v>
      </c>
      <c r="F38" s="104" t="s">
        <v>476</v>
      </c>
      <c r="G38" s="104" t="s">
        <v>477</v>
      </c>
      <c r="H38" s="104"/>
      <c r="I38" s="104">
        <v>0</v>
      </c>
      <c r="J38" s="104" t="s">
        <v>860</v>
      </c>
      <c r="K38" s="104" t="s">
        <v>2168</v>
      </c>
      <c r="L38" s="104"/>
      <c r="M38" s="104"/>
      <c r="N38" s="104" t="str">
        <f t="shared" ref="N38" si="4">J38&amp;"("&amp;IF(K38="","",K38)&amp;IF(L38="","",", "&amp;L38)&amp;IF(M38="","",", "&amp;M38)&amp;")"</f>
        <v>Active(WorldRaid.eperiusunit_1.passive01.weak.skilleffect)</v>
      </c>
      <c r="O38" s="104">
        <v>0</v>
      </c>
      <c r="P38" s="104">
        <v>0</v>
      </c>
      <c r="Q38" s="104"/>
      <c r="R38" s="105" t="b">
        <v>1</v>
      </c>
    </row>
    <row r="39" spans="1:18" x14ac:dyDescent="0.3">
      <c r="A39" s="194" t="s">
        <v>2173</v>
      </c>
      <c r="B39" s="104"/>
      <c r="C39" s="104"/>
      <c r="D39" s="104">
        <v>0</v>
      </c>
      <c r="E39" s="104">
        <v>1</v>
      </c>
      <c r="F39" s="104" t="s">
        <v>476</v>
      </c>
      <c r="G39" s="104" t="s">
        <v>477</v>
      </c>
      <c r="H39" s="104"/>
      <c r="I39" s="104">
        <v>0</v>
      </c>
      <c r="J39" s="104" t="s">
        <v>846</v>
      </c>
      <c r="K39" s="104" t="s">
        <v>872</v>
      </c>
      <c r="L39" s="104">
        <v>0</v>
      </c>
      <c r="M39" s="104"/>
      <c r="N39" s="104" t="str">
        <f t="shared" ref="N39" si="5">J39&amp;"("&amp;IF(K39="","",K39)&amp;IF(L39="","",", "&amp;L39)&amp;IF(M39="","",", "&amp;M39)&amp;")"</f>
        <v>Status(DamageDerate, 0)</v>
      </c>
      <c r="O39" s="104">
        <v>0</v>
      </c>
      <c r="P39" s="104">
        <v>0</v>
      </c>
      <c r="Q39" s="104"/>
      <c r="R39" s="105" t="b">
        <v>1</v>
      </c>
    </row>
    <row r="40" spans="1:18" x14ac:dyDescent="0.3">
      <c r="A40" s="194" t="s">
        <v>1399</v>
      </c>
      <c r="B40" s="104"/>
      <c r="C40" s="104"/>
      <c r="D40" s="104">
        <v>0</v>
      </c>
      <c r="E40" s="104">
        <v>1</v>
      </c>
      <c r="F40" s="104" t="s">
        <v>476</v>
      </c>
      <c r="G40" s="104" t="s">
        <v>477</v>
      </c>
      <c r="H40" s="104"/>
      <c r="I40" s="104">
        <v>0</v>
      </c>
      <c r="J40" s="104" t="s">
        <v>846</v>
      </c>
      <c r="K40" s="104" t="s">
        <v>872</v>
      </c>
      <c r="L40" s="104">
        <v>-300</v>
      </c>
      <c r="M40" s="104"/>
      <c r="N40" s="104" t="str">
        <f t="shared" ref="N40" si="6">J40&amp;"("&amp;IF(K40="","",K40)&amp;IF(L40="","",", "&amp;L40)&amp;IF(M40="","",", "&amp;M40)&amp;")"</f>
        <v>Status(DamageDerate, -300)</v>
      </c>
      <c r="O40" s="104">
        <v>0</v>
      </c>
      <c r="P40" s="104">
        <v>0</v>
      </c>
      <c r="Q40" s="104"/>
      <c r="R40" s="105" t="b">
        <v>1</v>
      </c>
    </row>
    <row r="41" spans="1:18" x14ac:dyDescent="0.3">
      <c r="A41" s="194" t="s">
        <v>1400</v>
      </c>
      <c r="B41" s="104"/>
      <c r="C41" s="104"/>
      <c r="D41" s="104">
        <v>0</v>
      </c>
      <c r="E41" s="104">
        <v>1</v>
      </c>
      <c r="F41" s="104" t="s">
        <v>476</v>
      </c>
      <c r="G41" s="104" t="s">
        <v>477</v>
      </c>
      <c r="H41" s="104"/>
      <c r="I41" s="104">
        <v>0</v>
      </c>
      <c r="J41" s="104" t="s">
        <v>846</v>
      </c>
      <c r="K41" s="104" t="s">
        <v>924</v>
      </c>
      <c r="L41" s="104">
        <v>-1000</v>
      </c>
      <c r="M41" s="104"/>
      <c r="N41" s="104" t="str">
        <f t="shared" si="0"/>
        <v>Status(GuardRate, -1000)</v>
      </c>
      <c r="O41" s="104">
        <v>0</v>
      </c>
      <c r="P41" s="104">
        <v>0</v>
      </c>
      <c r="Q41" s="104"/>
      <c r="R41" s="105" t="b">
        <v>1</v>
      </c>
    </row>
    <row r="42" spans="1:18" x14ac:dyDescent="0.3">
      <c r="A42" s="194" t="s">
        <v>1492</v>
      </c>
      <c r="B42" s="104"/>
      <c r="C42" s="104"/>
      <c r="D42" s="104">
        <v>0</v>
      </c>
      <c r="E42" s="104">
        <v>1</v>
      </c>
      <c r="F42" s="104" t="s">
        <v>476</v>
      </c>
      <c r="G42" s="104" t="s">
        <v>477</v>
      </c>
      <c r="H42" s="104"/>
      <c r="I42" s="104">
        <v>0</v>
      </c>
      <c r="J42" s="104" t="s">
        <v>846</v>
      </c>
      <c r="K42" s="104" t="s">
        <v>925</v>
      </c>
      <c r="L42" s="104">
        <v>-1000</v>
      </c>
      <c r="M42" s="104"/>
      <c r="N42" s="104" t="str">
        <f t="shared" si="0"/>
        <v>Status(AccuracyDerate, -1000)</v>
      </c>
      <c r="O42" s="104">
        <v>0</v>
      </c>
      <c r="P42" s="104">
        <v>0</v>
      </c>
      <c r="Q42" s="104"/>
      <c r="R42" s="105" t="b">
        <v>1</v>
      </c>
    </row>
    <row r="43" spans="1:18" x14ac:dyDescent="0.3">
      <c r="A43" s="194" t="s">
        <v>2172</v>
      </c>
      <c r="B43" s="104"/>
      <c r="C43" s="104"/>
      <c r="D43" s="104">
        <v>0</v>
      </c>
      <c r="E43" s="104">
        <v>1</v>
      </c>
      <c r="F43" s="104" t="s">
        <v>476</v>
      </c>
      <c r="G43" s="104" t="s">
        <v>477</v>
      </c>
      <c r="H43" s="104"/>
      <c r="I43" s="104">
        <v>0</v>
      </c>
      <c r="J43" s="104" t="s">
        <v>846</v>
      </c>
      <c r="K43" s="104" t="s">
        <v>852</v>
      </c>
      <c r="L43" s="104">
        <v>-700</v>
      </c>
      <c r="M43" s="104"/>
      <c r="N43" s="104" t="str">
        <f t="shared" si="0"/>
        <v>Status(AttackRatio, -700)</v>
      </c>
      <c r="O43" s="104">
        <v>0</v>
      </c>
      <c r="P43" s="104">
        <v>0</v>
      </c>
      <c r="Q43" s="104"/>
      <c r="R43" s="105" t="b">
        <v>1</v>
      </c>
    </row>
    <row r="44" spans="1:18" x14ac:dyDescent="0.3">
      <c r="A44" s="227" t="s">
        <v>1850</v>
      </c>
      <c r="B44" s="49"/>
      <c r="C44" s="49"/>
      <c r="D44" s="49">
        <v>0</v>
      </c>
      <c r="E44" s="49">
        <v>1</v>
      </c>
      <c r="F44" s="49" t="s">
        <v>476</v>
      </c>
      <c r="G44" s="49" t="s">
        <v>477</v>
      </c>
      <c r="H44" s="49"/>
      <c r="I44" s="49">
        <v>0</v>
      </c>
      <c r="J44" s="49" t="s">
        <v>846</v>
      </c>
      <c r="K44" s="49" t="s">
        <v>872</v>
      </c>
      <c r="L44" s="49">
        <v>-500</v>
      </c>
      <c r="M44" s="49"/>
      <c r="N44" s="49" t="str">
        <f t="shared" ref="N44:N46" si="7">J44&amp;"("&amp;IF(K44="","",K44)&amp;IF(L44="","",", "&amp;L44)&amp;IF(M44="","",", "&amp;M44)&amp;")"</f>
        <v>Status(DamageDerate, -500)</v>
      </c>
      <c r="O44" s="49">
        <v>0</v>
      </c>
      <c r="P44" s="49">
        <v>0</v>
      </c>
      <c r="Q44" s="49"/>
      <c r="R44" s="50" t="b">
        <v>1</v>
      </c>
    </row>
    <row r="45" spans="1:18" x14ac:dyDescent="0.3">
      <c r="A45" s="227" t="s">
        <v>1852</v>
      </c>
      <c r="B45" s="49"/>
      <c r="C45" s="49"/>
      <c r="D45" s="49">
        <v>0</v>
      </c>
      <c r="E45" s="49">
        <v>1</v>
      </c>
      <c r="F45" s="49" t="s">
        <v>476</v>
      </c>
      <c r="G45" s="49" t="s">
        <v>477</v>
      </c>
      <c r="H45" s="49"/>
      <c r="I45" s="49">
        <v>0</v>
      </c>
      <c r="J45" s="49" t="s">
        <v>846</v>
      </c>
      <c r="K45" s="49" t="s">
        <v>924</v>
      </c>
      <c r="L45" s="49">
        <v>-1000</v>
      </c>
      <c r="M45" s="49"/>
      <c r="N45" s="49" t="str">
        <f t="shared" si="7"/>
        <v>Status(GuardRate, -1000)</v>
      </c>
      <c r="O45" s="49">
        <v>0</v>
      </c>
      <c r="P45" s="49">
        <v>0</v>
      </c>
      <c r="Q45" s="49"/>
      <c r="R45" s="50" t="b">
        <v>1</v>
      </c>
    </row>
    <row r="46" spans="1:18" x14ac:dyDescent="0.3">
      <c r="A46" s="227" t="s">
        <v>1853</v>
      </c>
      <c r="B46" s="49"/>
      <c r="C46" s="49"/>
      <c r="D46" s="49">
        <v>0</v>
      </c>
      <c r="E46" s="49">
        <v>1</v>
      </c>
      <c r="F46" s="49" t="s">
        <v>476</v>
      </c>
      <c r="G46" s="49" t="s">
        <v>477</v>
      </c>
      <c r="H46" s="49"/>
      <c r="I46" s="49">
        <v>0</v>
      </c>
      <c r="J46" s="49" t="s">
        <v>846</v>
      </c>
      <c r="K46" s="49" t="s">
        <v>925</v>
      </c>
      <c r="L46" s="49">
        <v>-1000</v>
      </c>
      <c r="M46" s="49"/>
      <c r="N46" s="49" t="str">
        <f t="shared" si="7"/>
        <v>Status(AccuracyDerate, -1000)</v>
      </c>
      <c r="O46" s="49">
        <v>0</v>
      </c>
      <c r="P46" s="49">
        <v>0</v>
      </c>
      <c r="Q46" s="49"/>
      <c r="R46" s="50" t="b">
        <v>1</v>
      </c>
    </row>
    <row r="47" spans="1:18" x14ac:dyDescent="0.3">
      <c r="A47" s="227" t="s">
        <v>1865</v>
      </c>
      <c r="B47" s="49" t="s">
        <v>487</v>
      </c>
      <c r="C47" s="49" t="s">
        <v>1936</v>
      </c>
      <c r="D47" s="49">
        <v>0</v>
      </c>
      <c r="E47" s="49">
        <v>1</v>
      </c>
      <c r="F47" s="49" t="s">
        <v>476</v>
      </c>
      <c r="G47" s="49" t="s">
        <v>477</v>
      </c>
      <c r="H47" s="49"/>
      <c r="I47" s="49">
        <v>0</v>
      </c>
      <c r="J47" s="49" t="s">
        <v>1866</v>
      </c>
      <c r="K47" s="49" t="s">
        <v>1867</v>
      </c>
      <c r="L47" s="49"/>
      <c r="M47" s="49"/>
      <c r="N47" s="49" t="str">
        <f t="shared" ref="N47" si="8">J47&amp;"("&amp;IF(K47="","",K47)&amp;IF(L47="","",", "&amp;L47)&amp;IF(M47="","",", "&amp;M47)&amp;")"</f>
        <v>Active(Raid.Groggy.damage.skilleffect.01)</v>
      </c>
      <c r="O47" s="49">
        <v>0</v>
      </c>
      <c r="P47" s="49">
        <v>100000</v>
      </c>
      <c r="Q47" s="49"/>
      <c r="R47" s="50" t="b">
        <v>1</v>
      </c>
    </row>
    <row r="48" spans="1:18" x14ac:dyDescent="0.3">
      <c r="A48" s="195" t="s">
        <v>1791</v>
      </c>
      <c r="B48" s="58"/>
      <c r="C48" s="58"/>
      <c r="D48" s="58">
        <v>0</v>
      </c>
      <c r="E48" s="58">
        <v>1</v>
      </c>
      <c r="F48" s="58" t="s">
        <v>476</v>
      </c>
      <c r="G48" s="58" t="s">
        <v>477</v>
      </c>
      <c r="H48" s="58"/>
      <c r="I48" s="58">
        <v>0</v>
      </c>
      <c r="J48" s="58" t="s">
        <v>848</v>
      </c>
      <c r="K48" s="58" t="s">
        <v>923</v>
      </c>
      <c r="L48" s="58"/>
      <c r="M48" s="58"/>
      <c r="N48" s="58" t="str">
        <f>J48&amp;"("&amp;IF(K48="","",K48)&amp;IF(L48="","",", "&amp;L48)&amp;IF(M48="","",", "&amp;M48)&amp;")"</f>
        <v>CrowdControl(Shock)</v>
      </c>
      <c r="O48" s="58">
        <v>0</v>
      </c>
      <c r="P48" s="58">
        <v>0</v>
      </c>
      <c r="Q48" s="45"/>
      <c r="R48" s="46" t="b">
        <v>1</v>
      </c>
    </row>
    <row r="49" spans="1:18" x14ac:dyDescent="0.3">
      <c r="A49" s="195" t="s">
        <v>1796</v>
      </c>
      <c r="B49" s="58"/>
      <c r="C49" s="58"/>
      <c r="D49" s="58">
        <v>0</v>
      </c>
      <c r="E49" s="58">
        <v>1</v>
      </c>
      <c r="F49" s="58" t="s">
        <v>476</v>
      </c>
      <c r="G49" s="58" t="s">
        <v>477</v>
      </c>
      <c r="H49" s="58"/>
      <c r="I49" s="58">
        <v>0</v>
      </c>
      <c r="J49" s="58" t="s">
        <v>877</v>
      </c>
      <c r="K49" s="58" t="s">
        <v>878</v>
      </c>
      <c r="L49" s="58"/>
      <c r="M49" s="58"/>
      <c r="N49" s="58" t="str">
        <f>J49&amp;"("&amp;IF(K49="","",K49)&amp;IF(L49="","",", "&amp;L49)&amp;IF(M49="","",", "&amp;M49)&amp;")"</f>
        <v>ChangeSkill(Normal)</v>
      </c>
      <c r="O49" s="58">
        <v>0</v>
      </c>
      <c r="P49" s="58">
        <v>0</v>
      </c>
      <c r="Q49" s="45"/>
      <c r="R49" s="46" t="b">
        <v>1</v>
      </c>
    </row>
    <row r="50" spans="1:18" x14ac:dyDescent="0.3">
      <c r="A50" s="195" t="s">
        <v>1797</v>
      </c>
      <c r="B50" s="58"/>
      <c r="C50" s="58"/>
      <c r="D50" s="58">
        <v>0</v>
      </c>
      <c r="E50" s="58">
        <v>1</v>
      </c>
      <c r="F50" s="58" t="s">
        <v>476</v>
      </c>
      <c r="G50" s="58" t="s">
        <v>477</v>
      </c>
      <c r="H50" s="58"/>
      <c r="I50" s="58">
        <v>0</v>
      </c>
      <c r="J50" s="58" t="s">
        <v>846</v>
      </c>
      <c r="K50" s="58" t="s">
        <v>853</v>
      </c>
      <c r="L50" s="58">
        <v>500</v>
      </c>
      <c r="M50" s="58"/>
      <c r="N50" s="58" t="str">
        <f>J50&amp;"("&amp;IF(K50="","",K50)&amp;IF(L50="","",", "&amp;L50)&amp;IF(M50="","",", "&amp;M50)&amp;")"</f>
        <v>Status(AttackSpeedRate, 500)</v>
      </c>
      <c r="O50" s="58">
        <v>0</v>
      </c>
      <c r="P50" s="58">
        <v>0</v>
      </c>
      <c r="Q50" s="45"/>
      <c r="R50" s="46" t="b">
        <v>1</v>
      </c>
    </row>
    <row r="51" spans="1:18" x14ac:dyDescent="0.3">
      <c r="A51" s="195" t="s">
        <v>1798</v>
      </c>
      <c r="B51" s="58"/>
      <c r="C51" s="58"/>
      <c r="D51" s="58">
        <v>0</v>
      </c>
      <c r="E51" s="58">
        <v>1</v>
      </c>
      <c r="F51" s="58" t="s">
        <v>476</v>
      </c>
      <c r="G51" s="58" t="s">
        <v>477</v>
      </c>
      <c r="H51" s="58"/>
      <c r="I51" s="58">
        <v>0</v>
      </c>
      <c r="J51" s="58" t="s">
        <v>846</v>
      </c>
      <c r="K51" s="58" t="s">
        <v>887</v>
      </c>
      <c r="L51" s="58">
        <v>200</v>
      </c>
      <c r="M51" s="58"/>
      <c r="N51" s="58" t="str">
        <f t="shared" ref="N51" si="9">J51&amp;"("&amp;IF(K51="","",K51)&amp;IF(L51="","",", "&amp;L51)&amp;IF(M51="","",", "&amp;M51)&amp;")"</f>
        <v>Status(HpDrainRate, 200)</v>
      </c>
      <c r="O51" s="58">
        <v>0</v>
      </c>
      <c r="P51" s="58">
        <v>0</v>
      </c>
      <c r="Q51" s="45"/>
      <c r="R51" s="46" t="b">
        <v>1</v>
      </c>
    </row>
    <row r="52" spans="1:18" x14ac:dyDescent="0.3">
      <c r="A52" s="194" t="s">
        <v>1855</v>
      </c>
      <c r="B52" s="104"/>
      <c r="C52" s="104"/>
      <c r="D52" s="104">
        <v>0</v>
      </c>
      <c r="E52" s="104">
        <v>1</v>
      </c>
      <c r="F52" s="104" t="s">
        <v>476</v>
      </c>
      <c r="G52" s="104" t="s">
        <v>477</v>
      </c>
      <c r="H52" s="104"/>
      <c r="I52" s="104">
        <v>0</v>
      </c>
      <c r="J52" s="104" t="s">
        <v>813</v>
      </c>
      <c r="K52" s="104">
        <v>60</v>
      </c>
      <c r="L52" s="104">
        <v>1000</v>
      </c>
      <c r="M52" s="104" t="s">
        <v>927</v>
      </c>
      <c r="N52" s="104" t="str">
        <f>J52&amp;"("&amp;IF(K52="","",K52)&amp;IF(L52="","",", "&amp;L52)&amp;IF(M52="","",", "&amp;M52)&amp;")"</f>
        <v>Groggy(60, 1000, DamageRatio)</v>
      </c>
      <c r="O52" s="104">
        <v>0</v>
      </c>
      <c r="P52" s="104">
        <v>0</v>
      </c>
      <c r="Q52" s="104"/>
      <c r="R52" s="105" t="b">
        <v>1</v>
      </c>
    </row>
    <row r="53" spans="1:18" x14ac:dyDescent="0.3">
      <c r="A53" s="194" t="s">
        <v>1873</v>
      </c>
      <c r="B53" s="104" t="s">
        <v>812</v>
      </c>
      <c r="C53" s="104" t="s">
        <v>813</v>
      </c>
      <c r="D53" s="104">
        <v>0</v>
      </c>
      <c r="E53" s="104"/>
      <c r="F53" s="104" t="s">
        <v>476</v>
      </c>
      <c r="G53" s="104" t="s">
        <v>477</v>
      </c>
      <c r="H53" s="104"/>
      <c r="I53" s="104">
        <v>0</v>
      </c>
      <c r="J53" s="104" t="s">
        <v>1384</v>
      </c>
      <c r="K53" s="104" t="s">
        <v>1848</v>
      </c>
      <c r="L53" s="104"/>
      <c r="M53" s="104"/>
      <c r="N53" s="104" t="str">
        <f>J53&amp;"("&amp;IF(K53="","",K53)&amp;IF(L53="","",", "&amp;L53)&amp;IF(M53="","",", "&amp;M53)&amp;")"</f>
        <v>Passive(Raid.Groggy.buff)</v>
      </c>
      <c r="O53" s="104">
        <v>0</v>
      </c>
      <c r="P53" s="104">
        <v>0</v>
      </c>
      <c r="Q53" s="104"/>
      <c r="R53" s="105" t="b">
        <v>1</v>
      </c>
    </row>
    <row r="54" spans="1:18" x14ac:dyDescent="0.3">
      <c r="A54" s="195" t="s">
        <v>1885</v>
      </c>
      <c r="B54" s="58"/>
      <c r="C54" s="58"/>
      <c r="D54" s="58">
        <v>0</v>
      </c>
      <c r="E54" s="58">
        <v>1</v>
      </c>
      <c r="F54" s="58" t="s">
        <v>476</v>
      </c>
      <c r="G54" s="58" t="s">
        <v>477</v>
      </c>
      <c r="H54" s="58"/>
      <c r="I54" s="58">
        <v>0</v>
      </c>
      <c r="J54" s="58" t="s">
        <v>470</v>
      </c>
      <c r="K54" s="58" t="s">
        <v>1854</v>
      </c>
      <c r="L54" s="58" t="s">
        <v>1895</v>
      </c>
      <c r="M54" s="58"/>
      <c r="N54" s="58" t="str">
        <f>J54&amp;"("&amp;IF(K54="","",K54)&amp;IF(L54="","",", "&amp;L54)&amp;IF(M54="","",", "&amp;M54)&amp;")"</f>
        <v>Effect(BeHitRange, Raid1001.kara_1.behit.range.groggy.skilleffect.01)</v>
      </c>
      <c r="O54" s="58">
        <v>0</v>
      </c>
      <c r="P54" s="58">
        <v>0</v>
      </c>
      <c r="Q54" s="45"/>
      <c r="R54" s="46" t="b">
        <v>1</v>
      </c>
    </row>
    <row r="55" spans="1:18" x14ac:dyDescent="0.3">
      <c r="A55" s="195" t="s">
        <v>1886</v>
      </c>
      <c r="B55" s="58"/>
      <c r="C55" s="58"/>
      <c r="D55" s="58">
        <v>0</v>
      </c>
      <c r="E55" s="58">
        <v>1</v>
      </c>
      <c r="F55" s="58" t="s">
        <v>476</v>
      </c>
      <c r="G55" s="58" t="s">
        <v>477</v>
      </c>
      <c r="H55" s="58"/>
      <c r="I55" s="58">
        <v>0</v>
      </c>
      <c r="J55" s="58" t="s">
        <v>470</v>
      </c>
      <c r="K55" s="58" t="s">
        <v>1854</v>
      </c>
      <c r="L55" s="58" t="s">
        <v>1896</v>
      </c>
      <c r="M55" s="58"/>
      <c r="N55" s="58" t="str">
        <f t="shared" ref="N55:N58" si="10">J55&amp;"("&amp;IF(K55="","",K55)&amp;IF(L55="","",", "&amp;L55)&amp;IF(M55="","",", "&amp;M55)&amp;")"</f>
        <v>Effect(BeHitRange, Raid1001.kara_1.behit.range.groggy.skilleffect.02)</v>
      </c>
      <c r="O55" s="58">
        <v>0</v>
      </c>
      <c r="P55" s="58">
        <v>0</v>
      </c>
      <c r="Q55" s="45"/>
      <c r="R55" s="46" t="b">
        <v>1</v>
      </c>
    </row>
    <row r="56" spans="1:18" x14ac:dyDescent="0.3">
      <c r="A56" s="195" t="s">
        <v>1887</v>
      </c>
      <c r="B56" s="58"/>
      <c r="C56" s="58"/>
      <c r="D56" s="58">
        <v>0</v>
      </c>
      <c r="E56" s="58">
        <v>1</v>
      </c>
      <c r="F56" s="58" t="s">
        <v>476</v>
      </c>
      <c r="G56" s="58" t="s">
        <v>477</v>
      </c>
      <c r="H56" s="58"/>
      <c r="I56" s="58">
        <v>0</v>
      </c>
      <c r="J56" s="58" t="s">
        <v>470</v>
      </c>
      <c r="K56" s="58" t="s">
        <v>1854</v>
      </c>
      <c r="L56" s="58" t="s">
        <v>1897</v>
      </c>
      <c r="M56" s="58"/>
      <c r="N56" s="58" t="str">
        <f t="shared" si="10"/>
        <v>Effect(BeHitRange, Raid1001.kara_1.behit.range.groggy.skilleffect.03)</v>
      </c>
      <c r="O56" s="58">
        <v>0</v>
      </c>
      <c r="P56" s="58">
        <v>0</v>
      </c>
      <c r="Q56" s="45"/>
      <c r="R56" s="46" t="b">
        <v>1</v>
      </c>
    </row>
    <row r="57" spans="1:18" x14ac:dyDescent="0.3">
      <c r="A57" s="195" t="s">
        <v>1888</v>
      </c>
      <c r="B57" s="58"/>
      <c r="C57" s="58"/>
      <c r="D57" s="58">
        <v>0</v>
      </c>
      <c r="E57" s="58">
        <v>1</v>
      </c>
      <c r="F57" s="58" t="s">
        <v>476</v>
      </c>
      <c r="G57" s="58" t="s">
        <v>477</v>
      </c>
      <c r="H57" s="58"/>
      <c r="I57" s="58">
        <v>0</v>
      </c>
      <c r="J57" s="58" t="s">
        <v>470</v>
      </c>
      <c r="K57" s="58" t="s">
        <v>1854</v>
      </c>
      <c r="L57" s="58" t="s">
        <v>1898</v>
      </c>
      <c r="M57" s="58"/>
      <c r="N57" s="58" t="str">
        <f t="shared" si="10"/>
        <v>Effect(BeHitRange, Raid1001.kara_1.behit.range.groggy.skilleffect.04)</v>
      </c>
      <c r="O57" s="58">
        <v>0</v>
      </c>
      <c r="P57" s="58">
        <v>0</v>
      </c>
      <c r="Q57" s="45"/>
      <c r="R57" s="46" t="b">
        <v>1</v>
      </c>
    </row>
    <row r="58" spans="1:18" x14ac:dyDescent="0.3">
      <c r="A58" s="195" t="s">
        <v>1889</v>
      </c>
      <c r="B58" s="58"/>
      <c r="C58" s="58"/>
      <c r="D58" s="58">
        <v>0</v>
      </c>
      <c r="E58" s="58">
        <v>1</v>
      </c>
      <c r="F58" s="58" t="s">
        <v>476</v>
      </c>
      <c r="G58" s="58" t="s">
        <v>477</v>
      </c>
      <c r="H58" s="58"/>
      <c r="I58" s="58">
        <v>0</v>
      </c>
      <c r="J58" s="58" t="s">
        <v>470</v>
      </c>
      <c r="K58" s="58" t="s">
        <v>1854</v>
      </c>
      <c r="L58" s="58" t="s">
        <v>1899</v>
      </c>
      <c r="M58" s="58"/>
      <c r="N58" s="58" t="str">
        <f t="shared" si="10"/>
        <v>Effect(BeHitRange, Raid1001.kara_1.behit.range.groggy.skilleffect.05)</v>
      </c>
      <c r="O58" s="58">
        <v>0</v>
      </c>
      <c r="P58" s="58">
        <v>0</v>
      </c>
      <c r="Q58" s="45"/>
      <c r="R58" s="46" t="b">
        <v>1</v>
      </c>
    </row>
    <row r="59" spans="1:18" x14ac:dyDescent="0.3">
      <c r="A59" s="195" t="s">
        <v>2082</v>
      </c>
      <c r="B59" s="58"/>
      <c r="C59" s="58"/>
      <c r="D59" s="58">
        <v>0</v>
      </c>
      <c r="E59" s="58">
        <v>1</v>
      </c>
      <c r="F59" s="58" t="s">
        <v>476</v>
      </c>
      <c r="G59" s="58" t="s">
        <v>477</v>
      </c>
      <c r="H59" s="58"/>
      <c r="I59" s="58">
        <v>0</v>
      </c>
      <c r="J59" s="58" t="s">
        <v>470</v>
      </c>
      <c r="K59" s="58" t="s">
        <v>1854</v>
      </c>
      <c r="L59" s="58" t="s">
        <v>2092</v>
      </c>
      <c r="M59" s="58"/>
      <c r="N59" s="58" t="str">
        <f t="shared" ref="N59:N63" si="11">J59&amp;"("&amp;IF(K59="","",K59)&amp;IF(L59="","",", "&amp;L59)&amp;IF(M59="","",", "&amp;M59)&amp;")"</f>
        <v>Effect(BeHitRange, Raid1001.kara_1.behit.range.groggy.skilleffect.06)</v>
      </c>
      <c r="O59" s="58">
        <v>0</v>
      </c>
      <c r="P59" s="58">
        <v>0</v>
      </c>
      <c r="Q59" s="45"/>
      <c r="R59" s="46" t="b">
        <v>1</v>
      </c>
    </row>
    <row r="60" spans="1:18" x14ac:dyDescent="0.3">
      <c r="A60" s="195" t="s">
        <v>2083</v>
      </c>
      <c r="B60" s="58"/>
      <c r="C60" s="58"/>
      <c r="D60" s="58">
        <v>0</v>
      </c>
      <c r="E60" s="58">
        <v>1</v>
      </c>
      <c r="F60" s="58" t="s">
        <v>476</v>
      </c>
      <c r="G60" s="58" t="s">
        <v>477</v>
      </c>
      <c r="H60" s="58"/>
      <c r="I60" s="58">
        <v>0</v>
      </c>
      <c r="J60" s="58" t="s">
        <v>470</v>
      </c>
      <c r="K60" s="58" t="s">
        <v>1854</v>
      </c>
      <c r="L60" s="58" t="s">
        <v>2093</v>
      </c>
      <c r="M60" s="58"/>
      <c r="N60" s="58" t="str">
        <f t="shared" si="11"/>
        <v>Effect(BeHitRange, Raid1001.kara_1.behit.range.groggy.skilleffect.07)</v>
      </c>
      <c r="O60" s="58">
        <v>0</v>
      </c>
      <c r="P60" s="58">
        <v>0</v>
      </c>
      <c r="Q60" s="45"/>
      <c r="R60" s="46" t="b">
        <v>1</v>
      </c>
    </row>
    <row r="61" spans="1:18" x14ac:dyDescent="0.3">
      <c r="A61" s="195" t="s">
        <v>2084</v>
      </c>
      <c r="B61" s="58"/>
      <c r="C61" s="58"/>
      <c r="D61" s="58">
        <v>0</v>
      </c>
      <c r="E61" s="58">
        <v>1</v>
      </c>
      <c r="F61" s="58" t="s">
        <v>476</v>
      </c>
      <c r="G61" s="58" t="s">
        <v>477</v>
      </c>
      <c r="H61" s="58"/>
      <c r="I61" s="58">
        <v>0</v>
      </c>
      <c r="J61" s="58" t="s">
        <v>470</v>
      </c>
      <c r="K61" s="58" t="s">
        <v>1854</v>
      </c>
      <c r="L61" s="58" t="s">
        <v>2094</v>
      </c>
      <c r="M61" s="58"/>
      <c r="N61" s="58" t="str">
        <f t="shared" si="11"/>
        <v>Effect(BeHitRange, Raid1001.kara_1.behit.range.groggy.skilleffect.08)</v>
      </c>
      <c r="O61" s="58">
        <v>0</v>
      </c>
      <c r="P61" s="58">
        <v>0</v>
      </c>
      <c r="Q61" s="45"/>
      <c r="R61" s="46" t="b">
        <v>1</v>
      </c>
    </row>
    <row r="62" spans="1:18" x14ac:dyDescent="0.3">
      <c r="A62" s="195" t="s">
        <v>2085</v>
      </c>
      <c r="B62" s="58"/>
      <c r="C62" s="58"/>
      <c r="D62" s="58">
        <v>0</v>
      </c>
      <c r="E62" s="58">
        <v>1</v>
      </c>
      <c r="F62" s="58" t="s">
        <v>476</v>
      </c>
      <c r="G62" s="58" t="s">
        <v>477</v>
      </c>
      <c r="H62" s="58"/>
      <c r="I62" s="58">
        <v>0</v>
      </c>
      <c r="J62" s="58" t="s">
        <v>470</v>
      </c>
      <c r="K62" s="58" t="s">
        <v>1854</v>
      </c>
      <c r="L62" s="58" t="s">
        <v>2095</v>
      </c>
      <c r="M62" s="58"/>
      <c r="N62" s="58" t="str">
        <f t="shared" si="11"/>
        <v>Effect(BeHitRange, Raid1001.kara_1.behit.range.groggy.skilleffect.09)</v>
      </c>
      <c r="O62" s="58">
        <v>0</v>
      </c>
      <c r="P62" s="58">
        <v>0</v>
      </c>
      <c r="Q62" s="45"/>
      <c r="R62" s="46" t="b">
        <v>1</v>
      </c>
    </row>
    <row r="63" spans="1:18" x14ac:dyDescent="0.3">
      <c r="A63" s="195" t="s">
        <v>2086</v>
      </c>
      <c r="B63" s="58"/>
      <c r="C63" s="58"/>
      <c r="D63" s="58">
        <v>0</v>
      </c>
      <c r="E63" s="58">
        <v>1</v>
      </c>
      <c r="F63" s="58" t="s">
        <v>476</v>
      </c>
      <c r="G63" s="58" t="s">
        <v>477</v>
      </c>
      <c r="H63" s="58"/>
      <c r="I63" s="58">
        <v>0</v>
      </c>
      <c r="J63" s="58" t="s">
        <v>470</v>
      </c>
      <c r="K63" s="58" t="s">
        <v>1854</v>
      </c>
      <c r="L63" s="58" t="s">
        <v>2096</v>
      </c>
      <c r="M63" s="58"/>
      <c r="N63" s="58" t="str">
        <f t="shared" si="11"/>
        <v>Effect(BeHitRange, Raid1001.kara_1.behit.range.groggy.skilleffect.10)</v>
      </c>
      <c r="O63" s="58">
        <v>0</v>
      </c>
      <c r="P63" s="58">
        <v>0</v>
      </c>
      <c r="Q63" s="45"/>
      <c r="R63" s="46" t="b">
        <v>1</v>
      </c>
    </row>
    <row r="64" spans="1:18" x14ac:dyDescent="0.3">
      <c r="A64" s="229" t="s">
        <v>1890</v>
      </c>
      <c r="B64" s="104"/>
      <c r="C64" s="104"/>
      <c r="D64" s="104">
        <v>0</v>
      </c>
      <c r="E64" s="104"/>
      <c r="F64" s="104" t="s">
        <v>833</v>
      </c>
      <c r="G64" s="104" t="s">
        <v>1856</v>
      </c>
      <c r="H64" s="104">
        <v>40</v>
      </c>
      <c r="I64" s="104">
        <v>0</v>
      </c>
      <c r="J64" s="104" t="s">
        <v>1380</v>
      </c>
      <c r="K64" s="104" t="s">
        <v>1900</v>
      </c>
      <c r="L64" s="104"/>
      <c r="M64" s="104"/>
      <c r="N64" s="104" t="str">
        <f>J64&amp;"("&amp;IF(K64="","",K64)&amp;IF(L64="","",", "&amp;L64)&amp;IF(M64="","",", "&amp;M64)&amp;")"</f>
        <v>Passive(Raid1001.kara_1.attacker.debuff.buff.01)</v>
      </c>
      <c r="O64" s="104">
        <v>0</v>
      </c>
      <c r="P64" s="104">
        <v>0</v>
      </c>
      <c r="Q64" s="104"/>
      <c r="R64" s="105" t="b">
        <v>1</v>
      </c>
    </row>
    <row r="65" spans="1:18" x14ac:dyDescent="0.3">
      <c r="A65" s="229" t="s">
        <v>1891</v>
      </c>
      <c r="B65" s="104"/>
      <c r="C65" s="104"/>
      <c r="D65" s="104">
        <v>0</v>
      </c>
      <c r="E65" s="104"/>
      <c r="F65" s="104" t="s">
        <v>833</v>
      </c>
      <c r="G65" s="104" t="s">
        <v>1856</v>
      </c>
      <c r="H65" s="104">
        <v>40</v>
      </c>
      <c r="I65" s="104">
        <v>0</v>
      </c>
      <c r="J65" s="104" t="s">
        <v>1380</v>
      </c>
      <c r="K65" s="104" t="s">
        <v>1881</v>
      </c>
      <c r="L65" s="104"/>
      <c r="M65" s="104"/>
      <c r="N65" s="104" t="str">
        <f t="shared" ref="N65:N68" si="12">J65&amp;"("&amp;IF(K65="","",K65)&amp;IF(L65="","",", "&amp;L65)&amp;IF(M65="","",", "&amp;M65)&amp;")"</f>
        <v>Passive(Raid1001.kara_1.attacker.debuff.buff.02)</v>
      </c>
      <c r="O65" s="104">
        <v>0</v>
      </c>
      <c r="P65" s="104">
        <v>0</v>
      </c>
      <c r="Q65" s="104"/>
      <c r="R65" s="105" t="b">
        <v>1</v>
      </c>
    </row>
    <row r="66" spans="1:18" x14ac:dyDescent="0.3">
      <c r="A66" s="229" t="s">
        <v>1892</v>
      </c>
      <c r="B66" s="104"/>
      <c r="C66" s="104"/>
      <c r="D66" s="104">
        <v>0</v>
      </c>
      <c r="E66" s="104"/>
      <c r="F66" s="104" t="s">
        <v>833</v>
      </c>
      <c r="G66" s="104" t="s">
        <v>1856</v>
      </c>
      <c r="H66" s="104">
        <v>40</v>
      </c>
      <c r="I66" s="104">
        <v>0</v>
      </c>
      <c r="J66" s="104" t="s">
        <v>1380</v>
      </c>
      <c r="K66" s="104" t="s">
        <v>1882</v>
      </c>
      <c r="L66" s="104"/>
      <c r="M66" s="104"/>
      <c r="N66" s="104" t="str">
        <f t="shared" si="12"/>
        <v>Passive(Raid1001.kara_1.attacker.debuff.buff.03)</v>
      </c>
      <c r="O66" s="104">
        <v>0</v>
      </c>
      <c r="P66" s="104">
        <v>0</v>
      </c>
      <c r="Q66" s="104"/>
      <c r="R66" s="105" t="b">
        <v>1</v>
      </c>
    </row>
    <row r="67" spans="1:18" x14ac:dyDescent="0.3">
      <c r="A67" s="229" t="s">
        <v>1893</v>
      </c>
      <c r="B67" s="104"/>
      <c r="C67" s="104"/>
      <c r="D67" s="104">
        <v>0</v>
      </c>
      <c r="E67" s="104"/>
      <c r="F67" s="104" t="s">
        <v>833</v>
      </c>
      <c r="G67" s="104" t="s">
        <v>1856</v>
      </c>
      <c r="H67" s="104">
        <v>40</v>
      </c>
      <c r="I67" s="104">
        <v>0</v>
      </c>
      <c r="J67" s="104" t="s">
        <v>1380</v>
      </c>
      <c r="K67" s="104" t="s">
        <v>1883</v>
      </c>
      <c r="L67" s="104"/>
      <c r="M67" s="104"/>
      <c r="N67" s="104" t="str">
        <f t="shared" si="12"/>
        <v>Passive(Raid1001.kara_1.attacker.debuff.buff.04)</v>
      </c>
      <c r="O67" s="104">
        <v>0</v>
      </c>
      <c r="P67" s="104">
        <v>0</v>
      </c>
      <c r="Q67" s="104"/>
      <c r="R67" s="105" t="b">
        <v>1</v>
      </c>
    </row>
    <row r="68" spans="1:18" x14ac:dyDescent="0.3">
      <c r="A68" s="229" t="s">
        <v>1894</v>
      </c>
      <c r="B68" s="104"/>
      <c r="C68" s="104"/>
      <c r="D68" s="104">
        <v>0</v>
      </c>
      <c r="E68" s="104"/>
      <c r="F68" s="104" t="s">
        <v>833</v>
      </c>
      <c r="G68" s="104" t="s">
        <v>1856</v>
      </c>
      <c r="H68" s="104">
        <v>40</v>
      </c>
      <c r="I68" s="104">
        <v>0</v>
      </c>
      <c r="J68" s="104" t="s">
        <v>1380</v>
      </c>
      <c r="K68" s="104" t="s">
        <v>1884</v>
      </c>
      <c r="L68" s="104"/>
      <c r="M68" s="104"/>
      <c r="N68" s="104" t="str">
        <f t="shared" si="12"/>
        <v>Passive(Raid1001.kara_1.attacker.debuff.buff.05)</v>
      </c>
      <c r="O68" s="104">
        <v>0</v>
      </c>
      <c r="P68" s="104">
        <v>0</v>
      </c>
      <c r="Q68" s="104"/>
      <c r="R68" s="105" t="b">
        <v>1</v>
      </c>
    </row>
    <row r="69" spans="1:18" x14ac:dyDescent="0.3">
      <c r="A69" s="229" t="s">
        <v>2087</v>
      </c>
      <c r="B69" s="104"/>
      <c r="C69" s="104"/>
      <c r="D69" s="104">
        <v>0</v>
      </c>
      <c r="E69" s="104"/>
      <c r="F69" s="104" t="s">
        <v>833</v>
      </c>
      <c r="G69" s="104" t="s">
        <v>1856</v>
      </c>
      <c r="H69" s="104">
        <v>40</v>
      </c>
      <c r="I69" s="104">
        <v>0</v>
      </c>
      <c r="J69" s="104" t="s">
        <v>1380</v>
      </c>
      <c r="K69" s="104" t="s">
        <v>2072</v>
      </c>
      <c r="L69" s="104"/>
      <c r="M69" s="104"/>
      <c r="N69" s="104" t="str">
        <f t="shared" ref="N69:N73" si="13">J69&amp;"("&amp;IF(K69="","",K69)&amp;IF(L69="","",", "&amp;L69)&amp;IF(M69="","",", "&amp;M69)&amp;")"</f>
        <v>Passive(Raid1001.kara_1.attacker.debuff.buff.06)</v>
      </c>
      <c r="O69" s="104">
        <v>0</v>
      </c>
      <c r="P69" s="104">
        <v>0</v>
      </c>
      <c r="Q69" s="104"/>
      <c r="R69" s="105" t="b">
        <v>1</v>
      </c>
    </row>
    <row r="70" spans="1:18" x14ac:dyDescent="0.3">
      <c r="A70" s="229" t="s">
        <v>2088</v>
      </c>
      <c r="B70" s="104"/>
      <c r="C70" s="104"/>
      <c r="D70" s="104">
        <v>0</v>
      </c>
      <c r="E70" s="104"/>
      <c r="F70" s="104" t="s">
        <v>833</v>
      </c>
      <c r="G70" s="104" t="s">
        <v>1856</v>
      </c>
      <c r="H70" s="104">
        <v>40</v>
      </c>
      <c r="I70" s="104">
        <v>0</v>
      </c>
      <c r="J70" s="104" t="s">
        <v>1380</v>
      </c>
      <c r="K70" s="104" t="s">
        <v>2073</v>
      </c>
      <c r="L70" s="104"/>
      <c r="M70" s="104"/>
      <c r="N70" s="104" t="str">
        <f t="shared" si="13"/>
        <v>Passive(Raid1001.kara_1.attacker.debuff.buff.07)</v>
      </c>
      <c r="O70" s="104">
        <v>0</v>
      </c>
      <c r="P70" s="104">
        <v>0</v>
      </c>
      <c r="Q70" s="104"/>
      <c r="R70" s="105" t="b">
        <v>1</v>
      </c>
    </row>
    <row r="71" spans="1:18" x14ac:dyDescent="0.3">
      <c r="A71" s="229" t="s">
        <v>2089</v>
      </c>
      <c r="B71" s="104"/>
      <c r="C71" s="104"/>
      <c r="D71" s="104">
        <v>0</v>
      </c>
      <c r="E71" s="104"/>
      <c r="F71" s="104" t="s">
        <v>833</v>
      </c>
      <c r="G71" s="104" t="s">
        <v>1856</v>
      </c>
      <c r="H71" s="104">
        <v>40</v>
      </c>
      <c r="I71" s="104">
        <v>0</v>
      </c>
      <c r="J71" s="104" t="s">
        <v>1380</v>
      </c>
      <c r="K71" s="104" t="s">
        <v>2074</v>
      </c>
      <c r="L71" s="104"/>
      <c r="M71" s="104"/>
      <c r="N71" s="104" t="str">
        <f t="shared" si="13"/>
        <v>Passive(Raid1001.kara_1.attacker.debuff.buff.08)</v>
      </c>
      <c r="O71" s="104">
        <v>0</v>
      </c>
      <c r="P71" s="104">
        <v>0</v>
      </c>
      <c r="Q71" s="104"/>
      <c r="R71" s="105" t="b">
        <v>1</v>
      </c>
    </row>
    <row r="72" spans="1:18" x14ac:dyDescent="0.3">
      <c r="A72" s="229" t="s">
        <v>2090</v>
      </c>
      <c r="B72" s="104"/>
      <c r="C72" s="104"/>
      <c r="D72" s="104">
        <v>0</v>
      </c>
      <c r="E72" s="104"/>
      <c r="F72" s="104" t="s">
        <v>833</v>
      </c>
      <c r="G72" s="104" t="s">
        <v>1856</v>
      </c>
      <c r="H72" s="104">
        <v>40</v>
      </c>
      <c r="I72" s="104">
        <v>0</v>
      </c>
      <c r="J72" s="104" t="s">
        <v>1380</v>
      </c>
      <c r="K72" s="104" t="s">
        <v>2075</v>
      </c>
      <c r="L72" s="104"/>
      <c r="M72" s="104"/>
      <c r="N72" s="104" t="str">
        <f t="shared" si="13"/>
        <v>Passive(Raid1001.kara_1.attacker.debuff.buff.09)</v>
      </c>
      <c r="O72" s="104">
        <v>0</v>
      </c>
      <c r="P72" s="104">
        <v>0</v>
      </c>
      <c r="Q72" s="104"/>
      <c r="R72" s="105" t="b">
        <v>1</v>
      </c>
    </row>
    <row r="73" spans="1:18" x14ac:dyDescent="0.3">
      <c r="A73" s="229" t="s">
        <v>2091</v>
      </c>
      <c r="B73" s="104"/>
      <c r="C73" s="104"/>
      <c r="D73" s="104">
        <v>0</v>
      </c>
      <c r="E73" s="104"/>
      <c r="F73" s="104" t="s">
        <v>833</v>
      </c>
      <c r="G73" s="104" t="s">
        <v>1856</v>
      </c>
      <c r="H73" s="104">
        <v>40</v>
      </c>
      <c r="I73" s="104">
        <v>0</v>
      </c>
      <c r="J73" s="104" t="s">
        <v>1380</v>
      </c>
      <c r="K73" s="104" t="s">
        <v>2076</v>
      </c>
      <c r="L73" s="104"/>
      <c r="M73" s="104"/>
      <c r="N73" s="104" t="str">
        <f t="shared" si="13"/>
        <v>Passive(Raid1001.kara_1.attacker.debuff.buff.10)</v>
      </c>
      <c r="O73" s="104">
        <v>0</v>
      </c>
      <c r="P73" s="104">
        <v>0</v>
      </c>
      <c r="Q73" s="104"/>
      <c r="R73" s="105" t="b">
        <v>1</v>
      </c>
    </row>
    <row r="74" spans="1:18" x14ac:dyDescent="0.3">
      <c r="A74" s="195" t="s">
        <v>1858</v>
      </c>
      <c r="B74" s="58"/>
      <c r="C74" s="58"/>
      <c r="D74" s="58">
        <v>0</v>
      </c>
      <c r="E74" s="58"/>
      <c r="F74" s="58" t="s">
        <v>476</v>
      </c>
      <c r="G74" s="58" t="s">
        <v>477</v>
      </c>
      <c r="H74" s="58"/>
      <c r="I74" s="58">
        <v>0</v>
      </c>
      <c r="J74" s="58" t="s">
        <v>846</v>
      </c>
      <c r="K74" s="58" t="s">
        <v>876</v>
      </c>
      <c r="L74" s="58">
        <v>-300</v>
      </c>
      <c r="M74" s="58"/>
      <c r="N74" s="58" t="str">
        <f t="shared" ref="N74" si="14">J74&amp;"("&amp;IF(K74="","",K74)&amp;IF(L74="","",", "&amp;L74)&amp;IF(M74="","",", "&amp;M74)&amp;")"</f>
        <v>Status(AccuracyRate, -300)</v>
      </c>
      <c r="O74" s="58">
        <v>0</v>
      </c>
      <c r="P74" s="58">
        <v>0</v>
      </c>
      <c r="Q74" s="45"/>
      <c r="R74" s="46" t="b">
        <v>0</v>
      </c>
    </row>
    <row r="75" spans="1:18" x14ac:dyDescent="0.3">
      <c r="A75" s="195" t="s">
        <v>1901</v>
      </c>
      <c r="B75" s="58"/>
      <c r="C75" s="58"/>
      <c r="D75" s="58">
        <v>0</v>
      </c>
      <c r="E75" s="58"/>
      <c r="F75" s="58" t="s">
        <v>476</v>
      </c>
      <c r="G75" s="58" t="s">
        <v>477</v>
      </c>
      <c r="H75" s="58"/>
      <c r="I75" s="58">
        <v>0</v>
      </c>
      <c r="J75" s="58" t="s">
        <v>846</v>
      </c>
      <c r="K75" s="58" t="s">
        <v>876</v>
      </c>
      <c r="L75" s="58">
        <v>-600</v>
      </c>
      <c r="M75" s="58"/>
      <c r="N75" s="58" t="str">
        <f t="shared" ref="N75:N78" si="15">J75&amp;"("&amp;IF(K75="","",K75)&amp;IF(L75="","",", "&amp;L75)&amp;IF(M75="","",", "&amp;M75)&amp;")"</f>
        <v>Status(AccuracyRate, -600)</v>
      </c>
      <c r="O75" s="58">
        <v>0</v>
      </c>
      <c r="P75" s="58">
        <v>0</v>
      </c>
      <c r="Q75" s="45"/>
      <c r="R75" s="46" t="b">
        <v>0</v>
      </c>
    </row>
    <row r="76" spans="1:18" x14ac:dyDescent="0.3">
      <c r="A76" s="195" t="s">
        <v>1902</v>
      </c>
      <c r="B76" s="58"/>
      <c r="C76" s="58"/>
      <c r="D76" s="58">
        <v>0</v>
      </c>
      <c r="E76" s="58"/>
      <c r="F76" s="58" t="s">
        <v>476</v>
      </c>
      <c r="G76" s="58" t="s">
        <v>477</v>
      </c>
      <c r="H76" s="58"/>
      <c r="I76" s="58">
        <v>0</v>
      </c>
      <c r="J76" s="58" t="s">
        <v>846</v>
      </c>
      <c r="K76" s="58" t="s">
        <v>876</v>
      </c>
      <c r="L76" s="58">
        <v>-800</v>
      </c>
      <c r="M76" s="58"/>
      <c r="N76" s="58" t="str">
        <f t="shared" si="15"/>
        <v>Status(AccuracyRate, -800)</v>
      </c>
      <c r="O76" s="58">
        <v>0</v>
      </c>
      <c r="P76" s="58">
        <v>0</v>
      </c>
      <c r="Q76" s="45"/>
      <c r="R76" s="46" t="b">
        <v>0</v>
      </c>
    </row>
    <row r="77" spans="1:18" x14ac:dyDescent="0.3">
      <c r="A77" s="195" t="s">
        <v>1903</v>
      </c>
      <c r="B77" s="58"/>
      <c r="C77" s="58"/>
      <c r="D77" s="58">
        <v>0</v>
      </c>
      <c r="E77" s="58"/>
      <c r="F77" s="58" t="s">
        <v>476</v>
      </c>
      <c r="G77" s="58" t="s">
        <v>477</v>
      </c>
      <c r="H77" s="58"/>
      <c r="I77" s="58">
        <v>0</v>
      </c>
      <c r="J77" s="58" t="s">
        <v>846</v>
      </c>
      <c r="K77" s="58" t="s">
        <v>876</v>
      </c>
      <c r="L77" s="58">
        <v>-900</v>
      </c>
      <c r="M77" s="58"/>
      <c r="N77" s="58" t="str">
        <f t="shared" si="15"/>
        <v>Status(AccuracyRate, -900)</v>
      </c>
      <c r="O77" s="58">
        <v>0</v>
      </c>
      <c r="P77" s="58">
        <v>0</v>
      </c>
      <c r="Q77" s="45"/>
      <c r="R77" s="46" t="b">
        <v>0</v>
      </c>
    </row>
    <row r="78" spans="1:18" x14ac:dyDescent="0.3">
      <c r="A78" s="195" t="s">
        <v>1904</v>
      </c>
      <c r="B78" s="58"/>
      <c r="C78" s="58"/>
      <c r="D78" s="58">
        <v>0</v>
      </c>
      <c r="E78" s="58"/>
      <c r="F78" s="58" t="s">
        <v>476</v>
      </c>
      <c r="G78" s="58" t="s">
        <v>477</v>
      </c>
      <c r="H78" s="58"/>
      <c r="I78" s="58">
        <v>0</v>
      </c>
      <c r="J78" s="58" t="s">
        <v>846</v>
      </c>
      <c r="K78" s="58" t="s">
        <v>876</v>
      </c>
      <c r="L78" s="58">
        <v>-900</v>
      </c>
      <c r="M78" s="58"/>
      <c r="N78" s="58" t="str">
        <f t="shared" si="15"/>
        <v>Status(AccuracyRate, -900)</v>
      </c>
      <c r="O78" s="58">
        <v>0</v>
      </c>
      <c r="P78" s="58">
        <v>0</v>
      </c>
      <c r="Q78" s="45"/>
      <c r="R78" s="46" t="b">
        <v>0</v>
      </c>
    </row>
    <row r="79" spans="1:18" x14ac:dyDescent="0.3">
      <c r="A79" s="195" t="s">
        <v>2067</v>
      </c>
      <c r="B79" s="58"/>
      <c r="C79" s="58"/>
      <c r="D79" s="58">
        <v>0</v>
      </c>
      <c r="E79" s="58"/>
      <c r="F79" s="58" t="s">
        <v>476</v>
      </c>
      <c r="G79" s="58" t="s">
        <v>477</v>
      </c>
      <c r="H79" s="58"/>
      <c r="I79" s="58">
        <v>0</v>
      </c>
      <c r="J79" s="58" t="s">
        <v>846</v>
      </c>
      <c r="K79" s="58" t="s">
        <v>876</v>
      </c>
      <c r="L79" s="58">
        <v>-900</v>
      </c>
      <c r="M79" s="58"/>
      <c r="N79" s="58" t="str">
        <f t="shared" ref="N79:N83" si="16">J79&amp;"("&amp;IF(K79="","",K79)&amp;IF(L79="","",", "&amp;L79)&amp;IF(M79="","",", "&amp;M79)&amp;")"</f>
        <v>Status(AccuracyRate, -900)</v>
      </c>
      <c r="O79" s="58">
        <v>0</v>
      </c>
      <c r="P79" s="58">
        <v>0</v>
      </c>
      <c r="Q79" s="45"/>
      <c r="R79" s="46" t="b">
        <v>0</v>
      </c>
    </row>
    <row r="80" spans="1:18" x14ac:dyDescent="0.3">
      <c r="A80" s="195" t="s">
        <v>2068</v>
      </c>
      <c r="B80" s="58"/>
      <c r="C80" s="58"/>
      <c r="D80" s="58">
        <v>0</v>
      </c>
      <c r="E80" s="58"/>
      <c r="F80" s="58" t="s">
        <v>476</v>
      </c>
      <c r="G80" s="58" t="s">
        <v>477</v>
      </c>
      <c r="H80" s="58"/>
      <c r="I80" s="58">
        <v>0</v>
      </c>
      <c r="J80" s="58" t="s">
        <v>846</v>
      </c>
      <c r="K80" s="58" t="s">
        <v>876</v>
      </c>
      <c r="L80" s="58">
        <v>-900</v>
      </c>
      <c r="M80" s="58"/>
      <c r="N80" s="58" t="str">
        <f t="shared" si="16"/>
        <v>Status(AccuracyRate, -900)</v>
      </c>
      <c r="O80" s="58">
        <v>0</v>
      </c>
      <c r="P80" s="58">
        <v>0</v>
      </c>
      <c r="Q80" s="45"/>
      <c r="R80" s="46" t="b">
        <v>0</v>
      </c>
    </row>
    <row r="81" spans="1:18" x14ac:dyDescent="0.3">
      <c r="A81" s="195" t="s">
        <v>2069</v>
      </c>
      <c r="B81" s="58"/>
      <c r="C81" s="58"/>
      <c r="D81" s="58">
        <v>0</v>
      </c>
      <c r="E81" s="58"/>
      <c r="F81" s="58" t="s">
        <v>476</v>
      </c>
      <c r="G81" s="58" t="s">
        <v>477</v>
      </c>
      <c r="H81" s="58"/>
      <c r="I81" s="58">
        <v>0</v>
      </c>
      <c r="J81" s="58" t="s">
        <v>846</v>
      </c>
      <c r="K81" s="58" t="s">
        <v>876</v>
      </c>
      <c r="L81" s="58">
        <v>-900</v>
      </c>
      <c r="M81" s="58"/>
      <c r="N81" s="58" t="str">
        <f t="shared" si="16"/>
        <v>Status(AccuracyRate, -900)</v>
      </c>
      <c r="O81" s="58">
        <v>0</v>
      </c>
      <c r="P81" s="58">
        <v>0</v>
      </c>
      <c r="Q81" s="45"/>
      <c r="R81" s="46" t="b">
        <v>0</v>
      </c>
    </row>
    <row r="82" spans="1:18" x14ac:dyDescent="0.3">
      <c r="A82" s="195" t="s">
        <v>2070</v>
      </c>
      <c r="B82" s="58"/>
      <c r="C82" s="58"/>
      <c r="D82" s="58">
        <v>0</v>
      </c>
      <c r="E82" s="58"/>
      <c r="F82" s="58" t="s">
        <v>476</v>
      </c>
      <c r="G82" s="58" t="s">
        <v>477</v>
      </c>
      <c r="H82" s="58"/>
      <c r="I82" s="58">
        <v>0</v>
      </c>
      <c r="J82" s="58" t="s">
        <v>846</v>
      </c>
      <c r="K82" s="58" t="s">
        <v>876</v>
      </c>
      <c r="L82" s="58">
        <v>-900</v>
      </c>
      <c r="M82" s="58"/>
      <c r="N82" s="58" t="str">
        <f t="shared" si="16"/>
        <v>Status(AccuracyRate, -900)</v>
      </c>
      <c r="O82" s="58">
        <v>0</v>
      </c>
      <c r="P82" s="58">
        <v>0</v>
      </c>
      <c r="Q82" s="45"/>
      <c r="R82" s="46" t="b">
        <v>0</v>
      </c>
    </row>
    <row r="83" spans="1:18" x14ac:dyDescent="0.3">
      <c r="A83" s="195" t="s">
        <v>2071</v>
      </c>
      <c r="B83" s="58"/>
      <c r="C83" s="58"/>
      <c r="D83" s="58">
        <v>0</v>
      </c>
      <c r="E83" s="58"/>
      <c r="F83" s="58" t="s">
        <v>476</v>
      </c>
      <c r="G83" s="58" t="s">
        <v>477</v>
      </c>
      <c r="H83" s="58"/>
      <c r="I83" s="58">
        <v>0</v>
      </c>
      <c r="J83" s="58" t="s">
        <v>846</v>
      </c>
      <c r="K83" s="58" t="s">
        <v>876</v>
      </c>
      <c r="L83" s="58">
        <v>-900</v>
      </c>
      <c r="M83" s="58"/>
      <c r="N83" s="58" t="str">
        <f t="shared" si="16"/>
        <v>Status(AccuracyRate, -900)</v>
      </c>
      <c r="O83" s="58">
        <v>0</v>
      </c>
      <c r="P83" s="58">
        <v>0</v>
      </c>
      <c r="Q83" s="45"/>
      <c r="R83" s="46" t="b">
        <v>0</v>
      </c>
    </row>
    <row r="84" spans="1:18" x14ac:dyDescent="0.3">
      <c r="A84" s="194" t="s">
        <v>1800</v>
      </c>
      <c r="B84" s="104"/>
      <c r="C84" s="104"/>
      <c r="D84" s="104">
        <v>0</v>
      </c>
      <c r="E84" s="104">
        <v>1</v>
      </c>
      <c r="F84" s="104" t="s">
        <v>476</v>
      </c>
      <c r="G84" s="104" t="s">
        <v>477</v>
      </c>
      <c r="H84" s="104"/>
      <c r="I84" s="104">
        <v>0</v>
      </c>
      <c r="J84" s="104" t="s">
        <v>848</v>
      </c>
      <c r="K84" s="104" t="s">
        <v>923</v>
      </c>
      <c r="L84" s="104"/>
      <c r="M84" s="104"/>
      <c r="N84" s="104" t="str">
        <f t="shared" ref="N84:N87" si="17">J84&amp;"("&amp;IF(K84="","",K84)&amp;IF(L84="","",", "&amp;L84)&amp;IF(M84="","",", "&amp;M84)&amp;")"</f>
        <v>CrowdControl(Shock)</v>
      </c>
      <c r="O84" s="104">
        <v>0</v>
      </c>
      <c r="P84" s="104">
        <v>0</v>
      </c>
      <c r="Q84" s="104"/>
      <c r="R84" s="105" t="b">
        <v>1</v>
      </c>
    </row>
    <row r="85" spans="1:18" x14ac:dyDescent="0.3">
      <c r="A85" s="194" t="s">
        <v>1805</v>
      </c>
      <c r="B85" s="104"/>
      <c r="C85" s="104"/>
      <c r="D85" s="104">
        <v>0</v>
      </c>
      <c r="E85" s="104">
        <v>1</v>
      </c>
      <c r="F85" s="104" t="s">
        <v>476</v>
      </c>
      <c r="G85" s="104" t="s">
        <v>477</v>
      </c>
      <c r="H85" s="104"/>
      <c r="I85" s="104">
        <v>0</v>
      </c>
      <c r="J85" s="104" t="s">
        <v>877</v>
      </c>
      <c r="K85" s="104" t="s">
        <v>878</v>
      </c>
      <c r="L85" s="104"/>
      <c r="M85" s="104"/>
      <c r="N85" s="104" t="str">
        <f t="shared" si="17"/>
        <v>ChangeSkill(Normal)</v>
      </c>
      <c r="O85" s="104">
        <v>0</v>
      </c>
      <c r="P85" s="104">
        <v>0</v>
      </c>
      <c r="Q85" s="104"/>
      <c r="R85" s="105" t="b">
        <v>1</v>
      </c>
    </row>
    <row r="86" spans="1:18" x14ac:dyDescent="0.3">
      <c r="A86" s="194" t="s">
        <v>1806</v>
      </c>
      <c r="B86" s="104"/>
      <c r="C86" s="104"/>
      <c r="D86" s="104">
        <v>0</v>
      </c>
      <c r="E86" s="104">
        <v>1</v>
      </c>
      <c r="F86" s="104" t="s">
        <v>476</v>
      </c>
      <c r="G86" s="104" t="s">
        <v>477</v>
      </c>
      <c r="H86" s="104"/>
      <c r="I86" s="104">
        <v>0</v>
      </c>
      <c r="J86" s="104" t="s">
        <v>1119</v>
      </c>
      <c r="K86" s="104" t="s">
        <v>853</v>
      </c>
      <c r="L86" s="104">
        <v>500</v>
      </c>
      <c r="M86" s="104"/>
      <c r="N86" s="104" t="str">
        <f t="shared" si="17"/>
        <v>Status(AttackSpeedRate, 500)</v>
      </c>
      <c r="O86" s="104">
        <v>0</v>
      </c>
      <c r="P86" s="104">
        <v>0</v>
      </c>
      <c r="Q86" s="104"/>
      <c r="R86" s="105" t="b">
        <v>1</v>
      </c>
    </row>
    <row r="87" spans="1:18" x14ac:dyDescent="0.3">
      <c r="A87" s="194" t="s">
        <v>1807</v>
      </c>
      <c r="B87" s="104"/>
      <c r="C87" s="104"/>
      <c r="D87" s="104">
        <v>0</v>
      </c>
      <c r="E87" s="104">
        <v>1</v>
      </c>
      <c r="F87" s="104" t="s">
        <v>476</v>
      </c>
      <c r="G87" s="104" t="s">
        <v>477</v>
      </c>
      <c r="H87" s="104"/>
      <c r="I87" s="104">
        <v>0</v>
      </c>
      <c r="J87" s="104" t="s">
        <v>846</v>
      </c>
      <c r="K87" s="104" t="s">
        <v>887</v>
      </c>
      <c r="L87" s="104">
        <v>200</v>
      </c>
      <c r="M87" s="104"/>
      <c r="N87" s="104" t="str">
        <f t="shared" si="17"/>
        <v>Status(HpDrainRate, 200)</v>
      </c>
      <c r="O87" s="104">
        <v>0</v>
      </c>
      <c r="P87" s="104">
        <v>0</v>
      </c>
      <c r="Q87" s="104"/>
      <c r="R87" s="105" t="b">
        <v>1</v>
      </c>
    </row>
    <row r="88" spans="1:18" x14ac:dyDescent="0.3">
      <c r="A88" s="194" t="s">
        <v>1871</v>
      </c>
      <c r="B88" s="104"/>
      <c r="C88" s="104"/>
      <c r="D88" s="104">
        <v>0</v>
      </c>
      <c r="E88" s="104">
        <v>1</v>
      </c>
      <c r="F88" s="104" t="s">
        <v>476</v>
      </c>
      <c r="G88" s="104" t="s">
        <v>477</v>
      </c>
      <c r="H88" s="104"/>
      <c r="I88" s="104">
        <v>0</v>
      </c>
      <c r="J88" s="104" t="s">
        <v>813</v>
      </c>
      <c r="K88" s="104">
        <v>60</v>
      </c>
      <c r="L88" s="104">
        <v>1000</v>
      </c>
      <c r="M88" s="104" t="s">
        <v>927</v>
      </c>
      <c r="N88" s="104" t="str">
        <f>J88&amp;"("&amp;IF(K88="","",K88)&amp;IF(L88="","",", "&amp;L88)&amp;IF(M88="","",", "&amp;M88)&amp;")"</f>
        <v>Groggy(60, 1000, DamageRatio)</v>
      </c>
      <c r="O88" s="104">
        <v>0</v>
      </c>
      <c r="P88" s="104">
        <v>0</v>
      </c>
      <c r="Q88" s="104"/>
      <c r="R88" s="105" t="b">
        <v>1</v>
      </c>
    </row>
    <row r="89" spans="1:18" x14ac:dyDescent="0.3">
      <c r="A89" s="194" t="s">
        <v>1872</v>
      </c>
      <c r="B89" s="104" t="s">
        <v>812</v>
      </c>
      <c r="C89" s="104" t="s">
        <v>813</v>
      </c>
      <c r="D89" s="104">
        <v>0</v>
      </c>
      <c r="E89" s="104"/>
      <c r="F89" s="104" t="s">
        <v>476</v>
      </c>
      <c r="G89" s="104" t="s">
        <v>477</v>
      </c>
      <c r="H89" s="104"/>
      <c r="I89" s="104">
        <v>0</v>
      </c>
      <c r="J89" s="104" t="s">
        <v>1380</v>
      </c>
      <c r="K89" s="104" t="s">
        <v>1848</v>
      </c>
      <c r="L89" s="104"/>
      <c r="M89" s="104"/>
      <c r="N89" s="104" t="str">
        <f>J89&amp;"("&amp;IF(K89="","",K89)&amp;IF(L89="","",", "&amp;L89)&amp;IF(M89="","",", "&amp;M89)&amp;")"</f>
        <v>Passive(Raid.Groggy.buff)</v>
      </c>
      <c r="O89" s="104">
        <v>0</v>
      </c>
      <c r="P89" s="104">
        <v>0</v>
      </c>
      <c r="Q89" s="104"/>
      <c r="R89" s="105" t="b">
        <v>1</v>
      </c>
    </row>
    <row r="90" spans="1:18" x14ac:dyDescent="0.3">
      <c r="A90" s="194" t="s">
        <v>1915</v>
      </c>
      <c r="B90" s="104"/>
      <c r="C90" s="104"/>
      <c r="D90" s="104">
        <v>0</v>
      </c>
      <c r="E90" s="104">
        <v>1</v>
      </c>
      <c r="F90" s="104" t="s">
        <v>476</v>
      </c>
      <c r="G90" s="104" t="s">
        <v>477</v>
      </c>
      <c r="H90" s="104"/>
      <c r="I90" s="104">
        <v>0</v>
      </c>
      <c r="J90" s="104" t="s">
        <v>470</v>
      </c>
      <c r="K90" s="104" t="s">
        <v>1854</v>
      </c>
      <c r="L90" s="104" t="s">
        <v>1916</v>
      </c>
      <c r="M90" s="104"/>
      <c r="N90" s="104" t="str">
        <f>J90&amp;"("&amp;IF(K90="","",K90)&amp;IF(L90="","",", "&amp;L90)&amp;IF(M90="","",", "&amp;M90)&amp;")"</f>
        <v>Effect(BeHitRange, Raid1001.kara_2.behit.range.groggy.skilleffect.01)</v>
      </c>
      <c r="O90" s="104">
        <v>0</v>
      </c>
      <c r="P90" s="104">
        <v>0</v>
      </c>
      <c r="Q90" s="104"/>
      <c r="R90" s="105" t="b">
        <v>1</v>
      </c>
    </row>
    <row r="91" spans="1:18" x14ac:dyDescent="0.3">
      <c r="A91" s="194" t="s">
        <v>1917</v>
      </c>
      <c r="B91" s="104"/>
      <c r="C91" s="104"/>
      <c r="D91" s="104">
        <v>0</v>
      </c>
      <c r="E91" s="104">
        <v>1</v>
      </c>
      <c r="F91" s="104" t="s">
        <v>476</v>
      </c>
      <c r="G91" s="104" t="s">
        <v>477</v>
      </c>
      <c r="H91" s="104"/>
      <c r="I91" s="104">
        <v>0</v>
      </c>
      <c r="J91" s="104" t="s">
        <v>470</v>
      </c>
      <c r="K91" s="104" t="s">
        <v>1854</v>
      </c>
      <c r="L91" s="104" t="s">
        <v>1918</v>
      </c>
      <c r="M91" s="104"/>
      <c r="N91" s="104" t="str">
        <f t="shared" ref="N91:N94" si="18">J91&amp;"("&amp;IF(K91="","",K91)&amp;IF(L91="","",", "&amp;L91)&amp;IF(M91="","",", "&amp;M91)&amp;")"</f>
        <v>Effect(BeHitRange, Raid1001.kara_2.behit.range.groggy.skilleffect.02)</v>
      </c>
      <c r="O91" s="104">
        <v>0</v>
      </c>
      <c r="P91" s="104">
        <v>0</v>
      </c>
      <c r="Q91" s="104"/>
      <c r="R91" s="105" t="b">
        <v>1</v>
      </c>
    </row>
    <row r="92" spans="1:18" x14ac:dyDescent="0.3">
      <c r="A92" s="194" t="s">
        <v>1919</v>
      </c>
      <c r="B92" s="104"/>
      <c r="C92" s="104"/>
      <c r="D92" s="104">
        <v>0</v>
      </c>
      <c r="E92" s="104">
        <v>1</v>
      </c>
      <c r="F92" s="104" t="s">
        <v>476</v>
      </c>
      <c r="G92" s="104" t="s">
        <v>477</v>
      </c>
      <c r="H92" s="104"/>
      <c r="I92" s="104">
        <v>0</v>
      </c>
      <c r="J92" s="104" t="s">
        <v>470</v>
      </c>
      <c r="K92" s="104" t="s">
        <v>1854</v>
      </c>
      <c r="L92" s="104" t="s">
        <v>1920</v>
      </c>
      <c r="M92" s="104"/>
      <c r="N92" s="104" t="str">
        <f t="shared" si="18"/>
        <v>Effect(BeHitRange, Raid1001.kara_2.behit.range.groggy.skilleffect.03)</v>
      </c>
      <c r="O92" s="104">
        <v>0</v>
      </c>
      <c r="P92" s="104">
        <v>0</v>
      </c>
      <c r="Q92" s="104"/>
      <c r="R92" s="105" t="b">
        <v>1</v>
      </c>
    </row>
    <row r="93" spans="1:18" x14ac:dyDescent="0.3">
      <c r="A93" s="194" t="s">
        <v>1921</v>
      </c>
      <c r="B93" s="104"/>
      <c r="C93" s="104"/>
      <c r="D93" s="104">
        <v>0</v>
      </c>
      <c r="E93" s="104">
        <v>1</v>
      </c>
      <c r="F93" s="104" t="s">
        <v>476</v>
      </c>
      <c r="G93" s="104" t="s">
        <v>477</v>
      </c>
      <c r="H93" s="104"/>
      <c r="I93" s="104">
        <v>0</v>
      </c>
      <c r="J93" s="104" t="s">
        <v>470</v>
      </c>
      <c r="K93" s="104" t="s">
        <v>1854</v>
      </c>
      <c r="L93" s="104" t="s">
        <v>1922</v>
      </c>
      <c r="M93" s="104"/>
      <c r="N93" s="104" t="str">
        <f t="shared" si="18"/>
        <v>Effect(BeHitRange, Raid1001.kara_2.behit.range.groggy.skilleffect.04)</v>
      </c>
      <c r="O93" s="104">
        <v>0</v>
      </c>
      <c r="P93" s="104">
        <v>0</v>
      </c>
      <c r="Q93" s="104"/>
      <c r="R93" s="105" t="b">
        <v>1</v>
      </c>
    </row>
    <row r="94" spans="1:18" x14ac:dyDescent="0.3">
      <c r="A94" s="194" t="s">
        <v>1923</v>
      </c>
      <c r="B94" s="104"/>
      <c r="C94" s="104"/>
      <c r="D94" s="104">
        <v>0</v>
      </c>
      <c r="E94" s="104">
        <v>1</v>
      </c>
      <c r="F94" s="104" t="s">
        <v>476</v>
      </c>
      <c r="G94" s="104" t="s">
        <v>477</v>
      </c>
      <c r="H94" s="104"/>
      <c r="I94" s="104">
        <v>0</v>
      </c>
      <c r="J94" s="104" t="s">
        <v>470</v>
      </c>
      <c r="K94" s="104" t="s">
        <v>1854</v>
      </c>
      <c r="L94" s="104" t="s">
        <v>1924</v>
      </c>
      <c r="M94" s="104"/>
      <c r="N94" s="104" t="str">
        <f t="shared" si="18"/>
        <v>Effect(BeHitRange, Raid1001.kara_2.behit.range.groggy.skilleffect.05)</v>
      </c>
      <c r="O94" s="104">
        <v>0</v>
      </c>
      <c r="P94" s="104">
        <v>0</v>
      </c>
      <c r="Q94" s="104"/>
      <c r="R94" s="105" t="b">
        <v>1</v>
      </c>
    </row>
    <row r="95" spans="1:18" x14ac:dyDescent="0.3">
      <c r="A95" s="194" t="s">
        <v>1925</v>
      </c>
      <c r="B95" s="104"/>
      <c r="C95" s="104"/>
      <c r="D95" s="104">
        <v>0</v>
      </c>
      <c r="E95" s="104"/>
      <c r="F95" s="104" t="s">
        <v>833</v>
      </c>
      <c r="G95" s="104" t="s">
        <v>1856</v>
      </c>
      <c r="H95" s="104">
        <v>40</v>
      </c>
      <c r="I95" s="104">
        <v>0</v>
      </c>
      <c r="J95" s="104" t="s">
        <v>1380</v>
      </c>
      <c r="K95" s="104" t="s">
        <v>1910</v>
      </c>
      <c r="L95" s="104"/>
      <c r="M95" s="104"/>
      <c r="N95" s="104" t="str">
        <f>J95&amp;"("&amp;IF(K95="","",K95)&amp;IF(L95="","",", "&amp;L95)&amp;IF(M95="","",", "&amp;M95)&amp;")"</f>
        <v>Passive(Raid1001.kara_2.attacker.debuff.buff.01)</v>
      </c>
      <c r="O95" s="104">
        <v>0</v>
      </c>
      <c r="P95" s="104">
        <v>0</v>
      </c>
      <c r="Q95" s="104"/>
      <c r="R95" s="105" t="b">
        <v>1</v>
      </c>
    </row>
    <row r="96" spans="1:18" x14ac:dyDescent="0.3">
      <c r="A96" s="194" t="s">
        <v>1926</v>
      </c>
      <c r="B96" s="104"/>
      <c r="C96" s="104"/>
      <c r="D96" s="104">
        <v>0</v>
      </c>
      <c r="E96" s="104"/>
      <c r="F96" s="104" t="s">
        <v>833</v>
      </c>
      <c r="G96" s="104" t="s">
        <v>1856</v>
      </c>
      <c r="H96" s="104">
        <v>40</v>
      </c>
      <c r="I96" s="104">
        <v>0</v>
      </c>
      <c r="J96" s="104" t="s">
        <v>1380</v>
      </c>
      <c r="K96" s="104" t="s">
        <v>1911</v>
      </c>
      <c r="L96" s="104"/>
      <c r="M96" s="104"/>
      <c r="N96" s="104" t="str">
        <f t="shared" ref="N96:N104" si="19">J96&amp;"("&amp;IF(K96="","",K96)&amp;IF(L96="","",", "&amp;L96)&amp;IF(M96="","",", "&amp;M96)&amp;")"</f>
        <v>Passive(Raid1001.kara_2.attacker.debuff.buff.02)</v>
      </c>
      <c r="O96" s="104">
        <v>0</v>
      </c>
      <c r="P96" s="104">
        <v>0</v>
      </c>
      <c r="Q96" s="104"/>
      <c r="R96" s="105" t="b">
        <v>1</v>
      </c>
    </row>
    <row r="97" spans="1:18" x14ac:dyDescent="0.3">
      <c r="A97" s="194" t="s">
        <v>1927</v>
      </c>
      <c r="B97" s="104"/>
      <c r="C97" s="104"/>
      <c r="D97" s="104">
        <v>0</v>
      </c>
      <c r="E97" s="104"/>
      <c r="F97" s="104" t="s">
        <v>833</v>
      </c>
      <c r="G97" s="104" t="s">
        <v>1856</v>
      </c>
      <c r="H97" s="104">
        <v>40</v>
      </c>
      <c r="I97" s="104">
        <v>0</v>
      </c>
      <c r="J97" s="104" t="s">
        <v>1380</v>
      </c>
      <c r="K97" s="104" t="s">
        <v>1912</v>
      </c>
      <c r="L97" s="104"/>
      <c r="M97" s="104"/>
      <c r="N97" s="104" t="str">
        <f t="shared" si="19"/>
        <v>Passive(Raid1001.kara_2.attacker.debuff.buff.03)</v>
      </c>
      <c r="O97" s="104">
        <v>0</v>
      </c>
      <c r="P97" s="104">
        <v>0</v>
      </c>
      <c r="Q97" s="104"/>
      <c r="R97" s="105" t="b">
        <v>1</v>
      </c>
    </row>
    <row r="98" spans="1:18" x14ac:dyDescent="0.3">
      <c r="A98" s="194" t="s">
        <v>1928</v>
      </c>
      <c r="B98" s="104"/>
      <c r="C98" s="104"/>
      <c r="D98" s="104">
        <v>0</v>
      </c>
      <c r="E98" s="104"/>
      <c r="F98" s="104" t="s">
        <v>833</v>
      </c>
      <c r="G98" s="104" t="s">
        <v>1856</v>
      </c>
      <c r="H98" s="104">
        <v>40</v>
      </c>
      <c r="I98" s="104">
        <v>0</v>
      </c>
      <c r="J98" s="104" t="s">
        <v>1380</v>
      </c>
      <c r="K98" s="104" t="s">
        <v>1913</v>
      </c>
      <c r="L98" s="104"/>
      <c r="M98" s="104"/>
      <c r="N98" s="104" t="str">
        <f t="shared" si="19"/>
        <v>Passive(Raid1001.kara_2.attacker.debuff.buff.04)</v>
      </c>
      <c r="O98" s="104">
        <v>0</v>
      </c>
      <c r="P98" s="104">
        <v>0</v>
      </c>
      <c r="Q98" s="104"/>
      <c r="R98" s="105" t="b">
        <v>1</v>
      </c>
    </row>
    <row r="99" spans="1:18" x14ac:dyDescent="0.3">
      <c r="A99" s="194" t="s">
        <v>1929</v>
      </c>
      <c r="B99" s="104"/>
      <c r="C99" s="104"/>
      <c r="D99" s="104">
        <v>0</v>
      </c>
      <c r="E99" s="104"/>
      <c r="F99" s="104" t="s">
        <v>833</v>
      </c>
      <c r="G99" s="104" t="s">
        <v>1856</v>
      </c>
      <c r="H99" s="104">
        <v>40</v>
      </c>
      <c r="I99" s="104">
        <v>0</v>
      </c>
      <c r="J99" s="104" t="s">
        <v>1380</v>
      </c>
      <c r="K99" s="104" t="s">
        <v>1914</v>
      </c>
      <c r="L99" s="104"/>
      <c r="M99" s="104"/>
      <c r="N99" s="104" t="str">
        <f t="shared" si="19"/>
        <v>Passive(Raid1001.kara_2.attacker.debuff.buff.05)</v>
      </c>
      <c r="O99" s="104">
        <v>0</v>
      </c>
      <c r="P99" s="104">
        <v>0</v>
      </c>
      <c r="Q99" s="104"/>
      <c r="R99" s="105" t="b">
        <v>1</v>
      </c>
    </row>
    <row r="100" spans="1:18" x14ac:dyDescent="0.3">
      <c r="A100" s="194" t="s">
        <v>1859</v>
      </c>
      <c r="B100" s="104"/>
      <c r="C100" s="104"/>
      <c r="D100" s="104">
        <v>0</v>
      </c>
      <c r="E100" s="104"/>
      <c r="F100" s="104" t="s">
        <v>476</v>
      </c>
      <c r="G100" s="104" t="s">
        <v>477</v>
      </c>
      <c r="H100" s="104"/>
      <c r="I100" s="104">
        <v>0</v>
      </c>
      <c r="J100" s="104" t="s">
        <v>846</v>
      </c>
      <c r="K100" s="104" t="s">
        <v>876</v>
      </c>
      <c r="L100" s="104">
        <v>-500</v>
      </c>
      <c r="M100" s="104"/>
      <c r="N100" s="104" t="str">
        <f t="shared" si="19"/>
        <v>Status(AccuracyRate, -500)</v>
      </c>
      <c r="O100" s="104">
        <v>0</v>
      </c>
      <c r="P100" s="104">
        <v>0</v>
      </c>
      <c r="Q100" s="104"/>
      <c r="R100" s="105" t="b">
        <v>0</v>
      </c>
    </row>
    <row r="101" spans="1:18" x14ac:dyDescent="0.3">
      <c r="A101" s="194" t="s">
        <v>1930</v>
      </c>
      <c r="B101" s="104"/>
      <c r="C101" s="104"/>
      <c r="D101" s="104">
        <v>0</v>
      </c>
      <c r="E101" s="104"/>
      <c r="F101" s="104" t="s">
        <v>476</v>
      </c>
      <c r="G101" s="104" t="s">
        <v>477</v>
      </c>
      <c r="H101" s="104"/>
      <c r="I101" s="104">
        <v>0</v>
      </c>
      <c r="J101" s="104" t="s">
        <v>846</v>
      </c>
      <c r="K101" s="104" t="s">
        <v>876</v>
      </c>
      <c r="L101" s="104">
        <v>-500</v>
      </c>
      <c r="M101" s="104"/>
      <c r="N101" s="104" t="str">
        <f t="shared" si="19"/>
        <v>Status(AccuracyRate, -500)</v>
      </c>
      <c r="O101" s="104">
        <v>0</v>
      </c>
      <c r="P101" s="104">
        <v>0</v>
      </c>
      <c r="Q101" s="104"/>
      <c r="R101" s="105" t="b">
        <v>0</v>
      </c>
    </row>
    <row r="102" spans="1:18" x14ac:dyDescent="0.3">
      <c r="A102" s="194" t="s">
        <v>1931</v>
      </c>
      <c r="B102" s="104"/>
      <c r="C102" s="104"/>
      <c r="D102" s="104">
        <v>0</v>
      </c>
      <c r="E102" s="104"/>
      <c r="F102" s="104" t="s">
        <v>476</v>
      </c>
      <c r="G102" s="104" t="s">
        <v>477</v>
      </c>
      <c r="H102" s="104"/>
      <c r="I102" s="104">
        <v>0</v>
      </c>
      <c r="J102" s="104" t="s">
        <v>846</v>
      </c>
      <c r="K102" s="104" t="s">
        <v>876</v>
      </c>
      <c r="L102" s="104">
        <v>-500</v>
      </c>
      <c r="M102" s="104"/>
      <c r="N102" s="104" t="str">
        <f t="shared" si="19"/>
        <v>Status(AccuracyRate, -500)</v>
      </c>
      <c r="O102" s="104">
        <v>0</v>
      </c>
      <c r="P102" s="104">
        <v>0</v>
      </c>
      <c r="Q102" s="104"/>
      <c r="R102" s="105" t="b">
        <v>0</v>
      </c>
    </row>
    <row r="103" spans="1:18" x14ac:dyDescent="0.3">
      <c r="A103" s="194" t="s">
        <v>1932</v>
      </c>
      <c r="B103" s="104"/>
      <c r="C103" s="104"/>
      <c r="D103" s="104">
        <v>0</v>
      </c>
      <c r="E103" s="104"/>
      <c r="F103" s="104" t="s">
        <v>476</v>
      </c>
      <c r="G103" s="104" t="s">
        <v>477</v>
      </c>
      <c r="H103" s="104"/>
      <c r="I103" s="104">
        <v>0</v>
      </c>
      <c r="J103" s="104" t="s">
        <v>846</v>
      </c>
      <c r="K103" s="104" t="s">
        <v>876</v>
      </c>
      <c r="L103" s="104">
        <v>-500</v>
      </c>
      <c r="M103" s="104"/>
      <c r="N103" s="104" t="str">
        <f t="shared" si="19"/>
        <v>Status(AccuracyRate, -500)</v>
      </c>
      <c r="O103" s="104">
        <v>0</v>
      </c>
      <c r="P103" s="104">
        <v>0</v>
      </c>
      <c r="Q103" s="104"/>
      <c r="R103" s="105" t="b">
        <v>0</v>
      </c>
    </row>
    <row r="104" spans="1:18" x14ac:dyDescent="0.3">
      <c r="A104" s="194" t="s">
        <v>1933</v>
      </c>
      <c r="B104" s="104"/>
      <c r="C104" s="104"/>
      <c r="D104" s="104">
        <v>0</v>
      </c>
      <c r="E104" s="104"/>
      <c r="F104" s="104" t="s">
        <v>476</v>
      </c>
      <c r="G104" s="104" t="s">
        <v>477</v>
      </c>
      <c r="H104" s="104"/>
      <c r="I104" s="104">
        <v>0</v>
      </c>
      <c r="J104" s="104" t="s">
        <v>846</v>
      </c>
      <c r="K104" s="104" t="s">
        <v>876</v>
      </c>
      <c r="L104" s="104">
        <v>-500</v>
      </c>
      <c r="M104" s="104"/>
      <c r="N104" s="104" t="str">
        <f t="shared" si="19"/>
        <v>Status(AccuracyRate, -500)</v>
      </c>
      <c r="O104" s="104">
        <v>0</v>
      </c>
      <c r="P104" s="104">
        <v>0</v>
      </c>
      <c r="Q104" s="104"/>
      <c r="R104" s="105" t="b">
        <v>0</v>
      </c>
    </row>
    <row r="105" spans="1:18" x14ac:dyDescent="0.3">
      <c r="A105" s="197" t="s">
        <v>2145</v>
      </c>
      <c r="B105" s="45"/>
      <c r="C105" s="45"/>
      <c r="D105" s="45">
        <v>0</v>
      </c>
      <c r="E105" s="45">
        <v>1</v>
      </c>
      <c r="F105" s="45" t="s">
        <v>476</v>
      </c>
      <c r="G105" s="45" t="s">
        <v>477</v>
      </c>
      <c r="H105" s="45"/>
      <c r="I105" s="45">
        <v>0</v>
      </c>
      <c r="J105" s="45" t="s">
        <v>848</v>
      </c>
      <c r="K105" s="45" t="s">
        <v>849</v>
      </c>
      <c r="L105" s="45"/>
      <c r="M105" s="45"/>
      <c r="N105" s="45" t="str">
        <f t="shared" ref="N105:N112" si="20">J105&amp;"("&amp;IF(K105="","",K105)&amp;IF(L105="","",", "&amp;L105)&amp;IF(M105="","",", "&amp;M105)&amp;")"</f>
        <v>CrowdControl(Stun)</v>
      </c>
      <c r="O105" s="45">
        <v>0</v>
      </c>
      <c r="P105" s="45">
        <v>0</v>
      </c>
      <c r="Q105" s="45"/>
      <c r="R105" s="46" t="b">
        <v>1</v>
      </c>
    </row>
    <row r="106" spans="1:18" x14ac:dyDescent="0.3">
      <c r="A106" s="197" t="s">
        <v>1813</v>
      </c>
      <c r="B106" s="45"/>
      <c r="C106" s="45"/>
      <c r="D106" s="45">
        <v>0</v>
      </c>
      <c r="E106" s="45">
        <v>1</v>
      </c>
      <c r="F106" s="45" t="s">
        <v>476</v>
      </c>
      <c r="G106" s="45" t="s">
        <v>477</v>
      </c>
      <c r="H106" s="45"/>
      <c r="I106" s="45">
        <v>0</v>
      </c>
      <c r="J106" s="45" t="s">
        <v>846</v>
      </c>
      <c r="K106" s="45" t="s">
        <v>887</v>
      </c>
      <c r="L106" s="45">
        <v>1000</v>
      </c>
      <c r="M106" s="45"/>
      <c r="N106" s="45" t="str">
        <f t="shared" si="20"/>
        <v>Status(HpDrainRate, 1000)</v>
      </c>
      <c r="O106" s="45">
        <v>0</v>
      </c>
      <c r="P106" s="45">
        <v>0</v>
      </c>
      <c r="Q106" s="45"/>
      <c r="R106" s="46" t="b">
        <v>1</v>
      </c>
    </row>
    <row r="107" spans="1:18" x14ac:dyDescent="0.3">
      <c r="A107" s="197" t="s">
        <v>1937</v>
      </c>
      <c r="B107" s="45" t="s">
        <v>812</v>
      </c>
      <c r="C107" s="45" t="s">
        <v>813</v>
      </c>
      <c r="D107" s="45">
        <v>0</v>
      </c>
      <c r="E107" s="45"/>
      <c r="F107" s="45" t="s">
        <v>476</v>
      </c>
      <c r="G107" s="45" t="s">
        <v>477</v>
      </c>
      <c r="H107" s="45"/>
      <c r="I107" s="45">
        <v>0</v>
      </c>
      <c r="J107" s="45" t="s">
        <v>1380</v>
      </c>
      <c r="K107" s="45" t="s">
        <v>1848</v>
      </c>
      <c r="L107" s="45"/>
      <c r="M107" s="45"/>
      <c r="N107" s="45" t="str">
        <f>J107&amp;"("&amp;IF(K107="","",K107)&amp;IF(L107="","",", "&amp;L107)&amp;IF(M107="","",", "&amp;M107)&amp;")"</f>
        <v>Passive(Raid.Groggy.buff)</v>
      </c>
      <c r="O107" s="45">
        <v>0</v>
      </c>
      <c r="P107" s="45">
        <v>0</v>
      </c>
      <c r="Q107" s="45"/>
      <c r="R107" s="46" t="b">
        <v>1</v>
      </c>
    </row>
    <row r="108" spans="1:18" x14ac:dyDescent="0.3">
      <c r="A108" s="197" t="s">
        <v>2132</v>
      </c>
      <c r="B108" s="45"/>
      <c r="C108" s="45"/>
      <c r="D108" s="45">
        <v>0</v>
      </c>
      <c r="E108" s="45"/>
      <c r="F108" s="45" t="s">
        <v>2133</v>
      </c>
      <c r="G108" s="45" t="s">
        <v>2134</v>
      </c>
      <c r="H108" s="45"/>
      <c r="I108" s="45">
        <v>0</v>
      </c>
      <c r="J108" s="45" t="s">
        <v>1380</v>
      </c>
      <c r="K108" s="45" t="s">
        <v>2136</v>
      </c>
      <c r="L108" s="45"/>
      <c r="M108" s="45"/>
      <c r="N108" s="45" t="str">
        <f>J108&amp;"("&amp;IF(K108="","",K108)&amp;IF(L108="","",", "&amp;L108)&amp;IF(M108="","",", "&amp;M108)&amp;")"</f>
        <v>Passive(Raid2001.barnacle_builder_1.onheal.groggy.buff)</v>
      </c>
      <c r="O108" s="45">
        <v>0</v>
      </c>
      <c r="P108" s="45">
        <v>0</v>
      </c>
      <c r="Q108" s="45"/>
      <c r="R108" s="46" t="b">
        <v>1</v>
      </c>
    </row>
    <row r="109" spans="1:18" x14ac:dyDescent="0.3">
      <c r="A109" s="197" t="s">
        <v>2137</v>
      </c>
      <c r="B109" s="45" t="s">
        <v>2139</v>
      </c>
      <c r="C109" s="45" t="s">
        <v>2140</v>
      </c>
      <c r="D109" s="45">
        <v>0</v>
      </c>
      <c r="E109" s="45">
        <v>1</v>
      </c>
      <c r="F109" s="45" t="s">
        <v>476</v>
      </c>
      <c r="G109" s="45" t="s">
        <v>477</v>
      </c>
      <c r="H109" s="45"/>
      <c r="I109" s="45">
        <v>0</v>
      </c>
      <c r="J109" s="45" t="s">
        <v>470</v>
      </c>
      <c r="K109" s="45" t="s">
        <v>2141</v>
      </c>
      <c r="L109" s="45" t="s">
        <v>2142</v>
      </c>
      <c r="M109" s="45"/>
      <c r="N109" s="45" t="str">
        <f t="shared" ref="N109" si="21">J109&amp;"("&amp;IF(K109="","",K109)&amp;IF(L109="","",", "&amp;L109)&amp;IF(M109="","",", "&amp;M109)&amp;")"</f>
        <v>Effect(OnHeal, Raid2001.barnacle_builder_1.onheal.groggy.skilleffect.01)</v>
      </c>
      <c r="O109" s="45">
        <v>0</v>
      </c>
      <c r="P109" s="45">
        <v>0</v>
      </c>
      <c r="Q109" s="45"/>
      <c r="R109" s="46" t="b">
        <v>1</v>
      </c>
    </row>
    <row r="110" spans="1:18" x14ac:dyDescent="0.3">
      <c r="A110" s="197" t="s">
        <v>1814</v>
      </c>
      <c r="B110" s="45"/>
      <c r="C110" s="45"/>
      <c r="D110" s="45">
        <v>0</v>
      </c>
      <c r="E110" s="45">
        <v>1</v>
      </c>
      <c r="F110" s="45" t="s">
        <v>476</v>
      </c>
      <c r="G110" s="45" t="s">
        <v>477</v>
      </c>
      <c r="H110" s="45"/>
      <c r="I110" s="45">
        <v>0</v>
      </c>
      <c r="J110" s="45" t="s">
        <v>860</v>
      </c>
      <c r="K110" s="45" t="s">
        <v>1815</v>
      </c>
      <c r="L110" s="45"/>
      <c r="M110" s="45"/>
      <c r="N110" s="45" t="str">
        <f t="shared" si="20"/>
        <v>Active(Raid2001.barnacle_builder_1.passive01.effect.skilleffect)</v>
      </c>
      <c r="O110" s="45">
        <v>0</v>
      </c>
      <c r="P110" s="45">
        <v>20000</v>
      </c>
      <c r="Q110" s="45"/>
      <c r="R110" s="46" t="b">
        <v>1</v>
      </c>
    </row>
    <row r="111" spans="1:18" x14ac:dyDescent="0.3">
      <c r="A111" s="197" t="s">
        <v>1816</v>
      </c>
      <c r="B111" s="45"/>
      <c r="C111" s="45"/>
      <c r="D111" s="45">
        <v>0</v>
      </c>
      <c r="E111" s="45">
        <v>1</v>
      </c>
      <c r="F111" s="45" t="s">
        <v>476</v>
      </c>
      <c r="G111" s="45" t="s">
        <v>477</v>
      </c>
      <c r="H111" s="45"/>
      <c r="I111" s="45">
        <v>0</v>
      </c>
      <c r="J111" s="45" t="s">
        <v>470</v>
      </c>
      <c r="K111" s="45" t="s">
        <v>867</v>
      </c>
      <c r="L111" s="45" t="s">
        <v>1817</v>
      </c>
      <c r="M111" s="45"/>
      <c r="N111" s="45" t="str">
        <f t="shared" si="20"/>
        <v>Effect(BeHit, Raid2001.barnacle_builder_1.passive01.reflect.effect.skilleffect)</v>
      </c>
      <c r="O111" s="45">
        <v>0</v>
      </c>
      <c r="P111" s="45">
        <v>0</v>
      </c>
      <c r="Q111" s="45"/>
      <c r="R111" s="46" t="b">
        <v>1</v>
      </c>
    </row>
    <row r="112" spans="1:18" x14ac:dyDescent="0.3">
      <c r="A112" s="228" t="s">
        <v>1948</v>
      </c>
      <c r="B112" s="31"/>
      <c r="C112" s="31"/>
      <c r="D112" s="31">
        <v>0</v>
      </c>
      <c r="E112" s="31">
        <v>1</v>
      </c>
      <c r="F112" s="31" t="s">
        <v>476</v>
      </c>
      <c r="G112" s="31" t="s">
        <v>477</v>
      </c>
      <c r="H112" s="31"/>
      <c r="I112" s="31">
        <v>0</v>
      </c>
      <c r="J112" s="31" t="s">
        <v>470</v>
      </c>
      <c r="K112" s="31" t="s">
        <v>1854</v>
      </c>
      <c r="L112" s="31" t="s">
        <v>2122</v>
      </c>
      <c r="M112" s="31"/>
      <c r="N112" s="31" t="str">
        <f t="shared" si="20"/>
        <v>Effect(BeHitRange, Raid2001.barnacle_builder_1.passive01.behit.range.groggy.skilleffect.01)</v>
      </c>
      <c r="O112" s="31">
        <v>0</v>
      </c>
      <c r="P112" s="31">
        <v>0</v>
      </c>
      <c r="Q112" s="31"/>
      <c r="R112" s="32" t="b">
        <v>1</v>
      </c>
    </row>
    <row r="113" spans="1:18" x14ac:dyDescent="0.3">
      <c r="A113" s="228" t="s">
        <v>1951</v>
      </c>
      <c r="B113" s="31"/>
      <c r="C113" s="31"/>
      <c r="D113" s="31">
        <v>0</v>
      </c>
      <c r="E113" s="31">
        <v>1</v>
      </c>
      <c r="F113" s="31" t="s">
        <v>476</v>
      </c>
      <c r="G113" s="31" t="s">
        <v>477</v>
      </c>
      <c r="H113" s="31"/>
      <c r="I113" s="31">
        <v>0</v>
      </c>
      <c r="J113" s="31" t="s">
        <v>470</v>
      </c>
      <c r="K113" s="31" t="s">
        <v>1854</v>
      </c>
      <c r="L113" s="31" t="s">
        <v>2123</v>
      </c>
      <c r="M113" s="31"/>
      <c r="N113" s="31" t="str">
        <f t="shared" ref="N113:N121" si="22">J113&amp;"("&amp;IF(K113="","",K113)&amp;IF(L113="","",", "&amp;L113)&amp;IF(M113="","",", "&amp;M113)&amp;")"</f>
        <v>Effect(BeHitRange, Raid2001.barnacle_builder_1.passive01.behit.range.groggy.skilleffect.02)</v>
      </c>
      <c r="O113" s="31">
        <v>0</v>
      </c>
      <c r="P113" s="31">
        <v>0</v>
      </c>
      <c r="Q113" s="31"/>
      <c r="R113" s="32" t="b">
        <v>1</v>
      </c>
    </row>
    <row r="114" spans="1:18" x14ac:dyDescent="0.3">
      <c r="A114" s="228" t="s">
        <v>1952</v>
      </c>
      <c r="B114" s="31"/>
      <c r="C114" s="31"/>
      <c r="D114" s="31">
        <v>0</v>
      </c>
      <c r="E114" s="31">
        <v>1</v>
      </c>
      <c r="F114" s="31" t="s">
        <v>476</v>
      </c>
      <c r="G114" s="31" t="s">
        <v>477</v>
      </c>
      <c r="H114" s="31"/>
      <c r="I114" s="31">
        <v>0</v>
      </c>
      <c r="J114" s="31" t="s">
        <v>470</v>
      </c>
      <c r="K114" s="31" t="s">
        <v>1854</v>
      </c>
      <c r="L114" s="31" t="s">
        <v>2124</v>
      </c>
      <c r="M114" s="31"/>
      <c r="N114" s="31" t="str">
        <f t="shared" si="22"/>
        <v>Effect(BeHitRange, Raid2001.barnacle_builder_1.passive01.behit.range.groggy.skilleffect.03)</v>
      </c>
      <c r="O114" s="31">
        <v>0</v>
      </c>
      <c r="P114" s="31">
        <v>0</v>
      </c>
      <c r="Q114" s="31"/>
      <c r="R114" s="32" t="b">
        <v>1</v>
      </c>
    </row>
    <row r="115" spans="1:18" x14ac:dyDescent="0.3">
      <c r="A115" s="228" t="s">
        <v>1953</v>
      </c>
      <c r="B115" s="31"/>
      <c r="C115" s="31"/>
      <c r="D115" s="31">
        <v>0</v>
      </c>
      <c r="E115" s="31">
        <v>1</v>
      </c>
      <c r="F115" s="31" t="s">
        <v>476</v>
      </c>
      <c r="G115" s="31" t="s">
        <v>477</v>
      </c>
      <c r="H115" s="31"/>
      <c r="I115" s="31">
        <v>0</v>
      </c>
      <c r="J115" s="31" t="s">
        <v>470</v>
      </c>
      <c r="K115" s="31" t="s">
        <v>1854</v>
      </c>
      <c r="L115" s="31" t="s">
        <v>2125</v>
      </c>
      <c r="M115" s="31"/>
      <c r="N115" s="31" t="str">
        <f t="shared" si="22"/>
        <v>Effect(BeHitRange, Raid2001.barnacle_builder_1.passive01.behit.range.groggy.skilleffect.04)</v>
      </c>
      <c r="O115" s="31">
        <v>0</v>
      </c>
      <c r="P115" s="31">
        <v>0</v>
      </c>
      <c r="Q115" s="31"/>
      <c r="R115" s="32" t="b">
        <v>1</v>
      </c>
    </row>
    <row r="116" spans="1:18" x14ac:dyDescent="0.3">
      <c r="A116" s="228" t="s">
        <v>1954</v>
      </c>
      <c r="B116" s="31"/>
      <c r="C116" s="31"/>
      <c r="D116" s="31">
        <v>0</v>
      </c>
      <c r="E116" s="31">
        <v>1</v>
      </c>
      <c r="F116" s="31" t="s">
        <v>476</v>
      </c>
      <c r="G116" s="31" t="s">
        <v>477</v>
      </c>
      <c r="H116" s="31"/>
      <c r="I116" s="31">
        <v>0</v>
      </c>
      <c r="J116" s="31" t="s">
        <v>470</v>
      </c>
      <c r="K116" s="31" t="s">
        <v>1854</v>
      </c>
      <c r="L116" s="31" t="s">
        <v>2126</v>
      </c>
      <c r="M116" s="31"/>
      <c r="N116" s="31" t="str">
        <f t="shared" si="22"/>
        <v>Effect(BeHitRange, Raid2001.barnacle_builder_1.passive01.behit.range.groggy.skilleffect.05)</v>
      </c>
      <c r="O116" s="31">
        <v>0</v>
      </c>
      <c r="P116" s="31">
        <v>0</v>
      </c>
      <c r="Q116" s="31"/>
      <c r="R116" s="32" t="b">
        <v>1</v>
      </c>
    </row>
    <row r="117" spans="1:18" x14ac:dyDescent="0.3">
      <c r="A117" s="228" t="s">
        <v>1955</v>
      </c>
      <c r="B117" s="31"/>
      <c r="C117" s="31"/>
      <c r="D117" s="31">
        <v>0</v>
      </c>
      <c r="E117" s="31">
        <v>1</v>
      </c>
      <c r="F117" s="31" t="s">
        <v>476</v>
      </c>
      <c r="G117" s="31" t="s">
        <v>477</v>
      </c>
      <c r="H117" s="31"/>
      <c r="I117" s="31">
        <v>0</v>
      </c>
      <c r="J117" s="31" t="s">
        <v>470</v>
      </c>
      <c r="K117" s="31" t="s">
        <v>1854</v>
      </c>
      <c r="L117" s="31" t="s">
        <v>2127</v>
      </c>
      <c r="M117" s="31"/>
      <c r="N117" s="31" t="str">
        <f t="shared" si="22"/>
        <v>Effect(BeHitRange, Raid2001.barnacle_builder_1.passive01.behit.range.groggy.skilleffect.06)</v>
      </c>
      <c r="O117" s="31">
        <v>0</v>
      </c>
      <c r="P117" s="31">
        <v>0</v>
      </c>
      <c r="Q117" s="31"/>
      <c r="R117" s="32" t="b">
        <v>1</v>
      </c>
    </row>
    <row r="118" spans="1:18" x14ac:dyDescent="0.3">
      <c r="A118" s="228" t="s">
        <v>1956</v>
      </c>
      <c r="B118" s="31"/>
      <c r="C118" s="31"/>
      <c r="D118" s="31">
        <v>0</v>
      </c>
      <c r="E118" s="31">
        <v>1</v>
      </c>
      <c r="F118" s="31" t="s">
        <v>476</v>
      </c>
      <c r="G118" s="31" t="s">
        <v>477</v>
      </c>
      <c r="H118" s="31"/>
      <c r="I118" s="31">
        <v>0</v>
      </c>
      <c r="J118" s="31" t="s">
        <v>470</v>
      </c>
      <c r="K118" s="31" t="s">
        <v>1854</v>
      </c>
      <c r="L118" s="31" t="s">
        <v>2128</v>
      </c>
      <c r="M118" s="31"/>
      <c r="N118" s="31" t="str">
        <f t="shared" si="22"/>
        <v>Effect(BeHitRange, Raid2001.barnacle_builder_1.passive01.behit.range.groggy.skilleffect.07)</v>
      </c>
      <c r="O118" s="31">
        <v>0</v>
      </c>
      <c r="P118" s="31">
        <v>0</v>
      </c>
      <c r="Q118" s="31"/>
      <c r="R118" s="32" t="b">
        <v>1</v>
      </c>
    </row>
    <row r="119" spans="1:18" x14ac:dyDescent="0.3">
      <c r="A119" s="228" t="s">
        <v>1957</v>
      </c>
      <c r="B119" s="31"/>
      <c r="C119" s="31"/>
      <c r="D119" s="31">
        <v>0</v>
      </c>
      <c r="E119" s="31">
        <v>1</v>
      </c>
      <c r="F119" s="31" t="s">
        <v>476</v>
      </c>
      <c r="G119" s="31" t="s">
        <v>477</v>
      </c>
      <c r="H119" s="31"/>
      <c r="I119" s="31">
        <v>0</v>
      </c>
      <c r="J119" s="31" t="s">
        <v>470</v>
      </c>
      <c r="K119" s="31" t="s">
        <v>1854</v>
      </c>
      <c r="L119" s="31" t="s">
        <v>2129</v>
      </c>
      <c r="M119" s="31"/>
      <c r="N119" s="31" t="str">
        <f t="shared" si="22"/>
        <v>Effect(BeHitRange, Raid2001.barnacle_builder_1.passive01.behit.range.groggy.skilleffect.08)</v>
      </c>
      <c r="O119" s="31">
        <v>0</v>
      </c>
      <c r="P119" s="31">
        <v>0</v>
      </c>
      <c r="Q119" s="31"/>
      <c r="R119" s="32" t="b">
        <v>1</v>
      </c>
    </row>
    <row r="120" spans="1:18" x14ac:dyDescent="0.3">
      <c r="A120" s="228" t="s">
        <v>1958</v>
      </c>
      <c r="B120" s="31"/>
      <c r="C120" s="31"/>
      <c r="D120" s="31">
        <v>0</v>
      </c>
      <c r="E120" s="31">
        <v>1</v>
      </c>
      <c r="F120" s="31" t="s">
        <v>476</v>
      </c>
      <c r="G120" s="31" t="s">
        <v>477</v>
      </c>
      <c r="H120" s="31"/>
      <c r="I120" s="31">
        <v>0</v>
      </c>
      <c r="J120" s="31" t="s">
        <v>470</v>
      </c>
      <c r="K120" s="31" t="s">
        <v>1854</v>
      </c>
      <c r="L120" s="31" t="s">
        <v>2130</v>
      </c>
      <c r="M120" s="31"/>
      <c r="N120" s="31" t="str">
        <f t="shared" si="22"/>
        <v>Effect(BeHitRange, Raid2001.barnacle_builder_1.passive01.behit.range.groggy.skilleffect.09)</v>
      </c>
      <c r="O120" s="31">
        <v>0</v>
      </c>
      <c r="P120" s="31">
        <v>0</v>
      </c>
      <c r="Q120" s="31"/>
      <c r="R120" s="32" t="b">
        <v>1</v>
      </c>
    </row>
    <row r="121" spans="1:18" x14ac:dyDescent="0.3">
      <c r="A121" s="228" t="s">
        <v>1959</v>
      </c>
      <c r="B121" s="31"/>
      <c r="C121" s="31"/>
      <c r="D121" s="31">
        <v>0</v>
      </c>
      <c r="E121" s="31">
        <v>1</v>
      </c>
      <c r="F121" s="31" t="s">
        <v>476</v>
      </c>
      <c r="G121" s="31" t="s">
        <v>477</v>
      </c>
      <c r="H121" s="31"/>
      <c r="I121" s="31">
        <v>0</v>
      </c>
      <c r="J121" s="31" t="s">
        <v>470</v>
      </c>
      <c r="K121" s="31" t="s">
        <v>1854</v>
      </c>
      <c r="L121" s="31" t="s">
        <v>2131</v>
      </c>
      <c r="M121" s="31"/>
      <c r="N121" s="31" t="str">
        <f t="shared" si="22"/>
        <v>Effect(BeHitRange, Raid2001.barnacle_builder_1.passive01.behit.range.groggy.skilleffect.10)</v>
      </c>
      <c r="O121" s="31">
        <v>0</v>
      </c>
      <c r="P121" s="31">
        <v>0</v>
      </c>
      <c r="Q121" s="31"/>
      <c r="R121" s="32" t="b">
        <v>1</v>
      </c>
    </row>
    <row r="122" spans="1:18" x14ac:dyDescent="0.3">
      <c r="A122" s="197" t="s">
        <v>1949</v>
      </c>
      <c r="B122" s="45"/>
      <c r="C122" s="45"/>
      <c r="D122" s="45">
        <v>0</v>
      </c>
      <c r="E122" s="45">
        <v>1</v>
      </c>
      <c r="F122" s="45" t="s">
        <v>476</v>
      </c>
      <c r="G122" s="45" t="s">
        <v>477</v>
      </c>
      <c r="H122" s="45"/>
      <c r="I122" s="45">
        <v>0</v>
      </c>
      <c r="J122" s="45" t="s">
        <v>865</v>
      </c>
      <c r="K122" s="45" t="s">
        <v>1978</v>
      </c>
      <c r="L122" s="45">
        <v>400</v>
      </c>
      <c r="M122" s="45"/>
      <c r="N122" s="45" t="str">
        <f t="shared" ref="N122:N159" si="23">J122&amp;"("&amp;IF(K122="","",K122)&amp;IF(L122="","",", "&amp;L122)&amp;IF(M122="","",", "&amp;M122)&amp;")"</f>
        <v>Reflect(Range, 400)</v>
      </c>
      <c r="O122" s="45">
        <v>0</v>
      </c>
      <c r="P122" s="45">
        <v>0</v>
      </c>
      <c r="Q122" s="45"/>
      <c r="R122" s="46" t="b">
        <v>1</v>
      </c>
    </row>
    <row r="123" spans="1:18" x14ac:dyDescent="0.3">
      <c r="A123" s="197" t="s">
        <v>1960</v>
      </c>
      <c r="B123" s="45"/>
      <c r="C123" s="45"/>
      <c r="D123" s="45">
        <v>0</v>
      </c>
      <c r="E123" s="45">
        <v>1</v>
      </c>
      <c r="F123" s="45" t="s">
        <v>476</v>
      </c>
      <c r="G123" s="45" t="s">
        <v>477</v>
      </c>
      <c r="H123" s="45"/>
      <c r="I123" s="45">
        <v>0</v>
      </c>
      <c r="J123" s="45" t="s">
        <v>865</v>
      </c>
      <c r="K123" s="45" t="s">
        <v>1978</v>
      </c>
      <c r="L123" s="45">
        <v>800</v>
      </c>
      <c r="M123" s="45"/>
      <c r="N123" s="45" t="str">
        <f t="shared" si="23"/>
        <v>Reflect(Range, 800)</v>
      </c>
      <c r="O123" s="45">
        <v>0</v>
      </c>
      <c r="P123" s="45">
        <v>0</v>
      </c>
      <c r="Q123" s="45"/>
      <c r="R123" s="46" t="b">
        <v>1</v>
      </c>
    </row>
    <row r="124" spans="1:18" x14ac:dyDescent="0.3">
      <c r="A124" s="197" t="s">
        <v>1961</v>
      </c>
      <c r="B124" s="45"/>
      <c r="C124" s="45"/>
      <c r="D124" s="45">
        <v>0</v>
      </c>
      <c r="E124" s="45">
        <v>1</v>
      </c>
      <c r="F124" s="45" t="s">
        <v>476</v>
      </c>
      <c r="G124" s="45" t="s">
        <v>477</v>
      </c>
      <c r="H124" s="45"/>
      <c r="I124" s="45">
        <v>0</v>
      </c>
      <c r="J124" s="45" t="s">
        <v>865</v>
      </c>
      <c r="K124" s="45" t="s">
        <v>1978</v>
      </c>
      <c r="L124" s="45">
        <v>1200</v>
      </c>
      <c r="M124" s="45"/>
      <c r="N124" s="45" t="str">
        <f t="shared" si="23"/>
        <v>Reflect(Range, 1200)</v>
      </c>
      <c r="O124" s="45">
        <v>0</v>
      </c>
      <c r="P124" s="45">
        <v>0</v>
      </c>
      <c r="Q124" s="45"/>
      <c r="R124" s="46" t="b">
        <v>1</v>
      </c>
    </row>
    <row r="125" spans="1:18" x14ac:dyDescent="0.3">
      <c r="A125" s="197" t="s">
        <v>1962</v>
      </c>
      <c r="B125" s="45"/>
      <c r="C125" s="45"/>
      <c r="D125" s="45">
        <v>0</v>
      </c>
      <c r="E125" s="45">
        <v>1</v>
      </c>
      <c r="F125" s="45" t="s">
        <v>476</v>
      </c>
      <c r="G125" s="45" t="s">
        <v>477</v>
      </c>
      <c r="H125" s="45"/>
      <c r="I125" s="45">
        <v>0</v>
      </c>
      <c r="J125" s="45" t="s">
        <v>865</v>
      </c>
      <c r="K125" s="45" t="s">
        <v>1978</v>
      </c>
      <c r="L125" s="45">
        <v>1600</v>
      </c>
      <c r="M125" s="45"/>
      <c r="N125" s="45" t="str">
        <f t="shared" si="23"/>
        <v>Reflect(Range, 1600)</v>
      </c>
      <c r="O125" s="45">
        <v>0</v>
      </c>
      <c r="P125" s="45">
        <v>0</v>
      </c>
      <c r="Q125" s="45"/>
      <c r="R125" s="46" t="b">
        <v>1</v>
      </c>
    </row>
    <row r="126" spans="1:18" x14ac:dyDescent="0.3">
      <c r="A126" s="197" t="s">
        <v>1963</v>
      </c>
      <c r="B126" s="45"/>
      <c r="C126" s="45"/>
      <c r="D126" s="45">
        <v>0</v>
      </c>
      <c r="E126" s="45">
        <v>1</v>
      </c>
      <c r="F126" s="45" t="s">
        <v>476</v>
      </c>
      <c r="G126" s="45" t="s">
        <v>477</v>
      </c>
      <c r="H126" s="45"/>
      <c r="I126" s="45">
        <v>0</v>
      </c>
      <c r="J126" s="45" t="s">
        <v>865</v>
      </c>
      <c r="K126" s="45" t="s">
        <v>1978</v>
      </c>
      <c r="L126" s="45">
        <v>2000</v>
      </c>
      <c r="M126" s="45"/>
      <c r="N126" s="45" t="str">
        <f t="shared" si="23"/>
        <v>Reflect(Range, 2000)</v>
      </c>
      <c r="O126" s="45">
        <v>0</v>
      </c>
      <c r="P126" s="45">
        <v>0</v>
      </c>
      <c r="Q126" s="45"/>
      <c r="R126" s="46" t="b">
        <v>1</v>
      </c>
    </row>
    <row r="127" spans="1:18" x14ac:dyDescent="0.3">
      <c r="A127" s="197" t="s">
        <v>1964</v>
      </c>
      <c r="B127" s="45"/>
      <c r="C127" s="45"/>
      <c r="D127" s="45">
        <v>0</v>
      </c>
      <c r="E127" s="45">
        <v>1</v>
      </c>
      <c r="F127" s="45" t="s">
        <v>476</v>
      </c>
      <c r="G127" s="45" t="s">
        <v>477</v>
      </c>
      <c r="H127" s="45"/>
      <c r="I127" s="45">
        <v>0</v>
      </c>
      <c r="J127" s="45" t="s">
        <v>865</v>
      </c>
      <c r="K127" s="45" t="s">
        <v>1978</v>
      </c>
      <c r="L127" s="45">
        <v>2000</v>
      </c>
      <c r="M127" s="45"/>
      <c r="N127" s="45" t="str">
        <f t="shared" si="23"/>
        <v>Reflect(Range, 2000)</v>
      </c>
      <c r="O127" s="45">
        <v>0</v>
      </c>
      <c r="P127" s="45">
        <v>0</v>
      </c>
      <c r="Q127" s="45"/>
      <c r="R127" s="46" t="b">
        <v>1</v>
      </c>
    </row>
    <row r="128" spans="1:18" x14ac:dyDescent="0.3">
      <c r="A128" s="197" t="s">
        <v>1965</v>
      </c>
      <c r="B128" s="45"/>
      <c r="C128" s="45"/>
      <c r="D128" s="45">
        <v>0</v>
      </c>
      <c r="E128" s="45">
        <v>1</v>
      </c>
      <c r="F128" s="45" t="s">
        <v>476</v>
      </c>
      <c r="G128" s="45" t="s">
        <v>477</v>
      </c>
      <c r="H128" s="45"/>
      <c r="I128" s="45">
        <v>0</v>
      </c>
      <c r="J128" s="45" t="s">
        <v>865</v>
      </c>
      <c r="K128" s="45" t="s">
        <v>1978</v>
      </c>
      <c r="L128" s="45">
        <v>2000</v>
      </c>
      <c r="M128" s="45"/>
      <c r="N128" s="45" t="str">
        <f t="shared" si="23"/>
        <v>Reflect(Range, 2000)</v>
      </c>
      <c r="O128" s="45">
        <v>0</v>
      </c>
      <c r="P128" s="45">
        <v>0</v>
      </c>
      <c r="Q128" s="45"/>
      <c r="R128" s="46" t="b">
        <v>1</v>
      </c>
    </row>
    <row r="129" spans="1:18" x14ac:dyDescent="0.3">
      <c r="A129" s="197" t="s">
        <v>1966</v>
      </c>
      <c r="B129" s="45"/>
      <c r="C129" s="45"/>
      <c r="D129" s="45">
        <v>0</v>
      </c>
      <c r="E129" s="45">
        <v>1</v>
      </c>
      <c r="F129" s="45" t="s">
        <v>476</v>
      </c>
      <c r="G129" s="45" t="s">
        <v>477</v>
      </c>
      <c r="H129" s="45"/>
      <c r="I129" s="45">
        <v>0</v>
      </c>
      <c r="J129" s="45" t="s">
        <v>865</v>
      </c>
      <c r="K129" s="45" t="s">
        <v>1978</v>
      </c>
      <c r="L129" s="45">
        <v>2000</v>
      </c>
      <c r="M129" s="45"/>
      <c r="N129" s="45" t="str">
        <f t="shared" si="23"/>
        <v>Reflect(Range, 2000)</v>
      </c>
      <c r="O129" s="45">
        <v>0</v>
      </c>
      <c r="P129" s="45">
        <v>0</v>
      </c>
      <c r="Q129" s="45"/>
      <c r="R129" s="46" t="b">
        <v>1</v>
      </c>
    </row>
    <row r="130" spans="1:18" x14ac:dyDescent="0.3">
      <c r="A130" s="197" t="s">
        <v>1967</v>
      </c>
      <c r="B130" s="45"/>
      <c r="C130" s="45"/>
      <c r="D130" s="45">
        <v>0</v>
      </c>
      <c r="E130" s="45">
        <v>1</v>
      </c>
      <c r="F130" s="45" t="s">
        <v>476</v>
      </c>
      <c r="G130" s="45" t="s">
        <v>477</v>
      </c>
      <c r="H130" s="45"/>
      <c r="I130" s="45">
        <v>0</v>
      </c>
      <c r="J130" s="45" t="s">
        <v>865</v>
      </c>
      <c r="K130" s="45" t="s">
        <v>1978</v>
      </c>
      <c r="L130" s="45">
        <v>2000</v>
      </c>
      <c r="M130" s="45"/>
      <c r="N130" s="45" t="str">
        <f t="shared" si="23"/>
        <v>Reflect(Range, 2000)</v>
      </c>
      <c r="O130" s="45">
        <v>0</v>
      </c>
      <c r="P130" s="45">
        <v>0</v>
      </c>
      <c r="Q130" s="45"/>
      <c r="R130" s="46" t="b">
        <v>1</v>
      </c>
    </row>
    <row r="131" spans="1:18" x14ac:dyDescent="0.3">
      <c r="A131" s="197" t="s">
        <v>1968</v>
      </c>
      <c r="B131" s="45"/>
      <c r="C131" s="45"/>
      <c r="D131" s="45">
        <v>0</v>
      </c>
      <c r="E131" s="45">
        <v>1</v>
      </c>
      <c r="F131" s="45" t="s">
        <v>476</v>
      </c>
      <c r="G131" s="45" t="s">
        <v>477</v>
      </c>
      <c r="H131" s="45"/>
      <c r="I131" s="45">
        <v>0</v>
      </c>
      <c r="J131" s="45" t="s">
        <v>865</v>
      </c>
      <c r="K131" s="45" t="s">
        <v>1978</v>
      </c>
      <c r="L131" s="45">
        <v>2000</v>
      </c>
      <c r="M131" s="45"/>
      <c r="N131" s="45" t="str">
        <f t="shared" si="23"/>
        <v>Reflect(Range, 2000)</v>
      </c>
      <c r="O131" s="45">
        <v>0</v>
      </c>
      <c r="P131" s="45">
        <v>0</v>
      </c>
      <c r="Q131" s="45"/>
      <c r="R131" s="46" t="b">
        <v>1</v>
      </c>
    </row>
    <row r="132" spans="1:18" x14ac:dyDescent="0.3">
      <c r="A132" s="192" t="s">
        <v>1950</v>
      </c>
      <c r="B132" s="31" t="s">
        <v>812</v>
      </c>
      <c r="C132" s="31" t="s">
        <v>813</v>
      </c>
      <c r="D132" s="31">
        <v>0</v>
      </c>
      <c r="E132" s="31">
        <v>1</v>
      </c>
      <c r="F132" s="31" t="s">
        <v>476</v>
      </c>
      <c r="G132" s="31" t="s">
        <v>477</v>
      </c>
      <c r="H132" s="31"/>
      <c r="I132" s="31">
        <v>0</v>
      </c>
      <c r="J132" s="31" t="s">
        <v>846</v>
      </c>
      <c r="K132" s="31" t="s">
        <v>872</v>
      </c>
      <c r="L132" s="31">
        <v>0</v>
      </c>
      <c r="M132" s="31"/>
      <c r="N132" s="31" t="str">
        <f t="shared" si="23"/>
        <v>Status(DamageDerate, 0)</v>
      </c>
      <c r="O132" s="31">
        <v>0</v>
      </c>
      <c r="P132" s="31">
        <v>0</v>
      </c>
      <c r="Q132" s="31"/>
      <c r="R132" s="32" t="b">
        <v>1</v>
      </c>
    </row>
    <row r="133" spans="1:18" x14ac:dyDescent="0.3">
      <c r="A133" s="192" t="s">
        <v>1969</v>
      </c>
      <c r="B133" s="31" t="s">
        <v>812</v>
      </c>
      <c r="C133" s="31" t="s">
        <v>813</v>
      </c>
      <c r="D133" s="31">
        <v>0</v>
      </c>
      <c r="E133" s="31">
        <v>1</v>
      </c>
      <c r="F133" s="31" t="s">
        <v>476</v>
      </c>
      <c r="G133" s="31" t="s">
        <v>477</v>
      </c>
      <c r="H133" s="31"/>
      <c r="I133" s="31">
        <v>0</v>
      </c>
      <c r="J133" s="31" t="s">
        <v>846</v>
      </c>
      <c r="K133" s="31" t="s">
        <v>872</v>
      </c>
      <c r="L133" s="31">
        <v>0</v>
      </c>
      <c r="M133" s="31"/>
      <c r="N133" s="31" t="str">
        <f t="shared" si="23"/>
        <v>Status(DamageDerate, 0)</v>
      </c>
      <c r="O133" s="31">
        <v>0</v>
      </c>
      <c r="P133" s="31">
        <v>0</v>
      </c>
      <c r="Q133" s="31"/>
      <c r="R133" s="32" t="b">
        <v>1</v>
      </c>
    </row>
    <row r="134" spans="1:18" x14ac:dyDescent="0.3">
      <c r="A134" s="192" t="s">
        <v>1970</v>
      </c>
      <c r="B134" s="31" t="s">
        <v>812</v>
      </c>
      <c r="C134" s="31" t="s">
        <v>813</v>
      </c>
      <c r="D134" s="31">
        <v>0</v>
      </c>
      <c r="E134" s="31">
        <v>1</v>
      </c>
      <c r="F134" s="31" t="s">
        <v>476</v>
      </c>
      <c r="G134" s="31" t="s">
        <v>477</v>
      </c>
      <c r="H134" s="31"/>
      <c r="I134" s="31">
        <v>0</v>
      </c>
      <c r="J134" s="31" t="s">
        <v>846</v>
      </c>
      <c r="K134" s="31" t="s">
        <v>872</v>
      </c>
      <c r="L134" s="31">
        <v>-300</v>
      </c>
      <c r="M134" s="31"/>
      <c r="N134" s="31" t="str">
        <f t="shared" si="23"/>
        <v>Status(DamageDerate, -300)</v>
      </c>
      <c r="O134" s="31">
        <v>0</v>
      </c>
      <c r="P134" s="31">
        <v>0</v>
      </c>
      <c r="Q134" s="31"/>
      <c r="R134" s="32" t="b">
        <v>1</v>
      </c>
    </row>
    <row r="135" spans="1:18" x14ac:dyDescent="0.3">
      <c r="A135" s="192" t="s">
        <v>1971</v>
      </c>
      <c r="B135" s="31" t="s">
        <v>812</v>
      </c>
      <c r="C135" s="31" t="s">
        <v>813</v>
      </c>
      <c r="D135" s="31">
        <v>0</v>
      </c>
      <c r="E135" s="31">
        <v>1</v>
      </c>
      <c r="F135" s="31" t="s">
        <v>476</v>
      </c>
      <c r="G135" s="31" t="s">
        <v>477</v>
      </c>
      <c r="H135" s="31"/>
      <c r="I135" s="31">
        <v>0</v>
      </c>
      <c r="J135" s="31" t="s">
        <v>846</v>
      </c>
      <c r="K135" s="31" t="s">
        <v>872</v>
      </c>
      <c r="L135" s="31">
        <v>-300</v>
      </c>
      <c r="M135" s="31"/>
      <c r="N135" s="31" t="str">
        <f t="shared" si="23"/>
        <v>Status(DamageDerate, -300)</v>
      </c>
      <c r="O135" s="31">
        <v>0</v>
      </c>
      <c r="P135" s="31">
        <v>0</v>
      </c>
      <c r="Q135" s="31"/>
      <c r="R135" s="32" t="b">
        <v>1</v>
      </c>
    </row>
    <row r="136" spans="1:18" x14ac:dyDescent="0.3">
      <c r="A136" s="192" t="s">
        <v>1972</v>
      </c>
      <c r="B136" s="31" t="s">
        <v>812</v>
      </c>
      <c r="C136" s="31" t="s">
        <v>813</v>
      </c>
      <c r="D136" s="31">
        <v>0</v>
      </c>
      <c r="E136" s="31">
        <v>1</v>
      </c>
      <c r="F136" s="31" t="s">
        <v>476</v>
      </c>
      <c r="G136" s="31" t="s">
        <v>477</v>
      </c>
      <c r="H136" s="31"/>
      <c r="I136" s="31">
        <v>0</v>
      </c>
      <c r="J136" s="31" t="s">
        <v>846</v>
      </c>
      <c r="K136" s="31" t="s">
        <v>872</v>
      </c>
      <c r="L136" s="31">
        <v>-600</v>
      </c>
      <c r="M136" s="31"/>
      <c r="N136" s="31" t="str">
        <f t="shared" si="23"/>
        <v>Status(DamageDerate, -600)</v>
      </c>
      <c r="O136" s="31">
        <v>0</v>
      </c>
      <c r="P136" s="31">
        <v>0</v>
      </c>
      <c r="Q136" s="31"/>
      <c r="R136" s="32" t="b">
        <v>1</v>
      </c>
    </row>
    <row r="137" spans="1:18" x14ac:dyDescent="0.3">
      <c r="A137" s="192" t="s">
        <v>1973</v>
      </c>
      <c r="B137" s="31" t="s">
        <v>812</v>
      </c>
      <c r="C137" s="31" t="s">
        <v>813</v>
      </c>
      <c r="D137" s="31">
        <v>0</v>
      </c>
      <c r="E137" s="31">
        <v>1</v>
      </c>
      <c r="F137" s="31" t="s">
        <v>476</v>
      </c>
      <c r="G137" s="31" t="s">
        <v>477</v>
      </c>
      <c r="H137" s="31"/>
      <c r="I137" s="31">
        <v>0</v>
      </c>
      <c r="J137" s="31" t="s">
        <v>846</v>
      </c>
      <c r="K137" s="31" t="s">
        <v>872</v>
      </c>
      <c r="L137" s="31">
        <v>-600</v>
      </c>
      <c r="M137" s="31"/>
      <c r="N137" s="31" t="str">
        <f t="shared" si="23"/>
        <v>Status(DamageDerate, -600)</v>
      </c>
      <c r="O137" s="31">
        <v>0</v>
      </c>
      <c r="P137" s="31">
        <v>0</v>
      </c>
      <c r="Q137" s="31"/>
      <c r="R137" s="32" t="b">
        <v>1</v>
      </c>
    </row>
    <row r="138" spans="1:18" x14ac:dyDescent="0.3">
      <c r="A138" s="192" t="s">
        <v>1974</v>
      </c>
      <c r="B138" s="31" t="s">
        <v>812</v>
      </c>
      <c r="C138" s="31" t="s">
        <v>813</v>
      </c>
      <c r="D138" s="31">
        <v>0</v>
      </c>
      <c r="E138" s="31">
        <v>1</v>
      </c>
      <c r="F138" s="31" t="s">
        <v>476</v>
      </c>
      <c r="G138" s="31" t="s">
        <v>477</v>
      </c>
      <c r="H138" s="31"/>
      <c r="I138" s="31">
        <v>0</v>
      </c>
      <c r="J138" s="31" t="s">
        <v>846</v>
      </c>
      <c r="K138" s="31" t="s">
        <v>872</v>
      </c>
      <c r="L138" s="31">
        <v>-600</v>
      </c>
      <c r="M138" s="31"/>
      <c r="N138" s="31" t="str">
        <f t="shared" si="23"/>
        <v>Status(DamageDerate, -600)</v>
      </c>
      <c r="O138" s="31">
        <v>0</v>
      </c>
      <c r="P138" s="31">
        <v>0</v>
      </c>
      <c r="Q138" s="31"/>
      <c r="R138" s="32" t="b">
        <v>1</v>
      </c>
    </row>
    <row r="139" spans="1:18" x14ac:dyDescent="0.3">
      <c r="A139" s="192" t="s">
        <v>1975</v>
      </c>
      <c r="B139" s="31" t="s">
        <v>812</v>
      </c>
      <c r="C139" s="31" t="s">
        <v>813</v>
      </c>
      <c r="D139" s="31">
        <v>0</v>
      </c>
      <c r="E139" s="31">
        <v>1</v>
      </c>
      <c r="F139" s="31" t="s">
        <v>476</v>
      </c>
      <c r="G139" s="31" t="s">
        <v>477</v>
      </c>
      <c r="H139" s="31"/>
      <c r="I139" s="31">
        <v>0</v>
      </c>
      <c r="J139" s="31" t="s">
        <v>846</v>
      </c>
      <c r="K139" s="31" t="s">
        <v>872</v>
      </c>
      <c r="L139" s="31">
        <v>-600</v>
      </c>
      <c r="M139" s="31"/>
      <c r="N139" s="31" t="str">
        <f t="shared" si="23"/>
        <v>Status(DamageDerate, -600)</v>
      </c>
      <c r="O139" s="31">
        <v>0</v>
      </c>
      <c r="P139" s="31">
        <v>0</v>
      </c>
      <c r="Q139" s="31"/>
      <c r="R139" s="32" t="b">
        <v>1</v>
      </c>
    </row>
    <row r="140" spans="1:18" x14ac:dyDescent="0.3">
      <c r="A140" s="192" t="s">
        <v>1976</v>
      </c>
      <c r="B140" s="31" t="s">
        <v>812</v>
      </c>
      <c r="C140" s="31" t="s">
        <v>813</v>
      </c>
      <c r="D140" s="31">
        <v>0</v>
      </c>
      <c r="E140" s="31">
        <v>1</v>
      </c>
      <c r="F140" s="31" t="s">
        <v>476</v>
      </c>
      <c r="G140" s="31" t="s">
        <v>477</v>
      </c>
      <c r="H140" s="31"/>
      <c r="I140" s="31">
        <v>0</v>
      </c>
      <c r="J140" s="31" t="s">
        <v>846</v>
      </c>
      <c r="K140" s="31" t="s">
        <v>872</v>
      </c>
      <c r="L140" s="31">
        <v>-600</v>
      </c>
      <c r="M140" s="31"/>
      <c r="N140" s="31" t="str">
        <f t="shared" si="23"/>
        <v>Status(DamageDerate, -600)</v>
      </c>
      <c r="O140" s="31">
        <v>0</v>
      </c>
      <c r="P140" s="31">
        <v>0</v>
      </c>
      <c r="Q140" s="31"/>
      <c r="R140" s="32" t="b">
        <v>1</v>
      </c>
    </row>
    <row r="141" spans="1:18" x14ac:dyDescent="0.3">
      <c r="A141" s="192" t="s">
        <v>1977</v>
      </c>
      <c r="B141" s="31" t="s">
        <v>812</v>
      </c>
      <c r="C141" s="31" t="s">
        <v>813</v>
      </c>
      <c r="D141" s="31">
        <v>0</v>
      </c>
      <c r="E141" s="31">
        <v>1</v>
      </c>
      <c r="F141" s="31" t="s">
        <v>476</v>
      </c>
      <c r="G141" s="31" t="s">
        <v>477</v>
      </c>
      <c r="H141" s="31"/>
      <c r="I141" s="31">
        <v>0</v>
      </c>
      <c r="J141" s="31" t="s">
        <v>846</v>
      </c>
      <c r="K141" s="31" t="s">
        <v>872</v>
      </c>
      <c r="L141" s="31">
        <v>-600</v>
      </c>
      <c r="M141" s="31"/>
      <c r="N141" s="31" t="str">
        <f t="shared" si="23"/>
        <v>Status(DamageDerate, -600)</v>
      </c>
      <c r="O141" s="31">
        <v>0</v>
      </c>
      <c r="P141" s="31">
        <v>0</v>
      </c>
      <c r="Q141" s="31"/>
      <c r="R141" s="32" t="b">
        <v>1</v>
      </c>
    </row>
    <row r="142" spans="1:18" x14ac:dyDescent="0.3">
      <c r="A142" s="202" t="s">
        <v>2150</v>
      </c>
      <c r="B142" s="27"/>
      <c r="C142" s="27"/>
      <c r="D142" s="27">
        <v>0</v>
      </c>
      <c r="E142" s="27">
        <v>1</v>
      </c>
      <c r="F142" s="27" t="s">
        <v>476</v>
      </c>
      <c r="G142" s="27" t="s">
        <v>477</v>
      </c>
      <c r="H142" s="27"/>
      <c r="I142" s="27">
        <v>0</v>
      </c>
      <c r="J142" s="27" t="s">
        <v>846</v>
      </c>
      <c r="K142" s="27" t="s">
        <v>2151</v>
      </c>
      <c r="L142" s="27">
        <v>-400</v>
      </c>
      <c r="M142" s="27"/>
      <c r="N142" s="27" t="str">
        <f t="shared" si="23"/>
        <v>Status(DefenseRatio, -400)</v>
      </c>
      <c r="O142" s="27">
        <v>0</v>
      </c>
      <c r="P142" s="27">
        <v>0</v>
      </c>
      <c r="Q142" s="27"/>
      <c r="R142" s="28" t="b">
        <v>1</v>
      </c>
    </row>
    <row r="143" spans="1:18" x14ac:dyDescent="0.3">
      <c r="A143" s="202" t="s">
        <v>2153</v>
      </c>
      <c r="B143" s="27"/>
      <c r="C143" s="27"/>
      <c r="D143" s="27">
        <v>0</v>
      </c>
      <c r="E143" s="27">
        <v>1</v>
      </c>
      <c r="F143" s="27" t="s">
        <v>476</v>
      </c>
      <c r="G143" s="27" t="s">
        <v>477</v>
      </c>
      <c r="H143" s="27"/>
      <c r="I143" s="27">
        <v>0</v>
      </c>
      <c r="J143" s="27" t="s">
        <v>877</v>
      </c>
      <c r="K143" s="27" t="s">
        <v>878</v>
      </c>
      <c r="L143" s="27"/>
      <c r="M143" s="27"/>
      <c r="N143" s="27" t="str">
        <f t="shared" si="23"/>
        <v>ChangeSkill(Normal)</v>
      </c>
      <c r="O143" s="27">
        <v>0</v>
      </c>
      <c r="P143" s="27">
        <v>0</v>
      </c>
      <c r="Q143" s="27"/>
      <c r="R143" s="28" t="b">
        <v>1</v>
      </c>
    </row>
    <row r="144" spans="1:18" x14ac:dyDescent="0.3">
      <c r="A144" s="202" t="s">
        <v>2155</v>
      </c>
      <c r="B144" s="27" t="s">
        <v>812</v>
      </c>
      <c r="C144" s="27" t="s">
        <v>814</v>
      </c>
      <c r="D144" s="27">
        <v>0</v>
      </c>
      <c r="E144" s="27">
        <v>1</v>
      </c>
      <c r="F144" s="27" t="s">
        <v>476</v>
      </c>
      <c r="G144" s="27" t="s">
        <v>477</v>
      </c>
      <c r="H144" s="27"/>
      <c r="I144" s="27">
        <v>0</v>
      </c>
      <c r="J144" s="27" t="s">
        <v>846</v>
      </c>
      <c r="K144" s="27" t="s">
        <v>872</v>
      </c>
      <c r="L144" s="27">
        <v>800</v>
      </c>
      <c r="M144" s="27"/>
      <c r="N144" s="27" t="str">
        <f t="shared" ref="N144" si="24">J144&amp;"("&amp;IF(K144="","",K144)&amp;IF(L144="","",", "&amp;L144)&amp;IF(M144="","",", "&amp;M144)&amp;")"</f>
        <v>Status(DamageDerate, 800)</v>
      </c>
      <c r="O144" s="27">
        <v>0</v>
      </c>
      <c r="P144" s="27">
        <v>0</v>
      </c>
      <c r="Q144" s="27"/>
      <c r="R144" s="28" t="b">
        <v>1</v>
      </c>
    </row>
    <row r="145" spans="1:18" x14ac:dyDescent="0.3">
      <c r="A145" s="202" t="s">
        <v>1979</v>
      </c>
      <c r="B145" s="27" t="s">
        <v>487</v>
      </c>
      <c r="C145" s="27" t="s">
        <v>2148</v>
      </c>
      <c r="D145" s="27">
        <v>0</v>
      </c>
      <c r="E145" s="27">
        <v>1</v>
      </c>
      <c r="F145" s="27" t="s">
        <v>476</v>
      </c>
      <c r="G145" s="27" t="s">
        <v>477</v>
      </c>
      <c r="H145" s="27"/>
      <c r="I145" s="27">
        <v>0</v>
      </c>
      <c r="J145" s="27" t="s">
        <v>813</v>
      </c>
      <c r="K145" s="27">
        <v>60</v>
      </c>
      <c r="L145" s="27">
        <v>1000</v>
      </c>
      <c r="M145" s="27" t="s">
        <v>927</v>
      </c>
      <c r="N145" s="27" t="str">
        <f t="shared" si="23"/>
        <v>Groggy(60, 1000, DamageRatio)</v>
      </c>
      <c r="O145" s="27">
        <v>0</v>
      </c>
      <c r="P145" s="27">
        <v>0</v>
      </c>
      <c r="Q145" s="27"/>
      <c r="R145" s="28" t="b">
        <v>1</v>
      </c>
    </row>
    <row r="146" spans="1:18" x14ac:dyDescent="0.3">
      <c r="A146" s="202" t="s">
        <v>1869</v>
      </c>
      <c r="B146" s="27" t="s">
        <v>812</v>
      </c>
      <c r="C146" s="27" t="s">
        <v>813</v>
      </c>
      <c r="D146" s="27">
        <v>0</v>
      </c>
      <c r="E146" s="27"/>
      <c r="F146" s="27" t="s">
        <v>476</v>
      </c>
      <c r="G146" s="27" t="s">
        <v>477</v>
      </c>
      <c r="H146" s="27"/>
      <c r="I146" s="27">
        <v>0</v>
      </c>
      <c r="J146" s="27" t="s">
        <v>1380</v>
      </c>
      <c r="K146" s="27" t="s">
        <v>1848</v>
      </c>
      <c r="L146" s="27"/>
      <c r="M146" s="27"/>
      <c r="N146" s="27" t="str">
        <f t="shared" si="23"/>
        <v>Passive(Raid.Groggy.buff)</v>
      </c>
      <c r="O146" s="27">
        <v>0</v>
      </c>
      <c r="P146" s="27">
        <v>0</v>
      </c>
      <c r="Q146" s="27"/>
      <c r="R146" s="28" t="b">
        <v>1</v>
      </c>
    </row>
    <row r="147" spans="1:18" x14ac:dyDescent="0.3">
      <c r="A147" s="202" t="s">
        <v>1870</v>
      </c>
      <c r="B147" s="27"/>
      <c r="C147" s="27"/>
      <c r="D147" s="27">
        <v>0</v>
      </c>
      <c r="E147" s="27"/>
      <c r="F147" s="27" t="s">
        <v>833</v>
      </c>
      <c r="G147" s="27" t="s">
        <v>1856</v>
      </c>
      <c r="H147" s="27">
        <v>40</v>
      </c>
      <c r="I147" s="27">
        <v>0</v>
      </c>
      <c r="J147" s="27" t="s">
        <v>1380</v>
      </c>
      <c r="K147" s="27" t="s">
        <v>1860</v>
      </c>
      <c r="L147" s="27"/>
      <c r="M147" s="27"/>
      <c r="N147" s="27" t="str">
        <f t="shared" si="23"/>
        <v>Passive(Raid3001.mindloader_1.ranger.debuff.buff)</v>
      </c>
      <c r="O147" s="27">
        <v>0</v>
      </c>
      <c r="P147" s="27">
        <v>0</v>
      </c>
      <c r="Q147" s="27"/>
      <c r="R147" s="28" t="b">
        <v>1</v>
      </c>
    </row>
    <row r="148" spans="1:18" x14ac:dyDescent="0.3">
      <c r="A148" s="202" t="s">
        <v>1980</v>
      </c>
      <c r="B148" s="27" t="s">
        <v>812</v>
      </c>
      <c r="C148" s="27" t="s">
        <v>814</v>
      </c>
      <c r="D148" s="27">
        <v>0</v>
      </c>
      <c r="E148" s="27"/>
      <c r="F148" s="27" t="s">
        <v>476</v>
      </c>
      <c r="G148" s="27" t="s">
        <v>477</v>
      </c>
      <c r="H148" s="27"/>
      <c r="I148" s="27">
        <v>0</v>
      </c>
      <c r="J148" s="27" t="s">
        <v>846</v>
      </c>
      <c r="K148" s="27" t="s">
        <v>1981</v>
      </c>
      <c r="L148" s="27">
        <v>600</v>
      </c>
      <c r="M148" s="27"/>
      <c r="N148" s="27" t="str">
        <f t="shared" si="23"/>
        <v>Status(GuardReduceRate, 600)</v>
      </c>
      <c r="O148" s="27">
        <v>0</v>
      </c>
      <c r="P148" s="27">
        <v>0</v>
      </c>
      <c r="Q148" s="27"/>
      <c r="R148" s="28" t="b">
        <v>1</v>
      </c>
    </row>
    <row r="149" spans="1:18" x14ac:dyDescent="0.3">
      <c r="A149" s="202" t="s">
        <v>1862</v>
      </c>
      <c r="B149" s="27"/>
      <c r="C149" s="27"/>
      <c r="D149" s="27">
        <v>0</v>
      </c>
      <c r="E149" s="27"/>
      <c r="F149" s="27" t="s">
        <v>476</v>
      </c>
      <c r="G149" s="27" t="s">
        <v>477</v>
      </c>
      <c r="H149" s="27"/>
      <c r="I149" s="27">
        <v>0</v>
      </c>
      <c r="J149" s="27" t="s">
        <v>846</v>
      </c>
      <c r="K149" s="27" t="s">
        <v>1857</v>
      </c>
      <c r="L149" s="27">
        <v>500</v>
      </c>
      <c r="M149" s="27"/>
      <c r="N149" s="27" t="str">
        <f t="shared" si="23"/>
        <v>Status(GuardDerate, 500)</v>
      </c>
      <c r="O149" s="27">
        <v>0</v>
      </c>
      <c r="P149" s="27">
        <v>0</v>
      </c>
      <c r="Q149" s="27"/>
      <c r="R149" s="28" t="b">
        <v>1</v>
      </c>
    </row>
    <row r="150" spans="1:18" x14ac:dyDescent="0.3">
      <c r="A150" s="201" t="s">
        <v>1993</v>
      </c>
      <c r="B150" s="23" t="s">
        <v>487</v>
      </c>
      <c r="C150" s="23" t="s">
        <v>2147</v>
      </c>
      <c r="D150" s="23">
        <v>0</v>
      </c>
      <c r="E150" s="23">
        <v>1</v>
      </c>
      <c r="F150" s="23" t="s">
        <v>476</v>
      </c>
      <c r="G150" s="23" t="s">
        <v>477</v>
      </c>
      <c r="H150" s="23"/>
      <c r="I150" s="23">
        <v>0</v>
      </c>
      <c r="J150" s="23" t="s">
        <v>470</v>
      </c>
      <c r="K150" s="23" t="s">
        <v>893</v>
      </c>
      <c r="L150" s="23" t="s">
        <v>2013</v>
      </c>
      <c r="M150" s="23"/>
      <c r="N150" s="23" t="str">
        <f t="shared" si="23"/>
        <v>Effect(BeHitMelee, Raid3001.mindloader_1passive01.behit.attacker.groggy.skilleffect.01)</v>
      </c>
      <c r="O150" s="23">
        <v>0</v>
      </c>
      <c r="P150" s="23">
        <v>0</v>
      </c>
      <c r="Q150" s="23"/>
      <c r="R150" s="24" t="b">
        <v>1</v>
      </c>
    </row>
    <row r="151" spans="1:18" x14ac:dyDescent="0.3">
      <c r="A151" s="201" t="s">
        <v>1995</v>
      </c>
      <c r="B151" s="23" t="s">
        <v>487</v>
      </c>
      <c r="C151" s="23" t="s">
        <v>2147</v>
      </c>
      <c r="D151" s="23">
        <v>0</v>
      </c>
      <c r="E151" s="23">
        <v>1</v>
      </c>
      <c r="F151" s="23" t="s">
        <v>476</v>
      </c>
      <c r="G151" s="23" t="s">
        <v>477</v>
      </c>
      <c r="H151" s="23"/>
      <c r="I151" s="23">
        <v>0</v>
      </c>
      <c r="J151" s="23" t="s">
        <v>470</v>
      </c>
      <c r="K151" s="23" t="s">
        <v>893</v>
      </c>
      <c r="L151" s="23" t="s">
        <v>2014</v>
      </c>
      <c r="M151" s="23"/>
      <c r="N151" s="23" t="str">
        <f t="shared" si="23"/>
        <v>Effect(BeHitMelee, Raid3001.mindloader_1passive01.behit.attacker.groggy.skilleffect.02)</v>
      </c>
      <c r="O151" s="23">
        <v>0</v>
      </c>
      <c r="P151" s="23">
        <v>0</v>
      </c>
      <c r="Q151" s="23"/>
      <c r="R151" s="24" t="b">
        <v>1</v>
      </c>
    </row>
    <row r="152" spans="1:18" x14ac:dyDescent="0.3">
      <c r="A152" s="201" t="s">
        <v>1996</v>
      </c>
      <c r="B152" s="23" t="s">
        <v>487</v>
      </c>
      <c r="C152" s="23" t="s">
        <v>2147</v>
      </c>
      <c r="D152" s="23">
        <v>0</v>
      </c>
      <c r="E152" s="23">
        <v>1</v>
      </c>
      <c r="F152" s="23" t="s">
        <v>476</v>
      </c>
      <c r="G152" s="23" t="s">
        <v>477</v>
      </c>
      <c r="H152" s="23"/>
      <c r="I152" s="23">
        <v>0</v>
      </c>
      <c r="J152" s="23" t="s">
        <v>470</v>
      </c>
      <c r="K152" s="23" t="s">
        <v>893</v>
      </c>
      <c r="L152" s="23" t="s">
        <v>2015</v>
      </c>
      <c r="M152" s="23"/>
      <c r="N152" s="23" t="str">
        <f t="shared" si="23"/>
        <v>Effect(BeHitMelee, Raid3001.mindloader_1passive01.behit.attacker.groggy.skilleffect.03)</v>
      </c>
      <c r="O152" s="23">
        <v>0</v>
      </c>
      <c r="P152" s="23">
        <v>0</v>
      </c>
      <c r="Q152" s="23"/>
      <c r="R152" s="24" t="b">
        <v>1</v>
      </c>
    </row>
    <row r="153" spans="1:18" x14ac:dyDescent="0.3">
      <c r="A153" s="201" t="s">
        <v>1997</v>
      </c>
      <c r="B153" s="23" t="s">
        <v>487</v>
      </c>
      <c r="C153" s="23" t="s">
        <v>2147</v>
      </c>
      <c r="D153" s="23">
        <v>0</v>
      </c>
      <c r="E153" s="23">
        <v>1</v>
      </c>
      <c r="F153" s="23" t="s">
        <v>476</v>
      </c>
      <c r="G153" s="23" t="s">
        <v>477</v>
      </c>
      <c r="H153" s="23"/>
      <c r="I153" s="23">
        <v>0</v>
      </c>
      <c r="J153" s="23" t="s">
        <v>470</v>
      </c>
      <c r="K153" s="23" t="s">
        <v>893</v>
      </c>
      <c r="L153" s="23" t="s">
        <v>2016</v>
      </c>
      <c r="M153" s="23"/>
      <c r="N153" s="23" t="str">
        <f t="shared" si="23"/>
        <v>Effect(BeHitMelee, Raid3001.mindloader_1passive01.behit.attacker.groggy.skilleffect.04)</v>
      </c>
      <c r="O153" s="23">
        <v>0</v>
      </c>
      <c r="P153" s="23">
        <v>0</v>
      </c>
      <c r="Q153" s="23"/>
      <c r="R153" s="24" t="b">
        <v>1</v>
      </c>
    </row>
    <row r="154" spans="1:18" x14ac:dyDescent="0.3">
      <c r="A154" s="201" t="s">
        <v>1998</v>
      </c>
      <c r="B154" s="23" t="s">
        <v>487</v>
      </c>
      <c r="C154" s="23" t="s">
        <v>2147</v>
      </c>
      <c r="D154" s="23">
        <v>0</v>
      </c>
      <c r="E154" s="23">
        <v>1</v>
      </c>
      <c r="F154" s="23" t="s">
        <v>476</v>
      </c>
      <c r="G154" s="23" t="s">
        <v>477</v>
      </c>
      <c r="H154" s="23"/>
      <c r="I154" s="23">
        <v>0</v>
      </c>
      <c r="J154" s="23" t="s">
        <v>470</v>
      </c>
      <c r="K154" s="23" t="s">
        <v>893</v>
      </c>
      <c r="L154" s="23" t="s">
        <v>2017</v>
      </c>
      <c r="M154" s="23"/>
      <c r="N154" s="23" t="str">
        <f t="shared" si="23"/>
        <v>Effect(BeHitMelee, Raid3001.mindloader_1passive01.behit.attacker.groggy.skilleffect.05)</v>
      </c>
      <c r="O154" s="23">
        <v>0</v>
      </c>
      <c r="P154" s="23">
        <v>0</v>
      </c>
      <c r="Q154" s="23"/>
      <c r="R154" s="24" t="b">
        <v>1</v>
      </c>
    </row>
    <row r="155" spans="1:18" x14ac:dyDescent="0.3">
      <c r="A155" s="201" t="s">
        <v>1999</v>
      </c>
      <c r="B155" s="23" t="s">
        <v>487</v>
      </c>
      <c r="C155" s="23" t="s">
        <v>2147</v>
      </c>
      <c r="D155" s="23">
        <v>0</v>
      </c>
      <c r="E155" s="23">
        <v>1</v>
      </c>
      <c r="F155" s="23" t="s">
        <v>476</v>
      </c>
      <c r="G155" s="23" t="s">
        <v>477</v>
      </c>
      <c r="H155" s="23"/>
      <c r="I155" s="23">
        <v>0</v>
      </c>
      <c r="J155" s="23" t="s">
        <v>470</v>
      </c>
      <c r="K155" s="23" t="s">
        <v>893</v>
      </c>
      <c r="L155" s="23" t="s">
        <v>2018</v>
      </c>
      <c r="M155" s="23"/>
      <c r="N155" s="23" t="str">
        <f t="shared" si="23"/>
        <v>Effect(BeHitMelee, Raid3001.mindloader_1passive01.behit.attacker.groggy.skilleffect.06)</v>
      </c>
      <c r="O155" s="23">
        <v>0</v>
      </c>
      <c r="P155" s="23">
        <v>0</v>
      </c>
      <c r="Q155" s="23"/>
      <c r="R155" s="24" t="b">
        <v>1</v>
      </c>
    </row>
    <row r="156" spans="1:18" x14ac:dyDescent="0.3">
      <c r="A156" s="201" t="s">
        <v>2000</v>
      </c>
      <c r="B156" s="23" t="s">
        <v>487</v>
      </c>
      <c r="C156" s="23" t="s">
        <v>2147</v>
      </c>
      <c r="D156" s="23">
        <v>0</v>
      </c>
      <c r="E156" s="23">
        <v>1</v>
      </c>
      <c r="F156" s="23" t="s">
        <v>476</v>
      </c>
      <c r="G156" s="23" t="s">
        <v>477</v>
      </c>
      <c r="H156" s="23"/>
      <c r="I156" s="23">
        <v>0</v>
      </c>
      <c r="J156" s="23" t="s">
        <v>470</v>
      </c>
      <c r="K156" s="23" t="s">
        <v>893</v>
      </c>
      <c r="L156" s="23" t="s">
        <v>2019</v>
      </c>
      <c r="M156" s="23"/>
      <c r="N156" s="23" t="str">
        <f t="shared" si="23"/>
        <v>Effect(BeHitMelee, Raid3001.mindloader_1passive01.behit.attacker.groggy.skilleffect.07)</v>
      </c>
      <c r="O156" s="23">
        <v>0</v>
      </c>
      <c r="P156" s="23">
        <v>0</v>
      </c>
      <c r="Q156" s="23"/>
      <c r="R156" s="24" t="b">
        <v>1</v>
      </c>
    </row>
    <row r="157" spans="1:18" x14ac:dyDescent="0.3">
      <c r="A157" s="201" t="s">
        <v>2001</v>
      </c>
      <c r="B157" s="23" t="s">
        <v>487</v>
      </c>
      <c r="C157" s="23" t="s">
        <v>2147</v>
      </c>
      <c r="D157" s="23">
        <v>0</v>
      </c>
      <c r="E157" s="23">
        <v>1</v>
      </c>
      <c r="F157" s="23" t="s">
        <v>476</v>
      </c>
      <c r="G157" s="23" t="s">
        <v>477</v>
      </c>
      <c r="H157" s="23"/>
      <c r="I157" s="23">
        <v>0</v>
      </c>
      <c r="J157" s="23" t="s">
        <v>470</v>
      </c>
      <c r="K157" s="23" t="s">
        <v>893</v>
      </c>
      <c r="L157" s="23" t="s">
        <v>2020</v>
      </c>
      <c r="M157" s="23"/>
      <c r="N157" s="23" t="str">
        <f t="shared" si="23"/>
        <v>Effect(BeHitMelee, Raid3001.mindloader_1passive01.behit.attacker.groggy.skilleffect.08)</v>
      </c>
      <c r="O157" s="23">
        <v>0</v>
      </c>
      <c r="P157" s="23">
        <v>0</v>
      </c>
      <c r="Q157" s="23"/>
      <c r="R157" s="24" t="b">
        <v>1</v>
      </c>
    </row>
    <row r="158" spans="1:18" x14ac:dyDescent="0.3">
      <c r="A158" s="201" t="s">
        <v>2002</v>
      </c>
      <c r="B158" s="23" t="s">
        <v>487</v>
      </c>
      <c r="C158" s="23" t="s">
        <v>2147</v>
      </c>
      <c r="D158" s="23">
        <v>0</v>
      </c>
      <c r="E158" s="23">
        <v>1</v>
      </c>
      <c r="F158" s="23" t="s">
        <v>476</v>
      </c>
      <c r="G158" s="23" t="s">
        <v>477</v>
      </c>
      <c r="H158" s="23"/>
      <c r="I158" s="23">
        <v>0</v>
      </c>
      <c r="J158" s="23" t="s">
        <v>470</v>
      </c>
      <c r="K158" s="23" t="s">
        <v>893</v>
      </c>
      <c r="L158" s="23" t="s">
        <v>2021</v>
      </c>
      <c r="M158" s="23"/>
      <c r="N158" s="23" t="str">
        <f t="shared" si="23"/>
        <v>Effect(BeHitMelee, Raid3001.mindloader_1passive01.behit.attacker.groggy.skilleffect.09)</v>
      </c>
      <c r="O158" s="23">
        <v>0</v>
      </c>
      <c r="P158" s="23">
        <v>0</v>
      </c>
      <c r="Q158" s="23"/>
      <c r="R158" s="24" t="b">
        <v>1</v>
      </c>
    </row>
    <row r="159" spans="1:18" x14ac:dyDescent="0.3">
      <c r="A159" s="201" t="s">
        <v>2003</v>
      </c>
      <c r="B159" s="23" t="s">
        <v>487</v>
      </c>
      <c r="C159" s="23" t="s">
        <v>2147</v>
      </c>
      <c r="D159" s="23">
        <v>0</v>
      </c>
      <c r="E159" s="23">
        <v>1</v>
      </c>
      <c r="F159" s="23" t="s">
        <v>476</v>
      </c>
      <c r="G159" s="23" t="s">
        <v>477</v>
      </c>
      <c r="H159" s="23"/>
      <c r="I159" s="23">
        <v>0</v>
      </c>
      <c r="J159" s="23" t="s">
        <v>470</v>
      </c>
      <c r="K159" s="23" t="s">
        <v>893</v>
      </c>
      <c r="L159" s="23" t="s">
        <v>2022</v>
      </c>
      <c r="M159" s="23"/>
      <c r="N159" s="23" t="str">
        <f t="shared" si="23"/>
        <v>Effect(BeHitMelee, Raid3001.mindloader_1passive01.behit.attacker.groggy.skilleffect.10)</v>
      </c>
      <c r="O159" s="23">
        <v>0</v>
      </c>
      <c r="P159" s="23">
        <v>0</v>
      </c>
      <c r="Q159" s="23"/>
      <c r="R159" s="24" t="b">
        <v>1</v>
      </c>
    </row>
    <row r="160" spans="1:18" x14ac:dyDescent="0.3">
      <c r="A160" s="202" t="s">
        <v>1994</v>
      </c>
      <c r="B160" s="27"/>
      <c r="C160" s="27"/>
      <c r="D160" s="27">
        <v>0</v>
      </c>
      <c r="E160" s="27"/>
      <c r="F160" s="27" t="s">
        <v>476</v>
      </c>
      <c r="G160" s="27" t="s">
        <v>477</v>
      </c>
      <c r="H160" s="27"/>
      <c r="I160" s="27">
        <v>0</v>
      </c>
      <c r="J160" s="27" t="s">
        <v>846</v>
      </c>
      <c r="K160" s="27" t="s">
        <v>924</v>
      </c>
      <c r="L160" s="27">
        <v>600</v>
      </c>
      <c r="M160" s="27"/>
      <c r="N160" s="27" t="str">
        <f t="shared" ref="N160" si="25">J160&amp;"("&amp;IF(K160="","",K160)&amp;IF(L160="","",", "&amp;L160)&amp;IF(M160="","",", "&amp;M160)&amp;")"</f>
        <v>Status(GuardRate, 600)</v>
      </c>
      <c r="O160" s="27">
        <v>0</v>
      </c>
      <c r="P160" s="27">
        <v>0</v>
      </c>
      <c r="Q160" s="27"/>
      <c r="R160" s="28" t="b">
        <v>1</v>
      </c>
    </row>
    <row r="161" spans="1:18" x14ac:dyDescent="0.3">
      <c r="A161" s="202" t="s">
        <v>2004</v>
      </c>
      <c r="B161" s="27"/>
      <c r="C161" s="27"/>
      <c r="D161" s="27">
        <v>0</v>
      </c>
      <c r="E161" s="27"/>
      <c r="F161" s="27" t="s">
        <v>476</v>
      </c>
      <c r="G161" s="27" t="s">
        <v>477</v>
      </c>
      <c r="H161" s="27"/>
      <c r="I161" s="27">
        <v>0</v>
      </c>
      <c r="J161" s="27" t="s">
        <v>846</v>
      </c>
      <c r="K161" s="27" t="s">
        <v>924</v>
      </c>
      <c r="L161" s="27">
        <v>700</v>
      </c>
      <c r="M161" s="27"/>
      <c r="N161" s="27" t="str">
        <f t="shared" ref="N161:N169" si="26">J161&amp;"("&amp;IF(K161="","",K161)&amp;IF(L161="","",", "&amp;L161)&amp;IF(M161="","",", "&amp;M161)&amp;")"</f>
        <v>Status(GuardRate, 700)</v>
      </c>
      <c r="O161" s="27">
        <v>0</v>
      </c>
      <c r="P161" s="27">
        <v>0</v>
      </c>
      <c r="Q161" s="27"/>
      <c r="R161" s="28" t="b">
        <v>1</v>
      </c>
    </row>
    <row r="162" spans="1:18" x14ac:dyDescent="0.3">
      <c r="A162" s="202" t="s">
        <v>2005</v>
      </c>
      <c r="B162" s="27"/>
      <c r="C162" s="27"/>
      <c r="D162" s="27">
        <v>0</v>
      </c>
      <c r="E162" s="27"/>
      <c r="F162" s="27" t="s">
        <v>476</v>
      </c>
      <c r="G162" s="27" t="s">
        <v>477</v>
      </c>
      <c r="H162" s="27"/>
      <c r="I162" s="27">
        <v>0</v>
      </c>
      <c r="J162" s="27" t="s">
        <v>846</v>
      </c>
      <c r="K162" s="27" t="s">
        <v>924</v>
      </c>
      <c r="L162" s="27">
        <v>800</v>
      </c>
      <c r="M162" s="27"/>
      <c r="N162" s="27" t="str">
        <f t="shared" si="26"/>
        <v>Status(GuardRate, 800)</v>
      </c>
      <c r="O162" s="27">
        <v>0</v>
      </c>
      <c r="P162" s="27">
        <v>0</v>
      </c>
      <c r="Q162" s="27"/>
      <c r="R162" s="28" t="b">
        <v>1</v>
      </c>
    </row>
    <row r="163" spans="1:18" x14ac:dyDescent="0.3">
      <c r="A163" s="202" t="s">
        <v>2006</v>
      </c>
      <c r="B163" s="27"/>
      <c r="C163" s="27"/>
      <c r="D163" s="27">
        <v>0</v>
      </c>
      <c r="E163" s="27"/>
      <c r="F163" s="27" t="s">
        <v>476</v>
      </c>
      <c r="G163" s="27" t="s">
        <v>477</v>
      </c>
      <c r="H163" s="27"/>
      <c r="I163" s="27">
        <v>0</v>
      </c>
      <c r="J163" s="27" t="s">
        <v>846</v>
      </c>
      <c r="K163" s="27" t="s">
        <v>924</v>
      </c>
      <c r="L163" s="27">
        <v>900</v>
      </c>
      <c r="M163" s="27"/>
      <c r="N163" s="27" t="str">
        <f t="shared" si="26"/>
        <v>Status(GuardRate, 900)</v>
      </c>
      <c r="O163" s="27">
        <v>0</v>
      </c>
      <c r="P163" s="27">
        <v>0</v>
      </c>
      <c r="Q163" s="27"/>
      <c r="R163" s="28" t="b">
        <v>1</v>
      </c>
    </row>
    <row r="164" spans="1:18" x14ac:dyDescent="0.3">
      <c r="A164" s="202" t="s">
        <v>2007</v>
      </c>
      <c r="B164" s="27"/>
      <c r="C164" s="27"/>
      <c r="D164" s="27">
        <v>0</v>
      </c>
      <c r="E164" s="27"/>
      <c r="F164" s="27" t="s">
        <v>476</v>
      </c>
      <c r="G164" s="27" t="s">
        <v>477</v>
      </c>
      <c r="H164" s="27"/>
      <c r="I164" s="27">
        <v>0</v>
      </c>
      <c r="J164" s="27" t="s">
        <v>846</v>
      </c>
      <c r="K164" s="27" t="s">
        <v>924</v>
      </c>
      <c r="L164" s="27">
        <v>900</v>
      </c>
      <c r="M164" s="27"/>
      <c r="N164" s="27" t="str">
        <f t="shared" si="26"/>
        <v>Status(GuardRate, 900)</v>
      </c>
      <c r="O164" s="27">
        <v>0</v>
      </c>
      <c r="P164" s="27">
        <v>0</v>
      </c>
      <c r="Q164" s="27"/>
      <c r="R164" s="28" t="b">
        <v>1</v>
      </c>
    </row>
    <row r="165" spans="1:18" x14ac:dyDescent="0.3">
      <c r="A165" s="202" t="s">
        <v>2008</v>
      </c>
      <c r="B165" s="27"/>
      <c r="C165" s="27"/>
      <c r="D165" s="27">
        <v>0</v>
      </c>
      <c r="E165" s="27"/>
      <c r="F165" s="27" t="s">
        <v>476</v>
      </c>
      <c r="G165" s="27" t="s">
        <v>477</v>
      </c>
      <c r="H165" s="27"/>
      <c r="I165" s="27">
        <v>0</v>
      </c>
      <c r="J165" s="27" t="s">
        <v>846</v>
      </c>
      <c r="K165" s="27" t="s">
        <v>924</v>
      </c>
      <c r="L165" s="27">
        <v>900</v>
      </c>
      <c r="M165" s="27"/>
      <c r="N165" s="27" t="str">
        <f t="shared" si="26"/>
        <v>Status(GuardRate, 900)</v>
      </c>
      <c r="O165" s="27">
        <v>0</v>
      </c>
      <c r="P165" s="27">
        <v>0</v>
      </c>
      <c r="Q165" s="27"/>
      <c r="R165" s="28" t="b">
        <v>1</v>
      </c>
    </row>
    <row r="166" spans="1:18" x14ac:dyDescent="0.3">
      <c r="A166" s="202" t="s">
        <v>2009</v>
      </c>
      <c r="B166" s="27"/>
      <c r="C166" s="27"/>
      <c r="D166" s="27">
        <v>0</v>
      </c>
      <c r="E166" s="27"/>
      <c r="F166" s="27" t="s">
        <v>476</v>
      </c>
      <c r="G166" s="27" t="s">
        <v>477</v>
      </c>
      <c r="H166" s="27"/>
      <c r="I166" s="27">
        <v>0</v>
      </c>
      <c r="J166" s="27" t="s">
        <v>846</v>
      </c>
      <c r="K166" s="27" t="s">
        <v>924</v>
      </c>
      <c r="L166" s="27">
        <v>900</v>
      </c>
      <c r="M166" s="27"/>
      <c r="N166" s="27" t="str">
        <f t="shared" si="26"/>
        <v>Status(GuardRate, 900)</v>
      </c>
      <c r="O166" s="27">
        <v>0</v>
      </c>
      <c r="P166" s="27">
        <v>0</v>
      </c>
      <c r="Q166" s="27"/>
      <c r="R166" s="28" t="b">
        <v>1</v>
      </c>
    </row>
    <row r="167" spans="1:18" x14ac:dyDescent="0.3">
      <c r="A167" s="202" t="s">
        <v>2010</v>
      </c>
      <c r="B167" s="27"/>
      <c r="C167" s="27"/>
      <c r="D167" s="27">
        <v>0</v>
      </c>
      <c r="E167" s="27"/>
      <c r="F167" s="27" t="s">
        <v>476</v>
      </c>
      <c r="G167" s="27" t="s">
        <v>477</v>
      </c>
      <c r="H167" s="27"/>
      <c r="I167" s="27">
        <v>0</v>
      </c>
      <c r="J167" s="27" t="s">
        <v>846</v>
      </c>
      <c r="K167" s="27" t="s">
        <v>924</v>
      </c>
      <c r="L167" s="27">
        <v>900</v>
      </c>
      <c r="M167" s="27"/>
      <c r="N167" s="27" t="str">
        <f t="shared" si="26"/>
        <v>Status(GuardRate, 900)</v>
      </c>
      <c r="O167" s="27">
        <v>0</v>
      </c>
      <c r="P167" s="27">
        <v>0</v>
      </c>
      <c r="Q167" s="27"/>
      <c r="R167" s="28" t="b">
        <v>1</v>
      </c>
    </row>
    <row r="168" spans="1:18" x14ac:dyDescent="0.3">
      <c r="A168" s="202" t="s">
        <v>2011</v>
      </c>
      <c r="B168" s="27"/>
      <c r="C168" s="27"/>
      <c r="D168" s="27">
        <v>0</v>
      </c>
      <c r="E168" s="27"/>
      <c r="F168" s="27" t="s">
        <v>476</v>
      </c>
      <c r="G168" s="27" t="s">
        <v>477</v>
      </c>
      <c r="H168" s="27"/>
      <c r="I168" s="27">
        <v>0</v>
      </c>
      <c r="J168" s="27" t="s">
        <v>846</v>
      </c>
      <c r="K168" s="27" t="s">
        <v>924</v>
      </c>
      <c r="L168" s="27">
        <v>900</v>
      </c>
      <c r="M168" s="27"/>
      <c r="N168" s="27" t="str">
        <f t="shared" si="26"/>
        <v>Status(GuardRate, 900)</v>
      </c>
      <c r="O168" s="27">
        <v>0</v>
      </c>
      <c r="P168" s="27">
        <v>0</v>
      </c>
      <c r="Q168" s="27"/>
      <c r="R168" s="28" t="b">
        <v>1</v>
      </c>
    </row>
    <row r="169" spans="1:18" x14ac:dyDescent="0.3">
      <c r="A169" s="202" t="s">
        <v>2012</v>
      </c>
      <c r="B169" s="27"/>
      <c r="C169" s="27"/>
      <c r="D169" s="27">
        <v>0</v>
      </c>
      <c r="E169" s="27"/>
      <c r="F169" s="27" t="s">
        <v>476</v>
      </c>
      <c r="G169" s="27" t="s">
        <v>477</v>
      </c>
      <c r="H169" s="27"/>
      <c r="I169" s="27">
        <v>0</v>
      </c>
      <c r="J169" s="27" t="s">
        <v>846</v>
      </c>
      <c r="K169" s="27" t="s">
        <v>924</v>
      </c>
      <c r="L169" s="27">
        <v>900</v>
      </c>
      <c r="M169" s="27"/>
      <c r="N169" s="27" t="str">
        <f t="shared" si="26"/>
        <v>Status(GuardRate, 900)</v>
      </c>
      <c r="O169" s="27">
        <v>0</v>
      </c>
      <c r="P169" s="27">
        <v>0</v>
      </c>
      <c r="Q169" s="27"/>
      <c r="R169" s="28" t="b">
        <v>1</v>
      </c>
    </row>
    <row r="170" spans="1:18" x14ac:dyDescent="0.3">
      <c r="A170" s="195" t="s">
        <v>1820</v>
      </c>
      <c r="B170" s="58"/>
      <c r="C170" s="58"/>
      <c r="D170" s="58">
        <v>0</v>
      </c>
      <c r="E170" s="58">
        <v>1</v>
      </c>
      <c r="F170" s="58" t="s">
        <v>476</v>
      </c>
      <c r="G170" s="58" t="s">
        <v>477</v>
      </c>
      <c r="H170" s="58"/>
      <c r="I170" s="58">
        <v>0</v>
      </c>
      <c r="J170" s="58" t="s">
        <v>848</v>
      </c>
      <c r="K170" s="58" t="s">
        <v>850</v>
      </c>
      <c r="L170" s="58"/>
      <c r="M170" s="58"/>
      <c r="N170" s="58" t="str">
        <f t="shared" si="0"/>
        <v>CrowdControl(Knockback)</v>
      </c>
      <c r="O170" s="58">
        <v>0</v>
      </c>
      <c r="P170" s="58">
        <v>0</v>
      </c>
      <c r="Q170" s="58"/>
      <c r="R170" s="59" t="b">
        <v>1</v>
      </c>
    </row>
    <row r="171" spans="1:18" x14ac:dyDescent="0.3">
      <c r="A171" s="195" t="s">
        <v>1821</v>
      </c>
      <c r="B171" s="58"/>
      <c r="C171" s="58"/>
      <c r="D171" s="58">
        <v>0</v>
      </c>
      <c r="E171" s="58">
        <v>1</v>
      </c>
      <c r="F171" s="58" t="s">
        <v>476</v>
      </c>
      <c r="G171" s="58" t="s">
        <v>477</v>
      </c>
      <c r="H171" s="58"/>
      <c r="I171" s="58">
        <v>0</v>
      </c>
      <c r="J171" s="58" t="s">
        <v>846</v>
      </c>
      <c r="K171" s="58" t="s">
        <v>875</v>
      </c>
      <c r="L171" s="58">
        <v>-300</v>
      </c>
      <c r="M171" s="58"/>
      <c r="N171" s="58" t="str">
        <f t="shared" si="0"/>
        <v>Status(MoveSpeedRate, -300)</v>
      </c>
      <c r="O171" s="58">
        <v>0</v>
      </c>
      <c r="P171" s="58">
        <v>0</v>
      </c>
      <c r="Q171" s="58"/>
      <c r="R171" s="59" t="b">
        <v>1</v>
      </c>
    </row>
    <row r="172" spans="1:18" x14ac:dyDescent="0.3">
      <c r="A172" s="195" t="s">
        <v>1822</v>
      </c>
      <c r="B172" s="58"/>
      <c r="C172" s="58"/>
      <c r="D172" s="58">
        <v>0</v>
      </c>
      <c r="E172" s="58">
        <v>1</v>
      </c>
      <c r="F172" s="58" t="s">
        <v>476</v>
      </c>
      <c r="G172" s="58" t="s">
        <v>477</v>
      </c>
      <c r="H172" s="58"/>
      <c r="I172" s="58">
        <v>0</v>
      </c>
      <c r="J172" s="58" t="s">
        <v>848</v>
      </c>
      <c r="K172" s="58" t="s">
        <v>850</v>
      </c>
      <c r="L172" s="58"/>
      <c r="M172" s="58"/>
      <c r="N172" s="58" t="str">
        <f t="shared" si="0"/>
        <v>CrowdControl(Knockback)</v>
      </c>
      <c r="O172" s="58">
        <v>0</v>
      </c>
      <c r="P172" s="58">
        <v>0</v>
      </c>
      <c r="Q172" s="58"/>
      <c r="R172" s="59" t="b">
        <v>1</v>
      </c>
    </row>
    <row r="173" spans="1:18" x14ac:dyDescent="0.3">
      <c r="A173" s="195" t="s">
        <v>1823</v>
      </c>
      <c r="B173" s="58"/>
      <c r="C173" s="58"/>
      <c r="D173" s="58">
        <v>0</v>
      </c>
      <c r="E173" s="58">
        <v>1</v>
      </c>
      <c r="F173" s="58" t="s">
        <v>476</v>
      </c>
      <c r="G173" s="58" t="s">
        <v>477</v>
      </c>
      <c r="H173" s="58"/>
      <c r="I173" s="58">
        <v>0</v>
      </c>
      <c r="J173" s="58" t="s">
        <v>848</v>
      </c>
      <c r="K173" s="58" t="s">
        <v>849</v>
      </c>
      <c r="L173" s="58"/>
      <c r="M173" s="58"/>
      <c r="N173" s="58" t="str">
        <f t="shared" si="0"/>
        <v>CrowdControl(Stun)</v>
      </c>
      <c r="O173" s="58">
        <v>0</v>
      </c>
      <c r="P173" s="58">
        <v>0</v>
      </c>
      <c r="Q173" s="58"/>
      <c r="R173" s="59" t="b">
        <v>1</v>
      </c>
    </row>
    <row r="174" spans="1:18" x14ac:dyDescent="0.3">
      <c r="A174" s="195" t="s">
        <v>1824</v>
      </c>
      <c r="B174" s="58"/>
      <c r="C174" s="58"/>
      <c r="D174" s="58">
        <v>0</v>
      </c>
      <c r="E174" s="58">
        <v>1</v>
      </c>
      <c r="F174" s="58" t="s">
        <v>476</v>
      </c>
      <c r="G174" s="58" t="s">
        <v>477</v>
      </c>
      <c r="H174" s="58"/>
      <c r="I174" s="58">
        <v>0</v>
      </c>
      <c r="J174" s="58" t="s">
        <v>848</v>
      </c>
      <c r="K174" s="58" t="s">
        <v>849</v>
      </c>
      <c r="L174" s="58"/>
      <c r="M174" s="58"/>
      <c r="N174" s="58" t="str">
        <f t="shared" si="0"/>
        <v>CrowdControl(Stun)</v>
      </c>
      <c r="O174" s="58">
        <v>0</v>
      </c>
      <c r="P174" s="58">
        <v>0</v>
      </c>
      <c r="Q174" s="58"/>
      <c r="R174" s="59" t="b">
        <v>1</v>
      </c>
    </row>
    <row r="175" spans="1:18" x14ac:dyDescent="0.3">
      <c r="A175" s="195" t="s">
        <v>1825</v>
      </c>
      <c r="B175" s="58"/>
      <c r="C175" s="58"/>
      <c r="D175" s="58">
        <v>0</v>
      </c>
      <c r="E175" s="58">
        <v>1</v>
      </c>
      <c r="F175" s="58" t="s">
        <v>476</v>
      </c>
      <c r="G175" s="58" t="s">
        <v>477</v>
      </c>
      <c r="H175" s="58"/>
      <c r="I175" s="58">
        <v>0</v>
      </c>
      <c r="J175" s="58" t="s">
        <v>848</v>
      </c>
      <c r="K175" s="58" t="s">
        <v>850</v>
      </c>
      <c r="L175" s="58"/>
      <c r="M175" s="58"/>
      <c r="N175" s="58" t="str">
        <f t="shared" si="0"/>
        <v>CrowdControl(Knockback)</v>
      </c>
      <c r="O175" s="58">
        <v>0</v>
      </c>
      <c r="P175" s="58">
        <v>0</v>
      </c>
      <c r="Q175" s="58"/>
      <c r="R175" s="59" t="b">
        <v>1</v>
      </c>
    </row>
    <row r="176" spans="1:18" x14ac:dyDescent="0.3">
      <c r="A176" s="195" t="s">
        <v>2023</v>
      </c>
      <c r="B176" s="58" t="s">
        <v>812</v>
      </c>
      <c r="C176" s="58" t="s">
        <v>813</v>
      </c>
      <c r="D176" s="58">
        <v>0</v>
      </c>
      <c r="E176" s="58"/>
      <c r="F176" s="58" t="s">
        <v>476</v>
      </c>
      <c r="G176" s="58" t="s">
        <v>477</v>
      </c>
      <c r="H176" s="58"/>
      <c r="I176" s="58">
        <v>0</v>
      </c>
      <c r="J176" s="58" t="s">
        <v>1384</v>
      </c>
      <c r="K176" s="58" t="s">
        <v>1848</v>
      </c>
      <c r="L176" s="58"/>
      <c r="M176" s="58"/>
      <c r="N176" s="58" t="str">
        <f t="shared" si="0"/>
        <v>Passive(Raid.Groggy.buff)</v>
      </c>
      <c r="O176" s="58">
        <v>0</v>
      </c>
      <c r="P176" s="58">
        <v>0</v>
      </c>
      <c r="Q176" s="58"/>
      <c r="R176" s="59" t="b">
        <v>1</v>
      </c>
    </row>
    <row r="177" spans="1:18" x14ac:dyDescent="0.3">
      <c r="A177" s="195" t="s">
        <v>2024</v>
      </c>
      <c r="B177" s="58" t="s">
        <v>812</v>
      </c>
      <c r="C177" s="58" t="s">
        <v>814</v>
      </c>
      <c r="D177" s="58">
        <v>0</v>
      </c>
      <c r="E177" s="58"/>
      <c r="F177" s="58" t="s">
        <v>476</v>
      </c>
      <c r="G177" s="58" t="s">
        <v>477</v>
      </c>
      <c r="H177" s="58"/>
      <c r="I177" s="58">
        <v>0</v>
      </c>
      <c r="J177" s="58" t="s">
        <v>846</v>
      </c>
      <c r="K177" s="58" t="s">
        <v>872</v>
      </c>
      <c r="L177" s="58">
        <v>800</v>
      </c>
      <c r="M177" s="58"/>
      <c r="N177" s="58" t="str">
        <f t="shared" si="0"/>
        <v>Status(DamageDerate, 800)</v>
      </c>
      <c r="O177" s="58">
        <v>0</v>
      </c>
      <c r="P177" s="58">
        <v>0</v>
      </c>
      <c r="Q177" s="58"/>
      <c r="R177" s="59" t="b">
        <v>1</v>
      </c>
    </row>
    <row r="178" spans="1:18" x14ac:dyDescent="0.3">
      <c r="A178" s="195" t="s">
        <v>2030</v>
      </c>
      <c r="B178" s="58" t="s">
        <v>812</v>
      </c>
      <c r="C178" s="58" t="s">
        <v>814</v>
      </c>
      <c r="D178" s="58">
        <v>0</v>
      </c>
      <c r="E178" s="58">
        <v>1</v>
      </c>
      <c r="F178" s="58" t="s">
        <v>476</v>
      </c>
      <c r="G178" s="58" t="s">
        <v>477</v>
      </c>
      <c r="H178" s="58"/>
      <c r="I178" s="58">
        <v>0</v>
      </c>
      <c r="J178" s="58" t="s">
        <v>860</v>
      </c>
      <c r="K178" s="58" t="s">
        <v>2062</v>
      </c>
      <c r="L178" s="58"/>
      <c r="M178" s="58"/>
      <c r="N178" s="58" t="str">
        <f t="shared" ref="N178:N188" si="27">J178&amp;"("&amp;IF(K178="","",K178)&amp;IF(L178="","",", "&amp;L178)&amp;IF(M178="","",", "&amp;M178)&amp;")"</f>
        <v>Active(Raid4001.gigantooth_1.passive01.groggy.skilleffect.01.01)</v>
      </c>
      <c r="O178" s="58">
        <v>0</v>
      </c>
      <c r="P178" s="58">
        <v>1000</v>
      </c>
      <c r="Q178" s="58"/>
      <c r="R178" s="59" t="b">
        <v>1</v>
      </c>
    </row>
    <row r="179" spans="1:18" x14ac:dyDescent="0.3">
      <c r="A179" s="195" t="s">
        <v>2032</v>
      </c>
      <c r="B179" s="58" t="s">
        <v>812</v>
      </c>
      <c r="C179" s="58" t="s">
        <v>814</v>
      </c>
      <c r="D179" s="58">
        <v>0</v>
      </c>
      <c r="E179" s="58">
        <v>1</v>
      </c>
      <c r="F179" s="58" t="s">
        <v>476</v>
      </c>
      <c r="G179" s="58" t="s">
        <v>477</v>
      </c>
      <c r="H179" s="58"/>
      <c r="I179" s="58">
        <v>0</v>
      </c>
      <c r="J179" s="58" t="s">
        <v>860</v>
      </c>
      <c r="K179" s="58" t="s">
        <v>2063</v>
      </c>
      <c r="L179" s="58"/>
      <c r="M179" s="58"/>
      <c r="N179" s="58" t="str">
        <f t="shared" ref="N179:N182" si="28">J179&amp;"("&amp;IF(K179="","",K179)&amp;IF(L179="","",", "&amp;L179)&amp;IF(M179="","",", "&amp;M179)&amp;")"</f>
        <v>Active(Raid4001.gigantooth_1.passive01.groggy.skilleffect.01.02)</v>
      </c>
      <c r="O179" s="58">
        <v>0</v>
      </c>
      <c r="P179" s="58">
        <v>1000</v>
      </c>
      <c r="Q179" s="58"/>
      <c r="R179" s="59" t="b">
        <v>1</v>
      </c>
    </row>
    <row r="180" spans="1:18" x14ac:dyDescent="0.3">
      <c r="A180" s="195" t="s">
        <v>2033</v>
      </c>
      <c r="B180" s="58" t="s">
        <v>812</v>
      </c>
      <c r="C180" s="58" t="s">
        <v>814</v>
      </c>
      <c r="D180" s="58">
        <v>0</v>
      </c>
      <c r="E180" s="58">
        <v>1</v>
      </c>
      <c r="F180" s="58" t="s">
        <v>476</v>
      </c>
      <c r="G180" s="58" t="s">
        <v>477</v>
      </c>
      <c r="H180" s="58"/>
      <c r="I180" s="58">
        <v>0</v>
      </c>
      <c r="J180" s="58" t="s">
        <v>860</v>
      </c>
      <c r="K180" s="58" t="s">
        <v>2064</v>
      </c>
      <c r="L180" s="58"/>
      <c r="M180" s="58"/>
      <c r="N180" s="58" t="str">
        <f t="shared" si="28"/>
        <v>Active(Raid4001.gigantooth_1.passive01.groggy.skilleffect.01.03)</v>
      </c>
      <c r="O180" s="58">
        <v>0</v>
      </c>
      <c r="P180" s="58">
        <v>1000</v>
      </c>
      <c r="Q180" s="58"/>
      <c r="R180" s="59" t="b">
        <v>1</v>
      </c>
    </row>
    <row r="181" spans="1:18" x14ac:dyDescent="0.3">
      <c r="A181" s="195" t="s">
        <v>2034</v>
      </c>
      <c r="B181" s="58" t="s">
        <v>812</v>
      </c>
      <c r="C181" s="58" t="s">
        <v>814</v>
      </c>
      <c r="D181" s="58">
        <v>0</v>
      </c>
      <c r="E181" s="58">
        <v>1</v>
      </c>
      <c r="F181" s="58" t="s">
        <v>476</v>
      </c>
      <c r="G181" s="58" t="s">
        <v>477</v>
      </c>
      <c r="H181" s="58"/>
      <c r="I181" s="58">
        <v>0</v>
      </c>
      <c r="J181" s="58" t="s">
        <v>860</v>
      </c>
      <c r="K181" s="58" t="s">
        <v>2065</v>
      </c>
      <c r="L181" s="58"/>
      <c r="M181" s="58"/>
      <c r="N181" s="58" t="str">
        <f t="shared" si="28"/>
        <v>Active(Raid4001.gigantooth_1.passive01.groggy.skilleffect.01.04)</v>
      </c>
      <c r="O181" s="58">
        <v>0</v>
      </c>
      <c r="P181" s="58">
        <v>1000</v>
      </c>
      <c r="Q181" s="58"/>
      <c r="R181" s="59" t="b">
        <v>1</v>
      </c>
    </row>
    <row r="182" spans="1:18" x14ac:dyDescent="0.3">
      <c r="A182" s="195" t="s">
        <v>2035</v>
      </c>
      <c r="B182" s="58" t="s">
        <v>812</v>
      </c>
      <c r="C182" s="58" t="s">
        <v>814</v>
      </c>
      <c r="D182" s="58">
        <v>0</v>
      </c>
      <c r="E182" s="58">
        <v>1</v>
      </c>
      <c r="F182" s="58" t="s">
        <v>476</v>
      </c>
      <c r="G182" s="58" t="s">
        <v>477</v>
      </c>
      <c r="H182" s="58"/>
      <c r="I182" s="58">
        <v>0</v>
      </c>
      <c r="J182" s="58" t="s">
        <v>860</v>
      </c>
      <c r="K182" s="58" t="s">
        <v>2066</v>
      </c>
      <c r="L182" s="58"/>
      <c r="M182" s="58"/>
      <c r="N182" s="58" t="str">
        <f t="shared" si="28"/>
        <v>Active(Raid4001.gigantooth_1.passive01.groggy.skilleffect.01.05)</v>
      </c>
      <c r="O182" s="58">
        <v>0</v>
      </c>
      <c r="P182" s="58">
        <v>1000</v>
      </c>
      <c r="Q182" s="58"/>
      <c r="R182" s="59" t="b">
        <v>1</v>
      </c>
    </row>
    <row r="183" spans="1:18" x14ac:dyDescent="0.3">
      <c r="A183" s="195" t="s">
        <v>2102</v>
      </c>
      <c r="B183" s="58" t="s">
        <v>812</v>
      </c>
      <c r="C183" s="58" t="s">
        <v>814</v>
      </c>
      <c r="D183" s="58">
        <v>0</v>
      </c>
      <c r="E183" s="58">
        <v>1</v>
      </c>
      <c r="F183" s="58" t="s">
        <v>476</v>
      </c>
      <c r="G183" s="58" t="s">
        <v>477</v>
      </c>
      <c r="H183" s="58"/>
      <c r="I183" s="58">
        <v>0</v>
      </c>
      <c r="J183" s="58" t="s">
        <v>860</v>
      </c>
      <c r="K183" s="58" t="s">
        <v>2112</v>
      </c>
      <c r="L183" s="58"/>
      <c r="M183" s="58"/>
      <c r="N183" s="58" t="str">
        <f t="shared" ref="N183:N187" si="29">J183&amp;"("&amp;IF(K183="","",K183)&amp;IF(L183="","",", "&amp;L183)&amp;IF(M183="","",", "&amp;M183)&amp;")"</f>
        <v>Active(Raid4001.gigantooth_1.passive01.groggy.skilleffect.01.06)</v>
      </c>
      <c r="O183" s="58">
        <v>0</v>
      </c>
      <c r="P183" s="58">
        <v>1000</v>
      </c>
      <c r="Q183" s="58"/>
      <c r="R183" s="59" t="b">
        <v>1</v>
      </c>
    </row>
    <row r="184" spans="1:18" x14ac:dyDescent="0.3">
      <c r="A184" s="195" t="s">
        <v>2103</v>
      </c>
      <c r="B184" s="58" t="s">
        <v>812</v>
      </c>
      <c r="C184" s="58" t="s">
        <v>814</v>
      </c>
      <c r="D184" s="58">
        <v>0</v>
      </c>
      <c r="E184" s="58">
        <v>1</v>
      </c>
      <c r="F184" s="58" t="s">
        <v>476</v>
      </c>
      <c r="G184" s="58" t="s">
        <v>477</v>
      </c>
      <c r="H184" s="58"/>
      <c r="I184" s="58">
        <v>0</v>
      </c>
      <c r="J184" s="58" t="s">
        <v>860</v>
      </c>
      <c r="K184" s="58" t="s">
        <v>2113</v>
      </c>
      <c r="L184" s="58"/>
      <c r="M184" s="58"/>
      <c r="N184" s="58" t="str">
        <f t="shared" si="29"/>
        <v>Active(Raid4001.gigantooth_1.passive01.groggy.skilleffect.01.07)</v>
      </c>
      <c r="O184" s="58">
        <v>0</v>
      </c>
      <c r="P184" s="58">
        <v>1000</v>
      </c>
      <c r="Q184" s="58"/>
      <c r="R184" s="59" t="b">
        <v>1</v>
      </c>
    </row>
    <row r="185" spans="1:18" x14ac:dyDescent="0.3">
      <c r="A185" s="195" t="s">
        <v>2104</v>
      </c>
      <c r="B185" s="58" t="s">
        <v>812</v>
      </c>
      <c r="C185" s="58" t="s">
        <v>814</v>
      </c>
      <c r="D185" s="58">
        <v>0</v>
      </c>
      <c r="E185" s="58">
        <v>1</v>
      </c>
      <c r="F185" s="58" t="s">
        <v>476</v>
      </c>
      <c r="G185" s="58" t="s">
        <v>477</v>
      </c>
      <c r="H185" s="58"/>
      <c r="I185" s="58">
        <v>0</v>
      </c>
      <c r="J185" s="58" t="s">
        <v>860</v>
      </c>
      <c r="K185" s="58" t="s">
        <v>2114</v>
      </c>
      <c r="L185" s="58"/>
      <c r="M185" s="58"/>
      <c r="N185" s="58" t="str">
        <f t="shared" si="29"/>
        <v>Active(Raid4001.gigantooth_1.passive01.groggy.skilleffect.01.08)</v>
      </c>
      <c r="O185" s="58">
        <v>0</v>
      </c>
      <c r="P185" s="58">
        <v>1000</v>
      </c>
      <c r="Q185" s="58"/>
      <c r="R185" s="59" t="b">
        <v>1</v>
      </c>
    </row>
    <row r="186" spans="1:18" x14ac:dyDescent="0.3">
      <c r="A186" s="195" t="s">
        <v>2105</v>
      </c>
      <c r="B186" s="58" t="s">
        <v>812</v>
      </c>
      <c r="C186" s="58" t="s">
        <v>814</v>
      </c>
      <c r="D186" s="58">
        <v>0</v>
      </c>
      <c r="E186" s="58">
        <v>1</v>
      </c>
      <c r="F186" s="58" t="s">
        <v>476</v>
      </c>
      <c r="G186" s="58" t="s">
        <v>477</v>
      </c>
      <c r="H186" s="58"/>
      <c r="I186" s="58">
        <v>0</v>
      </c>
      <c r="J186" s="58" t="s">
        <v>860</v>
      </c>
      <c r="K186" s="58" t="s">
        <v>2115</v>
      </c>
      <c r="L186" s="58"/>
      <c r="M186" s="58"/>
      <c r="N186" s="58" t="str">
        <f t="shared" si="29"/>
        <v>Active(Raid4001.gigantooth_1.passive01.groggy.skilleffect.01.09)</v>
      </c>
      <c r="O186" s="58">
        <v>0</v>
      </c>
      <c r="P186" s="58">
        <v>1000</v>
      </c>
      <c r="Q186" s="58"/>
      <c r="R186" s="59" t="b">
        <v>1</v>
      </c>
    </row>
    <row r="187" spans="1:18" x14ac:dyDescent="0.3">
      <c r="A187" s="195" t="s">
        <v>2106</v>
      </c>
      <c r="B187" s="58" t="s">
        <v>812</v>
      </c>
      <c r="C187" s="58" t="s">
        <v>814</v>
      </c>
      <c r="D187" s="58">
        <v>0</v>
      </c>
      <c r="E187" s="58">
        <v>1</v>
      </c>
      <c r="F187" s="58" t="s">
        <v>476</v>
      </c>
      <c r="G187" s="58" t="s">
        <v>477</v>
      </c>
      <c r="H187" s="58"/>
      <c r="I187" s="58">
        <v>0</v>
      </c>
      <c r="J187" s="58" t="s">
        <v>860</v>
      </c>
      <c r="K187" s="58" t="s">
        <v>2116</v>
      </c>
      <c r="L187" s="58"/>
      <c r="M187" s="58"/>
      <c r="N187" s="58" t="str">
        <f t="shared" si="29"/>
        <v>Active(Raid4001.gigantooth_1.passive01.groggy.skilleffect.01.10)</v>
      </c>
      <c r="O187" s="58">
        <v>0</v>
      </c>
      <c r="P187" s="58">
        <v>1000</v>
      </c>
      <c r="Q187" s="58"/>
      <c r="R187" s="59" t="b">
        <v>1</v>
      </c>
    </row>
    <row r="188" spans="1:18" x14ac:dyDescent="0.3">
      <c r="A188" s="195" t="s">
        <v>2031</v>
      </c>
      <c r="B188" s="58" t="s">
        <v>812</v>
      </c>
      <c r="C188" s="58" t="s">
        <v>813</v>
      </c>
      <c r="D188" s="58">
        <v>0</v>
      </c>
      <c r="E188" s="58">
        <v>1</v>
      </c>
      <c r="F188" s="58" t="s">
        <v>476</v>
      </c>
      <c r="G188" s="58" t="s">
        <v>477</v>
      </c>
      <c r="H188" s="58"/>
      <c r="I188" s="58">
        <v>0</v>
      </c>
      <c r="J188" s="58" t="s">
        <v>846</v>
      </c>
      <c r="K188" s="58" t="s">
        <v>872</v>
      </c>
      <c r="L188" s="58">
        <v>-1000</v>
      </c>
      <c r="M188" s="58"/>
      <c r="N188" s="58" t="str">
        <f t="shared" si="27"/>
        <v>Status(DamageDerate, -1000)</v>
      </c>
      <c r="O188" s="58">
        <v>0</v>
      </c>
      <c r="P188" s="58">
        <v>0</v>
      </c>
      <c r="Q188" s="58"/>
      <c r="R188" s="59" t="b">
        <v>1</v>
      </c>
    </row>
    <row r="189" spans="1:18" x14ac:dyDescent="0.3">
      <c r="A189" s="195" t="s">
        <v>2036</v>
      </c>
      <c r="B189" s="58" t="s">
        <v>812</v>
      </c>
      <c r="C189" s="58" t="s">
        <v>813</v>
      </c>
      <c r="D189" s="58">
        <v>0</v>
      </c>
      <c r="E189" s="58">
        <v>1</v>
      </c>
      <c r="F189" s="58" t="s">
        <v>476</v>
      </c>
      <c r="G189" s="58" t="s">
        <v>477</v>
      </c>
      <c r="H189" s="58"/>
      <c r="I189" s="58">
        <v>0</v>
      </c>
      <c r="J189" s="58" t="s">
        <v>846</v>
      </c>
      <c r="K189" s="58" t="s">
        <v>872</v>
      </c>
      <c r="L189" s="58">
        <v>-1000</v>
      </c>
      <c r="M189" s="58"/>
      <c r="N189" s="58" t="str">
        <f t="shared" ref="N189:N192" si="30">J189&amp;"("&amp;IF(K189="","",K189)&amp;IF(L189="","",", "&amp;L189)&amp;IF(M189="","",", "&amp;M189)&amp;")"</f>
        <v>Status(DamageDerate, -1000)</v>
      </c>
      <c r="O189" s="58">
        <v>0</v>
      </c>
      <c r="P189" s="58">
        <v>0</v>
      </c>
      <c r="Q189" s="58"/>
      <c r="R189" s="59" t="b">
        <v>1</v>
      </c>
    </row>
    <row r="190" spans="1:18" x14ac:dyDescent="0.3">
      <c r="A190" s="195" t="s">
        <v>2037</v>
      </c>
      <c r="B190" s="58" t="s">
        <v>812</v>
      </c>
      <c r="C190" s="58" t="s">
        <v>813</v>
      </c>
      <c r="D190" s="58">
        <v>0</v>
      </c>
      <c r="E190" s="58">
        <v>1</v>
      </c>
      <c r="F190" s="58" t="s">
        <v>476</v>
      </c>
      <c r="G190" s="58" t="s">
        <v>477</v>
      </c>
      <c r="H190" s="58"/>
      <c r="I190" s="58">
        <v>0</v>
      </c>
      <c r="J190" s="58" t="s">
        <v>846</v>
      </c>
      <c r="K190" s="58" t="s">
        <v>872</v>
      </c>
      <c r="L190" s="58">
        <v>-1000</v>
      </c>
      <c r="M190" s="58"/>
      <c r="N190" s="58" t="str">
        <f t="shared" si="30"/>
        <v>Status(DamageDerate, -1000)</v>
      </c>
      <c r="O190" s="58">
        <v>0</v>
      </c>
      <c r="P190" s="58">
        <v>0</v>
      </c>
      <c r="Q190" s="58"/>
      <c r="R190" s="59" t="b">
        <v>1</v>
      </c>
    </row>
    <row r="191" spans="1:18" x14ac:dyDescent="0.3">
      <c r="A191" s="195" t="s">
        <v>2038</v>
      </c>
      <c r="B191" s="58" t="s">
        <v>812</v>
      </c>
      <c r="C191" s="58" t="s">
        <v>813</v>
      </c>
      <c r="D191" s="58">
        <v>0</v>
      </c>
      <c r="E191" s="58">
        <v>1</v>
      </c>
      <c r="F191" s="58" t="s">
        <v>476</v>
      </c>
      <c r="G191" s="58" t="s">
        <v>477</v>
      </c>
      <c r="H191" s="58"/>
      <c r="I191" s="58">
        <v>0</v>
      </c>
      <c r="J191" s="58" t="s">
        <v>846</v>
      </c>
      <c r="K191" s="58" t="s">
        <v>872</v>
      </c>
      <c r="L191" s="58">
        <v>-1000</v>
      </c>
      <c r="M191" s="58"/>
      <c r="N191" s="58" t="str">
        <f t="shared" si="30"/>
        <v>Status(DamageDerate, -1000)</v>
      </c>
      <c r="O191" s="58">
        <v>0</v>
      </c>
      <c r="P191" s="58">
        <v>0</v>
      </c>
      <c r="Q191" s="58"/>
      <c r="R191" s="59" t="b">
        <v>1</v>
      </c>
    </row>
    <row r="192" spans="1:18" x14ac:dyDescent="0.3">
      <c r="A192" s="195" t="s">
        <v>2039</v>
      </c>
      <c r="B192" s="58" t="s">
        <v>812</v>
      </c>
      <c r="C192" s="58" t="s">
        <v>813</v>
      </c>
      <c r="D192" s="58">
        <v>0</v>
      </c>
      <c r="E192" s="58">
        <v>1</v>
      </c>
      <c r="F192" s="58" t="s">
        <v>476</v>
      </c>
      <c r="G192" s="58" t="s">
        <v>477</v>
      </c>
      <c r="H192" s="58"/>
      <c r="I192" s="58">
        <v>0</v>
      </c>
      <c r="J192" s="58" t="s">
        <v>846</v>
      </c>
      <c r="K192" s="58" t="s">
        <v>872</v>
      </c>
      <c r="L192" s="58">
        <v>-1500</v>
      </c>
      <c r="M192" s="58"/>
      <c r="N192" s="58" t="str">
        <f t="shared" si="30"/>
        <v>Status(DamageDerate, -1500)</v>
      </c>
      <c r="O192" s="58">
        <v>0</v>
      </c>
      <c r="P192" s="58">
        <v>0</v>
      </c>
      <c r="Q192" s="58"/>
      <c r="R192" s="59" t="b">
        <v>1</v>
      </c>
    </row>
    <row r="193" spans="1:18" x14ac:dyDescent="0.3">
      <c r="A193" s="195" t="s">
        <v>2107</v>
      </c>
      <c r="B193" s="58" t="s">
        <v>812</v>
      </c>
      <c r="C193" s="58" t="s">
        <v>813</v>
      </c>
      <c r="D193" s="58">
        <v>0</v>
      </c>
      <c r="E193" s="58">
        <v>1</v>
      </c>
      <c r="F193" s="58" t="s">
        <v>476</v>
      </c>
      <c r="G193" s="58" t="s">
        <v>477</v>
      </c>
      <c r="H193" s="58"/>
      <c r="I193" s="58">
        <v>0</v>
      </c>
      <c r="J193" s="58" t="s">
        <v>846</v>
      </c>
      <c r="K193" s="58" t="s">
        <v>872</v>
      </c>
      <c r="L193" s="58">
        <v>-1500</v>
      </c>
      <c r="M193" s="58"/>
      <c r="N193" s="58" t="str">
        <f t="shared" ref="N193:N197" si="31">J193&amp;"("&amp;IF(K193="","",K193)&amp;IF(L193="","",", "&amp;L193)&amp;IF(M193="","",", "&amp;M193)&amp;")"</f>
        <v>Status(DamageDerate, -1500)</v>
      </c>
      <c r="O193" s="58">
        <v>0</v>
      </c>
      <c r="P193" s="58">
        <v>0</v>
      </c>
      <c r="Q193" s="58"/>
      <c r="R193" s="59" t="b">
        <v>1</v>
      </c>
    </row>
    <row r="194" spans="1:18" x14ac:dyDescent="0.3">
      <c r="A194" s="195" t="s">
        <v>2108</v>
      </c>
      <c r="B194" s="58" t="s">
        <v>812</v>
      </c>
      <c r="C194" s="58" t="s">
        <v>813</v>
      </c>
      <c r="D194" s="58">
        <v>0</v>
      </c>
      <c r="E194" s="58">
        <v>1</v>
      </c>
      <c r="F194" s="58" t="s">
        <v>476</v>
      </c>
      <c r="G194" s="58" t="s">
        <v>477</v>
      </c>
      <c r="H194" s="58"/>
      <c r="I194" s="58">
        <v>0</v>
      </c>
      <c r="J194" s="58" t="s">
        <v>846</v>
      </c>
      <c r="K194" s="58" t="s">
        <v>872</v>
      </c>
      <c r="L194" s="58">
        <v>-1500</v>
      </c>
      <c r="M194" s="58"/>
      <c r="N194" s="58" t="str">
        <f t="shared" si="31"/>
        <v>Status(DamageDerate, -1500)</v>
      </c>
      <c r="O194" s="58">
        <v>0</v>
      </c>
      <c r="P194" s="58">
        <v>0</v>
      </c>
      <c r="Q194" s="58"/>
      <c r="R194" s="59" t="b">
        <v>1</v>
      </c>
    </row>
    <row r="195" spans="1:18" x14ac:dyDescent="0.3">
      <c r="A195" s="195" t="s">
        <v>2109</v>
      </c>
      <c r="B195" s="58" t="s">
        <v>812</v>
      </c>
      <c r="C195" s="58" t="s">
        <v>813</v>
      </c>
      <c r="D195" s="58">
        <v>0</v>
      </c>
      <c r="E195" s="58">
        <v>1</v>
      </c>
      <c r="F195" s="58" t="s">
        <v>476</v>
      </c>
      <c r="G195" s="58" t="s">
        <v>477</v>
      </c>
      <c r="H195" s="58"/>
      <c r="I195" s="58">
        <v>0</v>
      </c>
      <c r="J195" s="58" t="s">
        <v>846</v>
      </c>
      <c r="K195" s="58" t="s">
        <v>872</v>
      </c>
      <c r="L195" s="58">
        <v>-1500</v>
      </c>
      <c r="M195" s="58"/>
      <c r="N195" s="58" t="str">
        <f t="shared" si="31"/>
        <v>Status(DamageDerate, -1500)</v>
      </c>
      <c r="O195" s="58">
        <v>0</v>
      </c>
      <c r="P195" s="58">
        <v>0</v>
      </c>
      <c r="Q195" s="58"/>
      <c r="R195" s="59" t="b">
        <v>1</v>
      </c>
    </row>
    <row r="196" spans="1:18" x14ac:dyDescent="0.3">
      <c r="A196" s="195" t="s">
        <v>2110</v>
      </c>
      <c r="B196" s="58" t="s">
        <v>812</v>
      </c>
      <c r="C196" s="58" t="s">
        <v>813</v>
      </c>
      <c r="D196" s="58">
        <v>0</v>
      </c>
      <c r="E196" s="58">
        <v>1</v>
      </c>
      <c r="F196" s="58" t="s">
        <v>476</v>
      </c>
      <c r="G196" s="58" t="s">
        <v>477</v>
      </c>
      <c r="H196" s="58"/>
      <c r="I196" s="58">
        <v>0</v>
      </c>
      <c r="J196" s="58" t="s">
        <v>846</v>
      </c>
      <c r="K196" s="58" t="s">
        <v>872</v>
      </c>
      <c r="L196" s="58">
        <v>-1500</v>
      </c>
      <c r="M196" s="58"/>
      <c r="N196" s="58" t="str">
        <f t="shared" si="31"/>
        <v>Status(DamageDerate, -1500)</v>
      </c>
      <c r="O196" s="58">
        <v>0</v>
      </c>
      <c r="P196" s="58">
        <v>0</v>
      </c>
      <c r="Q196" s="58"/>
      <c r="R196" s="59" t="b">
        <v>1</v>
      </c>
    </row>
    <row r="197" spans="1:18" x14ac:dyDescent="0.3">
      <c r="A197" s="195" t="s">
        <v>2111</v>
      </c>
      <c r="B197" s="58" t="s">
        <v>812</v>
      </c>
      <c r="C197" s="58" t="s">
        <v>813</v>
      </c>
      <c r="D197" s="58">
        <v>0</v>
      </c>
      <c r="E197" s="58">
        <v>1</v>
      </c>
      <c r="F197" s="58" t="s">
        <v>476</v>
      </c>
      <c r="G197" s="58" t="s">
        <v>477</v>
      </c>
      <c r="H197" s="58"/>
      <c r="I197" s="58">
        <v>0</v>
      </c>
      <c r="J197" s="58" t="s">
        <v>846</v>
      </c>
      <c r="K197" s="58" t="s">
        <v>872</v>
      </c>
      <c r="L197" s="58">
        <v>-1500</v>
      </c>
      <c r="M197" s="58"/>
      <c r="N197" s="58" t="str">
        <f t="shared" si="31"/>
        <v>Status(DamageDerate, -1500)</v>
      </c>
      <c r="O197" s="58">
        <v>0</v>
      </c>
      <c r="P197" s="58">
        <v>0</v>
      </c>
      <c r="Q197" s="58"/>
      <c r="R197" s="59" t="b">
        <v>1</v>
      </c>
    </row>
    <row r="198" spans="1:18" x14ac:dyDescent="0.3">
      <c r="A198" s="196" t="s">
        <v>1826</v>
      </c>
      <c r="B198" s="33"/>
      <c r="C198" s="33"/>
      <c r="D198" s="33">
        <v>0</v>
      </c>
      <c r="E198" s="33">
        <v>1</v>
      </c>
      <c r="F198" s="33" t="s">
        <v>476</v>
      </c>
      <c r="G198" s="33" t="s">
        <v>477</v>
      </c>
      <c r="H198" s="33"/>
      <c r="I198" s="33">
        <v>0</v>
      </c>
      <c r="J198" s="33" t="s">
        <v>848</v>
      </c>
      <c r="K198" s="33" t="s">
        <v>850</v>
      </c>
      <c r="L198" s="33"/>
      <c r="M198" s="33"/>
      <c r="N198" s="33" t="str">
        <f t="shared" si="0"/>
        <v>CrowdControl(Knockback)</v>
      </c>
      <c r="O198" s="33">
        <v>0</v>
      </c>
      <c r="P198" s="33">
        <v>0</v>
      </c>
      <c r="Q198" s="33"/>
      <c r="R198" s="34" t="b">
        <v>1</v>
      </c>
    </row>
    <row r="199" spans="1:18" x14ac:dyDescent="0.3">
      <c r="A199" s="196" t="s">
        <v>1827</v>
      </c>
      <c r="B199" s="33"/>
      <c r="C199" s="33"/>
      <c r="D199" s="33">
        <v>0</v>
      </c>
      <c r="E199" s="33">
        <v>1</v>
      </c>
      <c r="F199" s="33" t="s">
        <v>476</v>
      </c>
      <c r="G199" s="33" t="s">
        <v>477</v>
      </c>
      <c r="H199" s="33"/>
      <c r="I199" s="33">
        <v>0</v>
      </c>
      <c r="J199" s="33" t="s">
        <v>846</v>
      </c>
      <c r="K199" s="33" t="s">
        <v>875</v>
      </c>
      <c r="L199" s="33">
        <v>-300</v>
      </c>
      <c r="M199" s="33"/>
      <c r="N199" s="33" t="str">
        <f t="shared" si="0"/>
        <v>Status(MoveSpeedRate, -300)</v>
      </c>
      <c r="O199" s="33">
        <v>0</v>
      </c>
      <c r="P199" s="33">
        <v>0</v>
      </c>
      <c r="Q199" s="33"/>
      <c r="R199" s="34" t="b">
        <v>1</v>
      </c>
    </row>
    <row r="200" spans="1:18" x14ac:dyDescent="0.3">
      <c r="A200" s="196" t="s">
        <v>1828</v>
      </c>
      <c r="B200" s="33"/>
      <c r="C200" s="33"/>
      <c r="D200" s="33">
        <v>0</v>
      </c>
      <c r="E200" s="33">
        <v>1</v>
      </c>
      <c r="F200" s="33" t="s">
        <v>476</v>
      </c>
      <c r="G200" s="33" t="s">
        <v>477</v>
      </c>
      <c r="H200" s="33"/>
      <c r="I200" s="33">
        <v>0</v>
      </c>
      <c r="J200" s="33" t="s">
        <v>848</v>
      </c>
      <c r="K200" s="33" t="s">
        <v>850</v>
      </c>
      <c r="L200" s="33"/>
      <c r="M200" s="33"/>
      <c r="N200" s="33" t="str">
        <f t="shared" si="0"/>
        <v>CrowdControl(Knockback)</v>
      </c>
      <c r="O200" s="33">
        <v>0</v>
      </c>
      <c r="P200" s="33">
        <v>0</v>
      </c>
      <c r="Q200" s="33"/>
      <c r="R200" s="34" t="b">
        <v>1</v>
      </c>
    </row>
    <row r="201" spans="1:18" x14ac:dyDescent="0.3">
      <c r="A201" s="196" t="s">
        <v>1829</v>
      </c>
      <c r="B201" s="33"/>
      <c r="C201" s="33"/>
      <c r="D201" s="33">
        <v>0</v>
      </c>
      <c r="E201" s="33">
        <v>1</v>
      </c>
      <c r="F201" s="33" t="s">
        <v>476</v>
      </c>
      <c r="G201" s="33" t="s">
        <v>477</v>
      </c>
      <c r="H201" s="33"/>
      <c r="I201" s="33">
        <v>0</v>
      </c>
      <c r="J201" s="33" t="s">
        <v>848</v>
      </c>
      <c r="K201" s="33" t="s">
        <v>849</v>
      </c>
      <c r="L201" s="33"/>
      <c r="M201" s="33"/>
      <c r="N201" s="33" t="str">
        <f t="shared" si="0"/>
        <v>CrowdControl(Stun)</v>
      </c>
      <c r="O201" s="33">
        <v>0</v>
      </c>
      <c r="P201" s="33">
        <v>0</v>
      </c>
      <c r="Q201" s="33"/>
      <c r="R201" s="34" t="b">
        <v>1</v>
      </c>
    </row>
    <row r="202" spans="1:18" x14ac:dyDescent="0.3">
      <c r="A202" s="196" t="s">
        <v>1830</v>
      </c>
      <c r="B202" s="33"/>
      <c r="C202" s="33"/>
      <c r="D202" s="33">
        <v>0</v>
      </c>
      <c r="E202" s="33">
        <v>1</v>
      </c>
      <c r="F202" s="33" t="s">
        <v>476</v>
      </c>
      <c r="G202" s="33" t="s">
        <v>477</v>
      </c>
      <c r="H202" s="33"/>
      <c r="I202" s="33">
        <v>0</v>
      </c>
      <c r="J202" s="33" t="s">
        <v>848</v>
      </c>
      <c r="K202" s="33" t="s">
        <v>923</v>
      </c>
      <c r="L202" s="33"/>
      <c r="M202" s="33"/>
      <c r="N202" s="33" t="str">
        <f t="shared" si="0"/>
        <v>CrowdControl(Shock)</v>
      </c>
      <c r="O202" s="33">
        <v>0</v>
      </c>
      <c r="P202" s="33">
        <v>0</v>
      </c>
      <c r="Q202" s="33"/>
      <c r="R202" s="34" t="b">
        <v>1</v>
      </c>
    </row>
    <row r="203" spans="1:18" x14ac:dyDescent="0.3">
      <c r="A203" s="196" t="s">
        <v>1831</v>
      </c>
      <c r="B203" s="33"/>
      <c r="C203" s="33"/>
      <c r="D203" s="33">
        <v>0</v>
      </c>
      <c r="E203" s="33">
        <v>1</v>
      </c>
      <c r="F203" s="33" t="s">
        <v>476</v>
      </c>
      <c r="G203" s="33" t="s">
        <v>477</v>
      </c>
      <c r="H203" s="33"/>
      <c r="I203" s="33">
        <v>0</v>
      </c>
      <c r="J203" s="33" t="s">
        <v>848</v>
      </c>
      <c r="K203" s="33" t="s">
        <v>923</v>
      </c>
      <c r="L203" s="33"/>
      <c r="M203" s="33"/>
      <c r="N203" s="33" t="str">
        <f t="shared" si="0"/>
        <v>CrowdControl(Shock)</v>
      </c>
      <c r="O203" s="33">
        <v>0</v>
      </c>
      <c r="P203" s="33">
        <v>0</v>
      </c>
      <c r="Q203" s="33"/>
      <c r="R203" s="34" t="b">
        <v>1</v>
      </c>
    </row>
    <row r="204" spans="1:18" x14ac:dyDescent="0.3">
      <c r="A204" s="196" t="s">
        <v>1832</v>
      </c>
      <c r="B204" s="33"/>
      <c r="C204" s="33"/>
      <c r="D204" s="33">
        <v>0</v>
      </c>
      <c r="E204" s="33">
        <v>1</v>
      </c>
      <c r="F204" s="33" t="s">
        <v>476</v>
      </c>
      <c r="G204" s="33" t="s">
        <v>477</v>
      </c>
      <c r="H204" s="33"/>
      <c r="I204" s="33">
        <v>0</v>
      </c>
      <c r="J204" s="33" t="s">
        <v>848</v>
      </c>
      <c r="K204" s="33" t="s">
        <v>850</v>
      </c>
      <c r="L204" s="33"/>
      <c r="M204" s="33"/>
      <c r="N204" s="33" t="str">
        <f t="shared" si="0"/>
        <v>CrowdControl(Knockback)</v>
      </c>
      <c r="O204" s="33">
        <v>0</v>
      </c>
      <c r="P204" s="33">
        <v>0</v>
      </c>
      <c r="Q204" s="33"/>
      <c r="R204" s="34" t="b">
        <v>1</v>
      </c>
    </row>
    <row r="205" spans="1:18" x14ac:dyDescent="0.3">
      <c r="A205" s="196" t="s">
        <v>2050</v>
      </c>
      <c r="B205" s="33" t="s">
        <v>812</v>
      </c>
      <c r="C205" s="33" t="s">
        <v>813</v>
      </c>
      <c r="D205" s="33">
        <v>0</v>
      </c>
      <c r="E205" s="33"/>
      <c r="F205" s="33" t="s">
        <v>476</v>
      </c>
      <c r="G205" s="33" t="s">
        <v>477</v>
      </c>
      <c r="H205" s="33"/>
      <c r="I205" s="33">
        <v>0</v>
      </c>
      <c r="J205" s="33" t="s">
        <v>1380</v>
      </c>
      <c r="K205" s="33" t="s">
        <v>1848</v>
      </c>
      <c r="L205" s="33"/>
      <c r="M205" s="33"/>
      <c r="N205" s="33" t="str">
        <f t="shared" ref="N205:N216" si="32">J205&amp;"("&amp;IF(K205="","",K205)&amp;IF(L205="","",", "&amp;L205)&amp;IF(M205="","",", "&amp;M205)&amp;")"</f>
        <v>Passive(Raid.Groggy.buff)</v>
      </c>
      <c r="O205" s="33">
        <v>0</v>
      </c>
      <c r="P205" s="33">
        <v>0</v>
      </c>
      <c r="Q205" s="33"/>
      <c r="R205" s="34" t="b">
        <v>1</v>
      </c>
    </row>
    <row r="206" spans="1:18" x14ac:dyDescent="0.3">
      <c r="A206" s="196" t="s">
        <v>2051</v>
      </c>
      <c r="B206" s="33" t="s">
        <v>812</v>
      </c>
      <c r="C206" s="33" t="s">
        <v>814</v>
      </c>
      <c r="D206" s="33">
        <v>0</v>
      </c>
      <c r="E206" s="33"/>
      <c r="F206" s="33" t="s">
        <v>476</v>
      </c>
      <c r="G206" s="33" t="s">
        <v>477</v>
      </c>
      <c r="H206" s="33"/>
      <c r="I206" s="33">
        <v>0</v>
      </c>
      <c r="J206" s="33" t="s">
        <v>846</v>
      </c>
      <c r="K206" s="33" t="s">
        <v>872</v>
      </c>
      <c r="L206" s="33">
        <v>800</v>
      </c>
      <c r="M206" s="33"/>
      <c r="N206" s="33" t="str">
        <f t="shared" si="32"/>
        <v>Status(DamageDerate, 800)</v>
      </c>
      <c r="O206" s="33">
        <v>0</v>
      </c>
      <c r="P206" s="33">
        <v>0</v>
      </c>
      <c r="Q206" s="33"/>
      <c r="R206" s="34" t="b">
        <v>1</v>
      </c>
    </row>
    <row r="207" spans="1:18" x14ac:dyDescent="0.3">
      <c r="A207" s="196" t="s">
        <v>2040</v>
      </c>
      <c r="B207" s="33" t="s">
        <v>812</v>
      </c>
      <c r="C207" s="33" t="s">
        <v>814</v>
      </c>
      <c r="D207" s="33">
        <v>0</v>
      </c>
      <c r="E207" s="33">
        <v>1</v>
      </c>
      <c r="F207" s="33" t="s">
        <v>476</v>
      </c>
      <c r="G207" s="33" t="s">
        <v>477</v>
      </c>
      <c r="H207" s="33"/>
      <c r="I207" s="33">
        <v>0</v>
      </c>
      <c r="J207" s="33" t="s">
        <v>860</v>
      </c>
      <c r="K207" s="33" t="s">
        <v>2057</v>
      </c>
      <c r="L207" s="33"/>
      <c r="M207" s="33"/>
      <c r="N207" s="33" t="str">
        <f t="shared" si="32"/>
        <v>Active(Raid4001.gigantooth_2.passive01.groggy.skilleffect.01.01)</v>
      </c>
      <c r="O207" s="33">
        <v>0</v>
      </c>
      <c r="P207" s="33">
        <v>1000</v>
      </c>
      <c r="Q207" s="33"/>
      <c r="R207" s="34" t="b">
        <v>1</v>
      </c>
    </row>
    <row r="208" spans="1:18" x14ac:dyDescent="0.3">
      <c r="A208" s="196" t="s">
        <v>2041</v>
      </c>
      <c r="B208" s="33" t="s">
        <v>812</v>
      </c>
      <c r="C208" s="33" t="s">
        <v>814</v>
      </c>
      <c r="D208" s="33">
        <v>0</v>
      </c>
      <c r="E208" s="33">
        <v>1</v>
      </c>
      <c r="F208" s="33" t="s">
        <v>476</v>
      </c>
      <c r="G208" s="33" t="s">
        <v>477</v>
      </c>
      <c r="H208" s="33"/>
      <c r="I208" s="33">
        <v>0</v>
      </c>
      <c r="J208" s="33" t="s">
        <v>860</v>
      </c>
      <c r="K208" s="33" t="s">
        <v>2058</v>
      </c>
      <c r="L208" s="33"/>
      <c r="M208" s="33"/>
      <c r="N208" s="33" t="str">
        <f t="shared" si="32"/>
        <v>Active(Raid4001.gigantooth_2.passive01.groggy.skilleffect.01.02)</v>
      </c>
      <c r="O208" s="33">
        <v>0</v>
      </c>
      <c r="P208" s="33">
        <v>1000</v>
      </c>
      <c r="Q208" s="33"/>
      <c r="R208" s="34" t="b">
        <v>1</v>
      </c>
    </row>
    <row r="209" spans="1:18" x14ac:dyDescent="0.3">
      <c r="A209" s="196" t="s">
        <v>2042</v>
      </c>
      <c r="B209" s="33" t="s">
        <v>812</v>
      </c>
      <c r="C209" s="33" t="s">
        <v>814</v>
      </c>
      <c r="D209" s="33">
        <v>0</v>
      </c>
      <c r="E209" s="33">
        <v>1</v>
      </c>
      <c r="F209" s="33" t="s">
        <v>476</v>
      </c>
      <c r="G209" s="33" t="s">
        <v>477</v>
      </c>
      <c r="H209" s="33"/>
      <c r="I209" s="33">
        <v>0</v>
      </c>
      <c r="J209" s="33" t="s">
        <v>860</v>
      </c>
      <c r="K209" s="33" t="s">
        <v>2059</v>
      </c>
      <c r="L209" s="33"/>
      <c r="M209" s="33"/>
      <c r="N209" s="33" t="str">
        <f t="shared" si="32"/>
        <v>Active(Raid4001.gigantooth_2.passive01.groggy.skilleffect.01.03)</v>
      </c>
      <c r="O209" s="33">
        <v>0</v>
      </c>
      <c r="P209" s="33">
        <v>1000</v>
      </c>
      <c r="Q209" s="33"/>
      <c r="R209" s="34" t="b">
        <v>1</v>
      </c>
    </row>
    <row r="210" spans="1:18" x14ac:dyDescent="0.3">
      <c r="A210" s="196" t="s">
        <v>2043</v>
      </c>
      <c r="B210" s="33" t="s">
        <v>812</v>
      </c>
      <c r="C210" s="33" t="s">
        <v>814</v>
      </c>
      <c r="D210" s="33">
        <v>0</v>
      </c>
      <c r="E210" s="33">
        <v>1</v>
      </c>
      <c r="F210" s="33" t="s">
        <v>476</v>
      </c>
      <c r="G210" s="33" t="s">
        <v>477</v>
      </c>
      <c r="H210" s="33"/>
      <c r="I210" s="33">
        <v>0</v>
      </c>
      <c r="J210" s="33" t="s">
        <v>860</v>
      </c>
      <c r="K210" s="33" t="s">
        <v>2060</v>
      </c>
      <c r="L210" s="33"/>
      <c r="M210" s="33"/>
      <c r="N210" s="33" t="str">
        <f t="shared" si="32"/>
        <v>Active(Raid4001.gigantooth_2.passive01.groggy.skilleffect.01.04)</v>
      </c>
      <c r="O210" s="33">
        <v>0</v>
      </c>
      <c r="P210" s="33">
        <v>1000</v>
      </c>
      <c r="Q210" s="33"/>
      <c r="R210" s="34" t="b">
        <v>1</v>
      </c>
    </row>
    <row r="211" spans="1:18" x14ac:dyDescent="0.3">
      <c r="A211" s="196" t="s">
        <v>2044</v>
      </c>
      <c r="B211" s="33" t="s">
        <v>812</v>
      </c>
      <c r="C211" s="33" t="s">
        <v>814</v>
      </c>
      <c r="D211" s="33">
        <v>0</v>
      </c>
      <c r="E211" s="33">
        <v>1</v>
      </c>
      <c r="F211" s="33" t="s">
        <v>476</v>
      </c>
      <c r="G211" s="33" t="s">
        <v>477</v>
      </c>
      <c r="H211" s="33"/>
      <c r="I211" s="33">
        <v>0</v>
      </c>
      <c r="J211" s="33" t="s">
        <v>860</v>
      </c>
      <c r="K211" s="33" t="s">
        <v>2061</v>
      </c>
      <c r="L211" s="33"/>
      <c r="M211" s="33"/>
      <c r="N211" s="33" t="str">
        <f t="shared" si="32"/>
        <v>Active(Raid4001.gigantooth_2.passive01.groggy.skilleffect.01.05)</v>
      </c>
      <c r="O211" s="33">
        <v>0</v>
      </c>
      <c r="P211" s="33">
        <v>1000</v>
      </c>
      <c r="Q211" s="33"/>
      <c r="R211" s="34" t="b">
        <v>1</v>
      </c>
    </row>
    <row r="212" spans="1:18" x14ac:dyDescent="0.3">
      <c r="A212" s="196" t="s">
        <v>2045</v>
      </c>
      <c r="B212" s="33"/>
      <c r="C212" s="33"/>
      <c r="D212" s="33">
        <v>0</v>
      </c>
      <c r="E212" s="33">
        <v>1</v>
      </c>
      <c r="F212" s="33" t="s">
        <v>476</v>
      </c>
      <c r="G212" s="33" t="s">
        <v>477</v>
      </c>
      <c r="H212" s="33"/>
      <c r="I212" s="33">
        <v>0</v>
      </c>
      <c r="J212" s="33" t="s">
        <v>846</v>
      </c>
      <c r="K212" s="33" t="s">
        <v>872</v>
      </c>
      <c r="L212" s="33">
        <v>-500</v>
      </c>
      <c r="M212" s="33"/>
      <c r="N212" s="33" t="str">
        <f t="shared" si="32"/>
        <v>Status(DamageDerate, -500)</v>
      </c>
      <c r="O212" s="33">
        <v>0</v>
      </c>
      <c r="P212" s="33">
        <v>0</v>
      </c>
      <c r="Q212" s="33"/>
      <c r="R212" s="34" t="b">
        <v>1</v>
      </c>
    </row>
    <row r="213" spans="1:18" x14ac:dyDescent="0.3">
      <c r="A213" s="196" t="s">
        <v>2046</v>
      </c>
      <c r="B213" s="33"/>
      <c r="C213" s="33"/>
      <c r="D213" s="33">
        <v>0</v>
      </c>
      <c r="E213" s="33">
        <v>1</v>
      </c>
      <c r="F213" s="33" t="s">
        <v>476</v>
      </c>
      <c r="G213" s="33" t="s">
        <v>477</v>
      </c>
      <c r="H213" s="33"/>
      <c r="I213" s="33">
        <v>0</v>
      </c>
      <c r="J213" s="33" t="s">
        <v>846</v>
      </c>
      <c r="K213" s="33" t="s">
        <v>872</v>
      </c>
      <c r="L213" s="33">
        <v>-500</v>
      </c>
      <c r="M213" s="33"/>
      <c r="N213" s="33" t="str">
        <f t="shared" si="32"/>
        <v>Status(DamageDerate, -500)</v>
      </c>
      <c r="O213" s="33">
        <v>0</v>
      </c>
      <c r="P213" s="33">
        <v>0</v>
      </c>
      <c r="Q213" s="33"/>
      <c r="R213" s="34" t="b">
        <v>1</v>
      </c>
    </row>
    <row r="214" spans="1:18" x14ac:dyDescent="0.3">
      <c r="A214" s="196" t="s">
        <v>2047</v>
      </c>
      <c r="B214" s="33"/>
      <c r="C214" s="33"/>
      <c r="D214" s="33">
        <v>0</v>
      </c>
      <c r="E214" s="33">
        <v>1</v>
      </c>
      <c r="F214" s="33" t="s">
        <v>476</v>
      </c>
      <c r="G214" s="33" t="s">
        <v>477</v>
      </c>
      <c r="H214" s="33"/>
      <c r="I214" s="33">
        <v>0</v>
      </c>
      <c r="J214" s="33" t="s">
        <v>846</v>
      </c>
      <c r="K214" s="33" t="s">
        <v>872</v>
      </c>
      <c r="L214" s="33">
        <v>-500</v>
      </c>
      <c r="M214" s="33"/>
      <c r="N214" s="33" t="str">
        <f t="shared" si="32"/>
        <v>Status(DamageDerate, -500)</v>
      </c>
      <c r="O214" s="33">
        <v>0</v>
      </c>
      <c r="P214" s="33">
        <v>0</v>
      </c>
      <c r="Q214" s="33"/>
      <c r="R214" s="34" t="b">
        <v>1</v>
      </c>
    </row>
    <row r="215" spans="1:18" x14ac:dyDescent="0.3">
      <c r="A215" s="196" t="s">
        <v>2048</v>
      </c>
      <c r="B215" s="33"/>
      <c r="C215" s="33"/>
      <c r="D215" s="33">
        <v>0</v>
      </c>
      <c r="E215" s="33">
        <v>1</v>
      </c>
      <c r="F215" s="33" t="s">
        <v>476</v>
      </c>
      <c r="G215" s="33" t="s">
        <v>477</v>
      </c>
      <c r="H215" s="33"/>
      <c r="I215" s="33">
        <v>0</v>
      </c>
      <c r="J215" s="33" t="s">
        <v>846</v>
      </c>
      <c r="K215" s="33" t="s">
        <v>872</v>
      </c>
      <c r="L215" s="33">
        <v>-500</v>
      </c>
      <c r="M215" s="33"/>
      <c r="N215" s="33" t="str">
        <f t="shared" si="32"/>
        <v>Status(DamageDerate, -500)</v>
      </c>
      <c r="O215" s="33">
        <v>0</v>
      </c>
      <c r="P215" s="33">
        <v>0</v>
      </c>
      <c r="Q215" s="33"/>
      <c r="R215" s="34" t="b">
        <v>1</v>
      </c>
    </row>
    <row r="216" spans="1:18" x14ac:dyDescent="0.3">
      <c r="A216" s="196" t="s">
        <v>2049</v>
      </c>
      <c r="B216" s="33"/>
      <c r="C216" s="33"/>
      <c r="D216" s="33">
        <v>0</v>
      </c>
      <c r="E216" s="33">
        <v>1</v>
      </c>
      <c r="F216" s="33" t="s">
        <v>476</v>
      </c>
      <c r="G216" s="33" t="s">
        <v>477</v>
      </c>
      <c r="H216" s="33"/>
      <c r="I216" s="33">
        <v>0</v>
      </c>
      <c r="J216" s="33" t="s">
        <v>846</v>
      </c>
      <c r="K216" s="33" t="s">
        <v>872</v>
      </c>
      <c r="L216" s="33">
        <v>-500</v>
      </c>
      <c r="M216" s="33"/>
      <c r="N216" s="33" t="str">
        <f t="shared" si="32"/>
        <v>Status(DamageDerate, -500)</v>
      </c>
      <c r="O216" s="33">
        <v>0</v>
      </c>
      <c r="P216" s="33">
        <v>0</v>
      </c>
      <c r="Q216" s="33"/>
      <c r="R216" s="34" t="b">
        <v>1</v>
      </c>
    </row>
    <row r="217" spans="1:18" x14ac:dyDescent="0.3">
      <c r="A217" s="197" t="s">
        <v>815</v>
      </c>
      <c r="B217" s="45" t="s">
        <v>816</v>
      </c>
      <c r="C217" s="45">
        <v>10000</v>
      </c>
      <c r="D217" s="45">
        <v>0</v>
      </c>
      <c r="E217" s="45"/>
      <c r="F217" s="45" t="s">
        <v>476</v>
      </c>
      <c r="G217" s="45" t="s">
        <v>477</v>
      </c>
      <c r="H217" s="45"/>
      <c r="I217" s="45">
        <v>0</v>
      </c>
      <c r="J217" s="45" t="s">
        <v>860</v>
      </c>
      <c r="K217" s="45" t="s">
        <v>928</v>
      </c>
      <c r="L217" s="45"/>
      <c r="M217" s="45"/>
      <c r="N217" s="45" t="str">
        <f t="shared" ref="N217:N264" si="33">J217&amp;"("&amp;IF(K217="","",K217)&amp;IF(L217="","",", "&amp;L217)&amp;IF(M217="","",", "&amp;M217)&amp;")"</f>
        <v>Active(GuildAssault.Passive.buff.buffeffect01.skilleffect)</v>
      </c>
      <c r="O217" s="45">
        <v>0</v>
      </c>
      <c r="P217" s="45">
        <v>0</v>
      </c>
      <c r="Q217" s="45"/>
      <c r="R217" s="46" t="b">
        <v>0</v>
      </c>
    </row>
    <row r="218" spans="1:18" x14ac:dyDescent="0.3">
      <c r="A218" s="197" t="s">
        <v>2209</v>
      </c>
      <c r="B218" s="45"/>
      <c r="C218" s="45"/>
      <c r="D218" s="45">
        <v>0</v>
      </c>
      <c r="E218" s="45"/>
      <c r="F218" s="45" t="s">
        <v>476</v>
      </c>
      <c r="G218" s="45" t="s">
        <v>477</v>
      </c>
      <c r="H218" s="45"/>
      <c r="I218" s="45">
        <v>0</v>
      </c>
      <c r="J218" s="45" t="s">
        <v>846</v>
      </c>
      <c r="K218" s="45" t="s">
        <v>2165</v>
      </c>
      <c r="L218" s="45">
        <v>400</v>
      </c>
      <c r="M218" s="45"/>
      <c r="N218" s="45" t="str">
        <f t="shared" si="33"/>
        <v>Status(DotDamageDerate, 400)</v>
      </c>
      <c r="O218" s="45">
        <v>0</v>
      </c>
      <c r="P218" s="45">
        <v>0</v>
      </c>
      <c r="Q218" s="45"/>
      <c r="R218" s="46" t="b">
        <v>0</v>
      </c>
    </row>
    <row r="219" spans="1:18" x14ac:dyDescent="0.3">
      <c r="A219" s="197" t="s">
        <v>593</v>
      </c>
      <c r="B219" s="45"/>
      <c r="C219" s="45"/>
      <c r="D219" s="45">
        <v>0</v>
      </c>
      <c r="E219" s="45">
        <v>1</v>
      </c>
      <c r="F219" s="45" t="s">
        <v>476</v>
      </c>
      <c r="G219" s="45" t="s">
        <v>477</v>
      </c>
      <c r="H219" s="45"/>
      <c r="I219" s="45">
        <v>0</v>
      </c>
      <c r="J219" s="45" t="s">
        <v>846</v>
      </c>
      <c r="K219" s="45" t="s">
        <v>929</v>
      </c>
      <c r="L219" s="204">
        <v>30</v>
      </c>
      <c r="M219" s="45"/>
      <c r="N219" s="45" t="str">
        <f t="shared" si="33"/>
        <v>Status(BaseAttack, 30)</v>
      </c>
      <c r="O219" s="45">
        <v>0</v>
      </c>
      <c r="P219" s="45">
        <v>0</v>
      </c>
      <c r="Q219" s="45"/>
      <c r="R219" s="46" t="b">
        <v>0</v>
      </c>
    </row>
    <row r="220" spans="1:18" x14ac:dyDescent="0.3">
      <c r="A220" s="197" t="s">
        <v>595</v>
      </c>
      <c r="B220" s="45"/>
      <c r="C220" s="45"/>
      <c r="D220" s="45">
        <v>0</v>
      </c>
      <c r="E220" s="45">
        <v>1</v>
      </c>
      <c r="F220" s="45" t="s">
        <v>476</v>
      </c>
      <c r="G220" s="45" t="s">
        <v>477</v>
      </c>
      <c r="H220" s="45"/>
      <c r="I220" s="45">
        <v>0</v>
      </c>
      <c r="J220" s="45" t="s">
        <v>846</v>
      </c>
      <c r="K220" s="45" t="s">
        <v>930</v>
      </c>
      <c r="L220" s="204">
        <v>215</v>
      </c>
      <c r="M220" s="45"/>
      <c r="N220" s="45" t="str">
        <f t="shared" si="33"/>
        <v>Status(BaseDefense, 215)</v>
      </c>
      <c r="O220" s="45">
        <v>0</v>
      </c>
      <c r="P220" s="45">
        <v>0</v>
      </c>
      <c r="Q220" s="45"/>
      <c r="R220" s="46" t="b">
        <v>0</v>
      </c>
    </row>
    <row r="221" spans="1:18" x14ac:dyDescent="0.3">
      <c r="A221" s="197" t="s">
        <v>597</v>
      </c>
      <c r="B221" s="45"/>
      <c r="C221" s="45"/>
      <c r="D221" s="45">
        <v>0</v>
      </c>
      <c r="E221" s="45">
        <v>1</v>
      </c>
      <c r="F221" s="45" t="s">
        <v>476</v>
      </c>
      <c r="G221" s="45" t="s">
        <v>477</v>
      </c>
      <c r="H221" s="45"/>
      <c r="I221" s="45">
        <v>0</v>
      </c>
      <c r="J221" s="45" t="s">
        <v>846</v>
      </c>
      <c r="K221" s="45" t="s">
        <v>857</v>
      </c>
      <c r="L221" s="204">
        <v>1</v>
      </c>
      <c r="M221" s="45"/>
      <c r="N221" s="45" t="str">
        <f t="shared" si="33"/>
        <v>Status(DamageRate, 1)</v>
      </c>
      <c r="O221" s="45">
        <v>0</v>
      </c>
      <c r="P221" s="45">
        <v>0</v>
      </c>
      <c r="Q221" s="45"/>
      <c r="R221" s="46" t="b">
        <v>0</v>
      </c>
    </row>
    <row r="222" spans="1:18" x14ac:dyDescent="0.3">
      <c r="A222" s="197" t="s">
        <v>3516</v>
      </c>
      <c r="B222" s="45"/>
      <c r="C222" s="45"/>
      <c r="D222" s="45">
        <v>0</v>
      </c>
      <c r="E222" s="45">
        <v>1</v>
      </c>
      <c r="F222" s="45" t="s">
        <v>476</v>
      </c>
      <c r="G222" s="45" t="s">
        <v>477</v>
      </c>
      <c r="H222" s="45"/>
      <c r="I222" s="45">
        <v>0</v>
      </c>
      <c r="J222" s="45" t="s">
        <v>501</v>
      </c>
      <c r="K222" s="45" t="s">
        <v>844</v>
      </c>
      <c r="L222" s="45">
        <v>200</v>
      </c>
      <c r="M222" s="45"/>
      <c r="N222" s="45" t="str">
        <f t="shared" si="33"/>
        <v>Burn(Attack, 200)</v>
      </c>
      <c r="O222" s="45">
        <v>0</v>
      </c>
      <c r="P222" s="45">
        <v>1000</v>
      </c>
      <c r="Q222" s="45"/>
      <c r="R222" s="46" t="b">
        <v>1</v>
      </c>
    </row>
    <row r="223" spans="1:18" x14ac:dyDescent="0.3">
      <c r="A223" s="197" t="s">
        <v>3517</v>
      </c>
      <c r="B223" s="45"/>
      <c r="C223" s="45"/>
      <c r="D223" s="45">
        <v>0</v>
      </c>
      <c r="E223" s="45">
        <v>1</v>
      </c>
      <c r="F223" s="45" t="s">
        <v>476</v>
      </c>
      <c r="G223" s="45" t="s">
        <v>477</v>
      </c>
      <c r="H223" s="45"/>
      <c r="I223" s="45">
        <v>0</v>
      </c>
      <c r="J223" s="45" t="s">
        <v>846</v>
      </c>
      <c r="K223" s="45" t="s">
        <v>897</v>
      </c>
      <c r="L223" s="45">
        <v>-200</v>
      </c>
      <c r="M223" s="45"/>
      <c r="N223" s="45" t="str">
        <f t="shared" ref="N223" si="34">J223&amp;"("&amp;IF(K223="","",K223)&amp;IF(L223="","",", "&amp;L223)&amp;IF(M223="","",", "&amp;M223)&amp;")"</f>
        <v>Status(ReceiveRecoveryRate, -200)</v>
      </c>
      <c r="O223" s="45">
        <v>0</v>
      </c>
      <c r="P223" s="45">
        <v>0</v>
      </c>
      <c r="Q223" s="45"/>
      <c r="R223" s="46" t="b">
        <v>1</v>
      </c>
    </row>
    <row r="224" spans="1:18" x14ac:dyDescent="0.3">
      <c r="A224" s="197" t="s">
        <v>600</v>
      </c>
      <c r="B224" s="45"/>
      <c r="C224" s="45"/>
      <c r="D224" s="45">
        <v>0</v>
      </c>
      <c r="E224" s="45">
        <v>1</v>
      </c>
      <c r="F224" s="45" t="s">
        <v>476</v>
      </c>
      <c r="G224" s="45" t="s">
        <v>477</v>
      </c>
      <c r="H224" s="45"/>
      <c r="I224" s="45">
        <v>0</v>
      </c>
      <c r="J224" s="45" t="s">
        <v>846</v>
      </c>
      <c r="K224" s="45" t="s">
        <v>852</v>
      </c>
      <c r="L224" s="45">
        <v>-500</v>
      </c>
      <c r="M224" s="45"/>
      <c r="N224" s="45" t="str">
        <f t="shared" si="33"/>
        <v>Status(AttackRatio, -500)</v>
      </c>
      <c r="O224" s="45">
        <v>0</v>
      </c>
      <c r="P224" s="45">
        <v>0</v>
      </c>
      <c r="Q224" s="45"/>
      <c r="R224" s="46" t="b">
        <v>1</v>
      </c>
    </row>
    <row r="225" spans="1:18" x14ac:dyDescent="0.3">
      <c r="A225" s="197" t="s">
        <v>602</v>
      </c>
      <c r="B225" s="45"/>
      <c r="C225" s="45"/>
      <c r="D225" s="45">
        <v>0</v>
      </c>
      <c r="E225" s="45">
        <v>1</v>
      </c>
      <c r="F225" s="45" t="s">
        <v>476</v>
      </c>
      <c r="G225" s="45" t="s">
        <v>477</v>
      </c>
      <c r="H225" s="45"/>
      <c r="I225" s="45">
        <v>0</v>
      </c>
      <c r="J225" s="45" t="s">
        <v>846</v>
      </c>
      <c r="K225" s="45" t="s">
        <v>852</v>
      </c>
      <c r="L225" s="45">
        <v>-500</v>
      </c>
      <c r="M225" s="45"/>
      <c r="N225" s="45" t="str">
        <f t="shared" si="33"/>
        <v>Status(AttackRatio, -500)</v>
      </c>
      <c r="O225" s="45">
        <v>0</v>
      </c>
      <c r="P225" s="45">
        <v>0</v>
      </c>
      <c r="Q225" s="45"/>
      <c r="R225" s="46" t="b">
        <v>1</v>
      </c>
    </row>
    <row r="226" spans="1:18" x14ac:dyDescent="0.3">
      <c r="A226" s="197" t="s">
        <v>604</v>
      </c>
      <c r="B226" s="45"/>
      <c r="C226" s="45"/>
      <c r="D226" s="45">
        <v>0</v>
      </c>
      <c r="E226" s="45">
        <v>1</v>
      </c>
      <c r="F226" s="45" t="s">
        <v>476</v>
      </c>
      <c r="G226" s="45" t="s">
        <v>477</v>
      </c>
      <c r="H226" s="45"/>
      <c r="I226" s="45">
        <v>0</v>
      </c>
      <c r="J226" s="45" t="s">
        <v>505</v>
      </c>
      <c r="K226" s="45" t="s">
        <v>844</v>
      </c>
      <c r="L226" s="45">
        <v>100</v>
      </c>
      <c r="M226" s="45"/>
      <c r="N226" s="45" t="str">
        <f t="shared" si="33"/>
        <v>Bleed(Attack, 100)</v>
      </c>
      <c r="O226" s="45">
        <v>0</v>
      </c>
      <c r="P226" s="45">
        <v>500</v>
      </c>
      <c r="Q226" s="45"/>
      <c r="R226" s="46" t="b">
        <v>1</v>
      </c>
    </row>
    <row r="227" spans="1:18" x14ac:dyDescent="0.3">
      <c r="A227" s="197" t="s">
        <v>607</v>
      </c>
      <c r="B227" s="45"/>
      <c r="C227" s="45"/>
      <c r="D227" s="45">
        <v>0</v>
      </c>
      <c r="E227" s="45">
        <v>1</v>
      </c>
      <c r="F227" s="45" t="s">
        <v>476</v>
      </c>
      <c r="G227" s="45" t="s">
        <v>477</v>
      </c>
      <c r="H227" s="45"/>
      <c r="I227" s="45">
        <v>0</v>
      </c>
      <c r="J227" s="45" t="s">
        <v>470</v>
      </c>
      <c r="K227" s="45" t="s">
        <v>885</v>
      </c>
      <c r="L227" s="45" t="s">
        <v>931</v>
      </c>
      <c r="M227" s="45"/>
      <c r="N227" s="45" t="str">
        <f t="shared" si="33"/>
        <v>Effect(OnHit, 1111401001.Passive.01.buff.buffeffect.skilleffect)</v>
      </c>
      <c r="O227" s="45">
        <v>0</v>
      </c>
      <c r="P227" s="45">
        <v>0</v>
      </c>
      <c r="Q227" s="45"/>
      <c r="R227" s="46" t="b">
        <v>0</v>
      </c>
    </row>
    <row r="228" spans="1:18" x14ac:dyDescent="0.3">
      <c r="A228" s="197" t="s">
        <v>609</v>
      </c>
      <c r="B228" s="45"/>
      <c r="C228" s="45"/>
      <c r="D228" s="45">
        <v>0</v>
      </c>
      <c r="E228" s="45">
        <v>1</v>
      </c>
      <c r="F228" s="45" t="s">
        <v>476</v>
      </c>
      <c r="G228" s="45" t="s">
        <v>477</v>
      </c>
      <c r="H228" s="45"/>
      <c r="I228" s="45">
        <v>0</v>
      </c>
      <c r="J228" s="45" t="s">
        <v>846</v>
      </c>
      <c r="K228" s="45" t="s">
        <v>3511</v>
      </c>
      <c r="L228" s="45">
        <v>800</v>
      </c>
      <c r="M228" s="45"/>
      <c r="N228" s="45" t="str">
        <f t="shared" si="33"/>
        <v>Status(CriticalDerate, 800)</v>
      </c>
      <c r="O228" s="45">
        <v>0</v>
      </c>
      <c r="P228" s="45">
        <v>0</v>
      </c>
      <c r="Q228" s="45"/>
      <c r="R228" s="46" t="b">
        <v>0</v>
      </c>
    </row>
    <row r="229" spans="1:18" x14ac:dyDescent="0.3">
      <c r="A229" s="197" t="s">
        <v>817</v>
      </c>
      <c r="B229" s="45" t="s">
        <v>487</v>
      </c>
      <c r="C229" s="45" t="s">
        <v>3510</v>
      </c>
      <c r="D229" s="45">
        <v>0</v>
      </c>
      <c r="E229" s="45">
        <v>1</v>
      </c>
      <c r="F229" s="45" t="s">
        <v>476</v>
      </c>
      <c r="G229" s="45" t="s">
        <v>477</v>
      </c>
      <c r="H229" s="45"/>
      <c r="I229" s="45">
        <v>0</v>
      </c>
      <c r="J229" s="45" t="s">
        <v>846</v>
      </c>
      <c r="K229" s="45" t="s">
        <v>872</v>
      </c>
      <c r="L229" s="45">
        <v>600</v>
      </c>
      <c r="M229" s="45"/>
      <c r="N229" s="45" t="str">
        <f t="shared" si="33"/>
        <v>Status(DamageDerate, 600)</v>
      </c>
      <c r="O229" s="45">
        <v>0</v>
      </c>
      <c r="P229" s="45">
        <v>0</v>
      </c>
      <c r="Q229" s="45"/>
      <c r="R229" s="46" t="b">
        <v>0</v>
      </c>
    </row>
    <row r="230" spans="1:18" x14ac:dyDescent="0.3">
      <c r="A230" s="197" t="s">
        <v>818</v>
      </c>
      <c r="B230" s="45" t="s">
        <v>500</v>
      </c>
      <c r="C230" s="45" t="s">
        <v>501</v>
      </c>
      <c r="D230" s="45">
        <v>0</v>
      </c>
      <c r="E230" s="45"/>
      <c r="F230" s="45" t="s">
        <v>476</v>
      </c>
      <c r="G230" s="45" t="s">
        <v>477</v>
      </c>
      <c r="H230" s="45"/>
      <c r="I230" s="45">
        <v>0</v>
      </c>
      <c r="J230" s="45" t="s">
        <v>860</v>
      </c>
      <c r="K230" s="45" t="str">
        <f t="shared" ref="K230:K234" si="35">$A230&amp;".skilleffect"</f>
        <v>1111401001.Passive.03.buff.buffeffect02.skilleffect</v>
      </c>
      <c r="L230" s="45"/>
      <c r="M230" s="45"/>
      <c r="N230" s="45" t="str">
        <f t="shared" si="33"/>
        <v>Active(1111401001.Passive.03.buff.buffeffect02.skilleffect)</v>
      </c>
      <c r="O230" s="45">
        <v>0</v>
      </c>
      <c r="P230" s="45">
        <v>0</v>
      </c>
      <c r="Q230" s="45"/>
      <c r="R230" s="46" t="b">
        <v>0</v>
      </c>
    </row>
    <row r="231" spans="1:18" x14ac:dyDescent="0.3">
      <c r="A231" s="197" t="s">
        <v>819</v>
      </c>
      <c r="B231" s="45" t="s">
        <v>1158</v>
      </c>
      <c r="C231" s="45" t="s">
        <v>503</v>
      </c>
      <c r="D231" s="45">
        <v>0</v>
      </c>
      <c r="E231" s="45"/>
      <c r="F231" s="45" t="s">
        <v>476</v>
      </c>
      <c r="G231" s="45" t="s">
        <v>477</v>
      </c>
      <c r="H231" s="45"/>
      <c r="I231" s="45">
        <v>0</v>
      </c>
      <c r="J231" s="45" t="s">
        <v>860</v>
      </c>
      <c r="K231" s="45" t="str">
        <f t="shared" si="35"/>
        <v>1111401001.Passive.03.buff.buffeffect03.skilleffect</v>
      </c>
      <c r="L231" s="45"/>
      <c r="M231" s="45"/>
      <c r="N231" s="45" t="str">
        <f t="shared" si="33"/>
        <v>Active(1111401001.Passive.03.buff.buffeffect03.skilleffect)</v>
      </c>
      <c r="O231" s="45">
        <v>0</v>
      </c>
      <c r="P231" s="45">
        <v>0</v>
      </c>
      <c r="Q231" s="45"/>
      <c r="R231" s="46" t="b">
        <v>0</v>
      </c>
    </row>
    <row r="232" spans="1:18" x14ac:dyDescent="0.3">
      <c r="A232" s="197" t="s">
        <v>820</v>
      </c>
      <c r="B232" s="45" t="s">
        <v>500</v>
      </c>
      <c r="C232" s="45" t="s">
        <v>505</v>
      </c>
      <c r="D232" s="45">
        <v>0</v>
      </c>
      <c r="E232" s="45"/>
      <c r="F232" s="45" t="s">
        <v>476</v>
      </c>
      <c r="G232" s="45" t="s">
        <v>477</v>
      </c>
      <c r="H232" s="45"/>
      <c r="I232" s="45">
        <v>0</v>
      </c>
      <c r="J232" s="45" t="s">
        <v>860</v>
      </c>
      <c r="K232" s="45" t="str">
        <f t="shared" si="35"/>
        <v>1111401001.Passive.03.buff.buffeffect04.skilleffect</v>
      </c>
      <c r="L232" s="45"/>
      <c r="M232" s="45"/>
      <c r="N232" s="45" t="str">
        <f t="shared" si="33"/>
        <v>Active(1111401001.Passive.03.buff.buffeffect04.skilleffect)</v>
      </c>
      <c r="O232" s="45">
        <v>0</v>
      </c>
      <c r="P232" s="45">
        <v>0</v>
      </c>
      <c r="Q232" s="45"/>
      <c r="R232" s="46" t="b">
        <v>0</v>
      </c>
    </row>
    <row r="233" spans="1:18" x14ac:dyDescent="0.3">
      <c r="A233" s="197" t="s">
        <v>3508</v>
      </c>
      <c r="B233" s="45" t="s">
        <v>500</v>
      </c>
      <c r="C233" s="45" t="s">
        <v>3507</v>
      </c>
      <c r="D233" s="45">
        <v>0</v>
      </c>
      <c r="E233" s="45"/>
      <c r="F233" s="45" t="s">
        <v>476</v>
      </c>
      <c r="G233" s="45" t="s">
        <v>477</v>
      </c>
      <c r="H233" s="45"/>
      <c r="I233" s="45">
        <v>0</v>
      </c>
      <c r="J233" s="45" t="s">
        <v>860</v>
      </c>
      <c r="K233" s="45" t="str">
        <f t="shared" si="35"/>
        <v>1111401001.Passive.03.buff.buffeffect05.skilleffect</v>
      </c>
      <c r="L233" s="45"/>
      <c r="M233" s="45"/>
      <c r="N233" s="45" t="str">
        <f t="shared" ref="N233:N234" si="36">J233&amp;"("&amp;IF(K233="","",K233)&amp;IF(L233="","",", "&amp;L233)&amp;IF(M233="","",", "&amp;M233)&amp;")"</f>
        <v>Active(1111401001.Passive.03.buff.buffeffect05.skilleffect)</v>
      </c>
      <c r="O233" s="45">
        <v>0</v>
      </c>
      <c r="P233" s="45">
        <v>0</v>
      </c>
      <c r="Q233" s="45"/>
      <c r="R233" s="46" t="b">
        <v>0</v>
      </c>
    </row>
    <row r="234" spans="1:18" x14ac:dyDescent="0.3">
      <c r="A234" s="197" t="s">
        <v>3509</v>
      </c>
      <c r="B234" s="45" t="s">
        <v>500</v>
      </c>
      <c r="C234" s="45" t="s">
        <v>2156</v>
      </c>
      <c r="D234" s="45">
        <v>0</v>
      </c>
      <c r="E234" s="45"/>
      <c r="F234" s="45" t="s">
        <v>476</v>
      </c>
      <c r="G234" s="45" t="s">
        <v>477</v>
      </c>
      <c r="H234" s="45"/>
      <c r="I234" s="45">
        <v>0</v>
      </c>
      <c r="J234" s="45" t="s">
        <v>860</v>
      </c>
      <c r="K234" s="45" t="str">
        <f t="shared" si="35"/>
        <v>1111401001.Passive.03.buff.buffeffect06.skilleffect</v>
      </c>
      <c r="L234" s="45"/>
      <c r="M234" s="45"/>
      <c r="N234" s="45" t="str">
        <f t="shared" si="36"/>
        <v>Active(1111401001.Passive.03.buff.buffeffect06.skilleffect)</v>
      </c>
      <c r="O234" s="45">
        <v>0</v>
      </c>
      <c r="P234" s="45">
        <v>0</v>
      </c>
      <c r="Q234" s="45"/>
      <c r="R234" s="46" t="b">
        <v>0</v>
      </c>
    </row>
    <row r="235" spans="1:18" x14ac:dyDescent="0.3">
      <c r="A235" s="197" t="s">
        <v>612</v>
      </c>
      <c r="B235" s="45"/>
      <c r="C235" s="45"/>
      <c r="D235" s="45">
        <v>0</v>
      </c>
      <c r="E235" s="45">
        <v>1</v>
      </c>
      <c r="F235" s="45" t="s">
        <v>476</v>
      </c>
      <c r="G235" s="45" t="s">
        <v>477</v>
      </c>
      <c r="H235" s="45"/>
      <c r="I235" s="45">
        <v>0</v>
      </c>
      <c r="J235" s="45" t="s">
        <v>846</v>
      </c>
      <c r="K235" s="45" t="s">
        <v>872</v>
      </c>
      <c r="L235" s="45">
        <v>-500</v>
      </c>
      <c r="M235" s="45"/>
      <c r="N235" s="45" t="str">
        <f t="shared" si="33"/>
        <v>Status(DamageDerate, -500)</v>
      </c>
      <c r="O235" s="45">
        <v>0</v>
      </c>
      <c r="P235" s="45">
        <v>0</v>
      </c>
      <c r="Q235" s="45"/>
      <c r="R235" s="46" t="b">
        <v>1</v>
      </c>
    </row>
    <row r="236" spans="1:18" x14ac:dyDescent="0.3">
      <c r="A236" s="197" t="s">
        <v>3499</v>
      </c>
      <c r="B236" s="45" t="s">
        <v>500</v>
      </c>
      <c r="C236" s="45" t="s">
        <v>501</v>
      </c>
      <c r="D236" s="45">
        <v>0</v>
      </c>
      <c r="E236" s="45"/>
      <c r="F236" s="45" t="s">
        <v>476</v>
      </c>
      <c r="G236" s="45" t="s">
        <v>477</v>
      </c>
      <c r="H236" s="45"/>
      <c r="I236" s="45">
        <v>0</v>
      </c>
      <c r="J236" s="45" t="s">
        <v>860</v>
      </c>
      <c r="K236" s="45" t="str">
        <f t="shared" ref="K236:K240" si="37">$A236&amp;".skilleffect"</f>
        <v>1111401001.Passive.04.buff.buffeffect01.skilleffect</v>
      </c>
      <c r="L236" s="45"/>
      <c r="M236" s="45"/>
      <c r="N236" s="45" t="str">
        <f t="shared" ref="N236:N241" si="38">J236&amp;"("&amp;IF(K236="","",K236)&amp;IF(L236="","",", "&amp;L236)&amp;IF(M236="","",", "&amp;M236)&amp;")"</f>
        <v>Active(1111401001.Passive.04.buff.buffeffect01.skilleffect)</v>
      </c>
      <c r="O236" s="45">
        <v>0</v>
      </c>
      <c r="P236" s="45">
        <v>0</v>
      </c>
      <c r="Q236" s="45"/>
      <c r="R236" s="46" t="b">
        <v>0</v>
      </c>
    </row>
    <row r="237" spans="1:18" x14ac:dyDescent="0.3">
      <c r="A237" s="197" t="s">
        <v>3500</v>
      </c>
      <c r="B237" s="45" t="s">
        <v>500</v>
      </c>
      <c r="C237" s="45" t="s">
        <v>503</v>
      </c>
      <c r="D237" s="45">
        <v>0</v>
      </c>
      <c r="E237" s="45"/>
      <c r="F237" s="45" t="s">
        <v>476</v>
      </c>
      <c r="G237" s="45" t="s">
        <v>477</v>
      </c>
      <c r="H237" s="45"/>
      <c r="I237" s="45">
        <v>0</v>
      </c>
      <c r="J237" s="45" t="s">
        <v>860</v>
      </c>
      <c r="K237" s="45" t="str">
        <f t="shared" si="37"/>
        <v>1111401001.Passive.04.buff.buffeffect02.skilleffect</v>
      </c>
      <c r="L237" s="45"/>
      <c r="M237" s="45"/>
      <c r="N237" s="45" t="str">
        <f t="shared" si="38"/>
        <v>Active(1111401001.Passive.04.buff.buffeffect02.skilleffect)</v>
      </c>
      <c r="O237" s="45">
        <v>0</v>
      </c>
      <c r="P237" s="45">
        <v>0</v>
      </c>
      <c r="Q237" s="45"/>
      <c r="R237" s="46" t="b">
        <v>0</v>
      </c>
    </row>
    <row r="238" spans="1:18" x14ac:dyDescent="0.3">
      <c r="A238" s="197" t="s">
        <v>3501</v>
      </c>
      <c r="B238" s="45" t="s">
        <v>500</v>
      </c>
      <c r="C238" s="45" t="s">
        <v>505</v>
      </c>
      <c r="D238" s="45">
        <v>0</v>
      </c>
      <c r="E238" s="45"/>
      <c r="F238" s="45" t="s">
        <v>476</v>
      </c>
      <c r="G238" s="45" t="s">
        <v>477</v>
      </c>
      <c r="H238" s="45"/>
      <c r="I238" s="45">
        <v>0</v>
      </c>
      <c r="J238" s="45" t="s">
        <v>860</v>
      </c>
      <c r="K238" s="45" t="str">
        <f t="shared" si="37"/>
        <v>1111401001.Passive.04.buff.buffeffect03.skilleffect</v>
      </c>
      <c r="L238" s="45"/>
      <c r="M238" s="45"/>
      <c r="N238" s="45" t="str">
        <f t="shared" si="38"/>
        <v>Active(1111401001.Passive.04.buff.buffeffect03.skilleffect)</v>
      </c>
      <c r="O238" s="45">
        <v>0</v>
      </c>
      <c r="P238" s="45">
        <v>0</v>
      </c>
      <c r="Q238" s="45"/>
      <c r="R238" s="46" t="b">
        <v>0</v>
      </c>
    </row>
    <row r="239" spans="1:18" x14ac:dyDescent="0.3">
      <c r="A239" s="197" t="s">
        <v>3502</v>
      </c>
      <c r="B239" s="45" t="s">
        <v>500</v>
      </c>
      <c r="C239" s="45" t="s">
        <v>3507</v>
      </c>
      <c r="D239" s="45">
        <v>0</v>
      </c>
      <c r="E239" s="45"/>
      <c r="F239" s="45" t="s">
        <v>476</v>
      </c>
      <c r="G239" s="45" t="s">
        <v>477</v>
      </c>
      <c r="H239" s="45"/>
      <c r="I239" s="45">
        <v>0</v>
      </c>
      <c r="J239" s="45" t="s">
        <v>860</v>
      </c>
      <c r="K239" s="45" t="str">
        <f t="shared" si="37"/>
        <v>1111401001.Passive.04.buff.buffeffect04.skilleffect</v>
      </c>
      <c r="L239" s="45"/>
      <c r="M239" s="45"/>
      <c r="N239" s="45" t="str">
        <f t="shared" si="38"/>
        <v>Active(1111401001.Passive.04.buff.buffeffect04.skilleffect)</v>
      </c>
      <c r="O239" s="45">
        <v>0</v>
      </c>
      <c r="P239" s="45">
        <v>0</v>
      </c>
      <c r="Q239" s="45"/>
      <c r="R239" s="46" t="b">
        <v>0</v>
      </c>
    </row>
    <row r="240" spans="1:18" x14ac:dyDescent="0.3">
      <c r="A240" s="197" t="s">
        <v>3506</v>
      </c>
      <c r="B240" s="45" t="s">
        <v>500</v>
      </c>
      <c r="C240" s="45" t="s">
        <v>2156</v>
      </c>
      <c r="D240" s="45">
        <v>0</v>
      </c>
      <c r="E240" s="45"/>
      <c r="F240" s="45" t="s">
        <v>476</v>
      </c>
      <c r="G240" s="45" t="s">
        <v>477</v>
      </c>
      <c r="H240" s="45"/>
      <c r="I240" s="45">
        <v>0</v>
      </c>
      <c r="J240" s="45" t="s">
        <v>860</v>
      </c>
      <c r="K240" s="45" t="str">
        <f t="shared" si="37"/>
        <v>1111401001.Passive.04.buff.buffeffect05.skilleffect</v>
      </c>
      <c r="L240" s="45"/>
      <c r="M240" s="45"/>
      <c r="N240" s="45" t="str">
        <f t="shared" ref="N240" si="39">J240&amp;"("&amp;IF(K240="","",K240)&amp;IF(L240="","",", "&amp;L240)&amp;IF(M240="","",", "&amp;M240)&amp;")"</f>
        <v>Active(1111401001.Passive.04.buff.buffeffect05.skilleffect)</v>
      </c>
      <c r="O240" s="45">
        <v>0</v>
      </c>
      <c r="P240" s="45">
        <v>0</v>
      </c>
      <c r="Q240" s="45"/>
      <c r="R240" s="46" t="b">
        <v>0</v>
      </c>
    </row>
    <row r="241" spans="1:18" x14ac:dyDescent="0.3">
      <c r="A241" s="197" t="s">
        <v>3503</v>
      </c>
      <c r="B241" s="45"/>
      <c r="C241" s="45"/>
      <c r="D241" s="45">
        <v>0</v>
      </c>
      <c r="E241" s="45">
        <v>1</v>
      </c>
      <c r="F241" s="45" t="s">
        <v>476</v>
      </c>
      <c r="G241" s="45" t="s">
        <v>477</v>
      </c>
      <c r="H241" s="45"/>
      <c r="I241" s="45">
        <v>0</v>
      </c>
      <c r="J241" s="45" t="s">
        <v>846</v>
      </c>
      <c r="K241" s="45" t="s">
        <v>872</v>
      </c>
      <c r="L241" s="45">
        <v>800</v>
      </c>
      <c r="M241" s="45"/>
      <c r="N241" s="45" t="str">
        <f t="shared" si="38"/>
        <v>Status(DamageDerate, 800)</v>
      </c>
      <c r="O241" s="45">
        <v>0</v>
      </c>
      <c r="P241" s="45">
        <v>0</v>
      </c>
      <c r="Q241" s="45"/>
      <c r="R241" s="46" t="b">
        <v>1</v>
      </c>
    </row>
    <row r="242" spans="1:18" x14ac:dyDescent="0.3">
      <c r="A242" s="198" t="s">
        <v>821</v>
      </c>
      <c r="B242" s="113"/>
      <c r="C242" s="113"/>
      <c r="D242" s="113">
        <v>0</v>
      </c>
      <c r="E242" s="113">
        <v>1</v>
      </c>
      <c r="F242" s="113" t="s">
        <v>476</v>
      </c>
      <c r="G242" s="113" t="s">
        <v>477</v>
      </c>
      <c r="H242" s="113"/>
      <c r="I242" s="113">
        <v>0</v>
      </c>
      <c r="J242" s="113" t="s">
        <v>860</v>
      </c>
      <c r="K242" s="113" t="s">
        <v>932</v>
      </c>
      <c r="L242" s="113"/>
      <c r="M242" s="113"/>
      <c r="N242" s="113" t="str">
        <f t="shared" si="33"/>
        <v>Active(1111401002.Passive.buff.buffeffect.skilleffect01)</v>
      </c>
      <c r="O242" s="113">
        <v>0</v>
      </c>
      <c r="P242" s="113">
        <v>0</v>
      </c>
      <c r="Q242" s="113"/>
      <c r="R242" s="39" t="b">
        <v>1</v>
      </c>
    </row>
    <row r="243" spans="1:18" x14ac:dyDescent="0.3">
      <c r="A243" s="198" t="s">
        <v>822</v>
      </c>
      <c r="B243" s="113" t="s">
        <v>487</v>
      </c>
      <c r="C243" s="113" t="s">
        <v>615</v>
      </c>
      <c r="D243" s="113">
        <v>5000</v>
      </c>
      <c r="E243" s="113"/>
      <c r="F243" s="113" t="s">
        <v>476</v>
      </c>
      <c r="G243" s="113" t="s">
        <v>477</v>
      </c>
      <c r="H243" s="113"/>
      <c r="I243" s="113">
        <v>0</v>
      </c>
      <c r="J243" s="113" t="s">
        <v>860</v>
      </c>
      <c r="K243" s="113" t="s">
        <v>933</v>
      </c>
      <c r="L243" s="113"/>
      <c r="M243" s="113"/>
      <c r="N243" s="113" t="str">
        <f t="shared" si="33"/>
        <v>Active(1111401002.Passive.buff.buffeffect.skilleffect02)</v>
      </c>
      <c r="O243" s="113">
        <v>0</v>
      </c>
      <c r="P243" s="113">
        <v>0</v>
      </c>
      <c r="Q243" s="113"/>
      <c r="R243" s="39" t="b">
        <v>1</v>
      </c>
    </row>
    <row r="244" spans="1:18" x14ac:dyDescent="0.3">
      <c r="A244" s="198" t="s">
        <v>618</v>
      </c>
      <c r="B244" s="113" t="s">
        <v>487</v>
      </c>
      <c r="C244" s="113" t="s">
        <v>823</v>
      </c>
      <c r="D244" s="113">
        <v>0</v>
      </c>
      <c r="E244" s="113">
        <v>1</v>
      </c>
      <c r="F244" s="113" t="s">
        <v>476</v>
      </c>
      <c r="G244" s="113" t="s">
        <v>477</v>
      </c>
      <c r="H244" s="113"/>
      <c r="I244" s="113">
        <v>0</v>
      </c>
      <c r="J244" s="113" t="s">
        <v>860</v>
      </c>
      <c r="K244" s="113" t="s">
        <v>934</v>
      </c>
      <c r="L244" s="113"/>
      <c r="M244" s="113"/>
      <c r="N244" s="113" t="str">
        <f t="shared" si="33"/>
        <v>Active(1111401002.summon.end.skilleffect)</v>
      </c>
      <c r="O244" s="113">
        <v>0</v>
      </c>
      <c r="P244" s="113">
        <v>0</v>
      </c>
      <c r="Q244" s="113"/>
      <c r="R244" s="39" t="b">
        <v>1</v>
      </c>
    </row>
    <row r="245" spans="1:18" x14ac:dyDescent="0.3">
      <c r="A245" s="198" t="s">
        <v>616</v>
      </c>
      <c r="B245" s="113"/>
      <c r="C245" s="113"/>
      <c r="D245" s="113">
        <v>0</v>
      </c>
      <c r="E245" s="113">
        <v>1</v>
      </c>
      <c r="F245" s="113" t="s">
        <v>476</v>
      </c>
      <c r="G245" s="113" t="s">
        <v>477</v>
      </c>
      <c r="H245" s="113"/>
      <c r="I245" s="113">
        <v>0</v>
      </c>
      <c r="J245" s="113" t="s">
        <v>862</v>
      </c>
      <c r="K245" s="113" t="s">
        <v>863</v>
      </c>
      <c r="L245" s="113">
        <v>100</v>
      </c>
      <c r="M245" s="113"/>
      <c r="N245" s="113" t="str">
        <f t="shared" si="33"/>
        <v>EffectImmune(Damage, 100)</v>
      </c>
      <c r="O245" s="113">
        <v>1</v>
      </c>
      <c r="P245" s="113">
        <v>0</v>
      </c>
      <c r="Q245" s="113"/>
      <c r="R245" s="39" t="b">
        <v>1</v>
      </c>
    </row>
    <row r="246" spans="1:18" x14ac:dyDescent="0.3">
      <c r="A246" s="199" t="s">
        <v>824</v>
      </c>
      <c r="B246" s="131"/>
      <c r="C246" s="131"/>
      <c r="D246" s="131">
        <v>0</v>
      </c>
      <c r="E246" s="131">
        <v>1</v>
      </c>
      <c r="F246" s="131" t="s">
        <v>476</v>
      </c>
      <c r="G246" s="131" t="s">
        <v>477</v>
      </c>
      <c r="H246" s="131"/>
      <c r="I246" s="131">
        <v>0</v>
      </c>
      <c r="J246" s="131" t="s">
        <v>860</v>
      </c>
      <c r="K246" s="131" t="s">
        <v>935</v>
      </c>
      <c r="L246" s="131"/>
      <c r="M246" s="131"/>
      <c r="N246" s="131" t="str">
        <f t="shared" si="33"/>
        <v>Active(1111401003.Passive.buff.buffeffect.skilleffect01)</v>
      </c>
      <c r="O246" s="131">
        <v>0</v>
      </c>
      <c r="P246" s="131">
        <v>0</v>
      </c>
      <c r="Q246" s="131"/>
      <c r="R246" s="132" t="b">
        <v>1</v>
      </c>
    </row>
    <row r="247" spans="1:18" x14ac:dyDescent="0.3">
      <c r="A247" s="199" t="s">
        <v>825</v>
      </c>
      <c r="B247" s="131" t="s">
        <v>487</v>
      </c>
      <c r="C247" s="131" t="s">
        <v>624</v>
      </c>
      <c r="D247" s="131">
        <v>5000</v>
      </c>
      <c r="E247" s="131"/>
      <c r="F247" s="131" t="s">
        <v>476</v>
      </c>
      <c r="G247" s="131" t="s">
        <v>477</v>
      </c>
      <c r="H247" s="131"/>
      <c r="I247" s="131">
        <v>0</v>
      </c>
      <c r="J247" s="131" t="s">
        <v>860</v>
      </c>
      <c r="K247" s="131" t="s">
        <v>936</v>
      </c>
      <c r="L247" s="131"/>
      <c r="M247" s="131"/>
      <c r="N247" s="131" t="str">
        <f t="shared" si="33"/>
        <v>Active(1111401003.Passive.buff.buffeffect.skilleffect02)</v>
      </c>
      <c r="O247" s="131">
        <v>0</v>
      </c>
      <c r="P247" s="131">
        <v>0</v>
      </c>
      <c r="Q247" s="131"/>
      <c r="R247" s="132" t="b">
        <v>1</v>
      </c>
    </row>
    <row r="248" spans="1:18" x14ac:dyDescent="0.3">
      <c r="A248" s="199" t="s">
        <v>627</v>
      </c>
      <c r="B248" s="131" t="s">
        <v>487</v>
      </c>
      <c r="C248" s="131" t="s">
        <v>826</v>
      </c>
      <c r="D248" s="131">
        <v>0</v>
      </c>
      <c r="E248" s="131">
        <v>1</v>
      </c>
      <c r="F248" s="131" t="s">
        <v>476</v>
      </c>
      <c r="G248" s="131" t="s">
        <v>477</v>
      </c>
      <c r="H248" s="131"/>
      <c r="I248" s="131">
        <v>0</v>
      </c>
      <c r="J248" s="131" t="s">
        <v>860</v>
      </c>
      <c r="K248" s="131" t="s">
        <v>937</v>
      </c>
      <c r="L248" s="131"/>
      <c r="M248" s="131"/>
      <c r="N248" s="131" t="str">
        <f t="shared" si="33"/>
        <v>Active(1111401003.summon.end.skilleffect)</v>
      </c>
      <c r="O248" s="131">
        <v>0</v>
      </c>
      <c r="P248" s="131">
        <v>0</v>
      </c>
      <c r="Q248" s="131"/>
      <c r="R248" s="132" t="b">
        <v>1</v>
      </c>
    </row>
    <row r="249" spans="1:18" x14ac:dyDescent="0.3">
      <c r="A249" s="199" t="s">
        <v>625</v>
      </c>
      <c r="B249" s="131"/>
      <c r="C249" s="131"/>
      <c r="D249" s="131">
        <v>0</v>
      </c>
      <c r="E249" s="131">
        <v>1</v>
      </c>
      <c r="F249" s="131" t="s">
        <v>476</v>
      </c>
      <c r="G249" s="131" t="s">
        <v>477</v>
      </c>
      <c r="H249" s="131"/>
      <c r="I249" s="131">
        <v>0</v>
      </c>
      <c r="J249" s="131" t="s">
        <v>862</v>
      </c>
      <c r="K249" s="131" t="s">
        <v>863</v>
      </c>
      <c r="L249" s="131">
        <v>100</v>
      </c>
      <c r="M249" s="131"/>
      <c r="N249" s="131" t="str">
        <f t="shared" si="33"/>
        <v>EffectImmune(Damage, 100)</v>
      </c>
      <c r="O249" s="131">
        <v>1</v>
      </c>
      <c r="P249" s="131">
        <v>0</v>
      </c>
      <c r="Q249" s="131"/>
      <c r="R249" s="132" t="b">
        <v>1</v>
      </c>
    </row>
    <row r="250" spans="1:18" x14ac:dyDescent="0.3">
      <c r="A250" s="198" t="s">
        <v>629</v>
      </c>
      <c r="B250" s="113"/>
      <c r="C250" s="113"/>
      <c r="D250" s="113">
        <v>0</v>
      </c>
      <c r="E250" s="113">
        <v>1</v>
      </c>
      <c r="F250" s="113" t="s">
        <v>476</v>
      </c>
      <c r="G250" s="113" t="s">
        <v>477</v>
      </c>
      <c r="H250" s="113"/>
      <c r="I250" s="113">
        <v>0</v>
      </c>
      <c r="J250" s="113" t="s">
        <v>862</v>
      </c>
      <c r="K250" s="113" t="s">
        <v>863</v>
      </c>
      <c r="L250" s="113">
        <v>100</v>
      </c>
      <c r="M250" s="113"/>
      <c r="N250" s="113" t="str">
        <f t="shared" si="33"/>
        <v>EffectImmune(Damage, 100)</v>
      </c>
      <c r="O250" s="113">
        <v>1</v>
      </c>
      <c r="P250" s="113">
        <v>0</v>
      </c>
      <c r="Q250" s="113"/>
      <c r="R250" s="39" t="b">
        <v>1</v>
      </c>
    </row>
    <row r="251" spans="1:18" x14ac:dyDescent="0.3">
      <c r="A251" s="198" t="s">
        <v>1109</v>
      </c>
      <c r="B251" s="113"/>
      <c r="C251" s="113"/>
      <c r="D251" s="113">
        <v>0</v>
      </c>
      <c r="E251" s="113">
        <v>1</v>
      </c>
      <c r="F251" s="113" t="s">
        <v>476</v>
      </c>
      <c r="G251" s="113" t="s">
        <v>477</v>
      </c>
      <c r="H251" s="113"/>
      <c r="I251" s="113">
        <v>0</v>
      </c>
      <c r="J251" s="113" t="s">
        <v>860</v>
      </c>
      <c r="K251" s="113" t="s">
        <v>1110</v>
      </c>
      <c r="L251" s="113"/>
      <c r="M251" s="113"/>
      <c r="N251" s="113" t="str">
        <f t="shared" ref="N251:N254" si="40">J251&amp;"("&amp;IF(K251="","",K251)&amp;IF(L251="","",", "&amp;L251)&amp;IF(M251="","",", "&amp;M251)&amp;")"</f>
        <v>Active(1111401004.Passive.buff.buffeffect.skilleffect01)</v>
      </c>
      <c r="O251" s="113">
        <v>0</v>
      </c>
      <c r="P251" s="113">
        <v>0</v>
      </c>
      <c r="Q251" s="113"/>
      <c r="R251" s="39" t="b">
        <v>1</v>
      </c>
    </row>
    <row r="252" spans="1:18" x14ac:dyDescent="0.3">
      <c r="A252" s="198" t="s">
        <v>1111</v>
      </c>
      <c r="B252" s="113" t="s">
        <v>487</v>
      </c>
      <c r="C252" s="113" t="s">
        <v>1105</v>
      </c>
      <c r="D252" s="113">
        <v>5000</v>
      </c>
      <c r="E252" s="113"/>
      <c r="F252" s="113" t="s">
        <v>476</v>
      </c>
      <c r="G252" s="113" t="s">
        <v>477</v>
      </c>
      <c r="H252" s="113"/>
      <c r="I252" s="113">
        <v>0</v>
      </c>
      <c r="J252" s="113" t="s">
        <v>860</v>
      </c>
      <c r="K252" s="113" t="s">
        <v>1112</v>
      </c>
      <c r="L252" s="113"/>
      <c r="M252" s="113"/>
      <c r="N252" s="113" t="str">
        <f t="shared" si="40"/>
        <v>Active(1111401004.Passive.buff.buffeffect.skilleffect02)</v>
      </c>
      <c r="O252" s="113">
        <v>0</v>
      </c>
      <c r="P252" s="113">
        <v>0</v>
      </c>
      <c r="Q252" s="113"/>
      <c r="R252" s="39" t="b">
        <v>1</v>
      </c>
    </row>
    <row r="253" spans="1:18" x14ac:dyDescent="0.3">
      <c r="A253" s="198" t="s">
        <v>1108</v>
      </c>
      <c r="B253" s="113" t="s">
        <v>487</v>
      </c>
      <c r="C253" s="113" t="s">
        <v>1113</v>
      </c>
      <c r="D253" s="113">
        <v>0</v>
      </c>
      <c r="E253" s="113">
        <v>1</v>
      </c>
      <c r="F253" s="113" t="s">
        <v>476</v>
      </c>
      <c r="G253" s="113" t="s">
        <v>477</v>
      </c>
      <c r="H253" s="113"/>
      <c r="I253" s="113">
        <v>0</v>
      </c>
      <c r="J253" s="113" t="s">
        <v>860</v>
      </c>
      <c r="K253" s="113" t="s">
        <v>1114</v>
      </c>
      <c r="L253" s="113"/>
      <c r="M253" s="113"/>
      <c r="N253" s="113" t="str">
        <f t="shared" si="40"/>
        <v>Active(1111401004.summon.end.skilleffect)</v>
      </c>
      <c r="O253" s="113">
        <v>0</v>
      </c>
      <c r="P253" s="113">
        <v>0</v>
      </c>
      <c r="Q253" s="113"/>
      <c r="R253" s="39" t="b">
        <v>1</v>
      </c>
    </row>
    <row r="254" spans="1:18" x14ac:dyDescent="0.3">
      <c r="A254" s="198" t="s">
        <v>1106</v>
      </c>
      <c r="B254" s="113"/>
      <c r="C254" s="113"/>
      <c r="D254" s="113">
        <v>0</v>
      </c>
      <c r="E254" s="113">
        <v>1</v>
      </c>
      <c r="F254" s="113" t="s">
        <v>476</v>
      </c>
      <c r="G254" s="113" t="s">
        <v>477</v>
      </c>
      <c r="H254" s="113"/>
      <c r="I254" s="113">
        <v>0</v>
      </c>
      <c r="J254" s="113" t="s">
        <v>862</v>
      </c>
      <c r="K254" s="113" t="s">
        <v>863</v>
      </c>
      <c r="L254" s="113">
        <v>100</v>
      </c>
      <c r="M254" s="113"/>
      <c r="N254" s="113" t="str">
        <f t="shared" si="40"/>
        <v>EffectImmune(Damage, 100)</v>
      </c>
      <c r="O254" s="113">
        <v>1</v>
      </c>
      <c r="P254" s="113">
        <v>0</v>
      </c>
      <c r="Q254" s="113"/>
      <c r="R254" s="39" t="b">
        <v>1</v>
      </c>
    </row>
    <row r="255" spans="1:18" x14ac:dyDescent="0.3">
      <c r="A255" s="195" t="s">
        <v>827</v>
      </c>
      <c r="B255" s="58" t="s">
        <v>816</v>
      </c>
      <c r="C255" s="58">
        <v>10000</v>
      </c>
      <c r="D255" s="58">
        <v>0</v>
      </c>
      <c r="E255" s="58"/>
      <c r="F255" s="58" t="s">
        <v>476</v>
      </c>
      <c r="G255" s="58" t="s">
        <v>477</v>
      </c>
      <c r="H255" s="58"/>
      <c r="I255" s="58">
        <v>0</v>
      </c>
      <c r="J255" s="58" t="s">
        <v>860</v>
      </c>
      <c r="K255" s="58" t="s">
        <v>938</v>
      </c>
      <c r="L255" s="58"/>
      <c r="M255" s="58"/>
      <c r="N255" s="58" t="str">
        <f t="shared" si="33"/>
        <v>Active(GuildOperation.Normal.buff.buffeffect.skilleffect)</v>
      </c>
      <c r="O255" s="58">
        <v>0</v>
      </c>
      <c r="P255" s="58">
        <v>0</v>
      </c>
      <c r="Q255" s="45"/>
      <c r="R255" s="46" t="b">
        <v>0</v>
      </c>
    </row>
    <row r="256" spans="1:18" x14ac:dyDescent="0.3">
      <c r="A256" s="195" t="s">
        <v>828</v>
      </c>
      <c r="B256" s="58" t="s">
        <v>816</v>
      </c>
      <c r="C256" s="58">
        <v>100000</v>
      </c>
      <c r="D256" s="58">
        <v>0</v>
      </c>
      <c r="E256" s="58"/>
      <c r="F256" s="58" t="s">
        <v>476</v>
      </c>
      <c r="G256" s="58" t="s">
        <v>477</v>
      </c>
      <c r="H256" s="58"/>
      <c r="I256" s="58">
        <v>0</v>
      </c>
      <c r="J256" s="58" t="s">
        <v>860</v>
      </c>
      <c r="K256" s="58" t="s">
        <v>939</v>
      </c>
      <c r="L256" s="58"/>
      <c r="M256" s="58"/>
      <c r="N256" s="58" t="str">
        <f t="shared" si="33"/>
        <v>Active(GuildOperation.Normal.buff.buffeffect.cri.skilleffect)</v>
      </c>
      <c r="O256" s="58">
        <v>0</v>
      </c>
      <c r="P256" s="58">
        <v>0</v>
      </c>
      <c r="Q256" s="45"/>
      <c r="R256" s="46" t="b">
        <v>0</v>
      </c>
    </row>
    <row r="257" spans="1:18" x14ac:dyDescent="0.3">
      <c r="A257" s="194" t="s">
        <v>829</v>
      </c>
      <c r="B257" s="104" t="s">
        <v>816</v>
      </c>
      <c r="C257" s="104">
        <v>10000</v>
      </c>
      <c r="D257" s="104">
        <v>0</v>
      </c>
      <c r="E257" s="104"/>
      <c r="F257" s="104" t="s">
        <v>476</v>
      </c>
      <c r="G257" s="104" t="s">
        <v>477</v>
      </c>
      <c r="H257" s="104"/>
      <c r="I257" s="104">
        <v>0</v>
      </c>
      <c r="J257" s="104" t="s">
        <v>860</v>
      </c>
      <c r="K257" s="104" t="s">
        <v>940</v>
      </c>
      <c r="L257" s="104"/>
      <c r="M257" s="104"/>
      <c r="N257" s="104" t="str">
        <f t="shared" si="33"/>
        <v>Active(GuildOperation.Hard.buff.buffeffect.skilleffect)</v>
      </c>
      <c r="O257" s="104">
        <v>0</v>
      </c>
      <c r="P257" s="104">
        <v>0</v>
      </c>
      <c r="Q257" s="45"/>
      <c r="R257" s="46" t="b">
        <v>0</v>
      </c>
    </row>
    <row r="258" spans="1:18" x14ac:dyDescent="0.3">
      <c r="A258" s="194" t="s">
        <v>830</v>
      </c>
      <c r="B258" s="104" t="s">
        <v>816</v>
      </c>
      <c r="C258" s="104">
        <v>100000</v>
      </c>
      <c r="D258" s="104">
        <v>0</v>
      </c>
      <c r="E258" s="104"/>
      <c r="F258" s="104" t="s">
        <v>476</v>
      </c>
      <c r="G258" s="104" t="s">
        <v>477</v>
      </c>
      <c r="H258" s="104"/>
      <c r="I258" s="104">
        <v>0</v>
      </c>
      <c r="J258" s="104" t="s">
        <v>860</v>
      </c>
      <c r="K258" s="104" t="s">
        <v>941</v>
      </c>
      <c r="L258" s="104"/>
      <c r="M258" s="104"/>
      <c r="N258" s="104" t="str">
        <f t="shared" si="33"/>
        <v>Active(GuildOperation.Hard.buff.buffeffect.cri.skilleffect)</v>
      </c>
      <c r="O258" s="104">
        <v>0</v>
      </c>
      <c r="P258" s="104">
        <v>0</v>
      </c>
      <c r="Q258" s="45"/>
      <c r="R258" s="46" t="b">
        <v>0</v>
      </c>
    </row>
    <row r="259" spans="1:18" x14ac:dyDescent="0.3">
      <c r="A259" s="194" t="s">
        <v>2164</v>
      </c>
      <c r="B259" s="104"/>
      <c r="C259" s="104"/>
      <c r="D259" s="104">
        <v>0</v>
      </c>
      <c r="E259" s="104">
        <v>1</v>
      </c>
      <c r="F259" s="104" t="s">
        <v>476</v>
      </c>
      <c r="G259" s="104" t="s">
        <v>477</v>
      </c>
      <c r="H259" s="104"/>
      <c r="I259" s="104">
        <v>0</v>
      </c>
      <c r="J259" s="104" t="s">
        <v>846</v>
      </c>
      <c r="K259" s="104" t="s">
        <v>2165</v>
      </c>
      <c r="L259" s="104">
        <v>400</v>
      </c>
      <c r="M259" s="104"/>
      <c r="N259" s="104" t="str">
        <f t="shared" ref="N259" si="41">J259&amp;"("&amp;IF(K259="","",K259)&amp;IF(L259="","",", "&amp;L259)&amp;IF(M259="","",", "&amp;M259)&amp;")"</f>
        <v>Status(DotDamageDerate, 400)</v>
      </c>
      <c r="O259" s="104">
        <v>0</v>
      </c>
      <c r="P259" s="104">
        <v>0</v>
      </c>
      <c r="Q259" s="45"/>
      <c r="R259" s="46" t="b">
        <v>0</v>
      </c>
    </row>
    <row r="260" spans="1:18" x14ac:dyDescent="0.3">
      <c r="A260" s="195" t="s">
        <v>633</v>
      </c>
      <c r="B260" s="58"/>
      <c r="C260" s="58"/>
      <c r="D260" s="58">
        <v>0</v>
      </c>
      <c r="E260" s="58">
        <v>1</v>
      </c>
      <c r="F260" s="58" t="s">
        <v>476</v>
      </c>
      <c r="G260" s="58" t="s">
        <v>477</v>
      </c>
      <c r="H260" s="58"/>
      <c r="I260" s="58">
        <v>0</v>
      </c>
      <c r="J260" s="58" t="s">
        <v>846</v>
      </c>
      <c r="K260" s="58" t="s">
        <v>929</v>
      </c>
      <c r="L260" s="58">
        <v>250</v>
      </c>
      <c r="M260" s="58"/>
      <c r="N260" s="58" t="str">
        <f t="shared" si="33"/>
        <v>Status(BaseAttack, 250)</v>
      </c>
      <c r="O260" s="58">
        <v>0</v>
      </c>
      <c r="P260" s="58">
        <v>0</v>
      </c>
      <c r="Q260" s="45"/>
      <c r="R260" s="46" t="b">
        <v>0</v>
      </c>
    </row>
    <row r="261" spans="1:18" x14ac:dyDescent="0.3">
      <c r="A261" s="195" t="s">
        <v>635</v>
      </c>
      <c r="B261" s="58"/>
      <c r="C261" s="58"/>
      <c r="D261" s="58">
        <v>0</v>
      </c>
      <c r="E261" s="58">
        <v>1</v>
      </c>
      <c r="F261" s="58" t="s">
        <v>476</v>
      </c>
      <c r="G261" s="58" t="s">
        <v>477</v>
      </c>
      <c r="H261" s="58"/>
      <c r="I261" s="58">
        <v>0</v>
      </c>
      <c r="J261" s="58" t="s">
        <v>846</v>
      </c>
      <c r="K261" s="58" t="s">
        <v>930</v>
      </c>
      <c r="L261" s="58">
        <v>90</v>
      </c>
      <c r="M261" s="58"/>
      <c r="N261" s="58" t="str">
        <f t="shared" si="33"/>
        <v>Status(BaseDefense, 90)</v>
      </c>
      <c r="O261" s="58">
        <v>0</v>
      </c>
      <c r="P261" s="58">
        <v>0</v>
      </c>
      <c r="Q261" s="45"/>
      <c r="R261" s="46" t="b">
        <v>0</v>
      </c>
    </row>
    <row r="262" spans="1:18" x14ac:dyDescent="0.3">
      <c r="A262" s="195" t="s">
        <v>637</v>
      </c>
      <c r="B262" s="58"/>
      <c r="C262" s="58"/>
      <c r="D262" s="58">
        <v>0</v>
      </c>
      <c r="E262" s="58">
        <v>1</v>
      </c>
      <c r="F262" s="58" t="s">
        <v>476</v>
      </c>
      <c r="G262" s="58" t="s">
        <v>477</v>
      </c>
      <c r="H262" s="58"/>
      <c r="I262" s="58">
        <v>0</v>
      </c>
      <c r="J262" s="58" t="s">
        <v>846</v>
      </c>
      <c r="K262" s="58" t="s">
        <v>857</v>
      </c>
      <c r="L262" s="58">
        <v>1</v>
      </c>
      <c r="M262" s="58"/>
      <c r="N262" s="58" t="str">
        <f t="shared" si="33"/>
        <v>Status(DamageRate, 1)</v>
      </c>
      <c r="O262" s="58">
        <v>0</v>
      </c>
      <c r="P262" s="58">
        <v>0</v>
      </c>
      <c r="Q262" s="45"/>
      <c r="R262" s="46" t="b">
        <v>0</v>
      </c>
    </row>
    <row r="263" spans="1:18" x14ac:dyDescent="0.3">
      <c r="A263" s="194" t="s">
        <v>639</v>
      </c>
      <c r="B263" s="104"/>
      <c r="C263" s="104"/>
      <c r="D263" s="104">
        <v>0</v>
      </c>
      <c r="E263" s="104">
        <v>1</v>
      </c>
      <c r="F263" s="104" t="s">
        <v>476</v>
      </c>
      <c r="G263" s="104" t="s">
        <v>477</v>
      </c>
      <c r="H263" s="104"/>
      <c r="I263" s="104">
        <v>0</v>
      </c>
      <c r="J263" s="104" t="s">
        <v>846</v>
      </c>
      <c r="K263" s="104" t="s">
        <v>929</v>
      </c>
      <c r="L263" s="104">
        <v>250</v>
      </c>
      <c r="M263" s="104"/>
      <c r="N263" s="104" t="str">
        <f t="shared" si="33"/>
        <v>Status(BaseAttack, 250)</v>
      </c>
      <c r="O263" s="104">
        <v>0</v>
      </c>
      <c r="P263" s="104">
        <v>0</v>
      </c>
      <c r="Q263" s="45"/>
      <c r="R263" s="46" t="b">
        <v>0</v>
      </c>
    </row>
    <row r="264" spans="1:18" x14ac:dyDescent="0.3">
      <c r="A264" s="194" t="s">
        <v>641</v>
      </c>
      <c r="B264" s="104"/>
      <c r="C264" s="104"/>
      <c r="D264" s="104">
        <v>0</v>
      </c>
      <c r="E264" s="104">
        <v>1</v>
      </c>
      <c r="F264" s="104" t="s">
        <v>476</v>
      </c>
      <c r="G264" s="104" t="s">
        <v>477</v>
      </c>
      <c r="H264" s="104"/>
      <c r="I264" s="104">
        <v>0</v>
      </c>
      <c r="J264" s="104" t="s">
        <v>846</v>
      </c>
      <c r="K264" s="104" t="s">
        <v>930</v>
      </c>
      <c r="L264" s="104">
        <v>100</v>
      </c>
      <c r="M264" s="104"/>
      <c r="N264" s="104" t="str">
        <f t="shared" si="33"/>
        <v>Status(BaseDefense, 100)</v>
      </c>
      <c r="O264" s="104">
        <v>0</v>
      </c>
      <c r="P264" s="104">
        <v>0</v>
      </c>
      <c r="Q264" s="45"/>
      <c r="R264" s="46" t="b">
        <v>0</v>
      </c>
    </row>
    <row r="265" spans="1:18" x14ac:dyDescent="0.3">
      <c r="A265" s="194" t="s">
        <v>643</v>
      </c>
      <c r="B265" s="104"/>
      <c r="C265" s="104"/>
      <c r="D265" s="104">
        <v>0</v>
      </c>
      <c r="E265" s="104">
        <v>1</v>
      </c>
      <c r="F265" s="104" t="s">
        <v>476</v>
      </c>
      <c r="G265" s="104" t="s">
        <v>477</v>
      </c>
      <c r="H265" s="104"/>
      <c r="I265" s="104">
        <v>0</v>
      </c>
      <c r="J265" s="104" t="s">
        <v>846</v>
      </c>
      <c r="K265" s="104" t="s">
        <v>857</v>
      </c>
      <c r="L265" s="104">
        <v>1</v>
      </c>
      <c r="M265" s="104"/>
      <c r="N265" s="104" t="str">
        <f t="shared" ref="N265:N329" si="42">J265&amp;"("&amp;IF(K265="","",K265)&amp;IF(L265="","",", "&amp;L265)&amp;IF(M265="","",", "&amp;M265)&amp;")"</f>
        <v>Status(DamageRate, 1)</v>
      </c>
      <c r="O265" s="104">
        <v>0</v>
      </c>
      <c r="P265" s="104">
        <v>0</v>
      </c>
      <c r="Q265" s="45"/>
      <c r="R265" s="46" t="b">
        <v>0</v>
      </c>
    </row>
    <row r="266" spans="1:18" x14ac:dyDescent="0.3">
      <c r="A266" s="200" t="s">
        <v>1120</v>
      </c>
      <c r="B266" s="150"/>
      <c r="C266" s="150"/>
      <c r="D266" s="150">
        <v>0</v>
      </c>
      <c r="E266" s="150">
        <v>1</v>
      </c>
      <c r="F266" s="150" t="s">
        <v>476</v>
      </c>
      <c r="G266" s="150" t="s">
        <v>477</v>
      </c>
      <c r="H266" s="150"/>
      <c r="I266" s="150">
        <v>0</v>
      </c>
      <c r="J266" s="150" t="s">
        <v>871</v>
      </c>
      <c r="K266" s="150"/>
      <c r="L266" s="150"/>
      <c r="M266" s="150"/>
      <c r="N266" s="150" t="str">
        <f t="shared" si="42"/>
        <v>None()</v>
      </c>
      <c r="O266" s="150">
        <v>0</v>
      </c>
      <c r="P266" s="150">
        <v>0</v>
      </c>
      <c r="Q266" s="45"/>
      <c r="R266" s="46" t="b">
        <v>1</v>
      </c>
    </row>
    <row r="267" spans="1:18" x14ac:dyDescent="0.3">
      <c r="A267" s="195" t="s">
        <v>2119</v>
      </c>
      <c r="B267" s="58"/>
      <c r="C267" s="58"/>
      <c r="D267" s="58">
        <v>0</v>
      </c>
      <c r="E267" s="58">
        <v>1</v>
      </c>
      <c r="F267" s="58" t="s">
        <v>476</v>
      </c>
      <c r="G267" s="58" t="s">
        <v>477</v>
      </c>
      <c r="H267" s="58"/>
      <c r="I267" s="58">
        <v>0</v>
      </c>
      <c r="J267" s="58" t="s">
        <v>2121</v>
      </c>
      <c r="K267" s="58" t="s">
        <v>844</v>
      </c>
      <c r="L267" s="58">
        <v>100</v>
      </c>
      <c r="M267" s="58"/>
      <c r="N267" s="58" t="str">
        <f t="shared" si="42"/>
        <v>Burn(Attack, 100)</v>
      </c>
      <c r="O267" s="58">
        <v>0</v>
      </c>
      <c r="P267" s="58">
        <v>1000</v>
      </c>
      <c r="Q267" s="58"/>
      <c r="R267" s="59" t="b">
        <v>1</v>
      </c>
    </row>
    <row r="268" spans="1:18" x14ac:dyDescent="0.3">
      <c r="A268" s="195" t="s">
        <v>647</v>
      </c>
      <c r="B268" s="58"/>
      <c r="C268" s="58"/>
      <c r="D268" s="58">
        <v>0</v>
      </c>
      <c r="E268" s="58">
        <v>1</v>
      </c>
      <c r="F268" s="58" t="s">
        <v>476</v>
      </c>
      <c r="G268" s="58" t="s">
        <v>477</v>
      </c>
      <c r="H268" s="58"/>
      <c r="I268" s="58">
        <v>0</v>
      </c>
      <c r="J268" s="58" t="s">
        <v>470</v>
      </c>
      <c r="K268" s="58" t="s">
        <v>867</v>
      </c>
      <c r="L268" s="58" t="s">
        <v>942</v>
      </c>
      <c r="M268" s="58"/>
      <c r="N268" s="58" t="str">
        <f t="shared" si="42"/>
        <v>Effect(BeHit, GuildOperation01.toxic_2.skill03.pre.buff01.buffeffect.skilleffect)</v>
      </c>
      <c r="O268" s="58">
        <v>0</v>
      </c>
      <c r="P268" s="58">
        <v>0</v>
      </c>
      <c r="Q268" s="58"/>
      <c r="R268" s="59" t="b">
        <v>1</v>
      </c>
    </row>
    <row r="269" spans="1:18" x14ac:dyDescent="0.3">
      <c r="A269" s="195" t="s">
        <v>649</v>
      </c>
      <c r="B269" s="58"/>
      <c r="C269" s="58"/>
      <c r="D269" s="58">
        <v>0</v>
      </c>
      <c r="E269" s="58">
        <v>1</v>
      </c>
      <c r="F269" s="58" t="s">
        <v>476</v>
      </c>
      <c r="G269" s="58" t="s">
        <v>477</v>
      </c>
      <c r="H269" s="58"/>
      <c r="I269" s="58">
        <v>0</v>
      </c>
      <c r="J269" s="58" t="s">
        <v>846</v>
      </c>
      <c r="K269" s="58" t="s">
        <v>872</v>
      </c>
      <c r="L269" s="58">
        <v>-500</v>
      </c>
      <c r="M269" s="58"/>
      <c r="N269" s="58" t="str">
        <f t="shared" si="42"/>
        <v>Status(DamageDerate, -500)</v>
      </c>
      <c r="O269" s="58">
        <v>0</v>
      </c>
      <c r="P269" s="58">
        <v>0</v>
      </c>
      <c r="Q269" s="58"/>
      <c r="R269" s="59" t="b">
        <v>1</v>
      </c>
    </row>
    <row r="270" spans="1:18" x14ac:dyDescent="0.3">
      <c r="A270" s="195" t="s">
        <v>651</v>
      </c>
      <c r="B270" s="58"/>
      <c r="C270" s="58"/>
      <c r="D270" s="58">
        <v>0</v>
      </c>
      <c r="E270" s="58">
        <v>1</v>
      </c>
      <c r="F270" s="58" t="s">
        <v>476</v>
      </c>
      <c r="G270" s="58" t="s">
        <v>477</v>
      </c>
      <c r="H270" s="58"/>
      <c r="I270" s="58">
        <v>0</v>
      </c>
      <c r="J270" s="58" t="s">
        <v>846</v>
      </c>
      <c r="K270" s="58" t="s">
        <v>857</v>
      </c>
      <c r="L270" s="58">
        <v>20</v>
      </c>
      <c r="M270" s="58"/>
      <c r="N270" s="58" t="str">
        <f t="shared" si="42"/>
        <v>Status(DamageRate, 20)</v>
      </c>
      <c r="O270" s="58">
        <v>0</v>
      </c>
      <c r="P270" s="58">
        <v>0</v>
      </c>
      <c r="Q270" s="58"/>
      <c r="R270" s="59" t="b">
        <v>1</v>
      </c>
    </row>
    <row r="271" spans="1:18" x14ac:dyDescent="0.3">
      <c r="A271" s="201" t="s">
        <v>831</v>
      </c>
      <c r="B271" s="23"/>
      <c r="C271" s="23"/>
      <c r="D271" s="23">
        <v>0</v>
      </c>
      <c r="E271" s="23">
        <v>1</v>
      </c>
      <c r="F271" s="23" t="s">
        <v>476</v>
      </c>
      <c r="G271" s="23" t="s">
        <v>477</v>
      </c>
      <c r="H271" s="23"/>
      <c r="I271" s="23">
        <v>0</v>
      </c>
      <c r="J271" s="23" t="s">
        <v>846</v>
      </c>
      <c r="K271" s="23" t="s">
        <v>858</v>
      </c>
      <c r="L271" s="23">
        <v>1000</v>
      </c>
      <c r="M271" s="23"/>
      <c r="N271" s="23" t="str">
        <f t="shared" si="42"/>
        <v>Status(CriticalRate, 1000)</v>
      </c>
      <c r="O271" s="23">
        <v>0</v>
      </c>
      <c r="P271" s="23">
        <v>0</v>
      </c>
      <c r="Q271" s="23"/>
      <c r="R271" s="24" t="b">
        <v>0</v>
      </c>
    </row>
    <row r="272" spans="1:18" x14ac:dyDescent="0.3">
      <c r="A272" s="201" t="s">
        <v>832</v>
      </c>
      <c r="B272" s="23"/>
      <c r="C272" s="23"/>
      <c r="D272" s="23">
        <v>0</v>
      </c>
      <c r="E272" s="23">
        <v>1</v>
      </c>
      <c r="F272" s="23" t="s">
        <v>833</v>
      </c>
      <c r="G272" s="23" t="s">
        <v>485</v>
      </c>
      <c r="H272" s="23"/>
      <c r="I272" s="23">
        <v>0</v>
      </c>
      <c r="J272" s="23" t="s">
        <v>846</v>
      </c>
      <c r="K272" s="23" t="s">
        <v>924</v>
      </c>
      <c r="L272" s="23">
        <v>200</v>
      </c>
      <c r="M272" s="23"/>
      <c r="N272" s="23" t="str">
        <f t="shared" si="42"/>
        <v>Status(GuardRate, 200)</v>
      </c>
      <c r="O272" s="23">
        <v>0</v>
      </c>
      <c r="P272" s="23">
        <v>0</v>
      </c>
      <c r="Q272" s="23"/>
      <c r="R272" s="24" t="b">
        <v>0</v>
      </c>
    </row>
    <row r="273" spans="1:18" x14ac:dyDescent="0.3">
      <c r="A273" s="201" t="s">
        <v>655</v>
      </c>
      <c r="B273" s="23"/>
      <c r="C273" s="23"/>
      <c r="D273" s="23">
        <v>0</v>
      </c>
      <c r="E273" s="23">
        <v>1</v>
      </c>
      <c r="F273" s="23" t="s">
        <v>476</v>
      </c>
      <c r="G273" s="23" t="s">
        <v>477</v>
      </c>
      <c r="H273" s="23"/>
      <c r="I273" s="23">
        <v>0</v>
      </c>
      <c r="J273" s="23" t="s">
        <v>848</v>
      </c>
      <c r="K273" s="23" t="s">
        <v>850</v>
      </c>
      <c r="L273" s="23"/>
      <c r="M273" s="23"/>
      <c r="N273" s="23" t="str">
        <f t="shared" si="42"/>
        <v>CrowdControl(Knockback)</v>
      </c>
      <c r="O273" s="23">
        <v>0</v>
      </c>
      <c r="P273" s="23">
        <v>0</v>
      </c>
      <c r="Q273" s="23"/>
      <c r="R273" s="24" t="b">
        <v>1</v>
      </c>
    </row>
    <row r="274" spans="1:18" x14ac:dyDescent="0.3">
      <c r="A274" s="201" t="s">
        <v>657</v>
      </c>
      <c r="B274" s="23"/>
      <c r="C274" s="23"/>
      <c r="D274" s="23">
        <v>0</v>
      </c>
      <c r="E274" s="23">
        <v>1</v>
      </c>
      <c r="F274" s="23" t="s">
        <v>476</v>
      </c>
      <c r="G274" s="23" t="s">
        <v>477</v>
      </c>
      <c r="H274" s="23"/>
      <c r="I274" s="23">
        <v>0</v>
      </c>
      <c r="J274" s="23" t="s">
        <v>846</v>
      </c>
      <c r="K274" s="23" t="s">
        <v>869</v>
      </c>
      <c r="L274" s="23">
        <v>-150</v>
      </c>
      <c r="M274" s="23"/>
      <c r="N274" s="23" t="str">
        <f t="shared" si="42"/>
        <v>Status(AddEnergyRate, -150)</v>
      </c>
      <c r="O274" s="23">
        <v>0</v>
      </c>
      <c r="P274" s="23">
        <v>0</v>
      </c>
      <c r="Q274" s="23"/>
      <c r="R274" s="24" t="b">
        <v>1</v>
      </c>
    </row>
    <row r="275" spans="1:18" x14ac:dyDescent="0.3">
      <c r="A275" s="201" t="s">
        <v>659</v>
      </c>
      <c r="B275" s="23"/>
      <c r="C275" s="23"/>
      <c r="D275" s="23">
        <v>0</v>
      </c>
      <c r="E275" s="23">
        <v>1</v>
      </c>
      <c r="F275" s="23" t="s">
        <v>476</v>
      </c>
      <c r="G275" s="23" t="s">
        <v>477</v>
      </c>
      <c r="H275" s="23"/>
      <c r="I275" s="23">
        <v>0</v>
      </c>
      <c r="J275" s="23" t="s">
        <v>848</v>
      </c>
      <c r="K275" s="23" t="s">
        <v>923</v>
      </c>
      <c r="L275" s="23"/>
      <c r="M275" s="23"/>
      <c r="N275" s="23" t="str">
        <f t="shared" si="42"/>
        <v>CrowdControl(Shock)</v>
      </c>
      <c r="O275" s="23">
        <v>0</v>
      </c>
      <c r="P275" s="23">
        <v>0</v>
      </c>
      <c r="Q275" s="23"/>
      <c r="R275" s="24" t="b">
        <v>1</v>
      </c>
    </row>
    <row r="276" spans="1:18" x14ac:dyDescent="0.3">
      <c r="A276" s="201" t="s">
        <v>1340</v>
      </c>
      <c r="B276" s="23"/>
      <c r="C276" s="23"/>
      <c r="D276" s="23">
        <v>0</v>
      </c>
      <c r="E276" s="23">
        <v>1</v>
      </c>
      <c r="F276" s="23" t="s">
        <v>476</v>
      </c>
      <c r="G276" s="23" t="s">
        <v>477</v>
      </c>
      <c r="H276" s="23"/>
      <c r="I276" s="23">
        <v>0</v>
      </c>
      <c r="J276" s="23" t="s">
        <v>860</v>
      </c>
      <c r="K276" s="23" t="s">
        <v>1344</v>
      </c>
      <c r="L276" s="23"/>
      <c r="M276" s="23"/>
      <c r="N276" s="23" t="str">
        <f t="shared" ref="N276:N277" si="43">J276&amp;"("&amp;IF(K276="","",K276)&amp;IF(L276="","",", "&amp;L276)&amp;IF(M276="","",", "&amp;M276)&amp;")"</f>
        <v>Active(GuildOperation02.goliath_2.skill03.shield01)</v>
      </c>
      <c r="O276" s="23">
        <v>0</v>
      </c>
      <c r="P276" s="23">
        <v>0</v>
      </c>
      <c r="Q276" s="23"/>
      <c r="R276" s="24" t="b">
        <v>1</v>
      </c>
    </row>
    <row r="277" spans="1:18" x14ac:dyDescent="0.3">
      <c r="A277" s="201" t="s">
        <v>1342</v>
      </c>
      <c r="B277" s="23"/>
      <c r="C277" s="23"/>
      <c r="D277" s="23">
        <v>0</v>
      </c>
      <c r="E277" s="23">
        <v>1</v>
      </c>
      <c r="F277" s="23" t="s">
        <v>476</v>
      </c>
      <c r="G277" s="23" t="s">
        <v>477</v>
      </c>
      <c r="H277" s="23"/>
      <c r="I277" s="23">
        <v>0</v>
      </c>
      <c r="J277" s="23" t="s">
        <v>860</v>
      </c>
      <c r="K277" s="23" t="s">
        <v>1345</v>
      </c>
      <c r="L277" s="23"/>
      <c r="M277" s="23"/>
      <c r="N277" s="23" t="str">
        <f t="shared" si="43"/>
        <v>Active(GuildOperation02.goliath_2.skill03.shield02)</v>
      </c>
      <c r="O277" s="23">
        <v>0</v>
      </c>
      <c r="P277" s="23">
        <v>0</v>
      </c>
      <c r="Q277" s="23"/>
      <c r="R277" s="24" t="b">
        <v>1</v>
      </c>
    </row>
    <row r="278" spans="1:18" x14ac:dyDescent="0.3">
      <c r="A278" s="201" t="s">
        <v>661</v>
      </c>
      <c r="B278" s="23"/>
      <c r="C278" s="23"/>
      <c r="D278" s="23">
        <v>0</v>
      </c>
      <c r="E278" s="23">
        <v>1</v>
      </c>
      <c r="F278" s="23" t="s">
        <v>476</v>
      </c>
      <c r="G278" s="23" t="s">
        <v>477</v>
      </c>
      <c r="H278" s="23"/>
      <c r="I278" s="23">
        <v>0</v>
      </c>
      <c r="J278" s="23" t="s">
        <v>871</v>
      </c>
      <c r="K278" s="23"/>
      <c r="L278" s="23"/>
      <c r="M278" s="23"/>
      <c r="N278" s="23" t="str">
        <f t="shared" si="42"/>
        <v>None()</v>
      </c>
      <c r="O278" s="23">
        <v>0</v>
      </c>
      <c r="P278" s="23">
        <v>0</v>
      </c>
      <c r="Q278" s="23"/>
      <c r="R278" s="24" t="b">
        <v>1</v>
      </c>
    </row>
    <row r="279" spans="1:18" x14ac:dyDescent="0.3">
      <c r="A279" s="201" t="s">
        <v>834</v>
      </c>
      <c r="B279" s="23" t="s">
        <v>487</v>
      </c>
      <c r="C279" s="23" t="s">
        <v>678</v>
      </c>
      <c r="D279" s="23">
        <v>0</v>
      </c>
      <c r="E279" s="23"/>
      <c r="F279" s="23" t="s">
        <v>476</v>
      </c>
      <c r="G279" s="23" t="s">
        <v>477</v>
      </c>
      <c r="H279" s="23"/>
      <c r="I279" s="23">
        <v>0</v>
      </c>
      <c r="J279" s="23" t="s">
        <v>860</v>
      </c>
      <c r="K279" s="23" t="s">
        <v>943</v>
      </c>
      <c r="L279" s="23"/>
      <c r="M279" s="23"/>
      <c r="N279" s="23" t="str">
        <f t="shared" si="42"/>
        <v>Active(GuildOperation02.goliath_2.passive01.buff.buffeffect.skilleffect)</v>
      </c>
      <c r="O279" s="23">
        <v>0</v>
      </c>
      <c r="P279" s="23">
        <v>0</v>
      </c>
      <c r="Q279" s="23"/>
      <c r="R279" s="24" t="b">
        <v>1</v>
      </c>
    </row>
    <row r="280" spans="1:18" x14ac:dyDescent="0.3">
      <c r="A280" s="201" t="s">
        <v>1403</v>
      </c>
      <c r="B280" s="23"/>
      <c r="C280" s="23"/>
      <c r="D280" s="23">
        <v>0</v>
      </c>
      <c r="E280" s="23">
        <v>1</v>
      </c>
      <c r="F280" s="23" t="s">
        <v>476</v>
      </c>
      <c r="G280" s="23" t="s">
        <v>477</v>
      </c>
      <c r="H280" s="23"/>
      <c r="I280" s="23">
        <v>0</v>
      </c>
      <c r="J280" s="23" t="s">
        <v>846</v>
      </c>
      <c r="K280" s="23" t="s">
        <v>924</v>
      </c>
      <c r="L280" s="23">
        <v>200</v>
      </c>
      <c r="M280" s="23"/>
      <c r="N280" s="23" t="str">
        <f t="shared" si="42"/>
        <v>Status(GuardRate, 200)</v>
      </c>
      <c r="O280" s="23">
        <v>0</v>
      </c>
      <c r="P280" s="23">
        <v>0</v>
      </c>
      <c r="Q280" s="23"/>
      <c r="R280" s="24" t="b">
        <v>0</v>
      </c>
    </row>
    <row r="281" spans="1:18" x14ac:dyDescent="0.3">
      <c r="A281" s="201" t="s">
        <v>664</v>
      </c>
      <c r="B281" s="23"/>
      <c r="C281" s="23"/>
      <c r="D281" s="23">
        <v>0</v>
      </c>
      <c r="E281" s="23">
        <v>1</v>
      </c>
      <c r="F281" s="23" t="s">
        <v>476</v>
      </c>
      <c r="G281" s="23" t="s">
        <v>477</v>
      </c>
      <c r="H281" s="23"/>
      <c r="I281" s="23">
        <v>0</v>
      </c>
      <c r="J281" s="23" t="s">
        <v>835</v>
      </c>
      <c r="K281" s="23" t="s">
        <v>944</v>
      </c>
      <c r="L281" s="23">
        <v>10000</v>
      </c>
      <c r="M281" s="23"/>
      <c r="N281" s="23" t="str">
        <f t="shared" si="42"/>
        <v>Shield(Defense, 10000)</v>
      </c>
      <c r="O281" s="23">
        <v>0</v>
      </c>
      <c r="P281" s="23">
        <v>0</v>
      </c>
      <c r="Q281" s="23"/>
      <c r="R281" s="24" t="b">
        <v>1</v>
      </c>
    </row>
    <row r="282" spans="1:18" x14ac:dyDescent="0.3">
      <c r="A282" s="201" t="s">
        <v>667</v>
      </c>
      <c r="B282" s="23"/>
      <c r="C282" s="23"/>
      <c r="D282" s="23">
        <v>0</v>
      </c>
      <c r="E282" s="23">
        <v>1</v>
      </c>
      <c r="F282" s="23" t="s">
        <v>476</v>
      </c>
      <c r="G282" s="23" t="s">
        <v>477</v>
      </c>
      <c r="H282" s="23"/>
      <c r="I282" s="23">
        <v>0</v>
      </c>
      <c r="J282" s="23" t="s">
        <v>835</v>
      </c>
      <c r="K282" s="23" t="s">
        <v>944</v>
      </c>
      <c r="L282" s="23">
        <v>20000</v>
      </c>
      <c r="M282" s="23"/>
      <c r="N282" s="23" t="str">
        <f t="shared" si="42"/>
        <v>Shield(Defense, 20000)</v>
      </c>
      <c r="O282" s="23">
        <v>0</v>
      </c>
      <c r="P282" s="23">
        <v>0</v>
      </c>
      <c r="Q282" s="23"/>
      <c r="R282" s="24" t="b">
        <v>1</v>
      </c>
    </row>
    <row r="283" spans="1:18" x14ac:dyDescent="0.3">
      <c r="A283" s="201" t="s">
        <v>1404</v>
      </c>
      <c r="B283" s="23"/>
      <c r="C283" s="23"/>
      <c r="D283" s="23">
        <v>0</v>
      </c>
      <c r="E283" s="23">
        <v>1</v>
      </c>
      <c r="F283" s="23" t="s">
        <v>476</v>
      </c>
      <c r="G283" s="23" t="s">
        <v>477</v>
      </c>
      <c r="H283" s="23"/>
      <c r="I283" s="23">
        <v>0</v>
      </c>
      <c r="J283" s="23" t="s">
        <v>865</v>
      </c>
      <c r="K283" s="23" t="s">
        <v>1421</v>
      </c>
      <c r="L283" s="23">
        <v>1000</v>
      </c>
      <c r="M283" s="23"/>
      <c r="N283" s="23" t="str">
        <f t="shared" ref="N283:N284" si="44">J283&amp;"("&amp;IF(K283="","",K283)&amp;IF(L283="","",", "&amp;L283)&amp;IF(M283="","",", "&amp;M283)&amp;")"</f>
        <v>Reflect(All, 1000)</v>
      </c>
      <c r="O283" s="23">
        <v>0</v>
      </c>
      <c r="P283" s="23">
        <v>0</v>
      </c>
      <c r="Q283" s="23"/>
      <c r="R283" s="24" t="b">
        <v>1</v>
      </c>
    </row>
    <row r="284" spans="1:18" x14ac:dyDescent="0.3">
      <c r="A284" s="201" t="s">
        <v>1405</v>
      </c>
      <c r="B284" s="23"/>
      <c r="C284" s="23"/>
      <c r="D284" s="23">
        <v>0</v>
      </c>
      <c r="E284" s="23">
        <v>1</v>
      </c>
      <c r="F284" s="23" t="s">
        <v>476</v>
      </c>
      <c r="G284" s="23" t="s">
        <v>477</v>
      </c>
      <c r="H284" s="23"/>
      <c r="I284" s="23">
        <v>0</v>
      </c>
      <c r="J284" s="23" t="s">
        <v>470</v>
      </c>
      <c r="K284" s="23" t="s">
        <v>867</v>
      </c>
      <c r="L284" s="23" t="s">
        <v>1408</v>
      </c>
      <c r="M284" s="23"/>
      <c r="N284" s="23" t="str">
        <f t="shared" si="44"/>
        <v>Effect(BeHit, GuildOperation02.goliath_2.passive01.shield.hit.buff.buffeffect.skilleffect)</v>
      </c>
      <c r="O284" s="23">
        <v>0</v>
      </c>
      <c r="P284" s="23">
        <v>0</v>
      </c>
      <c r="Q284" s="23"/>
      <c r="R284" s="24" t="b">
        <v>1</v>
      </c>
    </row>
    <row r="285" spans="1:18" x14ac:dyDescent="0.3">
      <c r="A285" s="202" t="s">
        <v>671</v>
      </c>
      <c r="B285" s="27"/>
      <c r="C285" s="27"/>
      <c r="D285" s="27">
        <v>0</v>
      </c>
      <c r="E285" s="27">
        <v>1</v>
      </c>
      <c r="F285" s="27" t="s">
        <v>476</v>
      </c>
      <c r="G285" s="27" t="s">
        <v>477</v>
      </c>
      <c r="H285" s="27"/>
      <c r="I285" s="27">
        <v>0</v>
      </c>
      <c r="J285" s="27" t="s">
        <v>860</v>
      </c>
      <c r="K285" s="27" t="s">
        <v>945</v>
      </c>
      <c r="L285" s="27"/>
      <c r="M285" s="27"/>
      <c r="N285" s="27" t="str">
        <f t="shared" si="42"/>
        <v>Active(GuildOperation02.mini_1.passive01.buff.buffeffect01.skilleffect)</v>
      </c>
      <c r="O285" s="27">
        <v>0</v>
      </c>
      <c r="P285" s="27">
        <v>100000</v>
      </c>
      <c r="Q285" s="27"/>
      <c r="R285" s="28" t="b">
        <v>1</v>
      </c>
    </row>
    <row r="286" spans="1:18" x14ac:dyDescent="0.3">
      <c r="A286" s="202" t="s">
        <v>673</v>
      </c>
      <c r="B286" s="27"/>
      <c r="C286" s="27"/>
      <c r="D286" s="27">
        <v>0</v>
      </c>
      <c r="E286" s="27">
        <v>1</v>
      </c>
      <c r="F286" s="27" t="s">
        <v>476</v>
      </c>
      <c r="G286" s="27" t="s">
        <v>477</v>
      </c>
      <c r="H286" s="27"/>
      <c r="I286" s="27">
        <v>0</v>
      </c>
      <c r="J286" s="27" t="s">
        <v>862</v>
      </c>
      <c r="K286" s="27" t="s">
        <v>863</v>
      </c>
      <c r="L286" s="27">
        <v>100</v>
      </c>
      <c r="M286" s="27"/>
      <c r="N286" s="27" t="str">
        <f t="shared" si="42"/>
        <v>EffectImmune(Damage, 100)</v>
      </c>
      <c r="O286" s="27">
        <v>1</v>
      </c>
      <c r="P286" s="27">
        <v>0</v>
      </c>
      <c r="Q286" s="27"/>
      <c r="R286" s="28" t="b">
        <v>1</v>
      </c>
    </row>
    <row r="287" spans="1:18" x14ac:dyDescent="0.3">
      <c r="A287" s="202" t="s">
        <v>676</v>
      </c>
      <c r="B287" s="27"/>
      <c r="C287" s="27"/>
      <c r="D287" s="27">
        <v>0</v>
      </c>
      <c r="E287" s="27">
        <v>1</v>
      </c>
      <c r="F287" s="27" t="s">
        <v>476</v>
      </c>
      <c r="G287" s="27" t="s">
        <v>477</v>
      </c>
      <c r="H287" s="27"/>
      <c r="I287" s="27">
        <v>0</v>
      </c>
      <c r="J287" s="27" t="s">
        <v>871</v>
      </c>
      <c r="K287" s="27"/>
      <c r="L287" s="27"/>
      <c r="M287" s="27"/>
      <c r="N287" s="27" t="str">
        <f t="shared" si="42"/>
        <v>None()</v>
      </c>
      <c r="O287" s="27">
        <v>0</v>
      </c>
      <c r="P287" s="27">
        <v>0</v>
      </c>
      <c r="Q287" s="27"/>
      <c r="R287" s="28" t="b">
        <v>1</v>
      </c>
    </row>
    <row r="288" spans="1:18" x14ac:dyDescent="0.3">
      <c r="A288" s="202" t="s">
        <v>679</v>
      </c>
      <c r="B288" s="27"/>
      <c r="C288" s="27"/>
      <c r="D288" s="27">
        <v>0</v>
      </c>
      <c r="E288" s="27">
        <v>1</v>
      </c>
      <c r="F288" s="27" t="s">
        <v>476</v>
      </c>
      <c r="G288" s="27" t="s">
        <v>477</v>
      </c>
      <c r="H288" s="27"/>
      <c r="I288" s="27">
        <v>0</v>
      </c>
      <c r="J288" s="27" t="s">
        <v>871</v>
      </c>
      <c r="K288" s="27"/>
      <c r="L288" s="27"/>
      <c r="M288" s="27"/>
      <c r="N288" s="27" t="str">
        <f t="shared" si="42"/>
        <v>None()</v>
      </c>
      <c r="O288" s="27">
        <v>0</v>
      </c>
      <c r="P288" s="27">
        <v>0</v>
      </c>
      <c r="Q288" s="27"/>
      <c r="R288" s="28" t="b">
        <v>1</v>
      </c>
    </row>
    <row r="289" spans="1:18" x14ac:dyDescent="0.3">
      <c r="A289" s="192" t="s">
        <v>836</v>
      </c>
      <c r="B289" s="31"/>
      <c r="C289" s="31"/>
      <c r="D289" s="31">
        <v>0</v>
      </c>
      <c r="E289" s="31">
        <v>1</v>
      </c>
      <c r="F289" s="31" t="s">
        <v>476</v>
      </c>
      <c r="G289" s="31" t="s">
        <v>477</v>
      </c>
      <c r="H289" s="31"/>
      <c r="I289" s="31">
        <v>0</v>
      </c>
      <c r="J289" s="31" t="s">
        <v>856</v>
      </c>
      <c r="K289" s="31" t="s">
        <v>855</v>
      </c>
      <c r="L289" s="31">
        <v>100</v>
      </c>
      <c r="M289" s="31"/>
      <c r="N289" s="31" t="str">
        <f t="shared" si="42"/>
        <v>DebuffResist(Provoke, 100)</v>
      </c>
      <c r="O289" s="31">
        <v>0</v>
      </c>
      <c r="P289" s="31">
        <v>0</v>
      </c>
      <c r="Q289" s="31"/>
      <c r="R289" s="32" t="b">
        <v>1</v>
      </c>
    </row>
    <row r="290" spans="1:18" x14ac:dyDescent="0.3">
      <c r="A290" s="192" t="s">
        <v>837</v>
      </c>
      <c r="B290" s="31"/>
      <c r="C290" s="31"/>
      <c r="D290" s="31">
        <v>0</v>
      </c>
      <c r="E290" s="31">
        <v>1</v>
      </c>
      <c r="F290" s="31" t="s">
        <v>476</v>
      </c>
      <c r="G290" s="31" t="s">
        <v>477</v>
      </c>
      <c r="H290" s="31"/>
      <c r="I290" s="31">
        <v>0</v>
      </c>
      <c r="J290" s="31" t="s">
        <v>856</v>
      </c>
      <c r="K290" s="31" t="s">
        <v>946</v>
      </c>
      <c r="L290" s="31">
        <v>100</v>
      </c>
      <c r="M290" s="31"/>
      <c r="N290" s="31" t="str">
        <f t="shared" si="42"/>
        <v>DebuffResist(Polymorph, 100)</v>
      </c>
      <c r="O290" s="31">
        <v>0</v>
      </c>
      <c r="P290" s="31">
        <v>0</v>
      </c>
      <c r="Q290" s="31"/>
      <c r="R290" s="32" t="b">
        <v>1</v>
      </c>
    </row>
    <row r="291" spans="1:18" x14ac:dyDescent="0.3">
      <c r="A291" s="199" t="s">
        <v>685</v>
      </c>
      <c r="B291" s="131"/>
      <c r="C291" s="131"/>
      <c r="D291" s="131">
        <v>0</v>
      </c>
      <c r="E291" s="131">
        <v>1</v>
      </c>
      <c r="F291" s="131" t="s">
        <v>476</v>
      </c>
      <c r="G291" s="131" t="s">
        <v>477</v>
      </c>
      <c r="H291" s="131"/>
      <c r="I291" s="131">
        <v>0</v>
      </c>
      <c r="J291" s="131" t="s">
        <v>846</v>
      </c>
      <c r="K291" s="131" t="s">
        <v>852</v>
      </c>
      <c r="L291" s="131">
        <v>50</v>
      </c>
      <c r="M291" s="131"/>
      <c r="N291" s="131" t="str">
        <f t="shared" si="42"/>
        <v>Status(AttackRatio, 50)</v>
      </c>
      <c r="O291" s="131">
        <v>0</v>
      </c>
      <c r="P291" s="131">
        <v>0</v>
      </c>
      <c r="Q291" s="131"/>
      <c r="R291" s="132" t="b">
        <v>1</v>
      </c>
    </row>
    <row r="292" spans="1:18" x14ac:dyDescent="0.3">
      <c r="A292" s="199" t="s">
        <v>838</v>
      </c>
      <c r="B292" s="131"/>
      <c r="C292" s="131"/>
      <c r="D292" s="131">
        <v>0</v>
      </c>
      <c r="E292" s="131">
        <v>1</v>
      </c>
      <c r="F292" s="131" t="s">
        <v>476</v>
      </c>
      <c r="G292" s="131" t="s">
        <v>477</v>
      </c>
      <c r="H292" s="131"/>
      <c r="I292" s="131">
        <v>0</v>
      </c>
      <c r="J292" s="131" t="s">
        <v>846</v>
      </c>
      <c r="K292" s="131" t="s">
        <v>947</v>
      </c>
      <c r="L292" s="131">
        <v>500</v>
      </c>
      <c r="M292" s="131"/>
      <c r="N292" s="131" t="str">
        <f t="shared" si="42"/>
        <v>Status(RangeDamageDerate, 500)</v>
      </c>
      <c r="O292" s="131">
        <v>0</v>
      </c>
      <c r="P292" s="131">
        <v>0</v>
      </c>
      <c r="Q292" s="131"/>
      <c r="R292" s="132" t="b">
        <v>1</v>
      </c>
    </row>
    <row r="293" spans="1:18" x14ac:dyDescent="0.3">
      <c r="A293" s="199" t="s">
        <v>839</v>
      </c>
      <c r="B293" s="131" t="s">
        <v>487</v>
      </c>
      <c r="C293" s="131" t="s">
        <v>840</v>
      </c>
      <c r="D293" s="131">
        <v>0</v>
      </c>
      <c r="E293" s="131"/>
      <c r="F293" s="131" t="s">
        <v>476</v>
      </c>
      <c r="G293" s="131" t="s">
        <v>477</v>
      </c>
      <c r="H293" s="131"/>
      <c r="I293" s="131">
        <v>0</v>
      </c>
      <c r="J293" s="131" t="s">
        <v>882</v>
      </c>
      <c r="K293" s="131" t="s">
        <v>899</v>
      </c>
      <c r="L293" s="131" t="s">
        <v>948</v>
      </c>
      <c r="M293" s="131"/>
      <c r="N293" s="131" t="str">
        <f t="shared" si="42"/>
        <v>Event(AllyDie, Daily.Gold.trooper_demolisher_1.passive01.skilleffect)</v>
      </c>
      <c r="O293" s="131">
        <v>0</v>
      </c>
      <c r="P293" s="131">
        <v>0</v>
      </c>
      <c r="Q293" s="131"/>
      <c r="R293" s="132" t="b">
        <v>1</v>
      </c>
    </row>
    <row r="294" spans="1:18" x14ac:dyDescent="0.3">
      <c r="A294" s="199" t="s">
        <v>841</v>
      </c>
      <c r="B294" s="131" t="s">
        <v>487</v>
      </c>
      <c r="C294" s="131" t="s">
        <v>842</v>
      </c>
      <c r="D294" s="131">
        <v>0</v>
      </c>
      <c r="E294" s="131">
        <v>1</v>
      </c>
      <c r="F294" s="131" t="s">
        <v>476</v>
      </c>
      <c r="G294" s="131" t="s">
        <v>477</v>
      </c>
      <c r="H294" s="131"/>
      <c r="I294" s="131">
        <v>0</v>
      </c>
      <c r="J294" s="131" t="s">
        <v>1384</v>
      </c>
      <c r="K294" s="131" t="s">
        <v>1411</v>
      </c>
      <c r="L294" s="131"/>
      <c r="M294" s="131"/>
      <c r="N294" s="131" t="str">
        <f t="shared" si="42"/>
        <v>Passive(Daily.Gold.trooper_demolisher_1.passive01.changeskill.buff)</v>
      </c>
      <c r="O294" s="131">
        <v>0</v>
      </c>
      <c r="P294" s="131">
        <v>0</v>
      </c>
      <c r="Q294" s="131"/>
      <c r="R294" s="132" t="b">
        <v>1</v>
      </c>
    </row>
    <row r="295" spans="1:18" x14ac:dyDescent="0.3">
      <c r="A295" s="199" t="s">
        <v>1413</v>
      </c>
      <c r="B295" s="131"/>
      <c r="C295" s="131"/>
      <c r="D295" s="131">
        <v>0</v>
      </c>
      <c r="E295" s="131">
        <v>1</v>
      </c>
      <c r="F295" s="131" t="s">
        <v>476</v>
      </c>
      <c r="G295" s="131" t="s">
        <v>477</v>
      </c>
      <c r="H295" s="131"/>
      <c r="I295" s="131">
        <v>0</v>
      </c>
      <c r="J295" s="131" t="s">
        <v>877</v>
      </c>
      <c r="K295" s="131" t="s">
        <v>949</v>
      </c>
      <c r="L295" s="131"/>
      <c r="M295" s="131"/>
      <c r="N295" s="131" t="str">
        <f t="shared" ref="N295" si="45">J295&amp;"("&amp;IF(K295="","",K295)&amp;IF(L295="","",", "&amp;L295)&amp;IF(M295="","",", "&amp;M295)&amp;")"</f>
        <v>ChangeSkill(Skill1)</v>
      </c>
      <c r="O295" s="131">
        <v>0</v>
      </c>
      <c r="P295" s="131">
        <v>0</v>
      </c>
      <c r="Q295" s="131"/>
      <c r="R295" s="132" t="b">
        <v>1</v>
      </c>
    </row>
    <row r="296" spans="1:18" x14ac:dyDescent="0.3">
      <c r="A296" s="198" t="s">
        <v>691</v>
      </c>
      <c r="B296" s="113"/>
      <c r="C296" s="113"/>
      <c r="D296" s="113">
        <v>0</v>
      </c>
      <c r="E296" s="113">
        <v>1</v>
      </c>
      <c r="F296" s="113" t="s">
        <v>476</v>
      </c>
      <c r="G296" s="113" t="s">
        <v>477</v>
      </c>
      <c r="H296" s="113"/>
      <c r="I296" s="113">
        <v>0</v>
      </c>
      <c r="J296" s="113" t="s">
        <v>846</v>
      </c>
      <c r="K296" s="113" t="s">
        <v>853</v>
      </c>
      <c r="L296" s="113">
        <v>40</v>
      </c>
      <c r="M296" s="113"/>
      <c r="N296" s="113" t="str">
        <f t="shared" si="42"/>
        <v>Status(AttackSpeedRate, 40)</v>
      </c>
      <c r="O296" s="113">
        <v>0</v>
      </c>
      <c r="P296" s="113">
        <v>0</v>
      </c>
      <c r="Q296" s="113"/>
      <c r="R296" s="39" t="b">
        <v>1</v>
      </c>
    </row>
    <row r="297" spans="1:18" x14ac:dyDescent="0.3">
      <c r="A297" s="198" t="s">
        <v>693</v>
      </c>
      <c r="B297" s="113"/>
      <c r="C297" s="113"/>
      <c r="D297" s="113">
        <v>0</v>
      </c>
      <c r="E297" s="113">
        <v>1</v>
      </c>
      <c r="F297" s="113" t="s">
        <v>476</v>
      </c>
      <c r="G297" s="113" t="s">
        <v>477</v>
      </c>
      <c r="H297" s="113"/>
      <c r="I297" s="113">
        <v>0</v>
      </c>
      <c r="J297" s="113" t="s">
        <v>846</v>
      </c>
      <c r="K297" s="113" t="s">
        <v>858</v>
      </c>
      <c r="L297" s="113">
        <v>40</v>
      </c>
      <c r="M297" s="113"/>
      <c r="N297" s="113" t="str">
        <f t="shared" si="42"/>
        <v>Status(CriticalRate, 40)</v>
      </c>
      <c r="O297" s="113">
        <v>0</v>
      </c>
      <c r="P297" s="113">
        <v>0</v>
      </c>
      <c r="Q297" s="113"/>
      <c r="R297" s="39" t="b">
        <v>1</v>
      </c>
    </row>
    <row r="298" spans="1:18" x14ac:dyDescent="0.3">
      <c r="A298" s="198" t="s">
        <v>697</v>
      </c>
      <c r="B298" s="113"/>
      <c r="C298" s="113"/>
      <c r="D298" s="113">
        <v>0</v>
      </c>
      <c r="E298" s="113">
        <v>1</v>
      </c>
      <c r="F298" s="113" t="s">
        <v>476</v>
      </c>
      <c r="G298" s="113" t="s">
        <v>477</v>
      </c>
      <c r="H298" s="113"/>
      <c r="I298" s="113">
        <v>0</v>
      </c>
      <c r="J298" s="113" t="s">
        <v>848</v>
      </c>
      <c r="K298" s="113" t="s">
        <v>849</v>
      </c>
      <c r="L298" s="113"/>
      <c r="M298" s="113"/>
      <c r="N298" s="113" t="str">
        <f t="shared" si="42"/>
        <v>CrowdControl(Stun)</v>
      </c>
      <c r="O298" s="113">
        <v>0</v>
      </c>
      <c r="P298" s="113">
        <v>0</v>
      </c>
      <c r="Q298" s="113"/>
      <c r="R298" s="39" t="b">
        <v>1</v>
      </c>
    </row>
    <row r="299" spans="1:18" x14ac:dyDescent="0.3">
      <c r="A299" s="198" t="s">
        <v>699</v>
      </c>
      <c r="B299" s="113"/>
      <c r="C299" s="113"/>
      <c r="D299" s="113">
        <v>0</v>
      </c>
      <c r="E299" s="113">
        <v>1</v>
      </c>
      <c r="F299" s="113" t="s">
        <v>476</v>
      </c>
      <c r="G299" s="113" t="s">
        <v>477</v>
      </c>
      <c r="H299" s="113"/>
      <c r="I299" s="113">
        <v>0</v>
      </c>
      <c r="J299" s="113" t="s">
        <v>846</v>
      </c>
      <c r="K299" s="113" t="s">
        <v>847</v>
      </c>
      <c r="L299" s="113">
        <v>1200</v>
      </c>
      <c r="M299" s="113"/>
      <c r="N299" s="113" t="str">
        <f t="shared" si="42"/>
        <v>Status(DefenseRatio, 1200)</v>
      </c>
      <c r="O299" s="113">
        <v>0</v>
      </c>
      <c r="P299" s="113">
        <v>0</v>
      </c>
      <c r="Q299" s="113"/>
      <c r="R299" s="39" t="b">
        <v>1</v>
      </c>
    </row>
    <row r="300" spans="1:18" x14ac:dyDescent="0.3">
      <c r="A300" s="198" t="s">
        <v>701</v>
      </c>
      <c r="B300" s="113"/>
      <c r="C300" s="113"/>
      <c r="D300" s="113">
        <v>0</v>
      </c>
      <c r="E300" s="113">
        <v>1</v>
      </c>
      <c r="F300" s="113" t="s">
        <v>476</v>
      </c>
      <c r="G300" s="113" t="s">
        <v>477</v>
      </c>
      <c r="H300" s="113"/>
      <c r="I300" s="113">
        <v>0</v>
      </c>
      <c r="J300" s="113" t="s">
        <v>848</v>
      </c>
      <c r="K300" s="113" t="s">
        <v>849</v>
      </c>
      <c r="L300" s="113"/>
      <c r="M300" s="113"/>
      <c r="N300" s="113" t="str">
        <f t="shared" si="42"/>
        <v>CrowdControl(Stun)</v>
      </c>
      <c r="O300" s="113">
        <v>0</v>
      </c>
      <c r="P300" s="113">
        <v>0</v>
      </c>
      <c r="Q300" s="113"/>
      <c r="R300" s="39" t="b">
        <v>1</v>
      </c>
    </row>
    <row r="301" spans="1:18" x14ac:dyDescent="0.3">
      <c r="A301" s="201" t="s">
        <v>703</v>
      </c>
      <c r="B301" s="23"/>
      <c r="C301" s="23"/>
      <c r="D301" s="23">
        <v>0</v>
      </c>
      <c r="E301" s="23">
        <v>1</v>
      </c>
      <c r="F301" s="23" t="s">
        <v>476</v>
      </c>
      <c r="G301" s="23" t="s">
        <v>477</v>
      </c>
      <c r="H301" s="23"/>
      <c r="I301" s="23">
        <v>0</v>
      </c>
      <c r="J301" s="23" t="s">
        <v>851</v>
      </c>
      <c r="K301" s="23" t="s">
        <v>845</v>
      </c>
      <c r="L301" s="23">
        <v>820</v>
      </c>
      <c r="M301" s="23"/>
      <c r="N301" s="23" t="str">
        <f t="shared" si="42"/>
        <v>Hot(MaxHp, 820)</v>
      </c>
      <c r="O301" s="23">
        <v>0</v>
      </c>
      <c r="P301" s="23">
        <v>1000</v>
      </c>
      <c r="Q301" s="23"/>
      <c r="R301" s="24" t="b">
        <v>1</v>
      </c>
    </row>
    <row r="302" spans="1:18" x14ac:dyDescent="0.3">
      <c r="A302" s="202" t="s">
        <v>705</v>
      </c>
      <c r="B302" s="27"/>
      <c r="C302" s="27"/>
      <c r="D302" s="27">
        <v>0</v>
      </c>
      <c r="E302" s="27">
        <v>1</v>
      </c>
      <c r="F302" s="27" t="s">
        <v>476</v>
      </c>
      <c r="G302" s="27" t="s">
        <v>477</v>
      </c>
      <c r="H302" s="27"/>
      <c r="I302" s="27">
        <v>0</v>
      </c>
      <c r="J302" s="27" t="s">
        <v>470</v>
      </c>
      <c r="K302" s="27" t="s">
        <v>950</v>
      </c>
      <c r="L302" s="27" t="s">
        <v>951</v>
      </c>
      <c r="M302" s="27"/>
      <c r="N302" s="27" t="str">
        <f t="shared" si="42"/>
        <v>Effect(OnDie, Daily.Atk.hellfire_drone_3.passive01.buff.buffeffect.skilleffect)</v>
      </c>
      <c r="O302" s="27">
        <v>0</v>
      </c>
      <c r="P302" s="27">
        <v>0</v>
      </c>
      <c r="Q302" s="27"/>
      <c r="R302" s="28" t="b">
        <v>1</v>
      </c>
    </row>
    <row r="303" spans="1:18" x14ac:dyDescent="0.3">
      <c r="A303" s="202" t="s">
        <v>707</v>
      </c>
      <c r="B303" s="27"/>
      <c r="C303" s="27"/>
      <c r="D303" s="27">
        <v>0</v>
      </c>
      <c r="E303" s="27">
        <v>1</v>
      </c>
      <c r="F303" s="27" t="s">
        <v>476</v>
      </c>
      <c r="G303" s="27" t="s">
        <v>477</v>
      </c>
      <c r="H303" s="27"/>
      <c r="I303" s="27">
        <v>0</v>
      </c>
      <c r="J303" s="27" t="s">
        <v>846</v>
      </c>
      <c r="K303" s="27" t="s">
        <v>872</v>
      </c>
      <c r="L303" s="27">
        <v>500</v>
      </c>
      <c r="M303" s="27"/>
      <c r="N303" s="27" t="str">
        <f t="shared" si="42"/>
        <v>Status(DamageDerate, 500)</v>
      </c>
      <c r="O303" s="27">
        <v>0</v>
      </c>
      <c r="P303" s="27">
        <v>0</v>
      </c>
      <c r="Q303" s="27"/>
      <c r="R303" s="28" t="b">
        <v>1</v>
      </c>
    </row>
    <row r="304" spans="1:18" x14ac:dyDescent="0.3">
      <c r="A304" s="201" t="s">
        <v>710</v>
      </c>
      <c r="B304" s="23"/>
      <c r="C304" s="23"/>
      <c r="D304" s="23">
        <v>0</v>
      </c>
      <c r="E304" s="23">
        <v>1</v>
      </c>
      <c r="F304" s="23" t="s">
        <v>476</v>
      </c>
      <c r="G304" s="23" t="s">
        <v>477</v>
      </c>
      <c r="H304" s="23"/>
      <c r="I304" s="23">
        <v>0</v>
      </c>
      <c r="J304" s="23" t="s">
        <v>470</v>
      </c>
      <c r="K304" s="23" t="s">
        <v>950</v>
      </c>
      <c r="L304" s="23" t="s">
        <v>952</v>
      </c>
      <c r="M304" s="23"/>
      <c r="N304" s="23" t="str">
        <f t="shared" si="42"/>
        <v>Effect(OnDie, Daily.Atk.regeneration_drone_3.passive01.buff.buffeffect.skilleffect)</v>
      </c>
      <c r="O304" s="23">
        <v>0</v>
      </c>
      <c r="P304" s="23">
        <v>0</v>
      </c>
      <c r="Q304" s="23"/>
      <c r="R304" s="24" t="b">
        <v>1</v>
      </c>
    </row>
    <row r="305" spans="1:18" x14ac:dyDescent="0.3">
      <c r="A305" s="201" t="s">
        <v>712</v>
      </c>
      <c r="B305" s="23"/>
      <c r="C305" s="23"/>
      <c r="D305" s="23">
        <v>0</v>
      </c>
      <c r="E305" s="23">
        <v>1</v>
      </c>
      <c r="F305" s="23" t="s">
        <v>476</v>
      </c>
      <c r="G305" s="23" t="s">
        <v>477</v>
      </c>
      <c r="H305" s="23"/>
      <c r="I305" s="23">
        <v>0</v>
      </c>
      <c r="J305" s="23" t="s">
        <v>846</v>
      </c>
      <c r="K305" s="23" t="s">
        <v>924</v>
      </c>
      <c r="L305" s="23">
        <v>500</v>
      </c>
      <c r="M305" s="23"/>
      <c r="N305" s="23" t="str">
        <f t="shared" si="42"/>
        <v>Status(GuardRate, 500)</v>
      </c>
      <c r="O305" s="23">
        <v>0</v>
      </c>
      <c r="P305" s="23">
        <v>0</v>
      </c>
      <c r="Q305" s="23"/>
      <c r="R305" s="24" t="b">
        <v>1</v>
      </c>
    </row>
    <row r="306" spans="1:18" x14ac:dyDescent="0.3">
      <c r="A306" s="202" t="s">
        <v>716</v>
      </c>
      <c r="B306" s="27"/>
      <c r="C306" s="27"/>
      <c r="D306" s="27">
        <v>0</v>
      </c>
      <c r="E306" s="27">
        <v>1</v>
      </c>
      <c r="F306" s="27" t="s">
        <v>476</v>
      </c>
      <c r="G306" s="27" t="s">
        <v>477</v>
      </c>
      <c r="H306" s="27"/>
      <c r="I306" s="27">
        <v>0</v>
      </c>
      <c r="J306" s="27" t="s">
        <v>882</v>
      </c>
      <c r="K306" s="27" t="s">
        <v>895</v>
      </c>
      <c r="L306" s="27" t="s">
        <v>953</v>
      </c>
      <c r="M306" s="27" t="s">
        <v>1074</v>
      </c>
      <c r="N306" s="27" t="str">
        <f t="shared" si="42"/>
        <v>Event(DecHpOverRate, Daily.Atk.Boss.passive01.buff.buffeffect.skilleffect, HpRateCondition(40))</v>
      </c>
      <c r="O306" s="27">
        <v>0</v>
      </c>
      <c r="P306" s="27">
        <v>0</v>
      </c>
      <c r="Q306" s="27"/>
      <c r="R306" s="28" t="b">
        <v>1</v>
      </c>
    </row>
    <row r="307" spans="1:18" x14ac:dyDescent="0.3">
      <c r="A307" s="202" t="s">
        <v>718</v>
      </c>
      <c r="B307" s="27"/>
      <c r="C307" s="27"/>
      <c r="D307" s="27">
        <v>0</v>
      </c>
      <c r="E307" s="27">
        <v>1</v>
      </c>
      <c r="F307" s="27" t="s">
        <v>476</v>
      </c>
      <c r="G307" s="27" t="s">
        <v>477</v>
      </c>
      <c r="H307" s="27"/>
      <c r="I307" s="27">
        <v>0</v>
      </c>
      <c r="J307" s="27" t="s">
        <v>835</v>
      </c>
      <c r="K307" s="27" t="s">
        <v>845</v>
      </c>
      <c r="L307" s="27">
        <v>85</v>
      </c>
      <c r="M307" s="27"/>
      <c r="N307" s="27" t="str">
        <f t="shared" si="42"/>
        <v>Shield(MaxHp, 85)</v>
      </c>
      <c r="O307" s="27">
        <v>0</v>
      </c>
      <c r="P307" s="27">
        <v>0</v>
      </c>
      <c r="Q307" s="27"/>
      <c r="R307" s="28" t="b">
        <v>1</v>
      </c>
    </row>
    <row r="308" spans="1:18" x14ac:dyDescent="0.3">
      <c r="A308" s="202" t="s">
        <v>721</v>
      </c>
      <c r="B308" s="27"/>
      <c r="C308" s="27"/>
      <c r="D308" s="27">
        <v>0</v>
      </c>
      <c r="E308" s="27">
        <v>1</v>
      </c>
      <c r="F308" s="27" t="s">
        <v>476</v>
      </c>
      <c r="G308" s="27" t="s">
        <v>477</v>
      </c>
      <c r="H308" s="27"/>
      <c r="I308" s="27">
        <v>0</v>
      </c>
      <c r="J308" s="27" t="s">
        <v>470</v>
      </c>
      <c r="K308" s="27" t="s">
        <v>950</v>
      </c>
      <c r="L308" s="27" t="s">
        <v>954</v>
      </c>
      <c r="M308" s="27"/>
      <c r="N308" s="27" t="str">
        <f t="shared" si="42"/>
        <v>Effect(OnDie, Daily.Atk.Boss.End.passive01.buff.buffeffect.skilleffect)</v>
      </c>
      <c r="O308" s="27">
        <v>0</v>
      </c>
      <c r="P308" s="27">
        <v>0</v>
      </c>
      <c r="Q308" s="27"/>
      <c r="R308" s="28" t="b">
        <v>1</v>
      </c>
    </row>
    <row r="309" spans="1:18" x14ac:dyDescent="0.3">
      <c r="A309" s="201" t="s">
        <v>723</v>
      </c>
      <c r="B309" s="23"/>
      <c r="C309" s="23"/>
      <c r="D309" s="23">
        <v>0</v>
      </c>
      <c r="E309" s="23">
        <v>1</v>
      </c>
      <c r="F309" s="23" t="s">
        <v>476</v>
      </c>
      <c r="G309" s="23" t="s">
        <v>477</v>
      </c>
      <c r="H309" s="23"/>
      <c r="I309" s="23">
        <v>0</v>
      </c>
      <c r="J309" s="23" t="s">
        <v>846</v>
      </c>
      <c r="K309" s="23" t="s">
        <v>847</v>
      </c>
      <c r="L309" s="23">
        <v>1000</v>
      </c>
      <c r="M309" s="23"/>
      <c r="N309" s="23" t="str">
        <f t="shared" si="42"/>
        <v>Status(DefenseRatio, 1000)</v>
      </c>
      <c r="O309" s="23">
        <v>0</v>
      </c>
      <c r="P309" s="23">
        <v>0</v>
      </c>
      <c r="Q309" s="23"/>
      <c r="R309" s="24" t="b">
        <v>1</v>
      </c>
    </row>
    <row r="310" spans="1:18" x14ac:dyDescent="0.3">
      <c r="A310" s="201" t="s">
        <v>725</v>
      </c>
      <c r="B310" s="23"/>
      <c r="C310" s="23"/>
      <c r="D310" s="23">
        <v>0</v>
      </c>
      <c r="E310" s="23">
        <v>1</v>
      </c>
      <c r="F310" s="23" t="s">
        <v>476</v>
      </c>
      <c r="G310" s="23" t="s">
        <v>477</v>
      </c>
      <c r="H310" s="23"/>
      <c r="I310" s="23">
        <v>0</v>
      </c>
      <c r="J310" s="23" t="s">
        <v>846</v>
      </c>
      <c r="K310" s="23" t="s">
        <v>847</v>
      </c>
      <c r="L310" s="23">
        <v>1000</v>
      </c>
      <c r="M310" s="23"/>
      <c r="N310" s="23" t="str">
        <f t="shared" si="42"/>
        <v>Status(DefenseRatio, 1000)</v>
      </c>
      <c r="O310" s="23">
        <v>0</v>
      </c>
      <c r="P310" s="23">
        <v>0</v>
      </c>
      <c r="Q310" s="23"/>
      <c r="R310" s="24" t="b">
        <v>1</v>
      </c>
    </row>
    <row r="311" spans="1:18" x14ac:dyDescent="0.3">
      <c r="A311" s="201" t="s">
        <v>727</v>
      </c>
      <c r="B311" s="23"/>
      <c r="C311" s="23"/>
      <c r="D311" s="23">
        <v>0</v>
      </c>
      <c r="E311" s="23">
        <v>1</v>
      </c>
      <c r="F311" s="23" t="s">
        <v>476</v>
      </c>
      <c r="G311" s="23" t="s">
        <v>477</v>
      </c>
      <c r="H311" s="23"/>
      <c r="I311" s="23">
        <v>0</v>
      </c>
      <c r="J311" s="23" t="s">
        <v>848</v>
      </c>
      <c r="K311" s="23" t="s">
        <v>850</v>
      </c>
      <c r="L311" s="23"/>
      <c r="M311" s="23"/>
      <c r="N311" s="23" t="str">
        <f t="shared" si="42"/>
        <v>CrowdControl(Knockback)</v>
      </c>
      <c r="O311" s="23">
        <v>0</v>
      </c>
      <c r="P311" s="23">
        <v>0</v>
      </c>
      <c r="Q311" s="23"/>
      <c r="R311" s="24" t="b">
        <v>1</v>
      </c>
    </row>
    <row r="312" spans="1:18" x14ac:dyDescent="0.3">
      <c r="A312" s="201" t="s">
        <v>729</v>
      </c>
      <c r="B312" s="23"/>
      <c r="C312" s="23"/>
      <c r="D312" s="23">
        <v>0</v>
      </c>
      <c r="E312" s="23">
        <v>1</v>
      </c>
      <c r="F312" s="23" t="s">
        <v>476</v>
      </c>
      <c r="G312" s="23" t="s">
        <v>477</v>
      </c>
      <c r="H312" s="23"/>
      <c r="I312" s="23">
        <v>0</v>
      </c>
      <c r="J312" s="23" t="s">
        <v>848</v>
      </c>
      <c r="K312" s="23" t="s">
        <v>850</v>
      </c>
      <c r="L312" s="23"/>
      <c r="M312" s="23"/>
      <c r="N312" s="23" t="str">
        <f t="shared" si="42"/>
        <v>CrowdControl(Knockback)</v>
      </c>
      <c r="O312" s="23">
        <v>0</v>
      </c>
      <c r="P312" s="23">
        <v>0</v>
      </c>
      <c r="Q312" s="23"/>
      <c r="R312" s="24" t="b">
        <v>1</v>
      </c>
    </row>
    <row r="313" spans="1:18" x14ac:dyDescent="0.3">
      <c r="A313" s="201" t="s">
        <v>731</v>
      </c>
      <c r="B313" s="23"/>
      <c r="C313" s="23"/>
      <c r="D313" s="23">
        <v>0</v>
      </c>
      <c r="E313" s="23">
        <v>1</v>
      </c>
      <c r="F313" s="23" t="s">
        <v>476</v>
      </c>
      <c r="G313" s="23" t="s">
        <v>477</v>
      </c>
      <c r="H313" s="23"/>
      <c r="I313" s="23">
        <v>0</v>
      </c>
      <c r="J313" s="23" t="s">
        <v>846</v>
      </c>
      <c r="K313" s="23" t="s">
        <v>847</v>
      </c>
      <c r="L313" s="23">
        <v>1000</v>
      </c>
      <c r="M313" s="23"/>
      <c r="N313" s="23" t="str">
        <f t="shared" si="42"/>
        <v>Status(DefenseRatio, 1000)</v>
      </c>
      <c r="O313" s="23">
        <v>0</v>
      </c>
      <c r="P313" s="23">
        <v>0</v>
      </c>
      <c r="Q313" s="23"/>
      <c r="R313" s="24" t="b">
        <v>1</v>
      </c>
    </row>
    <row r="314" spans="1:18" x14ac:dyDescent="0.3">
      <c r="A314" s="201" t="s">
        <v>733</v>
      </c>
      <c r="B314" s="23"/>
      <c r="C314" s="23"/>
      <c r="D314" s="23">
        <v>0</v>
      </c>
      <c r="E314" s="23">
        <v>1</v>
      </c>
      <c r="F314" s="23" t="s">
        <v>476</v>
      </c>
      <c r="G314" s="23" t="s">
        <v>477</v>
      </c>
      <c r="H314" s="23"/>
      <c r="I314" s="23">
        <v>0</v>
      </c>
      <c r="J314" s="23" t="s">
        <v>848</v>
      </c>
      <c r="K314" s="23" t="s">
        <v>850</v>
      </c>
      <c r="L314" s="23"/>
      <c r="M314" s="23"/>
      <c r="N314" s="23" t="str">
        <f t="shared" si="42"/>
        <v>CrowdControl(Knockback)</v>
      </c>
      <c r="O314" s="23">
        <v>0</v>
      </c>
      <c r="P314" s="23">
        <v>0</v>
      </c>
      <c r="Q314" s="23"/>
      <c r="R314" s="24" t="b">
        <v>1</v>
      </c>
    </row>
    <row r="315" spans="1:18" x14ac:dyDescent="0.3">
      <c r="A315" s="201" t="s">
        <v>735</v>
      </c>
      <c r="B315" s="23"/>
      <c r="C315" s="23"/>
      <c r="D315" s="23">
        <v>0</v>
      </c>
      <c r="E315" s="23">
        <v>1</v>
      </c>
      <c r="F315" s="23" t="s">
        <v>476</v>
      </c>
      <c r="G315" s="23" t="s">
        <v>477</v>
      </c>
      <c r="H315" s="23"/>
      <c r="I315" s="23">
        <v>0</v>
      </c>
      <c r="J315" s="23" t="s">
        <v>835</v>
      </c>
      <c r="K315" s="23" t="s">
        <v>845</v>
      </c>
      <c r="L315" s="23">
        <v>300</v>
      </c>
      <c r="M315" s="23"/>
      <c r="N315" s="23" t="str">
        <f t="shared" si="42"/>
        <v>Shield(MaxHp, 300)</v>
      </c>
      <c r="O315" s="23">
        <v>0</v>
      </c>
      <c r="P315" s="23">
        <v>0</v>
      </c>
      <c r="Q315" s="23"/>
      <c r="R315" s="24" t="b">
        <v>1</v>
      </c>
    </row>
    <row r="316" spans="1:18" x14ac:dyDescent="0.3">
      <c r="A316" s="201" t="s">
        <v>737</v>
      </c>
      <c r="B316" s="23"/>
      <c r="C316" s="23"/>
      <c r="D316" s="23">
        <v>0</v>
      </c>
      <c r="E316" s="23">
        <v>1</v>
      </c>
      <c r="F316" s="23" t="s">
        <v>476</v>
      </c>
      <c r="G316" s="23" t="s">
        <v>477</v>
      </c>
      <c r="H316" s="23"/>
      <c r="I316" s="23">
        <v>0</v>
      </c>
      <c r="J316" s="23" t="s">
        <v>846</v>
      </c>
      <c r="K316" s="23" t="s">
        <v>847</v>
      </c>
      <c r="L316" s="23">
        <v>300</v>
      </c>
      <c r="M316" s="23"/>
      <c r="N316" s="23" t="str">
        <f t="shared" si="42"/>
        <v>Status(DefenseRatio, 300)</v>
      </c>
      <c r="O316" s="23">
        <v>0</v>
      </c>
      <c r="P316" s="23">
        <v>0</v>
      </c>
      <c r="Q316" s="23"/>
      <c r="R316" s="24" t="b">
        <v>1</v>
      </c>
    </row>
    <row r="317" spans="1:18" x14ac:dyDescent="0.3">
      <c r="A317" s="202" t="s">
        <v>739</v>
      </c>
      <c r="B317" s="27" t="s">
        <v>843</v>
      </c>
      <c r="C317" s="27">
        <v>-50</v>
      </c>
      <c r="D317" s="27">
        <v>0</v>
      </c>
      <c r="E317" s="27">
        <v>1</v>
      </c>
      <c r="F317" s="27" t="s">
        <v>476</v>
      </c>
      <c r="G317" s="27" t="s">
        <v>477</v>
      </c>
      <c r="H317" s="27"/>
      <c r="I317" s="27">
        <v>0</v>
      </c>
      <c r="J317" s="27" t="s">
        <v>860</v>
      </c>
      <c r="K317" s="27" t="s">
        <v>955</v>
      </c>
      <c r="L317" s="27"/>
      <c r="M317" s="27"/>
      <c r="N317" s="27" t="str">
        <f t="shared" si="42"/>
        <v>Active(Daily.Def.DamageUp.passive01.buff.buffeffect.skilleffect)</v>
      </c>
      <c r="O317" s="27">
        <v>0</v>
      </c>
      <c r="P317" s="27">
        <v>0</v>
      </c>
      <c r="Q317" s="27"/>
      <c r="R317" s="28" t="b">
        <v>0</v>
      </c>
    </row>
    <row r="318" spans="1:18" x14ac:dyDescent="0.3">
      <c r="A318" s="202" t="s">
        <v>741</v>
      </c>
      <c r="B318" s="27"/>
      <c r="C318" s="27"/>
      <c r="D318" s="27">
        <v>0</v>
      </c>
      <c r="E318" s="27">
        <v>1</v>
      </c>
      <c r="F318" s="27" t="s">
        <v>476</v>
      </c>
      <c r="G318" s="27" t="s">
        <v>477</v>
      </c>
      <c r="H318" s="27"/>
      <c r="I318" s="27">
        <v>0</v>
      </c>
      <c r="J318" s="27" t="s">
        <v>846</v>
      </c>
      <c r="K318" s="27" t="s">
        <v>852</v>
      </c>
      <c r="L318" s="27">
        <v>2000</v>
      </c>
      <c r="M318" s="27"/>
      <c r="N318" s="27" t="str">
        <f t="shared" si="42"/>
        <v>Status(AttackRatio, 2000)</v>
      </c>
      <c r="O318" s="27">
        <v>0</v>
      </c>
      <c r="P318" s="27">
        <v>0</v>
      </c>
      <c r="Q318" s="27"/>
      <c r="R318" s="28" t="b">
        <v>0</v>
      </c>
    </row>
    <row r="319" spans="1:18" x14ac:dyDescent="0.3">
      <c r="A319" s="198" t="s">
        <v>743</v>
      </c>
      <c r="B319" s="113"/>
      <c r="C319" s="113"/>
      <c r="D319" s="113">
        <v>0</v>
      </c>
      <c r="E319" s="113">
        <v>1</v>
      </c>
      <c r="F319" s="113" t="s">
        <v>476</v>
      </c>
      <c r="G319" s="113" t="s">
        <v>477</v>
      </c>
      <c r="H319" s="113"/>
      <c r="I319" s="113">
        <v>0</v>
      </c>
      <c r="J319" s="113" t="s">
        <v>835</v>
      </c>
      <c r="K319" s="113" t="s">
        <v>845</v>
      </c>
      <c r="L319" s="113">
        <v>250</v>
      </c>
      <c r="M319" s="113"/>
      <c r="N319" s="113" t="str">
        <f t="shared" si="42"/>
        <v>Shield(MaxHp, 250)</v>
      </c>
      <c r="O319" s="113">
        <v>0</v>
      </c>
      <c r="P319" s="113">
        <v>0</v>
      </c>
      <c r="Q319" s="113"/>
      <c r="R319" s="39" t="b">
        <v>1</v>
      </c>
    </row>
    <row r="320" spans="1:18" x14ac:dyDescent="0.3">
      <c r="A320" s="198" t="s">
        <v>745</v>
      </c>
      <c r="B320" s="113"/>
      <c r="C320" s="113"/>
      <c r="D320" s="113">
        <v>0</v>
      </c>
      <c r="E320" s="113">
        <v>1</v>
      </c>
      <c r="F320" s="113" t="s">
        <v>476</v>
      </c>
      <c r="G320" s="113" t="s">
        <v>477</v>
      </c>
      <c r="H320" s="113"/>
      <c r="I320" s="113">
        <v>0</v>
      </c>
      <c r="J320" s="113" t="s">
        <v>501</v>
      </c>
      <c r="K320" s="113" t="s">
        <v>844</v>
      </c>
      <c r="L320" s="113">
        <v>300</v>
      </c>
      <c r="M320" s="113"/>
      <c r="N320" s="113" t="str">
        <f t="shared" si="42"/>
        <v>Burn(Attack, 300)</v>
      </c>
      <c r="O320" s="113">
        <v>0</v>
      </c>
      <c r="P320" s="113">
        <v>1000</v>
      </c>
      <c r="Q320" s="113"/>
      <c r="R320" s="39" t="b">
        <v>1</v>
      </c>
    </row>
    <row r="321" spans="1:18" x14ac:dyDescent="0.3">
      <c r="A321" s="199" t="s">
        <v>747</v>
      </c>
      <c r="B321" s="131"/>
      <c r="C321" s="131"/>
      <c r="D321" s="131">
        <v>0</v>
      </c>
      <c r="E321" s="131">
        <v>1</v>
      </c>
      <c r="F321" s="131" t="s">
        <v>476</v>
      </c>
      <c r="G321" s="131" t="s">
        <v>477</v>
      </c>
      <c r="H321" s="131"/>
      <c r="I321" s="131">
        <v>0</v>
      </c>
      <c r="J321" s="131" t="s">
        <v>846</v>
      </c>
      <c r="K321" s="131" t="s">
        <v>887</v>
      </c>
      <c r="L321" s="131">
        <v>600</v>
      </c>
      <c r="M321" s="131"/>
      <c r="N321" s="131" t="str">
        <f t="shared" si="42"/>
        <v>Status(HpDrainRate, 600)</v>
      </c>
      <c r="O321" s="131">
        <v>0</v>
      </c>
      <c r="P321" s="131">
        <v>0</v>
      </c>
      <c r="Q321" s="131"/>
      <c r="R321" s="132" t="b">
        <v>0</v>
      </c>
    </row>
    <row r="322" spans="1:18" x14ac:dyDescent="0.3">
      <c r="A322" s="199" t="s">
        <v>750</v>
      </c>
      <c r="B322" s="131"/>
      <c r="C322" s="131"/>
      <c r="D322" s="131">
        <v>0</v>
      </c>
      <c r="E322" s="131">
        <v>1</v>
      </c>
      <c r="F322" s="131" t="s">
        <v>476</v>
      </c>
      <c r="G322" s="131" t="s">
        <v>477</v>
      </c>
      <c r="H322" s="131"/>
      <c r="I322" s="131">
        <v>0</v>
      </c>
      <c r="J322" s="131" t="s">
        <v>846</v>
      </c>
      <c r="K322" s="131" t="s">
        <v>852</v>
      </c>
      <c r="L322" s="131">
        <v>-500</v>
      </c>
      <c r="M322" s="131"/>
      <c r="N322" s="131" t="str">
        <f t="shared" si="42"/>
        <v>Status(AttackRatio, -500)</v>
      </c>
      <c r="O322" s="131">
        <v>0</v>
      </c>
      <c r="P322" s="131">
        <v>0</v>
      </c>
      <c r="Q322" s="131"/>
      <c r="R322" s="132" t="b">
        <v>1</v>
      </c>
    </row>
    <row r="323" spans="1:18" x14ac:dyDescent="0.3">
      <c r="A323" s="198" t="s">
        <v>752</v>
      </c>
      <c r="B323" s="113"/>
      <c r="C323" s="113"/>
      <c r="D323" s="113">
        <v>0</v>
      </c>
      <c r="E323" s="113">
        <v>1</v>
      </c>
      <c r="F323" s="113" t="s">
        <v>476</v>
      </c>
      <c r="G323" s="113" t="s">
        <v>477</v>
      </c>
      <c r="H323" s="113"/>
      <c r="I323" s="113">
        <v>0</v>
      </c>
      <c r="J323" s="113" t="s">
        <v>848</v>
      </c>
      <c r="K323" s="113" t="s">
        <v>849</v>
      </c>
      <c r="L323" s="113"/>
      <c r="M323" s="113"/>
      <c r="N323" s="113" t="str">
        <f t="shared" si="42"/>
        <v>CrowdControl(Stun)</v>
      </c>
      <c r="O323" s="113">
        <v>0</v>
      </c>
      <c r="P323" s="113">
        <v>0</v>
      </c>
      <c r="Q323" s="113"/>
      <c r="R323" s="39" t="b">
        <v>1</v>
      </c>
    </row>
    <row r="324" spans="1:18" x14ac:dyDescent="0.3">
      <c r="A324" s="198" t="s">
        <v>754</v>
      </c>
      <c r="B324" s="113"/>
      <c r="C324" s="113"/>
      <c r="D324" s="113">
        <v>0</v>
      </c>
      <c r="E324" s="113">
        <v>1</v>
      </c>
      <c r="F324" s="113" t="s">
        <v>476</v>
      </c>
      <c r="G324" s="113" t="s">
        <v>477</v>
      </c>
      <c r="H324" s="113"/>
      <c r="I324" s="113">
        <v>0</v>
      </c>
      <c r="J324" s="113" t="s">
        <v>846</v>
      </c>
      <c r="K324" s="113" t="s">
        <v>852</v>
      </c>
      <c r="L324" s="113">
        <v>-300</v>
      </c>
      <c r="M324" s="113"/>
      <c r="N324" s="113" t="str">
        <f t="shared" si="42"/>
        <v>Status(AttackRatio, -300)</v>
      </c>
      <c r="O324" s="113">
        <v>0</v>
      </c>
      <c r="P324" s="113">
        <v>0</v>
      </c>
      <c r="Q324" s="113"/>
      <c r="R324" s="39" t="b">
        <v>1</v>
      </c>
    </row>
    <row r="325" spans="1:18" x14ac:dyDescent="0.3">
      <c r="A325" s="198" t="s">
        <v>756</v>
      </c>
      <c r="B325" s="113"/>
      <c r="C325" s="113"/>
      <c r="D325" s="113">
        <v>0</v>
      </c>
      <c r="E325" s="113">
        <v>1</v>
      </c>
      <c r="F325" s="113" t="s">
        <v>476</v>
      </c>
      <c r="G325" s="113" t="s">
        <v>477</v>
      </c>
      <c r="H325" s="113"/>
      <c r="I325" s="113">
        <v>0</v>
      </c>
      <c r="J325" s="113" t="s">
        <v>846</v>
      </c>
      <c r="K325" s="113" t="s">
        <v>852</v>
      </c>
      <c r="L325" s="113">
        <v>500</v>
      </c>
      <c r="M325" s="113"/>
      <c r="N325" s="113" t="str">
        <f t="shared" si="42"/>
        <v>Status(AttackRatio, 500)</v>
      </c>
      <c r="O325" s="113">
        <v>0</v>
      </c>
      <c r="P325" s="113">
        <v>0</v>
      </c>
      <c r="Q325" s="113"/>
      <c r="R325" s="39" t="b">
        <v>1</v>
      </c>
    </row>
    <row r="326" spans="1:18" x14ac:dyDescent="0.3">
      <c r="A326" s="198" t="s">
        <v>758</v>
      </c>
      <c r="B326" s="113"/>
      <c r="C326" s="113"/>
      <c r="D326" s="113">
        <v>0</v>
      </c>
      <c r="E326" s="113">
        <v>1</v>
      </c>
      <c r="F326" s="113" t="s">
        <v>476</v>
      </c>
      <c r="G326" s="113" t="s">
        <v>477</v>
      </c>
      <c r="H326" s="113"/>
      <c r="I326" s="113">
        <v>0</v>
      </c>
      <c r="J326" s="113" t="s">
        <v>880</v>
      </c>
      <c r="K326" s="113" t="s">
        <v>863</v>
      </c>
      <c r="L326" s="113">
        <v>100</v>
      </c>
      <c r="M326" s="113"/>
      <c r="N326" s="113" t="str">
        <f t="shared" si="42"/>
        <v>EffectResist(Damage, 100)</v>
      </c>
      <c r="O326" s="113">
        <v>0</v>
      </c>
      <c r="P326" s="113">
        <v>0</v>
      </c>
      <c r="Q326" s="113"/>
      <c r="R326" s="39" t="b">
        <v>1</v>
      </c>
    </row>
    <row r="327" spans="1:18" x14ac:dyDescent="0.3">
      <c r="A327" s="198" t="s">
        <v>760</v>
      </c>
      <c r="B327" s="113"/>
      <c r="C327" s="113"/>
      <c r="D327" s="113">
        <v>0</v>
      </c>
      <c r="E327" s="113">
        <v>1</v>
      </c>
      <c r="F327" s="113" t="s">
        <v>476</v>
      </c>
      <c r="G327" s="113" t="s">
        <v>477</v>
      </c>
      <c r="H327" s="113"/>
      <c r="I327" s="113">
        <v>0</v>
      </c>
      <c r="J327" s="113" t="s">
        <v>503</v>
      </c>
      <c r="K327" s="113" t="s">
        <v>844</v>
      </c>
      <c r="L327" s="113">
        <v>100</v>
      </c>
      <c r="M327" s="113"/>
      <c r="N327" s="113" t="str">
        <f t="shared" si="42"/>
        <v>Poison(Attack, 100)</v>
      </c>
      <c r="O327" s="113">
        <v>0</v>
      </c>
      <c r="P327" s="113">
        <v>1000</v>
      </c>
      <c r="Q327" s="113"/>
      <c r="R327" s="39" t="b">
        <v>1</v>
      </c>
    </row>
    <row r="328" spans="1:18" x14ac:dyDescent="0.3">
      <c r="A328" s="198" t="s">
        <v>763</v>
      </c>
      <c r="B328" s="113"/>
      <c r="C328" s="113"/>
      <c r="D328" s="113">
        <v>0</v>
      </c>
      <c r="E328" s="113">
        <v>1</v>
      </c>
      <c r="F328" s="113" t="s">
        <v>476</v>
      </c>
      <c r="G328" s="113" t="s">
        <v>477</v>
      </c>
      <c r="H328" s="113"/>
      <c r="I328" s="113">
        <v>0</v>
      </c>
      <c r="J328" s="113" t="s">
        <v>846</v>
      </c>
      <c r="K328" s="113" t="s">
        <v>853</v>
      </c>
      <c r="L328" s="113">
        <v>-150</v>
      </c>
      <c r="M328" s="113"/>
      <c r="N328" s="113" t="str">
        <f t="shared" si="42"/>
        <v>Status(AttackSpeedRate, -150)</v>
      </c>
      <c r="O328" s="113">
        <v>0</v>
      </c>
      <c r="P328" s="113">
        <v>0</v>
      </c>
      <c r="Q328" s="113"/>
      <c r="R328" s="39" t="b">
        <v>1</v>
      </c>
    </row>
    <row r="329" spans="1:18" x14ac:dyDescent="0.3">
      <c r="A329" s="198" t="s">
        <v>765</v>
      </c>
      <c r="B329" s="113"/>
      <c r="C329" s="113"/>
      <c r="D329" s="113">
        <v>0</v>
      </c>
      <c r="E329" s="113">
        <v>1</v>
      </c>
      <c r="F329" s="113" t="s">
        <v>476</v>
      </c>
      <c r="G329" s="113" t="s">
        <v>477</v>
      </c>
      <c r="H329" s="113"/>
      <c r="I329" s="113">
        <v>0</v>
      </c>
      <c r="J329" s="113" t="s">
        <v>846</v>
      </c>
      <c r="K329" s="113" t="s">
        <v>853</v>
      </c>
      <c r="L329" s="113">
        <v>250</v>
      </c>
      <c r="M329" s="113"/>
      <c r="N329" s="113" t="str">
        <f t="shared" si="42"/>
        <v>Status(AttackSpeedRate, 250)</v>
      </c>
      <c r="O329" s="113">
        <v>0</v>
      </c>
      <c r="P329" s="113">
        <v>0</v>
      </c>
      <c r="Q329" s="113"/>
      <c r="R329" s="39" t="b">
        <v>1</v>
      </c>
    </row>
    <row r="330" spans="1:18" x14ac:dyDescent="0.3">
      <c r="A330" s="198" t="s">
        <v>767</v>
      </c>
      <c r="B330" s="113"/>
      <c r="C330" s="113"/>
      <c r="D330" s="113">
        <v>0</v>
      </c>
      <c r="E330" s="113">
        <v>1</v>
      </c>
      <c r="F330" s="113" t="s">
        <v>476</v>
      </c>
      <c r="G330" s="113" t="s">
        <v>477</v>
      </c>
      <c r="H330" s="113"/>
      <c r="I330" s="113">
        <v>0</v>
      </c>
      <c r="J330" s="113" t="s">
        <v>503</v>
      </c>
      <c r="K330" s="113" t="s">
        <v>844</v>
      </c>
      <c r="L330" s="113">
        <v>300</v>
      </c>
      <c r="M330" s="113"/>
      <c r="N330" s="113" t="str">
        <f t="shared" ref="N330:N333" si="46">J330&amp;"("&amp;IF(K330="","",K330)&amp;IF(L330="","",", "&amp;L330)&amp;IF(M330="","",", "&amp;M330)&amp;")"</f>
        <v>Poison(Attack, 300)</v>
      </c>
      <c r="O330" s="113">
        <v>0</v>
      </c>
      <c r="P330" s="113">
        <v>1000</v>
      </c>
      <c r="Q330" s="113"/>
      <c r="R330" s="39" t="b">
        <v>1</v>
      </c>
    </row>
    <row r="331" spans="1:18" x14ac:dyDescent="0.3">
      <c r="A331" s="198" t="s">
        <v>769</v>
      </c>
      <c r="B331" s="113"/>
      <c r="C331" s="113"/>
      <c r="D331" s="113">
        <v>0</v>
      </c>
      <c r="E331" s="113">
        <v>1</v>
      </c>
      <c r="F331" s="113" t="s">
        <v>476</v>
      </c>
      <c r="G331" s="113" t="s">
        <v>477</v>
      </c>
      <c r="H331" s="113"/>
      <c r="I331" s="113">
        <v>0</v>
      </c>
      <c r="J331" s="113" t="s">
        <v>846</v>
      </c>
      <c r="K331" s="113" t="s">
        <v>847</v>
      </c>
      <c r="L331" s="113">
        <v>1000</v>
      </c>
      <c r="M331" s="113"/>
      <c r="N331" s="113" t="str">
        <f t="shared" si="46"/>
        <v>Status(DefenseRatio, 1000)</v>
      </c>
      <c r="O331" s="113">
        <v>0</v>
      </c>
      <c r="P331" s="113">
        <v>0</v>
      </c>
      <c r="Q331" s="113"/>
      <c r="R331" s="39" t="b">
        <v>1</v>
      </c>
    </row>
    <row r="332" spans="1:18" x14ac:dyDescent="0.3">
      <c r="A332" s="198" t="s">
        <v>771</v>
      </c>
      <c r="B332" s="113"/>
      <c r="C332" s="113"/>
      <c r="D332" s="113">
        <v>0</v>
      </c>
      <c r="E332" s="113">
        <v>1</v>
      </c>
      <c r="F332" s="113" t="s">
        <v>476</v>
      </c>
      <c r="G332" s="113" t="s">
        <v>477</v>
      </c>
      <c r="H332" s="113"/>
      <c r="I332" s="113">
        <v>0</v>
      </c>
      <c r="J332" s="113" t="s">
        <v>846</v>
      </c>
      <c r="K332" s="113" t="s">
        <v>852</v>
      </c>
      <c r="L332" s="113">
        <v>-300</v>
      </c>
      <c r="M332" s="113"/>
      <c r="N332" s="113" t="str">
        <f t="shared" si="46"/>
        <v>Status(AttackRatio, -300)</v>
      </c>
      <c r="O332" s="113">
        <v>0</v>
      </c>
      <c r="P332" s="113">
        <v>0</v>
      </c>
      <c r="Q332" s="113"/>
      <c r="R332" s="39" t="b">
        <v>1</v>
      </c>
    </row>
    <row r="333" spans="1:18" x14ac:dyDescent="0.3">
      <c r="A333" s="198" t="s">
        <v>773</v>
      </c>
      <c r="B333" s="113"/>
      <c r="C333" s="113"/>
      <c r="D333" s="113">
        <v>0</v>
      </c>
      <c r="E333" s="113">
        <v>1</v>
      </c>
      <c r="F333" s="113" t="s">
        <v>476</v>
      </c>
      <c r="G333" s="113" t="s">
        <v>477</v>
      </c>
      <c r="H333" s="113"/>
      <c r="I333" s="113">
        <v>0</v>
      </c>
      <c r="J333" s="113" t="s">
        <v>501</v>
      </c>
      <c r="K333" s="113" t="s">
        <v>844</v>
      </c>
      <c r="L333" s="113">
        <v>300</v>
      </c>
      <c r="M333" s="113"/>
      <c r="N333" s="113" t="str">
        <f t="shared" si="46"/>
        <v>Burn(Attack, 300)</v>
      </c>
      <c r="O333" s="113">
        <v>0</v>
      </c>
      <c r="P333" s="113">
        <v>1000</v>
      </c>
      <c r="Q333" s="113"/>
      <c r="R333" s="39" t="b">
        <v>1</v>
      </c>
    </row>
    <row r="334" spans="1:18" x14ac:dyDescent="0.3">
      <c r="A334" s="198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39"/>
    </row>
    <row r="335" spans="1:18" x14ac:dyDescent="0.3">
      <c r="A335" s="26" t="s">
        <v>1507</v>
      </c>
      <c r="B335" s="27"/>
      <c r="C335" s="27"/>
      <c r="D335" s="27">
        <v>0</v>
      </c>
      <c r="E335" s="27">
        <v>1</v>
      </c>
      <c r="F335" s="27" t="s">
        <v>476</v>
      </c>
      <c r="G335" s="27" t="s">
        <v>477</v>
      </c>
      <c r="H335" s="27"/>
      <c r="I335" s="27">
        <v>0</v>
      </c>
      <c r="J335" s="27" t="s">
        <v>835</v>
      </c>
      <c r="K335" s="27" t="s">
        <v>981</v>
      </c>
      <c r="L335" s="27">
        <v>20000</v>
      </c>
      <c r="M335" s="27"/>
      <c r="N335" s="27" t="str">
        <f t="shared" ref="N335:N368" si="47">J335&amp;"("&amp;IF(K335="","",K335)&amp;IF(L335="","",", "&amp;L335)&amp;IF(M335="","",", "&amp;M335)&amp;")"</f>
        <v>Shield(Defense, 20000)</v>
      </c>
      <c r="O335" s="27">
        <v>0</v>
      </c>
      <c r="P335" s="27">
        <v>0</v>
      </c>
      <c r="Q335" s="27"/>
      <c r="R335" s="28" t="b">
        <v>1</v>
      </c>
    </row>
    <row r="336" spans="1:18" x14ac:dyDescent="0.3">
      <c r="A336" s="26" t="s">
        <v>1508</v>
      </c>
      <c r="B336" s="27"/>
      <c r="C336" s="27"/>
      <c r="D336" s="27">
        <v>0</v>
      </c>
      <c r="E336" s="27">
        <v>1</v>
      </c>
      <c r="F336" s="27" t="s">
        <v>476</v>
      </c>
      <c r="G336" s="27" t="s">
        <v>477</v>
      </c>
      <c r="H336" s="27"/>
      <c r="I336" s="27">
        <v>0</v>
      </c>
      <c r="J336" s="27" t="s">
        <v>848</v>
      </c>
      <c r="K336" s="27" t="s">
        <v>849</v>
      </c>
      <c r="L336" s="27"/>
      <c r="M336" s="27"/>
      <c r="N336" s="27" t="str">
        <f t="shared" si="47"/>
        <v>CrowdControl(Stun)</v>
      </c>
      <c r="O336" s="27">
        <v>0</v>
      </c>
      <c r="P336" s="27">
        <v>0</v>
      </c>
      <c r="Q336" s="27"/>
      <c r="R336" s="28" t="b">
        <v>1</v>
      </c>
    </row>
    <row r="337" spans="1:18" x14ac:dyDescent="0.3">
      <c r="A337" s="26" t="s">
        <v>1788</v>
      </c>
      <c r="B337" s="27"/>
      <c r="C337" s="27"/>
      <c r="D337" s="27">
        <v>0</v>
      </c>
      <c r="E337" s="27">
        <v>1</v>
      </c>
      <c r="F337" s="27" t="s">
        <v>476</v>
      </c>
      <c r="G337" s="27" t="s">
        <v>477</v>
      </c>
      <c r="H337" s="27"/>
      <c r="I337" s="27">
        <v>0</v>
      </c>
      <c r="J337" s="27" t="s">
        <v>846</v>
      </c>
      <c r="K337" s="27" t="s">
        <v>1243</v>
      </c>
      <c r="L337" s="27">
        <v>40</v>
      </c>
      <c r="M337" s="27"/>
      <c r="N337" s="27" t="str">
        <f t="shared" si="47"/>
        <v>Status(DamageReduceHpOverRate, 40)</v>
      </c>
      <c r="O337" s="27">
        <v>0</v>
      </c>
      <c r="P337" s="27">
        <v>0</v>
      </c>
      <c r="Q337" s="27"/>
      <c r="R337" s="28" t="b">
        <v>1</v>
      </c>
    </row>
    <row r="338" spans="1:18" x14ac:dyDescent="0.3">
      <c r="A338" s="135" t="s">
        <v>1509</v>
      </c>
      <c r="B338" s="136"/>
      <c r="C338" s="136"/>
      <c r="D338" s="136">
        <v>0</v>
      </c>
      <c r="E338" s="136">
        <v>1</v>
      </c>
      <c r="F338" s="136" t="s">
        <v>476</v>
      </c>
      <c r="G338" s="136" t="s">
        <v>477</v>
      </c>
      <c r="H338" s="136"/>
      <c r="I338" s="136">
        <v>0</v>
      </c>
      <c r="J338" s="136" t="s">
        <v>835</v>
      </c>
      <c r="K338" s="136" t="s">
        <v>944</v>
      </c>
      <c r="L338" s="136">
        <v>20000</v>
      </c>
      <c r="M338" s="136"/>
      <c r="N338" s="136" t="str">
        <f t="shared" si="47"/>
        <v>Shield(Defense, 20000)</v>
      </c>
      <c r="O338" s="136">
        <v>0</v>
      </c>
      <c r="P338" s="136">
        <v>0</v>
      </c>
      <c r="Q338" s="136"/>
      <c r="R338" s="137" t="b">
        <v>1</v>
      </c>
    </row>
    <row r="339" spans="1:18" x14ac:dyDescent="0.3">
      <c r="A339" s="135" t="s">
        <v>1510</v>
      </c>
      <c r="B339" s="136"/>
      <c r="C339" s="136"/>
      <c r="D339" s="136">
        <v>0</v>
      </c>
      <c r="E339" s="136">
        <v>1</v>
      </c>
      <c r="F339" s="136" t="s">
        <v>476</v>
      </c>
      <c r="G339" s="136" t="s">
        <v>477</v>
      </c>
      <c r="H339" s="136"/>
      <c r="I339" s="136">
        <v>0</v>
      </c>
      <c r="J339" s="136" t="s">
        <v>865</v>
      </c>
      <c r="K339" s="136" t="s">
        <v>1506</v>
      </c>
      <c r="L339" s="136">
        <v>1000</v>
      </c>
      <c r="M339" s="136"/>
      <c r="N339" s="136" t="str">
        <f t="shared" si="47"/>
        <v>Reflect(All, 1000)</v>
      </c>
      <c r="O339" s="136">
        <v>0</v>
      </c>
      <c r="P339" s="136">
        <v>0</v>
      </c>
      <c r="Q339" s="136"/>
      <c r="R339" s="137" t="b">
        <v>1</v>
      </c>
    </row>
    <row r="340" spans="1:18" x14ac:dyDescent="0.3">
      <c r="A340" s="135" t="s">
        <v>1511</v>
      </c>
      <c r="B340" s="136"/>
      <c r="C340" s="136"/>
      <c r="D340" s="136">
        <v>0</v>
      </c>
      <c r="E340" s="136">
        <v>1</v>
      </c>
      <c r="F340" s="136" t="s">
        <v>476</v>
      </c>
      <c r="G340" s="136" t="s">
        <v>477</v>
      </c>
      <c r="H340" s="136"/>
      <c r="I340" s="136">
        <v>0</v>
      </c>
      <c r="J340" s="136" t="s">
        <v>470</v>
      </c>
      <c r="K340" s="136" t="s">
        <v>867</v>
      </c>
      <c r="L340" s="136" t="s">
        <v>1512</v>
      </c>
      <c r="M340" s="136"/>
      <c r="N340" s="136" t="str">
        <f t="shared" si="47"/>
        <v>Effect(BeHit, BossChallenge.gallius_2.skill01.effect01.shield.buff.buffeffect03.skilleffect)</v>
      </c>
      <c r="O340" s="136">
        <v>0</v>
      </c>
      <c r="P340" s="136">
        <v>0</v>
      </c>
      <c r="Q340" s="136"/>
      <c r="R340" s="137" t="b">
        <v>1</v>
      </c>
    </row>
    <row r="341" spans="1:18" x14ac:dyDescent="0.3">
      <c r="A341" s="135" t="s">
        <v>1513</v>
      </c>
      <c r="B341" s="136"/>
      <c r="C341" s="136"/>
      <c r="D341" s="136">
        <v>0</v>
      </c>
      <c r="E341" s="136">
        <v>1</v>
      </c>
      <c r="F341" s="136" t="s">
        <v>476</v>
      </c>
      <c r="G341" s="136" t="s">
        <v>477</v>
      </c>
      <c r="H341" s="136"/>
      <c r="I341" s="136">
        <v>0</v>
      </c>
      <c r="J341" s="136" t="s">
        <v>848</v>
      </c>
      <c r="K341" s="136" t="s">
        <v>849</v>
      </c>
      <c r="L341" s="136"/>
      <c r="M341" s="136"/>
      <c r="N341" s="136" t="str">
        <f t="shared" si="47"/>
        <v>CrowdControl(Stun)</v>
      </c>
      <c r="O341" s="136">
        <v>0</v>
      </c>
      <c r="P341" s="136">
        <v>0</v>
      </c>
      <c r="Q341" s="136"/>
      <c r="R341" s="137" t="b">
        <v>1</v>
      </c>
    </row>
    <row r="342" spans="1:18" x14ac:dyDescent="0.3">
      <c r="A342" s="135" t="s">
        <v>1789</v>
      </c>
      <c r="B342" s="136"/>
      <c r="C342" s="136"/>
      <c r="D342" s="136">
        <v>0</v>
      </c>
      <c r="E342" s="136">
        <v>1</v>
      </c>
      <c r="F342" s="136" t="s">
        <v>476</v>
      </c>
      <c r="G342" s="136" t="s">
        <v>477</v>
      </c>
      <c r="H342" s="136"/>
      <c r="I342" s="136">
        <v>0</v>
      </c>
      <c r="J342" s="136" t="s">
        <v>846</v>
      </c>
      <c r="K342" s="136" t="s">
        <v>1243</v>
      </c>
      <c r="L342" s="136">
        <v>40</v>
      </c>
      <c r="M342" s="136"/>
      <c r="N342" s="136" t="str">
        <f t="shared" si="47"/>
        <v>Status(DamageReduceHpOverRate, 40)</v>
      </c>
      <c r="O342" s="136">
        <v>0</v>
      </c>
      <c r="P342" s="136">
        <v>0</v>
      </c>
      <c r="Q342" s="136"/>
      <c r="R342" s="137" t="b">
        <v>1</v>
      </c>
    </row>
    <row r="343" spans="1:18" x14ac:dyDescent="0.3">
      <c r="A343" s="139" t="s">
        <v>1514</v>
      </c>
      <c r="B343" s="140"/>
      <c r="C343" s="140"/>
      <c r="D343" s="140">
        <v>0</v>
      </c>
      <c r="E343" s="140">
        <v>1</v>
      </c>
      <c r="F343" s="140" t="s">
        <v>476</v>
      </c>
      <c r="G343" s="140" t="s">
        <v>477</v>
      </c>
      <c r="H343" s="140"/>
      <c r="I343" s="140">
        <v>0</v>
      </c>
      <c r="J343" s="140" t="s">
        <v>470</v>
      </c>
      <c r="K343" s="140" t="s">
        <v>867</v>
      </c>
      <c r="L343" s="140" t="s">
        <v>1515</v>
      </c>
      <c r="M343" s="140"/>
      <c r="N343" s="140" t="str">
        <f t="shared" si="47"/>
        <v>Effect(BeHit, BossChallenge.cassandra_1.passive01.buff.buffeffect.skilleffect01)</v>
      </c>
      <c r="O343" s="31">
        <v>0</v>
      </c>
      <c r="P343" s="31">
        <v>0</v>
      </c>
      <c r="Q343" s="31"/>
      <c r="R343" s="32" t="b">
        <v>1</v>
      </c>
    </row>
    <row r="344" spans="1:18" x14ac:dyDescent="0.3">
      <c r="A344" s="139" t="s">
        <v>1516</v>
      </c>
      <c r="B344" s="140"/>
      <c r="C344" s="140"/>
      <c r="D344" s="140">
        <v>0</v>
      </c>
      <c r="E344" s="140">
        <v>1</v>
      </c>
      <c r="F344" s="140" t="s">
        <v>476</v>
      </c>
      <c r="G344" s="140" t="s">
        <v>477</v>
      </c>
      <c r="H344" s="140"/>
      <c r="I344" s="140">
        <v>0</v>
      </c>
      <c r="J344" s="140" t="s">
        <v>846</v>
      </c>
      <c r="K344" s="140" t="s">
        <v>852</v>
      </c>
      <c r="L344" s="140">
        <v>2</v>
      </c>
      <c r="M344" s="140"/>
      <c r="N344" s="140" t="str">
        <f t="shared" si="47"/>
        <v>Status(AttackRatio, 2)</v>
      </c>
      <c r="O344" s="31">
        <v>0</v>
      </c>
      <c r="P344" s="31">
        <v>0</v>
      </c>
      <c r="Q344" s="31"/>
      <c r="R344" s="32" t="b">
        <v>1</v>
      </c>
    </row>
    <row r="345" spans="1:18" x14ac:dyDescent="0.3">
      <c r="A345" s="54" t="s">
        <v>1517</v>
      </c>
      <c r="B345" s="51"/>
      <c r="C345" s="51"/>
      <c r="D345" s="51">
        <v>0</v>
      </c>
      <c r="E345" s="51">
        <v>1</v>
      </c>
      <c r="F345" s="51" t="s">
        <v>476</v>
      </c>
      <c r="G345" s="51" t="s">
        <v>477</v>
      </c>
      <c r="H345" s="51"/>
      <c r="I345" s="51">
        <v>0</v>
      </c>
      <c r="J345" s="51" t="s">
        <v>846</v>
      </c>
      <c r="K345" s="51" t="s">
        <v>869</v>
      </c>
      <c r="L345" s="51">
        <v>-500</v>
      </c>
      <c r="M345" s="51"/>
      <c r="N345" s="51" t="str">
        <f t="shared" si="47"/>
        <v>Status(AddEnergyRate, -500)</v>
      </c>
      <c r="O345" s="49">
        <v>0</v>
      </c>
      <c r="P345" s="49">
        <v>0</v>
      </c>
      <c r="Q345" s="49"/>
      <c r="R345" s="50" t="b">
        <v>1</v>
      </c>
    </row>
    <row r="346" spans="1:18" x14ac:dyDescent="0.3">
      <c r="A346" s="54" t="s">
        <v>1518</v>
      </c>
      <c r="B346" s="51"/>
      <c r="C346" s="51"/>
      <c r="D346" s="51">
        <v>0</v>
      </c>
      <c r="E346" s="51">
        <v>1</v>
      </c>
      <c r="F346" s="51" t="s">
        <v>476</v>
      </c>
      <c r="G346" s="51" t="s">
        <v>477</v>
      </c>
      <c r="H346" s="51"/>
      <c r="I346" s="51">
        <v>0</v>
      </c>
      <c r="J346" s="51" t="s">
        <v>470</v>
      </c>
      <c r="K346" s="51" t="s">
        <v>867</v>
      </c>
      <c r="L346" s="51" t="s">
        <v>1519</v>
      </c>
      <c r="M346" s="51"/>
      <c r="N346" s="51" t="str">
        <f t="shared" si="47"/>
        <v>Effect(BeHit, BossChallenge.cassandra_2.passive01.buff.buffeffect.skilleffect01)</v>
      </c>
      <c r="O346" s="49">
        <v>0</v>
      </c>
      <c r="P346" s="49">
        <v>0</v>
      </c>
      <c r="Q346" s="49"/>
      <c r="R346" s="50" t="b">
        <v>1</v>
      </c>
    </row>
    <row r="347" spans="1:18" x14ac:dyDescent="0.3">
      <c r="A347" s="54" t="s">
        <v>1520</v>
      </c>
      <c r="B347" s="51"/>
      <c r="C347" s="51"/>
      <c r="D347" s="51">
        <v>0</v>
      </c>
      <c r="E347" s="51">
        <v>1</v>
      </c>
      <c r="F347" s="51" t="s">
        <v>476</v>
      </c>
      <c r="G347" s="51" t="s">
        <v>477</v>
      </c>
      <c r="H347" s="51"/>
      <c r="I347" s="51">
        <v>0</v>
      </c>
      <c r="J347" s="51" t="s">
        <v>846</v>
      </c>
      <c r="K347" s="51" t="s">
        <v>852</v>
      </c>
      <c r="L347" s="51">
        <v>2</v>
      </c>
      <c r="M347" s="51"/>
      <c r="N347" s="51" t="str">
        <f t="shared" si="47"/>
        <v>Status(AttackRatio, 2)</v>
      </c>
      <c r="O347" s="49">
        <v>0</v>
      </c>
      <c r="P347" s="49">
        <v>0</v>
      </c>
      <c r="Q347" s="49"/>
      <c r="R347" s="50" t="b">
        <v>1</v>
      </c>
    </row>
    <row r="348" spans="1:18" x14ac:dyDescent="0.3">
      <c r="A348" s="54" t="s">
        <v>1521</v>
      </c>
      <c r="B348" s="51"/>
      <c r="C348" s="51"/>
      <c r="D348" s="51">
        <v>0</v>
      </c>
      <c r="E348" s="51">
        <v>1</v>
      </c>
      <c r="F348" s="51" t="s">
        <v>476</v>
      </c>
      <c r="G348" s="51" t="s">
        <v>477</v>
      </c>
      <c r="H348" s="51"/>
      <c r="I348" s="51">
        <v>0</v>
      </c>
      <c r="J348" s="51" t="s">
        <v>871</v>
      </c>
      <c r="K348" s="51"/>
      <c r="L348" s="51"/>
      <c r="M348" s="51"/>
      <c r="N348" s="51" t="str">
        <f t="shared" si="47"/>
        <v>None()</v>
      </c>
      <c r="O348" s="49">
        <v>0</v>
      </c>
      <c r="P348" s="49">
        <v>0</v>
      </c>
      <c r="Q348" s="49"/>
      <c r="R348" s="50" t="b">
        <v>1</v>
      </c>
    </row>
    <row r="349" spans="1:18" x14ac:dyDescent="0.3">
      <c r="A349" s="35" t="s">
        <v>1522</v>
      </c>
      <c r="B349" s="36"/>
      <c r="C349" s="36"/>
      <c r="D349" s="36">
        <v>0</v>
      </c>
      <c r="E349" s="36">
        <v>1</v>
      </c>
      <c r="F349" s="36" t="s">
        <v>476</v>
      </c>
      <c r="G349" s="36" t="s">
        <v>477</v>
      </c>
      <c r="H349" s="36"/>
      <c r="I349" s="36">
        <v>0</v>
      </c>
      <c r="J349" s="36" t="s">
        <v>846</v>
      </c>
      <c r="K349" s="36" t="s">
        <v>852</v>
      </c>
      <c r="L349" s="36">
        <v>-400</v>
      </c>
      <c r="M349" s="36"/>
      <c r="N349" s="36" t="str">
        <f t="shared" si="47"/>
        <v>Status(AttackRatio, -400)</v>
      </c>
      <c r="O349" s="36">
        <v>0</v>
      </c>
      <c r="P349" s="36">
        <v>0</v>
      </c>
      <c r="Q349" s="36"/>
      <c r="R349" s="37" t="b">
        <v>1</v>
      </c>
    </row>
    <row r="350" spans="1:18" x14ac:dyDescent="0.3">
      <c r="A350" s="35" t="s">
        <v>1523</v>
      </c>
      <c r="B350" s="36"/>
      <c r="C350" s="36"/>
      <c r="D350" s="36">
        <v>0</v>
      </c>
      <c r="E350" s="36">
        <v>1</v>
      </c>
      <c r="F350" s="36" t="s">
        <v>476</v>
      </c>
      <c r="G350" s="36" t="s">
        <v>477</v>
      </c>
      <c r="H350" s="36"/>
      <c r="I350" s="36">
        <v>0</v>
      </c>
      <c r="J350" s="36" t="s">
        <v>848</v>
      </c>
      <c r="K350" s="36" t="s">
        <v>849</v>
      </c>
      <c r="L350" s="36"/>
      <c r="M350" s="36"/>
      <c r="N350" s="36" t="str">
        <f t="shared" si="47"/>
        <v>CrowdControl(Stun)</v>
      </c>
      <c r="O350" s="36">
        <v>0</v>
      </c>
      <c r="P350" s="36">
        <v>0</v>
      </c>
      <c r="Q350" s="36"/>
      <c r="R350" s="37" t="b">
        <v>1</v>
      </c>
    </row>
    <row r="351" spans="1:18" x14ac:dyDescent="0.3">
      <c r="A351" s="35" t="s">
        <v>1524</v>
      </c>
      <c r="B351" s="36"/>
      <c r="C351" s="36"/>
      <c r="D351" s="36">
        <v>0</v>
      </c>
      <c r="E351" s="36">
        <v>1</v>
      </c>
      <c r="F351" s="36" t="s">
        <v>476</v>
      </c>
      <c r="G351" s="36" t="s">
        <v>477</v>
      </c>
      <c r="H351" s="36"/>
      <c r="I351" s="36">
        <v>0</v>
      </c>
      <c r="J351" s="36" t="s">
        <v>862</v>
      </c>
      <c r="K351" s="36" t="s">
        <v>863</v>
      </c>
      <c r="L351" s="36">
        <v>100</v>
      </c>
      <c r="M351" s="36"/>
      <c r="N351" s="36" t="str">
        <f t="shared" si="47"/>
        <v>EffectImmune(Damage, 100)</v>
      </c>
      <c r="O351" s="36">
        <v>1</v>
      </c>
      <c r="P351" s="36">
        <v>0</v>
      </c>
      <c r="Q351" s="36"/>
      <c r="R351" s="37" t="b">
        <v>1</v>
      </c>
    </row>
    <row r="352" spans="1:18" x14ac:dyDescent="0.3">
      <c r="A352" s="35" t="s">
        <v>1525</v>
      </c>
      <c r="B352" s="36"/>
      <c r="C352" s="36"/>
      <c r="D352" s="36">
        <v>0</v>
      </c>
      <c r="E352" s="36">
        <v>1</v>
      </c>
      <c r="F352" s="36" t="s">
        <v>476</v>
      </c>
      <c r="G352" s="36" t="s">
        <v>477</v>
      </c>
      <c r="H352" s="36"/>
      <c r="I352" s="36">
        <v>0</v>
      </c>
      <c r="J352" s="36" t="s">
        <v>882</v>
      </c>
      <c r="K352" s="36" t="s">
        <v>1092</v>
      </c>
      <c r="L352" s="36" t="s">
        <v>1526</v>
      </c>
      <c r="M352" s="36"/>
      <c r="N352" s="36" t="str">
        <f t="shared" si="47"/>
        <v>Event(Immune, BossChallenge.theomega_1.skill02.pre.buff.buffeffect02.skilleffect)</v>
      </c>
      <c r="O352" s="36">
        <v>0</v>
      </c>
      <c r="P352" s="36">
        <v>0</v>
      </c>
      <c r="Q352" s="36"/>
      <c r="R352" s="37" t="b">
        <v>1</v>
      </c>
    </row>
    <row r="353" spans="1:18" x14ac:dyDescent="0.3">
      <c r="A353" s="35" t="s">
        <v>1527</v>
      </c>
      <c r="B353" s="36"/>
      <c r="C353" s="36"/>
      <c r="D353" s="36">
        <v>0</v>
      </c>
      <c r="E353" s="36">
        <v>1</v>
      </c>
      <c r="F353" s="36" t="s">
        <v>476</v>
      </c>
      <c r="G353" s="36" t="s">
        <v>477</v>
      </c>
      <c r="H353" s="36"/>
      <c r="I353" s="36">
        <v>0</v>
      </c>
      <c r="J353" s="36" t="s">
        <v>846</v>
      </c>
      <c r="K353" s="36" t="s">
        <v>872</v>
      </c>
      <c r="L353" s="36">
        <v>-500</v>
      </c>
      <c r="M353" s="36"/>
      <c r="N353" s="36" t="str">
        <f t="shared" si="47"/>
        <v>Status(DamageDerate, -500)</v>
      </c>
      <c r="O353" s="36">
        <v>0</v>
      </c>
      <c r="P353" s="36">
        <v>0</v>
      </c>
      <c r="Q353" s="36"/>
      <c r="R353" s="37" t="b">
        <v>1</v>
      </c>
    </row>
    <row r="354" spans="1:18" x14ac:dyDescent="0.3">
      <c r="A354" s="35" t="s">
        <v>1528</v>
      </c>
      <c r="B354" s="36"/>
      <c r="C354" s="36"/>
      <c r="D354" s="36">
        <v>0</v>
      </c>
      <c r="E354" s="36">
        <v>1</v>
      </c>
      <c r="F354" s="36" t="s">
        <v>476</v>
      </c>
      <c r="G354" s="36" t="s">
        <v>477</v>
      </c>
      <c r="H354" s="36"/>
      <c r="I354" s="36">
        <v>0</v>
      </c>
      <c r="J354" s="36" t="s">
        <v>846</v>
      </c>
      <c r="K354" s="36" t="s">
        <v>857</v>
      </c>
      <c r="L354" s="36">
        <v>1000</v>
      </c>
      <c r="M354" s="36"/>
      <c r="N354" s="36" t="str">
        <f t="shared" si="47"/>
        <v>Status(DamageRate, 1000)</v>
      </c>
      <c r="O354" s="36">
        <v>0</v>
      </c>
      <c r="P354" s="36">
        <v>0</v>
      </c>
      <c r="Q354" s="36"/>
      <c r="R354" s="37" t="b">
        <v>1</v>
      </c>
    </row>
    <row r="355" spans="1:18" x14ac:dyDescent="0.3">
      <c r="A355" s="35" t="s">
        <v>1529</v>
      </c>
      <c r="B355" s="36"/>
      <c r="C355" s="36"/>
      <c r="D355" s="36">
        <v>0</v>
      </c>
      <c r="E355" s="36">
        <v>1</v>
      </c>
      <c r="F355" s="36" t="s">
        <v>476</v>
      </c>
      <c r="G355" s="36" t="s">
        <v>477</v>
      </c>
      <c r="H355" s="36"/>
      <c r="I355" s="36">
        <v>0</v>
      </c>
      <c r="J355" s="36" t="s">
        <v>851</v>
      </c>
      <c r="K355" s="36" t="s">
        <v>845</v>
      </c>
      <c r="L355" s="36">
        <v>50</v>
      </c>
      <c r="M355" s="36"/>
      <c r="N355" s="36" t="str">
        <f t="shared" si="47"/>
        <v>Hot(MaxHp, 50)</v>
      </c>
      <c r="O355" s="36">
        <v>0</v>
      </c>
      <c r="P355" s="36">
        <v>800</v>
      </c>
      <c r="Q355" s="36"/>
      <c r="R355" s="37" t="b">
        <v>1</v>
      </c>
    </row>
    <row r="356" spans="1:18" x14ac:dyDescent="0.3">
      <c r="A356" s="35" t="s">
        <v>1530</v>
      </c>
      <c r="B356" s="36"/>
      <c r="C356" s="36"/>
      <c r="D356" s="36">
        <v>0</v>
      </c>
      <c r="E356" s="36">
        <v>1</v>
      </c>
      <c r="F356" s="36" t="s">
        <v>476</v>
      </c>
      <c r="G356" s="36" t="s">
        <v>477</v>
      </c>
      <c r="H356" s="36"/>
      <c r="I356" s="36">
        <v>0</v>
      </c>
      <c r="J356" s="36" t="s">
        <v>470</v>
      </c>
      <c r="K356" s="36" t="s">
        <v>873</v>
      </c>
      <c r="L356" s="36" t="s">
        <v>1531</v>
      </c>
      <c r="M356" s="36"/>
      <c r="N356" s="36" t="str">
        <f t="shared" si="47"/>
        <v>Effect(OnKill, BossChallenge.theomega_1.passive01.buff.buffeffect.skilleffect)</v>
      </c>
      <c r="O356" s="36">
        <v>0</v>
      </c>
      <c r="P356" s="36">
        <v>0</v>
      </c>
      <c r="Q356" s="36"/>
      <c r="R356" s="37" t="b">
        <v>1</v>
      </c>
    </row>
    <row r="357" spans="1:18" x14ac:dyDescent="0.3">
      <c r="A357" s="35" t="s">
        <v>1532</v>
      </c>
      <c r="B357" s="36"/>
      <c r="C357" s="36"/>
      <c r="D357" s="36">
        <v>0</v>
      </c>
      <c r="E357" s="36">
        <v>1</v>
      </c>
      <c r="F357" s="36" t="s">
        <v>476</v>
      </c>
      <c r="G357" s="36" t="s">
        <v>477</v>
      </c>
      <c r="H357" s="36"/>
      <c r="I357" s="36">
        <v>0</v>
      </c>
      <c r="J357" s="36" t="s">
        <v>846</v>
      </c>
      <c r="K357" s="36" t="s">
        <v>853</v>
      </c>
      <c r="L357" s="36">
        <v>300</v>
      </c>
      <c r="M357" s="36"/>
      <c r="N357" s="36" t="str">
        <f t="shared" si="47"/>
        <v>Status(AttackSpeedRate, 300)</v>
      </c>
      <c r="O357" s="36">
        <v>0</v>
      </c>
      <c r="P357" s="36">
        <v>0</v>
      </c>
      <c r="Q357" s="36"/>
      <c r="R357" s="37" t="b">
        <v>1</v>
      </c>
    </row>
    <row r="358" spans="1:18" x14ac:dyDescent="0.3">
      <c r="A358" s="141" t="s">
        <v>1533</v>
      </c>
      <c r="B358" s="142"/>
      <c r="C358" s="142"/>
      <c r="D358" s="142">
        <v>0</v>
      </c>
      <c r="E358" s="142">
        <v>1</v>
      </c>
      <c r="F358" s="142" t="s">
        <v>476</v>
      </c>
      <c r="G358" s="142" t="s">
        <v>477</v>
      </c>
      <c r="H358" s="142"/>
      <c r="I358" s="142">
        <v>0</v>
      </c>
      <c r="J358" s="142" t="s">
        <v>846</v>
      </c>
      <c r="K358" s="142" t="s">
        <v>852</v>
      </c>
      <c r="L358" s="142">
        <v>-400</v>
      </c>
      <c r="M358" s="142"/>
      <c r="N358" s="142" t="str">
        <f t="shared" si="47"/>
        <v>Status(AttackRatio, -400)</v>
      </c>
      <c r="O358" s="142">
        <v>0</v>
      </c>
      <c r="P358" s="142">
        <v>0</v>
      </c>
      <c r="Q358" s="142"/>
      <c r="R358" s="143" t="b">
        <v>1</v>
      </c>
    </row>
    <row r="359" spans="1:18" x14ac:dyDescent="0.3">
      <c r="A359" s="141" t="s">
        <v>1534</v>
      </c>
      <c r="B359" s="142"/>
      <c r="C359" s="142"/>
      <c r="D359" s="142">
        <v>0</v>
      </c>
      <c r="E359" s="142">
        <v>1</v>
      </c>
      <c r="F359" s="142" t="s">
        <v>476</v>
      </c>
      <c r="G359" s="142" t="s">
        <v>477</v>
      </c>
      <c r="H359" s="142"/>
      <c r="I359" s="142">
        <v>0</v>
      </c>
      <c r="J359" s="142" t="s">
        <v>848</v>
      </c>
      <c r="K359" s="142" t="s">
        <v>849</v>
      </c>
      <c r="L359" s="142"/>
      <c r="M359" s="142"/>
      <c r="N359" s="142" t="str">
        <f t="shared" si="47"/>
        <v>CrowdControl(Stun)</v>
      </c>
      <c r="O359" s="142">
        <v>0</v>
      </c>
      <c r="P359" s="142">
        <v>0</v>
      </c>
      <c r="Q359" s="142"/>
      <c r="R359" s="143" t="b">
        <v>1</v>
      </c>
    </row>
    <row r="360" spans="1:18" x14ac:dyDescent="0.3">
      <c r="A360" s="141" t="s">
        <v>1535</v>
      </c>
      <c r="B360" s="142"/>
      <c r="C360" s="142"/>
      <c r="D360" s="142">
        <v>0</v>
      </c>
      <c r="E360" s="142">
        <v>1</v>
      </c>
      <c r="F360" s="142" t="s">
        <v>476</v>
      </c>
      <c r="G360" s="142" t="s">
        <v>477</v>
      </c>
      <c r="H360" s="142"/>
      <c r="I360" s="142">
        <v>0</v>
      </c>
      <c r="J360" s="142" t="s">
        <v>848</v>
      </c>
      <c r="K360" s="142" t="s">
        <v>850</v>
      </c>
      <c r="L360" s="142"/>
      <c r="M360" s="142"/>
      <c r="N360" s="142" t="str">
        <f t="shared" si="47"/>
        <v>CrowdControl(Knockback)</v>
      </c>
      <c r="O360" s="142">
        <v>0</v>
      </c>
      <c r="P360" s="142">
        <v>0</v>
      </c>
      <c r="Q360" s="142"/>
      <c r="R360" s="143" t="b">
        <v>1</v>
      </c>
    </row>
    <row r="361" spans="1:18" x14ac:dyDescent="0.3">
      <c r="A361" s="141" t="s">
        <v>1536</v>
      </c>
      <c r="B361" s="142"/>
      <c r="C361" s="142"/>
      <c r="D361" s="142">
        <v>0</v>
      </c>
      <c r="E361" s="142">
        <v>1</v>
      </c>
      <c r="F361" s="142" t="s">
        <v>476</v>
      </c>
      <c r="G361" s="142" t="s">
        <v>477</v>
      </c>
      <c r="H361" s="142"/>
      <c r="I361" s="142">
        <v>0</v>
      </c>
      <c r="J361" s="142" t="s">
        <v>846</v>
      </c>
      <c r="K361" s="142" t="s">
        <v>875</v>
      </c>
      <c r="L361" s="142">
        <v>-1000</v>
      </c>
      <c r="M361" s="142"/>
      <c r="N361" s="142" t="str">
        <f t="shared" si="47"/>
        <v>Status(MoveSpeedRate, -1000)</v>
      </c>
      <c r="O361" s="142">
        <v>0</v>
      </c>
      <c r="P361" s="142">
        <v>0</v>
      </c>
      <c r="Q361" s="142"/>
      <c r="R361" s="143" t="b">
        <v>1</v>
      </c>
    </row>
    <row r="362" spans="1:18" s="223" customFormat="1" x14ac:dyDescent="0.3">
      <c r="A362" s="226" t="s">
        <v>1537</v>
      </c>
      <c r="B362" s="225"/>
      <c r="C362" s="225"/>
      <c r="D362" s="225">
        <v>0</v>
      </c>
      <c r="E362" s="225">
        <v>1</v>
      </c>
      <c r="F362" s="225" t="s">
        <v>476</v>
      </c>
      <c r="G362" s="225" t="s">
        <v>477</v>
      </c>
      <c r="H362" s="225"/>
      <c r="I362" s="225">
        <v>0</v>
      </c>
      <c r="J362" s="225" t="s">
        <v>851</v>
      </c>
      <c r="K362" s="225" t="s">
        <v>845</v>
      </c>
      <c r="L362" s="225">
        <v>30</v>
      </c>
      <c r="M362" s="225"/>
      <c r="N362" s="225" t="str">
        <f t="shared" si="47"/>
        <v>Hot(MaxHp, 30)</v>
      </c>
      <c r="O362" s="225">
        <v>0</v>
      </c>
      <c r="P362" s="225">
        <v>800</v>
      </c>
      <c r="Q362" s="225"/>
      <c r="R362" s="224" t="b">
        <v>1</v>
      </c>
    </row>
    <row r="363" spans="1:18" x14ac:dyDescent="0.3">
      <c r="A363" s="141" t="s">
        <v>1538</v>
      </c>
      <c r="B363" s="142"/>
      <c r="C363" s="142"/>
      <c r="D363" s="142">
        <v>0</v>
      </c>
      <c r="E363" s="142">
        <v>1</v>
      </c>
      <c r="F363" s="142" t="s">
        <v>476</v>
      </c>
      <c r="G363" s="142" t="s">
        <v>477</v>
      </c>
      <c r="H363" s="142"/>
      <c r="I363" s="142">
        <v>0</v>
      </c>
      <c r="J363" s="142" t="s">
        <v>846</v>
      </c>
      <c r="K363" s="142" t="s">
        <v>858</v>
      </c>
      <c r="L363" s="142">
        <v>1000</v>
      </c>
      <c r="M363" s="142"/>
      <c r="N363" s="142" t="str">
        <f t="shared" si="47"/>
        <v>Status(CriticalRate, 1000)</v>
      </c>
      <c r="O363" s="142">
        <v>0</v>
      </c>
      <c r="P363" s="142">
        <v>0</v>
      </c>
      <c r="Q363" s="142"/>
      <c r="R363" s="143" t="b">
        <v>1</v>
      </c>
    </row>
    <row r="364" spans="1:18" x14ac:dyDescent="0.3">
      <c r="A364" s="141" t="s">
        <v>1539</v>
      </c>
      <c r="B364" s="142"/>
      <c r="C364" s="142"/>
      <c r="D364" s="142">
        <v>0</v>
      </c>
      <c r="E364" s="142">
        <v>1</v>
      </c>
      <c r="F364" s="142" t="s">
        <v>476</v>
      </c>
      <c r="G364" s="142" t="s">
        <v>477</v>
      </c>
      <c r="H364" s="142"/>
      <c r="I364" s="142">
        <v>0</v>
      </c>
      <c r="J364" s="142" t="s">
        <v>846</v>
      </c>
      <c r="K364" s="142" t="s">
        <v>876</v>
      </c>
      <c r="L364" s="142">
        <v>-200</v>
      </c>
      <c r="M364" s="142"/>
      <c r="N364" s="142" t="str">
        <f t="shared" si="47"/>
        <v>Status(AccuracyRate, -200)</v>
      </c>
      <c r="O364" s="142">
        <v>0</v>
      </c>
      <c r="P364" s="142">
        <v>0</v>
      </c>
      <c r="Q364" s="142"/>
      <c r="R364" s="143" t="b">
        <v>1</v>
      </c>
    </row>
    <row r="365" spans="1:18" x14ac:dyDescent="0.3">
      <c r="A365" s="141" t="s">
        <v>1540</v>
      </c>
      <c r="B365" s="142"/>
      <c r="C365" s="142"/>
      <c r="D365" s="142">
        <v>0</v>
      </c>
      <c r="E365" s="142">
        <v>1</v>
      </c>
      <c r="F365" s="142" t="s">
        <v>476</v>
      </c>
      <c r="G365" s="142" t="s">
        <v>477</v>
      </c>
      <c r="H365" s="142"/>
      <c r="I365" s="142">
        <v>0</v>
      </c>
      <c r="J365" s="142" t="s">
        <v>877</v>
      </c>
      <c r="K365" s="142" t="s">
        <v>878</v>
      </c>
      <c r="L365" s="142"/>
      <c r="M365" s="142"/>
      <c r="N365" s="142" t="str">
        <f t="shared" si="47"/>
        <v>ChangeSkill(Normal)</v>
      </c>
      <c r="O365" s="142">
        <v>0</v>
      </c>
      <c r="P365" s="142">
        <v>0</v>
      </c>
      <c r="Q365" s="142"/>
      <c r="R365" s="143" t="b">
        <v>1</v>
      </c>
    </row>
    <row r="366" spans="1:18" x14ac:dyDescent="0.3">
      <c r="A366" s="141" t="s">
        <v>1541</v>
      </c>
      <c r="B366" s="142"/>
      <c r="C366" s="142"/>
      <c r="D366" s="142">
        <v>0</v>
      </c>
      <c r="E366" s="142">
        <v>1</v>
      </c>
      <c r="F366" s="142" t="s">
        <v>476</v>
      </c>
      <c r="G366" s="142" t="s">
        <v>477</v>
      </c>
      <c r="H366" s="142"/>
      <c r="I366" s="142">
        <v>0</v>
      </c>
      <c r="J366" s="142" t="s">
        <v>862</v>
      </c>
      <c r="K366" s="142" t="s">
        <v>863</v>
      </c>
      <c r="L366" s="142">
        <v>100</v>
      </c>
      <c r="M366" s="142"/>
      <c r="N366" s="142" t="str">
        <f t="shared" si="47"/>
        <v>EffectImmune(Damage, 100)</v>
      </c>
      <c r="O366" s="142">
        <v>1</v>
      </c>
      <c r="P366" s="142">
        <v>0</v>
      </c>
      <c r="Q366" s="142"/>
      <c r="R366" s="143" t="b">
        <v>1</v>
      </c>
    </row>
    <row r="367" spans="1:18" x14ac:dyDescent="0.3">
      <c r="A367" s="141" t="s">
        <v>1542</v>
      </c>
      <c r="B367" s="142"/>
      <c r="C367" s="142"/>
      <c r="D367" s="142">
        <v>0</v>
      </c>
      <c r="E367" s="142">
        <v>1</v>
      </c>
      <c r="F367" s="142" t="s">
        <v>476</v>
      </c>
      <c r="G367" s="142" t="s">
        <v>477</v>
      </c>
      <c r="H367" s="142"/>
      <c r="I367" s="142">
        <v>0</v>
      </c>
      <c r="J367" s="142" t="s">
        <v>882</v>
      </c>
      <c r="K367" s="142" t="s">
        <v>1092</v>
      </c>
      <c r="L367" s="142" t="s">
        <v>1543</v>
      </c>
      <c r="M367" s="142"/>
      <c r="N367" s="142" t="str">
        <f t="shared" si="47"/>
        <v>Event(Immune, BossChallenge.theomega_3.skill03.pre.buff.buffeffect02.skilleffect)</v>
      </c>
      <c r="O367" s="142">
        <v>0</v>
      </c>
      <c r="P367" s="142">
        <v>0</v>
      </c>
      <c r="Q367" s="142"/>
      <c r="R367" s="143" t="b">
        <v>1</v>
      </c>
    </row>
    <row r="368" spans="1:18" x14ac:dyDescent="0.3">
      <c r="A368" s="141" t="s">
        <v>1544</v>
      </c>
      <c r="B368" s="142"/>
      <c r="C368" s="142"/>
      <c r="D368" s="142">
        <v>0</v>
      </c>
      <c r="E368" s="142">
        <v>1</v>
      </c>
      <c r="F368" s="142" t="s">
        <v>476</v>
      </c>
      <c r="G368" s="142" t="s">
        <v>477</v>
      </c>
      <c r="H368" s="142"/>
      <c r="I368" s="142">
        <v>0</v>
      </c>
      <c r="J368" s="142" t="s">
        <v>846</v>
      </c>
      <c r="K368" s="142" t="s">
        <v>872</v>
      </c>
      <c r="L368" s="142">
        <v>-500</v>
      </c>
      <c r="M368" s="142"/>
      <c r="N368" s="142" t="str">
        <f t="shared" si="47"/>
        <v>Status(DamageDerate, -500)</v>
      </c>
      <c r="O368" s="142">
        <v>0</v>
      </c>
      <c r="P368" s="142">
        <v>0</v>
      </c>
      <c r="Q368" s="142"/>
      <c r="R368" s="143" t="b">
        <v>1</v>
      </c>
    </row>
    <row r="369" spans="1:18" x14ac:dyDescent="0.3">
      <c r="A369" s="141" t="s">
        <v>1545</v>
      </c>
      <c r="B369" s="142"/>
      <c r="C369" s="142"/>
      <c r="D369" s="142">
        <v>0</v>
      </c>
      <c r="E369" s="142">
        <v>1</v>
      </c>
      <c r="F369" s="142" t="s">
        <v>476</v>
      </c>
      <c r="G369" s="142" t="s">
        <v>477</v>
      </c>
      <c r="H369" s="142"/>
      <c r="I369" s="142">
        <v>0</v>
      </c>
      <c r="J369" s="142" t="s">
        <v>846</v>
      </c>
      <c r="K369" s="142" t="s">
        <v>857</v>
      </c>
      <c r="L369" s="142">
        <v>1000</v>
      </c>
      <c r="M369" s="142"/>
      <c r="N369" s="142" t="str">
        <f t="shared" ref="N369:N400" si="48">J369&amp;"("&amp;IF(K369="","",K369)&amp;IF(L369="","",", "&amp;L369)&amp;IF(M369="","",", "&amp;M369)&amp;")"</f>
        <v>Status(DamageRate, 1000)</v>
      </c>
      <c r="O369" s="142">
        <v>0</v>
      </c>
      <c r="P369" s="142">
        <v>0</v>
      </c>
      <c r="Q369" s="142"/>
      <c r="R369" s="143" t="b">
        <v>1</v>
      </c>
    </row>
    <row r="370" spans="1:18" x14ac:dyDescent="0.3">
      <c r="A370" s="141" t="s">
        <v>1546</v>
      </c>
      <c r="B370" s="142"/>
      <c r="C370" s="142"/>
      <c r="D370" s="142">
        <v>0</v>
      </c>
      <c r="E370" s="142">
        <v>1</v>
      </c>
      <c r="F370" s="142" t="s">
        <v>476</v>
      </c>
      <c r="G370" s="142" t="s">
        <v>477</v>
      </c>
      <c r="H370" s="142"/>
      <c r="I370" s="142">
        <v>0</v>
      </c>
      <c r="J370" s="142" t="s">
        <v>871</v>
      </c>
      <c r="K370" s="142"/>
      <c r="L370" s="142"/>
      <c r="M370" s="142"/>
      <c r="N370" s="142" t="str">
        <f t="shared" si="48"/>
        <v>None()</v>
      </c>
      <c r="O370" s="142">
        <v>0</v>
      </c>
      <c r="P370" s="142">
        <v>0</v>
      </c>
      <c r="Q370" s="142"/>
      <c r="R370" s="143" t="b">
        <v>1</v>
      </c>
    </row>
    <row r="371" spans="1:18" x14ac:dyDescent="0.3">
      <c r="A371" s="141" t="s">
        <v>1547</v>
      </c>
      <c r="B371" s="142"/>
      <c r="C371" s="142"/>
      <c r="D371" s="142">
        <v>0</v>
      </c>
      <c r="E371" s="142">
        <v>1</v>
      </c>
      <c r="F371" s="142" t="s">
        <v>476</v>
      </c>
      <c r="G371" s="142" t="s">
        <v>477</v>
      </c>
      <c r="H371" s="142"/>
      <c r="I371" s="142">
        <v>0</v>
      </c>
      <c r="J371" s="142" t="s">
        <v>848</v>
      </c>
      <c r="K371" s="142" t="s">
        <v>850</v>
      </c>
      <c r="L371" s="142"/>
      <c r="M371" s="142"/>
      <c r="N371" s="142" t="str">
        <f t="shared" si="48"/>
        <v>CrowdControl(Knockback)</v>
      </c>
      <c r="O371" s="142">
        <v>0</v>
      </c>
      <c r="P371" s="142">
        <v>0</v>
      </c>
      <c r="Q371" s="142"/>
      <c r="R371" s="143" t="b">
        <v>1</v>
      </c>
    </row>
    <row r="372" spans="1:18" x14ac:dyDescent="0.3">
      <c r="A372" s="141" t="s">
        <v>1548</v>
      </c>
      <c r="B372" s="142"/>
      <c r="C372" s="142"/>
      <c r="D372" s="142">
        <v>0</v>
      </c>
      <c r="E372" s="142">
        <v>1</v>
      </c>
      <c r="F372" s="142" t="s">
        <v>476</v>
      </c>
      <c r="G372" s="142" t="s">
        <v>477</v>
      </c>
      <c r="H372" s="142"/>
      <c r="I372" s="142">
        <v>0</v>
      </c>
      <c r="J372" s="142" t="s">
        <v>848</v>
      </c>
      <c r="K372" s="142" t="s">
        <v>849</v>
      </c>
      <c r="L372" s="142"/>
      <c r="M372" s="142"/>
      <c r="N372" s="142" t="str">
        <f t="shared" si="48"/>
        <v>CrowdControl(Stun)</v>
      </c>
      <c r="O372" s="142">
        <v>0</v>
      </c>
      <c r="P372" s="142">
        <v>0</v>
      </c>
      <c r="Q372" s="142"/>
      <c r="R372" s="143" t="b">
        <v>1</v>
      </c>
    </row>
    <row r="373" spans="1:18" x14ac:dyDescent="0.3">
      <c r="A373" s="141" t="s">
        <v>1549</v>
      </c>
      <c r="B373" s="142"/>
      <c r="C373" s="142"/>
      <c r="D373" s="142">
        <v>0</v>
      </c>
      <c r="E373" s="142">
        <v>1</v>
      </c>
      <c r="F373" s="142" t="s">
        <v>476</v>
      </c>
      <c r="G373" s="142" t="s">
        <v>477</v>
      </c>
      <c r="H373" s="142"/>
      <c r="I373" s="142">
        <v>0</v>
      </c>
      <c r="J373" s="142" t="s">
        <v>470</v>
      </c>
      <c r="K373" s="142" t="s">
        <v>873</v>
      </c>
      <c r="L373" s="142" t="s">
        <v>1550</v>
      </c>
      <c r="M373" s="142"/>
      <c r="N373" s="142" t="str">
        <f t="shared" si="48"/>
        <v>Effect(OnKill, BossChallenge.theomega_3.passive01.buff.buffeffect.skilleffect)</v>
      </c>
      <c r="O373" s="142">
        <v>0</v>
      </c>
      <c r="P373" s="142">
        <v>0</v>
      </c>
      <c r="Q373" s="142"/>
      <c r="R373" s="143" t="b">
        <v>1</v>
      </c>
    </row>
    <row r="374" spans="1:18" x14ac:dyDescent="0.3">
      <c r="A374" s="141" t="s">
        <v>1551</v>
      </c>
      <c r="B374" s="142"/>
      <c r="C374" s="142"/>
      <c r="D374" s="142">
        <v>0</v>
      </c>
      <c r="E374" s="142">
        <v>1</v>
      </c>
      <c r="F374" s="142" t="s">
        <v>476</v>
      </c>
      <c r="G374" s="142" t="s">
        <v>477</v>
      </c>
      <c r="H374" s="142"/>
      <c r="I374" s="142">
        <v>0</v>
      </c>
      <c r="J374" s="142" t="s">
        <v>846</v>
      </c>
      <c r="K374" s="142" t="s">
        <v>853</v>
      </c>
      <c r="L374" s="142">
        <v>300</v>
      </c>
      <c r="M374" s="142"/>
      <c r="N374" s="142" t="str">
        <f t="shared" si="48"/>
        <v>Status(AttackSpeedRate, 300)</v>
      </c>
      <c r="O374" s="142">
        <v>0</v>
      </c>
      <c r="P374" s="142">
        <v>0</v>
      </c>
      <c r="Q374" s="142"/>
      <c r="R374" s="143" t="b">
        <v>1</v>
      </c>
    </row>
    <row r="375" spans="1:18" x14ac:dyDescent="0.3">
      <c r="A375" s="130" t="s">
        <v>1552</v>
      </c>
      <c r="B375" s="131"/>
      <c r="C375" s="131"/>
      <c r="D375" s="131">
        <v>0</v>
      </c>
      <c r="E375" s="131">
        <v>1</v>
      </c>
      <c r="F375" s="131" t="s">
        <v>476</v>
      </c>
      <c r="G375" s="131" t="s">
        <v>477</v>
      </c>
      <c r="H375" s="131"/>
      <c r="I375" s="131">
        <v>0</v>
      </c>
      <c r="J375" s="131" t="s">
        <v>505</v>
      </c>
      <c r="K375" s="131" t="s">
        <v>844</v>
      </c>
      <c r="L375" s="131">
        <v>700</v>
      </c>
      <c r="M375" s="131"/>
      <c r="N375" s="131" t="str">
        <f t="shared" si="48"/>
        <v>Bleed(Attack, 700)</v>
      </c>
      <c r="O375" s="131">
        <v>0</v>
      </c>
      <c r="P375" s="131">
        <v>1000</v>
      </c>
      <c r="Q375" s="131"/>
      <c r="R375" s="132" t="b">
        <v>1</v>
      </c>
    </row>
    <row r="376" spans="1:18" x14ac:dyDescent="0.3">
      <c r="A376" s="130" t="s">
        <v>1553</v>
      </c>
      <c r="B376" s="131"/>
      <c r="C376" s="131"/>
      <c r="D376" s="131">
        <v>0</v>
      </c>
      <c r="E376" s="131">
        <v>1</v>
      </c>
      <c r="F376" s="131" t="s">
        <v>476</v>
      </c>
      <c r="G376" s="131" t="s">
        <v>477</v>
      </c>
      <c r="H376" s="131"/>
      <c r="I376" s="131">
        <v>0</v>
      </c>
      <c r="J376" s="131" t="s">
        <v>848</v>
      </c>
      <c r="K376" s="131" t="s">
        <v>850</v>
      </c>
      <c r="L376" s="131"/>
      <c r="M376" s="131"/>
      <c r="N376" s="131" t="str">
        <f t="shared" si="48"/>
        <v>CrowdControl(Knockback)</v>
      </c>
      <c r="O376" s="131">
        <v>0</v>
      </c>
      <c r="P376" s="131">
        <v>0</v>
      </c>
      <c r="Q376" s="131"/>
      <c r="R376" s="132" t="b">
        <v>1</v>
      </c>
    </row>
    <row r="377" spans="1:18" x14ac:dyDescent="0.3">
      <c r="A377" s="130" t="s">
        <v>1554</v>
      </c>
      <c r="B377" s="131"/>
      <c r="C377" s="131"/>
      <c r="D377" s="131">
        <v>0</v>
      </c>
      <c r="E377" s="131">
        <v>1</v>
      </c>
      <c r="F377" s="131" t="s">
        <v>476</v>
      </c>
      <c r="G377" s="131" t="s">
        <v>477</v>
      </c>
      <c r="H377" s="131"/>
      <c r="I377" s="131">
        <v>0</v>
      </c>
      <c r="J377" s="131" t="s">
        <v>848</v>
      </c>
      <c r="K377" s="131" t="s">
        <v>849</v>
      </c>
      <c r="L377" s="131"/>
      <c r="M377" s="131"/>
      <c r="N377" s="131" t="str">
        <f t="shared" si="48"/>
        <v>CrowdControl(Stun)</v>
      </c>
      <c r="O377" s="131">
        <v>0</v>
      </c>
      <c r="P377" s="131">
        <v>0</v>
      </c>
      <c r="Q377" s="131"/>
      <c r="R377" s="132" t="b">
        <v>1</v>
      </c>
    </row>
    <row r="378" spans="1:18" x14ac:dyDescent="0.3">
      <c r="A378" s="130" t="s">
        <v>1555</v>
      </c>
      <c r="B378" s="131"/>
      <c r="C378" s="131"/>
      <c r="D378" s="131">
        <v>0</v>
      </c>
      <c r="E378" s="131">
        <v>1</v>
      </c>
      <c r="F378" s="131" t="s">
        <v>476</v>
      </c>
      <c r="G378" s="131" t="s">
        <v>477</v>
      </c>
      <c r="H378" s="131"/>
      <c r="I378" s="131">
        <v>0</v>
      </c>
      <c r="J378" s="131" t="s">
        <v>846</v>
      </c>
      <c r="K378" s="131" t="s">
        <v>853</v>
      </c>
      <c r="L378" s="131">
        <v>350</v>
      </c>
      <c r="M378" s="131"/>
      <c r="N378" s="131" t="str">
        <f t="shared" si="48"/>
        <v>Status(AttackSpeedRate, 350)</v>
      </c>
      <c r="O378" s="131">
        <v>0</v>
      </c>
      <c r="P378" s="131">
        <v>0</v>
      </c>
      <c r="Q378" s="131"/>
      <c r="R378" s="132" t="b">
        <v>1</v>
      </c>
    </row>
    <row r="379" spans="1:18" x14ac:dyDescent="0.3">
      <c r="A379" s="130" t="s">
        <v>1556</v>
      </c>
      <c r="B379" s="131"/>
      <c r="C379" s="131"/>
      <c r="D379" s="131">
        <v>0</v>
      </c>
      <c r="E379" s="131">
        <v>1</v>
      </c>
      <c r="F379" s="131" t="s">
        <v>476</v>
      </c>
      <c r="G379" s="131" t="s">
        <v>477</v>
      </c>
      <c r="H379" s="131"/>
      <c r="I379" s="131">
        <v>0</v>
      </c>
      <c r="J379" s="131" t="s">
        <v>862</v>
      </c>
      <c r="K379" s="131" t="s">
        <v>863</v>
      </c>
      <c r="L379" s="131">
        <v>100</v>
      </c>
      <c r="M379" s="131"/>
      <c r="N379" s="131" t="str">
        <f t="shared" si="48"/>
        <v>EffectImmune(Damage, 100)</v>
      </c>
      <c r="O379" s="131">
        <v>0</v>
      </c>
      <c r="P379" s="131">
        <v>0</v>
      </c>
      <c r="Q379" s="131"/>
      <c r="R379" s="132" t="b">
        <v>1</v>
      </c>
    </row>
    <row r="380" spans="1:18" x14ac:dyDescent="0.3">
      <c r="A380" s="130" t="s">
        <v>1557</v>
      </c>
      <c r="B380" s="131"/>
      <c r="C380" s="131"/>
      <c r="D380" s="131">
        <v>0</v>
      </c>
      <c r="E380" s="131">
        <v>1</v>
      </c>
      <c r="F380" s="131" t="s">
        <v>476</v>
      </c>
      <c r="G380" s="131" t="s">
        <v>477</v>
      </c>
      <c r="H380" s="131"/>
      <c r="I380" s="131">
        <v>0</v>
      </c>
      <c r="J380" s="131" t="s">
        <v>882</v>
      </c>
      <c r="K380" s="131" t="s">
        <v>883</v>
      </c>
      <c r="L380" s="131" t="s">
        <v>1558</v>
      </c>
      <c r="M380" s="131"/>
      <c r="N380" s="131" t="str">
        <f t="shared" si="48"/>
        <v>Event(EnemyDie, BossChallenge.nullaxe_1.passive01.buff.buffeffect.skilleffect)</v>
      </c>
      <c r="O380" s="131">
        <v>0</v>
      </c>
      <c r="P380" s="131">
        <v>0</v>
      </c>
      <c r="Q380" s="131"/>
      <c r="R380" s="132" t="b">
        <v>1</v>
      </c>
    </row>
    <row r="381" spans="1:18" x14ac:dyDescent="0.3">
      <c r="A381" s="130" t="s">
        <v>1559</v>
      </c>
      <c r="B381" s="131"/>
      <c r="C381" s="131"/>
      <c r="D381" s="131">
        <v>0</v>
      </c>
      <c r="E381" s="131">
        <v>1</v>
      </c>
      <c r="F381" s="131" t="s">
        <v>476</v>
      </c>
      <c r="G381" s="131" t="s">
        <v>477</v>
      </c>
      <c r="H381" s="131"/>
      <c r="I381" s="131">
        <v>0</v>
      </c>
      <c r="J381" s="131" t="s">
        <v>470</v>
      </c>
      <c r="K381" s="131" t="s">
        <v>885</v>
      </c>
      <c r="L381" s="131" t="s">
        <v>1560</v>
      </c>
      <c r="M381" s="131"/>
      <c r="N381" s="131" t="str">
        <f t="shared" si="48"/>
        <v>Effect(OnHit, BossChallenge.nullaxe_1.passive02.buff.buffeffect.skilleffect)</v>
      </c>
      <c r="O381" s="131">
        <v>0</v>
      </c>
      <c r="P381" s="131">
        <v>0</v>
      </c>
      <c r="Q381" s="131"/>
      <c r="R381" s="132" t="b">
        <v>1</v>
      </c>
    </row>
    <row r="382" spans="1:18" x14ac:dyDescent="0.3">
      <c r="A382" s="61" t="s">
        <v>1561</v>
      </c>
      <c r="B382" s="62"/>
      <c r="C382" s="62"/>
      <c r="D382" s="62">
        <v>0</v>
      </c>
      <c r="E382" s="62">
        <v>1</v>
      </c>
      <c r="F382" s="62" t="s">
        <v>476</v>
      </c>
      <c r="G382" s="62" t="s">
        <v>477</v>
      </c>
      <c r="H382" s="62"/>
      <c r="I382" s="62">
        <v>0</v>
      </c>
      <c r="J382" s="62" t="s">
        <v>846</v>
      </c>
      <c r="K382" s="62" t="s">
        <v>887</v>
      </c>
      <c r="L382" s="62">
        <v>1000</v>
      </c>
      <c r="M382" s="62"/>
      <c r="N382" s="62" t="str">
        <f t="shared" si="48"/>
        <v>Status(HpDrainRate, 1000)</v>
      </c>
      <c r="O382" s="62">
        <v>0</v>
      </c>
      <c r="P382" s="62">
        <v>0</v>
      </c>
      <c r="Q382" s="62"/>
      <c r="R382" s="40" t="b">
        <v>0</v>
      </c>
    </row>
    <row r="383" spans="1:18" x14ac:dyDescent="0.3">
      <c r="A383" s="61" t="s">
        <v>1562</v>
      </c>
      <c r="B383" s="62"/>
      <c r="C383" s="62"/>
      <c r="D383" s="62">
        <v>0</v>
      </c>
      <c r="E383" s="62">
        <v>1</v>
      </c>
      <c r="F383" s="62" t="s">
        <v>476</v>
      </c>
      <c r="G383" s="62" t="s">
        <v>477</v>
      </c>
      <c r="H383" s="62"/>
      <c r="I383" s="62">
        <v>0</v>
      </c>
      <c r="J383" s="62" t="s">
        <v>505</v>
      </c>
      <c r="K383" s="62" t="s">
        <v>844</v>
      </c>
      <c r="L383" s="62">
        <v>700</v>
      </c>
      <c r="M383" s="62"/>
      <c r="N383" s="62" t="str">
        <f t="shared" si="48"/>
        <v>Bleed(Attack, 700)</v>
      </c>
      <c r="O383" s="62">
        <v>0</v>
      </c>
      <c r="P383" s="62">
        <v>1000</v>
      </c>
      <c r="Q383" s="62"/>
      <c r="R383" s="40" t="b">
        <v>1</v>
      </c>
    </row>
    <row r="384" spans="1:18" x14ac:dyDescent="0.3">
      <c r="A384" s="61" t="s">
        <v>1563</v>
      </c>
      <c r="B384" s="62"/>
      <c r="C384" s="62"/>
      <c r="D384" s="62">
        <v>0</v>
      </c>
      <c r="E384" s="62">
        <v>1</v>
      </c>
      <c r="F384" s="62" t="s">
        <v>476</v>
      </c>
      <c r="G384" s="62" t="s">
        <v>477</v>
      </c>
      <c r="H384" s="62"/>
      <c r="I384" s="62">
        <v>0</v>
      </c>
      <c r="J384" s="62" t="s">
        <v>848</v>
      </c>
      <c r="K384" s="62" t="s">
        <v>850</v>
      </c>
      <c r="L384" s="62"/>
      <c r="M384" s="62"/>
      <c r="N384" s="62" t="str">
        <f t="shared" si="48"/>
        <v>CrowdControl(Knockback)</v>
      </c>
      <c r="O384" s="62">
        <v>0</v>
      </c>
      <c r="P384" s="62">
        <v>0</v>
      </c>
      <c r="Q384" s="62"/>
      <c r="R384" s="40" t="b">
        <v>1</v>
      </c>
    </row>
    <row r="385" spans="1:18" x14ac:dyDescent="0.3">
      <c r="A385" s="61" t="s">
        <v>1564</v>
      </c>
      <c r="B385" s="62"/>
      <c r="C385" s="62"/>
      <c r="D385" s="62">
        <v>0</v>
      </c>
      <c r="E385" s="62">
        <v>1</v>
      </c>
      <c r="F385" s="62" t="s">
        <v>476</v>
      </c>
      <c r="G385" s="62" t="s">
        <v>477</v>
      </c>
      <c r="H385" s="62"/>
      <c r="I385" s="62">
        <v>0</v>
      </c>
      <c r="J385" s="62" t="s">
        <v>848</v>
      </c>
      <c r="K385" s="62" t="s">
        <v>849</v>
      </c>
      <c r="L385" s="62"/>
      <c r="M385" s="62"/>
      <c r="N385" s="62" t="str">
        <f t="shared" si="48"/>
        <v>CrowdControl(Stun)</v>
      </c>
      <c r="O385" s="62">
        <v>0</v>
      </c>
      <c r="P385" s="62">
        <v>0</v>
      </c>
      <c r="Q385" s="62"/>
      <c r="R385" s="40" t="b">
        <v>1</v>
      </c>
    </row>
    <row r="386" spans="1:18" x14ac:dyDescent="0.3">
      <c r="A386" s="61" t="s">
        <v>1565</v>
      </c>
      <c r="B386" s="62"/>
      <c r="C386" s="62"/>
      <c r="D386" s="62">
        <v>0</v>
      </c>
      <c r="E386" s="62">
        <v>1</v>
      </c>
      <c r="F386" s="62" t="s">
        <v>476</v>
      </c>
      <c r="G386" s="62" t="s">
        <v>477</v>
      </c>
      <c r="H386" s="62"/>
      <c r="I386" s="62">
        <v>0</v>
      </c>
      <c r="J386" s="62" t="s">
        <v>871</v>
      </c>
      <c r="K386" s="62"/>
      <c r="L386" s="62"/>
      <c r="M386" s="62"/>
      <c r="N386" s="62" t="str">
        <f t="shared" si="48"/>
        <v>None()</v>
      </c>
      <c r="O386" s="62">
        <v>0</v>
      </c>
      <c r="P386" s="62">
        <v>0</v>
      </c>
      <c r="Q386" s="62"/>
      <c r="R386" s="40" t="b">
        <v>1</v>
      </c>
    </row>
    <row r="387" spans="1:18" x14ac:dyDescent="0.3">
      <c r="A387" s="61" t="s">
        <v>1566</v>
      </c>
      <c r="B387" s="62"/>
      <c r="C387" s="62"/>
      <c r="D387" s="62">
        <v>0</v>
      </c>
      <c r="E387" s="62">
        <v>1</v>
      </c>
      <c r="F387" s="62" t="s">
        <v>476</v>
      </c>
      <c r="G387" s="62" t="s">
        <v>477</v>
      </c>
      <c r="H387" s="62"/>
      <c r="I387" s="62">
        <v>0</v>
      </c>
      <c r="J387" s="62" t="s">
        <v>846</v>
      </c>
      <c r="K387" s="62" t="s">
        <v>853</v>
      </c>
      <c r="L387" s="62">
        <v>350</v>
      </c>
      <c r="M387" s="62"/>
      <c r="N387" s="62" t="str">
        <f t="shared" si="48"/>
        <v>Status(AttackSpeedRate, 350)</v>
      </c>
      <c r="O387" s="62">
        <v>0</v>
      </c>
      <c r="P387" s="62">
        <v>0</v>
      </c>
      <c r="Q387" s="62"/>
      <c r="R387" s="40" t="b">
        <v>1</v>
      </c>
    </row>
    <row r="388" spans="1:18" x14ac:dyDescent="0.3">
      <c r="A388" s="61" t="s">
        <v>1567</v>
      </c>
      <c r="B388" s="62"/>
      <c r="C388" s="62"/>
      <c r="D388" s="62">
        <v>0</v>
      </c>
      <c r="E388" s="62">
        <v>1</v>
      </c>
      <c r="F388" s="62" t="s">
        <v>476</v>
      </c>
      <c r="G388" s="62" t="s">
        <v>477</v>
      </c>
      <c r="H388" s="62"/>
      <c r="I388" s="62">
        <v>0</v>
      </c>
      <c r="J388" s="62" t="s">
        <v>862</v>
      </c>
      <c r="K388" s="62" t="s">
        <v>863</v>
      </c>
      <c r="L388" s="62">
        <v>100</v>
      </c>
      <c r="M388" s="62"/>
      <c r="N388" s="62" t="str">
        <f t="shared" si="48"/>
        <v>EffectImmune(Damage, 100)</v>
      </c>
      <c r="O388" s="62">
        <v>0</v>
      </c>
      <c r="P388" s="62">
        <v>0</v>
      </c>
      <c r="Q388" s="62"/>
      <c r="R388" s="40" t="b">
        <v>1</v>
      </c>
    </row>
    <row r="389" spans="1:18" x14ac:dyDescent="0.3">
      <c r="A389" s="61" t="s">
        <v>1568</v>
      </c>
      <c r="B389" s="62"/>
      <c r="C389" s="62"/>
      <c r="D389" s="62">
        <v>0</v>
      </c>
      <c r="E389" s="62">
        <v>1</v>
      </c>
      <c r="F389" s="62" t="s">
        <v>476</v>
      </c>
      <c r="G389" s="62" t="s">
        <v>477</v>
      </c>
      <c r="H389" s="62"/>
      <c r="I389" s="62">
        <v>0</v>
      </c>
      <c r="J389" s="62" t="s">
        <v>882</v>
      </c>
      <c r="K389" s="62" t="s">
        <v>883</v>
      </c>
      <c r="L389" s="62" t="s">
        <v>1569</v>
      </c>
      <c r="M389" s="62"/>
      <c r="N389" s="62" t="str">
        <f t="shared" si="48"/>
        <v>Event(EnemyDie, BossChallenge.nullaxe_2.passive01.buff.buffeffect.skilleffect)</v>
      </c>
      <c r="O389" s="62">
        <v>0</v>
      </c>
      <c r="P389" s="62">
        <v>0</v>
      </c>
      <c r="Q389" s="62"/>
      <c r="R389" s="40" t="b">
        <v>1</v>
      </c>
    </row>
    <row r="390" spans="1:18" x14ac:dyDescent="0.3">
      <c r="A390" s="61" t="s">
        <v>1570</v>
      </c>
      <c r="B390" s="62"/>
      <c r="C390" s="62"/>
      <c r="D390" s="62">
        <v>0</v>
      </c>
      <c r="E390" s="62">
        <v>1</v>
      </c>
      <c r="F390" s="62" t="s">
        <v>476</v>
      </c>
      <c r="G390" s="62" t="s">
        <v>477</v>
      </c>
      <c r="H390" s="62"/>
      <c r="I390" s="62">
        <v>0</v>
      </c>
      <c r="J390" s="62" t="s">
        <v>470</v>
      </c>
      <c r="K390" s="62" t="s">
        <v>885</v>
      </c>
      <c r="L390" s="62" t="s">
        <v>1571</v>
      </c>
      <c r="M390" s="62"/>
      <c r="N390" s="62" t="str">
        <f t="shared" si="48"/>
        <v>Effect(OnHit, BossChallenge.nullaxe_2.passive02.buff.buffeffect.skilleffect)</v>
      </c>
      <c r="O390" s="62">
        <v>0</v>
      </c>
      <c r="P390" s="62">
        <v>0</v>
      </c>
      <c r="Q390" s="62"/>
      <c r="R390" s="40" t="b">
        <v>1</v>
      </c>
    </row>
    <row r="391" spans="1:18" x14ac:dyDescent="0.3">
      <c r="A391" s="61" t="s">
        <v>1572</v>
      </c>
      <c r="B391" s="62"/>
      <c r="C391" s="62"/>
      <c r="D391" s="62">
        <v>0</v>
      </c>
      <c r="E391" s="62">
        <v>1</v>
      </c>
      <c r="F391" s="62" t="s">
        <v>476</v>
      </c>
      <c r="G391" s="62" t="s">
        <v>477</v>
      </c>
      <c r="H391" s="62"/>
      <c r="I391" s="62">
        <v>0</v>
      </c>
      <c r="J391" s="62" t="s">
        <v>846</v>
      </c>
      <c r="K391" s="62" t="s">
        <v>890</v>
      </c>
      <c r="L391" s="62">
        <v>300</v>
      </c>
      <c r="M391" s="62"/>
      <c r="N391" s="62" t="str">
        <f t="shared" si="48"/>
        <v>Status(ForwardDamgeDerate, 300)</v>
      </c>
      <c r="O391" s="62">
        <v>0</v>
      </c>
      <c r="P391" s="62">
        <v>0</v>
      </c>
      <c r="Q391" s="62"/>
      <c r="R391" s="40" t="b">
        <v>1</v>
      </c>
    </row>
    <row r="392" spans="1:18" x14ac:dyDescent="0.3">
      <c r="A392" s="35" t="s">
        <v>1573</v>
      </c>
      <c r="B392" s="36"/>
      <c r="C392" s="36"/>
      <c r="D392" s="36">
        <v>0</v>
      </c>
      <c r="E392" s="36">
        <v>1</v>
      </c>
      <c r="F392" s="36" t="s">
        <v>476</v>
      </c>
      <c r="G392" s="36" t="s">
        <v>477</v>
      </c>
      <c r="H392" s="36"/>
      <c r="I392" s="36">
        <v>0</v>
      </c>
      <c r="J392" s="36" t="s">
        <v>846</v>
      </c>
      <c r="K392" s="36" t="s">
        <v>897</v>
      </c>
      <c r="L392" s="36">
        <v>-800</v>
      </c>
      <c r="M392" s="36"/>
      <c r="N392" s="36" t="str">
        <f t="shared" si="48"/>
        <v>Status(ReceiveRecoveryRate, -800)</v>
      </c>
      <c r="O392" s="36">
        <v>0</v>
      </c>
      <c r="P392" s="36">
        <v>0</v>
      </c>
      <c r="Q392" s="36"/>
      <c r="R392" s="37" t="b">
        <v>1</v>
      </c>
    </row>
    <row r="393" spans="1:18" x14ac:dyDescent="0.3">
      <c r="A393" s="35" t="s">
        <v>1574</v>
      </c>
      <c r="B393" s="36"/>
      <c r="C393" s="36"/>
      <c r="D393" s="36">
        <v>0</v>
      </c>
      <c r="E393" s="36">
        <v>1</v>
      </c>
      <c r="F393" s="36" t="s">
        <v>476</v>
      </c>
      <c r="G393" s="36" t="s">
        <v>477</v>
      </c>
      <c r="H393" s="36"/>
      <c r="I393" s="36">
        <v>0</v>
      </c>
      <c r="J393" s="36" t="s">
        <v>846</v>
      </c>
      <c r="K393" s="36" t="s">
        <v>897</v>
      </c>
      <c r="L393" s="36">
        <v>-800</v>
      </c>
      <c r="M393" s="36"/>
      <c r="N393" s="36" t="str">
        <f t="shared" si="48"/>
        <v>Status(ReceiveRecoveryRate, -800)</v>
      </c>
      <c r="O393" s="36">
        <v>0</v>
      </c>
      <c r="P393" s="36">
        <v>0</v>
      </c>
      <c r="Q393" s="36"/>
      <c r="R393" s="37" t="b">
        <v>1</v>
      </c>
    </row>
    <row r="394" spans="1:18" x14ac:dyDescent="0.3">
      <c r="A394" s="35" t="s">
        <v>1575</v>
      </c>
      <c r="B394" s="36"/>
      <c r="C394" s="36"/>
      <c r="D394" s="36">
        <v>0</v>
      </c>
      <c r="E394" s="36">
        <v>1</v>
      </c>
      <c r="F394" s="36" t="s">
        <v>476</v>
      </c>
      <c r="G394" s="36" t="s">
        <v>477</v>
      </c>
      <c r="H394" s="36"/>
      <c r="I394" s="36">
        <v>0</v>
      </c>
      <c r="J394" s="36" t="s">
        <v>846</v>
      </c>
      <c r="K394" s="36" t="s">
        <v>852</v>
      </c>
      <c r="L394" s="36">
        <v>500</v>
      </c>
      <c r="M394" s="36"/>
      <c r="N394" s="36" t="str">
        <f t="shared" si="48"/>
        <v>Status(AttackRatio, 500)</v>
      </c>
      <c r="O394" s="36">
        <v>0</v>
      </c>
      <c r="P394" s="36">
        <v>0</v>
      </c>
      <c r="Q394" s="36"/>
      <c r="R394" s="37" t="b">
        <v>1</v>
      </c>
    </row>
    <row r="395" spans="1:18" x14ac:dyDescent="0.3">
      <c r="A395" s="35" t="s">
        <v>1576</v>
      </c>
      <c r="B395" s="36"/>
      <c r="C395" s="36"/>
      <c r="D395" s="36">
        <v>0</v>
      </c>
      <c r="E395" s="36">
        <v>1</v>
      </c>
      <c r="F395" s="36" t="s">
        <v>476</v>
      </c>
      <c r="G395" s="36" t="s">
        <v>477</v>
      </c>
      <c r="H395" s="36"/>
      <c r="I395" s="36">
        <v>0</v>
      </c>
      <c r="J395" s="36" t="s">
        <v>851</v>
      </c>
      <c r="K395" s="36" t="s">
        <v>845</v>
      </c>
      <c r="L395" s="36">
        <v>1</v>
      </c>
      <c r="M395" s="36"/>
      <c r="N395" s="36" t="str">
        <f t="shared" si="48"/>
        <v>Hot(MaxHp, 1)</v>
      </c>
      <c r="O395" s="36">
        <v>0</v>
      </c>
      <c r="P395" s="36">
        <v>1000</v>
      </c>
      <c r="Q395" s="36"/>
      <c r="R395" s="37" t="b">
        <v>1</v>
      </c>
    </row>
    <row r="396" spans="1:18" x14ac:dyDescent="0.3">
      <c r="A396" s="35" t="s">
        <v>1577</v>
      </c>
      <c r="B396" s="36"/>
      <c r="C396" s="36"/>
      <c r="D396" s="36">
        <v>0</v>
      </c>
      <c r="E396" s="36">
        <v>1</v>
      </c>
      <c r="F396" s="36" t="s">
        <v>476</v>
      </c>
      <c r="G396" s="36" t="s">
        <v>477</v>
      </c>
      <c r="H396" s="36"/>
      <c r="I396" s="36">
        <v>0</v>
      </c>
      <c r="J396" s="36" t="s">
        <v>882</v>
      </c>
      <c r="K396" s="36" t="s">
        <v>895</v>
      </c>
      <c r="L396" s="36" t="s">
        <v>1578</v>
      </c>
      <c r="M396" s="36" t="s">
        <v>962</v>
      </c>
      <c r="N396" s="36" t="str">
        <f t="shared" si="48"/>
        <v>Event(DecHpOverRate, BossChallenge.clock_royal_queen_1.passive01.buff.buffeffect.skilleffect, HpRateCondition(50))</v>
      </c>
      <c r="O396" s="36">
        <v>0</v>
      </c>
      <c r="P396" s="36">
        <v>0</v>
      </c>
      <c r="Q396" s="36"/>
      <c r="R396" s="37" t="b">
        <v>1</v>
      </c>
    </row>
    <row r="397" spans="1:18" x14ac:dyDescent="0.3">
      <c r="A397" s="35" t="s">
        <v>1579</v>
      </c>
      <c r="B397" s="36"/>
      <c r="C397" s="36"/>
      <c r="D397" s="36">
        <v>0</v>
      </c>
      <c r="E397" s="36">
        <v>1</v>
      </c>
      <c r="F397" s="36" t="s">
        <v>476</v>
      </c>
      <c r="G397" s="36" t="s">
        <v>477</v>
      </c>
      <c r="H397" s="36"/>
      <c r="I397" s="36">
        <v>0</v>
      </c>
      <c r="J397" s="36" t="s">
        <v>882</v>
      </c>
      <c r="K397" s="36" t="s">
        <v>899</v>
      </c>
      <c r="L397" s="36" t="s">
        <v>1580</v>
      </c>
      <c r="M397" s="36"/>
      <c r="N397" s="36" t="str">
        <f t="shared" si="48"/>
        <v>Event(AllyDie, BossChallenge.clock_royal_queen_1.passive02.buff.buffeffect.skilleffect)</v>
      </c>
      <c r="O397" s="36">
        <v>0</v>
      </c>
      <c r="P397" s="36">
        <v>0</v>
      </c>
      <c r="Q397" s="36"/>
      <c r="R397" s="37" t="b">
        <v>1</v>
      </c>
    </row>
    <row r="398" spans="1:18" x14ac:dyDescent="0.3">
      <c r="A398" s="141" t="s">
        <v>1581</v>
      </c>
      <c r="B398" s="142"/>
      <c r="C398" s="142"/>
      <c r="D398" s="142">
        <v>0</v>
      </c>
      <c r="E398" s="142">
        <v>1</v>
      </c>
      <c r="F398" s="142" t="s">
        <v>476</v>
      </c>
      <c r="G398" s="142" t="s">
        <v>477</v>
      </c>
      <c r="H398" s="142"/>
      <c r="I398" s="142">
        <v>0</v>
      </c>
      <c r="J398" s="142" t="s">
        <v>848</v>
      </c>
      <c r="K398" s="142" t="s">
        <v>1122</v>
      </c>
      <c r="L398" s="142"/>
      <c r="M398" s="142"/>
      <c r="N398" s="142" t="str">
        <f t="shared" si="48"/>
        <v>CrowdControl(DeathHeal)</v>
      </c>
      <c r="O398" s="142">
        <v>0</v>
      </c>
      <c r="P398" s="142">
        <v>0</v>
      </c>
      <c r="Q398" s="142"/>
      <c r="R398" s="143" t="b">
        <v>1</v>
      </c>
    </row>
    <row r="399" spans="1:18" x14ac:dyDescent="0.3">
      <c r="A399" s="141" t="s">
        <v>1582</v>
      </c>
      <c r="B399" s="142"/>
      <c r="C399" s="142"/>
      <c r="D399" s="142">
        <v>0</v>
      </c>
      <c r="E399" s="142">
        <v>1</v>
      </c>
      <c r="F399" s="142" t="s">
        <v>476</v>
      </c>
      <c r="G399" s="142" t="s">
        <v>477</v>
      </c>
      <c r="H399" s="142"/>
      <c r="I399" s="142">
        <v>0</v>
      </c>
      <c r="J399" s="142" t="s">
        <v>848</v>
      </c>
      <c r="K399" s="142" t="s">
        <v>1122</v>
      </c>
      <c r="L399" s="142"/>
      <c r="M399" s="142"/>
      <c r="N399" s="142" t="str">
        <f t="shared" si="48"/>
        <v>CrowdControl(DeathHeal)</v>
      </c>
      <c r="O399" s="142">
        <v>0</v>
      </c>
      <c r="P399" s="142">
        <v>0</v>
      </c>
      <c r="Q399" s="142"/>
      <c r="R399" s="143" t="b">
        <v>1</v>
      </c>
    </row>
    <row r="400" spans="1:18" x14ac:dyDescent="0.3">
      <c r="A400" s="141" t="s">
        <v>1583</v>
      </c>
      <c r="B400" s="142"/>
      <c r="C400" s="142"/>
      <c r="D400" s="142">
        <v>0</v>
      </c>
      <c r="E400" s="142">
        <v>1</v>
      </c>
      <c r="F400" s="142" t="s">
        <v>476</v>
      </c>
      <c r="G400" s="142" t="s">
        <v>477</v>
      </c>
      <c r="H400" s="142"/>
      <c r="I400" s="142">
        <v>0</v>
      </c>
      <c r="J400" s="142" t="s">
        <v>846</v>
      </c>
      <c r="K400" s="142" t="s">
        <v>852</v>
      </c>
      <c r="L400" s="142">
        <v>500</v>
      </c>
      <c r="M400" s="142"/>
      <c r="N400" s="142" t="str">
        <f t="shared" si="48"/>
        <v>Status(AttackRatio, 500)</v>
      </c>
      <c r="O400" s="142">
        <v>0</v>
      </c>
      <c r="P400" s="142">
        <v>0</v>
      </c>
      <c r="Q400" s="142"/>
      <c r="R400" s="143" t="b">
        <v>1</v>
      </c>
    </row>
    <row r="401" spans="1:18" x14ac:dyDescent="0.3">
      <c r="A401" s="141" t="s">
        <v>1584</v>
      </c>
      <c r="B401" s="142"/>
      <c r="C401" s="142"/>
      <c r="D401" s="142">
        <v>0</v>
      </c>
      <c r="E401" s="142">
        <v>1</v>
      </c>
      <c r="F401" s="142" t="s">
        <v>476</v>
      </c>
      <c r="G401" s="142" t="s">
        <v>477</v>
      </c>
      <c r="H401" s="142"/>
      <c r="I401" s="142">
        <v>0</v>
      </c>
      <c r="J401" s="142" t="s">
        <v>846</v>
      </c>
      <c r="K401" s="142" t="s">
        <v>901</v>
      </c>
      <c r="L401" s="142">
        <v>300</v>
      </c>
      <c r="M401" s="142"/>
      <c r="N401" s="142" t="str">
        <f t="shared" ref="N401:N410" si="49">J401&amp;"("&amp;IF(K401="","",K401)&amp;IF(L401="","",", "&amp;L401)&amp;IF(M401="","",", "&amp;M401)&amp;")"</f>
        <v>Status(HpDrainOwnerRate, 300)</v>
      </c>
      <c r="O401" s="142">
        <v>0</v>
      </c>
      <c r="P401" s="142">
        <v>0</v>
      </c>
      <c r="Q401" s="142"/>
      <c r="R401" s="143" t="b">
        <v>0</v>
      </c>
    </row>
    <row r="402" spans="1:18" x14ac:dyDescent="0.3">
      <c r="A402" s="141" t="s">
        <v>1585</v>
      </c>
      <c r="B402" s="142"/>
      <c r="C402" s="142"/>
      <c r="D402" s="142">
        <v>0</v>
      </c>
      <c r="E402" s="142">
        <v>1</v>
      </c>
      <c r="F402" s="142" t="s">
        <v>476</v>
      </c>
      <c r="G402" s="142" t="s">
        <v>477</v>
      </c>
      <c r="H402" s="142"/>
      <c r="I402" s="142">
        <v>0</v>
      </c>
      <c r="J402" s="142" t="s">
        <v>871</v>
      </c>
      <c r="K402" s="142"/>
      <c r="L402" s="142"/>
      <c r="M402" s="142"/>
      <c r="N402" s="142" t="str">
        <f t="shared" si="49"/>
        <v>None()</v>
      </c>
      <c r="O402" s="142">
        <v>0</v>
      </c>
      <c r="P402" s="142">
        <v>0</v>
      </c>
      <c r="Q402" s="142"/>
      <c r="R402" s="143" t="b">
        <v>1</v>
      </c>
    </row>
    <row r="403" spans="1:18" x14ac:dyDescent="0.3">
      <c r="A403" s="141" t="s">
        <v>1586</v>
      </c>
      <c r="B403" s="142"/>
      <c r="C403" s="142"/>
      <c r="D403" s="142">
        <v>0</v>
      </c>
      <c r="E403" s="142">
        <v>1</v>
      </c>
      <c r="F403" s="142" t="s">
        <v>476</v>
      </c>
      <c r="G403" s="142" t="s">
        <v>477</v>
      </c>
      <c r="H403" s="142"/>
      <c r="I403" s="142">
        <v>0</v>
      </c>
      <c r="J403" s="142" t="s">
        <v>882</v>
      </c>
      <c r="K403" s="142" t="s">
        <v>895</v>
      </c>
      <c r="L403" s="142" t="s">
        <v>1587</v>
      </c>
      <c r="M403" s="142" t="s">
        <v>962</v>
      </c>
      <c r="N403" s="142" t="str">
        <f t="shared" si="49"/>
        <v>Event(DecHpOverRate, BossChallenge.clock_royal_queen_2.passive01.buff.buffeffect.skilleffect, HpRateCondition(50))</v>
      </c>
      <c r="O403" s="142">
        <v>0</v>
      </c>
      <c r="P403" s="142">
        <v>0</v>
      </c>
      <c r="Q403" s="142"/>
      <c r="R403" s="143" t="b">
        <v>1</v>
      </c>
    </row>
    <row r="404" spans="1:18" x14ac:dyDescent="0.3">
      <c r="A404" s="141" t="s">
        <v>1588</v>
      </c>
      <c r="B404" s="142"/>
      <c r="C404" s="142"/>
      <c r="D404" s="142">
        <v>0</v>
      </c>
      <c r="E404" s="142">
        <v>1</v>
      </c>
      <c r="F404" s="142" t="s">
        <v>476</v>
      </c>
      <c r="G404" s="142" t="s">
        <v>477</v>
      </c>
      <c r="H404" s="142"/>
      <c r="I404" s="142">
        <v>0</v>
      </c>
      <c r="J404" s="142" t="s">
        <v>882</v>
      </c>
      <c r="K404" s="142" t="s">
        <v>899</v>
      </c>
      <c r="L404" s="142" t="s">
        <v>1589</v>
      </c>
      <c r="M404" s="142"/>
      <c r="N404" s="142" t="str">
        <f t="shared" si="49"/>
        <v>Event(AllyDie, BossChallenge.clock_royal_queen_2.passive02.buff.buffeffect.skilleffect)</v>
      </c>
      <c r="O404" s="142">
        <v>0</v>
      </c>
      <c r="P404" s="142">
        <v>0</v>
      </c>
      <c r="Q404" s="142"/>
      <c r="R404" s="143" t="b">
        <v>1</v>
      </c>
    </row>
    <row r="405" spans="1:18" x14ac:dyDescent="0.3">
      <c r="A405" s="47" t="s">
        <v>1590</v>
      </c>
      <c r="B405" s="45"/>
      <c r="C405" s="45"/>
      <c r="D405" s="45">
        <v>0</v>
      </c>
      <c r="E405" s="45">
        <v>1</v>
      </c>
      <c r="F405" s="45" t="s">
        <v>476</v>
      </c>
      <c r="G405" s="45" t="s">
        <v>477</v>
      </c>
      <c r="H405" s="45"/>
      <c r="I405" s="45">
        <v>0</v>
      </c>
      <c r="J405" s="45" t="s">
        <v>503</v>
      </c>
      <c r="K405" s="45" t="s">
        <v>844</v>
      </c>
      <c r="L405" s="45">
        <v>80</v>
      </c>
      <c r="M405" s="45"/>
      <c r="N405" s="45" t="str">
        <f t="shared" si="49"/>
        <v>Poison(Attack, 80)</v>
      </c>
      <c r="O405" s="45">
        <v>0</v>
      </c>
      <c r="P405" s="45">
        <v>1000</v>
      </c>
      <c r="Q405" s="45"/>
      <c r="R405" s="46" t="b">
        <v>1</v>
      </c>
    </row>
    <row r="406" spans="1:18" x14ac:dyDescent="0.3">
      <c r="A406" s="47" t="s">
        <v>1591</v>
      </c>
      <c r="B406" s="45" t="s">
        <v>500</v>
      </c>
      <c r="C406" s="45" t="s">
        <v>501</v>
      </c>
      <c r="D406" s="45">
        <v>0</v>
      </c>
      <c r="E406" s="45">
        <v>1</v>
      </c>
      <c r="F406" s="45" t="s">
        <v>476</v>
      </c>
      <c r="G406" s="45" t="s">
        <v>477</v>
      </c>
      <c r="H406" s="45"/>
      <c r="I406" s="45">
        <v>0</v>
      </c>
      <c r="J406" s="45" t="s">
        <v>860</v>
      </c>
      <c r="K406" s="45" t="s">
        <v>1592</v>
      </c>
      <c r="L406" s="45"/>
      <c r="M406" s="45"/>
      <c r="N406" s="45" t="str">
        <f t="shared" si="49"/>
        <v>Active(BossChallenge.toxic_1.passive01.buff.buffeffect01.skilleffect)</v>
      </c>
      <c r="O406" s="45">
        <v>0</v>
      </c>
      <c r="P406" s="45">
        <v>0</v>
      </c>
      <c r="Q406" s="45"/>
      <c r="R406" s="46" t="b">
        <v>1</v>
      </c>
    </row>
    <row r="407" spans="1:18" x14ac:dyDescent="0.3">
      <c r="A407" s="47" t="s">
        <v>1593</v>
      </c>
      <c r="B407" s="45" t="s">
        <v>500</v>
      </c>
      <c r="C407" s="45" t="s">
        <v>503</v>
      </c>
      <c r="D407" s="45">
        <v>0</v>
      </c>
      <c r="E407" s="45">
        <v>1</v>
      </c>
      <c r="F407" s="45" t="s">
        <v>476</v>
      </c>
      <c r="G407" s="45" t="s">
        <v>477</v>
      </c>
      <c r="H407" s="45"/>
      <c r="I407" s="45">
        <v>0</v>
      </c>
      <c r="J407" s="45" t="s">
        <v>860</v>
      </c>
      <c r="K407" s="45" t="s">
        <v>1594</v>
      </c>
      <c r="L407" s="45"/>
      <c r="M407" s="45"/>
      <c r="N407" s="45" t="str">
        <f t="shared" si="49"/>
        <v>Active(BossChallenge.toxic_1.passive01.buff.buffeffect02.skilleffect)</v>
      </c>
      <c r="O407" s="45">
        <v>0</v>
      </c>
      <c r="P407" s="45">
        <v>0</v>
      </c>
      <c r="Q407" s="45"/>
      <c r="R407" s="46" t="b">
        <v>1</v>
      </c>
    </row>
    <row r="408" spans="1:18" x14ac:dyDescent="0.3">
      <c r="A408" s="47" t="s">
        <v>1595</v>
      </c>
      <c r="B408" s="45" t="s">
        <v>500</v>
      </c>
      <c r="C408" s="45" t="s">
        <v>505</v>
      </c>
      <c r="D408" s="45">
        <v>0</v>
      </c>
      <c r="E408" s="45">
        <v>1</v>
      </c>
      <c r="F408" s="45" t="s">
        <v>476</v>
      </c>
      <c r="G408" s="45" t="s">
        <v>477</v>
      </c>
      <c r="H408" s="45"/>
      <c r="I408" s="45">
        <v>0</v>
      </c>
      <c r="J408" s="45" t="s">
        <v>860</v>
      </c>
      <c r="K408" s="45" t="s">
        <v>1596</v>
      </c>
      <c r="L408" s="45"/>
      <c r="M408" s="45"/>
      <c r="N408" s="45" t="str">
        <f t="shared" si="49"/>
        <v>Active(BossChallenge.toxic_1.passive01.buff.buffeffect03.skilleffect)</v>
      </c>
      <c r="O408" s="45">
        <v>0</v>
      </c>
      <c r="P408" s="45">
        <v>0</v>
      </c>
      <c r="Q408" s="45"/>
      <c r="R408" s="46" t="b">
        <v>1</v>
      </c>
    </row>
    <row r="409" spans="1:18" x14ac:dyDescent="0.3">
      <c r="A409" s="47" t="s">
        <v>1597</v>
      </c>
      <c r="B409" s="45"/>
      <c r="C409" s="45"/>
      <c r="D409" s="45">
        <v>0</v>
      </c>
      <c r="E409" s="45">
        <v>1</v>
      </c>
      <c r="F409" s="45" t="s">
        <v>476</v>
      </c>
      <c r="G409" s="45" t="s">
        <v>477</v>
      </c>
      <c r="H409" s="45"/>
      <c r="I409" s="45">
        <v>0</v>
      </c>
      <c r="J409" s="45" t="s">
        <v>851</v>
      </c>
      <c r="K409" s="45" t="s">
        <v>845</v>
      </c>
      <c r="L409" s="45">
        <v>20</v>
      </c>
      <c r="M409" s="45"/>
      <c r="N409" s="45" t="str">
        <f t="shared" si="49"/>
        <v>Hot(MaxHp, 20)</v>
      </c>
      <c r="O409" s="45">
        <v>0</v>
      </c>
      <c r="P409" s="45">
        <v>1000</v>
      </c>
      <c r="Q409" s="45"/>
      <c r="R409" s="46" t="b">
        <v>1</v>
      </c>
    </row>
    <row r="410" spans="1:18" x14ac:dyDescent="0.3">
      <c r="A410" s="47" t="s">
        <v>1598</v>
      </c>
      <c r="B410" s="45"/>
      <c r="C410" s="45"/>
      <c r="D410" s="45">
        <v>0</v>
      </c>
      <c r="E410" s="45">
        <v>1</v>
      </c>
      <c r="F410" s="45" t="s">
        <v>476</v>
      </c>
      <c r="G410" s="45" t="s">
        <v>477</v>
      </c>
      <c r="H410" s="45"/>
      <c r="I410" s="45">
        <v>0</v>
      </c>
      <c r="J410" s="45" t="s">
        <v>846</v>
      </c>
      <c r="K410" s="45" t="s">
        <v>892</v>
      </c>
      <c r="L410" s="45">
        <v>800</v>
      </c>
      <c r="M410" s="45"/>
      <c r="N410" s="45" t="str">
        <f t="shared" si="49"/>
        <v>Status(MeleeDamageDerate, 800)</v>
      </c>
      <c r="O410" s="45">
        <v>0</v>
      </c>
      <c r="P410" s="45">
        <v>0</v>
      </c>
      <c r="Q410" s="45"/>
      <c r="R410" s="46" t="b">
        <v>1</v>
      </c>
    </row>
    <row r="411" spans="1:18" x14ac:dyDescent="0.3">
      <c r="A411" s="53" t="s">
        <v>1599</v>
      </c>
      <c r="B411" s="49"/>
      <c r="C411" s="49"/>
      <c r="D411" s="49">
        <v>0</v>
      </c>
      <c r="E411" s="49">
        <v>1</v>
      </c>
      <c r="F411" s="49" t="s">
        <v>476</v>
      </c>
      <c r="G411" s="49" t="s">
        <v>477</v>
      </c>
      <c r="H411" s="49"/>
      <c r="I411" s="49">
        <v>0</v>
      </c>
      <c r="J411" s="49" t="s">
        <v>846</v>
      </c>
      <c r="K411" s="49" t="s">
        <v>852</v>
      </c>
      <c r="L411" s="49">
        <v>-800</v>
      </c>
      <c r="M411" s="49"/>
      <c r="N411" s="49" t="s">
        <v>1505</v>
      </c>
      <c r="O411" s="49">
        <v>0</v>
      </c>
      <c r="P411" s="49">
        <v>0</v>
      </c>
      <c r="Q411" s="49"/>
      <c r="R411" s="50" t="b">
        <v>1</v>
      </c>
    </row>
    <row r="412" spans="1:18" x14ac:dyDescent="0.3">
      <c r="A412" s="53" t="s">
        <v>1600</v>
      </c>
      <c r="B412" s="49"/>
      <c r="C412" s="49"/>
      <c r="D412" s="49">
        <v>0</v>
      </c>
      <c r="E412" s="49">
        <v>1</v>
      </c>
      <c r="F412" s="49" t="s">
        <v>476</v>
      </c>
      <c r="G412" s="49" t="s">
        <v>477</v>
      </c>
      <c r="H412" s="49"/>
      <c r="I412" s="49">
        <v>0</v>
      </c>
      <c r="J412" s="49" t="s">
        <v>503</v>
      </c>
      <c r="K412" s="49" t="s">
        <v>844</v>
      </c>
      <c r="L412" s="49">
        <v>500</v>
      </c>
      <c r="M412" s="49"/>
      <c r="N412" s="49" t="s">
        <v>1504</v>
      </c>
      <c r="O412" s="49">
        <v>0</v>
      </c>
      <c r="P412" s="49">
        <v>1000</v>
      </c>
      <c r="Q412" s="49"/>
      <c r="R412" s="50" t="b">
        <v>1</v>
      </c>
    </row>
    <row r="413" spans="1:18" x14ac:dyDescent="0.3">
      <c r="A413" s="53" t="s">
        <v>1601</v>
      </c>
      <c r="B413" s="49" t="s">
        <v>500</v>
      </c>
      <c r="C413" s="49" t="s">
        <v>501</v>
      </c>
      <c r="D413" s="49">
        <v>0</v>
      </c>
      <c r="E413" s="49">
        <v>1</v>
      </c>
      <c r="F413" s="49" t="s">
        <v>476</v>
      </c>
      <c r="G413" s="49" t="s">
        <v>477</v>
      </c>
      <c r="H413" s="49"/>
      <c r="I413" s="49">
        <v>0</v>
      </c>
      <c r="J413" s="49" t="s">
        <v>860</v>
      </c>
      <c r="K413" s="49" t="s">
        <v>1602</v>
      </c>
      <c r="L413" s="49"/>
      <c r="M413" s="49"/>
      <c r="N413" s="49" t="s">
        <v>1603</v>
      </c>
      <c r="O413" s="49">
        <v>0</v>
      </c>
      <c r="P413" s="49">
        <v>0</v>
      </c>
      <c r="Q413" s="49"/>
      <c r="R413" s="50" t="b">
        <v>1</v>
      </c>
    </row>
    <row r="414" spans="1:18" x14ac:dyDescent="0.3">
      <c r="A414" s="53" t="s">
        <v>1604</v>
      </c>
      <c r="B414" s="49" t="s">
        <v>500</v>
      </c>
      <c r="C414" s="49" t="s">
        <v>503</v>
      </c>
      <c r="D414" s="49">
        <v>0</v>
      </c>
      <c r="E414" s="49">
        <v>1</v>
      </c>
      <c r="F414" s="49" t="s">
        <v>476</v>
      </c>
      <c r="G414" s="49" t="s">
        <v>477</v>
      </c>
      <c r="H414" s="49"/>
      <c r="I414" s="49">
        <v>0</v>
      </c>
      <c r="J414" s="49" t="s">
        <v>860</v>
      </c>
      <c r="K414" s="49" t="s">
        <v>1605</v>
      </c>
      <c r="L414" s="49"/>
      <c r="M414" s="49"/>
      <c r="N414" s="49" t="s">
        <v>1606</v>
      </c>
      <c r="O414" s="49">
        <v>0</v>
      </c>
      <c r="P414" s="49">
        <v>0</v>
      </c>
      <c r="Q414" s="49"/>
      <c r="R414" s="50" t="b">
        <v>1</v>
      </c>
    </row>
    <row r="415" spans="1:18" x14ac:dyDescent="0.3">
      <c r="A415" s="53" t="s">
        <v>1607</v>
      </c>
      <c r="B415" s="49" t="s">
        <v>500</v>
      </c>
      <c r="C415" s="49" t="s">
        <v>505</v>
      </c>
      <c r="D415" s="49">
        <v>0</v>
      </c>
      <c r="E415" s="49">
        <v>1</v>
      </c>
      <c r="F415" s="49" t="s">
        <v>476</v>
      </c>
      <c r="G415" s="49" t="s">
        <v>477</v>
      </c>
      <c r="H415" s="49"/>
      <c r="I415" s="49">
        <v>0</v>
      </c>
      <c r="J415" s="49" t="s">
        <v>860</v>
      </c>
      <c r="K415" s="49" t="s">
        <v>1608</v>
      </c>
      <c r="L415" s="49"/>
      <c r="M415" s="49"/>
      <c r="N415" s="49" t="s">
        <v>1609</v>
      </c>
      <c r="O415" s="49">
        <v>0</v>
      </c>
      <c r="P415" s="49">
        <v>0</v>
      </c>
      <c r="Q415" s="49"/>
      <c r="R415" s="50" t="b">
        <v>1</v>
      </c>
    </row>
    <row r="416" spans="1:18" x14ac:dyDescent="0.3">
      <c r="A416" s="53" t="s">
        <v>1610</v>
      </c>
      <c r="B416" s="49"/>
      <c r="C416" s="49"/>
      <c r="D416" s="49">
        <v>0</v>
      </c>
      <c r="E416" s="49">
        <v>1</v>
      </c>
      <c r="F416" s="49" t="s">
        <v>476</v>
      </c>
      <c r="G416" s="49" t="s">
        <v>477</v>
      </c>
      <c r="H416" s="49"/>
      <c r="I416" s="49">
        <v>0</v>
      </c>
      <c r="J416" s="49" t="s">
        <v>851</v>
      </c>
      <c r="K416" s="49" t="s">
        <v>845</v>
      </c>
      <c r="L416" s="49">
        <v>20</v>
      </c>
      <c r="M416" s="49"/>
      <c r="N416" s="49" t="s">
        <v>1503</v>
      </c>
      <c r="O416" s="49">
        <v>0</v>
      </c>
      <c r="P416" s="49">
        <v>800</v>
      </c>
      <c r="Q416" s="49"/>
      <c r="R416" s="50" t="b">
        <v>1</v>
      </c>
    </row>
    <row r="417" spans="1:18" x14ac:dyDescent="0.3">
      <c r="A417" s="53" t="s">
        <v>1611</v>
      </c>
      <c r="B417" s="49"/>
      <c r="C417" s="49"/>
      <c r="D417" s="49">
        <v>0</v>
      </c>
      <c r="E417" s="49">
        <v>1</v>
      </c>
      <c r="F417" s="49" t="s">
        <v>476</v>
      </c>
      <c r="G417" s="49" t="s">
        <v>477</v>
      </c>
      <c r="H417" s="49"/>
      <c r="I417" s="49">
        <v>0</v>
      </c>
      <c r="J417" s="49" t="s">
        <v>846</v>
      </c>
      <c r="K417" s="49" t="s">
        <v>892</v>
      </c>
      <c r="L417" s="49">
        <v>500</v>
      </c>
      <c r="M417" s="49"/>
      <c r="N417" s="49" t="s">
        <v>1502</v>
      </c>
      <c r="O417" s="49">
        <v>0</v>
      </c>
      <c r="P417" s="49">
        <v>0</v>
      </c>
      <c r="Q417" s="49"/>
      <c r="R417" s="50" t="b">
        <v>1</v>
      </c>
    </row>
    <row r="418" spans="1:18" x14ac:dyDescent="0.3">
      <c r="A418" s="53" t="s">
        <v>1612</v>
      </c>
      <c r="B418" s="49"/>
      <c r="C418" s="49"/>
      <c r="D418" s="49">
        <v>0</v>
      </c>
      <c r="E418" s="49">
        <v>1</v>
      </c>
      <c r="F418" s="49" t="s">
        <v>476</v>
      </c>
      <c r="G418" s="49" t="s">
        <v>477</v>
      </c>
      <c r="H418" s="49"/>
      <c r="I418" s="49">
        <v>0</v>
      </c>
      <c r="J418" s="49" t="s">
        <v>470</v>
      </c>
      <c r="K418" s="49" t="s">
        <v>893</v>
      </c>
      <c r="L418" s="49" t="s">
        <v>1613</v>
      </c>
      <c r="M418" s="49"/>
      <c r="N418" s="49" t="s">
        <v>1614</v>
      </c>
      <c r="O418" s="49">
        <v>0</v>
      </c>
      <c r="P418" s="49">
        <v>0</v>
      </c>
      <c r="Q418" s="49"/>
      <c r="R418" s="50" t="b">
        <v>1</v>
      </c>
    </row>
    <row r="419" spans="1:18" x14ac:dyDescent="0.3">
      <c r="A419" s="26" t="s">
        <v>1615</v>
      </c>
      <c r="B419" s="27"/>
      <c r="C419" s="27"/>
      <c r="D419" s="27">
        <v>0</v>
      </c>
      <c r="E419" s="27">
        <v>1</v>
      </c>
      <c r="F419" s="27" t="s">
        <v>476</v>
      </c>
      <c r="G419" s="27" t="s">
        <v>477</v>
      </c>
      <c r="H419" s="27"/>
      <c r="I419" s="27">
        <v>0</v>
      </c>
      <c r="J419" s="27" t="s">
        <v>846</v>
      </c>
      <c r="K419" s="27" t="s">
        <v>980</v>
      </c>
      <c r="L419" s="27">
        <v>40</v>
      </c>
      <c r="M419" s="27"/>
      <c r="N419" s="27" t="str">
        <f t="shared" ref="N419:N452" si="50">J419&amp;"("&amp;IF(K419="","",K419)&amp;IF(L419="","",", "&amp;L419)&amp;IF(M419="","",", "&amp;M419)&amp;")"</f>
        <v>Status(DamageIgnoreHpUnderRate, 40)</v>
      </c>
      <c r="O419" s="27">
        <v>0</v>
      </c>
      <c r="P419" s="27">
        <v>0</v>
      </c>
      <c r="Q419" s="27"/>
      <c r="R419" s="28" t="b">
        <v>1</v>
      </c>
    </row>
    <row r="420" spans="1:18" x14ac:dyDescent="0.3">
      <c r="A420" s="26" t="s">
        <v>1616</v>
      </c>
      <c r="B420" s="27"/>
      <c r="C420" s="27"/>
      <c r="D420" s="27">
        <v>0</v>
      </c>
      <c r="E420" s="27">
        <v>1</v>
      </c>
      <c r="F420" s="27" t="s">
        <v>476</v>
      </c>
      <c r="G420" s="27" t="s">
        <v>477</v>
      </c>
      <c r="H420" s="27"/>
      <c r="I420" s="27">
        <v>0</v>
      </c>
      <c r="J420" s="27" t="s">
        <v>862</v>
      </c>
      <c r="K420" s="27" t="s">
        <v>863</v>
      </c>
      <c r="L420" s="27">
        <v>300</v>
      </c>
      <c r="M420" s="27"/>
      <c r="N420" s="27" t="str">
        <f t="shared" si="50"/>
        <v>EffectImmune(Damage, 300)</v>
      </c>
      <c r="O420" s="27">
        <v>0</v>
      </c>
      <c r="P420" s="27">
        <v>0</v>
      </c>
      <c r="Q420" s="27"/>
      <c r="R420" s="28" t="b">
        <v>1</v>
      </c>
    </row>
    <row r="421" spans="1:18" x14ac:dyDescent="0.3">
      <c r="A421" s="26" t="s">
        <v>1617</v>
      </c>
      <c r="B421" s="27"/>
      <c r="C421" s="27"/>
      <c r="D421" s="27">
        <v>0</v>
      </c>
      <c r="E421" s="27">
        <v>1</v>
      </c>
      <c r="F421" s="27" t="s">
        <v>476</v>
      </c>
      <c r="G421" s="27" t="s">
        <v>477</v>
      </c>
      <c r="H421" s="27"/>
      <c r="I421" s="27">
        <v>0</v>
      </c>
      <c r="J421" s="27" t="s">
        <v>846</v>
      </c>
      <c r="K421" s="27" t="s">
        <v>852</v>
      </c>
      <c r="L421" s="27">
        <v>2500</v>
      </c>
      <c r="M421" s="27"/>
      <c r="N421" s="27" t="str">
        <f t="shared" si="50"/>
        <v>Status(AttackRatio, 2500)</v>
      </c>
      <c r="O421" s="27">
        <v>0</v>
      </c>
      <c r="P421" s="27">
        <v>0</v>
      </c>
      <c r="Q421" s="27"/>
      <c r="R421" s="28" t="b">
        <v>1</v>
      </c>
    </row>
    <row r="422" spans="1:18" x14ac:dyDescent="0.3">
      <c r="A422" s="26" t="s">
        <v>1618</v>
      </c>
      <c r="B422" s="27"/>
      <c r="C422" s="27"/>
      <c r="D422" s="27">
        <v>0</v>
      </c>
      <c r="E422" s="27">
        <v>1</v>
      </c>
      <c r="F422" s="27" t="s">
        <v>476</v>
      </c>
      <c r="G422" s="27" t="s">
        <v>477</v>
      </c>
      <c r="H422" s="27"/>
      <c r="I422" s="27">
        <v>0</v>
      </c>
      <c r="J422" s="27" t="s">
        <v>860</v>
      </c>
      <c r="K422" s="27" t="s">
        <v>1619</v>
      </c>
      <c r="L422" s="27"/>
      <c r="M422" s="27"/>
      <c r="N422" s="27" t="str">
        <f t="shared" si="50"/>
        <v>Active(BossChallenge.goliath_1.passive01.skilleffect)</v>
      </c>
      <c r="O422" s="27">
        <v>0</v>
      </c>
      <c r="P422" s="27">
        <v>6000</v>
      </c>
      <c r="Q422" s="27"/>
      <c r="R422" s="28" t="b">
        <v>1</v>
      </c>
    </row>
    <row r="423" spans="1:18" x14ac:dyDescent="0.3">
      <c r="A423" s="26" t="s">
        <v>1620</v>
      </c>
      <c r="B423" s="27" t="s">
        <v>487</v>
      </c>
      <c r="C423" s="27" t="s">
        <v>1621</v>
      </c>
      <c r="D423" s="27">
        <v>0</v>
      </c>
      <c r="E423" s="27">
        <v>1</v>
      </c>
      <c r="F423" s="27" t="s">
        <v>476</v>
      </c>
      <c r="G423" s="27" t="s">
        <v>477</v>
      </c>
      <c r="H423" s="27"/>
      <c r="I423" s="27">
        <v>0</v>
      </c>
      <c r="J423" s="27" t="s">
        <v>877</v>
      </c>
      <c r="K423" s="27" t="s">
        <v>982</v>
      </c>
      <c r="L423" s="27"/>
      <c r="M423" s="27"/>
      <c r="N423" s="27" t="str">
        <f t="shared" si="50"/>
        <v>ChangeSkill(Skill2)</v>
      </c>
      <c r="O423" s="27">
        <v>0</v>
      </c>
      <c r="P423" s="27">
        <v>0</v>
      </c>
      <c r="Q423" s="27"/>
      <c r="R423" s="28" t="b">
        <v>1</v>
      </c>
    </row>
    <row r="424" spans="1:18" x14ac:dyDescent="0.3">
      <c r="A424" s="26" t="s">
        <v>1622</v>
      </c>
      <c r="B424" s="27"/>
      <c r="C424" s="27"/>
      <c r="D424" s="27">
        <v>0</v>
      </c>
      <c r="E424" s="27">
        <v>1</v>
      </c>
      <c r="F424" s="27" t="s">
        <v>476</v>
      </c>
      <c r="G424" s="27" t="s">
        <v>477</v>
      </c>
      <c r="H424" s="27"/>
      <c r="I424" s="27">
        <v>0</v>
      </c>
      <c r="J424" s="27" t="s">
        <v>846</v>
      </c>
      <c r="K424" s="27" t="s">
        <v>852</v>
      </c>
      <c r="L424" s="27">
        <v>70</v>
      </c>
      <c r="M424" s="27"/>
      <c r="N424" s="27" t="str">
        <f t="shared" si="50"/>
        <v>Status(AttackRatio, 70)</v>
      </c>
      <c r="O424" s="27">
        <v>0</v>
      </c>
      <c r="P424" s="27">
        <v>0</v>
      </c>
      <c r="Q424" s="27"/>
      <c r="R424" s="28" t="b">
        <v>1</v>
      </c>
    </row>
    <row r="425" spans="1:18" x14ac:dyDescent="0.3">
      <c r="A425" s="26" t="s">
        <v>1623</v>
      </c>
      <c r="B425" s="27" t="s">
        <v>843</v>
      </c>
      <c r="C425" s="27">
        <v>-90</v>
      </c>
      <c r="D425" s="27">
        <v>0</v>
      </c>
      <c r="E425" s="27">
        <v>1</v>
      </c>
      <c r="F425" s="27" t="s">
        <v>476</v>
      </c>
      <c r="G425" s="27" t="s">
        <v>477</v>
      </c>
      <c r="H425" s="27"/>
      <c r="I425" s="27">
        <v>0</v>
      </c>
      <c r="J425" s="27" t="s">
        <v>860</v>
      </c>
      <c r="K425" s="27" t="s">
        <v>1624</v>
      </c>
      <c r="L425" s="27"/>
      <c r="M425" s="27"/>
      <c r="N425" s="27" t="str">
        <f t="shared" si="50"/>
        <v>Active(BossChallenge.goliath_1.passive02.buff.buffeffect.01.skilleffect)</v>
      </c>
      <c r="O425" s="27">
        <v>0</v>
      </c>
      <c r="P425" s="27">
        <v>100000</v>
      </c>
      <c r="Q425" s="27"/>
      <c r="R425" s="28" t="b">
        <v>1</v>
      </c>
    </row>
    <row r="426" spans="1:18" x14ac:dyDescent="0.3">
      <c r="A426" s="26" t="s">
        <v>1625</v>
      </c>
      <c r="B426" s="27" t="s">
        <v>843</v>
      </c>
      <c r="C426" s="27">
        <v>-80</v>
      </c>
      <c r="D426" s="27">
        <v>0</v>
      </c>
      <c r="E426" s="27">
        <v>1</v>
      </c>
      <c r="F426" s="27" t="s">
        <v>476</v>
      </c>
      <c r="G426" s="27" t="s">
        <v>477</v>
      </c>
      <c r="H426" s="27"/>
      <c r="I426" s="27">
        <v>0</v>
      </c>
      <c r="J426" s="27" t="s">
        <v>860</v>
      </c>
      <c r="K426" s="27" t="s">
        <v>1624</v>
      </c>
      <c r="L426" s="27"/>
      <c r="M426" s="27"/>
      <c r="N426" s="27" t="str">
        <f t="shared" si="50"/>
        <v>Active(BossChallenge.goliath_1.passive02.buff.buffeffect.01.skilleffect)</v>
      </c>
      <c r="O426" s="27">
        <v>0</v>
      </c>
      <c r="P426" s="27">
        <v>100000</v>
      </c>
      <c r="Q426" s="27"/>
      <c r="R426" s="28" t="b">
        <v>1</v>
      </c>
    </row>
    <row r="427" spans="1:18" x14ac:dyDescent="0.3">
      <c r="A427" s="26" t="s">
        <v>1626</v>
      </c>
      <c r="B427" s="27" t="s">
        <v>843</v>
      </c>
      <c r="C427" s="27">
        <v>-70</v>
      </c>
      <c r="D427" s="27">
        <v>0</v>
      </c>
      <c r="E427" s="27">
        <v>1</v>
      </c>
      <c r="F427" s="27" t="s">
        <v>476</v>
      </c>
      <c r="G427" s="27" t="s">
        <v>477</v>
      </c>
      <c r="H427" s="27"/>
      <c r="I427" s="27">
        <v>0</v>
      </c>
      <c r="J427" s="27" t="s">
        <v>860</v>
      </c>
      <c r="K427" s="27" t="s">
        <v>1624</v>
      </c>
      <c r="L427" s="27"/>
      <c r="M427" s="27"/>
      <c r="N427" s="27" t="str">
        <f t="shared" si="50"/>
        <v>Active(BossChallenge.goliath_1.passive02.buff.buffeffect.01.skilleffect)</v>
      </c>
      <c r="O427" s="27">
        <v>0</v>
      </c>
      <c r="P427" s="27">
        <v>100000</v>
      </c>
      <c r="Q427" s="27"/>
      <c r="R427" s="28" t="b">
        <v>1</v>
      </c>
    </row>
    <row r="428" spans="1:18" x14ac:dyDescent="0.3">
      <c r="A428" s="26" t="s">
        <v>1627</v>
      </c>
      <c r="B428" s="27" t="s">
        <v>843</v>
      </c>
      <c r="C428" s="27">
        <v>-60</v>
      </c>
      <c r="D428" s="27">
        <v>0</v>
      </c>
      <c r="E428" s="27">
        <v>1</v>
      </c>
      <c r="F428" s="27" t="s">
        <v>476</v>
      </c>
      <c r="G428" s="27" t="s">
        <v>477</v>
      </c>
      <c r="H428" s="27"/>
      <c r="I428" s="27">
        <v>0</v>
      </c>
      <c r="J428" s="27" t="s">
        <v>860</v>
      </c>
      <c r="K428" s="27" t="s">
        <v>1624</v>
      </c>
      <c r="L428" s="27"/>
      <c r="M428" s="27"/>
      <c r="N428" s="27" t="str">
        <f t="shared" si="50"/>
        <v>Active(BossChallenge.goliath_1.passive02.buff.buffeffect.01.skilleffect)</v>
      </c>
      <c r="O428" s="27">
        <v>0</v>
      </c>
      <c r="P428" s="27">
        <v>100000</v>
      </c>
      <c r="Q428" s="27"/>
      <c r="R428" s="28" t="b">
        <v>1</v>
      </c>
    </row>
    <row r="429" spans="1:18" x14ac:dyDescent="0.3">
      <c r="A429" s="26" t="s">
        <v>1628</v>
      </c>
      <c r="B429" s="27" t="s">
        <v>843</v>
      </c>
      <c r="C429" s="27">
        <v>-50</v>
      </c>
      <c r="D429" s="27">
        <v>0</v>
      </c>
      <c r="E429" s="27">
        <v>1</v>
      </c>
      <c r="F429" s="27" t="s">
        <v>476</v>
      </c>
      <c r="G429" s="27" t="s">
        <v>477</v>
      </c>
      <c r="H429" s="27"/>
      <c r="I429" s="27">
        <v>0</v>
      </c>
      <c r="J429" s="27" t="s">
        <v>860</v>
      </c>
      <c r="K429" s="27" t="s">
        <v>1624</v>
      </c>
      <c r="L429" s="27"/>
      <c r="M429" s="27"/>
      <c r="N429" s="27" t="str">
        <f t="shared" si="50"/>
        <v>Active(BossChallenge.goliath_1.passive02.buff.buffeffect.01.skilleffect)</v>
      </c>
      <c r="O429" s="27">
        <v>0</v>
      </c>
      <c r="P429" s="27">
        <v>100000</v>
      </c>
      <c r="Q429" s="27"/>
      <c r="R429" s="28" t="b">
        <v>1</v>
      </c>
    </row>
    <row r="430" spans="1:18" x14ac:dyDescent="0.3">
      <c r="A430" s="26" t="s">
        <v>1629</v>
      </c>
      <c r="B430" s="27" t="s">
        <v>843</v>
      </c>
      <c r="C430" s="27">
        <v>-40</v>
      </c>
      <c r="D430" s="27">
        <v>0</v>
      </c>
      <c r="E430" s="27">
        <v>1</v>
      </c>
      <c r="F430" s="27" t="s">
        <v>476</v>
      </c>
      <c r="G430" s="27" t="s">
        <v>477</v>
      </c>
      <c r="H430" s="27"/>
      <c r="I430" s="27">
        <v>0</v>
      </c>
      <c r="J430" s="27" t="s">
        <v>860</v>
      </c>
      <c r="K430" s="27" t="s">
        <v>1624</v>
      </c>
      <c r="L430" s="27"/>
      <c r="M430" s="27"/>
      <c r="N430" s="27" t="str">
        <f t="shared" si="50"/>
        <v>Active(BossChallenge.goliath_1.passive02.buff.buffeffect.01.skilleffect)</v>
      </c>
      <c r="O430" s="27">
        <v>0</v>
      </c>
      <c r="P430" s="27">
        <v>100000</v>
      </c>
      <c r="Q430" s="27"/>
      <c r="R430" s="28" t="b">
        <v>1</v>
      </c>
    </row>
    <row r="431" spans="1:18" x14ac:dyDescent="0.3">
      <c r="A431" s="26" t="s">
        <v>1630</v>
      </c>
      <c r="B431" s="27" t="s">
        <v>843</v>
      </c>
      <c r="C431" s="27">
        <v>-30</v>
      </c>
      <c r="D431" s="27">
        <v>0</v>
      </c>
      <c r="E431" s="27">
        <v>1</v>
      </c>
      <c r="F431" s="27" t="s">
        <v>476</v>
      </c>
      <c r="G431" s="27" t="s">
        <v>477</v>
      </c>
      <c r="H431" s="27"/>
      <c r="I431" s="27">
        <v>0</v>
      </c>
      <c r="J431" s="27" t="s">
        <v>860</v>
      </c>
      <c r="K431" s="27" t="s">
        <v>1624</v>
      </c>
      <c r="L431" s="27"/>
      <c r="M431" s="27"/>
      <c r="N431" s="27" t="str">
        <f t="shared" si="50"/>
        <v>Active(BossChallenge.goliath_1.passive02.buff.buffeffect.01.skilleffect)</v>
      </c>
      <c r="O431" s="27">
        <v>0</v>
      </c>
      <c r="P431" s="27">
        <v>100000</v>
      </c>
      <c r="Q431" s="27"/>
      <c r="R431" s="28" t="b">
        <v>1</v>
      </c>
    </row>
    <row r="432" spans="1:18" x14ac:dyDescent="0.3">
      <c r="A432" s="26" t="s">
        <v>1631</v>
      </c>
      <c r="B432" s="27" t="s">
        <v>843</v>
      </c>
      <c r="C432" s="27">
        <v>-20</v>
      </c>
      <c r="D432" s="27">
        <v>0</v>
      </c>
      <c r="E432" s="27">
        <v>1</v>
      </c>
      <c r="F432" s="27" t="s">
        <v>476</v>
      </c>
      <c r="G432" s="27" t="s">
        <v>477</v>
      </c>
      <c r="H432" s="27"/>
      <c r="I432" s="27">
        <v>0</v>
      </c>
      <c r="J432" s="27" t="s">
        <v>860</v>
      </c>
      <c r="K432" s="27" t="s">
        <v>1624</v>
      </c>
      <c r="L432" s="27"/>
      <c r="M432" s="27"/>
      <c r="N432" s="27" t="str">
        <f t="shared" si="50"/>
        <v>Active(BossChallenge.goliath_1.passive02.buff.buffeffect.01.skilleffect)</v>
      </c>
      <c r="O432" s="27">
        <v>0</v>
      </c>
      <c r="P432" s="27">
        <v>100000</v>
      </c>
      <c r="Q432" s="27"/>
      <c r="R432" s="28" t="b">
        <v>1</v>
      </c>
    </row>
    <row r="433" spans="1:18" x14ac:dyDescent="0.3">
      <c r="A433" s="26" t="s">
        <v>1632</v>
      </c>
      <c r="B433" s="27" t="s">
        <v>843</v>
      </c>
      <c r="C433" s="27">
        <v>-10</v>
      </c>
      <c r="D433" s="27">
        <v>0</v>
      </c>
      <c r="E433" s="27">
        <v>1</v>
      </c>
      <c r="F433" s="27" t="s">
        <v>476</v>
      </c>
      <c r="G433" s="27" t="s">
        <v>477</v>
      </c>
      <c r="H433" s="27"/>
      <c r="I433" s="27">
        <v>0</v>
      </c>
      <c r="J433" s="27" t="s">
        <v>860</v>
      </c>
      <c r="K433" s="27" t="s">
        <v>1624</v>
      </c>
      <c r="L433" s="27"/>
      <c r="M433" s="27"/>
      <c r="N433" s="27" t="str">
        <f t="shared" si="50"/>
        <v>Active(BossChallenge.goliath_1.passive02.buff.buffeffect.01.skilleffect)</v>
      </c>
      <c r="O433" s="27">
        <v>0</v>
      </c>
      <c r="P433" s="27">
        <v>100000</v>
      </c>
      <c r="Q433" s="27"/>
      <c r="R433" s="28" t="b">
        <v>1</v>
      </c>
    </row>
    <row r="434" spans="1:18" x14ac:dyDescent="0.3">
      <c r="A434" s="26" t="s">
        <v>1633</v>
      </c>
      <c r="B434" s="27"/>
      <c r="C434" s="27"/>
      <c r="D434" s="27">
        <v>0</v>
      </c>
      <c r="E434" s="27">
        <v>1</v>
      </c>
      <c r="F434" s="27" t="s">
        <v>476</v>
      </c>
      <c r="G434" s="27" t="s">
        <v>477</v>
      </c>
      <c r="H434" s="27"/>
      <c r="I434" s="27">
        <v>0</v>
      </c>
      <c r="J434" s="27" t="s">
        <v>846</v>
      </c>
      <c r="K434" s="27" t="s">
        <v>847</v>
      </c>
      <c r="L434" s="27">
        <v>110</v>
      </c>
      <c r="M434" s="27"/>
      <c r="N434" s="27" t="str">
        <f t="shared" si="50"/>
        <v>Status(DefenseRatio, 110)</v>
      </c>
      <c r="O434" s="27">
        <v>0</v>
      </c>
      <c r="P434" s="27">
        <v>0</v>
      </c>
      <c r="Q434" s="27"/>
      <c r="R434" s="28" t="b">
        <v>1</v>
      </c>
    </row>
    <row r="435" spans="1:18" x14ac:dyDescent="0.3">
      <c r="A435" s="135" t="s">
        <v>1758</v>
      </c>
      <c r="B435" s="136"/>
      <c r="C435" s="136"/>
      <c r="D435" s="136">
        <v>0</v>
      </c>
      <c r="E435" s="136">
        <v>1</v>
      </c>
      <c r="F435" s="136" t="s">
        <v>476</v>
      </c>
      <c r="G435" s="136" t="s">
        <v>477</v>
      </c>
      <c r="H435" s="136"/>
      <c r="I435" s="136">
        <v>0</v>
      </c>
      <c r="J435" s="136" t="s">
        <v>846</v>
      </c>
      <c r="K435" s="136" t="s">
        <v>852</v>
      </c>
      <c r="L435" s="136">
        <v>-400</v>
      </c>
      <c r="M435" s="136"/>
      <c r="N435" s="136" t="str">
        <f t="shared" ref="N435:N445" si="51">J435&amp;"("&amp;IF(K435="","",K435)&amp;IF(L435="","",", "&amp;L435)&amp;IF(M435="","",", "&amp;M435)&amp;")"</f>
        <v>Status(AttackRatio, -400)</v>
      </c>
      <c r="O435" s="136">
        <v>0</v>
      </c>
      <c r="P435" s="136">
        <v>0</v>
      </c>
      <c r="Q435" s="136"/>
      <c r="R435" s="137" t="b">
        <v>1</v>
      </c>
    </row>
    <row r="436" spans="1:18" x14ac:dyDescent="0.3">
      <c r="A436" s="135" t="s">
        <v>1759</v>
      </c>
      <c r="B436" s="136"/>
      <c r="C436" s="136"/>
      <c r="D436" s="136">
        <v>0</v>
      </c>
      <c r="E436" s="136">
        <v>1</v>
      </c>
      <c r="F436" s="136" t="s">
        <v>476</v>
      </c>
      <c r="G436" s="136" t="s">
        <v>477</v>
      </c>
      <c r="H436" s="136"/>
      <c r="I436" s="136">
        <v>0</v>
      </c>
      <c r="J436" s="136" t="s">
        <v>846</v>
      </c>
      <c r="K436" s="136" t="s">
        <v>980</v>
      </c>
      <c r="L436" s="136">
        <v>50</v>
      </c>
      <c r="M436" s="136"/>
      <c r="N436" s="136" t="str">
        <f t="shared" si="51"/>
        <v>Status(DamageIgnoreHpUnderRate, 50)</v>
      </c>
      <c r="O436" s="136">
        <v>0</v>
      </c>
      <c r="P436" s="136">
        <v>0</v>
      </c>
      <c r="Q436" s="136"/>
      <c r="R436" s="137" t="b">
        <v>1</v>
      </c>
    </row>
    <row r="437" spans="1:18" x14ac:dyDescent="0.3">
      <c r="A437" s="135" t="s">
        <v>1760</v>
      </c>
      <c r="B437" s="136"/>
      <c r="C437" s="136"/>
      <c r="D437" s="136">
        <v>0</v>
      </c>
      <c r="E437" s="136">
        <v>1</v>
      </c>
      <c r="F437" s="136" t="s">
        <v>476</v>
      </c>
      <c r="G437" s="136" t="s">
        <v>477</v>
      </c>
      <c r="H437" s="136"/>
      <c r="I437" s="136">
        <v>0</v>
      </c>
      <c r="J437" s="136" t="s">
        <v>882</v>
      </c>
      <c r="K437" s="136" t="s">
        <v>895</v>
      </c>
      <c r="L437" s="136" t="s">
        <v>1761</v>
      </c>
      <c r="M437" s="136" t="s">
        <v>961</v>
      </c>
      <c r="N437" s="136" t="str">
        <f t="shared" si="51"/>
        <v>Event(DecHpOverRate, BossChallenge.goliath_4.skill03.hitevent.skilleffect, HpRateCondition(50))</v>
      </c>
      <c r="O437" s="136">
        <v>0</v>
      </c>
      <c r="P437" s="136">
        <v>0</v>
      </c>
      <c r="Q437" s="136"/>
      <c r="R437" s="137" t="b">
        <v>1</v>
      </c>
    </row>
    <row r="438" spans="1:18" x14ac:dyDescent="0.3">
      <c r="A438" s="135" t="s">
        <v>1762</v>
      </c>
      <c r="B438" s="136"/>
      <c r="C438" s="136"/>
      <c r="D438" s="136">
        <v>0</v>
      </c>
      <c r="E438" s="136">
        <v>1</v>
      </c>
      <c r="F438" s="136" t="s">
        <v>476</v>
      </c>
      <c r="G438" s="136" t="s">
        <v>477</v>
      </c>
      <c r="H438" s="136"/>
      <c r="I438" s="136">
        <v>0</v>
      </c>
      <c r="J438" s="136" t="s">
        <v>860</v>
      </c>
      <c r="K438" s="136" t="s">
        <v>1763</v>
      </c>
      <c r="L438" s="136"/>
      <c r="M438" s="136"/>
      <c r="N438" s="136" t="str">
        <f t="shared" si="51"/>
        <v>Active(BossChallenge.goliath_4.skill03.pre.buff.buffeffect03.skilleffect)</v>
      </c>
      <c r="O438" s="136">
        <v>0</v>
      </c>
      <c r="P438" s="136">
        <v>10000</v>
      </c>
      <c r="Q438" s="136"/>
      <c r="R438" s="137" t="b">
        <v>1</v>
      </c>
    </row>
    <row r="439" spans="1:18" x14ac:dyDescent="0.3">
      <c r="A439" s="135" t="s">
        <v>1764</v>
      </c>
      <c r="B439" s="136"/>
      <c r="C439" s="136"/>
      <c r="D439" s="136">
        <v>0</v>
      </c>
      <c r="E439" s="136">
        <v>1</v>
      </c>
      <c r="F439" s="136" t="s">
        <v>476</v>
      </c>
      <c r="G439" s="136" t="s">
        <v>477</v>
      </c>
      <c r="H439" s="136"/>
      <c r="I439" s="136">
        <v>0</v>
      </c>
      <c r="J439" s="136" t="s">
        <v>846</v>
      </c>
      <c r="K439" s="136" t="s">
        <v>857</v>
      </c>
      <c r="L439" s="136">
        <v>-500</v>
      </c>
      <c r="M439" s="136"/>
      <c r="N439" s="136" t="str">
        <f t="shared" si="51"/>
        <v>Status(DamageRate, -500)</v>
      </c>
      <c r="O439" s="136">
        <v>0</v>
      </c>
      <c r="P439" s="136">
        <v>0</v>
      </c>
      <c r="Q439" s="136"/>
      <c r="R439" s="137" t="b">
        <v>1</v>
      </c>
    </row>
    <row r="440" spans="1:18" x14ac:dyDescent="0.3">
      <c r="A440" s="135" t="s">
        <v>1765</v>
      </c>
      <c r="B440" s="136"/>
      <c r="C440" s="136"/>
      <c r="D440" s="136">
        <v>0</v>
      </c>
      <c r="E440" s="136">
        <v>1</v>
      </c>
      <c r="F440" s="136" t="s">
        <v>476</v>
      </c>
      <c r="G440" s="136" t="s">
        <v>477</v>
      </c>
      <c r="H440" s="136"/>
      <c r="I440" s="136">
        <v>0</v>
      </c>
      <c r="J440" s="136" t="s">
        <v>860</v>
      </c>
      <c r="K440" s="136" t="s">
        <v>1766</v>
      </c>
      <c r="L440" s="136"/>
      <c r="M440" s="136"/>
      <c r="N440" s="136" t="str">
        <f t="shared" si="51"/>
        <v>Active(BossChallenge.goliath_4.passive01.skilleffect)</v>
      </c>
      <c r="O440" s="136">
        <v>0</v>
      </c>
      <c r="P440" s="136">
        <v>6000</v>
      </c>
      <c r="Q440" s="136"/>
      <c r="R440" s="137" t="b">
        <v>1</v>
      </c>
    </row>
    <row r="441" spans="1:18" x14ac:dyDescent="0.3">
      <c r="A441" s="135" t="s">
        <v>1767</v>
      </c>
      <c r="B441" s="136" t="s">
        <v>487</v>
      </c>
      <c r="C441" s="136" t="s">
        <v>1768</v>
      </c>
      <c r="D441" s="136">
        <v>0</v>
      </c>
      <c r="E441" s="136">
        <v>1</v>
      </c>
      <c r="F441" s="136" t="s">
        <v>476</v>
      </c>
      <c r="G441" s="136" t="s">
        <v>477</v>
      </c>
      <c r="H441" s="136"/>
      <c r="I441" s="136">
        <v>0</v>
      </c>
      <c r="J441" s="136" t="s">
        <v>1380</v>
      </c>
      <c r="K441" s="136" t="s">
        <v>1754</v>
      </c>
      <c r="L441" s="136"/>
      <c r="M441" s="136"/>
      <c r="N441" s="136" t="str">
        <f t="shared" si="51"/>
        <v>Passive(BossChallenge.goliath_4.passive01.changeskill.buff)</v>
      </c>
      <c r="O441" s="136">
        <v>0</v>
      </c>
      <c r="P441" s="136">
        <v>0</v>
      </c>
      <c r="Q441" s="136"/>
      <c r="R441" s="137" t="b">
        <v>1</v>
      </c>
    </row>
    <row r="442" spans="1:18" x14ac:dyDescent="0.3">
      <c r="A442" s="135" t="s">
        <v>1769</v>
      </c>
      <c r="B442" s="136"/>
      <c r="C442" s="136"/>
      <c r="D442" s="136">
        <v>0</v>
      </c>
      <c r="E442" s="136">
        <v>1</v>
      </c>
      <c r="F442" s="136" t="s">
        <v>476</v>
      </c>
      <c r="G442" s="136" t="s">
        <v>477</v>
      </c>
      <c r="H442" s="136"/>
      <c r="I442" s="136">
        <v>0</v>
      </c>
      <c r="J442" s="136" t="s">
        <v>877</v>
      </c>
      <c r="K442" s="136" t="s">
        <v>982</v>
      </c>
      <c r="L442" s="136"/>
      <c r="M442" s="136"/>
      <c r="N442" s="136" t="str">
        <f t="shared" si="51"/>
        <v>ChangeSkill(Skill2)</v>
      </c>
      <c r="O442" s="136">
        <v>0</v>
      </c>
      <c r="P442" s="136">
        <v>0</v>
      </c>
      <c r="Q442" s="136"/>
      <c r="R442" s="137" t="b">
        <v>1</v>
      </c>
    </row>
    <row r="443" spans="1:18" x14ac:dyDescent="0.3">
      <c r="A443" s="135" t="s">
        <v>1770</v>
      </c>
      <c r="B443" s="136"/>
      <c r="C443" s="136"/>
      <c r="D443" s="136">
        <v>0</v>
      </c>
      <c r="E443" s="136">
        <v>1</v>
      </c>
      <c r="F443" s="136" t="s">
        <v>476</v>
      </c>
      <c r="G443" s="136" t="s">
        <v>477</v>
      </c>
      <c r="H443" s="136"/>
      <c r="I443" s="136">
        <v>0</v>
      </c>
      <c r="J443" s="136" t="s">
        <v>846</v>
      </c>
      <c r="K443" s="136" t="s">
        <v>852</v>
      </c>
      <c r="L443" s="136">
        <v>70</v>
      </c>
      <c r="M443" s="136"/>
      <c r="N443" s="136" t="str">
        <f t="shared" si="51"/>
        <v>Status(AttackRatio, 70)</v>
      </c>
      <c r="O443" s="136">
        <v>0</v>
      </c>
      <c r="P443" s="136">
        <v>0</v>
      </c>
      <c r="Q443" s="136"/>
      <c r="R443" s="137" t="b">
        <v>1</v>
      </c>
    </row>
    <row r="444" spans="1:18" x14ac:dyDescent="0.3">
      <c r="A444" s="135" t="s">
        <v>1771</v>
      </c>
      <c r="B444" s="136"/>
      <c r="C444" s="136"/>
      <c r="D444" s="136">
        <v>0</v>
      </c>
      <c r="E444" s="136">
        <v>1</v>
      </c>
      <c r="F444" s="136" t="s">
        <v>476</v>
      </c>
      <c r="G444" s="136" t="s">
        <v>477</v>
      </c>
      <c r="H444" s="136"/>
      <c r="I444" s="136">
        <v>0</v>
      </c>
      <c r="J444" s="136" t="s">
        <v>470</v>
      </c>
      <c r="K444" s="136" t="s">
        <v>867</v>
      </c>
      <c r="L444" s="136" t="s">
        <v>1772</v>
      </c>
      <c r="M444" s="136"/>
      <c r="N444" s="136" t="str">
        <f t="shared" si="51"/>
        <v>Effect(BeHit, BossChallenge.goliath_4.passive02.buff.buffeffect.01.skilleffect)</v>
      </c>
      <c r="O444" s="136">
        <v>0</v>
      </c>
      <c r="P444" s="136">
        <v>0</v>
      </c>
      <c r="Q444" s="136"/>
      <c r="R444" s="137" t="b">
        <v>1</v>
      </c>
    </row>
    <row r="445" spans="1:18" x14ac:dyDescent="0.3">
      <c r="A445" s="135" t="s">
        <v>1773</v>
      </c>
      <c r="B445" s="136"/>
      <c r="C445" s="136"/>
      <c r="D445" s="136">
        <v>0</v>
      </c>
      <c r="E445" s="136">
        <v>1</v>
      </c>
      <c r="F445" s="136" t="s">
        <v>476</v>
      </c>
      <c r="G445" s="136" t="s">
        <v>477</v>
      </c>
      <c r="H445" s="136"/>
      <c r="I445" s="136">
        <v>0</v>
      </c>
      <c r="J445" s="136" t="s">
        <v>846</v>
      </c>
      <c r="K445" s="136" t="s">
        <v>847</v>
      </c>
      <c r="L445" s="136">
        <v>5</v>
      </c>
      <c r="M445" s="136"/>
      <c r="N445" s="136" t="str">
        <f t="shared" si="51"/>
        <v>Status(DefenseRatio, 5)</v>
      </c>
      <c r="O445" s="136">
        <v>0</v>
      </c>
      <c r="P445" s="136">
        <v>0</v>
      </c>
      <c r="Q445" s="136"/>
      <c r="R445" s="137" t="b">
        <v>1</v>
      </c>
    </row>
    <row r="446" spans="1:18" x14ac:dyDescent="0.3">
      <c r="A446" s="130" t="s">
        <v>1634</v>
      </c>
      <c r="B446" s="131"/>
      <c r="C446" s="131"/>
      <c r="D446" s="131">
        <v>0</v>
      </c>
      <c r="E446" s="131">
        <v>1</v>
      </c>
      <c r="F446" s="131" t="s">
        <v>476</v>
      </c>
      <c r="G446" s="131" t="s">
        <v>477</v>
      </c>
      <c r="H446" s="131"/>
      <c r="I446" s="131">
        <v>0</v>
      </c>
      <c r="J446" s="131" t="s">
        <v>851</v>
      </c>
      <c r="K446" s="131" t="s">
        <v>845</v>
      </c>
      <c r="L446" s="131">
        <v>5</v>
      </c>
      <c r="M446" s="131"/>
      <c r="N446" s="131" t="str">
        <f t="shared" si="50"/>
        <v>Hot(MaxHp, 5)</v>
      </c>
      <c r="O446" s="131">
        <v>0</v>
      </c>
      <c r="P446" s="131">
        <v>1000</v>
      </c>
      <c r="Q446" s="131"/>
      <c r="R446" s="132" t="b">
        <v>1</v>
      </c>
    </row>
    <row r="447" spans="1:18" x14ac:dyDescent="0.3">
      <c r="A447" s="130" t="s">
        <v>1635</v>
      </c>
      <c r="B447" s="131"/>
      <c r="C447" s="131"/>
      <c r="D447" s="131">
        <v>0</v>
      </c>
      <c r="E447" s="131">
        <v>1</v>
      </c>
      <c r="F447" s="131" t="s">
        <v>476</v>
      </c>
      <c r="G447" s="131" t="s">
        <v>477</v>
      </c>
      <c r="H447" s="131"/>
      <c r="I447" s="131">
        <v>0</v>
      </c>
      <c r="J447" s="131" t="s">
        <v>846</v>
      </c>
      <c r="K447" s="131" t="s">
        <v>844</v>
      </c>
      <c r="L447" s="131">
        <v>100</v>
      </c>
      <c r="M447" s="131"/>
      <c r="N447" s="131" t="str">
        <f t="shared" si="50"/>
        <v>Status(Attack, 100)</v>
      </c>
      <c r="O447" s="131">
        <v>0</v>
      </c>
      <c r="P447" s="131">
        <v>0</v>
      </c>
      <c r="Q447" s="131"/>
      <c r="R447" s="132" t="b">
        <v>1</v>
      </c>
    </row>
    <row r="448" spans="1:18" x14ac:dyDescent="0.3">
      <c r="A448" s="130" t="s">
        <v>1636</v>
      </c>
      <c r="B448" s="131"/>
      <c r="C448" s="131"/>
      <c r="D448" s="131">
        <v>0</v>
      </c>
      <c r="E448" s="131">
        <v>1</v>
      </c>
      <c r="F448" s="131" t="s">
        <v>476</v>
      </c>
      <c r="G448" s="131" t="s">
        <v>477</v>
      </c>
      <c r="H448" s="131"/>
      <c r="I448" s="131">
        <v>0</v>
      </c>
      <c r="J448" s="131" t="s">
        <v>503</v>
      </c>
      <c r="K448" s="131" t="s">
        <v>844</v>
      </c>
      <c r="L448" s="131">
        <v>300</v>
      </c>
      <c r="M448" s="131"/>
      <c r="N448" s="131" t="str">
        <f t="shared" si="50"/>
        <v>Poison(Attack, 300)</v>
      </c>
      <c r="O448" s="131">
        <v>0</v>
      </c>
      <c r="P448" s="131">
        <v>1000</v>
      </c>
      <c r="Q448" s="131"/>
      <c r="R448" s="132" t="b">
        <v>1</v>
      </c>
    </row>
    <row r="449" spans="1:18" x14ac:dyDescent="0.3">
      <c r="A449" s="130" t="s">
        <v>1637</v>
      </c>
      <c r="B449" s="131"/>
      <c r="C449" s="131"/>
      <c r="D449" s="131">
        <v>0</v>
      </c>
      <c r="E449" s="131">
        <v>1</v>
      </c>
      <c r="F449" s="131" t="s">
        <v>476</v>
      </c>
      <c r="G449" s="131" t="s">
        <v>477</v>
      </c>
      <c r="H449" s="131"/>
      <c r="I449" s="131">
        <v>0</v>
      </c>
      <c r="J449" s="131" t="s">
        <v>846</v>
      </c>
      <c r="K449" s="131" t="s">
        <v>947</v>
      </c>
      <c r="L449" s="131">
        <v>500</v>
      </c>
      <c r="M449" s="131"/>
      <c r="N449" s="131" t="str">
        <f t="shared" si="50"/>
        <v>Status(RangeDamageDerate, 500)</v>
      </c>
      <c r="O449" s="131">
        <v>0</v>
      </c>
      <c r="P449" s="131">
        <v>0</v>
      </c>
      <c r="Q449" s="131"/>
      <c r="R449" s="132" t="b">
        <v>1</v>
      </c>
    </row>
    <row r="450" spans="1:18" x14ac:dyDescent="0.3">
      <c r="A450" s="130" t="s">
        <v>1638</v>
      </c>
      <c r="B450" s="131" t="s">
        <v>500</v>
      </c>
      <c r="C450" s="131" t="s">
        <v>501</v>
      </c>
      <c r="D450" s="131">
        <v>0</v>
      </c>
      <c r="E450" s="131">
        <v>1</v>
      </c>
      <c r="F450" s="131" t="s">
        <v>476</v>
      </c>
      <c r="G450" s="131" t="s">
        <v>477</v>
      </c>
      <c r="H450" s="131"/>
      <c r="I450" s="131">
        <v>0</v>
      </c>
      <c r="J450" s="131" t="s">
        <v>846</v>
      </c>
      <c r="K450" s="131" t="s">
        <v>872</v>
      </c>
      <c r="L450" s="131">
        <v>-1500</v>
      </c>
      <c r="M450" s="131"/>
      <c r="N450" s="131" t="str">
        <f t="shared" si="50"/>
        <v>Status(DamageDerate, -1500)</v>
      </c>
      <c r="O450" s="131">
        <v>0</v>
      </c>
      <c r="P450" s="131">
        <v>0</v>
      </c>
      <c r="Q450" s="131"/>
      <c r="R450" s="132" t="b">
        <v>1</v>
      </c>
    </row>
    <row r="451" spans="1:18" x14ac:dyDescent="0.3">
      <c r="A451" s="61" t="s">
        <v>1780</v>
      </c>
      <c r="B451" s="62"/>
      <c r="C451" s="62"/>
      <c r="D451" s="62">
        <v>0</v>
      </c>
      <c r="E451" s="62">
        <v>1</v>
      </c>
      <c r="F451" s="62" t="s">
        <v>476</v>
      </c>
      <c r="G451" s="62" t="s">
        <v>477</v>
      </c>
      <c r="H451" s="62"/>
      <c r="I451" s="62">
        <v>0</v>
      </c>
      <c r="J451" s="62" t="s">
        <v>851</v>
      </c>
      <c r="K451" s="62" t="s">
        <v>845</v>
      </c>
      <c r="L451" s="62">
        <v>10</v>
      </c>
      <c r="M451" s="62"/>
      <c r="N451" s="62" t="str">
        <f t="shared" si="50"/>
        <v>Hot(MaxHp, 10)</v>
      </c>
      <c r="O451" s="62">
        <v>0</v>
      </c>
      <c r="P451" s="62">
        <v>10000</v>
      </c>
      <c r="Q451" s="62"/>
      <c r="R451" s="40" t="b">
        <v>1</v>
      </c>
    </row>
    <row r="452" spans="1:18" x14ac:dyDescent="0.3">
      <c r="A452" s="61" t="s">
        <v>1781</v>
      </c>
      <c r="B452" s="62"/>
      <c r="C452" s="62"/>
      <c r="D452" s="62">
        <v>0</v>
      </c>
      <c r="E452" s="62">
        <v>1</v>
      </c>
      <c r="F452" s="62" t="s">
        <v>476</v>
      </c>
      <c r="G452" s="62" t="s">
        <v>477</v>
      </c>
      <c r="H452" s="62"/>
      <c r="I452" s="62">
        <v>0</v>
      </c>
      <c r="J452" s="62" t="s">
        <v>846</v>
      </c>
      <c r="K452" s="62" t="s">
        <v>844</v>
      </c>
      <c r="L452" s="62">
        <v>400</v>
      </c>
      <c r="M452" s="62"/>
      <c r="N452" s="62" t="str">
        <f t="shared" si="50"/>
        <v>Status(Attack, 400)</v>
      </c>
      <c r="O452" s="62">
        <v>0</v>
      </c>
      <c r="P452" s="62">
        <v>0</v>
      </c>
      <c r="Q452" s="62"/>
      <c r="R452" s="40" t="b">
        <v>1</v>
      </c>
    </row>
    <row r="453" spans="1:18" x14ac:dyDescent="0.3">
      <c r="A453" s="61" t="s">
        <v>1782</v>
      </c>
      <c r="B453" s="62"/>
      <c r="C453" s="62"/>
      <c r="D453" s="62">
        <v>0</v>
      </c>
      <c r="E453" s="62">
        <v>1</v>
      </c>
      <c r="F453" s="62" t="s">
        <v>476</v>
      </c>
      <c r="G453" s="62" t="s">
        <v>477</v>
      </c>
      <c r="H453" s="62"/>
      <c r="I453" s="62">
        <v>0</v>
      </c>
      <c r="J453" s="62" t="s">
        <v>503</v>
      </c>
      <c r="K453" s="62" t="s">
        <v>844</v>
      </c>
      <c r="L453" s="62">
        <v>500</v>
      </c>
      <c r="M453" s="62"/>
      <c r="N453" s="62" t="str">
        <f>J453&amp;"("&amp;IF(K453="","",K453)&amp;IF(L453="","",", "&amp;L453)&amp;IF(M453="","",", "&amp;M453)&amp;")"</f>
        <v>Poison(Attack, 500)</v>
      </c>
      <c r="O453" s="62">
        <v>0</v>
      </c>
      <c r="P453" s="62">
        <v>500</v>
      </c>
      <c r="Q453" s="62"/>
      <c r="R453" s="40" t="b">
        <v>1</v>
      </c>
    </row>
    <row r="454" spans="1:18" x14ac:dyDescent="0.3">
      <c r="A454" s="61" t="s">
        <v>1783</v>
      </c>
      <c r="B454" s="62"/>
      <c r="C454" s="62"/>
      <c r="D454" s="62">
        <v>0</v>
      </c>
      <c r="E454" s="62">
        <v>1</v>
      </c>
      <c r="F454" s="62" t="s">
        <v>476</v>
      </c>
      <c r="G454" s="62" t="s">
        <v>477</v>
      </c>
      <c r="H454" s="62"/>
      <c r="I454" s="62">
        <v>0</v>
      </c>
      <c r="J454" s="62" t="s">
        <v>846</v>
      </c>
      <c r="K454" s="62" t="s">
        <v>947</v>
      </c>
      <c r="L454" s="62">
        <v>1000</v>
      </c>
      <c r="M454" s="62"/>
      <c r="N454" s="62" t="str">
        <f t="shared" ref="N454:N456" si="52">J454&amp;"("&amp;IF(K454="","",K454)&amp;IF(L454="","",", "&amp;L454)&amp;IF(M454="","",", "&amp;M454)&amp;")"</f>
        <v>Status(RangeDamageDerate, 1000)</v>
      </c>
      <c r="O454" s="62">
        <v>0</v>
      </c>
      <c r="P454" s="62">
        <v>0</v>
      </c>
      <c r="Q454" s="62"/>
      <c r="R454" s="40" t="b">
        <v>1</v>
      </c>
    </row>
    <row r="455" spans="1:18" x14ac:dyDescent="0.3">
      <c r="A455" s="61" t="s">
        <v>1784</v>
      </c>
      <c r="B455" s="62" t="s">
        <v>500</v>
      </c>
      <c r="C455" s="62" t="s">
        <v>501</v>
      </c>
      <c r="D455" s="62">
        <v>0</v>
      </c>
      <c r="E455" s="62"/>
      <c r="F455" s="62" t="s">
        <v>476</v>
      </c>
      <c r="G455" s="62" t="s">
        <v>477</v>
      </c>
      <c r="H455" s="62"/>
      <c r="I455" s="62">
        <v>0</v>
      </c>
      <c r="J455" s="62" t="s">
        <v>1380</v>
      </c>
      <c r="K455" s="62" t="s">
        <v>1779</v>
      </c>
      <c r="L455" s="62"/>
      <c r="M455" s="62"/>
      <c r="N455" s="62" t="str">
        <f t="shared" si="52"/>
        <v>Passive(BossChallenge.skull_crawler_1.passive01.weakness.buff)</v>
      </c>
      <c r="O455" s="62">
        <v>0</v>
      </c>
      <c r="P455" s="62">
        <v>0</v>
      </c>
      <c r="Q455" s="62"/>
      <c r="R455" s="40" t="b">
        <v>1</v>
      </c>
    </row>
    <row r="456" spans="1:18" x14ac:dyDescent="0.3">
      <c r="A456" s="61" t="s">
        <v>1785</v>
      </c>
      <c r="B456" s="62"/>
      <c r="C456" s="62"/>
      <c r="D456" s="62">
        <v>0</v>
      </c>
      <c r="E456" s="62">
        <v>1</v>
      </c>
      <c r="F456" s="62" t="s">
        <v>476</v>
      </c>
      <c r="G456" s="62" t="s">
        <v>477</v>
      </c>
      <c r="H456" s="62"/>
      <c r="I456" s="62">
        <v>0</v>
      </c>
      <c r="J456" s="62" t="s">
        <v>846</v>
      </c>
      <c r="K456" s="62" t="s">
        <v>872</v>
      </c>
      <c r="L456" s="62">
        <v>-1000</v>
      </c>
      <c r="M456" s="62"/>
      <c r="N456" s="62" t="str">
        <f t="shared" si="52"/>
        <v>Status(DamageDerate, -1000)</v>
      </c>
      <c r="O456" s="62">
        <v>0</v>
      </c>
      <c r="P456" s="62">
        <v>0</v>
      </c>
      <c r="Q456" s="62"/>
      <c r="R456" s="40" t="b">
        <v>1</v>
      </c>
    </row>
    <row r="457" spans="1:18" x14ac:dyDescent="0.3">
      <c r="A457" s="198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39"/>
    </row>
    <row r="458" spans="1:18" x14ac:dyDescent="0.3">
      <c r="A458" s="203" t="s">
        <v>1138</v>
      </c>
      <c r="B458" s="36"/>
      <c r="C458" s="36"/>
      <c r="D458" s="36">
        <v>0</v>
      </c>
      <c r="E458" s="36">
        <v>1</v>
      </c>
      <c r="F458" s="36" t="s">
        <v>476</v>
      </c>
      <c r="G458" s="36" t="s">
        <v>477</v>
      </c>
      <c r="H458" s="36"/>
      <c r="I458" s="36">
        <v>0</v>
      </c>
      <c r="J458" s="36" t="s">
        <v>860</v>
      </c>
      <c r="K458" s="36" t="s">
        <v>1139</v>
      </c>
      <c r="L458" s="36"/>
      <c r="M458" s="36"/>
      <c r="N458" s="36" t="str">
        <f>J458&amp;"("&amp;IF(K458="","",K458)&amp;IF(L458="","",", "&amp;L458)&amp;IF(M458="","",", "&amp;M458)&amp;")"</f>
        <v>Active(event.boss.passive.01.buff.buffeffect.skilleffect)</v>
      </c>
      <c r="O458" s="36">
        <v>0</v>
      </c>
      <c r="P458" s="36">
        <v>0</v>
      </c>
      <c r="Q458" s="36"/>
      <c r="R458" s="37" t="b">
        <v>1</v>
      </c>
    </row>
    <row r="459" spans="1:18" x14ac:dyDescent="0.3">
      <c r="A459" s="196" t="s">
        <v>2158</v>
      </c>
      <c r="B459" s="33"/>
      <c r="C459" s="33"/>
      <c r="D459" s="33">
        <v>0</v>
      </c>
      <c r="E459" s="33">
        <v>1</v>
      </c>
      <c r="F459" s="33" t="s">
        <v>476</v>
      </c>
      <c r="G459" s="33" t="s">
        <v>477</v>
      </c>
      <c r="H459" s="33"/>
      <c r="I459" s="33">
        <v>0</v>
      </c>
      <c r="J459" s="33" t="s">
        <v>846</v>
      </c>
      <c r="K459" s="33" t="s">
        <v>872</v>
      </c>
      <c r="L459" s="33">
        <v>900</v>
      </c>
      <c r="M459" s="33"/>
      <c r="N459" s="33" t="str">
        <f t="shared" ref="N459" si="53">J459&amp;"("&amp;IF(K459="","",K459)&amp;IF(L459="","",", "&amp;L459)&amp;IF(M459="","",", "&amp;M459)&amp;")"</f>
        <v>Status(DamageDerate, 900)</v>
      </c>
      <c r="O459" s="33">
        <v>0</v>
      </c>
      <c r="P459" s="33">
        <v>0</v>
      </c>
      <c r="Q459" s="33"/>
      <c r="R459" s="34" t="b">
        <v>1</v>
      </c>
    </row>
    <row r="460" spans="1:18" x14ac:dyDescent="0.3">
      <c r="A460" s="196" t="s">
        <v>2159</v>
      </c>
      <c r="B460" s="33"/>
      <c r="C460" s="33"/>
      <c r="D460" s="33">
        <v>0</v>
      </c>
      <c r="E460" s="33">
        <v>1</v>
      </c>
      <c r="F460" s="33" t="s">
        <v>476</v>
      </c>
      <c r="G460" s="33" t="s">
        <v>477</v>
      </c>
      <c r="H460" s="33"/>
      <c r="I460" s="33">
        <v>0</v>
      </c>
      <c r="J460" s="33" t="s">
        <v>846</v>
      </c>
      <c r="K460" s="33" t="s">
        <v>2160</v>
      </c>
      <c r="L460" s="33">
        <v>-2000</v>
      </c>
      <c r="M460" s="33"/>
      <c r="N460" s="33" t="str">
        <f t="shared" ref="N460" si="54">J460&amp;"("&amp;IF(K460="","",K460)&amp;IF(L460="","",", "&amp;L460)&amp;IF(M460="","",", "&amp;M460)&amp;")"</f>
        <v>Status(UltimateDamageDerate, -2000)</v>
      </c>
      <c r="O460" s="33">
        <v>0</v>
      </c>
      <c r="P460" s="33">
        <v>0</v>
      </c>
      <c r="Q460" s="33"/>
      <c r="R460" s="34" t="b">
        <v>1</v>
      </c>
    </row>
    <row r="461" spans="1:18" x14ac:dyDescent="0.3">
      <c r="A461" s="203" t="s">
        <v>2183</v>
      </c>
      <c r="B461" s="36"/>
      <c r="C461" s="36"/>
      <c r="D461" s="36">
        <v>0</v>
      </c>
      <c r="E461" s="36">
        <v>1</v>
      </c>
      <c r="F461" s="36" t="s">
        <v>476</v>
      </c>
      <c r="G461" s="36" t="s">
        <v>477</v>
      </c>
      <c r="H461" s="36"/>
      <c r="I461" s="36">
        <v>0</v>
      </c>
      <c r="J461" s="36" t="s">
        <v>860</v>
      </c>
      <c r="K461" s="36" t="s">
        <v>2189</v>
      </c>
      <c r="L461" s="36"/>
      <c r="M461" s="36"/>
      <c r="N461" s="36" t="str">
        <f>J461&amp;"("&amp;IF(K461="","",K461)&amp;IF(L461="","",", "&amp;L461)&amp;IF(M461="","",", "&amp;M461)&amp;")"</f>
        <v>Active(EventStory.mechatoa_1.skill01.pre.shield.skilleffect.01)</v>
      </c>
      <c r="O461" s="36">
        <v>0</v>
      </c>
      <c r="P461" s="36">
        <v>100000</v>
      </c>
      <c r="Q461" s="36"/>
      <c r="R461" s="37" t="b">
        <v>1</v>
      </c>
    </row>
    <row r="462" spans="1:18" x14ac:dyDescent="0.3">
      <c r="A462" s="203" t="s">
        <v>2188</v>
      </c>
      <c r="B462" s="36"/>
      <c r="C462" s="36"/>
      <c r="D462" s="36">
        <v>0</v>
      </c>
      <c r="E462" s="36">
        <v>1</v>
      </c>
      <c r="F462" s="36" t="s">
        <v>476</v>
      </c>
      <c r="G462" s="36" t="s">
        <v>477</v>
      </c>
      <c r="H462" s="36"/>
      <c r="I462" s="36">
        <v>0</v>
      </c>
      <c r="J462" s="36" t="s">
        <v>835</v>
      </c>
      <c r="K462" s="36" t="s">
        <v>845</v>
      </c>
      <c r="L462" s="36">
        <v>100</v>
      </c>
      <c r="M462" s="36"/>
      <c r="N462" s="36" t="str">
        <f t="shared" ref="N462" si="55">J462&amp;"("&amp;IF(K462="","",K462)&amp;IF(L462="","",", "&amp;L462)&amp;IF(M462="","",", "&amp;M462)&amp;")"</f>
        <v>Shield(MaxHp, 100)</v>
      </c>
      <c r="O462" s="36">
        <v>0</v>
      </c>
      <c r="P462" s="36">
        <v>0</v>
      </c>
      <c r="Q462" s="36"/>
      <c r="R462" s="37" t="b">
        <v>1</v>
      </c>
    </row>
    <row r="463" spans="1:18" x14ac:dyDescent="0.3">
      <c r="A463" s="203" t="s">
        <v>2184</v>
      </c>
      <c r="B463" s="36" t="s">
        <v>2180</v>
      </c>
      <c r="C463" s="36" t="s">
        <v>2181</v>
      </c>
      <c r="D463" s="36">
        <v>0</v>
      </c>
      <c r="E463" s="36">
        <v>1</v>
      </c>
      <c r="F463" s="36" t="s">
        <v>476</v>
      </c>
      <c r="G463" s="36" t="s">
        <v>477</v>
      </c>
      <c r="H463" s="36"/>
      <c r="I463" s="36">
        <v>0</v>
      </c>
      <c r="J463" s="36" t="s">
        <v>860</v>
      </c>
      <c r="K463" s="36" t="s">
        <v>2186</v>
      </c>
      <c r="L463" s="36"/>
      <c r="M463" s="36"/>
      <c r="N463" s="36" t="str">
        <f t="shared" ref="N463:N464" si="56">J463&amp;"("&amp;IF(K463="","",K463)&amp;IF(L463="","",", "&amp;L463)&amp;IF(M463="","",", "&amp;M463)&amp;")"</f>
        <v>Active(EventStory.mechatoa_1.skill01.groggy.skilleffect.01)</v>
      </c>
      <c r="O463" s="36">
        <v>0</v>
      </c>
      <c r="P463" s="36">
        <v>100000</v>
      </c>
      <c r="Q463" s="36"/>
      <c r="R463" s="37" t="b">
        <v>1</v>
      </c>
    </row>
    <row r="464" spans="1:18" x14ac:dyDescent="0.3">
      <c r="A464" s="203" t="s">
        <v>2176</v>
      </c>
      <c r="B464" s="36" t="s">
        <v>812</v>
      </c>
      <c r="C464" s="36" t="s">
        <v>813</v>
      </c>
      <c r="D464" s="36">
        <v>0</v>
      </c>
      <c r="E464" s="36"/>
      <c r="F464" s="36" t="s">
        <v>476</v>
      </c>
      <c r="G464" s="36" t="s">
        <v>477</v>
      </c>
      <c r="H464" s="36"/>
      <c r="I464" s="36">
        <v>0</v>
      </c>
      <c r="J464" s="36" t="s">
        <v>1380</v>
      </c>
      <c r="K464" s="36" t="s">
        <v>2177</v>
      </c>
      <c r="L464" s="36"/>
      <c r="M464" s="36"/>
      <c r="N464" s="36" t="str">
        <f t="shared" si="56"/>
        <v>Passive(Event.Groggy.buff)</v>
      </c>
      <c r="O464" s="36">
        <v>0</v>
      </c>
      <c r="P464" s="36">
        <v>0</v>
      </c>
      <c r="Q464" s="36"/>
      <c r="R464" s="37" t="b">
        <v>1</v>
      </c>
    </row>
    <row r="465" spans="1:18" x14ac:dyDescent="0.3">
      <c r="A465" s="203" t="s">
        <v>2193</v>
      </c>
      <c r="B465" s="36"/>
      <c r="C465" s="36"/>
      <c r="D465" s="36">
        <v>0</v>
      </c>
      <c r="E465" s="36">
        <v>1</v>
      </c>
      <c r="F465" s="36" t="s">
        <v>476</v>
      </c>
      <c r="G465" s="36" t="s">
        <v>477</v>
      </c>
      <c r="H465" s="36"/>
      <c r="I465" s="36">
        <v>0</v>
      </c>
      <c r="J465" s="36" t="s">
        <v>470</v>
      </c>
      <c r="K465" s="36" t="s">
        <v>885</v>
      </c>
      <c r="L465" s="36" t="s">
        <v>2194</v>
      </c>
      <c r="M465" s="36"/>
      <c r="N465" s="36" t="str">
        <f t="shared" ref="N465:N474" si="57">J465&amp;"("&amp;IF(K465="","",K465)&amp;IF(L465="","",", "&amp;L465)&amp;IF(M465="","",", "&amp;M465)&amp;")"</f>
        <v>Effect(OnHit, EventStory.mechatoa_1.passive01.onhit.skilleffect.01)</v>
      </c>
      <c r="O465" s="36">
        <v>0</v>
      </c>
      <c r="P465" s="36">
        <v>0</v>
      </c>
      <c r="Q465" s="36"/>
      <c r="R465" s="37" t="b">
        <v>1</v>
      </c>
    </row>
    <row r="466" spans="1:18" x14ac:dyDescent="0.3">
      <c r="A466" s="196" t="s">
        <v>2199</v>
      </c>
      <c r="B466" s="33"/>
      <c r="C466" s="33"/>
      <c r="D466" s="33">
        <v>0</v>
      </c>
      <c r="E466" s="33">
        <v>1</v>
      </c>
      <c r="F466" s="33" t="s">
        <v>476</v>
      </c>
      <c r="G466" s="33" t="s">
        <v>477</v>
      </c>
      <c r="H466" s="33"/>
      <c r="I466" s="33">
        <v>0</v>
      </c>
      <c r="J466" s="33" t="s">
        <v>882</v>
      </c>
      <c r="K466" s="33" t="s">
        <v>895</v>
      </c>
      <c r="L466" s="33" t="s">
        <v>2203</v>
      </c>
      <c r="M466" s="33" t="s">
        <v>961</v>
      </c>
      <c r="N466" s="33" t="str">
        <f t="shared" ref="N466:N467" si="58">J466&amp;"("&amp;IF(K466="","",K466)&amp;IF(L466="","",", "&amp;L466)&amp;IF(M466="","",", "&amp;M466)&amp;")"</f>
        <v>Event(DecHpOverRate, EventStory.pandahappy_1.skill01.buff.buffeffect.skilleffect.01, HpRateCondition(50))</v>
      </c>
      <c r="O466" s="33">
        <v>0</v>
      </c>
      <c r="P466" s="33">
        <v>0</v>
      </c>
      <c r="Q466" s="33"/>
      <c r="R466" s="34" t="b">
        <v>1</v>
      </c>
    </row>
    <row r="467" spans="1:18" x14ac:dyDescent="0.3">
      <c r="A467" s="196" t="s">
        <v>2202</v>
      </c>
      <c r="B467" s="33"/>
      <c r="C467" s="33"/>
      <c r="D467" s="33">
        <v>0</v>
      </c>
      <c r="E467" s="33">
        <v>1</v>
      </c>
      <c r="F467" s="33" t="s">
        <v>476</v>
      </c>
      <c r="G467" s="33" t="s">
        <v>477</v>
      </c>
      <c r="H467" s="33"/>
      <c r="I467" s="33">
        <v>0</v>
      </c>
      <c r="J467" s="33" t="s">
        <v>846</v>
      </c>
      <c r="K467" s="33" t="s">
        <v>947</v>
      </c>
      <c r="L467" s="33">
        <v>600</v>
      </c>
      <c r="M467" s="33"/>
      <c r="N467" s="33" t="str">
        <f t="shared" si="58"/>
        <v>Status(RangeDamageDerate, 600)</v>
      </c>
      <c r="O467" s="33">
        <v>0</v>
      </c>
      <c r="P467" s="33">
        <v>0</v>
      </c>
      <c r="Q467" s="33"/>
      <c r="R467" s="34" t="b">
        <v>1</v>
      </c>
    </row>
    <row r="468" spans="1:18" x14ac:dyDescent="0.3">
      <c r="A468" s="203" t="s">
        <v>3495</v>
      </c>
      <c r="B468" s="36"/>
      <c r="C468" s="36"/>
      <c r="D468" s="36">
        <v>0</v>
      </c>
      <c r="E468" s="36">
        <v>1</v>
      </c>
      <c r="F468" s="36" t="s">
        <v>476</v>
      </c>
      <c r="G468" s="36" t="s">
        <v>477</v>
      </c>
      <c r="H468" s="36"/>
      <c r="I468" s="36">
        <v>0</v>
      </c>
      <c r="J468" s="36" t="s">
        <v>846</v>
      </c>
      <c r="K468" s="36" t="s">
        <v>892</v>
      </c>
      <c r="L468" s="36">
        <v>800</v>
      </c>
      <c r="M468" s="36"/>
      <c r="N468" s="36" t="str">
        <f t="shared" ref="N468:N469" si="59">J468&amp;"("&amp;IF(K468="","",K468)&amp;IF(L468="","",", "&amp;L468)&amp;IF(M468="","",", "&amp;M468)&amp;")"</f>
        <v>Status(MeleeDamageDerate, 800)</v>
      </c>
      <c r="O468" s="36">
        <v>0</v>
      </c>
      <c r="P468" s="36">
        <v>0</v>
      </c>
      <c r="Q468" s="36"/>
      <c r="R468" s="37" t="b">
        <v>1</v>
      </c>
    </row>
    <row r="469" spans="1:18" x14ac:dyDescent="0.3">
      <c r="A469" s="203" t="s">
        <v>3496</v>
      </c>
      <c r="B469" s="36"/>
      <c r="C469" s="36"/>
      <c r="D469" s="36">
        <v>0</v>
      </c>
      <c r="E469" s="36">
        <v>1</v>
      </c>
      <c r="F469" s="36" t="s">
        <v>476</v>
      </c>
      <c r="G469" s="36" t="s">
        <v>477</v>
      </c>
      <c r="H469" s="36"/>
      <c r="I469" s="36">
        <v>0</v>
      </c>
      <c r="J469" s="36" t="s">
        <v>846</v>
      </c>
      <c r="K469" s="36" t="s">
        <v>947</v>
      </c>
      <c r="L469" s="36">
        <v>-500</v>
      </c>
      <c r="M469" s="36"/>
      <c r="N469" s="36" t="str">
        <f t="shared" si="59"/>
        <v>Status(RangeDamageDerate, -500)</v>
      </c>
      <c r="O469" s="36">
        <v>0</v>
      </c>
      <c r="P469" s="36">
        <v>0</v>
      </c>
      <c r="Q469" s="36"/>
      <c r="R469" s="37" t="b">
        <v>1</v>
      </c>
    </row>
    <row r="470" spans="1:18" x14ac:dyDescent="0.3">
      <c r="A470" s="196" t="s">
        <v>3592</v>
      </c>
      <c r="B470" s="33"/>
      <c r="C470" s="33"/>
      <c r="D470" s="33">
        <v>0</v>
      </c>
      <c r="E470" s="33">
        <v>1</v>
      </c>
      <c r="F470" s="33" t="s">
        <v>476</v>
      </c>
      <c r="G470" s="33" t="s">
        <v>477</v>
      </c>
      <c r="H470" s="33"/>
      <c r="I470" s="33">
        <v>0</v>
      </c>
      <c r="J470" s="33" t="s">
        <v>470</v>
      </c>
      <c r="K470" s="33" t="s">
        <v>1854</v>
      </c>
      <c r="L470" s="33" t="s">
        <v>3597</v>
      </c>
      <c r="M470" s="33"/>
      <c r="N470" s="33" t="str">
        <f t="shared" ref="N470:N472" si="60">J470&amp;"("&amp;IF(K470="","",K470)&amp;IF(L470="","",", "&amp;L470)&amp;IF(M470="","",", "&amp;M470)&amp;")"</f>
        <v>Effect(BeHitRange, EventStory.sibiurobot_1.skill01.pre.buff.buffeffect.skilleffect.01)</v>
      </c>
      <c r="O470" s="33">
        <v>0</v>
      </c>
      <c r="P470" s="33">
        <v>0</v>
      </c>
      <c r="Q470" s="33"/>
      <c r="R470" s="34" t="b">
        <v>1</v>
      </c>
    </row>
    <row r="471" spans="1:18" x14ac:dyDescent="0.3">
      <c r="A471" s="196" t="s">
        <v>3593</v>
      </c>
      <c r="B471" s="33" t="s">
        <v>812</v>
      </c>
      <c r="C471" s="33" t="s">
        <v>3595</v>
      </c>
      <c r="D471" s="33">
        <v>0</v>
      </c>
      <c r="E471" s="33">
        <v>1</v>
      </c>
      <c r="F471" s="33" t="s">
        <v>476</v>
      </c>
      <c r="G471" s="33" t="s">
        <v>477</v>
      </c>
      <c r="H471" s="33"/>
      <c r="I471" s="33">
        <v>0</v>
      </c>
      <c r="J471" s="33" t="s">
        <v>846</v>
      </c>
      <c r="K471" s="33" t="s">
        <v>3596</v>
      </c>
      <c r="L471" s="33">
        <v>800</v>
      </c>
      <c r="M471" s="33"/>
      <c r="N471" s="33" t="str">
        <f t="shared" si="60"/>
        <v>Status(DamageDerate, 800)</v>
      </c>
      <c r="O471" s="33">
        <v>0</v>
      </c>
      <c r="P471" s="33">
        <v>0</v>
      </c>
      <c r="Q471" s="33"/>
      <c r="R471" s="34" t="b">
        <v>1</v>
      </c>
    </row>
    <row r="472" spans="1:18" x14ac:dyDescent="0.3">
      <c r="A472" s="196" t="s">
        <v>3594</v>
      </c>
      <c r="B472" s="33" t="s">
        <v>812</v>
      </c>
      <c r="C472" s="33" t="s">
        <v>813</v>
      </c>
      <c r="D472" s="33">
        <v>0</v>
      </c>
      <c r="E472" s="33">
        <v>1</v>
      </c>
      <c r="F472" s="33" t="s">
        <v>476</v>
      </c>
      <c r="G472" s="33" t="s">
        <v>477</v>
      </c>
      <c r="H472" s="33"/>
      <c r="I472" s="33">
        <v>0</v>
      </c>
      <c r="J472" s="33" t="s">
        <v>846</v>
      </c>
      <c r="K472" s="33" t="s">
        <v>872</v>
      </c>
      <c r="L472" s="33">
        <v>-500</v>
      </c>
      <c r="M472" s="33"/>
      <c r="N472" s="33" t="str">
        <f t="shared" si="60"/>
        <v>Status(DamageDerate, -500)</v>
      </c>
      <c r="O472" s="33">
        <v>0</v>
      </c>
      <c r="P472" s="33">
        <v>0</v>
      </c>
      <c r="Q472" s="33"/>
      <c r="R472" s="34" t="b">
        <v>1</v>
      </c>
    </row>
    <row r="473" spans="1:18" x14ac:dyDescent="0.3">
      <c r="A473" s="203" t="s">
        <v>2195</v>
      </c>
      <c r="B473" s="36"/>
      <c r="C473" s="36"/>
      <c r="D473" s="36">
        <v>0</v>
      </c>
      <c r="E473" s="36">
        <v>1</v>
      </c>
      <c r="F473" s="36" t="s">
        <v>476</v>
      </c>
      <c r="G473" s="36" t="s">
        <v>477</v>
      </c>
      <c r="H473" s="36"/>
      <c r="I473" s="36">
        <v>0</v>
      </c>
      <c r="J473" s="36" t="s">
        <v>846</v>
      </c>
      <c r="K473" s="36" t="s">
        <v>852</v>
      </c>
      <c r="L473" s="36">
        <v>200</v>
      </c>
      <c r="M473" s="36"/>
      <c r="N473" s="36" t="str">
        <f t="shared" si="57"/>
        <v>Status(AttackRatio, 200)</v>
      </c>
      <c r="O473" s="36">
        <v>0</v>
      </c>
      <c r="P473" s="36">
        <v>0</v>
      </c>
      <c r="Q473" s="36"/>
      <c r="R473" s="37" t="b">
        <v>1</v>
      </c>
    </row>
    <row r="474" spans="1:18" x14ac:dyDescent="0.3">
      <c r="A474" s="203" t="s">
        <v>2196</v>
      </c>
      <c r="B474" s="36"/>
      <c r="C474" s="36"/>
      <c r="D474" s="36">
        <v>0</v>
      </c>
      <c r="E474" s="36">
        <v>1</v>
      </c>
      <c r="F474" s="36" t="s">
        <v>476</v>
      </c>
      <c r="G474" s="36" t="s">
        <v>477</v>
      </c>
      <c r="H474" s="36"/>
      <c r="I474" s="36">
        <v>0</v>
      </c>
      <c r="J474" s="36" t="s">
        <v>846</v>
      </c>
      <c r="K474" s="36" t="s">
        <v>847</v>
      </c>
      <c r="L474" s="36">
        <v>500</v>
      </c>
      <c r="M474" s="36"/>
      <c r="N474" s="36" t="str">
        <f t="shared" si="57"/>
        <v>Status(DefenseRatio, 500)</v>
      </c>
      <c r="O474" s="36">
        <v>0</v>
      </c>
      <c r="P474" s="36">
        <v>0</v>
      </c>
      <c r="Q474" s="36"/>
      <c r="R474" s="37" t="b">
        <v>1</v>
      </c>
    </row>
    <row r="475" spans="1:18" x14ac:dyDescent="0.3">
      <c r="A475" s="203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7"/>
    </row>
    <row r="476" spans="1:18" x14ac:dyDescent="0.3">
      <c r="A476" s="227" t="s">
        <v>2205</v>
      </c>
      <c r="B476" s="49"/>
      <c r="C476" s="49"/>
      <c r="D476" s="49">
        <v>0</v>
      </c>
      <c r="E476" s="49">
        <v>1</v>
      </c>
      <c r="F476" s="49" t="s">
        <v>476</v>
      </c>
      <c r="G476" s="49" t="s">
        <v>477</v>
      </c>
      <c r="H476" s="49"/>
      <c r="I476" s="49">
        <v>0</v>
      </c>
      <c r="J476" s="49" t="s">
        <v>846</v>
      </c>
      <c r="K476" s="49" t="s">
        <v>852</v>
      </c>
      <c r="L476" s="49">
        <v>200</v>
      </c>
      <c r="M476" s="49"/>
      <c r="N476" s="49" t="str">
        <f>J476&amp;"("&amp;IF(K476="","",K476)&amp;IF(L476="","",", "&amp;L476)&amp;IF(M476="","",", "&amp;M476)&amp;")"</f>
        <v>Status(AttackRatio, 200)</v>
      </c>
      <c r="O476" s="49">
        <v>0</v>
      </c>
      <c r="P476" s="49">
        <v>0</v>
      </c>
      <c r="Q476" s="49"/>
      <c r="R476" s="50" t="b">
        <v>1</v>
      </c>
    </row>
    <row r="477" spans="1:18" x14ac:dyDescent="0.3">
      <c r="A477" s="227" t="s">
        <v>2207</v>
      </c>
      <c r="B477" s="49"/>
      <c r="C477" s="49"/>
      <c r="D477" s="49">
        <v>0</v>
      </c>
      <c r="E477" s="49">
        <v>1</v>
      </c>
      <c r="F477" s="49" t="s">
        <v>476</v>
      </c>
      <c r="G477" s="49" t="s">
        <v>477</v>
      </c>
      <c r="H477" s="49"/>
      <c r="I477" s="49">
        <v>0</v>
      </c>
      <c r="J477" s="49" t="s">
        <v>846</v>
      </c>
      <c r="K477" s="49" t="s">
        <v>922</v>
      </c>
      <c r="L477" s="49">
        <v>600</v>
      </c>
      <c r="M477" s="49"/>
      <c r="N477" s="49" t="str">
        <f>J477&amp;"("&amp;IF(K477="","",K477)&amp;IF(L477="","",", "&amp;L477)&amp;IF(M477="","",", "&amp;M477)&amp;")"</f>
        <v>Status(MaxHpRatio, 600)</v>
      </c>
      <c r="O477" s="49">
        <v>0</v>
      </c>
      <c r="P477" s="49">
        <v>0</v>
      </c>
      <c r="Q477" s="49"/>
      <c r="R477" s="50" t="b">
        <v>1</v>
      </c>
    </row>
    <row r="478" spans="1:18" x14ac:dyDescent="0.3">
      <c r="A478" s="227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50"/>
    </row>
    <row r="479" spans="1:18" x14ac:dyDescent="0.3">
      <c r="A479" s="194" t="s">
        <v>2222</v>
      </c>
      <c r="B479" s="104"/>
      <c r="C479" s="104"/>
      <c r="D479" s="104">
        <v>0</v>
      </c>
      <c r="E479" s="104">
        <v>1</v>
      </c>
      <c r="F479" s="104" t="s">
        <v>476</v>
      </c>
      <c r="G479" s="104" t="s">
        <v>477</v>
      </c>
      <c r="H479" s="104"/>
      <c r="I479" s="104">
        <v>0</v>
      </c>
      <c r="J479" s="104" t="s">
        <v>846</v>
      </c>
      <c r="K479" s="104" t="s">
        <v>852</v>
      </c>
      <c r="L479" s="104">
        <v>-250</v>
      </c>
      <c r="M479" s="104"/>
      <c r="N479" s="104" t="str">
        <f t="shared" ref="N479:N480" si="61">J479&amp;"("&amp;IF(K479="","",K479)&amp;IF(L479="","",", "&amp;L479)&amp;IF(M479="","",", "&amp;M479)&amp;")"</f>
        <v>Status(AttackRatio, -250)</v>
      </c>
      <c r="O479" s="104">
        <v>0</v>
      </c>
      <c r="P479" s="104">
        <v>0</v>
      </c>
      <c r="Q479" s="104"/>
      <c r="R479" s="105" t="b">
        <v>1</v>
      </c>
    </row>
    <row r="480" spans="1:18" x14ac:dyDescent="0.3">
      <c r="A480" s="194" t="s">
        <v>2223</v>
      </c>
      <c r="B480" s="104"/>
      <c r="C480" s="104"/>
      <c r="D480" s="104">
        <v>0</v>
      </c>
      <c r="E480" s="104">
        <v>1</v>
      </c>
      <c r="F480" s="104" t="s">
        <v>476</v>
      </c>
      <c r="G480" s="104" t="s">
        <v>477</v>
      </c>
      <c r="H480" s="104"/>
      <c r="I480" s="104">
        <v>0</v>
      </c>
      <c r="J480" s="104" t="s">
        <v>846</v>
      </c>
      <c r="K480" s="104" t="s">
        <v>847</v>
      </c>
      <c r="L480" s="104">
        <v>-250</v>
      </c>
      <c r="M480" s="104"/>
      <c r="N480" s="104" t="str">
        <f t="shared" si="61"/>
        <v>Status(DefenseRatio, -250)</v>
      </c>
      <c r="O480" s="104">
        <v>0</v>
      </c>
      <c r="P480" s="104">
        <v>0</v>
      </c>
      <c r="Q480" s="104"/>
      <c r="R480" s="105" t="b">
        <v>1</v>
      </c>
    </row>
    <row r="481" spans="1:18" x14ac:dyDescent="0.3">
      <c r="A481" s="194" t="s">
        <v>2224</v>
      </c>
      <c r="B481" s="104"/>
      <c r="C481" s="104"/>
      <c r="D481" s="104">
        <v>0</v>
      </c>
      <c r="E481" s="104">
        <v>1</v>
      </c>
      <c r="F481" s="104" t="s">
        <v>476</v>
      </c>
      <c r="G481" s="104" t="s">
        <v>477</v>
      </c>
      <c r="H481" s="104"/>
      <c r="I481" s="104">
        <v>0</v>
      </c>
      <c r="J481" s="104" t="s">
        <v>846</v>
      </c>
      <c r="K481" s="104" t="s">
        <v>852</v>
      </c>
      <c r="L481" s="104">
        <v>-380</v>
      </c>
      <c r="M481" s="104"/>
      <c r="N481" s="104" t="str">
        <f t="shared" ref="N481:N502" si="62">J481&amp;"("&amp;IF(K481="","",K481)&amp;IF(L481="","",", "&amp;L481)&amp;IF(M481="","",", "&amp;M481)&amp;")"</f>
        <v>Status(AttackRatio, -380)</v>
      </c>
      <c r="O481" s="104">
        <v>0</v>
      </c>
      <c r="P481" s="104">
        <v>0</v>
      </c>
      <c r="Q481" s="104"/>
      <c r="R481" s="105" t="b">
        <v>1</v>
      </c>
    </row>
    <row r="482" spans="1:18" x14ac:dyDescent="0.3">
      <c r="A482" s="194" t="s">
        <v>2225</v>
      </c>
      <c r="B482" s="104"/>
      <c r="C482" s="104"/>
      <c r="D482" s="104">
        <v>0</v>
      </c>
      <c r="E482" s="104">
        <v>1</v>
      </c>
      <c r="F482" s="104" t="s">
        <v>476</v>
      </c>
      <c r="G482" s="104" t="s">
        <v>477</v>
      </c>
      <c r="H482" s="104"/>
      <c r="I482" s="104">
        <v>0</v>
      </c>
      <c r="J482" s="104" t="s">
        <v>846</v>
      </c>
      <c r="K482" s="104" t="s">
        <v>847</v>
      </c>
      <c r="L482" s="104">
        <v>-380</v>
      </c>
      <c r="M482" s="104"/>
      <c r="N482" s="104" t="str">
        <f t="shared" si="62"/>
        <v>Status(DefenseRatio, -380)</v>
      </c>
      <c r="O482" s="104">
        <v>0</v>
      </c>
      <c r="P482" s="104">
        <v>0</v>
      </c>
      <c r="Q482" s="104"/>
      <c r="R482" s="105" t="b">
        <v>1</v>
      </c>
    </row>
    <row r="483" spans="1:18" x14ac:dyDescent="0.3">
      <c r="A483" s="194" t="s">
        <v>2226</v>
      </c>
      <c r="B483" s="104"/>
      <c r="C483" s="104"/>
      <c r="D483" s="104">
        <v>0</v>
      </c>
      <c r="E483" s="104">
        <v>1</v>
      </c>
      <c r="F483" s="104" t="s">
        <v>476</v>
      </c>
      <c r="G483" s="104" t="s">
        <v>477</v>
      </c>
      <c r="H483" s="104"/>
      <c r="I483" s="104">
        <v>0</v>
      </c>
      <c r="J483" s="104" t="s">
        <v>846</v>
      </c>
      <c r="K483" s="104" t="s">
        <v>852</v>
      </c>
      <c r="L483" s="104">
        <v>-500</v>
      </c>
      <c r="M483" s="104"/>
      <c r="N483" s="104" t="str">
        <f t="shared" si="62"/>
        <v>Status(AttackRatio, -500)</v>
      </c>
      <c r="O483" s="104">
        <v>0</v>
      </c>
      <c r="P483" s="104">
        <v>0</v>
      </c>
      <c r="Q483" s="104"/>
      <c r="R483" s="105" t="b">
        <v>1</v>
      </c>
    </row>
    <row r="484" spans="1:18" x14ac:dyDescent="0.3">
      <c r="A484" s="194" t="s">
        <v>2227</v>
      </c>
      <c r="B484" s="104"/>
      <c r="C484" s="104"/>
      <c r="D484" s="104">
        <v>0</v>
      </c>
      <c r="E484" s="104">
        <v>1</v>
      </c>
      <c r="F484" s="104" t="s">
        <v>476</v>
      </c>
      <c r="G484" s="104" t="s">
        <v>477</v>
      </c>
      <c r="H484" s="104"/>
      <c r="I484" s="104">
        <v>0</v>
      </c>
      <c r="J484" s="104" t="s">
        <v>846</v>
      </c>
      <c r="K484" s="104" t="s">
        <v>847</v>
      </c>
      <c r="L484" s="104">
        <v>-500</v>
      </c>
      <c r="M484" s="104"/>
      <c r="N484" s="104" t="str">
        <f t="shared" si="62"/>
        <v>Status(DefenseRatio, -500)</v>
      </c>
      <c r="O484" s="104">
        <v>0</v>
      </c>
      <c r="P484" s="104">
        <v>0</v>
      </c>
      <c r="Q484" s="104"/>
      <c r="R484" s="105" t="b">
        <v>1</v>
      </c>
    </row>
    <row r="485" spans="1:18" x14ac:dyDescent="0.3">
      <c r="A485" s="200" t="s">
        <v>2228</v>
      </c>
      <c r="B485" s="150"/>
      <c r="C485" s="150"/>
      <c r="D485" s="150">
        <v>0</v>
      </c>
      <c r="E485" s="150">
        <v>1</v>
      </c>
      <c r="F485" s="150" t="s">
        <v>476</v>
      </c>
      <c r="G485" s="150" t="s">
        <v>477</v>
      </c>
      <c r="H485" s="150"/>
      <c r="I485" s="150">
        <v>0</v>
      </c>
      <c r="J485" s="150" t="s">
        <v>846</v>
      </c>
      <c r="K485" s="150" t="s">
        <v>852</v>
      </c>
      <c r="L485" s="150">
        <v>-200</v>
      </c>
      <c r="M485" s="150"/>
      <c r="N485" s="150" t="str">
        <f t="shared" si="62"/>
        <v>Status(AttackRatio, -200)</v>
      </c>
      <c r="O485" s="150">
        <v>0</v>
      </c>
      <c r="P485" s="150">
        <v>0</v>
      </c>
      <c r="Q485" s="150"/>
      <c r="R485" s="230" t="b">
        <v>1</v>
      </c>
    </row>
    <row r="486" spans="1:18" x14ac:dyDescent="0.3">
      <c r="A486" s="200" t="s">
        <v>2229</v>
      </c>
      <c r="B486" s="150"/>
      <c r="C486" s="150"/>
      <c r="D486" s="150">
        <v>0</v>
      </c>
      <c r="E486" s="150">
        <v>1</v>
      </c>
      <c r="F486" s="150" t="s">
        <v>476</v>
      </c>
      <c r="G486" s="150" t="s">
        <v>477</v>
      </c>
      <c r="H486" s="150"/>
      <c r="I486" s="150">
        <v>0</v>
      </c>
      <c r="J486" s="150" t="s">
        <v>846</v>
      </c>
      <c r="K486" s="150" t="s">
        <v>847</v>
      </c>
      <c r="L486" s="150">
        <v>-200</v>
      </c>
      <c r="M486" s="150"/>
      <c r="N486" s="150" t="str">
        <f t="shared" si="62"/>
        <v>Status(DefenseRatio, -200)</v>
      </c>
      <c r="O486" s="150">
        <v>0</v>
      </c>
      <c r="P486" s="150">
        <v>0</v>
      </c>
      <c r="Q486" s="150"/>
      <c r="R486" s="230" t="b">
        <v>1</v>
      </c>
    </row>
    <row r="487" spans="1:18" x14ac:dyDescent="0.3">
      <c r="A487" s="200" t="s">
        <v>2230</v>
      </c>
      <c r="B487" s="150"/>
      <c r="C487" s="150"/>
      <c r="D487" s="150">
        <v>0</v>
      </c>
      <c r="E487" s="150">
        <v>1</v>
      </c>
      <c r="F487" s="150" t="s">
        <v>476</v>
      </c>
      <c r="G487" s="150" t="s">
        <v>477</v>
      </c>
      <c r="H487" s="150"/>
      <c r="I487" s="150">
        <v>0</v>
      </c>
      <c r="J487" s="150" t="s">
        <v>846</v>
      </c>
      <c r="K487" s="150" t="s">
        <v>852</v>
      </c>
      <c r="L487" s="150">
        <v>-300</v>
      </c>
      <c r="M487" s="150"/>
      <c r="N487" s="150" t="str">
        <f t="shared" si="62"/>
        <v>Status(AttackRatio, -300)</v>
      </c>
      <c r="O487" s="150">
        <v>0</v>
      </c>
      <c r="P487" s="150">
        <v>0</v>
      </c>
      <c r="Q487" s="150"/>
      <c r="R487" s="230" t="b">
        <v>1</v>
      </c>
    </row>
    <row r="488" spans="1:18" x14ac:dyDescent="0.3">
      <c r="A488" s="200" t="s">
        <v>2231</v>
      </c>
      <c r="B488" s="150"/>
      <c r="C488" s="150"/>
      <c r="D488" s="150">
        <v>0</v>
      </c>
      <c r="E488" s="150">
        <v>1</v>
      </c>
      <c r="F488" s="150" t="s">
        <v>476</v>
      </c>
      <c r="G488" s="150" t="s">
        <v>477</v>
      </c>
      <c r="H488" s="150"/>
      <c r="I488" s="150">
        <v>0</v>
      </c>
      <c r="J488" s="150" t="s">
        <v>846</v>
      </c>
      <c r="K488" s="150" t="s">
        <v>847</v>
      </c>
      <c r="L488" s="150">
        <v>-300</v>
      </c>
      <c r="M488" s="150"/>
      <c r="N488" s="150" t="str">
        <f t="shared" si="62"/>
        <v>Status(DefenseRatio, -300)</v>
      </c>
      <c r="O488" s="150">
        <v>0</v>
      </c>
      <c r="P488" s="150">
        <v>0</v>
      </c>
      <c r="Q488" s="150"/>
      <c r="R488" s="230" t="b">
        <v>1</v>
      </c>
    </row>
    <row r="489" spans="1:18" x14ac:dyDescent="0.3">
      <c r="A489" s="200" t="s">
        <v>2232</v>
      </c>
      <c r="B489" s="150"/>
      <c r="C489" s="150"/>
      <c r="D489" s="150">
        <v>0</v>
      </c>
      <c r="E489" s="150">
        <v>1</v>
      </c>
      <c r="F489" s="150" t="s">
        <v>476</v>
      </c>
      <c r="G489" s="150" t="s">
        <v>477</v>
      </c>
      <c r="H489" s="150"/>
      <c r="I489" s="150">
        <v>0</v>
      </c>
      <c r="J489" s="150" t="s">
        <v>846</v>
      </c>
      <c r="K489" s="150" t="s">
        <v>852</v>
      </c>
      <c r="L489" s="150">
        <v>-400</v>
      </c>
      <c r="M489" s="150"/>
      <c r="N489" s="150" t="str">
        <f t="shared" si="62"/>
        <v>Status(AttackRatio, -400)</v>
      </c>
      <c r="O489" s="150">
        <v>0</v>
      </c>
      <c r="P489" s="150">
        <v>0</v>
      </c>
      <c r="Q489" s="150"/>
      <c r="R489" s="230" t="b">
        <v>1</v>
      </c>
    </row>
    <row r="490" spans="1:18" x14ac:dyDescent="0.3">
      <c r="A490" s="200" t="s">
        <v>2233</v>
      </c>
      <c r="B490" s="150"/>
      <c r="C490" s="150"/>
      <c r="D490" s="150">
        <v>0</v>
      </c>
      <c r="E490" s="150">
        <v>1</v>
      </c>
      <c r="F490" s="150" t="s">
        <v>476</v>
      </c>
      <c r="G490" s="150" t="s">
        <v>477</v>
      </c>
      <c r="H490" s="150"/>
      <c r="I490" s="150">
        <v>0</v>
      </c>
      <c r="J490" s="150" t="s">
        <v>846</v>
      </c>
      <c r="K490" s="150" t="s">
        <v>847</v>
      </c>
      <c r="L490" s="150">
        <v>-400</v>
      </c>
      <c r="M490" s="150"/>
      <c r="N490" s="150" t="str">
        <f t="shared" si="62"/>
        <v>Status(DefenseRatio, -400)</v>
      </c>
      <c r="O490" s="150">
        <v>0</v>
      </c>
      <c r="P490" s="150">
        <v>0</v>
      </c>
      <c r="Q490" s="150"/>
      <c r="R490" s="230" t="b">
        <v>1</v>
      </c>
    </row>
    <row r="491" spans="1:18" x14ac:dyDescent="0.3">
      <c r="A491" s="194" t="s">
        <v>2234</v>
      </c>
      <c r="B491" s="104"/>
      <c r="C491" s="104"/>
      <c r="D491" s="104">
        <v>0</v>
      </c>
      <c r="E491" s="104">
        <v>1</v>
      </c>
      <c r="F491" s="104" t="s">
        <v>476</v>
      </c>
      <c r="G491" s="104" t="s">
        <v>477</v>
      </c>
      <c r="H491" s="104"/>
      <c r="I491" s="104">
        <v>0</v>
      </c>
      <c r="J491" s="104" t="s">
        <v>846</v>
      </c>
      <c r="K491" s="104" t="s">
        <v>852</v>
      </c>
      <c r="L491" s="104">
        <v>-150</v>
      </c>
      <c r="M491" s="104"/>
      <c r="N491" s="104" t="str">
        <f t="shared" si="62"/>
        <v>Status(AttackRatio, -150)</v>
      </c>
      <c r="O491" s="104">
        <v>0</v>
      </c>
      <c r="P491" s="104">
        <v>0</v>
      </c>
      <c r="Q491" s="104"/>
      <c r="R491" s="105" t="b">
        <v>1</v>
      </c>
    </row>
    <row r="492" spans="1:18" x14ac:dyDescent="0.3">
      <c r="A492" s="194" t="s">
        <v>2235</v>
      </c>
      <c r="B492" s="104"/>
      <c r="C492" s="104"/>
      <c r="D492" s="104">
        <v>0</v>
      </c>
      <c r="E492" s="104">
        <v>1</v>
      </c>
      <c r="F492" s="104" t="s">
        <v>476</v>
      </c>
      <c r="G492" s="104" t="s">
        <v>477</v>
      </c>
      <c r="H492" s="104"/>
      <c r="I492" s="104">
        <v>0</v>
      </c>
      <c r="J492" s="104" t="s">
        <v>846</v>
      </c>
      <c r="K492" s="104" t="s">
        <v>847</v>
      </c>
      <c r="L492" s="104">
        <v>-150</v>
      </c>
      <c r="M492" s="104"/>
      <c r="N492" s="104" t="str">
        <f t="shared" si="62"/>
        <v>Status(DefenseRatio, -150)</v>
      </c>
      <c r="O492" s="104">
        <v>0</v>
      </c>
      <c r="P492" s="104">
        <v>0</v>
      </c>
      <c r="Q492" s="104"/>
      <c r="R492" s="105" t="b">
        <v>1</v>
      </c>
    </row>
    <row r="493" spans="1:18" x14ac:dyDescent="0.3">
      <c r="A493" s="194" t="s">
        <v>2236</v>
      </c>
      <c r="B493" s="104"/>
      <c r="C493" s="104"/>
      <c r="D493" s="104">
        <v>0</v>
      </c>
      <c r="E493" s="104">
        <v>1</v>
      </c>
      <c r="F493" s="104" t="s">
        <v>476</v>
      </c>
      <c r="G493" s="104" t="s">
        <v>477</v>
      </c>
      <c r="H493" s="104"/>
      <c r="I493" s="104">
        <v>0</v>
      </c>
      <c r="J493" s="104" t="s">
        <v>846</v>
      </c>
      <c r="K493" s="104" t="s">
        <v>852</v>
      </c>
      <c r="L493" s="104">
        <v>-230</v>
      </c>
      <c r="M493" s="104"/>
      <c r="N493" s="104" t="str">
        <f t="shared" si="62"/>
        <v>Status(AttackRatio, -230)</v>
      </c>
      <c r="O493" s="104">
        <v>0</v>
      </c>
      <c r="P493" s="104">
        <v>0</v>
      </c>
      <c r="Q493" s="104"/>
      <c r="R493" s="105" t="b">
        <v>1</v>
      </c>
    </row>
    <row r="494" spans="1:18" x14ac:dyDescent="0.3">
      <c r="A494" s="194" t="s">
        <v>2237</v>
      </c>
      <c r="B494" s="104"/>
      <c r="C494" s="104"/>
      <c r="D494" s="104">
        <v>0</v>
      </c>
      <c r="E494" s="104">
        <v>1</v>
      </c>
      <c r="F494" s="104" t="s">
        <v>476</v>
      </c>
      <c r="G494" s="104" t="s">
        <v>477</v>
      </c>
      <c r="H494" s="104"/>
      <c r="I494" s="104">
        <v>0</v>
      </c>
      <c r="J494" s="104" t="s">
        <v>846</v>
      </c>
      <c r="K494" s="104" t="s">
        <v>847</v>
      </c>
      <c r="L494" s="104">
        <v>-230</v>
      </c>
      <c r="M494" s="104"/>
      <c r="N494" s="104" t="str">
        <f t="shared" si="62"/>
        <v>Status(DefenseRatio, -230)</v>
      </c>
      <c r="O494" s="104">
        <v>0</v>
      </c>
      <c r="P494" s="104">
        <v>0</v>
      </c>
      <c r="Q494" s="104"/>
      <c r="R494" s="105" t="b">
        <v>1</v>
      </c>
    </row>
    <row r="495" spans="1:18" x14ac:dyDescent="0.3">
      <c r="A495" s="194" t="s">
        <v>2238</v>
      </c>
      <c r="B495" s="104"/>
      <c r="C495" s="104"/>
      <c r="D495" s="104">
        <v>0</v>
      </c>
      <c r="E495" s="104">
        <v>1</v>
      </c>
      <c r="F495" s="104" t="s">
        <v>476</v>
      </c>
      <c r="G495" s="104" t="s">
        <v>477</v>
      </c>
      <c r="H495" s="104"/>
      <c r="I495" s="104">
        <v>0</v>
      </c>
      <c r="J495" s="104" t="s">
        <v>846</v>
      </c>
      <c r="K495" s="104" t="s">
        <v>852</v>
      </c>
      <c r="L495" s="104">
        <v>-300</v>
      </c>
      <c r="M495" s="104"/>
      <c r="N495" s="104" t="str">
        <f t="shared" si="62"/>
        <v>Status(AttackRatio, -300)</v>
      </c>
      <c r="O495" s="104">
        <v>0</v>
      </c>
      <c r="P495" s="104">
        <v>0</v>
      </c>
      <c r="Q495" s="104"/>
      <c r="R495" s="105" t="b">
        <v>1</v>
      </c>
    </row>
    <row r="496" spans="1:18" x14ac:dyDescent="0.3">
      <c r="A496" s="194" t="s">
        <v>2239</v>
      </c>
      <c r="B496" s="104"/>
      <c r="C496" s="104"/>
      <c r="D496" s="104">
        <v>0</v>
      </c>
      <c r="E496" s="104">
        <v>1</v>
      </c>
      <c r="F496" s="104" t="s">
        <v>476</v>
      </c>
      <c r="G496" s="104" t="s">
        <v>477</v>
      </c>
      <c r="H496" s="104"/>
      <c r="I496" s="104">
        <v>0</v>
      </c>
      <c r="J496" s="104" t="s">
        <v>846</v>
      </c>
      <c r="K496" s="104" t="s">
        <v>847</v>
      </c>
      <c r="L496" s="104">
        <v>-300</v>
      </c>
      <c r="M496" s="104"/>
      <c r="N496" s="104" t="str">
        <f t="shared" si="62"/>
        <v>Status(DefenseRatio, -300)</v>
      </c>
      <c r="O496" s="104">
        <v>0</v>
      </c>
      <c r="P496" s="104">
        <v>0</v>
      </c>
      <c r="Q496" s="104"/>
      <c r="R496" s="105" t="b">
        <v>1</v>
      </c>
    </row>
    <row r="497" spans="1:18" x14ac:dyDescent="0.3">
      <c r="A497" s="200" t="s">
        <v>2240</v>
      </c>
      <c r="B497" s="150"/>
      <c r="C497" s="150"/>
      <c r="D497" s="150">
        <v>0</v>
      </c>
      <c r="E497" s="150">
        <v>1</v>
      </c>
      <c r="F497" s="150" t="s">
        <v>476</v>
      </c>
      <c r="G497" s="150" t="s">
        <v>477</v>
      </c>
      <c r="H497" s="150"/>
      <c r="I497" s="150">
        <v>0</v>
      </c>
      <c r="J497" s="150" t="s">
        <v>846</v>
      </c>
      <c r="K497" s="150" t="s">
        <v>852</v>
      </c>
      <c r="L497" s="150">
        <v>-100</v>
      </c>
      <c r="M497" s="150"/>
      <c r="N497" s="150" t="str">
        <f t="shared" si="62"/>
        <v>Status(AttackRatio, -100)</v>
      </c>
      <c r="O497" s="150">
        <v>0</v>
      </c>
      <c r="P497" s="150">
        <v>0</v>
      </c>
      <c r="Q497" s="150"/>
      <c r="R497" s="230" t="b">
        <v>1</v>
      </c>
    </row>
    <row r="498" spans="1:18" x14ac:dyDescent="0.3">
      <c r="A498" s="200" t="s">
        <v>2241</v>
      </c>
      <c r="B498" s="150"/>
      <c r="C498" s="150"/>
      <c r="D498" s="150">
        <v>0</v>
      </c>
      <c r="E498" s="150">
        <v>1</v>
      </c>
      <c r="F498" s="150" t="s">
        <v>476</v>
      </c>
      <c r="G498" s="150" t="s">
        <v>477</v>
      </c>
      <c r="H498" s="150"/>
      <c r="I498" s="150">
        <v>0</v>
      </c>
      <c r="J498" s="150" t="s">
        <v>846</v>
      </c>
      <c r="K498" s="150" t="s">
        <v>847</v>
      </c>
      <c r="L498" s="150">
        <v>-100</v>
      </c>
      <c r="M498" s="150"/>
      <c r="N498" s="150" t="str">
        <f t="shared" si="62"/>
        <v>Status(DefenseRatio, -100)</v>
      </c>
      <c r="O498" s="150">
        <v>0</v>
      </c>
      <c r="P498" s="150">
        <v>0</v>
      </c>
      <c r="Q498" s="150"/>
      <c r="R498" s="230" t="b">
        <v>1</v>
      </c>
    </row>
    <row r="499" spans="1:18" x14ac:dyDescent="0.3">
      <c r="A499" s="200" t="s">
        <v>2242</v>
      </c>
      <c r="B499" s="150"/>
      <c r="C499" s="150"/>
      <c r="D499" s="150">
        <v>0</v>
      </c>
      <c r="E499" s="150">
        <v>1</v>
      </c>
      <c r="F499" s="150" t="s">
        <v>476</v>
      </c>
      <c r="G499" s="150" t="s">
        <v>477</v>
      </c>
      <c r="H499" s="150"/>
      <c r="I499" s="150">
        <v>0</v>
      </c>
      <c r="J499" s="150" t="s">
        <v>846</v>
      </c>
      <c r="K499" s="150" t="s">
        <v>852</v>
      </c>
      <c r="L499" s="150">
        <v>-150</v>
      </c>
      <c r="M499" s="150"/>
      <c r="N499" s="150" t="str">
        <f t="shared" si="62"/>
        <v>Status(AttackRatio, -150)</v>
      </c>
      <c r="O499" s="150">
        <v>0</v>
      </c>
      <c r="P499" s="150">
        <v>0</v>
      </c>
      <c r="Q499" s="150"/>
      <c r="R499" s="230" t="b">
        <v>1</v>
      </c>
    </row>
    <row r="500" spans="1:18" x14ac:dyDescent="0.3">
      <c r="A500" s="200" t="s">
        <v>2243</v>
      </c>
      <c r="B500" s="150"/>
      <c r="C500" s="150"/>
      <c r="D500" s="150">
        <v>0</v>
      </c>
      <c r="E500" s="150">
        <v>1</v>
      </c>
      <c r="F500" s="150" t="s">
        <v>476</v>
      </c>
      <c r="G500" s="150" t="s">
        <v>477</v>
      </c>
      <c r="H500" s="150"/>
      <c r="I500" s="150">
        <v>0</v>
      </c>
      <c r="J500" s="150" t="s">
        <v>846</v>
      </c>
      <c r="K500" s="150" t="s">
        <v>847</v>
      </c>
      <c r="L500" s="150">
        <v>-150</v>
      </c>
      <c r="M500" s="150"/>
      <c r="N500" s="150" t="str">
        <f t="shared" si="62"/>
        <v>Status(DefenseRatio, -150)</v>
      </c>
      <c r="O500" s="150">
        <v>0</v>
      </c>
      <c r="P500" s="150">
        <v>0</v>
      </c>
      <c r="Q500" s="150"/>
      <c r="R500" s="230" t="b">
        <v>1</v>
      </c>
    </row>
    <row r="501" spans="1:18" x14ac:dyDescent="0.3">
      <c r="A501" s="200" t="s">
        <v>2244</v>
      </c>
      <c r="B501" s="150"/>
      <c r="C501" s="150"/>
      <c r="D501" s="150">
        <v>0</v>
      </c>
      <c r="E501" s="150">
        <v>1</v>
      </c>
      <c r="F501" s="150" t="s">
        <v>476</v>
      </c>
      <c r="G501" s="150" t="s">
        <v>477</v>
      </c>
      <c r="H501" s="150"/>
      <c r="I501" s="150">
        <v>0</v>
      </c>
      <c r="J501" s="150" t="s">
        <v>846</v>
      </c>
      <c r="K501" s="150" t="s">
        <v>852</v>
      </c>
      <c r="L501" s="150">
        <v>-200</v>
      </c>
      <c r="M501" s="150"/>
      <c r="N501" s="150" t="str">
        <f t="shared" si="62"/>
        <v>Status(AttackRatio, -200)</v>
      </c>
      <c r="O501" s="150">
        <v>0</v>
      </c>
      <c r="P501" s="150">
        <v>0</v>
      </c>
      <c r="Q501" s="150"/>
      <c r="R501" s="230" t="b">
        <v>1</v>
      </c>
    </row>
    <row r="502" spans="1:18" x14ac:dyDescent="0.3">
      <c r="A502" s="200" t="s">
        <v>2245</v>
      </c>
      <c r="B502" s="150"/>
      <c r="C502" s="150"/>
      <c r="D502" s="150">
        <v>0</v>
      </c>
      <c r="E502" s="150">
        <v>1</v>
      </c>
      <c r="F502" s="150" t="s">
        <v>476</v>
      </c>
      <c r="G502" s="150" t="s">
        <v>477</v>
      </c>
      <c r="H502" s="150"/>
      <c r="I502" s="150">
        <v>0</v>
      </c>
      <c r="J502" s="150" t="s">
        <v>846</v>
      </c>
      <c r="K502" s="150" t="s">
        <v>847</v>
      </c>
      <c r="L502" s="150">
        <v>-200</v>
      </c>
      <c r="M502" s="150"/>
      <c r="N502" s="150" t="str">
        <f t="shared" si="62"/>
        <v>Status(DefenseRatio, -200)</v>
      </c>
      <c r="O502" s="150">
        <v>0</v>
      </c>
      <c r="P502" s="150">
        <v>0</v>
      </c>
      <c r="Q502" s="150"/>
      <c r="R502" s="230" t="b">
        <v>1</v>
      </c>
    </row>
    <row r="503" spans="1:18" x14ac:dyDescent="0.3">
      <c r="A503" s="227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50"/>
    </row>
    <row r="504" spans="1:18" x14ac:dyDescent="0.3">
      <c r="A504" s="192" t="s">
        <v>787</v>
      </c>
      <c r="B504" s="31"/>
      <c r="C504" s="31"/>
      <c r="D504" s="31">
        <v>0</v>
      </c>
      <c r="E504" s="31">
        <v>1</v>
      </c>
      <c r="F504" s="31" t="s">
        <v>476</v>
      </c>
      <c r="G504" s="31" t="s">
        <v>477</v>
      </c>
      <c r="H504" s="31"/>
      <c r="I504" s="31">
        <v>0</v>
      </c>
      <c r="J504" s="31" t="s">
        <v>846</v>
      </c>
      <c r="K504" s="31" t="s">
        <v>869</v>
      </c>
      <c r="L504" s="31">
        <v>400</v>
      </c>
      <c r="M504" s="31"/>
      <c r="N504" s="31" t="str">
        <f t="shared" ref="N504:N506" si="63">J504&amp;"("&amp;IF(K504="","",K504)&amp;IF(L504="","",", "&amp;L504)&amp;IF(M504="","",", "&amp;M504)&amp;")"</f>
        <v>Status(AddEnergyRate, 400)</v>
      </c>
      <c r="O504" s="31">
        <v>0</v>
      </c>
      <c r="P504" s="31">
        <v>0</v>
      </c>
      <c r="Q504" s="31"/>
      <c r="R504" s="32" t="b">
        <v>0</v>
      </c>
    </row>
    <row r="505" spans="1:18" x14ac:dyDescent="0.3">
      <c r="A505" s="192" t="s">
        <v>1251</v>
      </c>
      <c r="B505" s="31"/>
      <c r="C505" s="31"/>
      <c r="D505" s="31">
        <v>0</v>
      </c>
      <c r="E505" s="31">
        <v>1</v>
      </c>
      <c r="F505" s="31" t="s">
        <v>476</v>
      </c>
      <c r="G505" s="31" t="s">
        <v>477</v>
      </c>
      <c r="H505" s="31"/>
      <c r="I505" s="31">
        <v>0</v>
      </c>
      <c r="J505" s="31" t="s">
        <v>846</v>
      </c>
      <c r="K505" s="31" t="s">
        <v>876</v>
      </c>
      <c r="L505" s="31">
        <v>1500</v>
      </c>
      <c r="M505" s="31"/>
      <c r="N505" s="31" t="str">
        <f t="shared" ref="N505" si="64">J505&amp;"("&amp;IF(K505="","",K505)&amp;IF(L505="","",", "&amp;L505)&amp;IF(M505="","",", "&amp;M505)&amp;")"</f>
        <v>Status(AccuracyRate, 1500)</v>
      </c>
      <c r="O505" s="31">
        <v>0</v>
      </c>
      <c r="P505" s="31">
        <v>0</v>
      </c>
      <c r="Q505" s="31"/>
      <c r="R505" s="32" t="b">
        <v>0</v>
      </c>
    </row>
    <row r="506" spans="1:18" x14ac:dyDescent="0.3">
      <c r="A506" s="201" t="s">
        <v>789</v>
      </c>
      <c r="B506" s="23"/>
      <c r="C506" s="23"/>
      <c r="D506" s="23">
        <v>0</v>
      </c>
      <c r="E506" s="23">
        <v>1</v>
      </c>
      <c r="F506" s="23" t="s">
        <v>476</v>
      </c>
      <c r="G506" s="23" t="s">
        <v>477</v>
      </c>
      <c r="H506" s="23"/>
      <c r="I506" s="23">
        <v>0</v>
      </c>
      <c r="J506" s="23" t="s">
        <v>848</v>
      </c>
      <c r="K506" s="23" t="s">
        <v>923</v>
      </c>
      <c r="L506" s="23"/>
      <c r="M506" s="23"/>
      <c r="N506" s="23" t="str">
        <f t="shared" si="63"/>
        <v>CrowdControl(Shock)</v>
      </c>
      <c r="O506" s="23">
        <v>0</v>
      </c>
      <c r="P506" s="23">
        <v>0</v>
      </c>
      <c r="Q506" s="23"/>
      <c r="R506" s="24" t="b">
        <v>1</v>
      </c>
    </row>
    <row r="507" spans="1:18" x14ac:dyDescent="0.3">
      <c r="A507" s="203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7"/>
    </row>
    <row r="508" spans="1:18" x14ac:dyDescent="0.3">
      <c r="A508" s="203" t="s">
        <v>4234</v>
      </c>
      <c r="B508" s="36"/>
      <c r="C508" s="36"/>
      <c r="D508" s="36">
        <v>0</v>
      </c>
      <c r="E508" s="36">
        <v>1</v>
      </c>
      <c r="F508" s="36" t="s">
        <v>476</v>
      </c>
      <c r="G508" s="36" t="s">
        <v>477</v>
      </c>
      <c r="H508" s="36"/>
      <c r="I508" s="36">
        <v>0</v>
      </c>
      <c r="J508" s="36" t="s">
        <v>846</v>
      </c>
      <c r="K508" s="36" t="s">
        <v>852</v>
      </c>
      <c r="L508" s="36">
        <v>500</v>
      </c>
      <c r="M508" s="36"/>
      <c r="N508" s="36" t="s">
        <v>4235</v>
      </c>
      <c r="O508" s="36">
        <v>0</v>
      </c>
      <c r="P508" s="36">
        <v>0</v>
      </c>
      <c r="Q508" s="36"/>
      <c r="R508" s="32" t="b">
        <v>0</v>
      </c>
    </row>
    <row r="509" spans="1:18" x14ac:dyDescent="0.3">
      <c r="A509" s="203" t="s">
        <v>4236</v>
      </c>
      <c r="B509" s="36"/>
      <c r="C509" s="36"/>
      <c r="D509" s="36">
        <v>0</v>
      </c>
      <c r="E509" s="36">
        <v>1</v>
      </c>
      <c r="F509" s="36" t="s">
        <v>476</v>
      </c>
      <c r="G509" s="36" t="s">
        <v>477</v>
      </c>
      <c r="H509" s="36"/>
      <c r="I509" s="36">
        <v>0</v>
      </c>
      <c r="J509" s="36" t="s">
        <v>846</v>
      </c>
      <c r="K509" s="36" t="s">
        <v>852</v>
      </c>
      <c r="L509" s="36">
        <v>1000</v>
      </c>
      <c r="M509" s="36"/>
      <c r="N509" s="36" t="s">
        <v>4237</v>
      </c>
      <c r="O509" s="36">
        <v>0</v>
      </c>
      <c r="P509" s="36">
        <v>0</v>
      </c>
      <c r="Q509" s="36"/>
      <c r="R509" s="32" t="b">
        <v>0</v>
      </c>
    </row>
    <row r="510" spans="1:18" x14ac:dyDescent="0.3">
      <c r="A510" s="203" t="s">
        <v>4238</v>
      </c>
      <c r="B510" s="36"/>
      <c r="C510" s="36"/>
      <c r="D510" s="36">
        <v>0</v>
      </c>
      <c r="E510" s="36">
        <v>1</v>
      </c>
      <c r="F510" s="36" t="s">
        <v>476</v>
      </c>
      <c r="G510" s="36" t="s">
        <v>477</v>
      </c>
      <c r="H510" s="36"/>
      <c r="I510" s="36">
        <v>0</v>
      </c>
      <c r="J510" s="36" t="s">
        <v>846</v>
      </c>
      <c r="K510" s="36" t="s">
        <v>852</v>
      </c>
      <c r="L510" s="36">
        <v>1500</v>
      </c>
      <c r="M510" s="36"/>
      <c r="N510" s="36" t="s">
        <v>4239</v>
      </c>
      <c r="O510" s="36">
        <v>0</v>
      </c>
      <c r="P510" s="36">
        <v>0</v>
      </c>
      <c r="Q510" s="36"/>
      <c r="R510" s="32" t="b">
        <v>0</v>
      </c>
    </row>
    <row r="511" spans="1:18" x14ac:dyDescent="0.3">
      <c r="A511" s="203" t="s">
        <v>4240</v>
      </c>
      <c r="B511" s="36"/>
      <c r="C511" s="36"/>
      <c r="D511" s="36">
        <v>0</v>
      </c>
      <c r="E511" s="36">
        <v>1</v>
      </c>
      <c r="F511" s="36" t="s">
        <v>476</v>
      </c>
      <c r="G511" s="36" t="s">
        <v>477</v>
      </c>
      <c r="H511" s="36"/>
      <c r="I511" s="36">
        <v>0</v>
      </c>
      <c r="J511" s="36" t="s">
        <v>846</v>
      </c>
      <c r="K511" s="36" t="s">
        <v>852</v>
      </c>
      <c r="L511" s="36">
        <v>2000</v>
      </c>
      <c r="M511" s="36"/>
      <c r="N511" s="36" t="s">
        <v>4241</v>
      </c>
      <c r="O511" s="36">
        <v>0</v>
      </c>
      <c r="P511" s="36">
        <v>0</v>
      </c>
      <c r="Q511" s="36"/>
      <c r="R511" s="32" t="b">
        <v>0</v>
      </c>
    </row>
    <row r="512" spans="1:18" x14ac:dyDescent="0.3">
      <c r="A512" s="203" t="s">
        <v>4242</v>
      </c>
      <c r="B512" s="36"/>
      <c r="C512" s="36"/>
      <c r="D512" s="36">
        <v>0</v>
      </c>
      <c r="E512" s="36">
        <v>1</v>
      </c>
      <c r="F512" s="36" t="s">
        <v>476</v>
      </c>
      <c r="G512" s="36" t="s">
        <v>477</v>
      </c>
      <c r="H512" s="36"/>
      <c r="I512" s="36">
        <v>0</v>
      </c>
      <c r="J512" s="36" t="s">
        <v>846</v>
      </c>
      <c r="K512" s="36" t="s">
        <v>852</v>
      </c>
      <c r="L512" s="36">
        <v>2500</v>
      </c>
      <c r="M512" s="36"/>
      <c r="N512" s="36" t="s">
        <v>4243</v>
      </c>
      <c r="O512" s="36">
        <v>0</v>
      </c>
      <c r="P512" s="36">
        <v>0</v>
      </c>
      <c r="Q512" s="36"/>
      <c r="R512" s="32" t="b">
        <v>0</v>
      </c>
    </row>
    <row r="513" spans="1:18" x14ac:dyDescent="0.3">
      <c r="A513" s="203" t="s">
        <v>4244</v>
      </c>
      <c r="B513" s="36"/>
      <c r="C513" s="36"/>
      <c r="D513" s="36">
        <v>0</v>
      </c>
      <c r="E513" s="36">
        <v>1</v>
      </c>
      <c r="F513" s="36" t="s">
        <v>476</v>
      </c>
      <c r="G513" s="36" t="s">
        <v>477</v>
      </c>
      <c r="H513" s="36"/>
      <c r="I513" s="36">
        <v>0</v>
      </c>
      <c r="J513" s="36" t="s">
        <v>846</v>
      </c>
      <c r="K513" s="36" t="s">
        <v>852</v>
      </c>
      <c r="L513" s="36">
        <v>3000</v>
      </c>
      <c r="M513" s="36"/>
      <c r="N513" s="36" t="s">
        <v>4245</v>
      </c>
      <c r="O513" s="36">
        <v>0</v>
      </c>
      <c r="P513" s="36">
        <v>0</v>
      </c>
      <c r="Q513" s="36"/>
      <c r="R513" s="32" t="b">
        <v>0</v>
      </c>
    </row>
    <row r="514" spans="1:18" x14ac:dyDescent="0.3">
      <c r="A514" s="203" t="s">
        <v>4246</v>
      </c>
      <c r="B514" s="36"/>
      <c r="C514" s="36"/>
      <c r="D514" s="36">
        <v>0</v>
      </c>
      <c r="E514" s="36">
        <v>1</v>
      </c>
      <c r="F514" s="36" t="s">
        <v>476</v>
      </c>
      <c r="G514" s="36" t="s">
        <v>477</v>
      </c>
      <c r="H514" s="36"/>
      <c r="I514" s="36">
        <v>0</v>
      </c>
      <c r="J514" s="36" t="s">
        <v>846</v>
      </c>
      <c r="K514" s="36" t="s">
        <v>852</v>
      </c>
      <c r="L514" s="36">
        <v>3500</v>
      </c>
      <c r="M514" s="36"/>
      <c r="N514" s="36" t="s">
        <v>4247</v>
      </c>
      <c r="O514" s="36">
        <v>0</v>
      </c>
      <c r="P514" s="36">
        <v>0</v>
      </c>
      <c r="Q514" s="36"/>
      <c r="R514" s="32" t="b">
        <v>0</v>
      </c>
    </row>
    <row r="515" spans="1:18" x14ac:dyDescent="0.3">
      <c r="A515" s="203" t="s">
        <v>4248</v>
      </c>
      <c r="B515" s="36"/>
      <c r="C515" s="36"/>
      <c r="D515" s="36">
        <v>0</v>
      </c>
      <c r="E515" s="36">
        <v>1</v>
      </c>
      <c r="F515" s="36" t="s">
        <v>476</v>
      </c>
      <c r="G515" s="36" t="s">
        <v>477</v>
      </c>
      <c r="H515" s="36"/>
      <c r="I515" s="36">
        <v>0</v>
      </c>
      <c r="J515" s="36" t="s">
        <v>846</v>
      </c>
      <c r="K515" s="36" t="s">
        <v>852</v>
      </c>
      <c r="L515" s="36">
        <v>4000</v>
      </c>
      <c r="M515" s="36"/>
      <c r="N515" s="36" t="s">
        <v>4249</v>
      </c>
      <c r="O515" s="36">
        <v>0</v>
      </c>
      <c r="P515" s="36">
        <v>0</v>
      </c>
      <c r="Q515" s="36"/>
      <c r="R515" s="32" t="b">
        <v>0</v>
      </c>
    </row>
    <row r="516" spans="1:18" x14ac:dyDescent="0.3">
      <c r="A516" s="203" t="s">
        <v>4250</v>
      </c>
      <c r="B516" s="36"/>
      <c r="C516" s="36"/>
      <c r="D516" s="36">
        <v>0</v>
      </c>
      <c r="E516" s="36">
        <v>1</v>
      </c>
      <c r="F516" s="36" t="s">
        <v>476</v>
      </c>
      <c r="G516" s="36" t="s">
        <v>477</v>
      </c>
      <c r="H516" s="36"/>
      <c r="I516" s="36">
        <v>0</v>
      </c>
      <c r="J516" s="36" t="s">
        <v>846</v>
      </c>
      <c r="K516" s="36" t="s">
        <v>852</v>
      </c>
      <c r="L516" s="36">
        <v>4500</v>
      </c>
      <c r="M516" s="36"/>
      <c r="N516" s="36" t="s">
        <v>4251</v>
      </c>
      <c r="O516" s="36">
        <v>0</v>
      </c>
      <c r="P516" s="36">
        <v>0</v>
      </c>
      <c r="Q516" s="36"/>
      <c r="R516" s="32" t="b">
        <v>0</v>
      </c>
    </row>
    <row r="517" spans="1:18" x14ac:dyDescent="0.3">
      <c r="A517" s="203" t="s">
        <v>4252</v>
      </c>
      <c r="B517" s="36"/>
      <c r="C517" s="36"/>
      <c r="D517" s="36">
        <v>0</v>
      </c>
      <c r="E517" s="36">
        <v>1</v>
      </c>
      <c r="F517" s="36" t="s">
        <v>476</v>
      </c>
      <c r="G517" s="36" t="s">
        <v>477</v>
      </c>
      <c r="H517" s="36"/>
      <c r="I517" s="36">
        <v>0</v>
      </c>
      <c r="J517" s="36" t="s">
        <v>846</v>
      </c>
      <c r="K517" s="36" t="s">
        <v>852</v>
      </c>
      <c r="L517" s="36">
        <v>5000</v>
      </c>
      <c r="M517" s="36"/>
      <c r="N517" s="36" t="s">
        <v>4253</v>
      </c>
      <c r="O517" s="36">
        <v>0</v>
      </c>
      <c r="P517" s="36">
        <v>0</v>
      </c>
      <c r="Q517" s="36"/>
      <c r="R517" s="32" t="b">
        <v>0</v>
      </c>
    </row>
    <row r="518" spans="1:18" x14ac:dyDescent="0.3">
      <c r="A518" s="196" t="s">
        <v>4254</v>
      </c>
      <c r="B518" s="36"/>
      <c r="C518" s="36"/>
      <c r="D518" s="36">
        <v>0</v>
      </c>
      <c r="E518" s="36">
        <v>1</v>
      </c>
      <c r="F518" s="33" t="s">
        <v>476</v>
      </c>
      <c r="G518" s="36" t="s">
        <v>477</v>
      </c>
      <c r="H518" s="36"/>
      <c r="I518" s="36">
        <v>0</v>
      </c>
      <c r="J518" s="33" t="s">
        <v>846</v>
      </c>
      <c r="K518" s="33" t="s">
        <v>847</v>
      </c>
      <c r="L518" s="33">
        <v>300</v>
      </c>
      <c r="M518" s="33"/>
      <c r="N518" s="33" t="s">
        <v>4255</v>
      </c>
      <c r="O518" s="33">
        <v>0</v>
      </c>
      <c r="P518" s="33">
        <v>0</v>
      </c>
      <c r="Q518" s="33"/>
      <c r="R518" s="32" t="b">
        <v>0</v>
      </c>
    </row>
    <row r="519" spans="1:18" x14ac:dyDescent="0.3">
      <c r="A519" s="196" t="s">
        <v>4256</v>
      </c>
      <c r="B519" s="36"/>
      <c r="C519" s="36"/>
      <c r="D519" s="36">
        <v>0</v>
      </c>
      <c r="E519" s="36">
        <v>1</v>
      </c>
      <c r="F519" s="33" t="s">
        <v>476</v>
      </c>
      <c r="G519" s="36" t="s">
        <v>477</v>
      </c>
      <c r="H519" s="36"/>
      <c r="I519" s="36">
        <v>0</v>
      </c>
      <c r="J519" s="33" t="s">
        <v>846</v>
      </c>
      <c r="K519" s="33" t="s">
        <v>847</v>
      </c>
      <c r="L519" s="33">
        <v>600</v>
      </c>
      <c r="M519" s="33"/>
      <c r="N519" s="33" t="s">
        <v>4257</v>
      </c>
      <c r="O519" s="33">
        <v>0</v>
      </c>
      <c r="P519" s="33">
        <v>0</v>
      </c>
      <c r="Q519" s="33"/>
      <c r="R519" s="32" t="b">
        <v>0</v>
      </c>
    </row>
    <row r="520" spans="1:18" x14ac:dyDescent="0.3">
      <c r="A520" s="196" t="s">
        <v>4258</v>
      </c>
      <c r="B520" s="36"/>
      <c r="C520" s="36"/>
      <c r="D520" s="36">
        <v>0</v>
      </c>
      <c r="E520" s="36">
        <v>1</v>
      </c>
      <c r="F520" s="33" t="s">
        <v>476</v>
      </c>
      <c r="G520" s="36" t="s">
        <v>477</v>
      </c>
      <c r="H520" s="36"/>
      <c r="I520" s="36">
        <v>0</v>
      </c>
      <c r="J520" s="33" t="s">
        <v>846</v>
      </c>
      <c r="K520" s="33" t="s">
        <v>847</v>
      </c>
      <c r="L520" s="33">
        <v>900</v>
      </c>
      <c r="M520" s="33"/>
      <c r="N520" s="33" t="s">
        <v>4259</v>
      </c>
      <c r="O520" s="33">
        <v>0</v>
      </c>
      <c r="P520" s="33">
        <v>0</v>
      </c>
      <c r="Q520" s="33"/>
      <c r="R520" s="32" t="b">
        <v>0</v>
      </c>
    </row>
    <row r="521" spans="1:18" x14ac:dyDescent="0.3">
      <c r="A521" s="196" t="s">
        <v>4260</v>
      </c>
      <c r="B521" s="36"/>
      <c r="C521" s="36"/>
      <c r="D521" s="36">
        <v>0</v>
      </c>
      <c r="E521" s="36">
        <v>1</v>
      </c>
      <c r="F521" s="33" t="s">
        <v>476</v>
      </c>
      <c r="G521" s="36" t="s">
        <v>477</v>
      </c>
      <c r="H521" s="36"/>
      <c r="I521" s="36">
        <v>0</v>
      </c>
      <c r="J521" s="33" t="s">
        <v>846</v>
      </c>
      <c r="K521" s="33" t="s">
        <v>847</v>
      </c>
      <c r="L521" s="33">
        <v>1200</v>
      </c>
      <c r="M521" s="33"/>
      <c r="N521" s="33" t="s">
        <v>4261</v>
      </c>
      <c r="O521" s="33">
        <v>0</v>
      </c>
      <c r="P521" s="33">
        <v>0</v>
      </c>
      <c r="Q521" s="33"/>
      <c r="R521" s="32" t="b">
        <v>0</v>
      </c>
    </row>
    <row r="522" spans="1:18" x14ac:dyDescent="0.3">
      <c r="A522" s="196" t="s">
        <v>4262</v>
      </c>
      <c r="B522" s="36"/>
      <c r="C522" s="36"/>
      <c r="D522" s="36">
        <v>0</v>
      </c>
      <c r="E522" s="36">
        <v>1</v>
      </c>
      <c r="F522" s="33" t="s">
        <v>476</v>
      </c>
      <c r="G522" s="36" t="s">
        <v>477</v>
      </c>
      <c r="H522" s="36"/>
      <c r="I522" s="36">
        <v>0</v>
      </c>
      <c r="J522" s="33" t="s">
        <v>846</v>
      </c>
      <c r="K522" s="33" t="s">
        <v>847</v>
      </c>
      <c r="L522" s="33">
        <v>1500</v>
      </c>
      <c r="M522" s="33"/>
      <c r="N522" s="33" t="s">
        <v>4239</v>
      </c>
      <c r="O522" s="33">
        <v>0</v>
      </c>
      <c r="P522" s="33">
        <v>0</v>
      </c>
      <c r="Q522" s="33"/>
      <c r="R522" s="32" t="b">
        <v>0</v>
      </c>
    </row>
    <row r="523" spans="1:18" x14ac:dyDescent="0.3">
      <c r="A523" s="196" t="s">
        <v>4263</v>
      </c>
      <c r="B523" s="36"/>
      <c r="C523" s="36"/>
      <c r="D523" s="36">
        <v>0</v>
      </c>
      <c r="E523" s="36">
        <v>1</v>
      </c>
      <c r="F523" s="33" t="s">
        <v>476</v>
      </c>
      <c r="G523" s="36" t="s">
        <v>477</v>
      </c>
      <c r="H523" s="36"/>
      <c r="I523" s="36">
        <v>0</v>
      </c>
      <c r="J523" s="33" t="s">
        <v>846</v>
      </c>
      <c r="K523" s="33" t="s">
        <v>847</v>
      </c>
      <c r="L523" s="33">
        <v>1800</v>
      </c>
      <c r="M523" s="33"/>
      <c r="N523" s="33" t="s">
        <v>4264</v>
      </c>
      <c r="O523" s="33">
        <v>0</v>
      </c>
      <c r="P523" s="33">
        <v>0</v>
      </c>
      <c r="Q523" s="33"/>
      <c r="R523" s="32" t="b">
        <v>0</v>
      </c>
    </row>
    <row r="524" spans="1:18" x14ac:dyDescent="0.3">
      <c r="A524" s="196" t="s">
        <v>4265</v>
      </c>
      <c r="B524" s="36"/>
      <c r="C524" s="36"/>
      <c r="D524" s="36">
        <v>0</v>
      </c>
      <c r="E524" s="36">
        <v>1</v>
      </c>
      <c r="F524" s="33" t="s">
        <v>476</v>
      </c>
      <c r="G524" s="36" t="s">
        <v>477</v>
      </c>
      <c r="H524" s="36"/>
      <c r="I524" s="36">
        <v>0</v>
      </c>
      <c r="J524" s="33" t="s">
        <v>846</v>
      </c>
      <c r="K524" s="33" t="s">
        <v>847</v>
      </c>
      <c r="L524" s="33">
        <v>2100</v>
      </c>
      <c r="M524" s="33"/>
      <c r="N524" s="33" t="s">
        <v>4266</v>
      </c>
      <c r="O524" s="33">
        <v>0</v>
      </c>
      <c r="P524" s="33">
        <v>0</v>
      </c>
      <c r="Q524" s="33"/>
      <c r="R524" s="32" t="b">
        <v>0</v>
      </c>
    </row>
    <row r="525" spans="1:18" x14ac:dyDescent="0.3">
      <c r="A525" s="196" t="s">
        <v>4267</v>
      </c>
      <c r="B525" s="36"/>
      <c r="C525" s="36"/>
      <c r="D525" s="36">
        <v>0</v>
      </c>
      <c r="E525" s="36">
        <v>1</v>
      </c>
      <c r="F525" s="33" t="s">
        <v>476</v>
      </c>
      <c r="G525" s="36" t="s">
        <v>477</v>
      </c>
      <c r="H525" s="36"/>
      <c r="I525" s="36">
        <v>0</v>
      </c>
      <c r="J525" s="33" t="s">
        <v>846</v>
      </c>
      <c r="K525" s="33" t="s">
        <v>847</v>
      </c>
      <c r="L525" s="33">
        <v>2400</v>
      </c>
      <c r="M525" s="33"/>
      <c r="N525" s="33" t="s">
        <v>4268</v>
      </c>
      <c r="O525" s="33">
        <v>0</v>
      </c>
      <c r="P525" s="33">
        <v>0</v>
      </c>
      <c r="Q525" s="33"/>
      <c r="R525" s="32" t="b">
        <v>0</v>
      </c>
    </row>
    <row r="526" spans="1:18" x14ac:dyDescent="0.3">
      <c r="A526" s="196" t="s">
        <v>4269</v>
      </c>
      <c r="B526" s="36"/>
      <c r="C526" s="36"/>
      <c r="D526" s="36">
        <v>0</v>
      </c>
      <c r="E526" s="36">
        <v>1</v>
      </c>
      <c r="F526" s="33" t="s">
        <v>476</v>
      </c>
      <c r="G526" s="36" t="s">
        <v>477</v>
      </c>
      <c r="H526" s="36"/>
      <c r="I526" s="36">
        <v>0</v>
      </c>
      <c r="J526" s="33" t="s">
        <v>846</v>
      </c>
      <c r="K526" s="33" t="s">
        <v>847</v>
      </c>
      <c r="L526" s="33">
        <v>2700</v>
      </c>
      <c r="M526" s="33"/>
      <c r="N526" s="33" t="s">
        <v>4270</v>
      </c>
      <c r="O526" s="33">
        <v>0</v>
      </c>
      <c r="P526" s="33">
        <v>0</v>
      </c>
      <c r="Q526" s="33"/>
      <c r="R526" s="32" t="b">
        <v>0</v>
      </c>
    </row>
    <row r="527" spans="1:18" x14ac:dyDescent="0.3">
      <c r="A527" s="196" t="s">
        <v>4271</v>
      </c>
      <c r="B527" s="36"/>
      <c r="C527" s="36"/>
      <c r="D527" s="36">
        <v>0</v>
      </c>
      <c r="E527" s="36">
        <v>1</v>
      </c>
      <c r="F527" s="33" t="s">
        <v>476</v>
      </c>
      <c r="G527" s="36" t="s">
        <v>477</v>
      </c>
      <c r="H527" s="36"/>
      <c r="I527" s="36">
        <v>0</v>
      </c>
      <c r="J527" s="33" t="s">
        <v>846</v>
      </c>
      <c r="K527" s="33" t="s">
        <v>847</v>
      </c>
      <c r="L527" s="33">
        <v>3000</v>
      </c>
      <c r="M527" s="33"/>
      <c r="N527" s="33" t="s">
        <v>4245</v>
      </c>
      <c r="O527" s="33">
        <v>0</v>
      </c>
      <c r="P527" s="33">
        <v>0</v>
      </c>
      <c r="Q527" s="33"/>
      <c r="R527" s="32" t="b">
        <v>0</v>
      </c>
    </row>
    <row r="528" spans="1:18" x14ac:dyDescent="0.3">
      <c r="A528" s="203" t="s">
        <v>4272</v>
      </c>
      <c r="B528" s="36"/>
      <c r="C528" s="36"/>
      <c r="D528" s="36">
        <v>0</v>
      </c>
      <c r="E528" s="36">
        <v>1</v>
      </c>
      <c r="F528" s="36" t="s">
        <v>476</v>
      </c>
      <c r="G528" s="36" t="s">
        <v>477</v>
      </c>
      <c r="H528" s="36"/>
      <c r="I528" s="36">
        <v>0</v>
      </c>
      <c r="J528" s="36" t="s">
        <v>846</v>
      </c>
      <c r="K528" s="36" t="s">
        <v>892</v>
      </c>
      <c r="L528" s="36">
        <v>300</v>
      </c>
      <c r="M528" s="36"/>
      <c r="N528" s="36" t="str">
        <f t="shared" ref="N528:N537" si="65">J528&amp;"("&amp;IF(K528="","",K528)&amp;IF(L528="","",", "&amp;L528)&amp;IF(M528="","",", "&amp;M528)&amp;")"</f>
        <v>Status(MeleeDamageDerate, 300)</v>
      </c>
      <c r="O528" s="36">
        <v>0</v>
      </c>
      <c r="P528" s="36">
        <v>0</v>
      </c>
      <c r="Q528" s="36"/>
      <c r="R528" s="32" t="b">
        <v>0</v>
      </c>
    </row>
    <row r="529" spans="1:18" x14ac:dyDescent="0.3">
      <c r="A529" s="203" t="s">
        <v>4273</v>
      </c>
      <c r="B529" s="36"/>
      <c r="C529" s="36"/>
      <c r="D529" s="36">
        <v>0</v>
      </c>
      <c r="E529" s="36">
        <v>1</v>
      </c>
      <c r="F529" s="36" t="s">
        <v>476</v>
      </c>
      <c r="G529" s="36" t="s">
        <v>477</v>
      </c>
      <c r="H529" s="36"/>
      <c r="I529" s="36">
        <v>0</v>
      </c>
      <c r="J529" s="36" t="s">
        <v>846</v>
      </c>
      <c r="K529" s="36" t="s">
        <v>892</v>
      </c>
      <c r="L529" s="36">
        <v>600</v>
      </c>
      <c r="M529" s="36"/>
      <c r="N529" s="36" t="str">
        <f t="shared" si="65"/>
        <v>Status(MeleeDamageDerate, 600)</v>
      </c>
      <c r="O529" s="36">
        <v>0</v>
      </c>
      <c r="P529" s="36">
        <v>0</v>
      </c>
      <c r="Q529" s="36"/>
      <c r="R529" s="32" t="b">
        <v>0</v>
      </c>
    </row>
    <row r="530" spans="1:18" x14ac:dyDescent="0.3">
      <c r="A530" s="203" t="s">
        <v>4274</v>
      </c>
      <c r="B530" s="36"/>
      <c r="C530" s="36"/>
      <c r="D530" s="36">
        <v>0</v>
      </c>
      <c r="E530" s="36">
        <v>1</v>
      </c>
      <c r="F530" s="36" t="s">
        <v>476</v>
      </c>
      <c r="G530" s="36" t="s">
        <v>477</v>
      </c>
      <c r="H530" s="36"/>
      <c r="I530" s="36">
        <v>0</v>
      </c>
      <c r="J530" s="36" t="s">
        <v>846</v>
      </c>
      <c r="K530" s="36" t="s">
        <v>892</v>
      </c>
      <c r="L530" s="36">
        <v>900</v>
      </c>
      <c r="M530" s="36"/>
      <c r="N530" s="36" t="str">
        <f t="shared" si="65"/>
        <v>Status(MeleeDamageDerate, 900)</v>
      </c>
      <c r="O530" s="36">
        <v>0</v>
      </c>
      <c r="P530" s="36">
        <v>0</v>
      </c>
      <c r="Q530" s="36"/>
      <c r="R530" s="32" t="b">
        <v>0</v>
      </c>
    </row>
    <row r="531" spans="1:18" x14ac:dyDescent="0.3">
      <c r="A531" s="203" t="s">
        <v>4275</v>
      </c>
      <c r="B531" s="36"/>
      <c r="C531" s="36"/>
      <c r="D531" s="36">
        <v>0</v>
      </c>
      <c r="E531" s="36">
        <v>1</v>
      </c>
      <c r="F531" s="36" t="s">
        <v>476</v>
      </c>
      <c r="G531" s="36" t="s">
        <v>477</v>
      </c>
      <c r="H531" s="36"/>
      <c r="I531" s="36">
        <v>0</v>
      </c>
      <c r="J531" s="36" t="s">
        <v>846</v>
      </c>
      <c r="K531" s="36" t="s">
        <v>892</v>
      </c>
      <c r="L531" s="36">
        <v>1200</v>
      </c>
      <c r="M531" s="36"/>
      <c r="N531" s="36" t="str">
        <f t="shared" si="65"/>
        <v>Status(MeleeDamageDerate, 1200)</v>
      </c>
      <c r="O531" s="36">
        <v>0</v>
      </c>
      <c r="P531" s="36">
        <v>0</v>
      </c>
      <c r="Q531" s="36"/>
      <c r="R531" s="32" t="b">
        <v>0</v>
      </c>
    </row>
    <row r="532" spans="1:18" x14ac:dyDescent="0.3">
      <c r="A532" s="203" t="s">
        <v>4276</v>
      </c>
      <c r="B532" s="36"/>
      <c r="C532" s="36"/>
      <c r="D532" s="36">
        <v>0</v>
      </c>
      <c r="E532" s="36">
        <v>1</v>
      </c>
      <c r="F532" s="36" t="s">
        <v>476</v>
      </c>
      <c r="G532" s="36" t="s">
        <v>477</v>
      </c>
      <c r="H532" s="36"/>
      <c r="I532" s="36">
        <v>0</v>
      </c>
      <c r="J532" s="36" t="s">
        <v>846</v>
      </c>
      <c r="K532" s="36" t="s">
        <v>892</v>
      </c>
      <c r="L532" s="36">
        <v>1500</v>
      </c>
      <c r="M532" s="36"/>
      <c r="N532" s="36" t="str">
        <f t="shared" si="65"/>
        <v>Status(MeleeDamageDerate, 1500)</v>
      </c>
      <c r="O532" s="36">
        <v>0</v>
      </c>
      <c r="P532" s="36">
        <v>0</v>
      </c>
      <c r="Q532" s="36"/>
      <c r="R532" s="32" t="b">
        <v>0</v>
      </c>
    </row>
    <row r="533" spans="1:18" x14ac:dyDescent="0.3">
      <c r="A533" s="196" t="s">
        <v>4277</v>
      </c>
      <c r="B533" s="36"/>
      <c r="C533" s="36"/>
      <c r="D533" s="36">
        <v>0</v>
      </c>
      <c r="E533" s="36">
        <v>1</v>
      </c>
      <c r="F533" s="33" t="s">
        <v>476</v>
      </c>
      <c r="G533" s="33" t="s">
        <v>477</v>
      </c>
      <c r="H533" s="33"/>
      <c r="I533" s="33">
        <v>0</v>
      </c>
      <c r="J533" s="33" t="s">
        <v>846</v>
      </c>
      <c r="K533" s="33" t="s">
        <v>947</v>
      </c>
      <c r="L533" s="33">
        <v>300</v>
      </c>
      <c r="M533" s="33"/>
      <c r="N533" s="33" t="str">
        <f t="shared" si="65"/>
        <v>Status(RangeDamageDerate, 300)</v>
      </c>
      <c r="O533" s="33">
        <v>0</v>
      </c>
      <c r="P533" s="33">
        <v>0</v>
      </c>
      <c r="Q533" s="33"/>
      <c r="R533" s="34" t="b">
        <v>0</v>
      </c>
    </row>
    <row r="534" spans="1:18" x14ac:dyDescent="0.3">
      <c r="A534" s="196" t="s">
        <v>4278</v>
      </c>
      <c r="B534" s="36"/>
      <c r="C534" s="36"/>
      <c r="D534" s="36">
        <v>0</v>
      </c>
      <c r="E534" s="36">
        <v>1</v>
      </c>
      <c r="F534" s="33" t="s">
        <v>476</v>
      </c>
      <c r="G534" s="33" t="s">
        <v>477</v>
      </c>
      <c r="H534" s="33"/>
      <c r="I534" s="33">
        <v>0</v>
      </c>
      <c r="J534" s="33" t="s">
        <v>846</v>
      </c>
      <c r="K534" s="33" t="s">
        <v>947</v>
      </c>
      <c r="L534" s="33">
        <v>600</v>
      </c>
      <c r="M534" s="33"/>
      <c r="N534" s="33" t="str">
        <f t="shared" si="65"/>
        <v>Status(RangeDamageDerate, 600)</v>
      </c>
      <c r="O534" s="33">
        <v>0</v>
      </c>
      <c r="P534" s="33">
        <v>0</v>
      </c>
      <c r="Q534" s="33"/>
      <c r="R534" s="34" t="b">
        <v>0</v>
      </c>
    </row>
    <row r="535" spans="1:18" x14ac:dyDescent="0.3">
      <c r="A535" s="196" t="s">
        <v>4279</v>
      </c>
      <c r="B535" s="36"/>
      <c r="C535" s="36"/>
      <c r="D535" s="36">
        <v>0</v>
      </c>
      <c r="E535" s="36">
        <v>1</v>
      </c>
      <c r="F535" s="33" t="s">
        <v>476</v>
      </c>
      <c r="G535" s="33" t="s">
        <v>477</v>
      </c>
      <c r="H535" s="33"/>
      <c r="I535" s="33">
        <v>0</v>
      </c>
      <c r="J535" s="33" t="s">
        <v>846</v>
      </c>
      <c r="K535" s="33" t="s">
        <v>947</v>
      </c>
      <c r="L535" s="33">
        <v>900</v>
      </c>
      <c r="M535" s="33"/>
      <c r="N535" s="33" t="str">
        <f t="shared" si="65"/>
        <v>Status(RangeDamageDerate, 900)</v>
      </c>
      <c r="O535" s="33">
        <v>0</v>
      </c>
      <c r="P535" s="33">
        <v>0</v>
      </c>
      <c r="Q535" s="33"/>
      <c r="R535" s="34" t="b">
        <v>0</v>
      </c>
    </row>
    <row r="536" spans="1:18" x14ac:dyDescent="0.3">
      <c r="A536" s="196" t="s">
        <v>4280</v>
      </c>
      <c r="B536" s="36"/>
      <c r="C536" s="36"/>
      <c r="D536" s="36">
        <v>0</v>
      </c>
      <c r="E536" s="36">
        <v>1</v>
      </c>
      <c r="F536" s="33" t="s">
        <v>476</v>
      </c>
      <c r="G536" s="33" t="s">
        <v>477</v>
      </c>
      <c r="H536" s="33"/>
      <c r="I536" s="33">
        <v>0</v>
      </c>
      <c r="J536" s="33" t="s">
        <v>846</v>
      </c>
      <c r="K536" s="33" t="s">
        <v>947</v>
      </c>
      <c r="L536" s="33">
        <v>1200</v>
      </c>
      <c r="M536" s="33"/>
      <c r="N536" s="33" t="str">
        <f t="shared" si="65"/>
        <v>Status(RangeDamageDerate, 1200)</v>
      </c>
      <c r="O536" s="33">
        <v>0</v>
      </c>
      <c r="P536" s="33">
        <v>0</v>
      </c>
      <c r="Q536" s="33"/>
      <c r="R536" s="34" t="b">
        <v>0</v>
      </c>
    </row>
    <row r="537" spans="1:18" x14ac:dyDescent="0.3">
      <c r="A537" s="196" t="s">
        <v>4281</v>
      </c>
      <c r="B537" s="36"/>
      <c r="C537" s="36"/>
      <c r="D537" s="36">
        <v>0</v>
      </c>
      <c r="E537" s="36">
        <v>1</v>
      </c>
      <c r="F537" s="33" t="s">
        <v>476</v>
      </c>
      <c r="G537" s="33" t="s">
        <v>477</v>
      </c>
      <c r="H537" s="33"/>
      <c r="I537" s="33">
        <v>0</v>
      </c>
      <c r="J537" s="33" t="s">
        <v>846</v>
      </c>
      <c r="K537" s="33" t="s">
        <v>947</v>
      </c>
      <c r="L537" s="33">
        <v>1500</v>
      </c>
      <c r="M537" s="33"/>
      <c r="N537" s="33" t="str">
        <f t="shared" si="65"/>
        <v>Status(RangeDamageDerate, 1500)</v>
      </c>
      <c r="O537" s="33">
        <v>0</v>
      </c>
      <c r="P537" s="33">
        <v>0</v>
      </c>
      <c r="Q537" s="33"/>
      <c r="R537" s="34" t="b">
        <v>0</v>
      </c>
    </row>
    <row r="538" spans="1:18" x14ac:dyDescent="0.3">
      <c r="A538" s="203" t="s">
        <v>4282</v>
      </c>
      <c r="B538" s="36"/>
      <c r="C538" s="36"/>
      <c r="D538" s="36">
        <v>0</v>
      </c>
      <c r="E538" s="36">
        <v>1</v>
      </c>
      <c r="F538" s="36" t="s">
        <v>476</v>
      </c>
      <c r="G538" s="36" t="s">
        <v>477</v>
      </c>
      <c r="H538" s="36"/>
      <c r="I538" s="36">
        <v>0</v>
      </c>
      <c r="J538" s="36" t="s">
        <v>846</v>
      </c>
      <c r="K538" s="36" t="s">
        <v>4283</v>
      </c>
      <c r="L538" s="36">
        <v>100</v>
      </c>
      <c r="M538" s="36"/>
      <c r="N538" s="36" t="s">
        <v>4284</v>
      </c>
      <c r="O538" s="36">
        <v>0</v>
      </c>
      <c r="P538" s="36">
        <v>0</v>
      </c>
      <c r="Q538" s="36"/>
      <c r="R538" s="37" t="b">
        <v>0</v>
      </c>
    </row>
    <row r="539" spans="1:18" x14ac:dyDescent="0.3">
      <c r="A539" s="203" t="s">
        <v>4285</v>
      </c>
      <c r="B539" s="36"/>
      <c r="C539" s="36"/>
      <c r="D539" s="36">
        <v>0</v>
      </c>
      <c r="E539" s="36">
        <v>1</v>
      </c>
      <c r="F539" s="36" t="s">
        <v>476</v>
      </c>
      <c r="G539" s="36" t="s">
        <v>477</v>
      </c>
      <c r="H539" s="36"/>
      <c r="I539" s="36">
        <v>0</v>
      </c>
      <c r="J539" s="36" t="s">
        <v>846</v>
      </c>
      <c r="K539" s="36" t="s">
        <v>4283</v>
      </c>
      <c r="L539" s="36">
        <v>150</v>
      </c>
      <c r="M539" s="36"/>
      <c r="N539" s="36" t="s">
        <v>4286</v>
      </c>
      <c r="O539" s="36">
        <v>0</v>
      </c>
      <c r="P539" s="36">
        <v>0</v>
      </c>
      <c r="Q539" s="36"/>
      <c r="R539" s="37" t="b">
        <v>0</v>
      </c>
    </row>
    <row r="540" spans="1:18" x14ac:dyDescent="0.3">
      <c r="A540" s="203" t="s">
        <v>4287</v>
      </c>
      <c r="B540" s="36"/>
      <c r="C540" s="36"/>
      <c r="D540" s="36">
        <v>0</v>
      </c>
      <c r="E540" s="36">
        <v>1</v>
      </c>
      <c r="F540" s="36" t="s">
        <v>476</v>
      </c>
      <c r="G540" s="36" t="s">
        <v>477</v>
      </c>
      <c r="H540" s="36"/>
      <c r="I540" s="36">
        <v>0</v>
      </c>
      <c r="J540" s="36" t="s">
        <v>846</v>
      </c>
      <c r="K540" s="36" t="s">
        <v>4283</v>
      </c>
      <c r="L540" s="36">
        <v>200</v>
      </c>
      <c r="M540" s="36"/>
      <c r="N540" s="36" t="s">
        <v>4288</v>
      </c>
      <c r="O540" s="36">
        <v>0</v>
      </c>
      <c r="P540" s="36">
        <v>0</v>
      </c>
      <c r="Q540" s="36"/>
      <c r="R540" s="37" t="b">
        <v>0</v>
      </c>
    </row>
    <row r="541" spans="1:18" x14ac:dyDescent="0.3">
      <c r="A541" s="203" t="s">
        <v>4289</v>
      </c>
      <c r="B541" s="36"/>
      <c r="C541" s="36"/>
      <c r="D541" s="36">
        <v>0</v>
      </c>
      <c r="E541" s="36">
        <v>1</v>
      </c>
      <c r="F541" s="36" t="s">
        <v>476</v>
      </c>
      <c r="G541" s="36" t="s">
        <v>477</v>
      </c>
      <c r="H541" s="36"/>
      <c r="I541" s="36">
        <v>0</v>
      </c>
      <c r="J541" s="36" t="s">
        <v>846</v>
      </c>
      <c r="K541" s="36" t="s">
        <v>4283</v>
      </c>
      <c r="L541" s="36">
        <v>250</v>
      </c>
      <c r="M541" s="36"/>
      <c r="N541" s="36" t="s">
        <v>4290</v>
      </c>
      <c r="O541" s="36">
        <v>0</v>
      </c>
      <c r="P541" s="36">
        <v>0</v>
      </c>
      <c r="Q541" s="36"/>
      <c r="R541" s="37" t="b">
        <v>0</v>
      </c>
    </row>
    <row r="542" spans="1:18" x14ac:dyDescent="0.3">
      <c r="A542" s="203" t="s">
        <v>4291</v>
      </c>
      <c r="B542" s="36"/>
      <c r="C542" s="36"/>
      <c r="D542" s="36">
        <v>0</v>
      </c>
      <c r="E542" s="36">
        <v>1</v>
      </c>
      <c r="F542" s="36" t="s">
        <v>476</v>
      </c>
      <c r="G542" s="36" t="s">
        <v>477</v>
      </c>
      <c r="H542" s="36"/>
      <c r="I542" s="36">
        <v>0</v>
      </c>
      <c r="J542" s="36" t="s">
        <v>846</v>
      </c>
      <c r="K542" s="36" t="s">
        <v>4283</v>
      </c>
      <c r="L542" s="36">
        <v>300</v>
      </c>
      <c r="M542" s="36"/>
      <c r="N542" s="36" t="s">
        <v>4292</v>
      </c>
      <c r="O542" s="36">
        <v>0</v>
      </c>
      <c r="P542" s="36">
        <v>0</v>
      </c>
      <c r="Q542" s="36"/>
      <c r="R542" s="37" t="b">
        <v>0</v>
      </c>
    </row>
    <row r="543" spans="1:18" x14ac:dyDescent="0.3">
      <c r="A543" s="196" t="s">
        <v>4293</v>
      </c>
      <c r="B543" s="36"/>
      <c r="C543" s="36"/>
      <c r="D543" s="36">
        <v>0</v>
      </c>
      <c r="E543" s="36">
        <v>1</v>
      </c>
      <c r="F543" s="33" t="s">
        <v>476</v>
      </c>
      <c r="G543" s="33" t="s">
        <v>477</v>
      </c>
      <c r="H543" s="33"/>
      <c r="I543" s="33">
        <v>0</v>
      </c>
      <c r="J543" s="33" t="s">
        <v>846</v>
      </c>
      <c r="K543" s="33" t="s">
        <v>4294</v>
      </c>
      <c r="L543" s="33">
        <v>100</v>
      </c>
      <c r="M543" s="33"/>
      <c r="N543" s="33" t="s">
        <v>4295</v>
      </c>
      <c r="O543" s="33">
        <v>0</v>
      </c>
      <c r="P543" s="33">
        <v>0</v>
      </c>
      <c r="Q543" s="33"/>
      <c r="R543" s="34" t="b">
        <v>0</v>
      </c>
    </row>
    <row r="544" spans="1:18" x14ac:dyDescent="0.3">
      <c r="A544" s="196" t="s">
        <v>4296</v>
      </c>
      <c r="B544" s="36"/>
      <c r="C544" s="36"/>
      <c r="D544" s="36">
        <v>0</v>
      </c>
      <c r="E544" s="36">
        <v>1</v>
      </c>
      <c r="F544" s="33" t="s">
        <v>476</v>
      </c>
      <c r="G544" s="33" t="s">
        <v>477</v>
      </c>
      <c r="H544" s="33"/>
      <c r="I544" s="33">
        <v>0</v>
      </c>
      <c r="J544" s="33" t="s">
        <v>846</v>
      </c>
      <c r="K544" s="33" t="s">
        <v>4294</v>
      </c>
      <c r="L544" s="33">
        <v>150</v>
      </c>
      <c r="M544" s="33"/>
      <c r="N544" s="33" t="s">
        <v>4297</v>
      </c>
      <c r="O544" s="33">
        <v>0</v>
      </c>
      <c r="P544" s="33">
        <v>0</v>
      </c>
      <c r="Q544" s="33"/>
      <c r="R544" s="34" t="b">
        <v>0</v>
      </c>
    </row>
    <row r="545" spans="1:18" x14ac:dyDescent="0.3">
      <c r="A545" s="196" t="s">
        <v>4298</v>
      </c>
      <c r="B545" s="36"/>
      <c r="C545" s="36"/>
      <c r="D545" s="36">
        <v>0</v>
      </c>
      <c r="E545" s="36">
        <v>1</v>
      </c>
      <c r="F545" s="33" t="s">
        <v>476</v>
      </c>
      <c r="G545" s="33" t="s">
        <v>477</v>
      </c>
      <c r="H545" s="33"/>
      <c r="I545" s="33">
        <v>0</v>
      </c>
      <c r="J545" s="33" t="s">
        <v>846</v>
      </c>
      <c r="K545" s="33" t="s">
        <v>4294</v>
      </c>
      <c r="L545" s="33">
        <v>200</v>
      </c>
      <c r="M545" s="33"/>
      <c r="N545" s="33" t="s">
        <v>4299</v>
      </c>
      <c r="O545" s="33">
        <v>0</v>
      </c>
      <c r="P545" s="33">
        <v>0</v>
      </c>
      <c r="Q545" s="33"/>
      <c r="R545" s="34" t="b">
        <v>0</v>
      </c>
    </row>
    <row r="546" spans="1:18" x14ac:dyDescent="0.3">
      <c r="A546" s="196" t="s">
        <v>4300</v>
      </c>
      <c r="B546" s="36"/>
      <c r="C546" s="36"/>
      <c r="D546" s="36">
        <v>0</v>
      </c>
      <c r="E546" s="36">
        <v>1</v>
      </c>
      <c r="F546" s="33" t="s">
        <v>476</v>
      </c>
      <c r="G546" s="33" t="s">
        <v>477</v>
      </c>
      <c r="H546" s="33"/>
      <c r="I546" s="33">
        <v>0</v>
      </c>
      <c r="J546" s="33" t="s">
        <v>846</v>
      </c>
      <c r="K546" s="33" t="s">
        <v>4294</v>
      </c>
      <c r="L546" s="33">
        <v>250</v>
      </c>
      <c r="M546" s="33"/>
      <c r="N546" s="33" t="s">
        <v>4301</v>
      </c>
      <c r="O546" s="33">
        <v>0</v>
      </c>
      <c r="P546" s="33">
        <v>0</v>
      </c>
      <c r="Q546" s="33"/>
      <c r="R546" s="34" t="b">
        <v>0</v>
      </c>
    </row>
    <row r="547" spans="1:18" x14ac:dyDescent="0.3">
      <c r="A547" s="196" t="s">
        <v>4302</v>
      </c>
      <c r="B547" s="36"/>
      <c r="C547" s="36"/>
      <c r="D547" s="36">
        <v>0</v>
      </c>
      <c r="E547" s="36">
        <v>1</v>
      </c>
      <c r="F547" s="33" t="s">
        <v>476</v>
      </c>
      <c r="G547" s="33" t="s">
        <v>477</v>
      </c>
      <c r="H547" s="33"/>
      <c r="I547" s="33">
        <v>0</v>
      </c>
      <c r="J547" s="33" t="s">
        <v>846</v>
      </c>
      <c r="K547" s="33" t="s">
        <v>4294</v>
      </c>
      <c r="L547" s="33">
        <v>300</v>
      </c>
      <c r="M547" s="33"/>
      <c r="N547" s="33" t="s">
        <v>4303</v>
      </c>
      <c r="O547" s="33">
        <v>0</v>
      </c>
      <c r="P547" s="33">
        <v>0</v>
      </c>
      <c r="Q547" s="33"/>
      <c r="R547" s="34" t="b">
        <v>0</v>
      </c>
    </row>
    <row r="548" spans="1:18" x14ac:dyDescent="0.3">
      <c r="A548" s="203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7"/>
    </row>
    <row r="549" spans="1:18" x14ac:dyDescent="0.3">
      <c r="A549" s="279" t="s">
        <v>4304</v>
      </c>
      <c r="B549" s="36"/>
      <c r="C549" s="36"/>
      <c r="D549" s="36">
        <v>0</v>
      </c>
      <c r="E549" s="36">
        <v>1</v>
      </c>
      <c r="F549" s="280" t="s">
        <v>476</v>
      </c>
      <c r="G549" s="280" t="s">
        <v>477</v>
      </c>
      <c r="H549" s="280"/>
      <c r="I549" s="280">
        <v>0</v>
      </c>
      <c r="J549" s="280" t="s">
        <v>2271</v>
      </c>
      <c r="K549" s="280" t="s">
        <v>869</v>
      </c>
      <c r="L549" s="280">
        <v>-180</v>
      </c>
      <c r="M549" s="280"/>
      <c r="N549" s="280" t="s">
        <v>4305</v>
      </c>
      <c r="O549" s="280">
        <v>0</v>
      </c>
      <c r="P549" s="280">
        <v>0</v>
      </c>
      <c r="Q549" s="280"/>
      <c r="R549" s="281" t="b">
        <v>0</v>
      </c>
    </row>
    <row r="550" spans="1:18" x14ac:dyDescent="0.3">
      <c r="A550" s="279" t="s">
        <v>4306</v>
      </c>
      <c r="B550" s="36"/>
      <c r="C550" s="36"/>
      <c r="D550" s="36">
        <v>0</v>
      </c>
      <c r="E550" s="36">
        <v>1</v>
      </c>
      <c r="F550" s="280" t="s">
        <v>476</v>
      </c>
      <c r="G550" s="280" t="s">
        <v>477</v>
      </c>
      <c r="H550" s="280"/>
      <c r="I550" s="280">
        <v>0</v>
      </c>
      <c r="J550" s="280" t="s">
        <v>2271</v>
      </c>
      <c r="K550" s="280" t="s">
        <v>869</v>
      </c>
      <c r="L550" s="280">
        <v>-240</v>
      </c>
      <c r="M550" s="280"/>
      <c r="N550" s="280" t="s">
        <v>4307</v>
      </c>
      <c r="O550" s="280">
        <v>0</v>
      </c>
      <c r="P550" s="280">
        <v>0</v>
      </c>
      <c r="Q550" s="280"/>
      <c r="R550" s="281" t="b">
        <v>0</v>
      </c>
    </row>
    <row r="551" spans="1:18" x14ac:dyDescent="0.3">
      <c r="A551" s="279" t="s">
        <v>4308</v>
      </c>
      <c r="B551" s="36"/>
      <c r="C551" s="36"/>
      <c r="D551" s="36">
        <v>0</v>
      </c>
      <c r="E551" s="36">
        <v>1</v>
      </c>
      <c r="F551" s="280" t="s">
        <v>476</v>
      </c>
      <c r="G551" s="280" t="s">
        <v>477</v>
      </c>
      <c r="H551" s="280"/>
      <c r="I551" s="280">
        <v>0</v>
      </c>
      <c r="J551" s="280" t="s">
        <v>2271</v>
      </c>
      <c r="K551" s="280" t="s">
        <v>869</v>
      </c>
      <c r="L551" s="280">
        <v>-300</v>
      </c>
      <c r="M551" s="280"/>
      <c r="N551" s="280" t="s">
        <v>4309</v>
      </c>
      <c r="O551" s="280">
        <v>0</v>
      </c>
      <c r="P551" s="280">
        <v>0</v>
      </c>
      <c r="Q551" s="280"/>
      <c r="R551" s="281" t="b">
        <v>0</v>
      </c>
    </row>
    <row r="552" spans="1:18" x14ac:dyDescent="0.3">
      <c r="A552" s="279" t="s">
        <v>4310</v>
      </c>
      <c r="B552" s="36"/>
      <c r="C552" s="36"/>
      <c r="D552" s="36">
        <v>0</v>
      </c>
      <c r="E552" s="36">
        <v>1</v>
      </c>
      <c r="F552" s="280" t="s">
        <v>476</v>
      </c>
      <c r="G552" s="280" t="s">
        <v>477</v>
      </c>
      <c r="H552" s="280"/>
      <c r="I552" s="280">
        <v>0</v>
      </c>
      <c r="J552" s="280" t="s">
        <v>2271</v>
      </c>
      <c r="K552" s="280" t="s">
        <v>869</v>
      </c>
      <c r="L552" s="280">
        <v>-360</v>
      </c>
      <c r="M552" s="280"/>
      <c r="N552" s="280" t="s">
        <v>4311</v>
      </c>
      <c r="O552" s="280">
        <v>0</v>
      </c>
      <c r="P552" s="280">
        <v>0</v>
      </c>
      <c r="Q552" s="280"/>
      <c r="R552" s="281" t="b">
        <v>0</v>
      </c>
    </row>
    <row r="553" spans="1:18" x14ac:dyDescent="0.3">
      <c r="A553" s="279" t="s">
        <v>4312</v>
      </c>
      <c r="B553" s="36"/>
      <c r="C553" s="36"/>
      <c r="D553" s="36">
        <v>0</v>
      </c>
      <c r="E553" s="36">
        <v>1</v>
      </c>
      <c r="F553" s="280" t="s">
        <v>476</v>
      </c>
      <c r="G553" s="280" t="s">
        <v>477</v>
      </c>
      <c r="H553" s="280"/>
      <c r="I553" s="280">
        <v>0</v>
      </c>
      <c r="J553" s="280" t="s">
        <v>2271</v>
      </c>
      <c r="K553" s="280" t="s">
        <v>869</v>
      </c>
      <c r="L553" s="280">
        <v>-420</v>
      </c>
      <c r="M553" s="280"/>
      <c r="N553" s="280" t="s">
        <v>4313</v>
      </c>
      <c r="O553" s="280">
        <v>0</v>
      </c>
      <c r="P553" s="280">
        <v>0</v>
      </c>
      <c r="Q553" s="280"/>
      <c r="R553" s="281" t="b">
        <v>0</v>
      </c>
    </row>
    <row r="554" spans="1:18" x14ac:dyDescent="0.3">
      <c r="A554" s="282" t="s">
        <v>4314</v>
      </c>
      <c r="B554" s="36"/>
      <c r="C554" s="36"/>
      <c r="D554" s="36">
        <v>0</v>
      </c>
      <c r="E554" s="36">
        <v>1</v>
      </c>
      <c r="F554" s="283" t="s">
        <v>476</v>
      </c>
      <c r="G554" s="283" t="s">
        <v>477</v>
      </c>
      <c r="H554" s="283"/>
      <c r="I554" s="283">
        <v>0</v>
      </c>
      <c r="J554" s="283" t="s">
        <v>2271</v>
      </c>
      <c r="K554" s="283" t="s">
        <v>897</v>
      </c>
      <c r="L554" s="283">
        <v>-300</v>
      </c>
      <c r="M554" s="283"/>
      <c r="N554" s="283" t="s">
        <v>4315</v>
      </c>
      <c r="O554" s="283">
        <v>0</v>
      </c>
      <c r="P554" s="283">
        <v>0</v>
      </c>
      <c r="Q554" s="283"/>
      <c r="R554" s="214" t="b">
        <v>0</v>
      </c>
    </row>
    <row r="555" spans="1:18" x14ac:dyDescent="0.3">
      <c r="A555" s="282" t="s">
        <v>4316</v>
      </c>
      <c r="B555" s="36"/>
      <c r="C555" s="36"/>
      <c r="D555" s="36">
        <v>0</v>
      </c>
      <c r="E555" s="36">
        <v>1</v>
      </c>
      <c r="F555" s="283" t="s">
        <v>476</v>
      </c>
      <c r="G555" s="283" t="s">
        <v>477</v>
      </c>
      <c r="H555" s="283"/>
      <c r="I555" s="283">
        <v>0</v>
      </c>
      <c r="J555" s="283" t="s">
        <v>2271</v>
      </c>
      <c r="K555" s="283" t="s">
        <v>897</v>
      </c>
      <c r="L555" s="283">
        <v>-350</v>
      </c>
      <c r="M555" s="283"/>
      <c r="N555" s="283" t="s">
        <v>4317</v>
      </c>
      <c r="O555" s="283">
        <v>0</v>
      </c>
      <c r="P555" s="283">
        <v>0</v>
      </c>
      <c r="Q555" s="283"/>
      <c r="R555" s="214" t="b">
        <v>0</v>
      </c>
    </row>
    <row r="556" spans="1:18" x14ac:dyDescent="0.3">
      <c r="A556" s="282" t="s">
        <v>4318</v>
      </c>
      <c r="B556" s="36"/>
      <c r="C556" s="36"/>
      <c r="D556" s="36">
        <v>0</v>
      </c>
      <c r="E556" s="36">
        <v>1</v>
      </c>
      <c r="F556" s="283" t="s">
        <v>476</v>
      </c>
      <c r="G556" s="283" t="s">
        <v>477</v>
      </c>
      <c r="H556" s="283"/>
      <c r="I556" s="283">
        <v>0</v>
      </c>
      <c r="J556" s="283" t="s">
        <v>2271</v>
      </c>
      <c r="K556" s="283" t="s">
        <v>897</v>
      </c>
      <c r="L556" s="283">
        <v>-400</v>
      </c>
      <c r="M556" s="283"/>
      <c r="N556" s="283" t="s">
        <v>4319</v>
      </c>
      <c r="O556" s="283">
        <v>0</v>
      </c>
      <c r="P556" s="283">
        <v>0</v>
      </c>
      <c r="Q556" s="283"/>
      <c r="R556" s="214" t="b">
        <v>0</v>
      </c>
    </row>
    <row r="557" spans="1:18" x14ac:dyDescent="0.3">
      <c r="A557" s="282" t="s">
        <v>4320</v>
      </c>
      <c r="B557" s="36"/>
      <c r="C557" s="36"/>
      <c r="D557" s="36">
        <v>0</v>
      </c>
      <c r="E557" s="36">
        <v>1</v>
      </c>
      <c r="F557" s="283" t="s">
        <v>476</v>
      </c>
      <c r="G557" s="283" t="s">
        <v>477</v>
      </c>
      <c r="H557" s="283"/>
      <c r="I557" s="283">
        <v>0</v>
      </c>
      <c r="J557" s="283" t="s">
        <v>2271</v>
      </c>
      <c r="K557" s="283" t="s">
        <v>897</v>
      </c>
      <c r="L557" s="283">
        <v>-450</v>
      </c>
      <c r="M557" s="283"/>
      <c r="N557" s="283" t="s">
        <v>4321</v>
      </c>
      <c r="O557" s="283">
        <v>0</v>
      </c>
      <c r="P557" s="283">
        <v>0</v>
      </c>
      <c r="Q557" s="283"/>
      <c r="R557" s="214" t="b">
        <v>0</v>
      </c>
    </row>
    <row r="558" spans="1:18" x14ac:dyDescent="0.3">
      <c r="A558" s="282" t="s">
        <v>4322</v>
      </c>
      <c r="B558" s="36"/>
      <c r="C558" s="36"/>
      <c r="D558" s="36">
        <v>0</v>
      </c>
      <c r="E558" s="36">
        <v>1</v>
      </c>
      <c r="F558" s="283" t="s">
        <v>476</v>
      </c>
      <c r="G558" s="283" t="s">
        <v>477</v>
      </c>
      <c r="H558" s="283"/>
      <c r="I558" s="283">
        <v>0</v>
      </c>
      <c r="J558" s="283" t="s">
        <v>2271</v>
      </c>
      <c r="K558" s="283" t="s">
        <v>897</v>
      </c>
      <c r="L558" s="283">
        <v>-500</v>
      </c>
      <c r="M558" s="283"/>
      <c r="N558" s="283" t="s">
        <v>4323</v>
      </c>
      <c r="O558" s="283">
        <v>0</v>
      </c>
      <c r="P558" s="283">
        <v>0</v>
      </c>
      <c r="Q558" s="283"/>
      <c r="R558" s="214" t="b">
        <v>0</v>
      </c>
    </row>
    <row r="559" spans="1:18" x14ac:dyDescent="0.3">
      <c r="A559" s="279" t="s">
        <v>4324</v>
      </c>
      <c r="B559" s="36"/>
      <c r="C559" s="36"/>
      <c r="D559" s="36">
        <v>0</v>
      </c>
      <c r="E559" s="36">
        <v>1</v>
      </c>
      <c r="F559" s="280" t="s">
        <v>476</v>
      </c>
      <c r="G559" s="280" t="s">
        <v>477</v>
      </c>
      <c r="H559" s="280"/>
      <c r="I559" s="280">
        <v>0</v>
      </c>
      <c r="J559" s="280" t="s">
        <v>846</v>
      </c>
      <c r="K559" s="280" t="s">
        <v>922</v>
      </c>
      <c r="L559" s="280">
        <v>-300</v>
      </c>
      <c r="M559" s="280"/>
      <c r="N559" s="280" t="s">
        <v>4325</v>
      </c>
      <c r="O559" s="280">
        <v>0</v>
      </c>
      <c r="P559" s="280">
        <v>0</v>
      </c>
      <c r="Q559" s="280"/>
      <c r="R559" s="281" t="b">
        <v>0</v>
      </c>
    </row>
    <row r="560" spans="1:18" x14ac:dyDescent="0.3">
      <c r="A560" s="279" t="s">
        <v>4326</v>
      </c>
      <c r="B560" s="36"/>
      <c r="C560" s="36"/>
      <c r="D560" s="36">
        <v>0</v>
      </c>
      <c r="E560" s="36">
        <v>1</v>
      </c>
      <c r="F560" s="280" t="s">
        <v>476</v>
      </c>
      <c r="G560" s="280" t="s">
        <v>477</v>
      </c>
      <c r="H560" s="280"/>
      <c r="I560" s="280">
        <v>0</v>
      </c>
      <c r="J560" s="280" t="s">
        <v>846</v>
      </c>
      <c r="K560" s="280" t="s">
        <v>922</v>
      </c>
      <c r="L560" s="280">
        <v>-350</v>
      </c>
      <c r="M560" s="280"/>
      <c r="N560" s="280" t="s">
        <v>4327</v>
      </c>
      <c r="O560" s="280">
        <v>0</v>
      </c>
      <c r="P560" s="280">
        <v>0</v>
      </c>
      <c r="Q560" s="280"/>
      <c r="R560" s="281" t="b">
        <v>0</v>
      </c>
    </row>
    <row r="561" spans="1:18" x14ac:dyDescent="0.3">
      <c r="A561" s="279" t="s">
        <v>4328</v>
      </c>
      <c r="B561" s="33"/>
      <c r="C561" s="33"/>
      <c r="D561" s="36">
        <v>0</v>
      </c>
      <c r="E561" s="36">
        <v>1</v>
      </c>
      <c r="F561" s="280" t="s">
        <v>476</v>
      </c>
      <c r="G561" s="280" t="s">
        <v>477</v>
      </c>
      <c r="H561" s="280"/>
      <c r="I561" s="280">
        <v>0</v>
      </c>
      <c r="J561" s="280" t="s">
        <v>846</v>
      </c>
      <c r="K561" s="280" t="s">
        <v>922</v>
      </c>
      <c r="L561" s="280">
        <v>-400</v>
      </c>
      <c r="M561" s="280"/>
      <c r="N561" s="280" t="s">
        <v>4329</v>
      </c>
      <c r="O561" s="280">
        <v>0</v>
      </c>
      <c r="P561" s="280">
        <v>0</v>
      </c>
      <c r="Q561" s="280"/>
      <c r="R561" s="281" t="b">
        <v>0</v>
      </c>
    </row>
    <row r="562" spans="1:18" x14ac:dyDescent="0.3">
      <c r="A562" s="279" t="s">
        <v>4330</v>
      </c>
      <c r="B562" s="33"/>
      <c r="C562" s="33"/>
      <c r="D562" s="36">
        <v>0</v>
      </c>
      <c r="E562" s="36">
        <v>1</v>
      </c>
      <c r="F562" s="280" t="s">
        <v>476</v>
      </c>
      <c r="G562" s="280" t="s">
        <v>477</v>
      </c>
      <c r="H562" s="280"/>
      <c r="I562" s="280">
        <v>0</v>
      </c>
      <c r="J562" s="280" t="s">
        <v>846</v>
      </c>
      <c r="K562" s="280" t="s">
        <v>922</v>
      </c>
      <c r="L562" s="280">
        <v>-450</v>
      </c>
      <c r="M562" s="280"/>
      <c r="N562" s="280" t="s">
        <v>4331</v>
      </c>
      <c r="O562" s="280">
        <v>0</v>
      </c>
      <c r="P562" s="280">
        <v>0</v>
      </c>
      <c r="Q562" s="280"/>
      <c r="R562" s="281" t="b">
        <v>0</v>
      </c>
    </row>
    <row r="563" spans="1:18" x14ac:dyDescent="0.3">
      <c r="A563" s="279" t="s">
        <v>4332</v>
      </c>
      <c r="B563" s="36"/>
      <c r="C563" s="36"/>
      <c r="D563" s="36">
        <v>0</v>
      </c>
      <c r="E563" s="36">
        <v>1</v>
      </c>
      <c r="F563" s="280" t="s">
        <v>476</v>
      </c>
      <c r="G563" s="280" t="s">
        <v>477</v>
      </c>
      <c r="H563" s="280"/>
      <c r="I563" s="280">
        <v>0</v>
      </c>
      <c r="J563" s="280" t="s">
        <v>846</v>
      </c>
      <c r="K563" s="280" t="s">
        <v>922</v>
      </c>
      <c r="L563" s="280">
        <v>-500</v>
      </c>
      <c r="M563" s="280"/>
      <c r="N563" s="280" t="s">
        <v>4333</v>
      </c>
      <c r="O563" s="280">
        <v>0</v>
      </c>
      <c r="P563" s="280">
        <v>0</v>
      </c>
      <c r="Q563" s="280"/>
      <c r="R563" s="281" t="b">
        <v>0</v>
      </c>
    </row>
    <row r="564" spans="1:18" x14ac:dyDescent="0.3">
      <c r="A564" s="279" t="s">
        <v>4334</v>
      </c>
      <c r="B564" s="36"/>
      <c r="C564" s="36"/>
      <c r="D564" s="36">
        <v>0</v>
      </c>
      <c r="E564" s="36">
        <v>1</v>
      </c>
      <c r="F564" s="280" t="s">
        <v>476</v>
      </c>
      <c r="G564" s="280" t="s">
        <v>477</v>
      </c>
      <c r="H564" s="280"/>
      <c r="I564" s="280">
        <v>0</v>
      </c>
      <c r="J564" s="280" t="s">
        <v>846</v>
      </c>
      <c r="K564" s="280" t="s">
        <v>922</v>
      </c>
      <c r="L564" s="280">
        <v>-550</v>
      </c>
      <c r="M564" s="280"/>
      <c r="N564" s="280" t="s">
        <v>4335</v>
      </c>
      <c r="O564" s="280">
        <v>0</v>
      </c>
      <c r="P564" s="280">
        <v>0</v>
      </c>
      <c r="Q564" s="280"/>
      <c r="R564" s="281" t="b">
        <v>0</v>
      </c>
    </row>
    <row r="565" spans="1:18" x14ac:dyDescent="0.3">
      <c r="A565" s="279" t="s">
        <v>4336</v>
      </c>
      <c r="B565" s="36"/>
      <c r="C565" s="36"/>
      <c r="D565" s="36">
        <v>0</v>
      </c>
      <c r="E565" s="36">
        <v>1</v>
      </c>
      <c r="F565" s="280" t="s">
        <v>476</v>
      </c>
      <c r="G565" s="280" t="s">
        <v>477</v>
      </c>
      <c r="H565" s="280"/>
      <c r="I565" s="280">
        <v>0</v>
      </c>
      <c r="J565" s="280" t="s">
        <v>846</v>
      </c>
      <c r="K565" s="280" t="s">
        <v>922</v>
      </c>
      <c r="L565" s="280">
        <v>-600</v>
      </c>
      <c r="M565" s="280"/>
      <c r="N565" s="280" t="s">
        <v>4337</v>
      </c>
      <c r="O565" s="280">
        <v>0</v>
      </c>
      <c r="P565" s="280">
        <v>0</v>
      </c>
      <c r="Q565" s="280"/>
      <c r="R565" s="281" t="b">
        <v>0</v>
      </c>
    </row>
    <row r="566" spans="1:18" x14ac:dyDescent="0.3">
      <c r="A566" s="279" t="s">
        <v>4338</v>
      </c>
      <c r="B566" s="36"/>
      <c r="C566" s="36"/>
      <c r="D566" s="36">
        <v>0</v>
      </c>
      <c r="E566" s="36">
        <v>1</v>
      </c>
      <c r="F566" s="280" t="s">
        <v>476</v>
      </c>
      <c r="G566" s="280" t="s">
        <v>477</v>
      </c>
      <c r="H566" s="280"/>
      <c r="I566" s="280">
        <v>0</v>
      </c>
      <c r="J566" s="280" t="s">
        <v>846</v>
      </c>
      <c r="K566" s="280" t="s">
        <v>922</v>
      </c>
      <c r="L566" s="280">
        <v>-650</v>
      </c>
      <c r="M566" s="280"/>
      <c r="N566" s="280" t="s">
        <v>4339</v>
      </c>
      <c r="O566" s="280">
        <v>0</v>
      </c>
      <c r="P566" s="280">
        <v>0</v>
      </c>
      <c r="Q566" s="280"/>
      <c r="R566" s="281" t="b">
        <v>0</v>
      </c>
    </row>
    <row r="567" spans="1:18" x14ac:dyDescent="0.3">
      <c r="A567" s="279" t="s">
        <v>4340</v>
      </c>
      <c r="B567" s="36"/>
      <c r="C567" s="36"/>
      <c r="D567" s="36">
        <v>0</v>
      </c>
      <c r="E567" s="36">
        <v>1</v>
      </c>
      <c r="F567" s="280" t="s">
        <v>476</v>
      </c>
      <c r="G567" s="280" t="s">
        <v>477</v>
      </c>
      <c r="H567" s="280"/>
      <c r="I567" s="280">
        <v>0</v>
      </c>
      <c r="J567" s="280" t="s">
        <v>846</v>
      </c>
      <c r="K567" s="280" t="s">
        <v>922</v>
      </c>
      <c r="L567" s="280">
        <v>-700</v>
      </c>
      <c r="M567" s="280"/>
      <c r="N567" s="280" t="s">
        <v>4341</v>
      </c>
      <c r="O567" s="280">
        <v>0</v>
      </c>
      <c r="P567" s="280">
        <v>0</v>
      </c>
      <c r="Q567" s="280"/>
      <c r="R567" s="281" t="b">
        <v>0</v>
      </c>
    </row>
    <row r="568" spans="1:18" x14ac:dyDescent="0.3">
      <c r="A568" s="279" t="s">
        <v>4342</v>
      </c>
      <c r="B568" s="36"/>
      <c r="C568" s="36"/>
      <c r="D568" s="36">
        <v>0</v>
      </c>
      <c r="E568" s="36">
        <v>1</v>
      </c>
      <c r="F568" s="280" t="s">
        <v>476</v>
      </c>
      <c r="G568" s="280" t="s">
        <v>477</v>
      </c>
      <c r="H568" s="280"/>
      <c r="I568" s="280">
        <v>0</v>
      </c>
      <c r="J568" s="280" t="s">
        <v>846</v>
      </c>
      <c r="K568" s="280" t="s">
        <v>922</v>
      </c>
      <c r="L568" s="280">
        <v>-750</v>
      </c>
      <c r="M568" s="280"/>
      <c r="N568" s="280" t="s">
        <v>4343</v>
      </c>
      <c r="O568" s="280">
        <v>0</v>
      </c>
      <c r="P568" s="280">
        <v>0</v>
      </c>
      <c r="Q568" s="280"/>
      <c r="R568" s="281" t="b">
        <v>0</v>
      </c>
    </row>
    <row r="569" spans="1:18" x14ac:dyDescent="0.3">
      <c r="A569" s="203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7"/>
    </row>
    <row r="570" spans="1:18" x14ac:dyDescent="0.3">
      <c r="A570" s="135" t="s">
        <v>4358</v>
      </c>
      <c r="B570" s="136"/>
      <c r="C570" s="136"/>
      <c r="D570" s="136">
        <v>0</v>
      </c>
      <c r="E570" s="136">
        <v>1</v>
      </c>
      <c r="F570" s="136" t="s">
        <v>476</v>
      </c>
      <c r="G570" s="136" t="s">
        <v>477</v>
      </c>
      <c r="H570" s="136"/>
      <c r="I570" s="136">
        <v>0</v>
      </c>
      <c r="J570" s="136" t="s">
        <v>835</v>
      </c>
      <c r="K570" s="136" t="s">
        <v>944</v>
      </c>
      <c r="L570" s="136">
        <v>20000</v>
      </c>
      <c r="M570" s="136"/>
      <c r="N570" s="136" t="str">
        <f t="shared" ref="N570:N578" si="66">J570&amp;"("&amp;IF(K570="","",K570)&amp;IF(L570="","",", "&amp;L570)&amp;IF(M570="","",", "&amp;M570)&amp;")"</f>
        <v>Shield(Defense, 20000)</v>
      </c>
      <c r="O570" s="136">
        <v>0</v>
      </c>
      <c r="P570" s="136">
        <v>0</v>
      </c>
      <c r="Q570" s="136"/>
      <c r="R570" s="137" t="b">
        <v>1</v>
      </c>
    </row>
    <row r="571" spans="1:18" x14ac:dyDescent="0.3">
      <c r="A571" s="135" t="s">
        <v>4359</v>
      </c>
      <c r="B571" s="136"/>
      <c r="C571" s="136"/>
      <c r="D571" s="136">
        <v>0</v>
      </c>
      <c r="E571" s="136">
        <v>1</v>
      </c>
      <c r="F571" s="136" t="s">
        <v>476</v>
      </c>
      <c r="G571" s="136" t="s">
        <v>477</v>
      </c>
      <c r="H571" s="136"/>
      <c r="I571" s="136">
        <v>0</v>
      </c>
      <c r="J571" s="136" t="s">
        <v>865</v>
      </c>
      <c r="K571" s="136" t="s">
        <v>1421</v>
      </c>
      <c r="L571" s="136">
        <v>1000</v>
      </c>
      <c r="M571" s="136"/>
      <c r="N571" s="136" t="str">
        <f t="shared" si="66"/>
        <v>Reflect(All, 1000)</v>
      </c>
      <c r="O571" s="136">
        <v>0</v>
      </c>
      <c r="P571" s="136">
        <v>0</v>
      </c>
      <c r="Q571" s="136"/>
      <c r="R571" s="137" t="b">
        <v>1</v>
      </c>
    </row>
    <row r="572" spans="1:18" x14ac:dyDescent="0.3">
      <c r="A572" s="135" t="s">
        <v>4360</v>
      </c>
      <c r="B572" s="136"/>
      <c r="C572" s="136"/>
      <c r="D572" s="136">
        <v>0</v>
      </c>
      <c r="E572" s="136">
        <v>1</v>
      </c>
      <c r="F572" s="136" t="s">
        <v>476</v>
      </c>
      <c r="G572" s="136" t="s">
        <v>477</v>
      </c>
      <c r="H572" s="136"/>
      <c r="I572" s="136">
        <v>0</v>
      </c>
      <c r="J572" s="136" t="s">
        <v>470</v>
      </c>
      <c r="K572" s="136" t="s">
        <v>867</v>
      </c>
      <c r="L572" s="136" t="s">
        <v>4361</v>
      </c>
      <c r="M572" s="136"/>
      <c r="N572" s="136" t="str">
        <f t="shared" si="66"/>
        <v>Effect(BeHit, SymbolRaid.gallius_2.skill01.effect01.shield.buff.buffeffect03.skilleffect)</v>
      </c>
      <c r="O572" s="136">
        <v>0</v>
      </c>
      <c r="P572" s="136">
        <v>0</v>
      </c>
      <c r="Q572" s="136"/>
      <c r="R572" s="137" t="b">
        <v>1</v>
      </c>
    </row>
    <row r="573" spans="1:18" x14ac:dyDescent="0.3">
      <c r="A573" s="135" t="s">
        <v>4348</v>
      </c>
      <c r="B573" s="136"/>
      <c r="C573" s="136"/>
      <c r="D573" s="136">
        <v>0</v>
      </c>
      <c r="E573" s="136">
        <v>1</v>
      </c>
      <c r="F573" s="136" t="s">
        <v>476</v>
      </c>
      <c r="G573" s="136" t="s">
        <v>477</v>
      </c>
      <c r="H573" s="136"/>
      <c r="I573" s="136">
        <v>0</v>
      </c>
      <c r="J573" s="136" t="s">
        <v>848</v>
      </c>
      <c r="K573" s="136" t="s">
        <v>849</v>
      </c>
      <c r="L573" s="136"/>
      <c r="M573" s="136"/>
      <c r="N573" s="136" t="str">
        <f t="shared" si="66"/>
        <v>CrowdControl(Stun)</v>
      </c>
      <c r="O573" s="136">
        <v>0</v>
      </c>
      <c r="P573" s="136">
        <v>0</v>
      </c>
      <c r="Q573" s="136"/>
      <c r="R573" s="137" t="b">
        <v>1</v>
      </c>
    </row>
    <row r="574" spans="1:18" x14ac:dyDescent="0.3">
      <c r="A574" s="135" t="s">
        <v>4362</v>
      </c>
      <c r="B574" s="136"/>
      <c r="C574" s="136"/>
      <c r="D574" s="136">
        <v>0</v>
      </c>
      <c r="E574" s="136">
        <v>1</v>
      </c>
      <c r="F574" s="136" t="s">
        <v>476</v>
      </c>
      <c r="G574" s="136" t="s">
        <v>477</v>
      </c>
      <c r="H574" s="136"/>
      <c r="I574" s="136">
        <v>0</v>
      </c>
      <c r="J574" s="136" t="s">
        <v>846</v>
      </c>
      <c r="K574" s="136" t="s">
        <v>1243</v>
      </c>
      <c r="L574" s="136">
        <v>40</v>
      </c>
      <c r="M574" s="136"/>
      <c r="N574" s="136" t="str">
        <f t="shared" si="66"/>
        <v>Status(DamageReduceHpOverRate, 40)</v>
      </c>
      <c r="O574" s="136">
        <v>0</v>
      </c>
      <c r="P574" s="136">
        <v>0</v>
      </c>
      <c r="Q574" s="136"/>
      <c r="R574" s="137" t="b">
        <v>1</v>
      </c>
    </row>
    <row r="575" spans="1:18" x14ac:dyDescent="0.3">
      <c r="A575" s="54" t="s">
        <v>4351</v>
      </c>
      <c r="B575" s="51"/>
      <c r="C575" s="51"/>
      <c r="D575" s="51">
        <v>0</v>
      </c>
      <c r="E575" s="51">
        <v>1</v>
      </c>
      <c r="F575" s="51" t="s">
        <v>476</v>
      </c>
      <c r="G575" s="51" t="s">
        <v>477</v>
      </c>
      <c r="H575" s="51"/>
      <c r="I575" s="51">
        <v>0</v>
      </c>
      <c r="J575" s="51" t="s">
        <v>846</v>
      </c>
      <c r="K575" s="51" t="s">
        <v>869</v>
      </c>
      <c r="L575" s="51">
        <v>-500</v>
      </c>
      <c r="M575" s="51"/>
      <c r="N575" s="51" t="str">
        <f t="shared" si="66"/>
        <v>Status(AddEnergyRate, -500)</v>
      </c>
      <c r="O575" s="49">
        <v>0</v>
      </c>
      <c r="P575" s="49">
        <v>0</v>
      </c>
      <c r="Q575" s="49"/>
      <c r="R575" s="50" t="b">
        <v>1</v>
      </c>
    </row>
    <row r="576" spans="1:18" x14ac:dyDescent="0.3">
      <c r="A576" s="54" t="s">
        <v>4353</v>
      </c>
      <c r="B576" s="51"/>
      <c r="C576" s="51"/>
      <c r="D576" s="51">
        <v>0</v>
      </c>
      <c r="E576" s="51">
        <v>1</v>
      </c>
      <c r="F576" s="51" t="s">
        <v>476</v>
      </c>
      <c r="G576" s="51" t="s">
        <v>477</v>
      </c>
      <c r="H576" s="51"/>
      <c r="I576" s="51">
        <v>0</v>
      </c>
      <c r="J576" s="51" t="s">
        <v>470</v>
      </c>
      <c r="K576" s="51" t="s">
        <v>867</v>
      </c>
      <c r="L576" s="51" t="s">
        <v>4363</v>
      </c>
      <c r="M576" s="51"/>
      <c r="N576" s="51" t="str">
        <f t="shared" si="66"/>
        <v>Effect(BeHit, SymbolRaid.cassandra_2.passive01.buff.buffeffect.skilleffect01)</v>
      </c>
      <c r="O576" s="49">
        <v>0</v>
      </c>
      <c r="P576" s="49">
        <v>0</v>
      </c>
      <c r="Q576" s="49"/>
      <c r="R576" s="50" t="b">
        <v>1</v>
      </c>
    </row>
    <row r="577" spans="1:18" x14ac:dyDescent="0.3">
      <c r="A577" s="54" t="s">
        <v>4355</v>
      </c>
      <c r="B577" s="51"/>
      <c r="C577" s="51"/>
      <c r="D577" s="51">
        <v>0</v>
      </c>
      <c r="E577" s="51">
        <v>1</v>
      </c>
      <c r="F577" s="51" t="s">
        <v>476</v>
      </c>
      <c r="G577" s="51" t="s">
        <v>477</v>
      </c>
      <c r="H577" s="51"/>
      <c r="I577" s="51">
        <v>0</v>
      </c>
      <c r="J577" s="51" t="s">
        <v>846</v>
      </c>
      <c r="K577" s="51" t="s">
        <v>852</v>
      </c>
      <c r="L577" s="51">
        <v>2</v>
      </c>
      <c r="M577" s="51"/>
      <c r="N577" s="51" t="str">
        <f t="shared" si="66"/>
        <v>Status(AttackRatio, 2)</v>
      </c>
      <c r="O577" s="49">
        <v>0</v>
      </c>
      <c r="P577" s="49">
        <v>0</v>
      </c>
      <c r="Q577" s="49"/>
      <c r="R577" s="50" t="b">
        <v>1</v>
      </c>
    </row>
    <row r="578" spans="1:18" x14ac:dyDescent="0.3">
      <c r="A578" s="54" t="s">
        <v>4357</v>
      </c>
      <c r="B578" s="51"/>
      <c r="C578" s="51"/>
      <c r="D578" s="51">
        <v>0</v>
      </c>
      <c r="E578" s="51">
        <v>1</v>
      </c>
      <c r="F578" s="51" t="s">
        <v>476</v>
      </c>
      <c r="G578" s="51" t="s">
        <v>477</v>
      </c>
      <c r="H578" s="51"/>
      <c r="I578" s="51">
        <v>0</v>
      </c>
      <c r="J578" s="51" t="s">
        <v>871</v>
      </c>
      <c r="K578" s="51"/>
      <c r="L578" s="51"/>
      <c r="M578" s="51"/>
      <c r="N578" s="51" t="str">
        <f t="shared" si="66"/>
        <v>None()</v>
      </c>
      <c r="O578" s="49">
        <v>0</v>
      </c>
      <c r="P578" s="49">
        <v>0</v>
      </c>
      <c r="Q578" s="49"/>
      <c r="R578" s="50" t="b">
        <v>1</v>
      </c>
    </row>
    <row r="579" spans="1:18" x14ac:dyDescent="0.3">
      <c r="A579" s="203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7"/>
    </row>
    <row r="580" spans="1:18" x14ac:dyDescent="0.3">
      <c r="A580" s="203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7"/>
    </row>
    <row r="581" spans="1:18" x14ac:dyDescent="0.3">
      <c r="A581" s="196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4"/>
    </row>
    <row r="582" spans="1:18" x14ac:dyDescent="0.3">
      <c r="A582" s="196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4"/>
    </row>
    <row r="583" spans="1:18" x14ac:dyDescent="0.3">
      <c r="A583" s="203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7"/>
    </row>
    <row r="584" spans="1:18" x14ac:dyDescent="0.3">
      <c r="A584" s="19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9"/>
    </row>
    <row r="585" spans="1:18" x14ac:dyDescent="0.3">
      <c r="A585" s="19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9"/>
    </row>
    <row r="586" spans="1:18" x14ac:dyDescent="0.3">
      <c r="A586" s="19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9"/>
    </row>
  </sheetData>
  <phoneticPr fontId="2" type="noConversion"/>
  <conditionalFormatting sqref="A1:A507 A569:A1048576">
    <cfRule type="duplicateValues" dxfId="17" priority="279"/>
  </conditionalFormatting>
  <conditionalFormatting sqref="A508:A568">
    <cfRule type="duplicateValues" dxfId="16" priority="6"/>
  </conditionalFormatting>
  <conditionalFormatting sqref="A1:R586">
    <cfRule type="containsBlanks" dxfId="15" priority="2">
      <formula>LEN(TRIM(A1))=0</formula>
    </cfRule>
    <cfRule type="cellIs" dxfId="14" priority="3" operator="equal">
      <formula>"Single"</formula>
    </cfRule>
    <cfRule type="cellIs" dxfId="13" priority="4" operator="equal">
      <formula>FALSE</formula>
    </cfRule>
    <cfRule type="cellIs" dxfId="12" priority="5" operator="equal">
      <formula>0</formula>
    </cfRule>
  </conditionalFormatting>
  <conditionalFormatting sqref="E1:E1048576">
    <cfRule type="cellIs" dxfId="11" priority="1" operator="equal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33"/>
  <sheetViews>
    <sheetView zoomScale="85" zoomScaleNormal="85" workbookViewId="0">
      <pane xSplit="1" ySplit="4" topLeftCell="B95" activePane="bottomRight" state="frozen"/>
      <selection pane="topRight" activeCell="B1" sqref="B1"/>
      <selection pane="bottomLeft" activeCell="A5" sqref="A5"/>
      <selection pane="bottomRight" activeCell="C108" sqref="C108"/>
    </sheetView>
  </sheetViews>
  <sheetFormatPr defaultRowHeight="16.5" x14ac:dyDescent="0.3"/>
  <cols>
    <col min="1" max="1" width="50.875" bestFit="1" customWidth="1"/>
    <col min="2" max="2" width="14.25" bestFit="1" customWidth="1"/>
    <col min="3" max="3" width="32.5" customWidth="1"/>
    <col min="4" max="6" width="9" bestFit="1" customWidth="1"/>
    <col min="7" max="7" width="63.625" bestFit="1" customWidth="1"/>
    <col min="8" max="8" width="10.375" bestFit="1" customWidth="1"/>
    <col min="9" max="9" width="15.25" customWidth="1"/>
    <col min="10" max="10" width="16.375" bestFit="1" customWidth="1"/>
    <col min="11" max="11" width="16.375" customWidth="1"/>
    <col min="12" max="12" width="50.75" customWidth="1"/>
    <col min="13" max="13" width="29.125" bestFit="1" customWidth="1"/>
    <col min="14" max="14" width="30.375" customWidth="1"/>
    <col min="15" max="15" width="28.875" bestFit="1" customWidth="1"/>
    <col min="16" max="16" width="33.875" style="63" bestFit="1" customWidth="1"/>
    <col min="17" max="17" width="18.125" bestFit="1" customWidth="1"/>
    <col min="18" max="18" width="9.375" bestFit="1" customWidth="1"/>
  </cols>
  <sheetData>
    <row r="1" spans="1:18" ht="27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3364</v>
      </c>
      <c r="N1" s="5" t="s">
        <v>12</v>
      </c>
      <c r="O1" s="5" t="s">
        <v>13</v>
      </c>
      <c r="P1" s="5" t="s">
        <v>14</v>
      </c>
      <c r="Q1" s="13" t="s">
        <v>15</v>
      </c>
      <c r="R1" s="5" t="s">
        <v>16</v>
      </c>
    </row>
    <row r="2" spans="1:18" x14ac:dyDescent="0.3">
      <c r="A2" s="5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 t="s">
        <v>23</v>
      </c>
      <c r="H2" s="4" t="s">
        <v>24</v>
      </c>
      <c r="I2" s="4" t="s">
        <v>25</v>
      </c>
      <c r="J2" s="5" t="s">
        <v>26</v>
      </c>
      <c r="K2" s="5" t="s">
        <v>27</v>
      </c>
      <c r="L2" s="5" t="s">
        <v>28</v>
      </c>
      <c r="M2" s="5" t="s">
        <v>909</v>
      </c>
      <c r="N2" s="5" t="s">
        <v>29</v>
      </c>
      <c r="O2" s="5" t="s">
        <v>30</v>
      </c>
      <c r="P2" s="5" t="s">
        <v>31</v>
      </c>
      <c r="Q2" s="13" t="s">
        <v>32</v>
      </c>
      <c r="R2" s="5" t="s">
        <v>33</v>
      </c>
    </row>
    <row r="3" spans="1:18" x14ac:dyDescent="0.3">
      <c r="A3" s="5" t="s">
        <v>34</v>
      </c>
      <c r="B3" s="1" t="s">
        <v>35</v>
      </c>
      <c r="C3" s="1" t="s">
        <v>36</v>
      </c>
      <c r="D3" s="1" t="s">
        <v>37</v>
      </c>
      <c r="E3" s="2" t="s">
        <v>37</v>
      </c>
      <c r="F3" s="2" t="s">
        <v>37</v>
      </c>
      <c r="G3" s="3" t="s">
        <v>38</v>
      </c>
      <c r="H3" s="4" t="s">
        <v>39</v>
      </c>
      <c r="I3" s="4" t="s">
        <v>40</v>
      </c>
      <c r="J3" s="5" t="s">
        <v>40</v>
      </c>
      <c r="K3" s="5" t="s">
        <v>40</v>
      </c>
      <c r="L3" s="5" t="s">
        <v>41</v>
      </c>
      <c r="M3" s="5" t="s">
        <v>909</v>
      </c>
      <c r="N3" s="5" t="s">
        <v>36</v>
      </c>
      <c r="O3" s="5" t="s">
        <v>36</v>
      </c>
      <c r="P3" s="5" t="s">
        <v>36</v>
      </c>
      <c r="Q3" s="13" t="s">
        <v>40</v>
      </c>
      <c r="R3" s="5" t="s">
        <v>40</v>
      </c>
    </row>
    <row r="4" spans="1:18" x14ac:dyDescent="0.3">
      <c r="A4" s="5" t="s">
        <v>42</v>
      </c>
      <c r="B4" s="1" t="s">
        <v>42</v>
      </c>
      <c r="C4" s="1" t="s">
        <v>42</v>
      </c>
      <c r="D4" s="1" t="s">
        <v>42</v>
      </c>
      <c r="E4" s="2" t="s">
        <v>42</v>
      </c>
      <c r="F4" s="2" t="s">
        <v>42</v>
      </c>
      <c r="G4" s="3" t="s">
        <v>42</v>
      </c>
      <c r="H4" s="4" t="s">
        <v>42</v>
      </c>
      <c r="I4" s="4" t="s">
        <v>42</v>
      </c>
      <c r="J4" s="5" t="s">
        <v>42</v>
      </c>
      <c r="K4" s="5" t="s">
        <v>42</v>
      </c>
      <c r="L4" s="5" t="s">
        <v>43</v>
      </c>
      <c r="M4" s="5" t="s">
        <v>909</v>
      </c>
      <c r="N4" s="5" t="s">
        <v>43</v>
      </c>
      <c r="O4" s="5" t="s">
        <v>43</v>
      </c>
      <c r="P4" s="5" t="s">
        <v>43</v>
      </c>
      <c r="Q4" s="13" t="s">
        <v>43</v>
      </c>
      <c r="R4" s="5" t="s">
        <v>42</v>
      </c>
    </row>
    <row r="5" spans="1:18" x14ac:dyDescent="0.3">
      <c r="A5" s="9"/>
      <c r="B5" s="8"/>
      <c r="C5" s="8"/>
      <c r="D5" s="7"/>
      <c r="E5" s="7"/>
      <c r="F5" s="7"/>
      <c r="G5" s="174"/>
      <c r="H5" s="7"/>
      <c r="I5" s="14"/>
      <c r="J5" s="14"/>
      <c r="K5" s="85"/>
      <c r="L5" s="7"/>
      <c r="M5" s="7"/>
      <c r="N5" s="7"/>
      <c r="O5" s="7"/>
      <c r="P5" s="7"/>
      <c r="Q5" s="15"/>
      <c r="R5" s="14"/>
    </row>
    <row r="6" spans="1:18" ht="82.5" x14ac:dyDescent="0.3">
      <c r="A6" s="233" t="s">
        <v>2422</v>
      </c>
      <c r="B6" s="233"/>
      <c r="C6" s="233"/>
      <c r="D6" s="233">
        <v>0</v>
      </c>
      <c r="E6" s="233">
        <v>0</v>
      </c>
      <c r="F6" s="233">
        <v>0</v>
      </c>
      <c r="G6" s="237" t="s">
        <v>2423</v>
      </c>
      <c r="H6" s="233"/>
      <c r="I6" s="233" t="b">
        <v>1</v>
      </c>
      <c r="J6" s="233" t="b">
        <v>0</v>
      </c>
      <c r="K6" s="233" t="b">
        <v>1</v>
      </c>
      <c r="L6" s="233" t="s">
        <v>2288</v>
      </c>
      <c r="M6" s="233" t="s">
        <v>3362</v>
      </c>
      <c r="N6" s="233" t="str">
        <f>_xlfn.IFNA(VLOOKUP($M6,[1]Buff.CM!$A:$O,13,FALSE),"")</f>
        <v>icon_battle_serapulsar_integrity</v>
      </c>
      <c r="O6" s="233" t="str">
        <f>_xlfn.IFNA(VLOOKUP($M6,[1]Buff.CM!$A:$O,14,FALSE),"")</f>
        <v>info.serapulsar.buff.intergrity</v>
      </c>
      <c r="P6" s="233" t="str">
        <f>_xlfn.IFNA(VLOOKUP($M6,[1]Buff.CM!$A:$O,15,FALSE),"")</f>
        <v>Desc.info.serapulsar.buff.intergrity</v>
      </c>
      <c r="Q6" s="233" t="b">
        <v>0</v>
      </c>
      <c r="R6" s="233" t="b">
        <v>0</v>
      </c>
    </row>
    <row r="7" spans="1:18" ht="82.5" x14ac:dyDescent="0.3">
      <c r="A7" s="233" t="s">
        <v>2424</v>
      </c>
      <c r="B7" s="233"/>
      <c r="C7" s="233"/>
      <c r="D7" s="233">
        <v>0</v>
      </c>
      <c r="E7" s="233">
        <v>0</v>
      </c>
      <c r="F7" s="233">
        <v>0</v>
      </c>
      <c r="G7" s="237" t="s">
        <v>2425</v>
      </c>
      <c r="H7" s="233"/>
      <c r="I7" s="233" t="b">
        <v>1</v>
      </c>
      <c r="J7" s="233" t="b">
        <v>0</v>
      </c>
      <c r="K7" s="233" t="b">
        <v>1</v>
      </c>
      <c r="L7" s="233" t="s">
        <v>2288</v>
      </c>
      <c r="M7" s="233" t="s">
        <v>3362</v>
      </c>
      <c r="N7" s="233" t="str">
        <f>_xlfn.IFNA(VLOOKUP($M7,[1]Buff.CM!$A:$O,13,FALSE),"")</f>
        <v>icon_battle_serapulsar_integrity</v>
      </c>
      <c r="O7" s="233" t="str">
        <f>_xlfn.IFNA(VLOOKUP($M7,[1]Buff.CM!$A:$O,14,FALSE),"")</f>
        <v>info.serapulsar.buff.intergrity</v>
      </c>
      <c r="P7" s="233" t="str">
        <f>_xlfn.IFNA(VLOOKUP($M7,[1]Buff.CM!$A:$O,15,FALSE),"")</f>
        <v>Desc.info.serapulsar.buff.intergrity</v>
      </c>
      <c r="Q7" s="233" t="b">
        <v>0</v>
      </c>
      <c r="R7" s="233" t="b">
        <v>0</v>
      </c>
    </row>
    <row r="8" spans="1:18" ht="82.5" x14ac:dyDescent="0.3">
      <c r="A8" s="233" t="s">
        <v>2426</v>
      </c>
      <c r="B8" s="233"/>
      <c r="C8" s="233"/>
      <c r="D8" s="233">
        <v>0</v>
      </c>
      <c r="E8" s="233">
        <v>0</v>
      </c>
      <c r="F8" s="233">
        <v>0</v>
      </c>
      <c r="G8" s="237" t="s">
        <v>2427</v>
      </c>
      <c r="H8" s="233"/>
      <c r="I8" s="233" t="b">
        <v>1</v>
      </c>
      <c r="J8" s="233" t="b">
        <v>0</v>
      </c>
      <c r="K8" s="233" t="b">
        <v>1</v>
      </c>
      <c r="L8" s="233" t="s">
        <v>2288</v>
      </c>
      <c r="M8" s="233" t="s">
        <v>3362</v>
      </c>
      <c r="N8" s="233" t="str">
        <f>_xlfn.IFNA(VLOOKUP($M8,[1]Buff.CM!$A:$O,13,FALSE),"")</f>
        <v>icon_battle_serapulsar_integrity</v>
      </c>
      <c r="O8" s="233" t="str">
        <f>_xlfn.IFNA(VLOOKUP($M8,[1]Buff.CM!$A:$O,14,FALSE),"")</f>
        <v>info.serapulsar.buff.intergrity</v>
      </c>
      <c r="P8" s="233" t="str">
        <f>_xlfn.IFNA(VLOOKUP($M8,[1]Buff.CM!$A:$O,15,FALSE),"")</f>
        <v>Desc.info.serapulsar.buff.intergrity</v>
      </c>
      <c r="Q8" s="233" t="b">
        <v>0</v>
      </c>
      <c r="R8" s="233" t="b">
        <v>0</v>
      </c>
    </row>
    <row r="9" spans="1:18" ht="82.5" x14ac:dyDescent="0.3">
      <c r="A9" s="233" t="s">
        <v>2428</v>
      </c>
      <c r="B9" s="233"/>
      <c r="C9" s="233"/>
      <c r="D9" s="233">
        <v>0</v>
      </c>
      <c r="E9" s="233">
        <v>0</v>
      </c>
      <c r="F9" s="233">
        <v>0</v>
      </c>
      <c r="G9" s="237" t="s">
        <v>2429</v>
      </c>
      <c r="H9" s="233"/>
      <c r="I9" s="233" t="b">
        <v>1</v>
      </c>
      <c r="J9" s="233" t="b">
        <v>0</v>
      </c>
      <c r="K9" s="233" t="b">
        <v>1</v>
      </c>
      <c r="L9" s="233" t="s">
        <v>2288</v>
      </c>
      <c r="M9" s="233" t="s">
        <v>3362</v>
      </c>
      <c r="N9" s="233" t="str">
        <f>_xlfn.IFNA(VLOOKUP($M9,[1]Buff.CM!$A:$O,13,FALSE),"")</f>
        <v>icon_battle_serapulsar_integrity</v>
      </c>
      <c r="O9" s="233" t="str">
        <f>_xlfn.IFNA(VLOOKUP($M9,[1]Buff.CM!$A:$O,14,FALSE),"")</f>
        <v>info.serapulsar.buff.intergrity</v>
      </c>
      <c r="P9" s="233" t="str">
        <f>_xlfn.IFNA(VLOOKUP($M9,[1]Buff.CM!$A:$O,15,FALSE),"")</f>
        <v>Desc.info.serapulsar.buff.intergrity</v>
      </c>
      <c r="Q9" s="233" t="b">
        <v>0</v>
      </c>
      <c r="R9" s="233" t="b">
        <v>0</v>
      </c>
    </row>
    <row r="10" spans="1:18" ht="82.5" x14ac:dyDescent="0.3">
      <c r="A10" s="232" t="s">
        <v>2430</v>
      </c>
      <c r="B10" s="232"/>
      <c r="C10" s="232"/>
      <c r="D10" s="232">
        <v>0</v>
      </c>
      <c r="E10" s="232">
        <v>0</v>
      </c>
      <c r="F10" s="232">
        <v>0</v>
      </c>
      <c r="G10" s="238" t="s">
        <v>2431</v>
      </c>
      <c r="H10" s="232"/>
      <c r="I10" s="233" t="b">
        <v>1</v>
      </c>
      <c r="J10" s="232" t="b">
        <v>0</v>
      </c>
      <c r="K10" s="232" t="b">
        <v>1</v>
      </c>
      <c r="L10" s="232" t="s">
        <v>2288</v>
      </c>
      <c r="M10" s="232" t="s">
        <v>3362</v>
      </c>
      <c r="N10" s="232" t="str">
        <f>_xlfn.IFNA(VLOOKUP($M10,[1]Buff.CM!$A:$O,13,FALSE),"")</f>
        <v>icon_battle_serapulsar_integrity</v>
      </c>
      <c r="O10" s="232" t="str">
        <f>_xlfn.IFNA(VLOOKUP($M10,[1]Buff.CM!$A:$O,14,FALSE),"")</f>
        <v>info.serapulsar.buff.intergrity</v>
      </c>
      <c r="P10" s="232" t="str">
        <f>_xlfn.IFNA(VLOOKUP($M10,[1]Buff.CM!$A:$O,15,FALSE),"")</f>
        <v>Desc.info.serapulsar.buff.intergrity</v>
      </c>
      <c r="Q10" s="232" t="b">
        <v>0</v>
      </c>
      <c r="R10" s="232" t="b">
        <v>0</v>
      </c>
    </row>
    <row r="11" spans="1:18" ht="82.5" x14ac:dyDescent="0.3">
      <c r="A11" s="232" t="s">
        <v>2432</v>
      </c>
      <c r="B11" s="232"/>
      <c r="C11" s="232"/>
      <c r="D11" s="232">
        <v>0</v>
      </c>
      <c r="E11" s="232">
        <v>0</v>
      </c>
      <c r="F11" s="232">
        <v>0</v>
      </c>
      <c r="G11" s="238" t="s">
        <v>2433</v>
      </c>
      <c r="H11" s="232"/>
      <c r="I11" s="233" t="b">
        <v>1</v>
      </c>
      <c r="J11" s="232" t="b">
        <v>0</v>
      </c>
      <c r="K11" s="232" t="b">
        <v>1</v>
      </c>
      <c r="L11" s="232" t="s">
        <v>2288</v>
      </c>
      <c r="M11" s="232" t="s">
        <v>3362</v>
      </c>
      <c r="N11" s="232" t="str">
        <f>_xlfn.IFNA(VLOOKUP($M11,[1]Buff.CM!$A:$O,13,FALSE),"")</f>
        <v>icon_battle_serapulsar_integrity</v>
      </c>
      <c r="O11" s="232" t="str">
        <f>_xlfn.IFNA(VLOOKUP($M11,[1]Buff.CM!$A:$O,14,FALSE),"")</f>
        <v>info.serapulsar.buff.intergrity</v>
      </c>
      <c r="P11" s="232" t="str">
        <f>_xlfn.IFNA(VLOOKUP($M11,[1]Buff.CM!$A:$O,15,FALSE),"")</f>
        <v>Desc.info.serapulsar.buff.intergrity</v>
      </c>
      <c r="Q11" s="232" t="b">
        <v>0</v>
      </c>
      <c r="R11" s="232" t="b">
        <v>0</v>
      </c>
    </row>
    <row r="12" spans="1:18" ht="82.5" x14ac:dyDescent="0.3">
      <c r="A12" s="232" t="s">
        <v>2434</v>
      </c>
      <c r="B12" s="232"/>
      <c r="C12" s="232"/>
      <c r="D12" s="232">
        <v>0</v>
      </c>
      <c r="E12" s="232">
        <v>0</v>
      </c>
      <c r="F12" s="232">
        <v>0</v>
      </c>
      <c r="G12" s="238" t="s">
        <v>2435</v>
      </c>
      <c r="H12" s="232"/>
      <c r="I12" s="233" t="b">
        <v>1</v>
      </c>
      <c r="J12" s="232" t="b">
        <v>0</v>
      </c>
      <c r="K12" s="232" t="b">
        <v>1</v>
      </c>
      <c r="L12" s="232" t="s">
        <v>2288</v>
      </c>
      <c r="M12" s="232" t="s">
        <v>3362</v>
      </c>
      <c r="N12" s="232" t="str">
        <f>_xlfn.IFNA(VLOOKUP($M12,[1]Buff.CM!$A:$O,13,FALSE),"")</f>
        <v>icon_battle_serapulsar_integrity</v>
      </c>
      <c r="O12" s="232" t="str">
        <f>_xlfn.IFNA(VLOOKUP($M12,[1]Buff.CM!$A:$O,14,FALSE),"")</f>
        <v>info.serapulsar.buff.intergrity</v>
      </c>
      <c r="P12" s="232" t="str">
        <f>_xlfn.IFNA(VLOOKUP($M12,[1]Buff.CM!$A:$O,15,FALSE),"")</f>
        <v>Desc.info.serapulsar.buff.intergrity</v>
      </c>
      <c r="Q12" s="232" t="b">
        <v>0</v>
      </c>
      <c r="R12" s="232" t="b">
        <v>0</v>
      </c>
    </row>
    <row r="13" spans="1:18" x14ac:dyDescent="0.3">
      <c r="A13" s="234" t="s">
        <v>2436</v>
      </c>
      <c r="B13" s="234"/>
      <c r="C13" s="234"/>
      <c r="D13" s="234">
        <v>0</v>
      </c>
      <c r="E13" s="234">
        <v>0</v>
      </c>
      <c r="F13" s="234">
        <v>0</v>
      </c>
      <c r="G13" s="234" t="s">
        <v>2356</v>
      </c>
      <c r="H13" s="234"/>
      <c r="I13" s="234" t="b">
        <v>1</v>
      </c>
      <c r="J13" s="234" t="b">
        <v>0</v>
      </c>
      <c r="K13" s="234" t="b">
        <v>1</v>
      </c>
      <c r="L13" s="234"/>
      <c r="M13" s="234"/>
      <c r="N13" s="234" t="str">
        <f>_xlfn.IFNA(VLOOKUP($M13,[1]Buff.CM!$A:$O,13,FALSE),"")</f>
        <v/>
      </c>
      <c r="O13" s="234" t="str">
        <f>_xlfn.IFNA(VLOOKUP($M13,[1]Buff.CM!$A:$O,14,FALSE),"")</f>
        <v/>
      </c>
      <c r="P13" s="234" t="str">
        <f>_xlfn.IFNA(VLOOKUP($M13,[1]Buff.CM!$A:$O,15,FALSE),"")</f>
        <v/>
      </c>
      <c r="Q13" s="234" t="b">
        <v>0</v>
      </c>
      <c r="R13" s="234" t="b">
        <v>0</v>
      </c>
    </row>
    <row r="14" spans="1:18" x14ac:dyDescent="0.3">
      <c r="A14" s="234" t="s">
        <v>2437</v>
      </c>
      <c r="B14" s="234"/>
      <c r="C14" s="234"/>
      <c r="D14" s="234">
        <v>0</v>
      </c>
      <c r="E14" s="234">
        <v>0</v>
      </c>
      <c r="F14" s="234">
        <v>0</v>
      </c>
      <c r="G14" s="234" t="s">
        <v>2358</v>
      </c>
      <c r="H14" s="234"/>
      <c r="I14" s="234" t="b">
        <v>1</v>
      </c>
      <c r="J14" s="234" t="b">
        <v>0</v>
      </c>
      <c r="K14" s="234" t="b">
        <v>1</v>
      </c>
      <c r="L14" s="234"/>
      <c r="M14" s="234"/>
      <c r="N14" s="234" t="str">
        <f>_xlfn.IFNA(VLOOKUP($M14,[1]Buff.CM!$A:$O,13,FALSE),"")</f>
        <v/>
      </c>
      <c r="O14" s="234" t="str">
        <f>_xlfn.IFNA(VLOOKUP($M14,[1]Buff.CM!$A:$O,14,FALSE),"")</f>
        <v/>
      </c>
      <c r="P14" s="234" t="str">
        <f>_xlfn.IFNA(VLOOKUP($M14,[1]Buff.CM!$A:$O,15,FALSE),"")</f>
        <v/>
      </c>
      <c r="Q14" s="234" t="b">
        <v>0</v>
      </c>
      <c r="R14" s="234" t="b">
        <v>0</v>
      </c>
    </row>
    <row r="15" spans="1:18" x14ac:dyDescent="0.3">
      <c r="A15" s="234" t="s">
        <v>2438</v>
      </c>
      <c r="B15" s="234"/>
      <c r="C15" s="234"/>
      <c r="D15" s="234">
        <v>0</v>
      </c>
      <c r="E15" s="234">
        <v>0</v>
      </c>
      <c r="F15" s="234">
        <v>0</v>
      </c>
      <c r="G15" s="234" t="s">
        <v>2360</v>
      </c>
      <c r="H15" s="234"/>
      <c r="I15" s="234" t="b">
        <v>1</v>
      </c>
      <c r="J15" s="234" t="b">
        <v>0</v>
      </c>
      <c r="K15" s="234" t="b">
        <v>1</v>
      </c>
      <c r="L15" s="234"/>
      <c r="M15" s="234"/>
      <c r="N15" s="234" t="str">
        <f>_xlfn.IFNA(VLOOKUP($M15,[1]Buff.CM!$A:$O,13,FALSE),"")</f>
        <v/>
      </c>
      <c r="O15" s="234" t="str">
        <f>_xlfn.IFNA(VLOOKUP($M15,[1]Buff.CM!$A:$O,14,FALSE),"")</f>
        <v/>
      </c>
      <c r="P15" s="234" t="str">
        <f>_xlfn.IFNA(VLOOKUP($M15,[1]Buff.CM!$A:$O,15,FALSE),"")</f>
        <v/>
      </c>
      <c r="Q15" s="234" t="b">
        <v>0</v>
      </c>
      <c r="R15" s="234" t="b">
        <v>0</v>
      </c>
    </row>
    <row r="16" spans="1:18" x14ac:dyDescent="0.3">
      <c r="A16" s="234" t="s">
        <v>2439</v>
      </c>
      <c r="B16" s="234"/>
      <c r="C16" s="234"/>
      <c r="D16" s="234">
        <v>0</v>
      </c>
      <c r="E16" s="234">
        <v>0</v>
      </c>
      <c r="F16" s="234">
        <v>0</v>
      </c>
      <c r="G16" s="234" t="s">
        <v>2362</v>
      </c>
      <c r="H16" s="234"/>
      <c r="I16" s="234" t="b">
        <v>1</v>
      </c>
      <c r="J16" s="234" t="b">
        <v>0</v>
      </c>
      <c r="K16" s="234" t="b">
        <v>1</v>
      </c>
      <c r="L16" s="234"/>
      <c r="M16" s="234"/>
      <c r="N16" s="234" t="str">
        <f>_xlfn.IFNA(VLOOKUP($M16,[1]Buff.CM!$A:$O,13,FALSE),"")</f>
        <v/>
      </c>
      <c r="O16" s="234" t="str">
        <f>_xlfn.IFNA(VLOOKUP($M16,[1]Buff.CM!$A:$O,14,FALSE),"")</f>
        <v/>
      </c>
      <c r="P16" s="234" t="str">
        <f>_xlfn.IFNA(VLOOKUP($M16,[1]Buff.CM!$A:$O,15,FALSE),"")</f>
        <v/>
      </c>
      <c r="Q16" s="234" t="b">
        <v>0</v>
      </c>
      <c r="R16" s="234" t="b">
        <v>0</v>
      </c>
    </row>
    <row r="17" spans="1:18" x14ac:dyDescent="0.3">
      <c r="A17" s="232" t="s">
        <v>2440</v>
      </c>
      <c r="B17" s="232"/>
      <c r="C17" s="232"/>
      <c r="D17" s="232">
        <v>0</v>
      </c>
      <c r="E17" s="232">
        <v>0</v>
      </c>
      <c r="F17" s="232">
        <v>0</v>
      </c>
      <c r="G17" s="234" t="s">
        <v>2364</v>
      </c>
      <c r="H17" s="232"/>
      <c r="I17" s="232" t="b">
        <v>1</v>
      </c>
      <c r="J17" s="232" t="b">
        <v>0</v>
      </c>
      <c r="K17" s="232" t="b">
        <v>1</v>
      </c>
      <c r="L17" s="232"/>
      <c r="M17" s="232"/>
      <c r="N17" s="232" t="str">
        <f>_xlfn.IFNA(VLOOKUP($M17,[1]Buff.CM!$A:$O,13,FALSE),"")</f>
        <v/>
      </c>
      <c r="O17" s="232" t="str">
        <f>_xlfn.IFNA(VLOOKUP($M17,[1]Buff.CM!$A:$O,14,FALSE),"")</f>
        <v/>
      </c>
      <c r="P17" s="232" t="str">
        <f>_xlfn.IFNA(VLOOKUP($M17,[1]Buff.CM!$A:$O,15,FALSE),"")</f>
        <v/>
      </c>
      <c r="Q17" s="232" t="b">
        <v>0</v>
      </c>
      <c r="R17" s="232" t="b">
        <v>0</v>
      </c>
    </row>
    <row r="18" spans="1:18" x14ac:dyDescent="0.3">
      <c r="A18" s="232" t="s">
        <v>2441</v>
      </c>
      <c r="B18" s="232"/>
      <c r="C18" s="232"/>
      <c r="D18" s="232">
        <v>0</v>
      </c>
      <c r="E18" s="232">
        <v>0</v>
      </c>
      <c r="F18" s="232">
        <v>0</v>
      </c>
      <c r="G18" s="232" t="s">
        <v>2366</v>
      </c>
      <c r="H18" s="232"/>
      <c r="I18" s="232" t="b">
        <v>1</v>
      </c>
      <c r="J18" s="232" t="b">
        <v>0</v>
      </c>
      <c r="K18" s="232" t="b">
        <v>1</v>
      </c>
      <c r="L18" s="232"/>
      <c r="M18" s="232"/>
      <c r="N18" s="232" t="str">
        <f>_xlfn.IFNA(VLOOKUP($M18,[1]Buff.CM!$A:$O,13,FALSE),"")</f>
        <v/>
      </c>
      <c r="O18" s="232" t="str">
        <f>_xlfn.IFNA(VLOOKUP($M18,[1]Buff.CM!$A:$O,14,FALSE),"")</f>
        <v/>
      </c>
      <c r="P18" s="232" t="str">
        <f>_xlfn.IFNA(VLOOKUP($M18,[1]Buff.CM!$A:$O,15,FALSE),"")</f>
        <v/>
      </c>
      <c r="Q18" s="232" t="b">
        <v>0</v>
      </c>
      <c r="R18" s="232" t="b">
        <v>0</v>
      </c>
    </row>
    <row r="19" spans="1:18" x14ac:dyDescent="0.3">
      <c r="A19" s="234" t="s">
        <v>2442</v>
      </c>
      <c r="B19" s="234"/>
      <c r="C19" s="234"/>
      <c r="D19" s="234">
        <v>6000</v>
      </c>
      <c r="E19" s="234">
        <v>5</v>
      </c>
      <c r="F19" s="234">
        <v>1</v>
      </c>
      <c r="G19" s="234" t="s">
        <v>2368</v>
      </c>
      <c r="H19" s="234"/>
      <c r="I19" s="234" t="b">
        <v>1</v>
      </c>
      <c r="J19" s="234" t="b">
        <v>0</v>
      </c>
      <c r="K19" s="234" t="b">
        <v>1</v>
      </c>
      <c r="L19" s="234" t="s">
        <v>63</v>
      </c>
      <c r="M19" s="234" t="s">
        <v>2289</v>
      </c>
      <c r="N19" s="234" t="str">
        <f>_xlfn.IFNA(VLOOKUP($M19,[1]Buff.CM!$A:$O,13,FALSE),"")</f>
        <v>icon_battle_attack</v>
      </c>
      <c r="O19" s="234" t="str">
        <f>_xlfn.IFNA(VLOOKUP($M19,[1]Buff.CM!$A:$O,14,FALSE),"")</f>
        <v>Buff.Name.Atk.Up.00</v>
      </c>
      <c r="P19" s="234" t="str">
        <f>_xlfn.IFNA(VLOOKUP($M19,[1]Buff.CM!$A:$O,15,FALSE),"")</f>
        <v>Buff.Desc.Atk.Up.00</v>
      </c>
      <c r="Q19" s="234" t="b">
        <v>0</v>
      </c>
      <c r="R19" s="234" t="b">
        <v>0</v>
      </c>
    </row>
    <row r="20" spans="1:18" x14ac:dyDescent="0.3">
      <c r="A20" s="234" t="s">
        <v>2443</v>
      </c>
      <c r="B20" s="234"/>
      <c r="C20" s="234"/>
      <c r="D20" s="234">
        <v>6000</v>
      </c>
      <c r="E20" s="234">
        <v>5</v>
      </c>
      <c r="F20" s="234">
        <v>1</v>
      </c>
      <c r="G20" s="234" t="s">
        <v>2369</v>
      </c>
      <c r="H20" s="234"/>
      <c r="I20" s="234" t="b">
        <v>1</v>
      </c>
      <c r="J20" s="234" t="b">
        <v>0</v>
      </c>
      <c r="K20" s="234" t="b">
        <v>1</v>
      </c>
      <c r="L20" s="234" t="s">
        <v>63</v>
      </c>
      <c r="M20" s="234" t="s">
        <v>2289</v>
      </c>
      <c r="N20" s="234" t="str">
        <f>_xlfn.IFNA(VLOOKUP($M20,[1]Buff.CM!$A:$O,13,FALSE),"")</f>
        <v>icon_battle_attack</v>
      </c>
      <c r="O20" s="234" t="str">
        <f>_xlfn.IFNA(VLOOKUP($M20,[1]Buff.CM!$A:$O,14,FALSE),"")</f>
        <v>Buff.Name.Atk.Up.00</v>
      </c>
      <c r="P20" s="234" t="str">
        <f>_xlfn.IFNA(VLOOKUP($M20,[1]Buff.CM!$A:$O,15,FALSE),"")</f>
        <v>Buff.Desc.Atk.Up.00</v>
      </c>
      <c r="Q20" s="234" t="b">
        <v>0</v>
      </c>
      <c r="R20" s="234" t="b">
        <v>0</v>
      </c>
    </row>
    <row r="21" spans="1:18" x14ac:dyDescent="0.3">
      <c r="A21" s="234" t="s">
        <v>2444</v>
      </c>
      <c r="B21" s="234"/>
      <c r="C21" s="234"/>
      <c r="D21" s="234">
        <v>6000</v>
      </c>
      <c r="E21" s="234">
        <v>5</v>
      </c>
      <c r="F21" s="234">
        <v>1</v>
      </c>
      <c r="G21" s="234" t="s">
        <v>2370</v>
      </c>
      <c r="H21" s="234"/>
      <c r="I21" s="234" t="b">
        <v>1</v>
      </c>
      <c r="J21" s="234" t="b">
        <v>0</v>
      </c>
      <c r="K21" s="234" t="b">
        <v>1</v>
      </c>
      <c r="L21" s="234" t="s">
        <v>63</v>
      </c>
      <c r="M21" s="234" t="s">
        <v>2289</v>
      </c>
      <c r="N21" s="234" t="str">
        <f>_xlfn.IFNA(VLOOKUP($M21,[1]Buff.CM!$A:$O,13,FALSE),"")</f>
        <v>icon_battle_attack</v>
      </c>
      <c r="O21" s="234" t="str">
        <f>_xlfn.IFNA(VLOOKUP($M21,[1]Buff.CM!$A:$O,14,FALSE),"")</f>
        <v>Buff.Name.Atk.Up.00</v>
      </c>
      <c r="P21" s="234" t="str">
        <f>_xlfn.IFNA(VLOOKUP($M21,[1]Buff.CM!$A:$O,15,FALSE),"")</f>
        <v>Buff.Desc.Atk.Up.00</v>
      </c>
      <c r="Q21" s="234" t="b">
        <v>0</v>
      </c>
      <c r="R21" s="234" t="b">
        <v>0</v>
      </c>
    </row>
    <row r="22" spans="1:18" x14ac:dyDescent="0.3">
      <c r="A22" s="234" t="s">
        <v>2445</v>
      </c>
      <c r="B22" s="234"/>
      <c r="C22" s="234"/>
      <c r="D22" s="234">
        <v>6000</v>
      </c>
      <c r="E22" s="234">
        <v>5</v>
      </c>
      <c r="F22" s="234">
        <v>1</v>
      </c>
      <c r="G22" s="234" t="s">
        <v>2371</v>
      </c>
      <c r="H22" s="234"/>
      <c r="I22" s="234" t="b">
        <v>1</v>
      </c>
      <c r="J22" s="234" t="b">
        <v>0</v>
      </c>
      <c r="K22" s="234" t="b">
        <v>1</v>
      </c>
      <c r="L22" s="234" t="s">
        <v>63</v>
      </c>
      <c r="M22" s="234" t="s">
        <v>2289</v>
      </c>
      <c r="N22" s="234" t="str">
        <f>_xlfn.IFNA(VLOOKUP($M22,[1]Buff.CM!$A:$O,13,FALSE),"")</f>
        <v>icon_battle_attack</v>
      </c>
      <c r="O22" s="234" t="str">
        <f>_xlfn.IFNA(VLOOKUP($M22,[1]Buff.CM!$A:$O,14,FALSE),"")</f>
        <v>Buff.Name.Atk.Up.00</v>
      </c>
      <c r="P22" s="234" t="str">
        <f>_xlfn.IFNA(VLOOKUP($M22,[1]Buff.CM!$A:$O,15,FALSE),"")</f>
        <v>Buff.Desc.Atk.Up.00</v>
      </c>
      <c r="Q22" s="234" t="b">
        <v>0</v>
      </c>
      <c r="R22" s="234" t="b">
        <v>0</v>
      </c>
    </row>
    <row r="23" spans="1:18" x14ac:dyDescent="0.3">
      <c r="A23" s="232" t="s">
        <v>2446</v>
      </c>
      <c r="B23" s="232"/>
      <c r="C23" s="232"/>
      <c r="D23" s="232">
        <v>1500</v>
      </c>
      <c r="E23" s="232">
        <v>5</v>
      </c>
      <c r="F23" s="232">
        <v>1</v>
      </c>
      <c r="G23" s="232" t="s">
        <v>2372</v>
      </c>
      <c r="H23" s="232"/>
      <c r="I23" s="232" t="b">
        <v>1</v>
      </c>
      <c r="J23" s="232" t="b">
        <v>0</v>
      </c>
      <c r="K23" s="232" t="b">
        <v>1</v>
      </c>
      <c r="L23" s="232" t="s">
        <v>63</v>
      </c>
      <c r="M23" s="232" t="s">
        <v>2289</v>
      </c>
      <c r="N23" s="232" t="str">
        <f>_xlfn.IFNA(VLOOKUP($M23,[1]Buff.CM!$A:$O,13,FALSE),"")</f>
        <v>icon_battle_attack</v>
      </c>
      <c r="O23" s="232" t="str">
        <f>_xlfn.IFNA(VLOOKUP($M23,[1]Buff.CM!$A:$O,14,FALSE),"")</f>
        <v>Buff.Name.Atk.Up.00</v>
      </c>
      <c r="P23" s="232" t="str">
        <f>_xlfn.IFNA(VLOOKUP($M23,[1]Buff.CM!$A:$O,15,FALSE),"")</f>
        <v>Buff.Desc.Atk.Up.00</v>
      </c>
      <c r="Q23" s="232" t="b">
        <v>0</v>
      </c>
      <c r="R23" s="232" t="b">
        <v>0</v>
      </c>
    </row>
    <row r="24" spans="1:18" x14ac:dyDescent="0.3">
      <c r="A24" s="232" t="s">
        <v>2447</v>
      </c>
      <c r="B24" s="232"/>
      <c r="C24" s="232"/>
      <c r="D24" s="232">
        <v>1500</v>
      </c>
      <c r="E24" s="232">
        <v>5</v>
      </c>
      <c r="F24" s="232">
        <v>1</v>
      </c>
      <c r="G24" s="232" t="s">
        <v>2373</v>
      </c>
      <c r="H24" s="232"/>
      <c r="I24" s="232" t="b">
        <v>1</v>
      </c>
      <c r="J24" s="232" t="b">
        <v>0</v>
      </c>
      <c r="K24" s="232" t="b">
        <v>1</v>
      </c>
      <c r="L24" s="232" t="s">
        <v>63</v>
      </c>
      <c r="M24" s="232" t="s">
        <v>2289</v>
      </c>
      <c r="N24" s="232" t="str">
        <f>_xlfn.IFNA(VLOOKUP($M24,[1]Buff.CM!$A:$O,13,FALSE),"")</f>
        <v>icon_battle_attack</v>
      </c>
      <c r="O24" s="232" t="str">
        <f>_xlfn.IFNA(VLOOKUP($M24,[1]Buff.CM!$A:$O,14,FALSE),"")</f>
        <v>Buff.Name.Atk.Up.00</v>
      </c>
      <c r="P24" s="232" t="str">
        <f>_xlfn.IFNA(VLOOKUP($M24,[1]Buff.CM!$A:$O,15,FALSE),"")</f>
        <v>Buff.Desc.Atk.Up.00</v>
      </c>
      <c r="Q24" s="232" t="b">
        <v>0</v>
      </c>
      <c r="R24" s="232" t="b">
        <v>0</v>
      </c>
    </row>
    <row r="25" spans="1:18" x14ac:dyDescent="0.3">
      <c r="A25" s="234" t="s">
        <v>2448</v>
      </c>
      <c r="B25" s="234"/>
      <c r="C25" s="234"/>
      <c r="D25" s="234">
        <v>0</v>
      </c>
      <c r="E25" s="234">
        <v>0</v>
      </c>
      <c r="F25" s="234">
        <v>0</v>
      </c>
      <c r="G25" s="234" t="s">
        <v>2327</v>
      </c>
      <c r="H25" s="234"/>
      <c r="I25" s="234" t="b">
        <v>1</v>
      </c>
      <c r="J25" s="234" t="b">
        <v>0</v>
      </c>
      <c r="K25" s="234" t="b">
        <v>1</v>
      </c>
      <c r="L25" s="234"/>
      <c r="M25" s="234"/>
      <c r="N25" s="234" t="str">
        <f>_xlfn.IFNA(VLOOKUP($M25,[1]Buff.CM!$A:$O,13,FALSE),"")</f>
        <v/>
      </c>
      <c r="O25" s="234" t="str">
        <f>_xlfn.IFNA(VLOOKUP($M25,[1]Buff.CM!$A:$O,14,FALSE),"")</f>
        <v/>
      </c>
      <c r="P25" s="234" t="str">
        <f>_xlfn.IFNA(VLOOKUP($M25,[1]Buff.CM!$A:$O,15,FALSE),"")</f>
        <v/>
      </c>
      <c r="Q25" s="234" t="b">
        <v>0</v>
      </c>
      <c r="R25" s="234" t="b">
        <v>0</v>
      </c>
    </row>
    <row r="26" spans="1:18" x14ac:dyDescent="0.3">
      <c r="A26" s="234" t="s">
        <v>2449</v>
      </c>
      <c r="B26" s="234"/>
      <c r="C26" s="234"/>
      <c r="D26" s="234">
        <v>0</v>
      </c>
      <c r="E26" s="234">
        <v>0</v>
      </c>
      <c r="F26" s="234">
        <v>0</v>
      </c>
      <c r="G26" s="234" t="s">
        <v>2329</v>
      </c>
      <c r="H26" s="234"/>
      <c r="I26" s="234" t="b">
        <v>1</v>
      </c>
      <c r="J26" s="234" t="b">
        <v>0</v>
      </c>
      <c r="K26" s="234" t="b">
        <v>1</v>
      </c>
      <c r="L26" s="234"/>
      <c r="M26" s="234"/>
      <c r="N26" s="234" t="str">
        <f>_xlfn.IFNA(VLOOKUP($M26,[1]Buff.CM!$A:$O,13,FALSE),"")</f>
        <v/>
      </c>
      <c r="O26" s="234" t="str">
        <f>_xlfn.IFNA(VLOOKUP($M26,[1]Buff.CM!$A:$O,14,FALSE),"")</f>
        <v/>
      </c>
      <c r="P26" s="234" t="str">
        <f>_xlfn.IFNA(VLOOKUP($M26,[1]Buff.CM!$A:$O,15,FALSE),"")</f>
        <v/>
      </c>
      <c r="Q26" s="234" t="b">
        <v>0</v>
      </c>
      <c r="R26" s="234" t="b">
        <v>0</v>
      </c>
    </row>
    <row r="27" spans="1:18" x14ac:dyDescent="0.3">
      <c r="A27" s="234" t="s">
        <v>2450</v>
      </c>
      <c r="B27" s="234"/>
      <c r="C27" s="234"/>
      <c r="D27" s="234">
        <v>0</v>
      </c>
      <c r="E27" s="234">
        <v>0</v>
      </c>
      <c r="F27" s="234">
        <v>0</v>
      </c>
      <c r="G27" s="234" t="s">
        <v>2331</v>
      </c>
      <c r="H27" s="234"/>
      <c r="I27" s="234" t="b">
        <v>1</v>
      </c>
      <c r="J27" s="234" t="b">
        <v>0</v>
      </c>
      <c r="K27" s="234" t="b">
        <v>1</v>
      </c>
      <c r="L27" s="234"/>
      <c r="M27" s="234"/>
      <c r="N27" s="234" t="str">
        <f>_xlfn.IFNA(VLOOKUP($M27,[1]Buff.CM!$A:$O,13,FALSE),"")</f>
        <v/>
      </c>
      <c r="O27" s="234" t="str">
        <f>_xlfn.IFNA(VLOOKUP($M27,[1]Buff.CM!$A:$O,14,FALSE),"")</f>
        <v/>
      </c>
      <c r="P27" s="234" t="str">
        <f>_xlfn.IFNA(VLOOKUP($M27,[1]Buff.CM!$A:$O,15,FALSE),"")</f>
        <v/>
      </c>
      <c r="Q27" s="234" t="b">
        <v>0</v>
      </c>
      <c r="R27" s="234" t="b">
        <v>0</v>
      </c>
    </row>
    <row r="28" spans="1:18" x14ac:dyDescent="0.3">
      <c r="A28" s="234" t="s">
        <v>2451</v>
      </c>
      <c r="B28" s="234"/>
      <c r="C28" s="234"/>
      <c r="D28" s="234">
        <v>0</v>
      </c>
      <c r="E28" s="234">
        <v>0</v>
      </c>
      <c r="F28" s="234">
        <v>0</v>
      </c>
      <c r="G28" s="234" t="s">
        <v>2333</v>
      </c>
      <c r="H28" s="234"/>
      <c r="I28" s="234" t="b">
        <v>1</v>
      </c>
      <c r="J28" s="234" t="b">
        <v>0</v>
      </c>
      <c r="K28" s="234" t="b">
        <v>1</v>
      </c>
      <c r="L28" s="234"/>
      <c r="M28" s="234"/>
      <c r="N28" s="234" t="str">
        <f>_xlfn.IFNA(VLOOKUP($M28,[1]Buff.CM!$A:$O,13,FALSE),"")</f>
        <v/>
      </c>
      <c r="O28" s="234" t="str">
        <f>_xlfn.IFNA(VLOOKUP($M28,[1]Buff.CM!$A:$O,14,FALSE),"")</f>
        <v/>
      </c>
      <c r="P28" s="234" t="str">
        <f>_xlfn.IFNA(VLOOKUP($M28,[1]Buff.CM!$A:$O,15,FALSE),"")</f>
        <v/>
      </c>
      <c r="Q28" s="234" t="b">
        <v>0</v>
      </c>
      <c r="R28" s="234" t="b">
        <v>0</v>
      </c>
    </row>
    <row r="29" spans="1:18" x14ac:dyDescent="0.3">
      <c r="A29" s="232" t="s">
        <v>2452</v>
      </c>
      <c r="B29" s="232"/>
      <c r="C29" s="232"/>
      <c r="D29" s="232">
        <v>0</v>
      </c>
      <c r="E29" s="232">
        <v>0</v>
      </c>
      <c r="F29" s="232">
        <v>0</v>
      </c>
      <c r="G29" s="232" t="s">
        <v>2335</v>
      </c>
      <c r="H29" s="232"/>
      <c r="I29" s="232" t="b">
        <v>1</v>
      </c>
      <c r="J29" s="232" t="b">
        <v>0</v>
      </c>
      <c r="K29" s="232" t="b">
        <v>1</v>
      </c>
      <c r="L29" s="232"/>
      <c r="M29" s="232"/>
      <c r="N29" s="232" t="str">
        <f>_xlfn.IFNA(VLOOKUP($M29,[1]Buff.CM!$A:$O,13,FALSE),"")</f>
        <v/>
      </c>
      <c r="O29" s="232" t="str">
        <f>_xlfn.IFNA(VLOOKUP($M29,[1]Buff.CM!$A:$O,14,FALSE),"")</f>
        <v/>
      </c>
      <c r="P29" s="232" t="str">
        <f>_xlfn.IFNA(VLOOKUP($M29,[1]Buff.CM!$A:$O,15,FALSE),"")</f>
        <v/>
      </c>
      <c r="Q29" s="232" t="b">
        <v>0</v>
      </c>
      <c r="R29" s="232" t="b">
        <v>0</v>
      </c>
    </row>
    <row r="30" spans="1:18" x14ac:dyDescent="0.3">
      <c r="A30" s="232" t="s">
        <v>2453</v>
      </c>
      <c r="B30" s="232"/>
      <c r="C30" s="232"/>
      <c r="D30" s="232">
        <v>0</v>
      </c>
      <c r="E30" s="232">
        <v>0</v>
      </c>
      <c r="F30" s="232">
        <v>0</v>
      </c>
      <c r="G30" s="232" t="s">
        <v>2337</v>
      </c>
      <c r="H30" s="232"/>
      <c r="I30" s="232" t="b">
        <v>1</v>
      </c>
      <c r="J30" s="232" t="b">
        <v>0</v>
      </c>
      <c r="K30" s="232" t="b">
        <v>1</v>
      </c>
      <c r="L30" s="232"/>
      <c r="M30" s="232"/>
      <c r="N30" s="232" t="str">
        <f>_xlfn.IFNA(VLOOKUP($M30,[1]Buff.CM!$A:$O,13,FALSE),"")</f>
        <v/>
      </c>
      <c r="O30" s="232" t="str">
        <f>_xlfn.IFNA(VLOOKUP($M30,[1]Buff.CM!$A:$O,14,FALSE),"")</f>
        <v/>
      </c>
      <c r="P30" s="232" t="str">
        <f>_xlfn.IFNA(VLOOKUP($M30,[1]Buff.CM!$A:$O,15,FALSE),"")</f>
        <v/>
      </c>
      <c r="Q30" s="232" t="b">
        <v>0</v>
      </c>
      <c r="R30" s="232" t="b">
        <v>0</v>
      </c>
    </row>
    <row r="31" spans="1:18" ht="66" x14ac:dyDescent="0.3">
      <c r="A31" s="233" t="s">
        <v>2454</v>
      </c>
      <c r="B31" s="233"/>
      <c r="C31" s="233"/>
      <c r="D31" s="233">
        <v>0</v>
      </c>
      <c r="E31" s="233">
        <v>0</v>
      </c>
      <c r="F31" s="233">
        <v>0</v>
      </c>
      <c r="G31" s="237" t="s">
        <v>2455</v>
      </c>
      <c r="H31" s="233"/>
      <c r="I31" s="233" t="b">
        <v>1</v>
      </c>
      <c r="J31" s="233" t="b">
        <v>0</v>
      </c>
      <c r="K31" s="233" t="b">
        <v>1</v>
      </c>
      <c r="L31" s="233" t="s">
        <v>2288</v>
      </c>
      <c r="M31" s="233" t="s">
        <v>3363</v>
      </c>
      <c r="N31" s="233" t="str">
        <f>_xlfn.IFNA(VLOOKUP($M31,[1]Buff.CM!$A:$O,13,FALSE),"")</f>
        <v>icon_battle_serapulsar_overdrive</v>
      </c>
      <c r="O31" s="233" t="str">
        <f>_xlfn.IFNA(VLOOKUP($M31,[1]Buff.CM!$A:$O,14,FALSE),"")</f>
        <v>info.serapulsar.buff.overdrive</v>
      </c>
      <c r="P31" s="233" t="str">
        <f>_xlfn.IFNA(VLOOKUP($M31,[1]Buff.CM!$A:$O,15,FALSE),"")</f>
        <v>Desc.info.serapulsar.buff.overdrive</v>
      </c>
      <c r="Q31" s="233" t="b">
        <v>0</v>
      </c>
      <c r="R31" s="233" t="b">
        <v>0</v>
      </c>
    </row>
    <row r="32" spans="1:18" ht="66" x14ac:dyDescent="0.3">
      <c r="A32" s="233" t="s">
        <v>2456</v>
      </c>
      <c r="B32" s="233"/>
      <c r="C32" s="233"/>
      <c r="D32" s="233">
        <v>0</v>
      </c>
      <c r="E32" s="233">
        <v>0</v>
      </c>
      <c r="F32" s="233">
        <v>0</v>
      </c>
      <c r="G32" s="237" t="s">
        <v>2457</v>
      </c>
      <c r="H32" s="233"/>
      <c r="I32" s="233" t="b">
        <v>1</v>
      </c>
      <c r="J32" s="233" t="b">
        <v>0</v>
      </c>
      <c r="K32" s="233" t="b">
        <v>1</v>
      </c>
      <c r="L32" s="233" t="s">
        <v>2288</v>
      </c>
      <c r="M32" s="233" t="s">
        <v>3363</v>
      </c>
      <c r="N32" s="233" t="str">
        <f>_xlfn.IFNA(VLOOKUP($M32,[1]Buff.CM!$A:$O,13,FALSE),"")</f>
        <v>icon_battle_serapulsar_overdrive</v>
      </c>
      <c r="O32" s="233" t="str">
        <f>_xlfn.IFNA(VLOOKUP($M32,[1]Buff.CM!$A:$O,14,FALSE),"")</f>
        <v>info.serapulsar.buff.overdrive</v>
      </c>
      <c r="P32" s="233" t="str">
        <f>_xlfn.IFNA(VLOOKUP($M32,[1]Buff.CM!$A:$O,15,FALSE),"")</f>
        <v>Desc.info.serapulsar.buff.overdrive</v>
      </c>
      <c r="Q32" s="233" t="b">
        <v>0</v>
      </c>
      <c r="R32" s="233" t="b">
        <v>0</v>
      </c>
    </row>
    <row r="33" spans="1:18" ht="66" x14ac:dyDescent="0.3">
      <c r="A33" s="233" t="s">
        <v>2458</v>
      </c>
      <c r="B33" s="233"/>
      <c r="C33" s="233"/>
      <c r="D33" s="233">
        <v>0</v>
      </c>
      <c r="E33" s="233">
        <v>0</v>
      </c>
      <c r="F33" s="233">
        <v>0</v>
      </c>
      <c r="G33" s="237" t="s">
        <v>2459</v>
      </c>
      <c r="H33" s="233"/>
      <c r="I33" s="233" t="b">
        <v>1</v>
      </c>
      <c r="J33" s="233" t="b">
        <v>0</v>
      </c>
      <c r="K33" s="233" t="b">
        <v>1</v>
      </c>
      <c r="L33" s="233" t="s">
        <v>2288</v>
      </c>
      <c r="M33" s="233" t="s">
        <v>3363</v>
      </c>
      <c r="N33" s="233" t="str">
        <f>_xlfn.IFNA(VLOOKUP($M33,[1]Buff.CM!$A:$O,13,FALSE),"")</f>
        <v>icon_battle_serapulsar_overdrive</v>
      </c>
      <c r="O33" s="233" t="str">
        <f>_xlfn.IFNA(VLOOKUP($M33,[1]Buff.CM!$A:$O,14,FALSE),"")</f>
        <v>info.serapulsar.buff.overdrive</v>
      </c>
      <c r="P33" s="233" t="str">
        <f>_xlfn.IFNA(VLOOKUP($M33,[1]Buff.CM!$A:$O,15,FALSE),"")</f>
        <v>Desc.info.serapulsar.buff.overdrive</v>
      </c>
      <c r="Q33" s="233" t="b">
        <v>0</v>
      </c>
      <c r="R33" s="233" t="b">
        <v>0</v>
      </c>
    </row>
    <row r="34" spans="1:18" ht="66" x14ac:dyDescent="0.3">
      <c r="A34" s="233" t="s">
        <v>2460</v>
      </c>
      <c r="B34" s="233"/>
      <c r="C34" s="233"/>
      <c r="D34" s="233">
        <v>0</v>
      </c>
      <c r="E34" s="233">
        <v>0</v>
      </c>
      <c r="F34" s="233">
        <v>0</v>
      </c>
      <c r="G34" s="237" t="s">
        <v>2461</v>
      </c>
      <c r="H34" s="233"/>
      <c r="I34" s="233" t="b">
        <v>1</v>
      </c>
      <c r="J34" s="233" t="b">
        <v>0</v>
      </c>
      <c r="K34" s="233" t="b">
        <v>1</v>
      </c>
      <c r="L34" s="233" t="s">
        <v>2288</v>
      </c>
      <c r="M34" s="233" t="s">
        <v>3363</v>
      </c>
      <c r="N34" s="233" t="str">
        <f>_xlfn.IFNA(VLOOKUP($M34,[1]Buff.CM!$A:$O,13,FALSE),"")</f>
        <v>icon_battle_serapulsar_overdrive</v>
      </c>
      <c r="O34" s="233" t="str">
        <f>_xlfn.IFNA(VLOOKUP($M34,[1]Buff.CM!$A:$O,14,FALSE),"")</f>
        <v>info.serapulsar.buff.overdrive</v>
      </c>
      <c r="P34" s="233" t="str">
        <f>_xlfn.IFNA(VLOOKUP($M34,[1]Buff.CM!$A:$O,15,FALSE),"")</f>
        <v>Desc.info.serapulsar.buff.overdrive</v>
      </c>
      <c r="Q34" s="233" t="b">
        <v>0</v>
      </c>
      <c r="R34" s="233" t="b">
        <v>0</v>
      </c>
    </row>
    <row r="35" spans="1:18" ht="66" x14ac:dyDescent="0.3">
      <c r="A35" s="232" t="s">
        <v>2462</v>
      </c>
      <c r="B35" s="232"/>
      <c r="C35" s="232"/>
      <c r="D35" s="232">
        <v>0</v>
      </c>
      <c r="E35" s="232">
        <v>0</v>
      </c>
      <c r="F35" s="232">
        <v>0</v>
      </c>
      <c r="G35" s="238" t="s">
        <v>2463</v>
      </c>
      <c r="H35" s="232"/>
      <c r="I35" s="232" t="b">
        <v>1</v>
      </c>
      <c r="J35" s="232" t="b">
        <v>0</v>
      </c>
      <c r="K35" s="232" t="b">
        <v>1</v>
      </c>
      <c r="L35" s="232" t="s">
        <v>2288</v>
      </c>
      <c r="M35" s="232" t="s">
        <v>3363</v>
      </c>
      <c r="N35" s="232" t="str">
        <f>_xlfn.IFNA(VLOOKUP($M35,[1]Buff.CM!$A:$O,13,FALSE),"")</f>
        <v>icon_battle_serapulsar_overdrive</v>
      </c>
      <c r="O35" s="232" t="str">
        <f>_xlfn.IFNA(VLOOKUP($M35,[1]Buff.CM!$A:$O,14,FALSE),"")</f>
        <v>info.serapulsar.buff.overdrive</v>
      </c>
      <c r="P35" s="232" t="str">
        <f>_xlfn.IFNA(VLOOKUP($M35,[1]Buff.CM!$A:$O,15,FALSE),"")</f>
        <v>Desc.info.serapulsar.buff.overdrive</v>
      </c>
      <c r="Q35" s="232" t="b">
        <v>0</v>
      </c>
      <c r="R35" s="232" t="b">
        <v>0</v>
      </c>
    </row>
    <row r="36" spans="1:18" ht="66" x14ac:dyDescent="0.3">
      <c r="A36" s="232" t="s">
        <v>2464</v>
      </c>
      <c r="B36" s="232"/>
      <c r="C36" s="232"/>
      <c r="D36" s="232">
        <v>0</v>
      </c>
      <c r="E36" s="232">
        <v>0</v>
      </c>
      <c r="F36" s="232">
        <v>0</v>
      </c>
      <c r="G36" s="238" t="s">
        <v>2465</v>
      </c>
      <c r="H36" s="232"/>
      <c r="I36" s="232" t="b">
        <v>1</v>
      </c>
      <c r="J36" s="232" t="b">
        <v>0</v>
      </c>
      <c r="K36" s="232" t="b">
        <v>1</v>
      </c>
      <c r="L36" s="232" t="s">
        <v>2288</v>
      </c>
      <c r="M36" s="232" t="s">
        <v>3363</v>
      </c>
      <c r="N36" s="232" t="str">
        <f>_xlfn.IFNA(VLOOKUP($M36,[1]Buff.CM!$A:$O,13,FALSE),"")</f>
        <v>icon_battle_serapulsar_overdrive</v>
      </c>
      <c r="O36" s="232" t="str">
        <f>_xlfn.IFNA(VLOOKUP($M36,[1]Buff.CM!$A:$O,14,FALSE),"")</f>
        <v>info.serapulsar.buff.overdrive</v>
      </c>
      <c r="P36" s="232" t="str">
        <f>_xlfn.IFNA(VLOOKUP($M36,[1]Buff.CM!$A:$O,15,FALSE),"")</f>
        <v>Desc.info.serapulsar.buff.overdrive</v>
      </c>
      <c r="Q36" s="232" t="b">
        <v>0</v>
      </c>
      <c r="R36" s="232" t="b">
        <v>0</v>
      </c>
    </row>
    <row r="37" spans="1:18" ht="66" x14ac:dyDescent="0.3">
      <c r="A37" s="232" t="s">
        <v>2466</v>
      </c>
      <c r="B37" s="232"/>
      <c r="C37" s="232"/>
      <c r="D37" s="232">
        <v>0</v>
      </c>
      <c r="E37" s="232">
        <v>0</v>
      </c>
      <c r="F37" s="232">
        <v>0</v>
      </c>
      <c r="G37" s="238" t="s">
        <v>2467</v>
      </c>
      <c r="H37" s="232"/>
      <c r="I37" s="232" t="b">
        <v>1</v>
      </c>
      <c r="J37" s="232" t="b">
        <v>0</v>
      </c>
      <c r="K37" s="232" t="b">
        <v>1</v>
      </c>
      <c r="L37" s="232" t="s">
        <v>2288</v>
      </c>
      <c r="M37" s="232" t="s">
        <v>3363</v>
      </c>
      <c r="N37" s="232" t="str">
        <f>_xlfn.IFNA(VLOOKUP($M37,[1]Buff.CM!$A:$O,13,FALSE),"")</f>
        <v>icon_battle_serapulsar_overdrive</v>
      </c>
      <c r="O37" s="232" t="str">
        <f>_xlfn.IFNA(VLOOKUP($M37,[1]Buff.CM!$A:$O,14,FALSE),"")</f>
        <v>info.serapulsar.buff.overdrive</v>
      </c>
      <c r="P37" s="232" t="str">
        <f>_xlfn.IFNA(VLOOKUP($M37,[1]Buff.CM!$A:$O,15,FALSE),"")</f>
        <v>Desc.info.serapulsar.buff.overdrive</v>
      </c>
      <c r="Q37" s="232" t="b">
        <v>0</v>
      </c>
      <c r="R37" s="232" t="b">
        <v>0</v>
      </c>
    </row>
    <row r="38" spans="1:18" x14ac:dyDescent="0.3">
      <c r="A38" s="234" t="s">
        <v>2468</v>
      </c>
      <c r="B38" s="234"/>
      <c r="C38" s="234"/>
      <c r="D38" s="234">
        <v>5000</v>
      </c>
      <c r="E38" s="234">
        <v>0</v>
      </c>
      <c r="F38" s="234">
        <v>0</v>
      </c>
      <c r="G38" s="234" t="s">
        <v>2392</v>
      </c>
      <c r="H38" s="234"/>
      <c r="I38" s="234" t="b">
        <v>0</v>
      </c>
      <c r="J38" s="234" t="b">
        <v>0</v>
      </c>
      <c r="K38" s="234" t="b">
        <v>1</v>
      </c>
      <c r="L38" s="234" t="s">
        <v>63</v>
      </c>
      <c r="M38" s="234" t="s">
        <v>2290</v>
      </c>
      <c r="N38" s="234" t="str">
        <f>_xlfn.IFNA(VLOOKUP($M38,[1]Buff.CM!$A:$O,13,FALSE),"")</f>
        <v>icon_battle_attackspeed</v>
      </c>
      <c r="O38" s="234" t="str">
        <f>_xlfn.IFNA(VLOOKUP($M38,[1]Buff.CM!$A:$O,14,FALSE),"")</f>
        <v>Buff.Name.AtkSpeed.Up.00</v>
      </c>
      <c r="P38" s="234" t="str">
        <f>_xlfn.IFNA(VLOOKUP($M38,[1]Buff.CM!$A:$O,15,FALSE),"")</f>
        <v>Buff.Desc.AtkSpeed.Up.00</v>
      </c>
      <c r="Q38" s="234" t="b">
        <v>0</v>
      </c>
      <c r="R38" s="234" t="b">
        <v>0</v>
      </c>
    </row>
    <row r="39" spans="1:18" x14ac:dyDescent="0.3">
      <c r="A39" s="234" t="s">
        <v>2469</v>
      </c>
      <c r="B39" s="234"/>
      <c r="C39" s="234"/>
      <c r="D39" s="234">
        <v>5000</v>
      </c>
      <c r="E39" s="234">
        <v>0</v>
      </c>
      <c r="F39" s="234">
        <v>0</v>
      </c>
      <c r="G39" s="234" t="s">
        <v>2393</v>
      </c>
      <c r="H39" s="234"/>
      <c r="I39" s="234" t="b">
        <v>0</v>
      </c>
      <c r="J39" s="234" t="b">
        <v>0</v>
      </c>
      <c r="K39" s="234" t="b">
        <v>1</v>
      </c>
      <c r="L39" s="234" t="s">
        <v>63</v>
      </c>
      <c r="M39" s="234" t="s">
        <v>2290</v>
      </c>
      <c r="N39" s="234" t="str">
        <f>_xlfn.IFNA(VLOOKUP($M39,[1]Buff.CM!$A:$O,13,FALSE),"")</f>
        <v>icon_battle_attackspeed</v>
      </c>
      <c r="O39" s="234" t="str">
        <f>_xlfn.IFNA(VLOOKUP($M39,[1]Buff.CM!$A:$O,14,FALSE),"")</f>
        <v>Buff.Name.AtkSpeed.Up.00</v>
      </c>
      <c r="P39" s="234" t="str">
        <f>_xlfn.IFNA(VLOOKUP($M39,[1]Buff.CM!$A:$O,15,FALSE),"")</f>
        <v>Buff.Desc.AtkSpeed.Up.00</v>
      </c>
      <c r="Q39" s="234" t="b">
        <v>0</v>
      </c>
      <c r="R39" s="234" t="b">
        <v>0</v>
      </c>
    </row>
    <row r="40" spans="1:18" x14ac:dyDescent="0.3">
      <c r="A40" s="234" t="s">
        <v>2470</v>
      </c>
      <c r="B40" s="234"/>
      <c r="C40" s="234"/>
      <c r="D40" s="234">
        <v>5000</v>
      </c>
      <c r="E40" s="234">
        <v>0</v>
      </c>
      <c r="F40" s="234">
        <v>0</v>
      </c>
      <c r="G40" s="234" t="s">
        <v>2394</v>
      </c>
      <c r="H40" s="234"/>
      <c r="I40" s="234" t="b">
        <v>0</v>
      </c>
      <c r="J40" s="234" t="b">
        <v>0</v>
      </c>
      <c r="K40" s="234" t="b">
        <v>1</v>
      </c>
      <c r="L40" s="234" t="s">
        <v>63</v>
      </c>
      <c r="M40" s="234" t="s">
        <v>2290</v>
      </c>
      <c r="N40" s="234" t="str">
        <f>_xlfn.IFNA(VLOOKUP($M40,[1]Buff.CM!$A:$O,13,FALSE),"")</f>
        <v>icon_battle_attackspeed</v>
      </c>
      <c r="O40" s="234" t="str">
        <f>_xlfn.IFNA(VLOOKUP($M40,[1]Buff.CM!$A:$O,14,FALSE),"")</f>
        <v>Buff.Name.AtkSpeed.Up.00</v>
      </c>
      <c r="P40" s="234" t="str">
        <f>_xlfn.IFNA(VLOOKUP($M40,[1]Buff.CM!$A:$O,15,FALSE),"")</f>
        <v>Buff.Desc.AtkSpeed.Up.00</v>
      </c>
      <c r="Q40" s="234" t="b">
        <v>0</v>
      </c>
      <c r="R40" s="234" t="b">
        <v>0</v>
      </c>
    </row>
    <row r="41" spans="1:18" x14ac:dyDescent="0.3">
      <c r="A41" s="232" t="s">
        <v>2471</v>
      </c>
      <c r="B41" s="232"/>
      <c r="C41" s="232"/>
      <c r="D41" s="232">
        <v>5000</v>
      </c>
      <c r="E41" s="232">
        <v>0</v>
      </c>
      <c r="F41" s="232">
        <v>0</v>
      </c>
      <c r="G41" s="232" t="s">
        <v>2395</v>
      </c>
      <c r="H41" s="232"/>
      <c r="I41" s="232" t="b">
        <v>0</v>
      </c>
      <c r="J41" s="232" t="b">
        <v>0</v>
      </c>
      <c r="K41" s="232" t="b">
        <v>1</v>
      </c>
      <c r="L41" s="232" t="s">
        <v>63</v>
      </c>
      <c r="M41" s="232" t="s">
        <v>2290</v>
      </c>
      <c r="N41" s="232" t="str">
        <f>_xlfn.IFNA(VLOOKUP($M41,[1]Buff.CM!$A:$O,13,FALSE),"")</f>
        <v>icon_battle_attackspeed</v>
      </c>
      <c r="O41" s="232" t="str">
        <f>_xlfn.IFNA(VLOOKUP($M41,[1]Buff.CM!$A:$O,14,FALSE),"")</f>
        <v>Buff.Name.AtkSpeed.Up.00</v>
      </c>
      <c r="P41" s="232" t="str">
        <f>_xlfn.IFNA(VLOOKUP($M41,[1]Buff.CM!$A:$O,15,FALSE),"")</f>
        <v>Buff.Desc.AtkSpeed.Up.00</v>
      </c>
      <c r="Q41" s="232" t="b">
        <v>0</v>
      </c>
      <c r="R41" s="232" t="b">
        <v>0</v>
      </c>
    </row>
    <row r="42" spans="1:18" x14ac:dyDescent="0.3">
      <c r="A42" s="232" t="s">
        <v>2472</v>
      </c>
      <c r="B42" s="232"/>
      <c r="C42" s="232"/>
      <c r="D42" s="232">
        <v>5000</v>
      </c>
      <c r="E42" s="232">
        <v>0</v>
      </c>
      <c r="F42" s="232">
        <v>0</v>
      </c>
      <c r="G42" s="232" t="s">
        <v>2396</v>
      </c>
      <c r="H42" s="232"/>
      <c r="I42" s="232" t="b">
        <v>0</v>
      </c>
      <c r="J42" s="232" t="b">
        <v>0</v>
      </c>
      <c r="K42" s="232" t="b">
        <v>1</v>
      </c>
      <c r="L42" s="232" t="s">
        <v>63</v>
      </c>
      <c r="M42" s="232" t="s">
        <v>2290</v>
      </c>
      <c r="N42" s="232" t="str">
        <f>_xlfn.IFNA(VLOOKUP($M42,[1]Buff.CM!$A:$O,13,FALSE),"")</f>
        <v>icon_battle_attackspeed</v>
      </c>
      <c r="O42" s="232" t="str">
        <f>_xlfn.IFNA(VLOOKUP($M42,[1]Buff.CM!$A:$O,14,FALSE),"")</f>
        <v>Buff.Name.AtkSpeed.Up.00</v>
      </c>
      <c r="P42" s="232" t="str">
        <f>_xlfn.IFNA(VLOOKUP($M42,[1]Buff.CM!$A:$O,15,FALSE),"")</f>
        <v>Buff.Desc.AtkSpeed.Up.00</v>
      </c>
      <c r="Q42" s="232" t="b">
        <v>0</v>
      </c>
      <c r="R42" s="232" t="b">
        <v>0</v>
      </c>
    </row>
    <row r="43" spans="1:18" x14ac:dyDescent="0.3">
      <c r="A43" s="232" t="s">
        <v>2473</v>
      </c>
      <c r="B43" s="232"/>
      <c r="C43" s="232"/>
      <c r="D43" s="232">
        <v>5000</v>
      </c>
      <c r="E43" s="232">
        <v>0</v>
      </c>
      <c r="F43" s="232">
        <v>0</v>
      </c>
      <c r="G43" s="232" t="s">
        <v>2397</v>
      </c>
      <c r="H43" s="232"/>
      <c r="I43" s="232" t="b">
        <v>0</v>
      </c>
      <c r="J43" s="232" t="b">
        <v>0</v>
      </c>
      <c r="K43" s="232" t="b">
        <v>1</v>
      </c>
      <c r="L43" s="232" t="s">
        <v>63</v>
      </c>
      <c r="M43" s="232" t="s">
        <v>2290</v>
      </c>
      <c r="N43" s="232" t="str">
        <f>_xlfn.IFNA(VLOOKUP($M43,[1]Buff.CM!$A:$O,13,FALSE),"")</f>
        <v>icon_battle_attackspeed</v>
      </c>
      <c r="O43" s="232" t="str">
        <f>_xlfn.IFNA(VLOOKUP($M43,[1]Buff.CM!$A:$O,14,FALSE),"")</f>
        <v>Buff.Name.AtkSpeed.Up.00</v>
      </c>
      <c r="P43" s="232" t="str">
        <f>_xlfn.IFNA(VLOOKUP($M43,[1]Buff.CM!$A:$O,15,FALSE),"")</f>
        <v>Buff.Desc.AtkSpeed.Up.00</v>
      </c>
      <c r="Q43" s="232" t="b">
        <v>0</v>
      </c>
      <c r="R43" s="232" t="b">
        <v>0</v>
      </c>
    </row>
    <row r="44" spans="1:18" x14ac:dyDescent="0.3">
      <c r="A44" s="234" t="s">
        <v>2474</v>
      </c>
      <c r="B44" s="234"/>
      <c r="C44" s="234"/>
      <c r="D44" s="234">
        <v>0</v>
      </c>
      <c r="E44" s="234">
        <v>0</v>
      </c>
      <c r="F44" s="234">
        <v>0</v>
      </c>
      <c r="G44" s="234" t="s">
        <v>2398</v>
      </c>
      <c r="H44" s="234"/>
      <c r="I44" s="234" t="b">
        <v>0</v>
      </c>
      <c r="J44" s="157" t="b">
        <v>1</v>
      </c>
      <c r="K44" s="234" t="b">
        <v>1</v>
      </c>
      <c r="L44" s="234"/>
      <c r="M44" s="234"/>
      <c r="N44" s="234" t="str">
        <f>_xlfn.IFNA(VLOOKUP($M44,[1]Buff.CM!$A:$O,13,FALSE),"")</f>
        <v/>
      </c>
      <c r="O44" s="234" t="str">
        <f>_xlfn.IFNA(VLOOKUP($M44,[1]Buff.CM!$A:$O,14,FALSE),"")</f>
        <v/>
      </c>
      <c r="P44" s="234" t="str">
        <f>_xlfn.IFNA(VLOOKUP($M44,[1]Buff.CM!$A:$O,15,FALSE),"")</f>
        <v/>
      </c>
      <c r="Q44" s="234" t="b">
        <v>0</v>
      </c>
      <c r="R44" s="234" t="b">
        <v>0</v>
      </c>
    </row>
    <row r="45" spans="1:18" x14ac:dyDescent="0.3">
      <c r="A45" s="234" t="s">
        <v>2475</v>
      </c>
      <c r="B45" s="234"/>
      <c r="C45" s="234"/>
      <c r="D45" s="234">
        <v>0</v>
      </c>
      <c r="E45" s="234">
        <v>0</v>
      </c>
      <c r="F45" s="234">
        <v>0</v>
      </c>
      <c r="G45" s="234" t="s">
        <v>2400</v>
      </c>
      <c r="H45" s="234"/>
      <c r="I45" s="234" t="b">
        <v>0</v>
      </c>
      <c r="J45" s="157" t="b">
        <v>1</v>
      </c>
      <c r="K45" s="234" t="b">
        <v>1</v>
      </c>
      <c r="L45" s="234"/>
      <c r="M45" s="234"/>
      <c r="N45" s="234" t="str">
        <f>_xlfn.IFNA(VLOOKUP($M45,[1]Buff.CM!$A:$O,13,FALSE),"")</f>
        <v/>
      </c>
      <c r="O45" s="234" t="str">
        <f>_xlfn.IFNA(VLOOKUP($M45,[1]Buff.CM!$A:$O,14,FALSE),"")</f>
        <v/>
      </c>
      <c r="P45" s="234" t="str">
        <f>_xlfn.IFNA(VLOOKUP($M45,[1]Buff.CM!$A:$O,15,FALSE),"")</f>
        <v/>
      </c>
      <c r="Q45" s="234" t="b">
        <v>0</v>
      </c>
      <c r="R45" s="234" t="b">
        <v>0</v>
      </c>
    </row>
    <row r="46" spans="1:18" x14ac:dyDescent="0.3">
      <c r="A46" s="234" t="s">
        <v>2476</v>
      </c>
      <c r="B46" s="234"/>
      <c r="C46" s="234"/>
      <c r="D46" s="234">
        <v>0</v>
      </c>
      <c r="E46" s="234">
        <v>0</v>
      </c>
      <c r="F46" s="234">
        <v>0</v>
      </c>
      <c r="G46" s="234" t="s">
        <v>2402</v>
      </c>
      <c r="H46" s="234"/>
      <c r="I46" s="234" t="b">
        <v>0</v>
      </c>
      <c r="J46" s="157" t="b">
        <v>1</v>
      </c>
      <c r="K46" s="234" t="b">
        <v>1</v>
      </c>
      <c r="L46" s="234"/>
      <c r="M46" s="234"/>
      <c r="N46" s="234" t="str">
        <f>_xlfn.IFNA(VLOOKUP($M46,[1]Buff.CM!$A:$O,13,FALSE),"")</f>
        <v/>
      </c>
      <c r="O46" s="234" t="str">
        <f>_xlfn.IFNA(VLOOKUP($M46,[1]Buff.CM!$A:$O,14,FALSE),"")</f>
        <v/>
      </c>
      <c r="P46" s="234" t="str">
        <f>_xlfn.IFNA(VLOOKUP($M46,[1]Buff.CM!$A:$O,15,FALSE),"")</f>
        <v/>
      </c>
      <c r="Q46" s="234" t="b">
        <v>0</v>
      </c>
      <c r="R46" s="234" t="b">
        <v>0</v>
      </c>
    </row>
    <row r="47" spans="1:18" x14ac:dyDescent="0.3">
      <c r="A47" s="232" t="s">
        <v>2477</v>
      </c>
      <c r="B47" s="232"/>
      <c r="C47" s="232"/>
      <c r="D47" s="232">
        <v>0</v>
      </c>
      <c r="E47" s="232">
        <v>0</v>
      </c>
      <c r="F47" s="232">
        <v>0</v>
      </c>
      <c r="G47" s="232" t="s">
        <v>2404</v>
      </c>
      <c r="H47" s="232"/>
      <c r="I47" s="232" t="b">
        <v>0</v>
      </c>
      <c r="J47" s="157" t="b">
        <v>1</v>
      </c>
      <c r="K47" s="232" t="b">
        <v>1</v>
      </c>
      <c r="L47" s="232"/>
      <c r="M47" s="232"/>
      <c r="N47" s="232" t="str">
        <f>_xlfn.IFNA(VLOOKUP($M47,[1]Buff.CM!$A:$O,13,FALSE),"")</f>
        <v/>
      </c>
      <c r="O47" s="232" t="str">
        <f>_xlfn.IFNA(VLOOKUP($M47,[1]Buff.CM!$A:$O,14,FALSE),"")</f>
        <v/>
      </c>
      <c r="P47" s="232" t="str">
        <f>_xlfn.IFNA(VLOOKUP($M47,[1]Buff.CM!$A:$O,15,FALSE),"")</f>
        <v/>
      </c>
      <c r="Q47" s="232" t="b">
        <v>0</v>
      </c>
      <c r="R47" s="232" t="b">
        <v>0</v>
      </c>
    </row>
    <row r="48" spans="1:18" x14ac:dyDescent="0.3">
      <c r="A48" s="232" t="s">
        <v>2478</v>
      </c>
      <c r="B48" s="232"/>
      <c r="C48" s="232"/>
      <c r="D48" s="232">
        <v>0</v>
      </c>
      <c r="E48" s="232">
        <v>0</v>
      </c>
      <c r="F48" s="232">
        <v>0</v>
      </c>
      <c r="G48" s="232" t="s">
        <v>2406</v>
      </c>
      <c r="H48" s="232"/>
      <c r="I48" s="232" t="b">
        <v>0</v>
      </c>
      <c r="J48" s="157" t="b">
        <v>1</v>
      </c>
      <c r="K48" s="232" t="b">
        <v>1</v>
      </c>
      <c r="L48" s="232"/>
      <c r="M48" s="232"/>
      <c r="N48" s="232" t="str">
        <f>_xlfn.IFNA(VLOOKUP($M48,[1]Buff.CM!$A:$O,13,FALSE),"")</f>
        <v/>
      </c>
      <c r="O48" s="232" t="str">
        <f>_xlfn.IFNA(VLOOKUP($M48,[1]Buff.CM!$A:$O,14,FALSE),"")</f>
        <v/>
      </c>
      <c r="P48" s="232" t="str">
        <f>_xlfn.IFNA(VLOOKUP($M48,[1]Buff.CM!$A:$O,15,FALSE),"")</f>
        <v/>
      </c>
      <c r="Q48" s="232" t="b">
        <v>0</v>
      </c>
      <c r="R48" s="232" t="b">
        <v>0</v>
      </c>
    </row>
    <row r="49" spans="1:18" x14ac:dyDescent="0.3">
      <c r="A49" s="232" t="s">
        <v>2479</v>
      </c>
      <c r="B49" s="232"/>
      <c r="C49" s="232"/>
      <c r="D49" s="232">
        <v>0</v>
      </c>
      <c r="E49" s="232">
        <v>0</v>
      </c>
      <c r="F49" s="232">
        <v>0</v>
      </c>
      <c r="G49" s="232" t="s">
        <v>2408</v>
      </c>
      <c r="H49" s="232"/>
      <c r="I49" s="232" t="b">
        <v>0</v>
      </c>
      <c r="J49" s="157" t="b">
        <v>1</v>
      </c>
      <c r="K49" s="232" t="b">
        <v>1</v>
      </c>
      <c r="L49" s="232"/>
      <c r="M49" s="232"/>
      <c r="N49" s="232" t="str">
        <f>_xlfn.IFNA(VLOOKUP($M49,[1]Buff.CM!$A:$O,13,FALSE),"")</f>
        <v/>
      </c>
      <c r="O49" s="232" t="str">
        <f>_xlfn.IFNA(VLOOKUP($M49,[1]Buff.CM!$A:$O,14,FALSE),"")</f>
        <v/>
      </c>
      <c r="P49" s="232" t="str">
        <f>_xlfn.IFNA(VLOOKUP($M49,[1]Buff.CM!$A:$O,15,FALSE),"")</f>
        <v/>
      </c>
      <c r="Q49" s="232" t="b">
        <v>0</v>
      </c>
      <c r="R49" s="232" t="b">
        <v>0</v>
      </c>
    </row>
    <row r="50" spans="1:18" x14ac:dyDescent="0.3">
      <c r="A50" s="233" t="s">
        <v>2480</v>
      </c>
      <c r="B50" s="233"/>
      <c r="C50" s="233"/>
      <c r="D50" s="233">
        <v>0</v>
      </c>
      <c r="E50" s="233">
        <v>4</v>
      </c>
      <c r="F50" s="233">
        <v>1</v>
      </c>
      <c r="G50" s="233" t="s">
        <v>173</v>
      </c>
      <c r="H50" s="233"/>
      <c r="I50" s="233" t="b">
        <v>1</v>
      </c>
      <c r="J50" s="157" t="b">
        <v>1</v>
      </c>
      <c r="K50" s="233" t="b">
        <v>1</v>
      </c>
      <c r="L50" s="233"/>
      <c r="M50" s="233"/>
      <c r="N50" s="233" t="str">
        <f>_xlfn.IFNA(VLOOKUP($M50,[1]Buff.CM!$A:$O,13,FALSE),"")</f>
        <v/>
      </c>
      <c r="O50" s="233" t="str">
        <f>_xlfn.IFNA(VLOOKUP($M50,[1]Buff.CM!$A:$O,14,FALSE),"")</f>
        <v/>
      </c>
      <c r="P50" s="233" t="str">
        <f>_xlfn.IFNA(VLOOKUP($M50,[1]Buff.CM!$A:$O,15,FALSE),"")</f>
        <v/>
      </c>
      <c r="Q50" s="233" t="b">
        <v>0</v>
      </c>
      <c r="R50" s="233" t="b">
        <v>0</v>
      </c>
    </row>
    <row r="51" spans="1:18" x14ac:dyDescent="0.3">
      <c r="A51" s="234" t="s">
        <v>2481</v>
      </c>
      <c r="B51" s="234"/>
      <c r="C51" s="234"/>
      <c r="D51" s="234">
        <v>0</v>
      </c>
      <c r="E51" s="234">
        <v>0</v>
      </c>
      <c r="F51" s="234">
        <v>0</v>
      </c>
      <c r="G51" s="234" t="s">
        <v>2410</v>
      </c>
      <c r="H51" s="234"/>
      <c r="I51" s="234" t="b">
        <v>0</v>
      </c>
      <c r="J51" s="157" t="b">
        <v>1</v>
      </c>
      <c r="K51" s="234" t="b">
        <v>1</v>
      </c>
      <c r="L51" s="234"/>
      <c r="M51" s="234"/>
      <c r="N51" s="234" t="str">
        <f>_xlfn.IFNA(VLOOKUP($M51,[1]Buff.CM!$A:$O,13,FALSE),"")</f>
        <v/>
      </c>
      <c r="O51" s="234" t="str">
        <f>_xlfn.IFNA(VLOOKUP($M51,[1]Buff.CM!$A:$O,14,FALSE),"")</f>
        <v/>
      </c>
      <c r="P51" s="234" t="str">
        <f>_xlfn.IFNA(VLOOKUP($M51,[1]Buff.CM!$A:$O,15,FALSE),"")</f>
        <v/>
      </c>
      <c r="Q51" s="234" t="b">
        <v>0</v>
      </c>
      <c r="R51" s="234" t="b">
        <v>0</v>
      </c>
    </row>
    <row r="52" spans="1:18" x14ac:dyDescent="0.3">
      <c r="A52" s="234" t="s">
        <v>2482</v>
      </c>
      <c r="B52" s="234"/>
      <c r="C52" s="234"/>
      <c r="D52" s="234">
        <v>0</v>
      </c>
      <c r="E52" s="234">
        <v>0</v>
      </c>
      <c r="F52" s="234">
        <v>0</v>
      </c>
      <c r="G52" s="234" t="s">
        <v>2412</v>
      </c>
      <c r="H52" s="234"/>
      <c r="I52" s="234" t="b">
        <v>0</v>
      </c>
      <c r="J52" s="157" t="b">
        <v>1</v>
      </c>
      <c r="K52" s="234" t="b">
        <v>1</v>
      </c>
      <c r="L52" s="234"/>
      <c r="M52" s="234"/>
      <c r="N52" s="234" t="str">
        <f>_xlfn.IFNA(VLOOKUP($M52,[1]Buff.CM!$A:$O,13,FALSE),"")</f>
        <v/>
      </c>
      <c r="O52" s="234" t="str">
        <f>_xlfn.IFNA(VLOOKUP($M52,[1]Buff.CM!$A:$O,14,FALSE),"")</f>
        <v/>
      </c>
      <c r="P52" s="234" t="str">
        <f>_xlfn.IFNA(VLOOKUP($M52,[1]Buff.CM!$A:$O,15,FALSE),"")</f>
        <v/>
      </c>
      <c r="Q52" s="234" t="b">
        <v>0</v>
      </c>
      <c r="R52" s="234" t="b">
        <v>0</v>
      </c>
    </row>
    <row r="53" spans="1:18" x14ac:dyDescent="0.3">
      <c r="A53" s="234" t="s">
        <v>2483</v>
      </c>
      <c r="B53" s="234"/>
      <c r="C53" s="234"/>
      <c r="D53" s="234">
        <v>0</v>
      </c>
      <c r="E53" s="234">
        <v>0</v>
      </c>
      <c r="F53" s="234">
        <v>0</v>
      </c>
      <c r="G53" s="234" t="s">
        <v>2414</v>
      </c>
      <c r="H53" s="234"/>
      <c r="I53" s="234" t="b">
        <v>0</v>
      </c>
      <c r="J53" s="157" t="b">
        <v>1</v>
      </c>
      <c r="K53" s="234" t="b">
        <v>1</v>
      </c>
      <c r="L53" s="234"/>
      <c r="M53" s="234"/>
      <c r="N53" s="234" t="str">
        <f>_xlfn.IFNA(VLOOKUP($M53,[1]Buff.CM!$A:$O,13,FALSE),"")</f>
        <v/>
      </c>
      <c r="O53" s="234" t="str">
        <f>_xlfn.IFNA(VLOOKUP($M53,[1]Buff.CM!$A:$O,14,FALSE),"")</f>
        <v/>
      </c>
      <c r="P53" s="234" t="str">
        <f>_xlfn.IFNA(VLOOKUP($M53,[1]Buff.CM!$A:$O,15,FALSE),"")</f>
        <v/>
      </c>
      <c r="Q53" s="234" t="b">
        <v>0</v>
      </c>
      <c r="R53" s="234" t="b">
        <v>0</v>
      </c>
    </row>
    <row r="54" spans="1:18" x14ac:dyDescent="0.3">
      <c r="A54" s="232" t="s">
        <v>2484</v>
      </c>
      <c r="B54" s="232"/>
      <c r="C54" s="232"/>
      <c r="D54" s="232">
        <v>0</v>
      </c>
      <c r="E54" s="232">
        <v>0</v>
      </c>
      <c r="F54" s="232">
        <v>0</v>
      </c>
      <c r="G54" s="232" t="s">
        <v>2416</v>
      </c>
      <c r="H54" s="232"/>
      <c r="I54" s="232" t="b">
        <v>0</v>
      </c>
      <c r="J54" s="157" t="b">
        <v>1</v>
      </c>
      <c r="K54" s="232" t="b">
        <v>1</v>
      </c>
      <c r="L54" s="232"/>
      <c r="M54" s="232"/>
      <c r="N54" s="232" t="str">
        <f>_xlfn.IFNA(VLOOKUP($M54,[1]Buff.CM!$A:$O,13,FALSE),"")</f>
        <v/>
      </c>
      <c r="O54" s="232" t="str">
        <f>_xlfn.IFNA(VLOOKUP($M54,[1]Buff.CM!$A:$O,14,FALSE),"")</f>
        <v/>
      </c>
      <c r="P54" s="232" t="str">
        <f>_xlfn.IFNA(VLOOKUP($M54,[1]Buff.CM!$A:$O,15,FALSE),"")</f>
        <v/>
      </c>
      <c r="Q54" s="232" t="b">
        <v>0</v>
      </c>
      <c r="R54" s="232" t="b">
        <v>0</v>
      </c>
    </row>
    <row r="55" spans="1:18" x14ac:dyDescent="0.3">
      <c r="A55" s="232" t="s">
        <v>2485</v>
      </c>
      <c r="B55" s="232"/>
      <c r="C55" s="232"/>
      <c r="D55" s="232">
        <v>0</v>
      </c>
      <c r="E55" s="232">
        <v>0</v>
      </c>
      <c r="F55" s="232">
        <v>0</v>
      </c>
      <c r="G55" s="232" t="s">
        <v>2418</v>
      </c>
      <c r="H55" s="232"/>
      <c r="I55" s="232" t="b">
        <v>0</v>
      </c>
      <c r="J55" s="157" t="b">
        <v>1</v>
      </c>
      <c r="K55" s="232" t="b">
        <v>1</v>
      </c>
      <c r="L55" s="232"/>
      <c r="M55" s="232"/>
      <c r="N55" s="232" t="str">
        <f>_xlfn.IFNA(VLOOKUP($M55,[1]Buff.CM!$A:$O,13,FALSE),"")</f>
        <v/>
      </c>
      <c r="O55" s="232" t="str">
        <f>_xlfn.IFNA(VLOOKUP($M55,[1]Buff.CM!$A:$O,14,FALSE),"")</f>
        <v/>
      </c>
      <c r="P55" s="232" t="str">
        <f>_xlfn.IFNA(VLOOKUP($M55,[1]Buff.CM!$A:$O,15,FALSE),"")</f>
        <v/>
      </c>
      <c r="Q55" s="232" t="b">
        <v>0</v>
      </c>
      <c r="R55" s="232" t="b">
        <v>0</v>
      </c>
    </row>
    <row r="56" spans="1:18" x14ac:dyDescent="0.3">
      <c r="A56" s="232" t="s">
        <v>2486</v>
      </c>
      <c r="B56" s="232"/>
      <c r="C56" s="232"/>
      <c r="D56" s="232">
        <v>0</v>
      </c>
      <c r="E56" s="232">
        <v>0</v>
      </c>
      <c r="F56" s="232">
        <v>0</v>
      </c>
      <c r="G56" s="232" t="s">
        <v>2420</v>
      </c>
      <c r="H56" s="232"/>
      <c r="I56" s="232" t="b">
        <v>0</v>
      </c>
      <c r="J56" s="157" t="b">
        <v>1</v>
      </c>
      <c r="K56" s="232" t="b">
        <v>1</v>
      </c>
      <c r="L56" s="232"/>
      <c r="M56" s="232"/>
      <c r="N56" s="232" t="str">
        <f>_xlfn.IFNA(VLOOKUP($M56,[1]Buff.CM!$A:$O,13,FALSE),"")</f>
        <v/>
      </c>
      <c r="O56" s="232" t="str">
        <f>_xlfn.IFNA(VLOOKUP($M56,[1]Buff.CM!$A:$O,14,FALSE),"")</f>
        <v/>
      </c>
      <c r="P56" s="232" t="str">
        <f>_xlfn.IFNA(VLOOKUP($M56,[1]Buff.CM!$A:$O,15,FALSE),"")</f>
        <v/>
      </c>
      <c r="Q56" s="232" t="b">
        <v>0</v>
      </c>
      <c r="R56" s="232" t="b">
        <v>0</v>
      </c>
    </row>
    <row r="57" spans="1:18" x14ac:dyDescent="0.3">
      <c r="A57" s="233" t="s">
        <v>4077</v>
      </c>
      <c r="B57" s="233"/>
      <c r="C57" s="233"/>
      <c r="D57" s="233">
        <v>0</v>
      </c>
      <c r="E57" s="233">
        <v>0</v>
      </c>
      <c r="F57" s="233">
        <v>0</v>
      </c>
      <c r="G57" s="233" t="s">
        <v>3994</v>
      </c>
      <c r="H57" s="233"/>
      <c r="I57" s="233" t="b">
        <v>0</v>
      </c>
      <c r="J57" s="233" t="b">
        <v>0</v>
      </c>
      <c r="K57" s="233" t="b">
        <v>1</v>
      </c>
      <c r="L57" s="233"/>
      <c r="M57" s="233"/>
      <c r="N57" s="233" t="str">
        <f>_xlfn.IFNA(VLOOKUP($M57,[1]Buff.CM!$A:$O,13,FALSE),"")</f>
        <v/>
      </c>
      <c r="O57" s="233" t="str">
        <f>_xlfn.IFNA(VLOOKUP($M57,[1]Buff.CM!$A:$O,14,FALSE),"")</f>
        <v/>
      </c>
      <c r="P57" s="233" t="str">
        <f>_xlfn.IFNA(VLOOKUP($M57,[1]Buff.CM!$A:$O,15,FALSE),"")</f>
        <v/>
      </c>
      <c r="Q57" s="233" t="b">
        <v>0</v>
      </c>
      <c r="R57" s="233" t="b">
        <v>0</v>
      </c>
    </row>
    <row r="58" spans="1:18" x14ac:dyDescent="0.3">
      <c r="A58" s="234" t="s">
        <v>4062</v>
      </c>
      <c r="B58" s="234"/>
      <c r="C58" s="234"/>
      <c r="D58" s="234">
        <v>2000</v>
      </c>
      <c r="E58" s="234">
        <v>0</v>
      </c>
      <c r="F58" s="234">
        <v>0</v>
      </c>
      <c r="G58" s="234" t="s">
        <v>173</v>
      </c>
      <c r="H58" s="234"/>
      <c r="I58" s="234" t="b">
        <v>1</v>
      </c>
      <c r="J58" s="234" t="b">
        <v>0</v>
      </c>
      <c r="K58" s="234" t="b">
        <v>1</v>
      </c>
      <c r="L58" s="234"/>
      <c r="M58" s="234"/>
      <c r="N58" s="234" t="str">
        <f>_xlfn.IFNA(VLOOKUP($M58,[1]Buff.CM!$A:$O,13,FALSE),"")</f>
        <v/>
      </c>
      <c r="O58" s="234" t="str">
        <f>_xlfn.IFNA(VLOOKUP($M58,[1]Buff.CM!$A:$O,14,FALSE),"")</f>
        <v/>
      </c>
      <c r="P58" s="234" t="str">
        <f>_xlfn.IFNA(VLOOKUP($M58,[1]Buff.CM!$A:$O,15,FALSE),"")</f>
        <v/>
      </c>
      <c r="Q58" s="234" t="b">
        <v>0</v>
      </c>
      <c r="R58" s="234" t="b">
        <v>0</v>
      </c>
    </row>
    <row r="59" spans="1:18" x14ac:dyDescent="0.3">
      <c r="A59" s="233" t="s">
        <v>4078</v>
      </c>
      <c r="B59" s="233"/>
      <c r="C59" s="233"/>
      <c r="D59" s="233">
        <v>10000</v>
      </c>
      <c r="E59" s="233">
        <v>0</v>
      </c>
      <c r="F59" s="233">
        <v>0</v>
      </c>
      <c r="G59" s="233" t="s">
        <v>3996</v>
      </c>
      <c r="H59" s="233"/>
      <c r="I59" s="233" t="b">
        <v>0</v>
      </c>
      <c r="J59" s="233" t="b">
        <v>0</v>
      </c>
      <c r="K59" s="233" t="b">
        <v>1</v>
      </c>
      <c r="L59" s="233"/>
      <c r="M59" s="233"/>
      <c r="N59" s="233" t="str">
        <f>_xlfn.IFNA(VLOOKUP($M59,[1]Buff.CM!$A:$O,13,FALSE),"")</f>
        <v/>
      </c>
      <c r="O59" s="233" t="str">
        <f>_xlfn.IFNA(VLOOKUP($M59,[1]Buff.CM!$A:$O,14,FALSE),"")</f>
        <v/>
      </c>
      <c r="P59" s="233" t="str">
        <f>_xlfn.IFNA(VLOOKUP($M59,[1]Buff.CM!$A:$O,15,FALSE),"")</f>
        <v/>
      </c>
      <c r="Q59" s="233" t="b">
        <v>0</v>
      </c>
      <c r="R59" s="233" t="b">
        <v>0</v>
      </c>
    </row>
    <row r="60" spans="1:18" x14ac:dyDescent="0.3">
      <c r="A60" s="234" t="s">
        <v>4064</v>
      </c>
      <c r="B60" s="234"/>
      <c r="C60" s="234"/>
      <c r="D60" s="234">
        <v>1000</v>
      </c>
      <c r="E60" s="234">
        <v>0</v>
      </c>
      <c r="F60" s="234">
        <v>0</v>
      </c>
      <c r="G60" s="234" t="s">
        <v>173</v>
      </c>
      <c r="H60" s="234"/>
      <c r="I60" s="234" t="b">
        <v>1</v>
      </c>
      <c r="J60" s="234" t="b">
        <v>0</v>
      </c>
      <c r="K60" s="234" t="b">
        <v>1</v>
      </c>
      <c r="L60" s="234"/>
      <c r="M60" s="234"/>
      <c r="N60" s="234" t="str">
        <f>_xlfn.IFNA(VLOOKUP($M60,[1]Buff.CM!$A:$O,13,FALSE),"")</f>
        <v/>
      </c>
      <c r="O60" s="234" t="str">
        <f>_xlfn.IFNA(VLOOKUP($M60,[1]Buff.CM!$A:$O,14,FALSE),"")</f>
        <v/>
      </c>
      <c r="P60" s="234" t="str">
        <f>_xlfn.IFNA(VLOOKUP($M60,[1]Buff.CM!$A:$O,15,FALSE),"")</f>
        <v/>
      </c>
      <c r="Q60" s="234" t="b">
        <v>0</v>
      </c>
      <c r="R60" s="234" t="b">
        <v>0</v>
      </c>
    </row>
    <row r="61" spans="1:18" x14ac:dyDescent="0.3">
      <c r="A61" s="157" t="s">
        <v>4079</v>
      </c>
      <c r="B61" s="157"/>
      <c r="C61" s="157"/>
      <c r="D61" s="157">
        <v>8000</v>
      </c>
      <c r="E61" s="157">
        <v>0</v>
      </c>
      <c r="F61" s="157">
        <v>0</v>
      </c>
      <c r="G61" s="157" t="s">
        <v>3998</v>
      </c>
      <c r="H61" s="157"/>
      <c r="I61" s="157" t="b">
        <v>0</v>
      </c>
      <c r="J61" s="157" t="b">
        <v>0</v>
      </c>
      <c r="K61" s="157" t="b">
        <v>1</v>
      </c>
      <c r="L61" s="157" t="s">
        <v>63</v>
      </c>
      <c r="M61" s="157" t="s">
        <v>3992</v>
      </c>
      <c r="N61" s="157" t="str">
        <f>_xlfn.IFNA(VLOOKUP($M61,[1]Buff.CM!$A:$O,13,FALSE),"")</f>
        <v>icon_battle_critical</v>
      </c>
      <c r="O61" s="157" t="str">
        <f>_xlfn.IFNA(VLOOKUP($M61,[1]Buff.CM!$A:$O,14,FALSE),"")</f>
        <v>Buff.Name.Critical.Up.00</v>
      </c>
      <c r="P61" s="157" t="str">
        <f>_xlfn.IFNA(VLOOKUP($M61,[1]Buff.CM!$A:$O,15,FALSE),"")</f>
        <v>Buff.Desc.Critical.Up.00</v>
      </c>
      <c r="Q61" s="157" t="b">
        <v>0</v>
      </c>
      <c r="R61" s="157" t="b">
        <v>0</v>
      </c>
    </row>
    <row r="62" spans="1:18" x14ac:dyDescent="0.3">
      <c r="A62" s="157" t="s">
        <v>4080</v>
      </c>
      <c r="B62" s="157"/>
      <c r="C62" s="157"/>
      <c r="D62" s="157">
        <v>8000</v>
      </c>
      <c r="E62" s="157">
        <v>0</v>
      </c>
      <c r="F62" s="157">
        <v>0</v>
      </c>
      <c r="G62" s="157" t="s">
        <v>3999</v>
      </c>
      <c r="H62" s="157"/>
      <c r="I62" s="157" t="b">
        <v>0</v>
      </c>
      <c r="J62" s="157" t="b">
        <v>0</v>
      </c>
      <c r="K62" s="157" t="b">
        <v>1</v>
      </c>
      <c r="L62" s="157" t="s">
        <v>63</v>
      </c>
      <c r="M62" s="157" t="s">
        <v>3992</v>
      </c>
      <c r="N62" s="157" t="str">
        <f>_xlfn.IFNA(VLOOKUP($M62,[1]Buff.CM!$A:$O,13,FALSE),"")</f>
        <v>icon_battle_critical</v>
      </c>
      <c r="O62" s="157" t="str">
        <f>_xlfn.IFNA(VLOOKUP($M62,[1]Buff.CM!$A:$O,14,FALSE),"")</f>
        <v>Buff.Name.Critical.Up.00</v>
      </c>
      <c r="P62" s="157" t="str">
        <f>_xlfn.IFNA(VLOOKUP($M62,[1]Buff.CM!$A:$O,15,FALSE),"")</f>
        <v>Buff.Desc.Critical.Up.00</v>
      </c>
      <c r="Q62" s="157" t="b">
        <v>0</v>
      </c>
      <c r="R62" s="157" t="b">
        <v>0</v>
      </c>
    </row>
    <row r="63" spans="1:18" x14ac:dyDescent="0.3">
      <c r="A63" s="157" t="s">
        <v>4081</v>
      </c>
      <c r="B63" s="157"/>
      <c r="C63" s="157"/>
      <c r="D63" s="157">
        <v>8000</v>
      </c>
      <c r="E63" s="157">
        <v>0</v>
      </c>
      <c r="F63" s="157">
        <v>0</v>
      </c>
      <c r="G63" s="157" t="s">
        <v>4000</v>
      </c>
      <c r="H63" s="157"/>
      <c r="I63" s="157" t="b">
        <v>0</v>
      </c>
      <c r="J63" s="157" t="b">
        <v>0</v>
      </c>
      <c r="K63" s="157" t="b">
        <v>1</v>
      </c>
      <c r="L63" s="157" t="s">
        <v>63</v>
      </c>
      <c r="M63" s="157" t="s">
        <v>3992</v>
      </c>
      <c r="N63" s="157" t="str">
        <f>_xlfn.IFNA(VLOOKUP($M63,[1]Buff.CM!$A:$O,13,FALSE),"")</f>
        <v>icon_battle_critical</v>
      </c>
      <c r="O63" s="157" t="str">
        <f>_xlfn.IFNA(VLOOKUP($M63,[1]Buff.CM!$A:$O,14,FALSE),"")</f>
        <v>Buff.Name.Critical.Up.00</v>
      </c>
      <c r="P63" s="157" t="str">
        <f>_xlfn.IFNA(VLOOKUP($M63,[1]Buff.CM!$A:$O,15,FALSE),"")</f>
        <v>Buff.Desc.Critical.Up.00</v>
      </c>
      <c r="Q63" s="157" t="b">
        <v>0</v>
      </c>
      <c r="R63" s="157" t="b">
        <v>0</v>
      </c>
    </row>
    <row r="64" spans="1:18" x14ac:dyDescent="0.3">
      <c r="A64" s="232" t="s">
        <v>4082</v>
      </c>
      <c r="B64" s="232"/>
      <c r="C64" s="232"/>
      <c r="D64" s="232">
        <v>8000</v>
      </c>
      <c r="E64" s="232">
        <v>0</v>
      </c>
      <c r="F64" s="232">
        <v>0</v>
      </c>
      <c r="G64" s="232" t="s">
        <v>4001</v>
      </c>
      <c r="H64" s="232"/>
      <c r="I64" s="232" t="b">
        <v>0</v>
      </c>
      <c r="J64" s="232" t="b">
        <v>0</v>
      </c>
      <c r="K64" s="232" t="b">
        <v>1</v>
      </c>
      <c r="L64" s="232" t="s">
        <v>63</v>
      </c>
      <c r="M64" s="232" t="s">
        <v>3992</v>
      </c>
      <c r="N64" s="232" t="str">
        <f>_xlfn.IFNA(VLOOKUP($M64,[1]Buff.CM!$A:$O,13,FALSE),"")</f>
        <v>icon_battle_critical</v>
      </c>
      <c r="O64" s="232" t="str">
        <f>_xlfn.IFNA(VLOOKUP($M64,[1]Buff.CM!$A:$O,14,FALSE),"")</f>
        <v>Buff.Name.Critical.Up.00</v>
      </c>
      <c r="P64" s="232" t="str">
        <f>_xlfn.IFNA(VLOOKUP($M64,[1]Buff.CM!$A:$O,15,FALSE),"")</f>
        <v>Buff.Desc.Critical.Up.00</v>
      </c>
      <c r="Q64" s="232" t="b">
        <v>0</v>
      </c>
      <c r="R64" s="232" t="b">
        <v>0</v>
      </c>
    </row>
    <row r="65" spans="1:18" x14ac:dyDescent="0.3">
      <c r="A65" s="232" t="s">
        <v>4083</v>
      </c>
      <c r="B65" s="232"/>
      <c r="C65" s="232"/>
      <c r="D65" s="232">
        <v>8000</v>
      </c>
      <c r="E65" s="232">
        <v>0</v>
      </c>
      <c r="F65" s="232">
        <v>0</v>
      </c>
      <c r="G65" s="232" t="s">
        <v>4002</v>
      </c>
      <c r="H65" s="232"/>
      <c r="I65" s="232" t="b">
        <v>0</v>
      </c>
      <c r="J65" s="232" t="b">
        <v>0</v>
      </c>
      <c r="K65" s="232" t="b">
        <v>1</v>
      </c>
      <c r="L65" s="232" t="s">
        <v>63</v>
      </c>
      <c r="M65" s="232" t="s">
        <v>3992</v>
      </c>
      <c r="N65" s="232" t="str">
        <f>_xlfn.IFNA(VLOOKUP($M65,[1]Buff.CM!$A:$O,13,FALSE),"")</f>
        <v>icon_battle_critical</v>
      </c>
      <c r="O65" s="232" t="str">
        <f>_xlfn.IFNA(VLOOKUP($M65,[1]Buff.CM!$A:$O,14,FALSE),"")</f>
        <v>Buff.Name.Critical.Up.00</v>
      </c>
      <c r="P65" s="232" t="str">
        <f>_xlfn.IFNA(VLOOKUP($M65,[1]Buff.CM!$A:$O,15,FALSE),"")</f>
        <v>Buff.Desc.Critical.Up.00</v>
      </c>
      <c r="Q65" s="232" t="b">
        <v>0</v>
      </c>
      <c r="R65" s="232" t="b">
        <v>0</v>
      </c>
    </row>
    <row r="66" spans="1:18" x14ac:dyDescent="0.3">
      <c r="A66" s="232" t="s">
        <v>4084</v>
      </c>
      <c r="B66" s="232"/>
      <c r="C66" s="232"/>
      <c r="D66" s="232">
        <v>8000</v>
      </c>
      <c r="E66" s="232">
        <v>0</v>
      </c>
      <c r="F66" s="232">
        <v>0</v>
      </c>
      <c r="G66" s="232" t="s">
        <v>4003</v>
      </c>
      <c r="H66" s="232"/>
      <c r="I66" s="232" t="b">
        <v>0</v>
      </c>
      <c r="J66" s="232" t="b">
        <v>0</v>
      </c>
      <c r="K66" s="232" t="b">
        <v>1</v>
      </c>
      <c r="L66" s="232" t="s">
        <v>63</v>
      </c>
      <c r="M66" s="232" t="s">
        <v>3992</v>
      </c>
      <c r="N66" s="232" t="str">
        <f>_xlfn.IFNA(VLOOKUP($M66,[1]Buff.CM!$A:$O,13,FALSE),"")</f>
        <v>icon_battle_critical</v>
      </c>
      <c r="O66" s="232" t="str">
        <f>_xlfn.IFNA(VLOOKUP($M66,[1]Buff.CM!$A:$O,14,FALSE),"")</f>
        <v>Buff.Name.Critical.Up.00</v>
      </c>
      <c r="P66" s="232" t="str">
        <f>_xlfn.IFNA(VLOOKUP($M66,[1]Buff.CM!$A:$O,15,FALSE),"")</f>
        <v>Buff.Desc.Critical.Up.00</v>
      </c>
      <c r="Q66" s="232" t="b">
        <v>0</v>
      </c>
      <c r="R66" s="232" t="b">
        <v>0</v>
      </c>
    </row>
    <row r="67" spans="1:18" x14ac:dyDescent="0.3">
      <c r="A67" s="231" t="s">
        <v>4085</v>
      </c>
      <c r="B67" s="231"/>
      <c r="C67" s="231"/>
      <c r="D67" s="231">
        <v>4000</v>
      </c>
      <c r="E67" s="231">
        <v>3</v>
      </c>
      <c r="F67" s="231">
        <v>1</v>
      </c>
      <c r="G67" s="231" t="s">
        <v>4004</v>
      </c>
      <c r="H67" s="231"/>
      <c r="I67" s="231" t="b">
        <v>0</v>
      </c>
      <c r="J67" s="231" t="b">
        <v>0</v>
      </c>
      <c r="K67" s="231" t="b">
        <v>0</v>
      </c>
      <c r="L67" s="231" t="s">
        <v>55</v>
      </c>
      <c r="M67" s="231" t="s">
        <v>3993</v>
      </c>
      <c r="N67" s="231" t="str">
        <f>_xlfn.IFNA(VLOOKUP($M67,[1]Buff.CM!$A:$O,13,FALSE),"")</f>
        <v>icon_battle_defense</v>
      </c>
      <c r="O67" s="231" t="str">
        <f>_xlfn.IFNA(VLOOKUP($M67,[1]Buff.CM!$A:$O,14,FALSE),"")</f>
        <v>Buff.Name.Def.Down.00</v>
      </c>
      <c r="P67" s="231" t="str">
        <f>_xlfn.IFNA(VLOOKUP($M67,[1]Buff.CM!$A:$O,15,FALSE),"")</f>
        <v>Buff.Desc.Def.Down.00</v>
      </c>
      <c r="Q67" s="231" t="b">
        <v>0</v>
      </c>
      <c r="R67" s="231" t="b">
        <v>0</v>
      </c>
    </row>
    <row r="68" spans="1:18" x14ac:dyDescent="0.3">
      <c r="A68" s="231" t="s">
        <v>4086</v>
      </c>
      <c r="B68" s="231"/>
      <c r="C68" s="231"/>
      <c r="D68" s="231">
        <v>4000</v>
      </c>
      <c r="E68" s="231">
        <v>3</v>
      </c>
      <c r="F68" s="231">
        <v>1</v>
      </c>
      <c r="G68" s="231" t="s">
        <v>4005</v>
      </c>
      <c r="H68" s="231"/>
      <c r="I68" s="231" t="b">
        <v>0</v>
      </c>
      <c r="J68" s="231" t="b">
        <v>0</v>
      </c>
      <c r="K68" s="231" t="b">
        <v>0</v>
      </c>
      <c r="L68" s="231" t="s">
        <v>55</v>
      </c>
      <c r="M68" s="231" t="s">
        <v>3993</v>
      </c>
      <c r="N68" s="231" t="str">
        <f>_xlfn.IFNA(VLOOKUP($M68,[1]Buff.CM!$A:$O,13,FALSE),"")</f>
        <v>icon_battle_defense</v>
      </c>
      <c r="O68" s="231" t="str">
        <f>_xlfn.IFNA(VLOOKUP($M68,[1]Buff.CM!$A:$O,14,FALSE),"")</f>
        <v>Buff.Name.Def.Down.00</v>
      </c>
      <c r="P68" s="231" t="str">
        <f>_xlfn.IFNA(VLOOKUP($M68,[1]Buff.CM!$A:$O,15,FALSE),"")</f>
        <v>Buff.Desc.Def.Down.00</v>
      </c>
      <c r="Q68" s="231" t="b">
        <v>0</v>
      </c>
      <c r="R68" s="231" t="b">
        <v>0</v>
      </c>
    </row>
    <row r="69" spans="1:18" x14ac:dyDescent="0.3">
      <c r="A69" s="231" t="s">
        <v>4087</v>
      </c>
      <c r="B69" s="231"/>
      <c r="C69" s="231"/>
      <c r="D69" s="231">
        <v>4000</v>
      </c>
      <c r="E69" s="231">
        <v>3</v>
      </c>
      <c r="F69" s="231">
        <v>1</v>
      </c>
      <c r="G69" s="231" t="s">
        <v>4006</v>
      </c>
      <c r="H69" s="231"/>
      <c r="I69" s="231" t="b">
        <v>0</v>
      </c>
      <c r="J69" s="231" t="b">
        <v>0</v>
      </c>
      <c r="K69" s="231" t="b">
        <v>0</v>
      </c>
      <c r="L69" s="231" t="s">
        <v>55</v>
      </c>
      <c r="M69" s="231" t="s">
        <v>3993</v>
      </c>
      <c r="N69" s="231" t="str">
        <f>_xlfn.IFNA(VLOOKUP($M69,[1]Buff.CM!$A:$O,13,FALSE),"")</f>
        <v>icon_battle_defense</v>
      </c>
      <c r="O69" s="231" t="str">
        <f>_xlfn.IFNA(VLOOKUP($M69,[1]Buff.CM!$A:$O,14,FALSE),"")</f>
        <v>Buff.Name.Def.Down.00</v>
      </c>
      <c r="P69" s="231" t="str">
        <f>_xlfn.IFNA(VLOOKUP($M69,[1]Buff.CM!$A:$O,15,FALSE),"")</f>
        <v>Buff.Desc.Def.Down.00</v>
      </c>
      <c r="Q69" s="231" t="b">
        <v>0</v>
      </c>
      <c r="R69" s="231" t="b">
        <v>0</v>
      </c>
    </row>
    <row r="70" spans="1:18" x14ac:dyDescent="0.3">
      <c r="A70" s="232" t="s">
        <v>4088</v>
      </c>
      <c r="B70" s="232"/>
      <c r="C70" s="232"/>
      <c r="D70" s="232">
        <v>4000</v>
      </c>
      <c r="E70" s="232">
        <v>3</v>
      </c>
      <c r="F70" s="232">
        <v>1</v>
      </c>
      <c r="G70" s="232" t="s">
        <v>4007</v>
      </c>
      <c r="H70" s="232"/>
      <c r="I70" s="232" t="b">
        <v>0</v>
      </c>
      <c r="J70" s="232" t="b">
        <v>0</v>
      </c>
      <c r="K70" s="232" t="b">
        <v>0</v>
      </c>
      <c r="L70" s="231" t="s">
        <v>55</v>
      </c>
      <c r="M70" s="232" t="s">
        <v>3993</v>
      </c>
      <c r="N70" s="232" t="str">
        <f>_xlfn.IFNA(VLOOKUP($M70,[1]Buff.CM!$A:$O,13,FALSE),"")</f>
        <v>icon_battle_defense</v>
      </c>
      <c r="O70" s="232" t="str">
        <f>_xlfn.IFNA(VLOOKUP($M70,[1]Buff.CM!$A:$O,14,FALSE),"")</f>
        <v>Buff.Name.Def.Down.00</v>
      </c>
      <c r="P70" s="232" t="str">
        <f>_xlfn.IFNA(VLOOKUP($M70,[1]Buff.CM!$A:$O,15,FALSE),"")</f>
        <v>Buff.Desc.Def.Down.00</v>
      </c>
      <c r="Q70" s="232" t="b">
        <v>0</v>
      </c>
      <c r="R70" s="232" t="b">
        <v>0</v>
      </c>
    </row>
    <row r="71" spans="1:18" x14ac:dyDescent="0.3">
      <c r="A71" s="232" t="s">
        <v>4089</v>
      </c>
      <c r="B71" s="232"/>
      <c r="C71" s="232"/>
      <c r="D71" s="232">
        <v>4000</v>
      </c>
      <c r="E71" s="232">
        <v>3</v>
      </c>
      <c r="F71" s="232">
        <v>1</v>
      </c>
      <c r="G71" s="232" t="s">
        <v>4008</v>
      </c>
      <c r="H71" s="232"/>
      <c r="I71" s="232" t="b">
        <v>0</v>
      </c>
      <c r="J71" s="232" t="b">
        <v>0</v>
      </c>
      <c r="K71" s="232" t="b">
        <v>0</v>
      </c>
      <c r="L71" s="231" t="s">
        <v>55</v>
      </c>
      <c r="M71" s="232" t="s">
        <v>3993</v>
      </c>
      <c r="N71" s="232" t="str">
        <f>_xlfn.IFNA(VLOOKUP($M71,[1]Buff.CM!$A:$O,13,FALSE),"")</f>
        <v>icon_battle_defense</v>
      </c>
      <c r="O71" s="232" t="str">
        <f>_xlfn.IFNA(VLOOKUP($M71,[1]Buff.CM!$A:$O,14,FALSE),"")</f>
        <v>Buff.Name.Def.Down.00</v>
      </c>
      <c r="P71" s="232" t="str">
        <f>_xlfn.IFNA(VLOOKUP($M71,[1]Buff.CM!$A:$O,15,FALSE),"")</f>
        <v>Buff.Desc.Def.Down.00</v>
      </c>
      <c r="Q71" s="232" t="b">
        <v>0</v>
      </c>
      <c r="R71" s="232" t="b">
        <v>0</v>
      </c>
    </row>
    <row r="72" spans="1:18" x14ac:dyDescent="0.3">
      <c r="A72" s="232" t="s">
        <v>4090</v>
      </c>
      <c r="B72" s="232"/>
      <c r="C72" s="232"/>
      <c r="D72" s="232">
        <v>4000</v>
      </c>
      <c r="E72" s="232">
        <v>3</v>
      </c>
      <c r="F72" s="232">
        <v>1</v>
      </c>
      <c r="G72" s="232" t="s">
        <v>4009</v>
      </c>
      <c r="H72" s="232"/>
      <c r="I72" s="232" t="b">
        <v>0</v>
      </c>
      <c r="J72" s="232" t="b">
        <v>0</v>
      </c>
      <c r="K72" s="232" t="b">
        <v>0</v>
      </c>
      <c r="L72" s="231" t="s">
        <v>55</v>
      </c>
      <c r="M72" s="232" t="s">
        <v>3993</v>
      </c>
      <c r="N72" s="232" t="str">
        <f>_xlfn.IFNA(VLOOKUP($M72,[1]Buff.CM!$A:$O,13,FALSE),"")</f>
        <v>icon_battle_defense</v>
      </c>
      <c r="O72" s="232" t="str">
        <f>_xlfn.IFNA(VLOOKUP($M72,[1]Buff.CM!$A:$O,14,FALSE),"")</f>
        <v>Buff.Name.Def.Down.00</v>
      </c>
      <c r="P72" s="232" t="str">
        <f>_xlfn.IFNA(VLOOKUP($M72,[1]Buff.CM!$A:$O,15,FALSE),"")</f>
        <v>Buff.Desc.Def.Down.00</v>
      </c>
      <c r="Q72" s="232" t="b">
        <v>0</v>
      </c>
      <c r="R72" s="232" t="b">
        <v>0</v>
      </c>
    </row>
    <row r="73" spans="1:18" ht="33" x14ac:dyDescent="0.3">
      <c r="A73" s="157" t="s">
        <v>4091</v>
      </c>
      <c r="B73" s="157"/>
      <c r="C73" s="157"/>
      <c r="D73" s="157">
        <v>0</v>
      </c>
      <c r="E73" s="157">
        <v>0</v>
      </c>
      <c r="F73" s="157">
        <v>0</v>
      </c>
      <c r="G73" s="252" t="s">
        <v>4092</v>
      </c>
      <c r="H73" s="157"/>
      <c r="I73" s="157" t="b">
        <v>0</v>
      </c>
      <c r="J73" s="157" t="b">
        <v>1</v>
      </c>
      <c r="K73" s="157" t="b">
        <v>1</v>
      </c>
      <c r="L73" s="157"/>
      <c r="M73" s="157"/>
      <c r="N73" s="157" t="str">
        <f>_xlfn.IFNA(VLOOKUP($M73,[1]Buff.CM!$A:$O,13,FALSE),"")</f>
        <v/>
      </c>
      <c r="O73" s="157" t="str">
        <f>_xlfn.IFNA(VLOOKUP($M73,[1]Buff.CM!$A:$O,14,FALSE),"")</f>
        <v/>
      </c>
      <c r="P73" s="157" t="str">
        <f>_xlfn.IFNA(VLOOKUP($M73,[1]Buff.CM!$A:$O,15,FALSE),"")</f>
        <v/>
      </c>
      <c r="Q73" s="157" t="b">
        <v>0</v>
      </c>
      <c r="R73" s="157" t="b">
        <v>0</v>
      </c>
    </row>
    <row r="74" spans="1:18" ht="33" x14ac:dyDescent="0.3">
      <c r="A74" s="157" t="s">
        <v>4093</v>
      </c>
      <c r="B74" s="157"/>
      <c r="C74" s="157"/>
      <c r="D74" s="157">
        <v>0</v>
      </c>
      <c r="E74" s="157">
        <v>0</v>
      </c>
      <c r="F74" s="157">
        <v>0</v>
      </c>
      <c r="G74" s="252" t="s">
        <v>4094</v>
      </c>
      <c r="H74" s="157"/>
      <c r="I74" s="157" t="b">
        <v>0</v>
      </c>
      <c r="J74" s="157" t="b">
        <v>1</v>
      </c>
      <c r="K74" s="157" t="b">
        <v>1</v>
      </c>
      <c r="L74" s="157"/>
      <c r="M74" s="157"/>
      <c r="N74" s="157" t="str">
        <f>_xlfn.IFNA(VLOOKUP($M74,[1]Buff.CM!$A:$O,13,FALSE),"")</f>
        <v/>
      </c>
      <c r="O74" s="157" t="str">
        <f>_xlfn.IFNA(VLOOKUP($M74,[1]Buff.CM!$A:$O,14,FALSE),"")</f>
        <v/>
      </c>
      <c r="P74" s="157" t="str">
        <f>_xlfn.IFNA(VLOOKUP($M74,[1]Buff.CM!$A:$O,15,FALSE),"")</f>
        <v/>
      </c>
      <c r="Q74" s="157" t="b">
        <v>0</v>
      </c>
      <c r="R74" s="157" t="b">
        <v>0</v>
      </c>
    </row>
    <row r="75" spans="1:18" ht="33" x14ac:dyDescent="0.3">
      <c r="A75" s="157" t="s">
        <v>4095</v>
      </c>
      <c r="B75" s="157"/>
      <c r="C75" s="157"/>
      <c r="D75" s="157">
        <v>0</v>
      </c>
      <c r="E75" s="157">
        <v>0</v>
      </c>
      <c r="F75" s="157">
        <v>0</v>
      </c>
      <c r="G75" s="252" t="s">
        <v>4096</v>
      </c>
      <c r="H75" s="157"/>
      <c r="I75" s="157" t="b">
        <v>0</v>
      </c>
      <c r="J75" s="157" t="b">
        <v>1</v>
      </c>
      <c r="K75" s="157" t="b">
        <v>1</v>
      </c>
      <c r="L75" s="157"/>
      <c r="M75" s="157"/>
      <c r="N75" s="157" t="str">
        <f>_xlfn.IFNA(VLOOKUP($M75,[1]Buff.CM!$A:$O,13,FALSE),"")</f>
        <v/>
      </c>
      <c r="O75" s="157" t="str">
        <f>_xlfn.IFNA(VLOOKUP($M75,[1]Buff.CM!$A:$O,14,FALSE),"")</f>
        <v/>
      </c>
      <c r="P75" s="157" t="str">
        <f>_xlfn.IFNA(VLOOKUP($M75,[1]Buff.CM!$A:$O,15,FALSE),"")</f>
        <v/>
      </c>
      <c r="Q75" s="157" t="b">
        <v>0</v>
      </c>
      <c r="R75" s="157" t="b">
        <v>0</v>
      </c>
    </row>
    <row r="76" spans="1:18" ht="33" x14ac:dyDescent="0.3">
      <c r="A76" s="232" t="s">
        <v>4097</v>
      </c>
      <c r="B76" s="232"/>
      <c r="C76" s="232"/>
      <c r="D76" s="232">
        <v>0</v>
      </c>
      <c r="E76" s="232">
        <v>0</v>
      </c>
      <c r="F76" s="232">
        <v>0</v>
      </c>
      <c r="G76" s="238" t="s">
        <v>4098</v>
      </c>
      <c r="H76" s="232"/>
      <c r="I76" s="232" t="b">
        <v>0</v>
      </c>
      <c r="J76" s="157" t="b">
        <v>1</v>
      </c>
      <c r="K76" s="232" t="b">
        <v>1</v>
      </c>
      <c r="L76" s="232"/>
      <c r="M76" s="232"/>
      <c r="N76" s="232" t="str">
        <f>_xlfn.IFNA(VLOOKUP($M76,[1]Buff.CM!$A:$O,13,FALSE),"")</f>
        <v/>
      </c>
      <c r="O76" s="232" t="str">
        <f>_xlfn.IFNA(VLOOKUP($M76,[1]Buff.CM!$A:$O,14,FALSE),"")</f>
        <v/>
      </c>
      <c r="P76" s="232" t="str">
        <f>_xlfn.IFNA(VLOOKUP($M76,[1]Buff.CM!$A:$O,15,FALSE),"")</f>
        <v/>
      </c>
      <c r="Q76" s="232" t="b">
        <v>0</v>
      </c>
      <c r="R76" s="232" t="b">
        <v>0</v>
      </c>
    </row>
    <row r="77" spans="1:18" ht="33" x14ac:dyDescent="0.3">
      <c r="A77" s="232" t="s">
        <v>4099</v>
      </c>
      <c r="B77" s="232"/>
      <c r="C77" s="232"/>
      <c r="D77" s="232">
        <v>0</v>
      </c>
      <c r="E77" s="232">
        <v>0</v>
      </c>
      <c r="F77" s="232">
        <v>0</v>
      </c>
      <c r="G77" s="238" t="s">
        <v>4100</v>
      </c>
      <c r="H77" s="232"/>
      <c r="I77" s="232" t="b">
        <v>0</v>
      </c>
      <c r="J77" s="157" t="b">
        <v>1</v>
      </c>
      <c r="K77" s="232" t="b">
        <v>1</v>
      </c>
      <c r="L77" s="232"/>
      <c r="M77" s="232"/>
      <c r="N77" s="232" t="str">
        <f>_xlfn.IFNA(VLOOKUP($M77,[1]Buff.CM!$A:$O,13,FALSE),"")</f>
        <v/>
      </c>
      <c r="O77" s="232" t="str">
        <f>_xlfn.IFNA(VLOOKUP($M77,[1]Buff.CM!$A:$O,14,FALSE),"")</f>
        <v/>
      </c>
      <c r="P77" s="232" t="str">
        <f>_xlfn.IFNA(VLOOKUP($M77,[1]Buff.CM!$A:$O,15,FALSE),"")</f>
        <v/>
      </c>
      <c r="Q77" s="232" t="b">
        <v>0</v>
      </c>
      <c r="R77" s="232" t="b">
        <v>0</v>
      </c>
    </row>
    <row r="78" spans="1:18" ht="33" x14ac:dyDescent="0.3">
      <c r="A78" s="232" t="s">
        <v>4101</v>
      </c>
      <c r="B78" s="232"/>
      <c r="C78" s="232"/>
      <c r="D78" s="232">
        <v>0</v>
      </c>
      <c r="E78" s="232">
        <v>0</v>
      </c>
      <c r="F78" s="232">
        <v>0</v>
      </c>
      <c r="G78" s="238" t="s">
        <v>4102</v>
      </c>
      <c r="H78" s="232"/>
      <c r="I78" s="232" t="b">
        <v>0</v>
      </c>
      <c r="J78" s="157" t="b">
        <v>1</v>
      </c>
      <c r="K78" s="232" t="b">
        <v>1</v>
      </c>
      <c r="L78" s="232"/>
      <c r="M78" s="232"/>
      <c r="N78" s="232" t="str">
        <f>_xlfn.IFNA(VLOOKUP($M78,[1]Buff.CM!$A:$O,13,FALSE),"")</f>
        <v/>
      </c>
      <c r="O78" s="232" t="str">
        <f>_xlfn.IFNA(VLOOKUP($M78,[1]Buff.CM!$A:$O,14,FALSE),"")</f>
        <v/>
      </c>
      <c r="P78" s="232" t="str">
        <f>_xlfn.IFNA(VLOOKUP($M78,[1]Buff.CM!$A:$O,15,FALSE),"")</f>
        <v/>
      </c>
      <c r="Q78" s="232" t="b">
        <v>0</v>
      </c>
      <c r="R78" s="232" t="b">
        <v>0</v>
      </c>
    </row>
    <row r="79" spans="1:18" x14ac:dyDescent="0.3">
      <c r="A79" s="231" t="s">
        <v>4103</v>
      </c>
      <c r="B79" s="231"/>
      <c r="C79" s="231"/>
      <c r="D79" s="231">
        <v>5000</v>
      </c>
      <c r="E79" s="231">
        <v>3</v>
      </c>
      <c r="F79" s="231">
        <v>1</v>
      </c>
      <c r="G79" s="242" t="s">
        <v>4028</v>
      </c>
      <c r="H79" s="231"/>
      <c r="I79" s="231" t="b">
        <v>0</v>
      </c>
      <c r="J79" s="231" t="b">
        <v>0</v>
      </c>
      <c r="K79" s="231" t="b">
        <v>1</v>
      </c>
      <c r="L79" s="231" t="s">
        <v>63</v>
      </c>
      <c r="M79" s="231" t="s">
        <v>2289</v>
      </c>
      <c r="N79" s="231" t="str">
        <f>_xlfn.IFNA(VLOOKUP($M79,[1]Buff.CM!$A:$O,13,FALSE),"")</f>
        <v>icon_battle_attack</v>
      </c>
      <c r="O79" s="231" t="str">
        <f>_xlfn.IFNA(VLOOKUP($M79,[1]Buff.CM!$A:$O,14,FALSE),"")</f>
        <v>Buff.Name.Atk.Up.00</v>
      </c>
      <c r="P79" s="231" t="str">
        <f>_xlfn.IFNA(VLOOKUP($M79,[1]Buff.CM!$A:$O,15,FALSE),"")</f>
        <v>Buff.Desc.Atk.Up.00</v>
      </c>
      <c r="Q79" s="231" t="b">
        <v>0</v>
      </c>
      <c r="R79" s="231" t="b">
        <v>0</v>
      </c>
    </row>
    <row r="80" spans="1:18" x14ac:dyDescent="0.3">
      <c r="A80" s="231" t="s">
        <v>4104</v>
      </c>
      <c r="B80" s="231"/>
      <c r="C80" s="231"/>
      <c r="D80" s="231">
        <v>5000</v>
      </c>
      <c r="E80" s="231">
        <v>3</v>
      </c>
      <c r="F80" s="231">
        <v>1</v>
      </c>
      <c r="G80" s="242" t="s">
        <v>4029</v>
      </c>
      <c r="H80" s="231"/>
      <c r="I80" s="231" t="b">
        <v>0</v>
      </c>
      <c r="J80" s="231" t="b">
        <v>0</v>
      </c>
      <c r="K80" s="231" t="b">
        <v>1</v>
      </c>
      <c r="L80" s="231" t="s">
        <v>63</v>
      </c>
      <c r="M80" s="231" t="s">
        <v>2289</v>
      </c>
      <c r="N80" s="231" t="str">
        <f>_xlfn.IFNA(VLOOKUP($M80,[1]Buff.CM!$A:$O,13,FALSE),"")</f>
        <v>icon_battle_attack</v>
      </c>
      <c r="O80" s="231" t="str">
        <f>_xlfn.IFNA(VLOOKUP($M80,[1]Buff.CM!$A:$O,14,FALSE),"")</f>
        <v>Buff.Name.Atk.Up.00</v>
      </c>
      <c r="P80" s="231" t="str">
        <f>_xlfn.IFNA(VLOOKUP($M80,[1]Buff.CM!$A:$O,15,FALSE),"")</f>
        <v>Buff.Desc.Atk.Up.00</v>
      </c>
      <c r="Q80" s="231" t="b">
        <v>0</v>
      </c>
      <c r="R80" s="231" t="b">
        <v>0</v>
      </c>
    </row>
    <row r="81" spans="1:18" x14ac:dyDescent="0.3">
      <c r="A81" s="231" t="s">
        <v>4105</v>
      </c>
      <c r="B81" s="231"/>
      <c r="C81" s="231"/>
      <c r="D81" s="231">
        <v>5000</v>
      </c>
      <c r="E81" s="231">
        <v>3</v>
      </c>
      <c r="F81" s="231">
        <v>1</v>
      </c>
      <c r="G81" s="242" t="s">
        <v>4030</v>
      </c>
      <c r="H81" s="231"/>
      <c r="I81" s="231" t="b">
        <v>0</v>
      </c>
      <c r="J81" s="231" t="b">
        <v>0</v>
      </c>
      <c r="K81" s="231" t="b">
        <v>1</v>
      </c>
      <c r="L81" s="231" t="s">
        <v>63</v>
      </c>
      <c r="M81" s="231" t="s">
        <v>2289</v>
      </c>
      <c r="N81" s="231" t="str">
        <f>_xlfn.IFNA(VLOOKUP($M81,[1]Buff.CM!$A:$O,13,FALSE),"")</f>
        <v>icon_battle_attack</v>
      </c>
      <c r="O81" s="231" t="str">
        <f>_xlfn.IFNA(VLOOKUP($M81,[1]Buff.CM!$A:$O,14,FALSE),"")</f>
        <v>Buff.Name.Atk.Up.00</v>
      </c>
      <c r="P81" s="231" t="str">
        <f>_xlfn.IFNA(VLOOKUP($M81,[1]Buff.CM!$A:$O,15,FALSE),"")</f>
        <v>Buff.Desc.Atk.Up.00</v>
      </c>
      <c r="Q81" s="231" t="b">
        <v>0</v>
      </c>
      <c r="R81" s="231" t="b">
        <v>0</v>
      </c>
    </row>
    <row r="82" spans="1:18" x14ac:dyDescent="0.3">
      <c r="A82" s="232" t="s">
        <v>4106</v>
      </c>
      <c r="B82" s="232"/>
      <c r="C82" s="232"/>
      <c r="D82" s="232">
        <v>5000</v>
      </c>
      <c r="E82" s="232">
        <v>3</v>
      </c>
      <c r="F82" s="232">
        <v>1</v>
      </c>
      <c r="G82" s="238" t="s">
        <v>4031</v>
      </c>
      <c r="H82" s="232"/>
      <c r="I82" s="232" t="b">
        <v>0</v>
      </c>
      <c r="J82" s="232" t="b">
        <v>0</v>
      </c>
      <c r="K82" s="232" t="b">
        <v>1</v>
      </c>
      <c r="L82" s="232" t="s">
        <v>63</v>
      </c>
      <c r="M82" s="232" t="s">
        <v>2289</v>
      </c>
      <c r="N82" s="232" t="str">
        <f>_xlfn.IFNA(VLOOKUP($M82,[1]Buff.CM!$A:$O,13,FALSE),"")</f>
        <v>icon_battle_attack</v>
      </c>
      <c r="O82" s="232" t="str">
        <f>_xlfn.IFNA(VLOOKUP($M82,[1]Buff.CM!$A:$O,14,FALSE),"")</f>
        <v>Buff.Name.Atk.Up.00</v>
      </c>
      <c r="P82" s="232" t="str">
        <f>_xlfn.IFNA(VLOOKUP($M82,[1]Buff.CM!$A:$O,15,FALSE),"")</f>
        <v>Buff.Desc.Atk.Up.00</v>
      </c>
      <c r="Q82" s="232" t="b">
        <v>0</v>
      </c>
      <c r="R82" s="232" t="b">
        <v>0</v>
      </c>
    </row>
    <row r="83" spans="1:18" x14ac:dyDescent="0.3">
      <c r="A83" s="232" t="s">
        <v>4107</v>
      </c>
      <c r="B83" s="232"/>
      <c r="C83" s="232"/>
      <c r="D83" s="232">
        <v>5000</v>
      </c>
      <c r="E83" s="232">
        <v>3</v>
      </c>
      <c r="F83" s="232">
        <v>1</v>
      </c>
      <c r="G83" s="238" t="s">
        <v>4032</v>
      </c>
      <c r="H83" s="232"/>
      <c r="I83" s="232" t="b">
        <v>0</v>
      </c>
      <c r="J83" s="232" t="b">
        <v>0</v>
      </c>
      <c r="K83" s="232" t="b">
        <v>1</v>
      </c>
      <c r="L83" s="232" t="s">
        <v>63</v>
      </c>
      <c r="M83" s="232" t="s">
        <v>2289</v>
      </c>
      <c r="N83" s="232" t="str">
        <f>_xlfn.IFNA(VLOOKUP($M83,[1]Buff.CM!$A:$O,13,FALSE),"")</f>
        <v>icon_battle_attack</v>
      </c>
      <c r="O83" s="232" t="str">
        <f>_xlfn.IFNA(VLOOKUP($M83,[1]Buff.CM!$A:$O,14,FALSE),"")</f>
        <v>Buff.Name.Atk.Up.00</v>
      </c>
      <c r="P83" s="232" t="str">
        <f>_xlfn.IFNA(VLOOKUP($M83,[1]Buff.CM!$A:$O,15,FALSE),"")</f>
        <v>Buff.Desc.Atk.Up.00</v>
      </c>
      <c r="Q83" s="232" t="b">
        <v>0</v>
      </c>
      <c r="R83" s="232" t="b">
        <v>0</v>
      </c>
    </row>
    <row r="84" spans="1:18" x14ac:dyDescent="0.3">
      <c r="A84" s="232" t="s">
        <v>4108</v>
      </c>
      <c r="B84" s="232"/>
      <c r="C84" s="232"/>
      <c r="D84" s="232">
        <v>6000</v>
      </c>
      <c r="E84" s="232">
        <v>3</v>
      </c>
      <c r="F84" s="232">
        <v>1</v>
      </c>
      <c r="G84" s="238" t="s">
        <v>4033</v>
      </c>
      <c r="H84" s="232"/>
      <c r="I84" s="232" t="b">
        <v>0</v>
      </c>
      <c r="J84" s="232" t="b">
        <v>0</v>
      </c>
      <c r="K84" s="232" t="b">
        <v>1</v>
      </c>
      <c r="L84" s="232" t="s">
        <v>63</v>
      </c>
      <c r="M84" s="232" t="s">
        <v>2289</v>
      </c>
      <c r="N84" s="232" t="str">
        <f>_xlfn.IFNA(VLOOKUP($M84,[1]Buff.CM!$A:$O,13,FALSE),"")</f>
        <v>icon_battle_attack</v>
      </c>
      <c r="O84" s="232" t="str">
        <f>_xlfn.IFNA(VLOOKUP($M84,[1]Buff.CM!$A:$O,14,FALSE),"")</f>
        <v>Buff.Name.Atk.Up.00</v>
      </c>
      <c r="P84" s="232" t="str">
        <f>_xlfn.IFNA(VLOOKUP($M84,[1]Buff.CM!$A:$O,15,FALSE),"")</f>
        <v>Buff.Desc.Atk.Up.00</v>
      </c>
      <c r="Q84" s="232" t="b">
        <v>0</v>
      </c>
      <c r="R84" s="232" t="b">
        <v>0</v>
      </c>
    </row>
    <row r="85" spans="1:18" ht="33" x14ac:dyDescent="0.3">
      <c r="A85" s="157" t="s">
        <v>4109</v>
      </c>
      <c r="B85" s="157"/>
      <c r="C85" s="157"/>
      <c r="D85" s="157">
        <v>0</v>
      </c>
      <c r="E85" s="157">
        <v>0</v>
      </c>
      <c r="F85" s="157">
        <v>0</v>
      </c>
      <c r="G85" s="252" t="s">
        <v>4110</v>
      </c>
      <c r="H85" s="157"/>
      <c r="I85" s="157" t="b">
        <v>0</v>
      </c>
      <c r="J85" s="157" t="b">
        <v>1</v>
      </c>
      <c r="K85" s="157" t="b">
        <v>1</v>
      </c>
      <c r="L85" s="157"/>
      <c r="M85" s="157"/>
      <c r="N85" s="157" t="str">
        <f>_xlfn.IFNA(VLOOKUP($M85,[1]Buff.CM!$A:$O,13,FALSE),"")</f>
        <v/>
      </c>
      <c r="O85" s="157" t="str">
        <f>_xlfn.IFNA(VLOOKUP($M85,[1]Buff.CM!$A:$O,14,FALSE),"")</f>
        <v/>
      </c>
      <c r="P85" s="157" t="str">
        <f>_xlfn.IFNA(VLOOKUP($M85,[1]Buff.CM!$A:$O,15,FALSE),"")</f>
        <v/>
      </c>
      <c r="Q85" s="157" t="b">
        <v>0</v>
      </c>
      <c r="R85" s="157" t="b">
        <v>0</v>
      </c>
    </row>
    <row r="86" spans="1:18" ht="33" x14ac:dyDescent="0.3">
      <c r="A86" s="157" t="s">
        <v>4111</v>
      </c>
      <c r="B86" s="157"/>
      <c r="C86" s="157"/>
      <c r="D86" s="157">
        <v>0</v>
      </c>
      <c r="E86" s="157">
        <v>0</v>
      </c>
      <c r="F86" s="157">
        <v>0</v>
      </c>
      <c r="G86" s="252" t="s">
        <v>4112</v>
      </c>
      <c r="H86" s="157"/>
      <c r="I86" s="157" t="b">
        <v>0</v>
      </c>
      <c r="J86" s="157" t="b">
        <v>1</v>
      </c>
      <c r="K86" s="157" t="b">
        <v>1</v>
      </c>
      <c r="L86" s="157"/>
      <c r="M86" s="157"/>
      <c r="N86" s="157" t="str">
        <f>_xlfn.IFNA(VLOOKUP($M86,[1]Buff.CM!$A:$O,13,FALSE),"")</f>
        <v/>
      </c>
      <c r="O86" s="157" t="str">
        <f>_xlfn.IFNA(VLOOKUP($M86,[1]Buff.CM!$A:$O,14,FALSE),"")</f>
        <v/>
      </c>
      <c r="P86" s="157" t="str">
        <f>_xlfn.IFNA(VLOOKUP($M86,[1]Buff.CM!$A:$O,15,FALSE),"")</f>
        <v/>
      </c>
      <c r="Q86" s="157" t="b">
        <v>0</v>
      </c>
      <c r="R86" s="157" t="b">
        <v>0</v>
      </c>
    </row>
    <row r="87" spans="1:18" ht="33" x14ac:dyDescent="0.3">
      <c r="A87" s="157" t="s">
        <v>4113</v>
      </c>
      <c r="B87" s="157"/>
      <c r="C87" s="157"/>
      <c r="D87" s="157">
        <v>0</v>
      </c>
      <c r="E87" s="157">
        <v>0</v>
      </c>
      <c r="F87" s="157">
        <v>0</v>
      </c>
      <c r="G87" s="252" t="s">
        <v>4114</v>
      </c>
      <c r="H87" s="157"/>
      <c r="I87" s="157" t="b">
        <v>0</v>
      </c>
      <c r="J87" s="157" t="b">
        <v>1</v>
      </c>
      <c r="K87" s="157" t="b">
        <v>1</v>
      </c>
      <c r="L87" s="157"/>
      <c r="M87" s="157"/>
      <c r="N87" s="157" t="str">
        <f>_xlfn.IFNA(VLOOKUP($M87,[1]Buff.CM!$A:$O,13,FALSE),"")</f>
        <v/>
      </c>
      <c r="O87" s="157" t="str">
        <f>_xlfn.IFNA(VLOOKUP($M87,[1]Buff.CM!$A:$O,14,FALSE),"")</f>
        <v/>
      </c>
      <c r="P87" s="157" t="str">
        <f>_xlfn.IFNA(VLOOKUP($M87,[1]Buff.CM!$A:$O,15,FALSE),"")</f>
        <v/>
      </c>
      <c r="Q87" s="157" t="b">
        <v>0</v>
      </c>
      <c r="R87" s="157" t="b">
        <v>0</v>
      </c>
    </row>
    <row r="88" spans="1:18" ht="33" x14ac:dyDescent="0.3">
      <c r="A88" s="232" t="s">
        <v>4115</v>
      </c>
      <c r="B88" s="232"/>
      <c r="C88" s="232"/>
      <c r="D88" s="232">
        <v>0</v>
      </c>
      <c r="E88" s="232">
        <v>0</v>
      </c>
      <c r="F88" s="232">
        <v>0</v>
      </c>
      <c r="G88" s="238" t="s">
        <v>4116</v>
      </c>
      <c r="H88" s="232"/>
      <c r="I88" s="232" t="b">
        <v>0</v>
      </c>
      <c r="J88" s="157" t="b">
        <v>1</v>
      </c>
      <c r="K88" s="232" t="b">
        <v>1</v>
      </c>
      <c r="L88" s="232"/>
      <c r="M88" s="232"/>
      <c r="N88" s="232" t="str">
        <f>_xlfn.IFNA(VLOOKUP($M88,[1]Buff.CM!$A:$O,13,FALSE),"")</f>
        <v/>
      </c>
      <c r="O88" s="232" t="str">
        <f>_xlfn.IFNA(VLOOKUP($M88,[1]Buff.CM!$A:$O,14,FALSE),"")</f>
        <v/>
      </c>
      <c r="P88" s="232" t="str">
        <f>_xlfn.IFNA(VLOOKUP($M88,[1]Buff.CM!$A:$O,15,FALSE),"")</f>
        <v/>
      </c>
      <c r="Q88" s="232" t="b">
        <v>0</v>
      </c>
      <c r="R88" s="232" t="b">
        <v>0</v>
      </c>
    </row>
    <row r="89" spans="1:18" ht="33" x14ac:dyDescent="0.3">
      <c r="A89" s="232" t="s">
        <v>4117</v>
      </c>
      <c r="B89" s="232"/>
      <c r="C89" s="232"/>
      <c r="D89" s="232">
        <v>0</v>
      </c>
      <c r="E89" s="232">
        <v>0</v>
      </c>
      <c r="F89" s="232">
        <v>0</v>
      </c>
      <c r="G89" s="238" t="s">
        <v>4118</v>
      </c>
      <c r="H89" s="232"/>
      <c r="I89" s="232" t="b">
        <v>0</v>
      </c>
      <c r="J89" s="157" t="b">
        <v>1</v>
      </c>
      <c r="K89" s="232" t="b">
        <v>1</v>
      </c>
      <c r="L89" s="232"/>
      <c r="M89" s="232"/>
      <c r="N89" s="232" t="str">
        <f>_xlfn.IFNA(VLOOKUP($M89,[1]Buff.CM!$A:$O,13,FALSE),"")</f>
        <v/>
      </c>
      <c r="O89" s="232" t="str">
        <f>_xlfn.IFNA(VLOOKUP($M89,[1]Buff.CM!$A:$O,14,FALSE),"")</f>
        <v/>
      </c>
      <c r="P89" s="232" t="str">
        <f>_xlfn.IFNA(VLOOKUP($M89,[1]Buff.CM!$A:$O,15,FALSE),"")</f>
        <v/>
      </c>
      <c r="Q89" s="232" t="b">
        <v>0</v>
      </c>
      <c r="R89" s="232" t="b">
        <v>0</v>
      </c>
    </row>
    <row r="90" spans="1:18" ht="33" x14ac:dyDescent="0.3">
      <c r="A90" s="232" t="s">
        <v>4119</v>
      </c>
      <c r="B90" s="232"/>
      <c r="C90" s="232"/>
      <c r="D90" s="232">
        <v>0</v>
      </c>
      <c r="E90" s="232">
        <v>0</v>
      </c>
      <c r="F90" s="232">
        <v>0</v>
      </c>
      <c r="G90" s="238" t="s">
        <v>4120</v>
      </c>
      <c r="H90" s="232"/>
      <c r="I90" s="232" t="b">
        <v>0</v>
      </c>
      <c r="J90" s="157" t="b">
        <v>1</v>
      </c>
      <c r="K90" s="232" t="b">
        <v>1</v>
      </c>
      <c r="L90" s="232"/>
      <c r="M90" s="232"/>
      <c r="N90" s="232" t="str">
        <f>_xlfn.IFNA(VLOOKUP($M90,[1]Buff.CM!$A:$O,13,FALSE),"")</f>
        <v/>
      </c>
      <c r="O90" s="232" t="str">
        <f>_xlfn.IFNA(VLOOKUP($M90,[1]Buff.CM!$A:$O,14,FALSE),"")</f>
        <v/>
      </c>
      <c r="P90" s="232" t="str">
        <f>_xlfn.IFNA(VLOOKUP($M90,[1]Buff.CM!$A:$O,15,FALSE),"")</f>
        <v/>
      </c>
      <c r="Q90" s="232" t="b">
        <v>0</v>
      </c>
      <c r="R90" s="232" t="b">
        <v>0</v>
      </c>
    </row>
    <row r="91" spans="1:18" x14ac:dyDescent="0.3">
      <c r="A91" s="252" t="s">
        <v>4121</v>
      </c>
      <c r="B91" s="157"/>
      <c r="C91" s="157"/>
      <c r="D91" s="157">
        <v>0</v>
      </c>
      <c r="E91" s="157">
        <v>0</v>
      </c>
      <c r="F91" s="157">
        <v>0</v>
      </c>
      <c r="G91" s="252" t="s">
        <v>4047</v>
      </c>
      <c r="H91" s="157"/>
      <c r="I91" s="157" t="b">
        <v>0</v>
      </c>
      <c r="J91" s="157" t="b">
        <v>1</v>
      </c>
      <c r="K91" s="157" t="b">
        <v>1</v>
      </c>
      <c r="L91" s="157"/>
      <c r="M91" s="157"/>
      <c r="N91" s="157" t="str">
        <f>_xlfn.IFNA(VLOOKUP($M91,[1]Buff.CM!$A:$O,13,FALSE),"")</f>
        <v/>
      </c>
      <c r="O91" s="157" t="str">
        <f>_xlfn.IFNA(VLOOKUP($M91,[1]Buff.CM!$A:$O,14,FALSE),"")</f>
        <v/>
      </c>
      <c r="P91" s="157" t="str">
        <f>_xlfn.IFNA(VLOOKUP($M91,[1]Buff.CM!$A:$O,15,FALSE),"")</f>
        <v/>
      </c>
      <c r="Q91" s="157" t="b">
        <v>0</v>
      </c>
      <c r="R91" s="157" t="b">
        <v>0</v>
      </c>
    </row>
    <row r="92" spans="1:18" x14ac:dyDescent="0.3">
      <c r="A92" s="157" t="s">
        <v>4122</v>
      </c>
      <c r="B92" s="157"/>
      <c r="C92" s="157"/>
      <c r="D92" s="157">
        <v>8000</v>
      </c>
      <c r="E92" s="157">
        <v>0</v>
      </c>
      <c r="F92" s="157">
        <v>0</v>
      </c>
      <c r="G92" s="157" t="s">
        <v>4049</v>
      </c>
      <c r="H92" s="157"/>
      <c r="I92" s="157" t="b">
        <v>0</v>
      </c>
      <c r="J92" s="157" t="b">
        <v>0</v>
      </c>
      <c r="K92" s="157" t="b">
        <v>1</v>
      </c>
      <c r="L92" s="157" t="s">
        <v>63</v>
      </c>
      <c r="M92" s="157" t="s">
        <v>3992</v>
      </c>
      <c r="N92" s="157" t="str">
        <f>_xlfn.IFNA(VLOOKUP($M92,[1]Buff.CM!$A:$O,13,FALSE),"")</f>
        <v>icon_battle_critical</v>
      </c>
      <c r="O92" s="157" t="str">
        <f>_xlfn.IFNA(VLOOKUP($M92,[1]Buff.CM!$A:$O,14,FALSE),"")</f>
        <v>Buff.Name.Critical.Up.00</v>
      </c>
      <c r="P92" s="157" t="str">
        <f>_xlfn.IFNA(VLOOKUP($M92,[1]Buff.CM!$A:$O,15,FALSE),"")</f>
        <v>Buff.Desc.Critical.Up.00</v>
      </c>
      <c r="Q92" s="157" t="b">
        <v>0</v>
      </c>
      <c r="R92" s="157" t="b">
        <v>0</v>
      </c>
    </row>
    <row r="93" spans="1:18" x14ac:dyDescent="0.3">
      <c r="A93" s="157" t="s">
        <v>4123</v>
      </c>
      <c r="B93" s="157"/>
      <c r="C93" s="157"/>
      <c r="D93" s="157">
        <v>8000</v>
      </c>
      <c r="E93" s="157">
        <v>0</v>
      </c>
      <c r="F93" s="157">
        <v>0</v>
      </c>
      <c r="G93" s="157" t="s">
        <v>4050</v>
      </c>
      <c r="H93" s="157"/>
      <c r="I93" s="157" t="b">
        <v>0</v>
      </c>
      <c r="J93" s="157" t="b">
        <v>0</v>
      </c>
      <c r="K93" s="157" t="b">
        <v>1</v>
      </c>
      <c r="L93" s="157" t="s">
        <v>63</v>
      </c>
      <c r="M93" s="157" t="s">
        <v>3992</v>
      </c>
      <c r="N93" s="157" t="str">
        <f>_xlfn.IFNA(VLOOKUP($M93,[1]Buff.CM!$A:$O,13,FALSE),"")</f>
        <v>icon_battle_critical</v>
      </c>
      <c r="O93" s="157" t="str">
        <f>_xlfn.IFNA(VLOOKUP($M93,[1]Buff.CM!$A:$O,14,FALSE),"")</f>
        <v>Buff.Name.Critical.Up.00</v>
      </c>
      <c r="P93" s="157" t="str">
        <f>_xlfn.IFNA(VLOOKUP($M93,[1]Buff.CM!$A:$O,15,FALSE),"")</f>
        <v>Buff.Desc.Critical.Up.00</v>
      </c>
      <c r="Q93" s="157" t="b">
        <v>0</v>
      </c>
      <c r="R93" s="157" t="b">
        <v>0</v>
      </c>
    </row>
    <row r="94" spans="1:18" x14ac:dyDescent="0.3">
      <c r="A94" s="157" t="s">
        <v>4124</v>
      </c>
      <c r="B94" s="157"/>
      <c r="C94" s="157"/>
      <c r="D94" s="157">
        <v>8000</v>
      </c>
      <c r="E94" s="157">
        <v>0</v>
      </c>
      <c r="F94" s="157">
        <v>0</v>
      </c>
      <c r="G94" s="157" t="s">
        <v>4051</v>
      </c>
      <c r="H94" s="157"/>
      <c r="I94" s="157" t="b">
        <v>0</v>
      </c>
      <c r="J94" s="157" t="b">
        <v>0</v>
      </c>
      <c r="K94" s="157" t="b">
        <v>1</v>
      </c>
      <c r="L94" s="157" t="s">
        <v>63</v>
      </c>
      <c r="M94" s="157" t="s">
        <v>3992</v>
      </c>
      <c r="N94" s="157" t="str">
        <f>_xlfn.IFNA(VLOOKUP($M94,[1]Buff.CM!$A:$O,13,FALSE),"")</f>
        <v>icon_battle_critical</v>
      </c>
      <c r="O94" s="157" t="str">
        <f>_xlfn.IFNA(VLOOKUP($M94,[1]Buff.CM!$A:$O,14,FALSE),"")</f>
        <v>Buff.Name.Critical.Up.00</v>
      </c>
      <c r="P94" s="157" t="str">
        <f>_xlfn.IFNA(VLOOKUP($M94,[1]Buff.CM!$A:$O,15,FALSE),"")</f>
        <v>Buff.Desc.Critical.Up.00</v>
      </c>
      <c r="Q94" s="157" t="b">
        <v>0</v>
      </c>
      <c r="R94" s="157" t="b">
        <v>0</v>
      </c>
    </row>
    <row r="95" spans="1:18" x14ac:dyDescent="0.3">
      <c r="A95" s="232" t="s">
        <v>4125</v>
      </c>
      <c r="B95" s="232"/>
      <c r="C95" s="232"/>
      <c r="D95" s="232">
        <v>8000</v>
      </c>
      <c r="E95" s="232">
        <v>0</v>
      </c>
      <c r="F95" s="232">
        <v>0</v>
      </c>
      <c r="G95" s="232" t="s">
        <v>4052</v>
      </c>
      <c r="H95" s="232"/>
      <c r="I95" s="232" t="b">
        <v>0</v>
      </c>
      <c r="J95" s="232" t="b">
        <v>0</v>
      </c>
      <c r="K95" s="232" t="b">
        <v>1</v>
      </c>
      <c r="L95" s="232" t="s">
        <v>63</v>
      </c>
      <c r="M95" s="232" t="s">
        <v>3992</v>
      </c>
      <c r="N95" s="232" t="str">
        <f>_xlfn.IFNA(VLOOKUP($M95,[1]Buff.CM!$A:$O,13,FALSE),"")</f>
        <v>icon_battle_critical</v>
      </c>
      <c r="O95" s="232" t="str">
        <f>_xlfn.IFNA(VLOOKUP($M95,[1]Buff.CM!$A:$O,14,FALSE),"")</f>
        <v>Buff.Name.Critical.Up.00</v>
      </c>
      <c r="P95" s="232" t="str">
        <f>_xlfn.IFNA(VLOOKUP($M95,[1]Buff.CM!$A:$O,15,FALSE),"")</f>
        <v>Buff.Desc.Critical.Up.00</v>
      </c>
      <c r="Q95" s="232" t="b">
        <v>0</v>
      </c>
      <c r="R95" s="232" t="b">
        <v>0</v>
      </c>
    </row>
    <row r="96" spans="1:18" x14ac:dyDescent="0.3">
      <c r="A96" s="232" t="s">
        <v>4126</v>
      </c>
      <c r="B96" s="232"/>
      <c r="C96" s="232"/>
      <c r="D96" s="232">
        <v>8000</v>
      </c>
      <c r="E96" s="232">
        <v>0</v>
      </c>
      <c r="F96" s="232">
        <v>0</v>
      </c>
      <c r="G96" s="232" t="s">
        <v>4053</v>
      </c>
      <c r="H96" s="232"/>
      <c r="I96" s="232" t="b">
        <v>0</v>
      </c>
      <c r="J96" s="232" t="b">
        <v>0</v>
      </c>
      <c r="K96" s="232" t="b">
        <v>1</v>
      </c>
      <c r="L96" s="232" t="s">
        <v>63</v>
      </c>
      <c r="M96" s="232" t="s">
        <v>3992</v>
      </c>
      <c r="N96" s="232" t="str">
        <f>_xlfn.IFNA(VLOOKUP($M96,[1]Buff.CM!$A:$O,13,FALSE),"")</f>
        <v>icon_battle_critical</v>
      </c>
      <c r="O96" s="232" t="str">
        <f>_xlfn.IFNA(VLOOKUP($M96,[1]Buff.CM!$A:$O,14,FALSE),"")</f>
        <v>Buff.Name.Critical.Up.00</v>
      </c>
      <c r="P96" s="232" t="str">
        <f>_xlfn.IFNA(VLOOKUP($M96,[1]Buff.CM!$A:$O,15,FALSE),"")</f>
        <v>Buff.Desc.Critical.Up.00</v>
      </c>
      <c r="Q96" s="232" t="b">
        <v>0</v>
      </c>
      <c r="R96" s="232" t="b">
        <v>0</v>
      </c>
    </row>
    <row r="97" spans="1:18" x14ac:dyDescent="0.3">
      <c r="A97" s="232" t="s">
        <v>4127</v>
      </c>
      <c r="B97" s="232"/>
      <c r="C97" s="232"/>
      <c r="D97" s="232">
        <v>8000</v>
      </c>
      <c r="E97" s="232">
        <v>0</v>
      </c>
      <c r="F97" s="232">
        <v>0</v>
      </c>
      <c r="G97" s="232" t="s">
        <v>4054</v>
      </c>
      <c r="H97" s="232"/>
      <c r="I97" s="232" t="b">
        <v>0</v>
      </c>
      <c r="J97" s="232" t="b">
        <v>0</v>
      </c>
      <c r="K97" s="232" t="b">
        <v>1</v>
      </c>
      <c r="L97" s="232" t="s">
        <v>63</v>
      </c>
      <c r="M97" s="232" t="s">
        <v>3992</v>
      </c>
      <c r="N97" s="232" t="str">
        <f>_xlfn.IFNA(VLOOKUP($M97,[1]Buff.CM!$A:$O,13,FALSE),"")</f>
        <v>icon_battle_critical</v>
      </c>
      <c r="O97" s="232" t="str">
        <f>_xlfn.IFNA(VLOOKUP($M97,[1]Buff.CM!$A:$O,14,FALSE),"")</f>
        <v>Buff.Name.Critical.Up.00</v>
      </c>
      <c r="P97" s="232" t="str">
        <f>_xlfn.IFNA(VLOOKUP($M97,[1]Buff.CM!$A:$O,15,FALSE),"")</f>
        <v>Buff.Desc.Critical.Up.00</v>
      </c>
      <c r="Q97" s="232" t="b">
        <v>0</v>
      </c>
      <c r="R97" s="232" t="b">
        <v>0</v>
      </c>
    </row>
    <row r="98" spans="1:18" x14ac:dyDescent="0.3">
      <c r="A98" s="231" t="s">
        <v>4128</v>
      </c>
      <c r="B98" s="231"/>
      <c r="C98" s="231"/>
      <c r="D98" s="231">
        <v>4000</v>
      </c>
      <c r="E98" s="231">
        <v>3</v>
      </c>
      <c r="F98" s="231">
        <v>1</v>
      </c>
      <c r="G98" s="231" t="s">
        <v>4055</v>
      </c>
      <c r="H98" s="231"/>
      <c r="I98" s="231" t="b">
        <v>0</v>
      </c>
      <c r="J98" s="231" t="b">
        <v>0</v>
      </c>
      <c r="K98" s="231" t="b">
        <v>0</v>
      </c>
      <c r="L98" s="231" t="s">
        <v>55</v>
      </c>
      <c r="M98" s="231" t="s">
        <v>3993</v>
      </c>
      <c r="N98" s="231" t="str">
        <f>_xlfn.IFNA(VLOOKUP($M98,[1]Buff.CM!$A:$O,13,FALSE),"")</f>
        <v>icon_battle_defense</v>
      </c>
      <c r="O98" s="231" t="str">
        <f>_xlfn.IFNA(VLOOKUP($M98,[1]Buff.CM!$A:$O,14,FALSE),"")</f>
        <v>Buff.Name.Def.Down.00</v>
      </c>
      <c r="P98" s="231" t="str">
        <f>_xlfn.IFNA(VLOOKUP($M98,[1]Buff.CM!$A:$O,15,FALSE),"")</f>
        <v>Buff.Desc.Def.Down.00</v>
      </c>
      <c r="Q98" s="231" t="b">
        <v>0</v>
      </c>
      <c r="R98" s="231" t="b">
        <v>0</v>
      </c>
    </row>
    <row r="99" spans="1:18" x14ac:dyDescent="0.3">
      <c r="A99" s="231" t="s">
        <v>4129</v>
      </c>
      <c r="B99" s="231"/>
      <c r="C99" s="231"/>
      <c r="D99" s="231">
        <v>4000</v>
      </c>
      <c r="E99" s="231">
        <v>3</v>
      </c>
      <c r="F99" s="231">
        <v>1</v>
      </c>
      <c r="G99" s="231" t="s">
        <v>4056</v>
      </c>
      <c r="H99" s="231"/>
      <c r="I99" s="231" t="b">
        <v>0</v>
      </c>
      <c r="J99" s="231" t="b">
        <v>0</v>
      </c>
      <c r="K99" s="231" t="b">
        <v>0</v>
      </c>
      <c r="L99" s="231" t="s">
        <v>55</v>
      </c>
      <c r="M99" s="231" t="s">
        <v>3993</v>
      </c>
      <c r="N99" s="231" t="str">
        <f>_xlfn.IFNA(VLOOKUP($M99,[1]Buff.CM!$A:$O,13,FALSE),"")</f>
        <v>icon_battle_defense</v>
      </c>
      <c r="O99" s="231" t="str">
        <f>_xlfn.IFNA(VLOOKUP($M99,[1]Buff.CM!$A:$O,14,FALSE),"")</f>
        <v>Buff.Name.Def.Down.00</v>
      </c>
      <c r="P99" s="231" t="str">
        <f>_xlfn.IFNA(VLOOKUP($M99,[1]Buff.CM!$A:$O,15,FALSE),"")</f>
        <v>Buff.Desc.Def.Down.00</v>
      </c>
      <c r="Q99" s="231" t="b">
        <v>0</v>
      </c>
      <c r="R99" s="231" t="b">
        <v>0</v>
      </c>
    </row>
    <row r="100" spans="1:18" x14ac:dyDescent="0.3">
      <c r="A100" s="231" t="s">
        <v>4130</v>
      </c>
      <c r="B100" s="231"/>
      <c r="C100" s="231"/>
      <c r="D100" s="231">
        <v>4000</v>
      </c>
      <c r="E100" s="231">
        <v>3</v>
      </c>
      <c r="F100" s="231">
        <v>1</v>
      </c>
      <c r="G100" s="231" t="s">
        <v>4057</v>
      </c>
      <c r="H100" s="231"/>
      <c r="I100" s="231" t="b">
        <v>0</v>
      </c>
      <c r="J100" s="231" t="b">
        <v>0</v>
      </c>
      <c r="K100" s="231" t="b">
        <v>0</v>
      </c>
      <c r="L100" s="231" t="s">
        <v>55</v>
      </c>
      <c r="M100" s="231" t="s">
        <v>3993</v>
      </c>
      <c r="N100" s="231" t="str">
        <f>_xlfn.IFNA(VLOOKUP($M100,[1]Buff.CM!$A:$O,13,FALSE),"")</f>
        <v>icon_battle_defense</v>
      </c>
      <c r="O100" s="231" t="str">
        <f>_xlfn.IFNA(VLOOKUP($M100,[1]Buff.CM!$A:$O,14,FALSE),"")</f>
        <v>Buff.Name.Def.Down.00</v>
      </c>
      <c r="P100" s="231" t="str">
        <f>_xlfn.IFNA(VLOOKUP($M100,[1]Buff.CM!$A:$O,15,FALSE),"")</f>
        <v>Buff.Desc.Def.Down.00</v>
      </c>
      <c r="Q100" s="231" t="b">
        <v>0</v>
      </c>
      <c r="R100" s="231" t="b">
        <v>0</v>
      </c>
    </row>
    <row r="101" spans="1:18" x14ac:dyDescent="0.3">
      <c r="A101" s="232" t="s">
        <v>4131</v>
      </c>
      <c r="B101" s="232"/>
      <c r="C101" s="232"/>
      <c r="D101" s="232">
        <v>4000</v>
      </c>
      <c r="E101" s="232">
        <v>3</v>
      </c>
      <c r="F101" s="232">
        <v>1</v>
      </c>
      <c r="G101" s="232" t="s">
        <v>4058</v>
      </c>
      <c r="H101" s="232"/>
      <c r="I101" s="232" t="b">
        <v>0</v>
      </c>
      <c r="J101" s="232" t="b">
        <v>0</v>
      </c>
      <c r="K101" s="232" t="b">
        <v>0</v>
      </c>
      <c r="L101" s="231" t="s">
        <v>55</v>
      </c>
      <c r="M101" s="232" t="s">
        <v>3993</v>
      </c>
      <c r="N101" s="232" t="str">
        <f>_xlfn.IFNA(VLOOKUP($M101,[1]Buff.CM!$A:$O,13,FALSE),"")</f>
        <v>icon_battle_defense</v>
      </c>
      <c r="O101" s="232" t="str">
        <f>_xlfn.IFNA(VLOOKUP($M101,[1]Buff.CM!$A:$O,14,FALSE),"")</f>
        <v>Buff.Name.Def.Down.00</v>
      </c>
      <c r="P101" s="232" t="str">
        <f>_xlfn.IFNA(VLOOKUP($M101,[1]Buff.CM!$A:$O,15,FALSE),"")</f>
        <v>Buff.Desc.Def.Down.00</v>
      </c>
      <c r="Q101" s="232" t="b">
        <v>0</v>
      </c>
      <c r="R101" s="232" t="b">
        <v>0</v>
      </c>
    </row>
    <row r="102" spans="1:18" x14ac:dyDescent="0.3">
      <c r="A102" s="232" t="s">
        <v>4132</v>
      </c>
      <c r="B102" s="232"/>
      <c r="C102" s="232"/>
      <c r="D102" s="232">
        <v>4000</v>
      </c>
      <c r="E102" s="232">
        <v>3</v>
      </c>
      <c r="F102" s="232">
        <v>1</v>
      </c>
      <c r="G102" s="232" t="s">
        <v>4059</v>
      </c>
      <c r="H102" s="232"/>
      <c r="I102" s="232" t="b">
        <v>0</v>
      </c>
      <c r="J102" s="232" t="b">
        <v>0</v>
      </c>
      <c r="K102" s="232" t="b">
        <v>0</v>
      </c>
      <c r="L102" s="231" t="s">
        <v>55</v>
      </c>
      <c r="M102" s="232" t="s">
        <v>3993</v>
      </c>
      <c r="N102" s="232" t="str">
        <f>_xlfn.IFNA(VLOOKUP($M102,[1]Buff.CM!$A:$O,13,FALSE),"")</f>
        <v>icon_battle_defense</v>
      </c>
      <c r="O102" s="232" t="str">
        <f>_xlfn.IFNA(VLOOKUP($M102,[1]Buff.CM!$A:$O,14,FALSE),"")</f>
        <v>Buff.Name.Def.Down.00</v>
      </c>
      <c r="P102" s="232" t="str">
        <f>_xlfn.IFNA(VLOOKUP($M102,[1]Buff.CM!$A:$O,15,FALSE),"")</f>
        <v>Buff.Desc.Def.Down.00</v>
      </c>
      <c r="Q102" s="232" t="b">
        <v>0</v>
      </c>
      <c r="R102" s="232" t="b">
        <v>0</v>
      </c>
    </row>
    <row r="103" spans="1:18" x14ac:dyDescent="0.3">
      <c r="A103" s="232" t="s">
        <v>4133</v>
      </c>
      <c r="B103" s="232"/>
      <c r="C103" s="232"/>
      <c r="D103" s="232">
        <v>4000</v>
      </c>
      <c r="E103" s="232">
        <v>3</v>
      </c>
      <c r="F103" s="232">
        <v>1</v>
      </c>
      <c r="G103" s="232" t="s">
        <v>4060</v>
      </c>
      <c r="H103" s="232"/>
      <c r="I103" s="232" t="b">
        <v>0</v>
      </c>
      <c r="J103" s="232" t="b">
        <v>0</v>
      </c>
      <c r="K103" s="232" t="b">
        <v>0</v>
      </c>
      <c r="L103" s="231" t="s">
        <v>55</v>
      </c>
      <c r="M103" s="232" t="s">
        <v>3993</v>
      </c>
      <c r="N103" s="232" t="str">
        <f>_xlfn.IFNA(VLOOKUP($M103,[1]Buff.CM!$A:$O,13,FALSE),"")</f>
        <v>icon_battle_defense</v>
      </c>
      <c r="O103" s="232" t="str">
        <f>_xlfn.IFNA(VLOOKUP($M103,[1]Buff.CM!$A:$O,14,FALSE),"")</f>
        <v>Buff.Name.Def.Down.00</v>
      </c>
      <c r="P103" s="232" t="str">
        <f>_xlfn.IFNA(VLOOKUP($M103,[1]Buff.CM!$A:$O,15,FALSE),"")</f>
        <v>Buff.Desc.Def.Down.00</v>
      </c>
      <c r="Q103" s="232" t="b">
        <v>0</v>
      </c>
      <c r="R103" s="232" t="b">
        <v>0</v>
      </c>
    </row>
    <row r="104" spans="1:18" x14ac:dyDescent="0.3">
      <c r="A104" s="235" t="s">
        <v>4035</v>
      </c>
      <c r="B104" s="235"/>
      <c r="C104" s="235"/>
      <c r="D104" s="235">
        <v>0</v>
      </c>
      <c r="E104" s="157">
        <v>0</v>
      </c>
      <c r="F104" s="157">
        <v>0</v>
      </c>
      <c r="G104" s="235" t="s">
        <v>173</v>
      </c>
      <c r="H104" s="235"/>
      <c r="I104" s="157" t="b">
        <v>1</v>
      </c>
      <c r="J104" s="157" t="b">
        <v>1</v>
      </c>
      <c r="K104" s="235" t="b">
        <v>1</v>
      </c>
      <c r="L104" s="235"/>
      <c r="M104" s="235" t="s">
        <v>4134</v>
      </c>
      <c r="N104" s="232" t="str">
        <f>_xlfn.IFNA(VLOOKUP($M104,[1]Buff.CM!$A:$O,13,FALSE),"")</f>
        <v/>
      </c>
      <c r="O104" s="232" t="str">
        <f>_xlfn.IFNA(VLOOKUP($M104,[1]Buff.CM!$A:$O,14,FALSE),"")</f>
        <v/>
      </c>
      <c r="P104" s="232" t="str">
        <f>_xlfn.IFNA(VLOOKUP($M104,[1]Buff.CM!$A:$O,15,FALSE),"")</f>
        <v/>
      </c>
      <c r="Q104" s="235" t="b">
        <v>0</v>
      </c>
      <c r="R104" s="235" t="b">
        <v>0</v>
      </c>
    </row>
    <row r="105" spans="1:18" ht="66" x14ac:dyDescent="0.3">
      <c r="A105" s="157" t="s">
        <v>4135</v>
      </c>
      <c r="B105" s="157"/>
      <c r="C105" s="157"/>
      <c r="D105" s="157">
        <v>0</v>
      </c>
      <c r="E105" s="157">
        <v>0</v>
      </c>
      <c r="F105" s="157">
        <v>0</v>
      </c>
      <c r="G105" s="252" t="s">
        <v>4136</v>
      </c>
      <c r="H105" s="157"/>
      <c r="I105" s="157" t="b">
        <v>1</v>
      </c>
      <c r="J105" s="157" t="b">
        <v>1</v>
      </c>
      <c r="K105" s="157" t="b">
        <v>1</v>
      </c>
      <c r="L105" s="157"/>
      <c r="M105" s="157"/>
      <c r="N105" s="157" t="str">
        <f>_xlfn.IFNA(VLOOKUP($M105,[1]Buff.CM!$A:$O,13,FALSE),"")</f>
        <v/>
      </c>
      <c r="O105" s="157" t="str">
        <f>_xlfn.IFNA(VLOOKUP($M105,[1]Buff.CM!$A:$O,14,FALSE),"")</f>
        <v/>
      </c>
      <c r="P105" s="157" t="str">
        <f>_xlfn.IFNA(VLOOKUP($M105,[1]Buff.CM!$A:$O,15,FALSE),"")</f>
        <v/>
      </c>
      <c r="Q105" s="157" t="b">
        <v>0</v>
      </c>
      <c r="R105" s="157" t="b">
        <v>0</v>
      </c>
    </row>
    <row r="106" spans="1:18" ht="66" x14ac:dyDescent="0.3">
      <c r="A106" s="157" t="s">
        <v>4137</v>
      </c>
      <c r="B106" s="157"/>
      <c r="C106" s="157"/>
      <c r="D106" s="157">
        <v>0</v>
      </c>
      <c r="E106" s="157">
        <v>0</v>
      </c>
      <c r="F106" s="157">
        <v>0</v>
      </c>
      <c r="G106" s="252" t="s">
        <v>4138</v>
      </c>
      <c r="H106" s="157"/>
      <c r="I106" s="157" t="b">
        <v>1</v>
      </c>
      <c r="J106" s="157" t="b">
        <v>1</v>
      </c>
      <c r="K106" s="157" t="b">
        <v>1</v>
      </c>
      <c r="L106" s="157"/>
      <c r="M106" s="157"/>
      <c r="N106" s="157" t="str">
        <f>_xlfn.IFNA(VLOOKUP($M106,[1]Buff.CM!$A:$O,13,FALSE),"")</f>
        <v/>
      </c>
      <c r="O106" s="157" t="str">
        <f>_xlfn.IFNA(VLOOKUP($M106,[1]Buff.CM!$A:$O,14,FALSE),"")</f>
        <v/>
      </c>
      <c r="P106" s="157" t="str">
        <f>_xlfn.IFNA(VLOOKUP($M106,[1]Buff.CM!$A:$O,15,FALSE),"")</f>
        <v/>
      </c>
      <c r="Q106" s="157" t="b">
        <v>0</v>
      </c>
      <c r="R106" s="157" t="b">
        <v>0</v>
      </c>
    </row>
    <row r="107" spans="1:18" ht="66" x14ac:dyDescent="0.3">
      <c r="A107" s="157" t="s">
        <v>4139</v>
      </c>
      <c r="B107" s="157"/>
      <c r="C107" s="157"/>
      <c r="D107" s="157">
        <v>0</v>
      </c>
      <c r="E107" s="157">
        <v>0</v>
      </c>
      <c r="F107" s="157">
        <v>0</v>
      </c>
      <c r="G107" s="252" t="s">
        <v>4140</v>
      </c>
      <c r="H107" s="157"/>
      <c r="I107" s="157" t="b">
        <v>1</v>
      </c>
      <c r="J107" s="157" t="b">
        <v>1</v>
      </c>
      <c r="K107" s="157" t="b">
        <v>1</v>
      </c>
      <c r="L107" s="157"/>
      <c r="M107" s="157"/>
      <c r="N107" s="157" t="str">
        <f>_xlfn.IFNA(VLOOKUP($M107,[1]Buff.CM!$A:$O,13,FALSE),"")</f>
        <v/>
      </c>
      <c r="O107" s="157" t="str">
        <f>_xlfn.IFNA(VLOOKUP($M107,[1]Buff.CM!$A:$O,14,FALSE),"")</f>
        <v/>
      </c>
      <c r="P107" s="157" t="str">
        <f>_xlfn.IFNA(VLOOKUP($M107,[1]Buff.CM!$A:$O,15,FALSE),"")</f>
        <v/>
      </c>
      <c r="Q107" s="157" t="b">
        <v>0</v>
      </c>
      <c r="R107" s="157" t="b">
        <v>0</v>
      </c>
    </row>
    <row r="108" spans="1:18" ht="66" x14ac:dyDescent="0.3">
      <c r="A108" s="232" t="s">
        <v>4141</v>
      </c>
      <c r="B108" s="232"/>
      <c r="C108" s="232"/>
      <c r="D108" s="232">
        <v>0</v>
      </c>
      <c r="E108" s="232">
        <v>0</v>
      </c>
      <c r="F108" s="232">
        <v>0</v>
      </c>
      <c r="G108" s="238" t="s">
        <v>4142</v>
      </c>
      <c r="H108" s="232"/>
      <c r="I108" s="232" t="b">
        <v>1</v>
      </c>
      <c r="J108" s="157" t="b">
        <v>1</v>
      </c>
      <c r="K108" s="232" t="b">
        <v>1</v>
      </c>
      <c r="L108" s="232"/>
      <c r="M108" s="232"/>
      <c r="N108" s="232" t="str">
        <f>_xlfn.IFNA(VLOOKUP($M108,[1]Buff.CM!$A:$O,13,FALSE),"")</f>
        <v/>
      </c>
      <c r="O108" s="232" t="str">
        <f>_xlfn.IFNA(VLOOKUP($M108,[1]Buff.CM!$A:$O,14,FALSE),"")</f>
        <v/>
      </c>
      <c r="P108" s="232" t="str">
        <f>_xlfn.IFNA(VLOOKUP($M108,[1]Buff.CM!$A:$O,15,FALSE),"")</f>
        <v/>
      </c>
      <c r="Q108" s="232" t="b">
        <v>0</v>
      </c>
      <c r="R108" s="232" t="b">
        <v>0</v>
      </c>
    </row>
    <row r="109" spans="1:18" ht="66" x14ac:dyDescent="0.3">
      <c r="A109" s="232" t="s">
        <v>4143</v>
      </c>
      <c r="B109" s="232"/>
      <c r="C109" s="232"/>
      <c r="D109" s="232">
        <v>0</v>
      </c>
      <c r="E109" s="232">
        <v>0</v>
      </c>
      <c r="F109" s="232">
        <v>0</v>
      </c>
      <c r="G109" s="238" t="s">
        <v>4144</v>
      </c>
      <c r="H109" s="232"/>
      <c r="I109" s="232" t="b">
        <v>1</v>
      </c>
      <c r="J109" s="157" t="b">
        <v>1</v>
      </c>
      <c r="K109" s="232" t="b">
        <v>1</v>
      </c>
      <c r="L109" s="232"/>
      <c r="M109" s="232"/>
      <c r="N109" s="232" t="str">
        <f>_xlfn.IFNA(VLOOKUP($M109,[1]Buff.CM!$A:$O,13,FALSE),"")</f>
        <v/>
      </c>
      <c r="O109" s="232" t="str">
        <f>_xlfn.IFNA(VLOOKUP($M109,[1]Buff.CM!$A:$O,14,FALSE),"")</f>
        <v/>
      </c>
      <c r="P109" s="232" t="str">
        <f>_xlfn.IFNA(VLOOKUP($M109,[1]Buff.CM!$A:$O,15,FALSE),"")</f>
        <v/>
      </c>
      <c r="Q109" s="232" t="b">
        <v>0</v>
      </c>
      <c r="R109" s="232" t="b">
        <v>0</v>
      </c>
    </row>
    <row r="110" spans="1:18" ht="66" x14ac:dyDescent="0.3">
      <c r="A110" s="232" t="s">
        <v>4145</v>
      </c>
      <c r="B110" s="232"/>
      <c r="C110" s="232"/>
      <c r="D110" s="232">
        <v>0</v>
      </c>
      <c r="E110" s="232">
        <v>0</v>
      </c>
      <c r="F110" s="232">
        <v>0</v>
      </c>
      <c r="G110" s="238" t="s">
        <v>4146</v>
      </c>
      <c r="H110" s="232"/>
      <c r="I110" s="232" t="b">
        <v>1</v>
      </c>
      <c r="J110" s="157" t="b">
        <v>1</v>
      </c>
      <c r="K110" s="232" t="b">
        <v>1</v>
      </c>
      <c r="L110" s="232"/>
      <c r="M110" s="232"/>
      <c r="N110" s="232" t="str">
        <f>_xlfn.IFNA(VLOOKUP($M110,[1]Buff.CM!$A:$O,13,FALSE),"")</f>
        <v/>
      </c>
      <c r="O110" s="232" t="str">
        <f>_xlfn.IFNA(VLOOKUP($M110,[1]Buff.CM!$A:$O,14,FALSE),"")</f>
        <v/>
      </c>
      <c r="P110" s="232" t="str">
        <f>_xlfn.IFNA(VLOOKUP($M110,[1]Buff.CM!$A:$O,15,FALSE),"")</f>
        <v/>
      </c>
      <c r="Q110" s="232" t="b">
        <v>0</v>
      </c>
      <c r="R110" s="232" t="b">
        <v>0</v>
      </c>
    </row>
    <row r="111" spans="1:18" x14ac:dyDescent="0.3">
      <c r="A111" s="234" t="s">
        <v>3634</v>
      </c>
      <c r="B111" s="234"/>
      <c r="C111" s="234"/>
      <c r="D111" s="234">
        <v>3000</v>
      </c>
      <c r="E111" s="234">
        <v>0</v>
      </c>
      <c r="F111" s="234">
        <v>0</v>
      </c>
      <c r="G111" s="243" t="s">
        <v>3635</v>
      </c>
      <c r="H111" s="234"/>
      <c r="I111" s="234" t="b">
        <v>0</v>
      </c>
      <c r="J111" s="234" t="b">
        <v>0</v>
      </c>
      <c r="K111" s="234" t="b">
        <v>1</v>
      </c>
      <c r="L111" s="234" t="s">
        <v>63</v>
      </c>
      <c r="M111" s="234" t="s">
        <v>3599</v>
      </c>
      <c r="N111" s="234" t="str">
        <f>_xlfn.IFNA(VLOOKUP($M111,[1]Buff.CM!$A:$O,13,FALSE),"")</f>
        <v>icon_battle_cooldown</v>
      </c>
      <c r="O111" s="234" t="str">
        <f>_xlfn.IFNA(VLOOKUP($M111,[1]Buff.CM!$A:$O,14,FALSE),"")</f>
        <v>Buff.Name.AccelerationSkillTime.Up.00</v>
      </c>
      <c r="P111" s="234" t="str">
        <f>_xlfn.IFNA(VLOOKUP($M111,[1]Buff.CM!$A:$O,15,FALSE),"")</f>
        <v>Buff.Desc.AccelerationSkillTime.Up.00</v>
      </c>
      <c r="Q111" s="234" t="b">
        <v>0</v>
      </c>
      <c r="R111" s="234" t="b">
        <v>0</v>
      </c>
    </row>
    <row r="112" spans="1:18" x14ac:dyDescent="0.3">
      <c r="A112" s="234" t="s">
        <v>3636</v>
      </c>
      <c r="B112" s="234"/>
      <c r="C112" s="234"/>
      <c r="D112" s="234">
        <v>4000</v>
      </c>
      <c r="E112" s="234">
        <v>0</v>
      </c>
      <c r="F112" s="234">
        <v>0</v>
      </c>
      <c r="G112" s="243" t="s">
        <v>3637</v>
      </c>
      <c r="H112" s="234"/>
      <c r="I112" s="234" t="b">
        <v>0</v>
      </c>
      <c r="J112" s="234" t="b">
        <v>0</v>
      </c>
      <c r="K112" s="234" t="b">
        <v>1</v>
      </c>
      <c r="L112" s="234" t="s">
        <v>63</v>
      </c>
      <c r="M112" s="234" t="s">
        <v>3599</v>
      </c>
      <c r="N112" s="234" t="str">
        <f>_xlfn.IFNA(VLOOKUP($M112,[1]Buff.CM!$A:$O,13,FALSE),"")</f>
        <v>icon_battle_cooldown</v>
      </c>
      <c r="O112" s="234" t="str">
        <f>_xlfn.IFNA(VLOOKUP($M112,[1]Buff.CM!$A:$O,14,FALSE),"")</f>
        <v>Buff.Name.AccelerationSkillTime.Up.00</v>
      </c>
      <c r="P112" s="234" t="str">
        <f>_xlfn.IFNA(VLOOKUP($M112,[1]Buff.CM!$A:$O,15,FALSE),"")</f>
        <v>Buff.Desc.AccelerationSkillTime.Up.00</v>
      </c>
      <c r="Q112" s="234" t="b">
        <v>0</v>
      </c>
      <c r="R112" s="234" t="b">
        <v>0</v>
      </c>
    </row>
    <row r="113" spans="1:18" x14ac:dyDescent="0.3">
      <c r="A113" s="234" t="s">
        <v>3638</v>
      </c>
      <c r="B113" s="234"/>
      <c r="C113" s="234"/>
      <c r="D113" s="234">
        <v>4000</v>
      </c>
      <c r="E113" s="234">
        <v>0</v>
      </c>
      <c r="F113" s="234">
        <v>0</v>
      </c>
      <c r="G113" s="243" t="s">
        <v>3639</v>
      </c>
      <c r="H113" s="234"/>
      <c r="I113" s="234" t="b">
        <v>0</v>
      </c>
      <c r="J113" s="234" t="b">
        <v>0</v>
      </c>
      <c r="K113" s="234" t="b">
        <v>1</v>
      </c>
      <c r="L113" s="234" t="s">
        <v>63</v>
      </c>
      <c r="M113" s="234" t="s">
        <v>3599</v>
      </c>
      <c r="N113" s="234" t="str">
        <f>_xlfn.IFNA(VLOOKUP($M113,[1]Buff.CM!$A:$O,13,FALSE),"")</f>
        <v>icon_battle_cooldown</v>
      </c>
      <c r="O113" s="234" t="str">
        <f>_xlfn.IFNA(VLOOKUP($M113,[1]Buff.CM!$A:$O,14,FALSE),"")</f>
        <v>Buff.Name.AccelerationSkillTime.Up.00</v>
      </c>
      <c r="P113" s="234" t="str">
        <f>_xlfn.IFNA(VLOOKUP($M113,[1]Buff.CM!$A:$O,15,FALSE),"")</f>
        <v>Buff.Desc.AccelerationSkillTime.Up.00</v>
      </c>
      <c r="Q113" s="234" t="b">
        <v>0</v>
      </c>
      <c r="R113" s="234" t="b">
        <v>0</v>
      </c>
    </row>
    <row r="114" spans="1:18" x14ac:dyDescent="0.3">
      <c r="A114" s="234" t="s">
        <v>3640</v>
      </c>
      <c r="B114" s="234"/>
      <c r="C114" s="234"/>
      <c r="D114" s="234">
        <v>5000</v>
      </c>
      <c r="E114" s="234">
        <v>0</v>
      </c>
      <c r="F114" s="234">
        <v>0</v>
      </c>
      <c r="G114" s="243" t="s">
        <v>3641</v>
      </c>
      <c r="H114" s="234"/>
      <c r="I114" s="234" t="b">
        <v>0</v>
      </c>
      <c r="J114" s="234" t="b">
        <v>0</v>
      </c>
      <c r="K114" s="234" t="b">
        <v>1</v>
      </c>
      <c r="L114" s="234" t="s">
        <v>63</v>
      </c>
      <c r="M114" s="234" t="s">
        <v>3599</v>
      </c>
      <c r="N114" s="234" t="str">
        <f>_xlfn.IFNA(VLOOKUP($M114,[1]Buff.CM!$A:$O,13,FALSE),"")</f>
        <v>icon_battle_cooldown</v>
      </c>
      <c r="O114" s="234" t="str">
        <f>_xlfn.IFNA(VLOOKUP($M114,[1]Buff.CM!$A:$O,14,FALSE),"")</f>
        <v>Buff.Name.AccelerationSkillTime.Up.00</v>
      </c>
      <c r="P114" s="234" t="str">
        <f>_xlfn.IFNA(VLOOKUP($M114,[1]Buff.CM!$A:$O,15,FALSE),"")</f>
        <v>Buff.Desc.AccelerationSkillTime.Up.00</v>
      </c>
      <c r="Q114" s="234" t="b">
        <v>0</v>
      </c>
      <c r="R114" s="234" t="b">
        <v>0</v>
      </c>
    </row>
    <row r="115" spans="1:18" x14ac:dyDescent="0.3">
      <c r="A115" s="234" t="s">
        <v>3642</v>
      </c>
      <c r="B115" s="234"/>
      <c r="C115" s="234"/>
      <c r="D115" s="234">
        <v>6000</v>
      </c>
      <c r="E115" s="234">
        <v>0</v>
      </c>
      <c r="F115" s="234">
        <v>0</v>
      </c>
      <c r="G115" s="243" t="s">
        <v>3643</v>
      </c>
      <c r="H115" s="234"/>
      <c r="I115" s="234" t="b">
        <v>0</v>
      </c>
      <c r="J115" s="234" t="b">
        <v>0</v>
      </c>
      <c r="K115" s="234" t="b">
        <v>1</v>
      </c>
      <c r="L115" s="234" t="s">
        <v>63</v>
      </c>
      <c r="M115" s="234" t="s">
        <v>3599</v>
      </c>
      <c r="N115" s="234" t="str">
        <f>_xlfn.IFNA(VLOOKUP($M115,[1]Buff.CM!$A:$O,13,FALSE),"")</f>
        <v>icon_battle_cooldown</v>
      </c>
      <c r="O115" s="234" t="str">
        <f>_xlfn.IFNA(VLOOKUP($M115,[1]Buff.CM!$A:$O,14,FALSE),"")</f>
        <v>Buff.Name.AccelerationSkillTime.Up.00</v>
      </c>
      <c r="P115" s="234" t="str">
        <f>_xlfn.IFNA(VLOOKUP($M115,[1]Buff.CM!$A:$O,15,FALSE),"")</f>
        <v>Buff.Desc.AccelerationSkillTime.Up.00</v>
      </c>
      <c r="Q115" s="234" t="b">
        <v>0</v>
      </c>
      <c r="R115" s="234" t="b">
        <v>0</v>
      </c>
    </row>
    <row r="116" spans="1:18" x14ac:dyDescent="0.3">
      <c r="A116" s="232" t="s">
        <v>3644</v>
      </c>
      <c r="B116" s="232"/>
      <c r="C116" s="232"/>
      <c r="D116" s="232">
        <v>7000</v>
      </c>
      <c r="E116" s="232">
        <v>0</v>
      </c>
      <c r="F116" s="232">
        <v>0</v>
      </c>
      <c r="G116" s="238" t="s">
        <v>3645</v>
      </c>
      <c r="H116" s="232"/>
      <c r="I116" s="232" t="b">
        <v>0</v>
      </c>
      <c r="J116" s="232" t="b">
        <v>0</v>
      </c>
      <c r="K116" s="232" t="b">
        <v>1</v>
      </c>
      <c r="L116" s="232" t="s">
        <v>63</v>
      </c>
      <c r="M116" s="232" t="s">
        <v>3599</v>
      </c>
      <c r="N116" s="232" t="str">
        <f>_xlfn.IFNA(VLOOKUP($M116,[1]Buff.CM!$A:$O,13,FALSE),"")</f>
        <v>icon_battle_cooldown</v>
      </c>
      <c r="O116" s="232" t="str">
        <f>_xlfn.IFNA(VLOOKUP($M116,[1]Buff.CM!$A:$O,14,FALSE),"")</f>
        <v>Buff.Name.AccelerationSkillTime.Up.00</v>
      </c>
      <c r="P116" s="232" t="str">
        <f>_xlfn.IFNA(VLOOKUP($M116,[1]Buff.CM!$A:$O,15,FALSE),"")</f>
        <v>Buff.Desc.AccelerationSkillTime.Up.00</v>
      </c>
      <c r="Q116" s="232" t="b">
        <v>0</v>
      </c>
      <c r="R116" s="232" t="b">
        <v>0</v>
      </c>
    </row>
    <row r="117" spans="1:18" x14ac:dyDescent="0.3">
      <c r="A117" s="232" t="s">
        <v>3646</v>
      </c>
      <c r="B117" s="232"/>
      <c r="C117" s="232"/>
      <c r="D117" s="232">
        <v>7000</v>
      </c>
      <c r="E117" s="232">
        <v>0</v>
      </c>
      <c r="F117" s="232">
        <v>0</v>
      </c>
      <c r="G117" s="238" t="s">
        <v>3647</v>
      </c>
      <c r="H117" s="232"/>
      <c r="I117" s="232" t="b">
        <v>0</v>
      </c>
      <c r="J117" s="232" t="b">
        <v>0</v>
      </c>
      <c r="K117" s="232" t="b">
        <v>1</v>
      </c>
      <c r="L117" s="232" t="s">
        <v>63</v>
      </c>
      <c r="M117" s="232" t="s">
        <v>3599</v>
      </c>
      <c r="N117" s="232" t="str">
        <f>_xlfn.IFNA(VLOOKUP($M117,[1]Buff.CM!$A:$O,13,FALSE),"")</f>
        <v>icon_battle_cooldown</v>
      </c>
      <c r="O117" s="232" t="str">
        <f>_xlfn.IFNA(VLOOKUP($M117,[1]Buff.CM!$A:$O,14,FALSE),"")</f>
        <v>Buff.Name.AccelerationSkillTime.Up.00</v>
      </c>
      <c r="P117" s="232" t="str">
        <f>_xlfn.IFNA(VLOOKUP($M117,[1]Buff.CM!$A:$O,15,FALSE),"")</f>
        <v>Buff.Desc.AccelerationSkillTime.Up.00</v>
      </c>
      <c r="Q117" s="232" t="b">
        <v>0</v>
      </c>
      <c r="R117" s="232" t="b">
        <v>0</v>
      </c>
    </row>
    <row r="118" spans="1:18" x14ac:dyDescent="0.3">
      <c r="A118" s="234" t="s">
        <v>3648</v>
      </c>
      <c r="B118" s="234"/>
      <c r="C118" s="234"/>
      <c r="D118" s="234">
        <v>30000</v>
      </c>
      <c r="E118" s="234">
        <v>0</v>
      </c>
      <c r="F118" s="234">
        <v>0</v>
      </c>
      <c r="G118" s="234" t="s">
        <v>3649</v>
      </c>
      <c r="H118" s="234"/>
      <c r="I118" s="234" t="b">
        <v>0</v>
      </c>
      <c r="J118" s="234" t="b">
        <v>0</v>
      </c>
      <c r="K118" s="234" t="b">
        <v>1</v>
      </c>
      <c r="L118" s="234" t="s">
        <v>63</v>
      </c>
      <c r="M118" s="234"/>
      <c r="N118" s="234" t="str">
        <f>_xlfn.IFNA(VLOOKUP($M118,[1]Buff.CM!$A:$O,13,FALSE),"")</f>
        <v/>
      </c>
      <c r="O118" s="234" t="str">
        <f>_xlfn.IFNA(VLOOKUP($M118,[1]Buff.CM!$A:$O,14,FALSE),"")</f>
        <v/>
      </c>
      <c r="P118" s="234" t="str">
        <f>_xlfn.IFNA(VLOOKUP($M118,[1]Buff.CM!$A:$O,15,FALSE),"")</f>
        <v/>
      </c>
      <c r="Q118" s="234" t="b">
        <v>0</v>
      </c>
      <c r="R118" s="234" t="b">
        <v>0</v>
      </c>
    </row>
    <row r="119" spans="1:18" x14ac:dyDescent="0.3">
      <c r="A119" s="234" t="s">
        <v>3650</v>
      </c>
      <c r="B119" s="234"/>
      <c r="C119" s="234"/>
      <c r="D119" s="234">
        <v>30000</v>
      </c>
      <c r="E119" s="234">
        <v>0</v>
      </c>
      <c r="F119" s="234">
        <v>0</v>
      </c>
      <c r="G119" s="234" t="s">
        <v>3651</v>
      </c>
      <c r="H119" s="234"/>
      <c r="I119" s="234" t="b">
        <v>0</v>
      </c>
      <c r="J119" s="234" t="b">
        <v>0</v>
      </c>
      <c r="K119" s="234" t="b">
        <v>1</v>
      </c>
      <c r="L119" s="234" t="s">
        <v>63</v>
      </c>
      <c r="M119" s="234"/>
      <c r="N119" s="234" t="str">
        <f>_xlfn.IFNA(VLOOKUP($M119,[1]Buff.CM!$A:$O,13,FALSE),"")</f>
        <v/>
      </c>
      <c r="O119" s="234" t="str">
        <f>_xlfn.IFNA(VLOOKUP($M119,[1]Buff.CM!$A:$O,14,FALSE),"")</f>
        <v/>
      </c>
      <c r="P119" s="234" t="str">
        <f>_xlfn.IFNA(VLOOKUP($M119,[1]Buff.CM!$A:$O,15,FALSE),"")</f>
        <v/>
      </c>
      <c r="Q119" s="234" t="b">
        <v>0</v>
      </c>
      <c r="R119" s="234" t="b">
        <v>0</v>
      </c>
    </row>
    <row r="120" spans="1:18" x14ac:dyDescent="0.3">
      <c r="A120" s="234" t="s">
        <v>3652</v>
      </c>
      <c r="B120" s="234"/>
      <c r="C120" s="234"/>
      <c r="D120" s="234">
        <v>30000</v>
      </c>
      <c r="E120" s="234">
        <v>0</v>
      </c>
      <c r="F120" s="234">
        <v>0</v>
      </c>
      <c r="G120" s="234" t="s">
        <v>3653</v>
      </c>
      <c r="H120" s="234"/>
      <c r="I120" s="234" t="b">
        <v>0</v>
      </c>
      <c r="J120" s="234" t="b">
        <v>0</v>
      </c>
      <c r="K120" s="234" t="b">
        <v>1</v>
      </c>
      <c r="L120" s="234" t="s">
        <v>63</v>
      </c>
      <c r="M120" s="234"/>
      <c r="N120" s="234" t="str">
        <f>_xlfn.IFNA(VLOOKUP($M120,[1]Buff.CM!$A:$O,13,FALSE),"")</f>
        <v/>
      </c>
      <c r="O120" s="234" t="str">
        <f>_xlfn.IFNA(VLOOKUP($M120,[1]Buff.CM!$A:$O,14,FALSE),"")</f>
        <v/>
      </c>
      <c r="P120" s="234" t="str">
        <f>_xlfn.IFNA(VLOOKUP($M120,[1]Buff.CM!$A:$O,15,FALSE),"")</f>
        <v/>
      </c>
      <c r="Q120" s="234" t="b">
        <v>0</v>
      </c>
      <c r="R120" s="234" t="b">
        <v>0</v>
      </c>
    </row>
    <row r="121" spans="1:18" x14ac:dyDescent="0.3">
      <c r="A121" s="234" t="s">
        <v>3654</v>
      </c>
      <c r="B121" s="234"/>
      <c r="C121" s="234"/>
      <c r="D121" s="234">
        <v>30000</v>
      </c>
      <c r="E121" s="234">
        <v>0</v>
      </c>
      <c r="F121" s="234">
        <v>0</v>
      </c>
      <c r="G121" s="234" t="s">
        <v>3655</v>
      </c>
      <c r="H121" s="234"/>
      <c r="I121" s="234" t="b">
        <v>0</v>
      </c>
      <c r="J121" s="234" t="b">
        <v>0</v>
      </c>
      <c r="K121" s="234" t="b">
        <v>1</v>
      </c>
      <c r="L121" s="234" t="s">
        <v>63</v>
      </c>
      <c r="M121" s="234"/>
      <c r="N121" s="234" t="str">
        <f>_xlfn.IFNA(VLOOKUP($M121,[1]Buff.CM!$A:$O,13,FALSE),"")</f>
        <v/>
      </c>
      <c r="O121" s="234" t="str">
        <f>_xlfn.IFNA(VLOOKUP($M121,[1]Buff.CM!$A:$O,14,FALSE),"")</f>
        <v/>
      </c>
      <c r="P121" s="234" t="str">
        <f>_xlfn.IFNA(VLOOKUP($M121,[1]Buff.CM!$A:$O,15,FALSE),"")</f>
        <v/>
      </c>
      <c r="Q121" s="234" t="b">
        <v>0</v>
      </c>
      <c r="R121" s="234" t="b">
        <v>0</v>
      </c>
    </row>
    <row r="122" spans="1:18" x14ac:dyDescent="0.3">
      <c r="A122" s="234" t="s">
        <v>3656</v>
      </c>
      <c r="B122" s="234"/>
      <c r="C122" s="234"/>
      <c r="D122" s="234">
        <v>30000</v>
      </c>
      <c r="E122" s="234">
        <v>0</v>
      </c>
      <c r="F122" s="234">
        <v>0</v>
      </c>
      <c r="G122" s="234" t="s">
        <v>3657</v>
      </c>
      <c r="H122" s="234"/>
      <c r="I122" s="234" t="b">
        <v>0</v>
      </c>
      <c r="J122" s="234" t="b">
        <v>0</v>
      </c>
      <c r="K122" s="234" t="b">
        <v>1</v>
      </c>
      <c r="L122" s="234" t="s">
        <v>63</v>
      </c>
      <c r="M122" s="234"/>
      <c r="N122" s="234" t="str">
        <f>_xlfn.IFNA(VLOOKUP($M122,[1]Buff.CM!$A:$O,13,FALSE),"")</f>
        <v/>
      </c>
      <c r="O122" s="234" t="str">
        <f>_xlfn.IFNA(VLOOKUP($M122,[1]Buff.CM!$A:$O,14,FALSE),"")</f>
        <v/>
      </c>
      <c r="P122" s="234" t="str">
        <f>_xlfn.IFNA(VLOOKUP($M122,[1]Buff.CM!$A:$O,15,FALSE),"")</f>
        <v/>
      </c>
      <c r="Q122" s="234" t="b">
        <v>0</v>
      </c>
      <c r="R122" s="234" t="b">
        <v>0</v>
      </c>
    </row>
    <row r="123" spans="1:18" x14ac:dyDescent="0.3">
      <c r="A123" s="232" t="s">
        <v>3658</v>
      </c>
      <c r="B123" s="232"/>
      <c r="C123" s="232"/>
      <c r="D123" s="232">
        <v>30000</v>
      </c>
      <c r="E123" s="232">
        <v>0</v>
      </c>
      <c r="F123" s="232">
        <v>0</v>
      </c>
      <c r="G123" s="232" t="s">
        <v>3659</v>
      </c>
      <c r="H123" s="232"/>
      <c r="I123" s="232" t="b">
        <v>0</v>
      </c>
      <c r="J123" s="232" t="b">
        <v>0</v>
      </c>
      <c r="K123" s="232" t="b">
        <v>1</v>
      </c>
      <c r="L123" s="232" t="s">
        <v>63</v>
      </c>
      <c r="M123" s="232"/>
      <c r="N123" s="232" t="str">
        <f>_xlfn.IFNA(VLOOKUP($M123,[1]Buff.CM!$A:$O,13,FALSE),"")</f>
        <v/>
      </c>
      <c r="O123" s="232" t="str">
        <f>_xlfn.IFNA(VLOOKUP($M123,[1]Buff.CM!$A:$O,14,FALSE),"")</f>
        <v/>
      </c>
      <c r="P123" s="232" t="str">
        <f>_xlfn.IFNA(VLOOKUP($M123,[1]Buff.CM!$A:$O,15,FALSE),"")</f>
        <v/>
      </c>
      <c r="Q123" s="232" t="b">
        <v>0</v>
      </c>
      <c r="R123" s="232" t="b">
        <v>0</v>
      </c>
    </row>
    <row r="124" spans="1:18" x14ac:dyDescent="0.3">
      <c r="A124" s="232" t="s">
        <v>3660</v>
      </c>
      <c r="B124" s="232"/>
      <c r="C124" s="232"/>
      <c r="D124" s="232">
        <v>30000</v>
      </c>
      <c r="E124" s="232">
        <v>0</v>
      </c>
      <c r="F124" s="232">
        <v>0</v>
      </c>
      <c r="G124" s="232" t="s">
        <v>3661</v>
      </c>
      <c r="H124" s="232"/>
      <c r="I124" s="232" t="b">
        <v>0</v>
      </c>
      <c r="J124" s="232" t="b">
        <v>0</v>
      </c>
      <c r="K124" s="232" t="b">
        <v>1</v>
      </c>
      <c r="L124" s="232" t="s">
        <v>63</v>
      </c>
      <c r="M124" s="232"/>
      <c r="N124" s="232" t="str">
        <f>_xlfn.IFNA(VLOOKUP($M124,[1]Buff.CM!$A:$O,13,FALSE),"")</f>
        <v/>
      </c>
      <c r="O124" s="232" t="str">
        <f>_xlfn.IFNA(VLOOKUP($M124,[1]Buff.CM!$A:$O,14,FALSE),"")</f>
        <v/>
      </c>
      <c r="P124" s="232" t="str">
        <f>_xlfn.IFNA(VLOOKUP($M124,[1]Buff.CM!$A:$O,15,FALSE),"")</f>
        <v/>
      </c>
      <c r="Q124" s="232" t="b">
        <v>0</v>
      </c>
      <c r="R124" s="232" t="b">
        <v>0</v>
      </c>
    </row>
    <row r="125" spans="1:18" x14ac:dyDescent="0.3">
      <c r="A125" s="235" t="s">
        <v>3662</v>
      </c>
      <c r="B125" s="235"/>
      <c r="C125" s="235"/>
      <c r="D125" s="235">
        <v>0</v>
      </c>
      <c r="E125" s="235">
        <v>15</v>
      </c>
      <c r="F125" s="235">
        <v>1</v>
      </c>
      <c r="G125" s="235" t="s">
        <v>3663</v>
      </c>
      <c r="H125" s="235"/>
      <c r="I125" s="235" t="b">
        <v>1</v>
      </c>
      <c r="J125" s="235" t="b">
        <v>0</v>
      </c>
      <c r="K125" s="235" t="b">
        <v>1</v>
      </c>
      <c r="L125" s="235" t="s">
        <v>63</v>
      </c>
      <c r="M125" s="235" t="s">
        <v>3664</v>
      </c>
      <c r="N125" s="232" t="str">
        <f>_xlfn.IFNA(VLOOKUP($M125,[1]Buff.CM!$A:$O,13,FALSE),"")</f>
        <v/>
      </c>
      <c r="O125" s="232" t="str">
        <f>_xlfn.IFNA(VLOOKUP($M125,[1]Buff.CM!$A:$O,14,FALSE),"")</f>
        <v/>
      </c>
      <c r="P125" s="232" t="str">
        <f>_xlfn.IFNA(VLOOKUP($M125,[1]Buff.CM!$A:$O,15,FALSE),"")</f>
        <v/>
      </c>
      <c r="Q125" s="235" t="b">
        <v>0</v>
      </c>
      <c r="R125" s="235" t="b">
        <v>0</v>
      </c>
    </row>
    <row r="126" spans="1:18" x14ac:dyDescent="0.3">
      <c r="A126" s="234" t="s">
        <v>3665</v>
      </c>
      <c r="B126" s="234"/>
      <c r="C126" s="234"/>
      <c r="D126" s="234">
        <v>1000</v>
      </c>
      <c r="E126" s="234">
        <v>0</v>
      </c>
      <c r="F126" s="234">
        <v>0</v>
      </c>
      <c r="G126" s="234" t="s">
        <v>378</v>
      </c>
      <c r="H126" s="234"/>
      <c r="I126" s="234" t="b">
        <v>0</v>
      </c>
      <c r="J126" s="234" t="b">
        <v>0</v>
      </c>
      <c r="K126" s="234" t="b">
        <v>0</v>
      </c>
      <c r="L126" s="234" t="s">
        <v>67</v>
      </c>
      <c r="M126" s="234" t="s">
        <v>2291</v>
      </c>
      <c r="N126" s="234" t="str">
        <f>_xlfn.IFNA(VLOOKUP($M126,[1]Buff.CM!$A:$O,13,FALSE),"")</f>
        <v>icon_battle_stun</v>
      </c>
      <c r="O126" s="234" t="str">
        <f>_xlfn.IFNA(VLOOKUP($M126,[1]Buff.CM!$A:$O,14,FALSE),"")</f>
        <v>Buff.Name.Stun</v>
      </c>
      <c r="P126" s="234" t="str">
        <f>_xlfn.IFNA(VLOOKUP($M126,[1]Buff.CM!$A:$O,15,FALSE),"")</f>
        <v>Buff.Desc.Stun</v>
      </c>
      <c r="Q126" s="234" t="b">
        <v>0</v>
      </c>
      <c r="R126" s="234" t="b">
        <v>0</v>
      </c>
    </row>
    <row r="127" spans="1:18" x14ac:dyDescent="0.3">
      <c r="A127" s="235" t="s">
        <v>3666</v>
      </c>
      <c r="B127" s="235"/>
      <c r="C127" s="235"/>
      <c r="D127" s="235">
        <v>0</v>
      </c>
      <c r="E127" s="235">
        <v>0</v>
      </c>
      <c r="F127" s="235">
        <v>0</v>
      </c>
      <c r="G127" s="235" t="s">
        <v>3667</v>
      </c>
      <c r="H127" s="235"/>
      <c r="I127" s="235" t="b">
        <v>0</v>
      </c>
      <c r="J127" s="235" t="b">
        <v>0</v>
      </c>
      <c r="K127" s="235" t="b">
        <v>1</v>
      </c>
      <c r="L127" s="235" t="s">
        <v>63</v>
      </c>
      <c r="M127" s="235"/>
      <c r="N127" s="235" t="str">
        <f>_xlfn.IFNA(VLOOKUP($M127,[1]Buff.CM!$A:$O,13,FALSE),"")</f>
        <v/>
      </c>
      <c r="O127" s="235" t="str">
        <f>_xlfn.IFNA(VLOOKUP($M127,[1]Buff.CM!$A:$O,14,FALSE),"")</f>
        <v/>
      </c>
      <c r="P127" s="235" t="str">
        <f>_xlfn.IFNA(VLOOKUP($M127,[1]Buff.CM!$A:$O,15,FALSE),"")</f>
        <v/>
      </c>
      <c r="Q127" s="235" t="b">
        <v>0</v>
      </c>
      <c r="R127" s="235" t="b">
        <v>0</v>
      </c>
    </row>
    <row r="128" spans="1:18" x14ac:dyDescent="0.3">
      <c r="A128" s="234" t="s">
        <v>3668</v>
      </c>
      <c r="B128" s="234"/>
      <c r="C128" s="234"/>
      <c r="D128" s="234">
        <v>4500</v>
      </c>
      <c r="E128" s="234">
        <v>0</v>
      </c>
      <c r="F128" s="234">
        <v>0</v>
      </c>
      <c r="G128" s="234" t="s">
        <v>3600</v>
      </c>
      <c r="H128" s="234"/>
      <c r="I128" s="234" t="b">
        <v>0</v>
      </c>
      <c r="J128" s="234" t="b">
        <v>0</v>
      </c>
      <c r="K128" s="234" t="b">
        <v>1</v>
      </c>
      <c r="L128" s="234" t="s">
        <v>3601</v>
      </c>
      <c r="M128" s="234" t="s">
        <v>3600</v>
      </c>
      <c r="N128" s="234" t="str">
        <f>_xlfn.IFNA(VLOOKUP($M128,[1]Buff.CM!$A:$O,13,FALSE),"")</f>
        <v>icon_battle_criticaldamage</v>
      </c>
      <c r="O128" s="234" t="str">
        <f>_xlfn.IFNA(VLOOKUP($M128,[1]Buff.CM!$A:$O,14,FALSE),"")</f>
        <v>Buff.Name.CriticalDamage.Up.01</v>
      </c>
      <c r="P128" s="234" t="str">
        <f>_xlfn.IFNA(VLOOKUP($M128,[1]Buff.CM!$A:$O,15,FALSE),"")</f>
        <v>Buff.Desc.CriticalDamage.Up.01</v>
      </c>
      <c r="Q128" s="234" t="b">
        <v>0</v>
      </c>
      <c r="R128" s="234" t="b">
        <v>0</v>
      </c>
    </row>
    <row r="129" spans="1:18" x14ac:dyDescent="0.3">
      <c r="A129" s="234" t="s">
        <v>3669</v>
      </c>
      <c r="B129" s="234"/>
      <c r="C129" s="234"/>
      <c r="D129" s="234">
        <v>5000</v>
      </c>
      <c r="E129" s="234">
        <v>0</v>
      </c>
      <c r="F129" s="234">
        <v>0</v>
      </c>
      <c r="G129" s="234" t="s">
        <v>3600</v>
      </c>
      <c r="H129" s="234"/>
      <c r="I129" s="234" t="b">
        <v>0</v>
      </c>
      <c r="J129" s="234" t="b">
        <v>0</v>
      </c>
      <c r="K129" s="234" t="b">
        <v>1</v>
      </c>
      <c r="L129" s="234" t="s">
        <v>3601</v>
      </c>
      <c r="M129" s="234" t="s">
        <v>3600</v>
      </c>
      <c r="N129" s="234" t="str">
        <f>_xlfn.IFNA(VLOOKUP($M129,[1]Buff.CM!$A:$O,13,FALSE),"")</f>
        <v>icon_battle_criticaldamage</v>
      </c>
      <c r="O129" s="234" t="str">
        <f>_xlfn.IFNA(VLOOKUP($M129,[1]Buff.CM!$A:$O,14,FALSE),"")</f>
        <v>Buff.Name.CriticalDamage.Up.01</v>
      </c>
      <c r="P129" s="234" t="str">
        <f>_xlfn.IFNA(VLOOKUP($M129,[1]Buff.CM!$A:$O,15,FALSE),"")</f>
        <v>Buff.Desc.CriticalDamage.Up.01</v>
      </c>
      <c r="Q129" s="234" t="b">
        <v>0</v>
      </c>
      <c r="R129" s="234" t="b">
        <v>0</v>
      </c>
    </row>
    <row r="130" spans="1:18" x14ac:dyDescent="0.3">
      <c r="A130" s="234" t="s">
        <v>3670</v>
      </c>
      <c r="B130" s="234"/>
      <c r="C130" s="234"/>
      <c r="D130" s="234">
        <v>5500</v>
      </c>
      <c r="E130" s="234">
        <v>0</v>
      </c>
      <c r="F130" s="234">
        <v>0</v>
      </c>
      <c r="G130" s="234" t="s">
        <v>3602</v>
      </c>
      <c r="H130" s="234"/>
      <c r="I130" s="234" t="b">
        <v>0</v>
      </c>
      <c r="J130" s="234" t="b">
        <v>0</v>
      </c>
      <c r="K130" s="234" t="b">
        <v>1</v>
      </c>
      <c r="L130" s="234" t="s">
        <v>3601</v>
      </c>
      <c r="M130" s="234" t="s">
        <v>3602</v>
      </c>
      <c r="N130" s="234" t="str">
        <f>_xlfn.IFNA(VLOOKUP($M130,[1]Buff.CM!$A:$O,13,FALSE),"")</f>
        <v>icon_battle_criticaldamage</v>
      </c>
      <c r="O130" s="234" t="str">
        <f>_xlfn.IFNA(VLOOKUP($M130,[1]Buff.CM!$A:$O,14,FALSE),"")</f>
        <v>Buff.Name.CriticalDamage.Up.02</v>
      </c>
      <c r="P130" s="234" t="str">
        <f>_xlfn.IFNA(VLOOKUP($M130,[1]Buff.CM!$A:$O,15,FALSE),"")</f>
        <v>Buff.Desc.CriticalDamage.Up.02</v>
      </c>
      <c r="Q130" s="234" t="b">
        <v>0</v>
      </c>
      <c r="R130" s="234" t="b">
        <v>0</v>
      </c>
    </row>
    <row r="131" spans="1:18" x14ac:dyDescent="0.3">
      <c r="A131" s="232" t="s">
        <v>3671</v>
      </c>
      <c r="B131" s="232"/>
      <c r="C131" s="232"/>
      <c r="D131" s="232">
        <v>6000</v>
      </c>
      <c r="E131" s="232">
        <v>0</v>
      </c>
      <c r="F131" s="232">
        <v>0</v>
      </c>
      <c r="G131" s="232" t="s">
        <v>3602</v>
      </c>
      <c r="H131" s="232"/>
      <c r="I131" s="232" t="b">
        <v>0</v>
      </c>
      <c r="J131" s="232" t="b">
        <v>0</v>
      </c>
      <c r="K131" s="232" t="b">
        <v>1</v>
      </c>
      <c r="L131" s="232" t="s">
        <v>3601</v>
      </c>
      <c r="M131" s="232" t="s">
        <v>3602</v>
      </c>
      <c r="N131" s="232" t="str">
        <f>_xlfn.IFNA(VLOOKUP($M131,[1]Buff.CM!$A:$O,13,FALSE),"")</f>
        <v>icon_battle_criticaldamage</v>
      </c>
      <c r="O131" s="232" t="str">
        <f>_xlfn.IFNA(VLOOKUP($M131,[1]Buff.CM!$A:$O,14,FALSE),"")</f>
        <v>Buff.Name.CriticalDamage.Up.02</v>
      </c>
      <c r="P131" s="232" t="str">
        <f>_xlfn.IFNA(VLOOKUP($M131,[1]Buff.CM!$A:$O,15,FALSE),"")</f>
        <v>Buff.Desc.CriticalDamage.Up.02</v>
      </c>
      <c r="Q131" s="232" t="b">
        <v>0</v>
      </c>
      <c r="R131" s="232" t="b">
        <v>0</v>
      </c>
    </row>
    <row r="132" spans="1:18" x14ac:dyDescent="0.3">
      <c r="A132" s="232" t="s">
        <v>3672</v>
      </c>
      <c r="B132" s="232"/>
      <c r="C132" s="232"/>
      <c r="D132" s="232">
        <v>7000</v>
      </c>
      <c r="E132" s="232">
        <v>0</v>
      </c>
      <c r="F132" s="232">
        <v>0</v>
      </c>
      <c r="G132" s="232" t="s">
        <v>3603</v>
      </c>
      <c r="H132" s="232"/>
      <c r="I132" s="232" t="b">
        <v>0</v>
      </c>
      <c r="J132" s="232" t="b">
        <v>0</v>
      </c>
      <c r="K132" s="232" t="b">
        <v>1</v>
      </c>
      <c r="L132" s="232" t="s">
        <v>3601</v>
      </c>
      <c r="M132" s="232" t="s">
        <v>3603</v>
      </c>
      <c r="N132" s="232" t="str">
        <f>_xlfn.IFNA(VLOOKUP($M132,[1]Buff.CM!$A:$O,13,FALSE),"")</f>
        <v>icon_battle_criticaldamage</v>
      </c>
      <c r="O132" s="232" t="str">
        <f>_xlfn.IFNA(VLOOKUP($M132,[1]Buff.CM!$A:$O,14,FALSE),"")</f>
        <v>Buff.Name.CriticalDamage.Up.05</v>
      </c>
      <c r="P132" s="232" t="str">
        <f>_xlfn.IFNA(VLOOKUP($M132,[1]Buff.CM!$A:$O,15,FALSE),"")</f>
        <v>Buff.Desc.CriticalDamage.Up.05</v>
      </c>
      <c r="Q132" s="232" t="b">
        <v>0</v>
      </c>
      <c r="R132" s="232" t="b">
        <v>0</v>
      </c>
    </row>
    <row r="133" spans="1:18" x14ac:dyDescent="0.3">
      <c r="A133" s="232" t="s">
        <v>3673</v>
      </c>
      <c r="B133" s="232"/>
      <c r="C133" s="232"/>
      <c r="D133" s="232">
        <v>7000</v>
      </c>
      <c r="E133" s="232">
        <v>0</v>
      </c>
      <c r="F133" s="232">
        <v>0</v>
      </c>
      <c r="G133" s="232" t="s">
        <v>3603</v>
      </c>
      <c r="H133" s="232"/>
      <c r="I133" s="232" t="b">
        <v>0</v>
      </c>
      <c r="J133" s="232" t="b">
        <v>0</v>
      </c>
      <c r="K133" s="232" t="b">
        <v>1</v>
      </c>
      <c r="L133" s="232" t="s">
        <v>3601</v>
      </c>
      <c r="M133" s="232" t="s">
        <v>3603</v>
      </c>
      <c r="N133" s="232" t="str">
        <f>_xlfn.IFNA(VLOOKUP($M133,[1]Buff.CM!$A:$O,13,FALSE),"")</f>
        <v>icon_battle_criticaldamage</v>
      </c>
      <c r="O133" s="232" t="str">
        <f>_xlfn.IFNA(VLOOKUP($M133,[1]Buff.CM!$A:$O,14,FALSE),"")</f>
        <v>Buff.Name.CriticalDamage.Up.05</v>
      </c>
      <c r="P133" s="232" t="str">
        <f>_xlfn.IFNA(VLOOKUP($M133,[1]Buff.CM!$A:$O,15,FALSE),"")</f>
        <v>Buff.Desc.CriticalDamage.Up.05</v>
      </c>
      <c r="Q133" s="232" t="b">
        <v>0</v>
      </c>
      <c r="R133" s="232" t="b">
        <v>0</v>
      </c>
    </row>
    <row r="134" spans="1:18" x14ac:dyDescent="0.3">
      <c r="A134" s="233" t="s">
        <v>3674</v>
      </c>
      <c r="B134" s="233"/>
      <c r="C134" s="233"/>
      <c r="D134" s="233">
        <v>6000</v>
      </c>
      <c r="E134" s="233">
        <v>0</v>
      </c>
      <c r="F134" s="233">
        <v>0</v>
      </c>
      <c r="G134" s="233" t="s">
        <v>3675</v>
      </c>
      <c r="H134" s="233"/>
      <c r="I134" s="233" t="b">
        <v>0</v>
      </c>
      <c r="J134" s="233" t="b">
        <v>0</v>
      </c>
      <c r="K134" s="233" t="b">
        <v>1</v>
      </c>
      <c r="L134" s="233" t="s">
        <v>60</v>
      </c>
      <c r="M134" s="233" t="s">
        <v>2263</v>
      </c>
      <c r="N134" s="233" t="str">
        <f>_xlfn.IFNA(VLOOKUP($M134,[1]Buff.CM!$A:$O,13,FALSE),"")</f>
        <v>icon_battle_shield</v>
      </c>
      <c r="O134" s="233" t="str">
        <f>_xlfn.IFNA(VLOOKUP($M134,[1]Buff.CM!$A:$O,14,FALSE),"")</f>
        <v>Buff.Name.Shield</v>
      </c>
      <c r="P134" s="233" t="str">
        <f>_xlfn.IFNA(VLOOKUP($M134,[1]Buff.CM!$A:$O,15,FALSE),"")</f>
        <v>Buff.Desc.Shield</v>
      </c>
      <c r="Q134" s="233" t="b">
        <v>0</v>
      </c>
      <c r="R134" s="233" t="b">
        <v>0</v>
      </c>
    </row>
    <row r="135" spans="1:18" x14ac:dyDescent="0.3">
      <c r="A135" s="233" t="s">
        <v>3676</v>
      </c>
      <c r="B135" s="233"/>
      <c r="C135" s="233"/>
      <c r="D135" s="233">
        <v>6000</v>
      </c>
      <c r="E135" s="233">
        <v>0</v>
      </c>
      <c r="F135" s="233">
        <v>0</v>
      </c>
      <c r="G135" s="233" t="s">
        <v>3677</v>
      </c>
      <c r="H135" s="233"/>
      <c r="I135" s="233" t="b">
        <v>0</v>
      </c>
      <c r="J135" s="233" t="b">
        <v>0</v>
      </c>
      <c r="K135" s="233" t="b">
        <v>1</v>
      </c>
      <c r="L135" s="233" t="s">
        <v>60</v>
      </c>
      <c r="M135" s="233" t="s">
        <v>2263</v>
      </c>
      <c r="N135" s="233" t="str">
        <f>_xlfn.IFNA(VLOOKUP($M135,[1]Buff.CM!$A:$O,13,FALSE),"")</f>
        <v>icon_battle_shield</v>
      </c>
      <c r="O135" s="233" t="str">
        <f>_xlfn.IFNA(VLOOKUP($M135,[1]Buff.CM!$A:$O,14,FALSE),"")</f>
        <v>Buff.Name.Shield</v>
      </c>
      <c r="P135" s="233" t="str">
        <f>_xlfn.IFNA(VLOOKUP($M135,[1]Buff.CM!$A:$O,15,FALSE),"")</f>
        <v>Buff.Desc.Shield</v>
      </c>
      <c r="Q135" s="233" t="b">
        <v>0</v>
      </c>
      <c r="R135" s="233" t="b">
        <v>0</v>
      </c>
    </row>
    <row r="136" spans="1:18" x14ac:dyDescent="0.3">
      <c r="A136" s="233" t="s">
        <v>3678</v>
      </c>
      <c r="B136" s="233"/>
      <c r="C136" s="233"/>
      <c r="D136" s="233">
        <v>6000</v>
      </c>
      <c r="E136" s="233">
        <v>0</v>
      </c>
      <c r="F136" s="233">
        <v>0</v>
      </c>
      <c r="G136" s="233" t="s">
        <v>3679</v>
      </c>
      <c r="H136" s="233"/>
      <c r="I136" s="233" t="b">
        <v>0</v>
      </c>
      <c r="J136" s="233" t="b">
        <v>0</v>
      </c>
      <c r="K136" s="233" t="b">
        <v>1</v>
      </c>
      <c r="L136" s="233" t="s">
        <v>60</v>
      </c>
      <c r="M136" s="233" t="s">
        <v>2263</v>
      </c>
      <c r="N136" s="233" t="str">
        <f>_xlfn.IFNA(VLOOKUP($M136,[1]Buff.CM!$A:$O,13,FALSE),"")</f>
        <v>icon_battle_shield</v>
      </c>
      <c r="O136" s="233" t="str">
        <f>_xlfn.IFNA(VLOOKUP($M136,[1]Buff.CM!$A:$O,14,FALSE),"")</f>
        <v>Buff.Name.Shield</v>
      </c>
      <c r="P136" s="233" t="str">
        <f>_xlfn.IFNA(VLOOKUP($M136,[1]Buff.CM!$A:$O,15,FALSE),"")</f>
        <v>Buff.Desc.Shield</v>
      </c>
      <c r="Q136" s="233" t="b">
        <v>0</v>
      </c>
      <c r="R136" s="233" t="b">
        <v>0</v>
      </c>
    </row>
    <row r="137" spans="1:18" x14ac:dyDescent="0.3">
      <c r="A137" s="233" t="s">
        <v>3680</v>
      </c>
      <c r="B137" s="233"/>
      <c r="C137" s="233"/>
      <c r="D137" s="233">
        <v>6000</v>
      </c>
      <c r="E137" s="233">
        <v>0</v>
      </c>
      <c r="F137" s="233">
        <v>0</v>
      </c>
      <c r="G137" s="233" t="s">
        <v>3681</v>
      </c>
      <c r="H137" s="233"/>
      <c r="I137" s="233" t="b">
        <v>0</v>
      </c>
      <c r="J137" s="233" t="b">
        <v>0</v>
      </c>
      <c r="K137" s="233" t="b">
        <v>1</v>
      </c>
      <c r="L137" s="233" t="s">
        <v>60</v>
      </c>
      <c r="M137" s="233" t="s">
        <v>2263</v>
      </c>
      <c r="N137" s="233" t="str">
        <f>_xlfn.IFNA(VLOOKUP($M137,[1]Buff.CM!$A:$O,13,FALSE),"")</f>
        <v>icon_battle_shield</v>
      </c>
      <c r="O137" s="233" t="str">
        <f>_xlfn.IFNA(VLOOKUP($M137,[1]Buff.CM!$A:$O,14,FALSE),"")</f>
        <v>Buff.Name.Shield</v>
      </c>
      <c r="P137" s="233" t="str">
        <f>_xlfn.IFNA(VLOOKUP($M137,[1]Buff.CM!$A:$O,15,FALSE),"")</f>
        <v>Buff.Desc.Shield</v>
      </c>
      <c r="Q137" s="233" t="b">
        <v>0</v>
      </c>
      <c r="R137" s="233" t="b">
        <v>0</v>
      </c>
    </row>
    <row r="138" spans="1:18" x14ac:dyDescent="0.3">
      <c r="A138" s="233" t="s">
        <v>3682</v>
      </c>
      <c r="B138" s="233"/>
      <c r="C138" s="233"/>
      <c r="D138" s="233">
        <v>6000</v>
      </c>
      <c r="E138" s="233">
        <v>0</v>
      </c>
      <c r="F138" s="233">
        <v>0</v>
      </c>
      <c r="G138" s="233" t="s">
        <v>3683</v>
      </c>
      <c r="H138" s="233"/>
      <c r="I138" s="233" t="b">
        <v>0</v>
      </c>
      <c r="J138" s="233" t="b">
        <v>0</v>
      </c>
      <c r="K138" s="233" t="b">
        <v>1</v>
      </c>
      <c r="L138" s="233" t="s">
        <v>60</v>
      </c>
      <c r="M138" s="233" t="s">
        <v>2263</v>
      </c>
      <c r="N138" s="233" t="str">
        <f>_xlfn.IFNA(VLOOKUP($M138,[1]Buff.CM!$A:$O,13,FALSE),"")</f>
        <v>icon_battle_shield</v>
      </c>
      <c r="O138" s="233" t="str">
        <f>_xlfn.IFNA(VLOOKUP($M138,[1]Buff.CM!$A:$O,14,FALSE),"")</f>
        <v>Buff.Name.Shield</v>
      </c>
      <c r="P138" s="233" t="str">
        <f>_xlfn.IFNA(VLOOKUP($M138,[1]Buff.CM!$A:$O,15,FALSE),"")</f>
        <v>Buff.Desc.Shield</v>
      </c>
      <c r="Q138" s="233" t="b">
        <v>0</v>
      </c>
      <c r="R138" s="233" t="b">
        <v>0</v>
      </c>
    </row>
    <row r="139" spans="1:18" x14ac:dyDescent="0.3">
      <c r="A139" s="233" t="s">
        <v>3684</v>
      </c>
      <c r="B139" s="233"/>
      <c r="C139" s="233"/>
      <c r="D139" s="233">
        <v>6000</v>
      </c>
      <c r="E139" s="233">
        <v>0</v>
      </c>
      <c r="F139" s="233">
        <v>0</v>
      </c>
      <c r="G139" s="233" t="s">
        <v>3685</v>
      </c>
      <c r="H139" s="233"/>
      <c r="I139" s="233" t="b">
        <v>0</v>
      </c>
      <c r="J139" s="233" t="b">
        <v>0</v>
      </c>
      <c r="K139" s="233" t="b">
        <v>1</v>
      </c>
      <c r="L139" s="233" t="s">
        <v>60</v>
      </c>
      <c r="M139" s="233" t="s">
        <v>2263</v>
      </c>
      <c r="N139" s="233" t="str">
        <f>_xlfn.IFNA(VLOOKUP($M139,[1]Buff.CM!$A:$O,13,FALSE),"")</f>
        <v>icon_battle_shield</v>
      </c>
      <c r="O139" s="233" t="str">
        <f>_xlfn.IFNA(VLOOKUP($M139,[1]Buff.CM!$A:$O,14,FALSE),"")</f>
        <v>Buff.Name.Shield</v>
      </c>
      <c r="P139" s="233" t="str">
        <f>_xlfn.IFNA(VLOOKUP($M139,[1]Buff.CM!$A:$O,15,FALSE),"")</f>
        <v>Buff.Desc.Shield</v>
      </c>
      <c r="Q139" s="233" t="b">
        <v>0</v>
      </c>
      <c r="R139" s="233" t="b">
        <v>0</v>
      </c>
    </row>
    <row r="140" spans="1:18" x14ac:dyDescent="0.3">
      <c r="A140" s="234" t="s">
        <v>3686</v>
      </c>
      <c r="B140" s="234"/>
      <c r="C140" s="234"/>
      <c r="D140" s="234">
        <v>0</v>
      </c>
      <c r="E140" s="234">
        <v>0</v>
      </c>
      <c r="F140" s="234">
        <v>0</v>
      </c>
      <c r="G140" s="234" t="s">
        <v>3687</v>
      </c>
      <c r="H140" s="234"/>
      <c r="I140" s="234" t="b">
        <v>0</v>
      </c>
      <c r="J140" s="157" t="b">
        <v>1</v>
      </c>
      <c r="K140" s="234" t="b">
        <v>1</v>
      </c>
      <c r="L140" s="234"/>
      <c r="M140" s="234"/>
      <c r="N140" s="234" t="str">
        <f>_xlfn.IFNA(VLOOKUP($M140,[1]Buff.CM!$A:$O,13,FALSE),"")</f>
        <v/>
      </c>
      <c r="O140" s="234" t="str">
        <f>_xlfn.IFNA(VLOOKUP($M140,[1]Buff.CM!$A:$O,14,FALSE),"")</f>
        <v/>
      </c>
      <c r="P140" s="234" t="str">
        <f>_xlfn.IFNA(VLOOKUP($M140,[1]Buff.CM!$A:$O,15,FALSE),"")</f>
        <v/>
      </c>
      <c r="Q140" s="234" t="b">
        <v>0</v>
      </c>
      <c r="R140" s="234" t="b">
        <v>0</v>
      </c>
    </row>
    <row r="141" spans="1:18" x14ac:dyDescent="0.3">
      <c r="A141" s="234" t="s">
        <v>3688</v>
      </c>
      <c r="B141" s="234"/>
      <c r="C141" s="234"/>
      <c r="D141" s="234">
        <v>0</v>
      </c>
      <c r="E141" s="234">
        <v>0</v>
      </c>
      <c r="F141" s="234">
        <v>0</v>
      </c>
      <c r="G141" s="234" t="s">
        <v>3689</v>
      </c>
      <c r="H141" s="234"/>
      <c r="I141" s="234" t="b">
        <v>0</v>
      </c>
      <c r="J141" s="157" t="b">
        <v>1</v>
      </c>
      <c r="K141" s="234" t="b">
        <v>1</v>
      </c>
      <c r="L141" s="234"/>
      <c r="M141" s="234"/>
      <c r="N141" s="234" t="str">
        <f>_xlfn.IFNA(VLOOKUP($M141,[1]Buff.CM!$A:$O,13,FALSE),"")</f>
        <v/>
      </c>
      <c r="O141" s="234" t="str">
        <f>_xlfn.IFNA(VLOOKUP($M141,[1]Buff.CM!$A:$O,14,FALSE),"")</f>
        <v/>
      </c>
      <c r="P141" s="234" t="str">
        <f>_xlfn.IFNA(VLOOKUP($M141,[1]Buff.CM!$A:$O,15,FALSE),"")</f>
        <v/>
      </c>
      <c r="Q141" s="234" t="b">
        <v>0</v>
      </c>
      <c r="R141" s="234" t="b">
        <v>0</v>
      </c>
    </row>
    <row r="142" spans="1:18" x14ac:dyDescent="0.3">
      <c r="A142" s="234" t="s">
        <v>3690</v>
      </c>
      <c r="B142" s="234"/>
      <c r="C142" s="234"/>
      <c r="D142" s="234">
        <v>0</v>
      </c>
      <c r="E142" s="234">
        <v>0</v>
      </c>
      <c r="F142" s="234">
        <v>0</v>
      </c>
      <c r="G142" s="234" t="s">
        <v>3691</v>
      </c>
      <c r="H142" s="234"/>
      <c r="I142" s="234" t="b">
        <v>0</v>
      </c>
      <c r="J142" s="157" t="b">
        <v>1</v>
      </c>
      <c r="K142" s="234" t="b">
        <v>1</v>
      </c>
      <c r="L142" s="234"/>
      <c r="M142" s="234"/>
      <c r="N142" s="234" t="str">
        <f>_xlfn.IFNA(VLOOKUP($M142,[1]Buff.CM!$A:$O,13,FALSE),"")</f>
        <v/>
      </c>
      <c r="O142" s="234" t="str">
        <f>_xlfn.IFNA(VLOOKUP($M142,[1]Buff.CM!$A:$O,14,FALSE),"")</f>
        <v/>
      </c>
      <c r="P142" s="234" t="str">
        <f>_xlfn.IFNA(VLOOKUP($M142,[1]Buff.CM!$A:$O,15,FALSE),"")</f>
        <v/>
      </c>
      <c r="Q142" s="234" t="b">
        <v>0</v>
      </c>
      <c r="R142" s="234" t="b">
        <v>0</v>
      </c>
    </row>
    <row r="143" spans="1:18" x14ac:dyDescent="0.3">
      <c r="A143" s="234" t="s">
        <v>3692</v>
      </c>
      <c r="B143" s="234"/>
      <c r="C143" s="234"/>
      <c r="D143" s="234">
        <v>0</v>
      </c>
      <c r="E143" s="234">
        <v>0</v>
      </c>
      <c r="F143" s="234">
        <v>0</v>
      </c>
      <c r="G143" s="234" t="s">
        <v>3693</v>
      </c>
      <c r="H143" s="234"/>
      <c r="I143" s="234" t="b">
        <v>0</v>
      </c>
      <c r="J143" s="157" t="b">
        <v>1</v>
      </c>
      <c r="K143" s="234" t="b">
        <v>1</v>
      </c>
      <c r="L143" s="234"/>
      <c r="M143" s="234"/>
      <c r="N143" s="234" t="str">
        <f>_xlfn.IFNA(VLOOKUP($M143,[1]Buff.CM!$A:$O,13,FALSE),"")</f>
        <v/>
      </c>
      <c r="O143" s="234" t="str">
        <f>_xlfn.IFNA(VLOOKUP($M143,[1]Buff.CM!$A:$O,14,FALSE),"")</f>
        <v/>
      </c>
      <c r="P143" s="234" t="str">
        <f>_xlfn.IFNA(VLOOKUP($M143,[1]Buff.CM!$A:$O,15,FALSE),"")</f>
        <v/>
      </c>
      <c r="Q143" s="234" t="b">
        <v>0</v>
      </c>
      <c r="R143" s="234" t="b">
        <v>0</v>
      </c>
    </row>
    <row r="144" spans="1:18" x14ac:dyDescent="0.3">
      <c r="A144" s="234" t="s">
        <v>3694</v>
      </c>
      <c r="B144" s="234"/>
      <c r="C144" s="234"/>
      <c r="D144" s="234">
        <v>0</v>
      </c>
      <c r="E144" s="234">
        <v>0</v>
      </c>
      <c r="F144" s="234">
        <v>0</v>
      </c>
      <c r="G144" s="234" t="s">
        <v>3695</v>
      </c>
      <c r="H144" s="234"/>
      <c r="I144" s="234" t="b">
        <v>0</v>
      </c>
      <c r="J144" s="157" t="b">
        <v>1</v>
      </c>
      <c r="K144" s="234" t="b">
        <v>1</v>
      </c>
      <c r="L144" s="234"/>
      <c r="M144" s="234"/>
      <c r="N144" s="234" t="str">
        <f>_xlfn.IFNA(VLOOKUP($M144,[1]Buff.CM!$A:$O,13,FALSE),"")</f>
        <v/>
      </c>
      <c r="O144" s="234" t="str">
        <f>_xlfn.IFNA(VLOOKUP($M144,[1]Buff.CM!$A:$O,14,FALSE),"")</f>
        <v/>
      </c>
      <c r="P144" s="234" t="str">
        <f>_xlfn.IFNA(VLOOKUP($M144,[1]Buff.CM!$A:$O,15,FALSE),"")</f>
        <v/>
      </c>
      <c r="Q144" s="234" t="b">
        <v>0</v>
      </c>
      <c r="R144" s="234" t="b">
        <v>0</v>
      </c>
    </row>
    <row r="145" spans="1:18" x14ac:dyDescent="0.3">
      <c r="A145" s="233" t="s">
        <v>3696</v>
      </c>
      <c r="B145" s="233"/>
      <c r="C145" s="233"/>
      <c r="D145" s="233">
        <v>0</v>
      </c>
      <c r="E145" s="233">
        <v>0</v>
      </c>
      <c r="F145" s="233">
        <v>0</v>
      </c>
      <c r="G145" s="233" t="s">
        <v>3697</v>
      </c>
      <c r="H145" s="233"/>
      <c r="I145" s="233" t="b">
        <v>0</v>
      </c>
      <c r="J145" s="157" t="b">
        <v>1</v>
      </c>
      <c r="K145" s="233" t="b">
        <v>1</v>
      </c>
      <c r="L145" s="233"/>
      <c r="M145" s="233"/>
      <c r="N145" s="233" t="str">
        <f>_xlfn.IFNA(VLOOKUP($M145,[1]Buff.CM!$A:$O,13,FALSE),"")</f>
        <v/>
      </c>
      <c r="O145" s="233" t="str">
        <f>_xlfn.IFNA(VLOOKUP($M145,[1]Buff.CM!$A:$O,14,FALSE),"")</f>
        <v/>
      </c>
      <c r="P145" s="233" t="str">
        <f>_xlfn.IFNA(VLOOKUP($M145,[1]Buff.CM!$A:$O,15,FALSE),"")</f>
        <v/>
      </c>
      <c r="Q145" s="233" t="b">
        <v>0</v>
      </c>
      <c r="R145" s="233" t="b">
        <v>0</v>
      </c>
    </row>
    <row r="146" spans="1:18" x14ac:dyDescent="0.3">
      <c r="A146" s="233" t="s">
        <v>3698</v>
      </c>
      <c r="B146" s="233"/>
      <c r="C146" s="233"/>
      <c r="D146" s="233">
        <v>0</v>
      </c>
      <c r="E146" s="233">
        <v>0</v>
      </c>
      <c r="F146" s="233">
        <v>0</v>
      </c>
      <c r="G146" s="233" t="s">
        <v>3699</v>
      </c>
      <c r="H146" s="233"/>
      <c r="I146" s="233" t="b">
        <v>0</v>
      </c>
      <c r="J146" s="157" t="b">
        <v>1</v>
      </c>
      <c r="K146" s="233" t="b">
        <v>1</v>
      </c>
      <c r="L146" s="233"/>
      <c r="M146" s="233"/>
      <c r="N146" s="233" t="str">
        <f>_xlfn.IFNA(VLOOKUP($M146,[1]Buff.CM!$A:$O,13,FALSE),"")</f>
        <v/>
      </c>
      <c r="O146" s="233" t="str">
        <f>_xlfn.IFNA(VLOOKUP($M146,[1]Buff.CM!$A:$O,14,FALSE),"")</f>
        <v/>
      </c>
      <c r="P146" s="233" t="str">
        <f>_xlfn.IFNA(VLOOKUP($M146,[1]Buff.CM!$A:$O,15,FALSE),"")</f>
        <v/>
      </c>
      <c r="Q146" s="233" t="b">
        <v>0</v>
      </c>
      <c r="R146" s="233" t="b">
        <v>0</v>
      </c>
    </row>
    <row r="147" spans="1:18" x14ac:dyDescent="0.3">
      <c r="A147" s="233" t="s">
        <v>3700</v>
      </c>
      <c r="B147" s="233"/>
      <c r="C147" s="233"/>
      <c r="D147" s="233">
        <v>0</v>
      </c>
      <c r="E147" s="233">
        <v>0</v>
      </c>
      <c r="F147" s="233">
        <v>0</v>
      </c>
      <c r="G147" s="233" t="s">
        <v>3701</v>
      </c>
      <c r="H147" s="233"/>
      <c r="I147" s="233" t="b">
        <v>0</v>
      </c>
      <c r="J147" s="157" t="b">
        <v>1</v>
      </c>
      <c r="K147" s="233" t="b">
        <v>1</v>
      </c>
      <c r="L147" s="233"/>
      <c r="M147" s="233"/>
      <c r="N147" s="233" t="str">
        <f>_xlfn.IFNA(VLOOKUP($M147,[1]Buff.CM!$A:$O,13,FALSE),"")</f>
        <v/>
      </c>
      <c r="O147" s="233" t="str">
        <f>_xlfn.IFNA(VLOOKUP($M147,[1]Buff.CM!$A:$O,14,FALSE),"")</f>
        <v/>
      </c>
      <c r="P147" s="233" t="str">
        <f>_xlfn.IFNA(VLOOKUP($M147,[1]Buff.CM!$A:$O,15,FALSE),"")</f>
        <v/>
      </c>
      <c r="Q147" s="233" t="b">
        <v>0</v>
      </c>
      <c r="R147" s="233" t="b">
        <v>0</v>
      </c>
    </row>
    <row r="148" spans="1:18" x14ac:dyDescent="0.3">
      <c r="A148" s="233" t="s">
        <v>3702</v>
      </c>
      <c r="B148" s="233"/>
      <c r="C148" s="233"/>
      <c r="D148" s="233">
        <v>0</v>
      </c>
      <c r="E148" s="233">
        <v>0</v>
      </c>
      <c r="F148" s="233">
        <v>0</v>
      </c>
      <c r="G148" s="233" t="s">
        <v>3703</v>
      </c>
      <c r="H148" s="233"/>
      <c r="I148" s="233" t="b">
        <v>0</v>
      </c>
      <c r="J148" s="157" t="b">
        <v>1</v>
      </c>
      <c r="K148" s="233" t="b">
        <v>1</v>
      </c>
      <c r="L148" s="233"/>
      <c r="M148" s="233"/>
      <c r="N148" s="233" t="str">
        <f>_xlfn.IFNA(VLOOKUP($M148,[1]Buff.CM!$A:$O,13,FALSE),"")</f>
        <v/>
      </c>
      <c r="O148" s="233" t="str">
        <f>_xlfn.IFNA(VLOOKUP($M148,[1]Buff.CM!$A:$O,14,FALSE),"")</f>
        <v/>
      </c>
      <c r="P148" s="233" t="str">
        <f>_xlfn.IFNA(VLOOKUP($M148,[1]Buff.CM!$A:$O,15,FALSE),"")</f>
        <v/>
      </c>
      <c r="Q148" s="233" t="b">
        <v>0</v>
      </c>
      <c r="R148" s="233" t="b">
        <v>0</v>
      </c>
    </row>
    <row r="149" spans="1:18" x14ac:dyDescent="0.3">
      <c r="A149" s="233" t="s">
        <v>3704</v>
      </c>
      <c r="B149" s="233"/>
      <c r="C149" s="233"/>
      <c r="D149" s="233">
        <v>0</v>
      </c>
      <c r="E149" s="233">
        <v>0</v>
      </c>
      <c r="F149" s="233">
        <v>0</v>
      </c>
      <c r="G149" s="233" t="s">
        <v>3705</v>
      </c>
      <c r="H149" s="233"/>
      <c r="I149" s="233" t="b">
        <v>0</v>
      </c>
      <c r="J149" s="157" t="b">
        <v>1</v>
      </c>
      <c r="K149" s="233" t="b">
        <v>1</v>
      </c>
      <c r="L149" s="233"/>
      <c r="M149" s="233"/>
      <c r="N149" s="233" t="str">
        <f>_xlfn.IFNA(VLOOKUP($M149,[1]Buff.CM!$A:$O,13,FALSE),"")</f>
        <v/>
      </c>
      <c r="O149" s="233" t="str">
        <f>_xlfn.IFNA(VLOOKUP($M149,[1]Buff.CM!$A:$O,14,FALSE),"")</f>
        <v/>
      </c>
      <c r="P149" s="233" t="str">
        <f>_xlfn.IFNA(VLOOKUP($M149,[1]Buff.CM!$A:$O,15,FALSE),"")</f>
        <v/>
      </c>
      <c r="Q149" s="233" t="b">
        <v>0</v>
      </c>
      <c r="R149" s="233" t="b">
        <v>0</v>
      </c>
    </row>
    <row r="150" spans="1:18" x14ac:dyDescent="0.3">
      <c r="A150" s="233" t="s">
        <v>3706</v>
      </c>
      <c r="B150" s="233"/>
      <c r="C150" s="233"/>
      <c r="D150" s="233">
        <v>0</v>
      </c>
      <c r="E150" s="233">
        <v>0</v>
      </c>
      <c r="F150" s="233">
        <v>0</v>
      </c>
      <c r="G150" s="233" t="s">
        <v>3707</v>
      </c>
      <c r="H150" s="233"/>
      <c r="I150" s="233" t="b">
        <v>0</v>
      </c>
      <c r="J150" s="157" t="b">
        <v>1</v>
      </c>
      <c r="K150" s="233" t="b">
        <v>1</v>
      </c>
      <c r="L150" s="233"/>
      <c r="M150" s="233"/>
      <c r="N150" s="233" t="str">
        <f>_xlfn.IFNA(VLOOKUP($M150,[1]Buff.CM!$A:$O,13,FALSE),"")</f>
        <v/>
      </c>
      <c r="O150" s="233" t="str">
        <f>_xlfn.IFNA(VLOOKUP($M150,[1]Buff.CM!$A:$O,14,FALSE),"")</f>
        <v/>
      </c>
      <c r="P150" s="233" t="str">
        <f>_xlfn.IFNA(VLOOKUP($M150,[1]Buff.CM!$A:$O,15,FALSE),"")</f>
        <v/>
      </c>
      <c r="Q150" s="233" t="b">
        <v>0</v>
      </c>
      <c r="R150" s="233" t="b">
        <v>0</v>
      </c>
    </row>
    <row r="151" spans="1:18" ht="33" x14ac:dyDescent="0.3">
      <c r="A151" s="260" t="s">
        <v>3708</v>
      </c>
      <c r="B151" s="235"/>
      <c r="C151" s="235"/>
      <c r="D151" s="235">
        <v>5000</v>
      </c>
      <c r="E151" s="235">
        <v>10</v>
      </c>
      <c r="F151" s="235">
        <v>1</v>
      </c>
      <c r="G151" s="244" t="s">
        <v>3709</v>
      </c>
      <c r="H151" s="235"/>
      <c r="I151" s="235" t="b">
        <v>0</v>
      </c>
      <c r="J151" s="157" t="b">
        <v>1</v>
      </c>
      <c r="K151" s="235" t="b">
        <v>1</v>
      </c>
      <c r="L151" s="234" t="s">
        <v>63</v>
      </c>
      <c r="M151" s="234"/>
      <c r="N151" s="233" t="str">
        <f>_xlfn.IFNA(VLOOKUP($M151,[1]Buff.CM!$A:$O,13,FALSE),"")</f>
        <v/>
      </c>
      <c r="O151" s="235" t="str">
        <f>_xlfn.IFNA(VLOOKUP($M151,[1]Buff.CM!$A:$O,14,FALSE),"")</f>
        <v/>
      </c>
      <c r="P151" s="235" t="str">
        <f>_xlfn.IFNA(VLOOKUP($M151,[1]Buff.CM!$A:$O,15,FALSE),"")</f>
        <v/>
      </c>
      <c r="Q151" s="235" t="b">
        <v>0</v>
      </c>
      <c r="R151" s="235" t="b">
        <v>0</v>
      </c>
    </row>
    <row r="152" spans="1:18" ht="33" x14ac:dyDescent="0.3">
      <c r="A152" s="260" t="s">
        <v>3710</v>
      </c>
      <c r="B152" s="235"/>
      <c r="C152" s="235"/>
      <c r="D152" s="235">
        <v>5000</v>
      </c>
      <c r="E152" s="235">
        <v>10</v>
      </c>
      <c r="F152" s="235">
        <v>1</v>
      </c>
      <c r="G152" s="244" t="s">
        <v>3711</v>
      </c>
      <c r="H152" s="235"/>
      <c r="I152" s="235" t="b">
        <v>0</v>
      </c>
      <c r="J152" s="157" t="b">
        <v>1</v>
      </c>
      <c r="K152" s="235" t="b">
        <v>1</v>
      </c>
      <c r="L152" s="234" t="s">
        <v>63</v>
      </c>
      <c r="M152" s="234"/>
      <c r="N152" s="233" t="str">
        <f>_xlfn.IFNA(VLOOKUP($M152,[1]Buff.CM!$A:$O,13,FALSE),"")</f>
        <v/>
      </c>
      <c r="O152" s="235" t="str">
        <f>_xlfn.IFNA(VLOOKUP($M152,[1]Buff.CM!$A:$O,14,FALSE),"")</f>
        <v/>
      </c>
      <c r="P152" s="235" t="str">
        <f>_xlfn.IFNA(VLOOKUP($M152,[1]Buff.CM!$A:$O,15,FALSE),"")</f>
        <v/>
      </c>
      <c r="Q152" s="235" t="b">
        <v>0</v>
      </c>
      <c r="R152" s="235" t="b">
        <v>0</v>
      </c>
    </row>
    <row r="153" spans="1:18" ht="33" x14ac:dyDescent="0.3">
      <c r="A153" s="260" t="s">
        <v>3712</v>
      </c>
      <c r="B153" s="235"/>
      <c r="C153" s="235"/>
      <c r="D153" s="235">
        <v>5000</v>
      </c>
      <c r="E153" s="235">
        <v>10</v>
      </c>
      <c r="F153" s="235">
        <v>1</v>
      </c>
      <c r="G153" s="244" t="s">
        <v>3713</v>
      </c>
      <c r="H153" s="235"/>
      <c r="I153" s="235" t="b">
        <v>0</v>
      </c>
      <c r="J153" s="157" t="b">
        <v>1</v>
      </c>
      <c r="K153" s="235" t="b">
        <v>1</v>
      </c>
      <c r="L153" s="234" t="s">
        <v>63</v>
      </c>
      <c r="M153" s="234"/>
      <c r="N153" s="233" t="str">
        <f>_xlfn.IFNA(VLOOKUP($M153,[1]Buff.CM!$A:$O,13,FALSE),"")</f>
        <v/>
      </c>
      <c r="O153" s="235" t="str">
        <f>_xlfn.IFNA(VLOOKUP($M153,[1]Buff.CM!$A:$O,14,FALSE),"")</f>
        <v/>
      </c>
      <c r="P153" s="235" t="str">
        <f>_xlfn.IFNA(VLOOKUP($M153,[1]Buff.CM!$A:$O,15,FALSE),"")</f>
        <v/>
      </c>
      <c r="Q153" s="235" t="b">
        <v>0</v>
      </c>
      <c r="R153" s="235" t="b">
        <v>0</v>
      </c>
    </row>
    <row r="154" spans="1:18" ht="33" x14ac:dyDescent="0.3">
      <c r="A154" s="260" t="s">
        <v>3714</v>
      </c>
      <c r="B154" s="235"/>
      <c r="C154" s="235"/>
      <c r="D154" s="235">
        <v>5000</v>
      </c>
      <c r="E154" s="235">
        <v>10</v>
      </c>
      <c r="F154" s="235">
        <v>1</v>
      </c>
      <c r="G154" s="244" t="s">
        <v>3715</v>
      </c>
      <c r="H154" s="235"/>
      <c r="I154" s="235" t="b">
        <v>0</v>
      </c>
      <c r="J154" s="157" t="b">
        <v>1</v>
      </c>
      <c r="K154" s="235" t="b">
        <v>1</v>
      </c>
      <c r="L154" s="232" t="s">
        <v>63</v>
      </c>
      <c r="M154" s="232"/>
      <c r="N154" s="233" t="str">
        <f>_xlfn.IFNA(VLOOKUP($M154,[1]Buff.CM!$A:$O,13,FALSE),"")</f>
        <v/>
      </c>
      <c r="O154" s="235" t="str">
        <f>_xlfn.IFNA(VLOOKUP($M154,[1]Buff.CM!$A:$O,14,FALSE),"")</f>
        <v/>
      </c>
      <c r="P154" s="235" t="str">
        <f>_xlfn.IFNA(VLOOKUP($M154,[1]Buff.CM!$A:$O,15,FALSE),"")</f>
        <v/>
      </c>
      <c r="Q154" s="235" t="b">
        <v>0</v>
      </c>
      <c r="R154" s="235" t="b">
        <v>0</v>
      </c>
    </row>
    <row r="155" spans="1:18" ht="33" x14ac:dyDescent="0.3">
      <c r="A155" s="260" t="s">
        <v>3716</v>
      </c>
      <c r="B155" s="235"/>
      <c r="C155" s="235"/>
      <c r="D155" s="235">
        <v>5000</v>
      </c>
      <c r="E155" s="235">
        <v>10</v>
      </c>
      <c r="F155" s="235">
        <v>1</v>
      </c>
      <c r="G155" s="244" t="s">
        <v>3717</v>
      </c>
      <c r="H155" s="235"/>
      <c r="I155" s="235" t="b">
        <v>0</v>
      </c>
      <c r="J155" s="157" t="b">
        <v>1</v>
      </c>
      <c r="K155" s="235" t="b">
        <v>1</v>
      </c>
      <c r="L155" s="232" t="s">
        <v>63</v>
      </c>
      <c r="M155" s="232"/>
      <c r="N155" s="233" t="str">
        <f>_xlfn.IFNA(VLOOKUP($M155,[1]Buff.CM!$A:$O,13,FALSE),"")</f>
        <v/>
      </c>
      <c r="O155" s="235" t="str">
        <f>_xlfn.IFNA(VLOOKUP($M155,[1]Buff.CM!$A:$O,14,FALSE),"")</f>
        <v/>
      </c>
      <c r="P155" s="235" t="str">
        <f>_xlfn.IFNA(VLOOKUP($M155,[1]Buff.CM!$A:$O,15,FALSE),"")</f>
        <v/>
      </c>
      <c r="Q155" s="235" t="b">
        <v>0</v>
      </c>
      <c r="R155" s="235" t="b">
        <v>0</v>
      </c>
    </row>
    <row r="156" spans="1:18" ht="33" x14ac:dyDescent="0.3">
      <c r="A156" s="260" t="s">
        <v>3718</v>
      </c>
      <c r="B156" s="235"/>
      <c r="C156" s="235"/>
      <c r="D156" s="235">
        <v>5000</v>
      </c>
      <c r="E156" s="235">
        <v>10</v>
      </c>
      <c r="F156" s="235">
        <v>1</v>
      </c>
      <c r="G156" s="244" t="s">
        <v>3719</v>
      </c>
      <c r="H156" s="235"/>
      <c r="I156" s="235" t="b">
        <v>0</v>
      </c>
      <c r="J156" s="157" t="b">
        <v>1</v>
      </c>
      <c r="K156" s="235" t="b">
        <v>1</v>
      </c>
      <c r="L156" s="232" t="s">
        <v>63</v>
      </c>
      <c r="M156" s="232"/>
      <c r="N156" s="233" t="str">
        <f>_xlfn.IFNA(VLOOKUP($M156,[1]Buff.CM!$A:$O,13,FALSE),"")</f>
        <v/>
      </c>
      <c r="O156" s="235" t="str">
        <f>_xlfn.IFNA(VLOOKUP($M156,[1]Buff.CM!$A:$O,14,FALSE),"")</f>
        <v/>
      </c>
      <c r="P156" s="235" t="str">
        <f>_xlfn.IFNA(VLOOKUP($M156,[1]Buff.CM!$A:$O,15,FALSE),"")</f>
        <v/>
      </c>
      <c r="Q156" s="235" t="b">
        <v>0</v>
      </c>
      <c r="R156" s="235" t="b">
        <v>0</v>
      </c>
    </row>
    <row r="157" spans="1:18" x14ac:dyDescent="0.3">
      <c r="A157" s="232" t="s">
        <v>2487</v>
      </c>
      <c r="B157" s="232"/>
      <c r="C157" s="232"/>
      <c r="D157" s="232">
        <v>1000</v>
      </c>
      <c r="E157" s="232">
        <v>0</v>
      </c>
      <c r="F157" s="232">
        <v>0</v>
      </c>
      <c r="G157" s="232" t="s">
        <v>378</v>
      </c>
      <c r="H157" s="232"/>
      <c r="I157" s="232" t="b">
        <v>0</v>
      </c>
      <c r="J157" s="232" t="b">
        <v>0</v>
      </c>
      <c r="K157" s="232" t="b">
        <v>0</v>
      </c>
      <c r="L157" s="232" t="s">
        <v>67</v>
      </c>
      <c r="M157" s="232" t="s">
        <v>2291</v>
      </c>
      <c r="N157" s="232" t="str">
        <f>_xlfn.IFNA(VLOOKUP($M157,[1]Buff.CM!$A:$O,13,FALSE),"")</f>
        <v>icon_battle_stun</v>
      </c>
      <c r="O157" s="232" t="str">
        <f>_xlfn.IFNA(VLOOKUP($M157,[1]Buff.CM!$A:$O,14,FALSE),"")</f>
        <v>Buff.Name.Stun</v>
      </c>
      <c r="P157" s="232" t="str">
        <f>_xlfn.IFNA(VLOOKUP($M157,[1]Buff.CM!$A:$O,15,FALSE),"")</f>
        <v>Buff.Desc.Stun</v>
      </c>
      <c r="Q157" s="232" t="b">
        <v>0</v>
      </c>
      <c r="R157" s="232" t="b">
        <v>0</v>
      </c>
    </row>
    <row r="158" spans="1:18" x14ac:dyDescent="0.3">
      <c r="A158" s="236" t="s">
        <v>2488</v>
      </c>
      <c r="B158" s="236"/>
      <c r="C158" s="236"/>
      <c r="D158" s="236">
        <v>0</v>
      </c>
      <c r="E158" s="236">
        <v>0</v>
      </c>
      <c r="F158" s="236">
        <v>0</v>
      </c>
      <c r="G158" s="245" t="s">
        <v>2489</v>
      </c>
      <c r="H158" s="236"/>
      <c r="I158" s="236" t="b">
        <v>0</v>
      </c>
      <c r="J158" s="236" t="b">
        <v>0</v>
      </c>
      <c r="K158" s="236" t="b">
        <v>1</v>
      </c>
      <c r="L158" s="236"/>
      <c r="M158" s="236"/>
      <c r="N158" s="236" t="str">
        <f>_xlfn.IFNA(VLOOKUP($M158,[1]Buff.CM!$A:$O,13,FALSE),"")</f>
        <v/>
      </c>
      <c r="O158" s="236" t="str">
        <f>_xlfn.IFNA(VLOOKUP($M158,[1]Buff.CM!$A:$O,14,FALSE),"")</f>
        <v/>
      </c>
      <c r="P158" s="236" t="str">
        <f>_xlfn.IFNA(VLOOKUP($M158,[1]Buff.CM!$A:$O,15,FALSE),"")</f>
        <v/>
      </c>
      <c r="Q158" s="236" t="b">
        <v>0</v>
      </c>
      <c r="R158" s="236" t="b">
        <v>0</v>
      </c>
    </row>
    <row r="159" spans="1:18" x14ac:dyDescent="0.3">
      <c r="A159" s="236" t="s">
        <v>2490</v>
      </c>
      <c r="B159" s="236"/>
      <c r="C159" s="236"/>
      <c r="D159" s="236">
        <v>0</v>
      </c>
      <c r="E159" s="236">
        <v>0</v>
      </c>
      <c r="F159" s="236">
        <v>0</v>
      </c>
      <c r="G159" s="245" t="s">
        <v>2491</v>
      </c>
      <c r="H159" s="236"/>
      <c r="I159" s="236" t="b">
        <v>0</v>
      </c>
      <c r="J159" s="236" t="b">
        <v>0</v>
      </c>
      <c r="K159" s="236" t="b">
        <v>1</v>
      </c>
      <c r="L159" s="236"/>
      <c r="M159" s="236"/>
      <c r="N159" s="236" t="str">
        <f>_xlfn.IFNA(VLOOKUP($M159,[1]Buff.CM!$A:$O,13,FALSE),"")</f>
        <v/>
      </c>
      <c r="O159" s="236" t="str">
        <f>_xlfn.IFNA(VLOOKUP($M159,[1]Buff.CM!$A:$O,14,FALSE),"")</f>
        <v/>
      </c>
      <c r="P159" s="236" t="str">
        <f>_xlfn.IFNA(VLOOKUP($M159,[1]Buff.CM!$A:$O,15,FALSE),"")</f>
        <v/>
      </c>
      <c r="Q159" s="236" t="b">
        <v>0</v>
      </c>
      <c r="R159" s="236" t="b">
        <v>0</v>
      </c>
    </row>
    <row r="160" spans="1:18" x14ac:dyDescent="0.3">
      <c r="A160" s="236" t="s">
        <v>2492</v>
      </c>
      <c r="B160" s="236"/>
      <c r="C160" s="236"/>
      <c r="D160" s="236">
        <v>0</v>
      </c>
      <c r="E160" s="236">
        <v>0</v>
      </c>
      <c r="F160" s="236">
        <v>0</v>
      </c>
      <c r="G160" s="245" t="s">
        <v>2493</v>
      </c>
      <c r="H160" s="236"/>
      <c r="I160" s="236" t="b">
        <v>0</v>
      </c>
      <c r="J160" s="236" t="b">
        <v>0</v>
      </c>
      <c r="K160" s="236" t="b">
        <v>1</v>
      </c>
      <c r="L160" s="236"/>
      <c r="M160" s="236"/>
      <c r="N160" s="236" t="str">
        <f>_xlfn.IFNA(VLOOKUP($M160,[1]Buff.CM!$A:$O,13,FALSE),"")</f>
        <v/>
      </c>
      <c r="O160" s="236" t="str">
        <f>_xlfn.IFNA(VLOOKUP($M160,[1]Buff.CM!$A:$O,14,FALSE),"")</f>
        <v/>
      </c>
      <c r="P160" s="236" t="str">
        <f>_xlfn.IFNA(VLOOKUP($M160,[1]Buff.CM!$A:$O,15,FALSE),"")</f>
        <v/>
      </c>
      <c r="Q160" s="236" t="b">
        <v>0</v>
      </c>
      <c r="R160" s="236" t="b">
        <v>0</v>
      </c>
    </row>
    <row r="161" spans="1:18" x14ac:dyDescent="0.3">
      <c r="A161" s="236" t="s">
        <v>2494</v>
      </c>
      <c r="B161" s="236"/>
      <c r="C161" s="236"/>
      <c r="D161" s="236">
        <v>0</v>
      </c>
      <c r="E161" s="236">
        <v>0</v>
      </c>
      <c r="F161" s="236">
        <v>0</v>
      </c>
      <c r="G161" s="245" t="s">
        <v>2495</v>
      </c>
      <c r="H161" s="236"/>
      <c r="I161" s="236" t="b">
        <v>0</v>
      </c>
      <c r="J161" s="236" t="b">
        <v>0</v>
      </c>
      <c r="K161" s="236" t="b">
        <v>1</v>
      </c>
      <c r="L161" s="236"/>
      <c r="M161" s="236"/>
      <c r="N161" s="236" t="str">
        <f>_xlfn.IFNA(VLOOKUP($M161,[1]Buff.CM!$A:$O,13,FALSE),"")</f>
        <v/>
      </c>
      <c r="O161" s="236" t="str">
        <f>_xlfn.IFNA(VLOOKUP($M161,[1]Buff.CM!$A:$O,14,FALSE),"")</f>
        <v/>
      </c>
      <c r="P161" s="236" t="str">
        <f>_xlfn.IFNA(VLOOKUP($M161,[1]Buff.CM!$A:$O,15,FALSE),"")</f>
        <v/>
      </c>
      <c r="Q161" s="236" t="b">
        <v>0</v>
      </c>
      <c r="R161" s="236" t="b">
        <v>0</v>
      </c>
    </row>
    <row r="162" spans="1:18" x14ac:dyDescent="0.3">
      <c r="A162" s="236" t="s">
        <v>2496</v>
      </c>
      <c r="B162" s="236"/>
      <c r="C162" s="236"/>
      <c r="D162" s="236">
        <v>0</v>
      </c>
      <c r="E162" s="236">
        <v>0</v>
      </c>
      <c r="F162" s="236">
        <v>0</v>
      </c>
      <c r="G162" s="245" t="s">
        <v>2497</v>
      </c>
      <c r="H162" s="236"/>
      <c r="I162" s="236" t="b">
        <v>0</v>
      </c>
      <c r="J162" s="236" t="b">
        <v>0</v>
      </c>
      <c r="K162" s="236" t="b">
        <v>1</v>
      </c>
      <c r="L162" s="236"/>
      <c r="M162" s="236"/>
      <c r="N162" s="236" t="str">
        <f>_xlfn.IFNA(VLOOKUP($M162,[1]Buff.CM!$A:$O,13,FALSE),"")</f>
        <v/>
      </c>
      <c r="O162" s="236" t="str">
        <f>_xlfn.IFNA(VLOOKUP($M162,[1]Buff.CM!$A:$O,14,FALSE),"")</f>
        <v/>
      </c>
      <c r="P162" s="236" t="str">
        <f>_xlfn.IFNA(VLOOKUP($M162,[1]Buff.CM!$A:$O,15,FALSE),"")</f>
        <v/>
      </c>
      <c r="Q162" s="236" t="b">
        <v>0</v>
      </c>
      <c r="R162" s="236" t="b">
        <v>0</v>
      </c>
    </row>
    <row r="163" spans="1:18" x14ac:dyDescent="0.3">
      <c r="A163" s="232" t="s">
        <v>2498</v>
      </c>
      <c r="B163" s="232"/>
      <c r="C163" s="232"/>
      <c r="D163" s="232">
        <v>0</v>
      </c>
      <c r="E163" s="232">
        <v>0</v>
      </c>
      <c r="F163" s="232">
        <v>0</v>
      </c>
      <c r="G163" s="238" t="s">
        <v>2499</v>
      </c>
      <c r="H163" s="232"/>
      <c r="I163" s="232" t="b">
        <v>0</v>
      </c>
      <c r="J163" s="232" t="b">
        <v>0</v>
      </c>
      <c r="K163" s="232" t="b">
        <v>1</v>
      </c>
      <c r="L163" s="232"/>
      <c r="M163" s="232"/>
      <c r="N163" s="232" t="str">
        <f>_xlfn.IFNA(VLOOKUP($M163,[1]Buff.CM!$A:$O,13,FALSE),"")</f>
        <v/>
      </c>
      <c r="O163" s="232" t="str">
        <f>_xlfn.IFNA(VLOOKUP($M163,[1]Buff.CM!$A:$O,14,FALSE),"")</f>
        <v/>
      </c>
      <c r="P163" s="232" t="str">
        <f>_xlfn.IFNA(VLOOKUP($M163,[1]Buff.CM!$A:$O,15,FALSE),"")</f>
        <v/>
      </c>
      <c r="Q163" s="232" t="b">
        <v>0</v>
      </c>
      <c r="R163" s="232" t="b">
        <v>0</v>
      </c>
    </row>
    <row r="164" spans="1:18" x14ac:dyDescent="0.3">
      <c r="A164" s="232" t="s">
        <v>2500</v>
      </c>
      <c r="B164" s="232"/>
      <c r="C164" s="232"/>
      <c r="D164" s="232">
        <v>0</v>
      </c>
      <c r="E164" s="232">
        <v>0</v>
      </c>
      <c r="F164" s="232">
        <v>0</v>
      </c>
      <c r="G164" s="238" t="s">
        <v>2501</v>
      </c>
      <c r="H164" s="232"/>
      <c r="I164" s="232" t="b">
        <v>0</v>
      </c>
      <c r="J164" s="232" t="b">
        <v>0</v>
      </c>
      <c r="K164" s="232" t="b">
        <v>1</v>
      </c>
      <c r="L164" s="232"/>
      <c r="M164" s="232"/>
      <c r="N164" s="232" t="str">
        <f>_xlfn.IFNA(VLOOKUP($M164,[1]Buff.CM!$A:$O,13,FALSE),"")</f>
        <v/>
      </c>
      <c r="O164" s="232" t="str">
        <f>_xlfn.IFNA(VLOOKUP($M164,[1]Buff.CM!$A:$O,14,FALSE),"")</f>
        <v/>
      </c>
      <c r="P164" s="232" t="str">
        <f>_xlfn.IFNA(VLOOKUP($M164,[1]Buff.CM!$A:$O,15,FALSE),"")</f>
        <v/>
      </c>
      <c r="Q164" s="232" t="b">
        <v>0</v>
      </c>
      <c r="R164" s="232" t="b">
        <v>0</v>
      </c>
    </row>
    <row r="165" spans="1:18" x14ac:dyDescent="0.3">
      <c r="A165" s="236" t="s">
        <v>2502</v>
      </c>
      <c r="B165" s="236"/>
      <c r="C165" s="236"/>
      <c r="D165" s="236">
        <v>10000</v>
      </c>
      <c r="E165" s="236">
        <v>0</v>
      </c>
      <c r="F165" s="236">
        <v>0</v>
      </c>
      <c r="G165" s="245" t="s">
        <v>2503</v>
      </c>
      <c r="H165" s="236"/>
      <c r="I165" s="236" t="b">
        <v>0</v>
      </c>
      <c r="J165" s="236" t="b">
        <v>0</v>
      </c>
      <c r="K165" s="236" t="b">
        <v>1</v>
      </c>
      <c r="L165" s="236" t="s">
        <v>63</v>
      </c>
      <c r="M165" s="236"/>
      <c r="N165" s="236" t="str">
        <f>_xlfn.IFNA(VLOOKUP($M165,[1]Buff.CM!$A:$O,13,FALSE),"")</f>
        <v/>
      </c>
      <c r="O165" s="236" t="str">
        <f>_xlfn.IFNA(VLOOKUP($M165,[1]Buff.CM!$A:$O,14,FALSE),"")</f>
        <v/>
      </c>
      <c r="P165" s="236" t="str">
        <f>_xlfn.IFNA(VLOOKUP($M165,[1]Buff.CM!$A:$O,15,FALSE),"")</f>
        <v/>
      </c>
      <c r="Q165" s="236" t="b">
        <v>0</v>
      </c>
      <c r="R165" s="236" t="b">
        <v>0</v>
      </c>
    </row>
    <row r="166" spans="1:18" x14ac:dyDescent="0.3">
      <c r="A166" s="236" t="s">
        <v>2504</v>
      </c>
      <c r="B166" s="236"/>
      <c r="C166" s="236"/>
      <c r="D166" s="236">
        <v>10000</v>
      </c>
      <c r="E166" s="236">
        <v>0</v>
      </c>
      <c r="F166" s="236">
        <v>0</v>
      </c>
      <c r="G166" s="245" t="s">
        <v>2505</v>
      </c>
      <c r="H166" s="236"/>
      <c r="I166" s="236" t="b">
        <v>0</v>
      </c>
      <c r="J166" s="236" t="b">
        <v>0</v>
      </c>
      <c r="K166" s="236" t="b">
        <v>1</v>
      </c>
      <c r="L166" s="236" t="s">
        <v>63</v>
      </c>
      <c r="M166" s="236"/>
      <c r="N166" s="236" t="str">
        <f>_xlfn.IFNA(VLOOKUP($M166,[1]Buff.CM!$A:$O,13,FALSE),"")</f>
        <v/>
      </c>
      <c r="O166" s="236" t="str">
        <f>_xlfn.IFNA(VLOOKUP($M166,[1]Buff.CM!$A:$O,14,FALSE),"")</f>
        <v/>
      </c>
      <c r="P166" s="236" t="str">
        <f>_xlfn.IFNA(VLOOKUP($M166,[1]Buff.CM!$A:$O,15,FALSE),"")</f>
        <v/>
      </c>
      <c r="Q166" s="236" t="b">
        <v>0</v>
      </c>
      <c r="R166" s="236" t="b">
        <v>0</v>
      </c>
    </row>
    <row r="167" spans="1:18" x14ac:dyDescent="0.3">
      <c r="A167" s="236" t="s">
        <v>2506</v>
      </c>
      <c r="B167" s="236"/>
      <c r="C167" s="236"/>
      <c r="D167" s="236">
        <v>10000</v>
      </c>
      <c r="E167" s="236">
        <v>0</v>
      </c>
      <c r="F167" s="236">
        <v>0</v>
      </c>
      <c r="G167" s="245" t="s">
        <v>2507</v>
      </c>
      <c r="H167" s="236"/>
      <c r="I167" s="236" t="b">
        <v>0</v>
      </c>
      <c r="J167" s="236" t="b">
        <v>0</v>
      </c>
      <c r="K167" s="236" t="b">
        <v>1</v>
      </c>
      <c r="L167" s="236" t="s">
        <v>63</v>
      </c>
      <c r="M167" s="236"/>
      <c r="N167" s="236" t="str">
        <f>_xlfn.IFNA(VLOOKUP($M167,[1]Buff.CM!$A:$O,13,FALSE),"")</f>
        <v/>
      </c>
      <c r="O167" s="236" t="str">
        <f>_xlfn.IFNA(VLOOKUP($M167,[1]Buff.CM!$A:$O,14,FALSE),"")</f>
        <v/>
      </c>
      <c r="P167" s="236" t="str">
        <f>_xlfn.IFNA(VLOOKUP($M167,[1]Buff.CM!$A:$O,15,FALSE),"")</f>
        <v/>
      </c>
      <c r="Q167" s="236" t="b">
        <v>0</v>
      </c>
      <c r="R167" s="236" t="b">
        <v>0</v>
      </c>
    </row>
    <row r="168" spans="1:18" x14ac:dyDescent="0.3">
      <c r="A168" s="236" t="s">
        <v>2508</v>
      </c>
      <c r="B168" s="236"/>
      <c r="C168" s="236"/>
      <c r="D168" s="236">
        <v>10000</v>
      </c>
      <c r="E168" s="236">
        <v>0</v>
      </c>
      <c r="F168" s="236">
        <v>0</v>
      </c>
      <c r="G168" s="245" t="s">
        <v>2509</v>
      </c>
      <c r="H168" s="236"/>
      <c r="I168" s="236" t="b">
        <v>0</v>
      </c>
      <c r="J168" s="236" t="b">
        <v>0</v>
      </c>
      <c r="K168" s="236" t="b">
        <v>1</v>
      </c>
      <c r="L168" s="236" t="s">
        <v>63</v>
      </c>
      <c r="M168" s="236"/>
      <c r="N168" s="236" t="str">
        <f>_xlfn.IFNA(VLOOKUP($M168,[1]Buff.CM!$A:$O,13,FALSE),"")</f>
        <v/>
      </c>
      <c r="O168" s="236" t="str">
        <f>_xlfn.IFNA(VLOOKUP($M168,[1]Buff.CM!$A:$O,14,FALSE),"")</f>
        <v/>
      </c>
      <c r="P168" s="236" t="str">
        <f>_xlfn.IFNA(VLOOKUP($M168,[1]Buff.CM!$A:$O,15,FALSE),"")</f>
        <v/>
      </c>
      <c r="Q168" s="236" t="b">
        <v>0</v>
      </c>
      <c r="R168" s="236" t="b">
        <v>0</v>
      </c>
    </row>
    <row r="169" spans="1:18" x14ac:dyDescent="0.3">
      <c r="A169" s="236" t="s">
        <v>2510</v>
      </c>
      <c r="B169" s="236"/>
      <c r="C169" s="236"/>
      <c r="D169" s="236">
        <v>10000</v>
      </c>
      <c r="E169" s="236">
        <v>0</v>
      </c>
      <c r="F169" s="236">
        <v>0</v>
      </c>
      <c r="G169" s="245" t="s">
        <v>2511</v>
      </c>
      <c r="H169" s="236"/>
      <c r="I169" s="236" t="b">
        <v>0</v>
      </c>
      <c r="J169" s="236" t="b">
        <v>0</v>
      </c>
      <c r="K169" s="236" t="b">
        <v>1</v>
      </c>
      <c r="L169" s="236" t="s">
        <v>63</v>
      </c>
      <c r="M169" s="236"/>
      <c r="N169" s="236" t="str">
        <f>_xlfn.IFNA(VLOOKUP($M169,[1]Buff.CM!$A:$O,13,FALSE),"")</f>
        <v/>
      </c>
      <c r="O169" s="236" t="str">
        <f>_xlfn.IFNA(VLOOKUP($M169,[1]Buff.CM!$A:$O,14,FALSE),"")</f>
        <v/>
      </c>
      <c r="P169" s="236" t="str">
        <f>_xlfn.IFNA(VLOOKUP($M169,[1]Buff.CM!$A:$O,15,FALSE),"")</f>
        <v/>
      </c>
      <c r="Q169" s="236" t="b">
        <v>0</v>
      </c>
      <c r="R169" s="236" t="b">
        <v>0</v>
      </c>
    </row>
    <row r="170" spans="1:18" x14ac:dyDescent="0.3">
      <c r="A170" s="232" t="s">
        <v>2512</v>
      </c>
      <c r="B170" s="232"/>
      <c r="C170" s="232"/>
      <c r="D170" s="232">
        <v>10000</v>
      </c>
      <c r="E170" s="232">
        <v>0</v>
      </c>
      <c r="F170" s="232">
        <v>0</v>
      </c>
      <c r="G170" s="238" t="s">
        <v>2513</v>
      </c>
      <c r="H170" s="232"/>
      <c r="I170" s="232" t="b">
        <v>0</v>
      </c>
      <c r="J170" s="232" t="b">
        <v>0</v>
      </c>
      <c r="K170" s="232" t="b">
        <v>1</v>
      </c>
      <c r="L170" s="232" t="s">
        <v>63</v>
      </c>
      <c r="M170" s="232"/>
      <c r="N170" s="232" t="str">
        <f>_xlfn.IFNA(VLOOKUP($M170,[1]Buff.CM!$A:$O,13,FALSE),"")</f>
        <v/>
      </c>
      <c r="O170" s="232" t="str">
        <f>_xlfn.IFNA(VLOOKUP($M170,[1]Buff.CM!$A:$O,14,FALSE),"")</f>
        <v/>
      </c>
      <c r="P170" s="232" t="str">
        <f>_xlfn.IFNA(VLOOKUP($M170,[1]Buff.CM!$A:$O,15,FALSE),"")</f>
        <v/>
      </c>
      <c r="Q170" s="232" t="b">
        <v>0</v>
      </c>
      <c r="R170" s="232" t="b">
        <v>0</v>
      </c>
    </row>
    <row r="171" spans="1:18" x14ac:dyDescent="0.3">
      <c r="A171" s="232" t="s">
        <v>2514</v>
      </c>
      <c r="B171" s="232"/>
      <c r="C171" s="232"/>
      <c r="D171" s="232">
        <v>10000</v>
      </c>
      <c r="E171" s="232">
        <v>0</v>
      </c>
      <c r="F171" s="232">
        <v>0</v>
      </c>
      <c r="G171" s="238" t="s">
        <v>2515</v>
      </c>
      <c r="H171" s="232"/>
      <c r="I171" s="232" t="b">
        <v>0</v>
      </c>
      <c r="J171" s="232" t="b">
        <v>0</v>
      </c>
      <c r="K171" s="232" t="b">
        <v>1</v>
      </c>
      <c r="L171" s="232" t="s">
        <v>63</v>
      </c>
      <c r="M171" s="232"/>
      <c r="N171" s="232" t="str">
        <f>_xlfn.IFNA(VLOOKUP($M171,[1]Buff.CM!$A:$O,13,FALSE),"")</f>
        <v/>
      </c>
      <c r="O171" s="232" t="str">
        <f>_xlfn.IFNA(VLOOKUP($M171,[1]Buff.CM!$A:$O,14,FALSE),"")</f>
        <v/>
      </c>
      <c r="P171" s="232" t="str">
        <f>_xlfn.IFNA(VLOOKUP($M171,[1]Buff.CM!$A:$O,15,FALSE),"")</f>
        <v/>
      </c>
      <c r="Q171" s="232" t="b">
        <v>0</v>
      </c>
      <c r="R171" s="232" t="b">
        <v>0</v>
      </c>
    </row>
    <row r="172" spans="1:18" x14ac:dyDescent="0.3">
      <c r="A172" s="232" t="s">
        <v>2516</v>
      </c>
      <c r="B172" s="232"/>
      <c r="C172" s="232"/>
      <c r="D172" s="232">
        <v>300</v>
      </c>
      <c r="E172" s="232">
        <v>0</v>
      </c>
      <c r="F172" s="232">
        <v>0</v>
      </c>
      <c r="G172" s="232" t="s">
        <v>2261</v>
      </c>
      <c r="H172" s="232"/>
      <c r="I172" s="232" t="b">
        <v>0</v>
      </c>
      <c r="J172" s="232" t="b">
        <v>0</v>
      </c>
      <c r="K172" s="232" t="b">
        <v>0</v>
      </c>
      <c r="L172" s="232" t="s">
        <v>67</v>
      </c>
      <c r="M172" s="232" t="s">
        <v>2262</v>
      </c>
      <c r="N172" s="232" t="str">
        <f>_xlfn.IFNA(VLOOKUP($M172,[1]Buff.CM!$A:$O,13,FALSE),"")</f>
        <v>icon_cha_skill_backstep_u</v>
      </c>
      <c r="O172" s="232" t="str">
        <f>_xlfn.IFNA(VLOOKUP($M172,[1]Buff.CM!$A:$O,14,FALSE),"")</f>
        <v>Buff.Name.Airborne</v>
      </c>
      <c r="P172" s="232" t="str">
        <f>_xlfn.IFNA(VLOOKUP($M172,[1]Buff.CM!$A:$O,15,FALSE),"")</f>
        <v>Buff.Desc.Airborne</v>
      </c>
      <c r="Q172" s="232" t="b">
        <v>0</v>
      </c>
      <c r="R172" s="232" t="b">
        <v>0</v>
      </c>
    </row>
    <row r="173" spans="1:18" x14ac:dyDescent="0.3">
      <c r="A173" s="236" t="s">
        <v>2517</v>
      </c>
      <c r="B173" s="236"/>
      <c r="C173" s="236"/>
      <c r="D173" s="236">
        <v>0</v>
      </c>
      <c r="E173" s="236">
        <v>0</v>
      </c>
      <c r="F173" s="236">
        <v>0</v>
      </c>
      <c r="G173" s="245" t="s">
        <v>2518</v>
      </c>
      <c r="H173" s="236"/>
      <c r="I173" s="236" t="b">
        <v>0</v>
      </c>
      <c r="J173" s="236" t="b">
        <v>0</v>
      </c>
      <c r="K173" s="236" t="b">
        <v>1</v>
      </c>
      <c r="L173" s="236"/>
      <c r="M173" s="236" t="s">
        <v>3365</v>
      </c>
      <c r="N173" s="236" t="str">
        <f>_xlfn.IFNA(VLOOKUP($M173,[1]Buff.CM!$A:$O,13,FALSE),"")</f>
        <v>icon_battle_angelica_stage1</v>
      </c>
      <c r="O173" s="236" t="str">
        <f>_xlfn.IFNA(VLOOKUP($M173,[1]Buff.CM!$A:$O,14,FALSE),"")</f>
        <v>info.angelica.buff.burn</v>
      </c>
      <c r="P173" s="236" t="str">
        <f>_xlfn.IFNA(VLOOKUP($M173,[1]Buff.CM!$A:$O,15,FALSE),"")</f>
        <v>Desc.info.angelica.buff.burn</v>
      </c>
      <c r="Q173" s="236" t="b">
        <v>0</v>
      </c>
      <c r="R173" s="236" t="b">
        <v>0</v>
      </c>
    </row>
    <row r="174" spans="1:18" x14ac:dyDescent="0.3">
      <c r="A174" s="236" t="s">
        <v>2519</v>
      </c>
      <c r="B174" s="236"/>
      <c r="C174" s="236"/>
      <c r="D174" s="236">
        <v>0</v>
      </c>
      <c r="E174" s="236">
        <v>0</v>
      </c>
      <c r="F174" s="236">
        <v>0</v>
      </c>
      <c r="G174" s="245" t="s">
        <v>2520</v>
      </c>
      <c r="H174" s="236"/>
      <c r="I174" s="236" t="b">
        <v>0</v>
      </c>
      <c r="J174" s="236" t="b">
        <v>0</v>
      </c>
      <c r="K174" s="236" t="b">
        <v>1</v>
      </c>
      <c r="L174" s="236"/>
      <c r="M174" s="236" t="s">
        <v>3365</v>
      </c>
      <c r="N174" s="236" t="str">
        <f>_xlfn.IFNA(VLOOKUP($M174,[1]Buff.CM!$A:$O,13,FALSE),"")</f>
        <v>icon_battle_angelica_stage1</v>
      </c>
      <c r="O174" s="236" t="str">
        <f>_xlfn.IFNA(VLOOKUP($M174,[1]Buff.CM!$A:$O,14,FALSE),"")</f>
        <v>info.angelica.buff.burn</v>
      </c>
      <c r="P174" s="236" t="str">
        <f>_xlfn.IFNA(VLOOKUP($M174,[1]Buff.CM!$A:$O,15,FALSE),"")</f>
        <v>Desc.info.angelica.buff.burn</v>
      </c>
      <c r="Q174" s="236" t="b">
        <v>0</v>
      </c>
      <c r="R174" s="236" t="b">
        <v>0</v>
      </c>
    </row>
    <row r="175" spans="1:18" x14ac:dyDescent="0.3">
      <c r="A175" s="236" t="s">
        <v>2521</v>
      </c>
      <c r="B175" s="236"/>
      <c r="C175" s="236"/>
      <c r="D175" s="236">
        <v>0</v>
      </c>
      <c r="E175" s="236">
        <v>0</v>
      </c>
      <c r="F175" s="236">
        <v>0</v>
      </c>
      <c r="G175" s="245" t="s">
        <v>2522</v>
      </c>
      <c r="H175" s="236"/>
      <c r="I175" s="236" t="b">
        <v>0</v>
      </c>
      <c r="J175" s="236" t="b">
        <v>0</v>
      </c>
      <c r="K175" s="236" t="b">
        <v>1</v>
      </c>
      <c r="L175" s="236"/>
      <c r="M175" s="236" t="s">
        <v>3365</v>
      </c>
      <c r="N175" s="236" t="str">
        <f>_xlfn.IFNA(VLOOKUP($M175,[1]Buff.CM!$A:$O,13,FALSE),"")</f>
        <v>icon_battle_angelica_stage1</v>
      </c>
      <c r="O175" s="236" t="str">
        <f>_xlfn.IFNA(VLOOKUP($M175,[1]Buff.CM!$A:$O,14,FALSE),"")</f>
        <v>info.angelica.buff.burn</v>
      </c>
      <c r="P175" s="236" t="str">
        <f>_xlfn.IFNA(VLOOKUP($M175,[1]Buff.CM!$A:$O,15,FALSE),"")</f>
        <v>Desc.info.angelica.buff.burn</v>
      </c>
      <c r="Q175" s="236" t="b">
        <v>0</v>
      </c>
      <c r="R175" s="236" t="b">
        <v>0</v>
      </c>
    </row>
    <row r="176" spans="1:18" x14ac:dyDescent="0.3">
      <c r="A176" s="236" t="s">
        <v>2523</v>
      </c>
      <c r="B176" s="236"/>
      <c r="C176" s="236"/>
      <c r="D176" s="236">
        <v>0</v>
      </c>
      <c r="E176" s="236">
        <v>0</v>
      </c>
      <c r="F176" s="236">
        <v>0</v>
      </c>
      <c r="G176" s="245" t="s">
        <v>2524</v>
      </c>
      <c r="H176" s="236"/>
      <c r="I176" s="236" t="b">
        <v>0</v>
      </c>
      <c r="J176" s="236" t="b">
        <v>0</v>
      </c>
      <c r="K176" s="236" t="b">
        <v>1</v>
      </c>
      <c r="L176" s="236"/>
      <c r="M176" s="236" t="s">
        <v>3365</v>
      </c>
      <c r="N176" s="236" t="str">
        <f>_xlfn.IFNA(VLOOKUP($M176,[1]Buff.CM!$A:$O,13,FALSE),"")</f>
        <v>icon_battle_angelica_stage1</v>
      </c>
      <c r="O176" s="236" t="str">
        <f>_xlfn.IFNA(VLOOKUP($M176,[1]Buff.CM!$A:$O,14,FALSE),"")</f>
        <v>info.angelica.buff.burn</v>
      </c>
      <c r="P176" s="236" t="str">
        <f>_xlfn.IFNA(VLOOKUP($M176,[1]Buff.CM!$A:$O,15,FALSE),"")</f>
        <v>Desc.info.angelica.buff.burn</v>
      </c>
      <c r="Q176" s="236" t="b">
        <v>0</v>
      </c>
      <c r="R176" s="236" t="b">
        <v>0</v>
      </c>
    </row>
    <row r="177" spans="1:18" x14ac:dyDescent="0.3">
      <c r="A177" s="236" t="s">
        <v>2525</v>
      </c>
      <c r="B177" s="236"/>
      <c r="C177" s="236"/>
      <c r="D177" s="236">
        <v>0</v>
      </c>
      <c r="E177" s="236">
        <v>0</v>
      </c>
      <c r="F177" s="236">
        <v>0</v>
      </c>
      <c r="G177" s="245" t="s">
        <v>2526</v>
      </c>
      <c r="H177" s="236"/>
      <c r="I177" s="236" t="b">
        <v>0</v>
      </c>
      <c r="J177" s="236" t="b">
        <v>0</v>
      </c>
      <c r="K177" s="236" t="b">
        <v>1</v>
      </c>
      <c r="L177" s="236"/>
      <c r="M177" s="236" t="s">
        <v>3365</v>
      </c>
      <c r="N177" s="236" t="str">
        <f>_xlfn.IFNA(VLOOKUP($M177,[1]Buff.CM!$A:$O,13,FALSE),"")</f>
        <v>icon_battle_angelica_stage1</v>
      </c>
      <c r="O177" s="236" t="str">
        <f>_xlfn.IFNA(VLOOKUP($M177,[1]Buff.CM!$A:$O,14,FALSE),"")</f>
        <v>info.angelica.buff.burn</v>
      </c>
      <c r="P177" s="236" t="str">
        <f>_xlfn.IFNA(VLOOKUP($M177,[1]Buff.CM!$A:$O,15,FALSE),"")</f>
        <v>Desc.info.angelica.buff.burn</v>
      </c>
      <c r="Q177" s="236" t="b">
        <v>0</v>
      </c>
      <c r="R177" s="236" t="b">
        <v>0</v>
      </c>
    </row>
    <row r="178" spans="1:18" x14ac:dyDescent="0.3">
      <c r="A178" s="232" t="s">
        <v>2527</v>
      </c>
      <c r="B178" s="232"/>
      <c r="C178" s="232"/>
      <c r="D178" s="232">
        <v>0</v>
      </c>
      <c r="E178" s="232">
        <v>0</v>
      </c>
      <c r="F178" s="232">
        <v>0</v>
      </c>
      <c r="G178" s="238" t="s">
        <v>2528</v>
      </c>
      <c r="H178" s="232"/>
      <c r="I178" s="232" t="b">
        <v>0</v>
      </c>
      <c r="J178" s="232" t="b">
        <v>0</v>
      </c>
      <c r="K178" s="232" t="b">
        <v>1</v>
      </c>
      <c r="L178" s="232"/>
      <c r="M178" s="232" t="s">
        <v>3365</v>
      </c>
      <c r="N178" s="232" t="str">
        <f>_xlfn.IFNA(VLOOKUP($M178,[1]Buff.CM!$A:$O,13,FALSE),"")</f>
        <v>icon_battle_angelica_stage1</v>
      </c>
      <c r="O178" s="232" t="str">
        <f>_xlfn.IFNA(VLOOKUP($M178,[1]Buff.CM!$A:$O,14,FALSE),"")</f>
        <v>info.angelica.buff.burn</v>
      </c>
      <c r="P178" s="232" t="str">
        <f>_xlfn.IFNA(VLOOKUP($M178,[1]Buff.CM!$A:$O,15,FALSE),"")</f>
        <v>Desc.info.angelica.buff.burn</v>
      </c>
      <c r="Q178" s="232" t="b">
        <v>0</v>
      </c>
      <c r="R178" s="232" t="b">
        <v>0</v>
      </c>
    </row>
    <row r="179" spans="1:18" x14ac:dyDescent="0.3">
      <c r="A179" s="232" t="s">
        <v>2529</v>
      </c>
      <c r="B179" s="232"/>
      <c r="C179" s="232"/>
      <c r="D179" s="232">
        <v>0</v>
      </c>
      <c r="E179" s="232">
        <v>0</v>
      </c>
      <c r="F179" s="232">
        <v>0</v>
      </c>
      <c r="G179" s="238" t="s">
        <v>2530</v>
      </c>
      <c r="H179" s="232"/>
      <c r="I179" s="232" t="b">
        <v>0</v>
      </c>
      <c r="J179" s="232" t="b">
        <v>0</v>
      </c>
      <c r="K179" s="232" t="b">
        <v>1</v>
      </c>
      <c r="L179" s="232"/>
      <c r="M179" s="232" t="s">
        <v>3365</v>
      </c>
      <c r="N179" s="232" t="str">
        <f>_xlfn.IFNA(VLOOKUP($M179,[1]Buff.CM!$A:$O,13,FALSE),"")</f>
        <v>icon_battle_angelica_stage1</v>
      </c>
      <c r="O179" s="232" t="str">
        <f>_xlfn.IFNA(VLOOKUP($M179,[1]Buff.CM!$A:$O,14,FALSE),"")</f>
        <v>info.angelica.buff.burn</v>
      </c>
      <c r="P179" s="232" t="str">
        <f>_xlfn.IFNA(VLOOKUP($M179,[1]Buff.CM!$A:$O,15,FALSE),"")</f>
        <v>Desc.info.angelica.buff.burn</v>
      </c>
      <c r="Q179" s="232" t="b">
        <v>0</v>
      </c>
      <c r="R179" s="232" t="b">
        <v>0</v>
      </c>
    </row>
    <row r="180" spans="1:18" x14ac:dyDescent="0.3">
      <c r="A180" s="236" t="s">
        <v>2531</v>
      </c>
      <c r="B180" s="236"/>
      <c r="C180" s="236"/>
      <c r="D180" s="236">
        <v>8000</v>
      </c>
      <c r="E180" s="236">
        <v>0</v>
      </c>
      <c r="F180" s="236">
        <v>0</v>
      </c>
      <c r="G180" s="245" t="s">
        <v>2292</v>
      </c>
      <c r="H180" s="236"/>
      <c r="I180" s="236" t="b">
        <v>0</v>
      </c>
      <c r="J180" s="236" t="b">
        <v>0</v>
      </c>
      <c r="K180" s="236" t="b">
        <v>1</v>
      </c>
      <c r="L180" s="236" t="s">
        <v>63</v>
      </c>
      <c r="M180" s="245" t="s">
        <v>2292</v>
      </c>
      <c r="N180" s="236" t="str">
        <f>_xlfn.IFNA(VLOOKUP($M180,[1]Buff.CM!$A:$O,13,FALSE),"")</f>
        <v>icon_battle_attack</v>
      </c>
      <c r="O180" s="236" t="str">
        <f>_xlfn.IFNA(VLOOKUP($M180,[1]Buff.CM!$A:$O,14,FALSE),"")</f>
        <v>Buff.Name.NormalDamage.Up.02</v>
      </c>
      <c r="P180" s="236" t="str">
        <f>_xlfn.IFNA(VLOOKUP($M180,[1]Buff.CM!$A:$O,15,FALSE),"")</f>
        <v>Buff.Desc.NormalDamage.Up.02</v>
      </c>
      <c r="Q180" s="236" t="b">
        <v>0</v>
      </c>
      <c r="R180" s="236" t="b">
        <v>0</v>
      </c>
    </row>
    <row r="181" spans="1:18" x14ac:dyDescent="0.3">
      <c r="A181" s="236" t="s">
        <v>2532</v>
      </c>
      <c r="B181" s="236"/>
      <c r="C181" s="236"/>
      <c r="D181" s="236">
        <v>8000</v>
      </c>
      <c r="E181" s="236">
        <v>0</v>
      </c>
      <c r="F181" s="236">
        <v>0</v>
      </c>
      <c r="G181" s="245" t="s">
        <v>2292</v>
      </c>
      <c r="H181" s="236"/>
      <c r="I181" s="236" t="b">
        <v>0</v>
      </c>
      <c r="J181" s="236" t="b">
        <v>0</v>
      </c>
      <c r="K181" s="236" t="b">
        <v>1</v>
      </c>
      <c r="L181" s="236" t="s">
        <v>63</v>
      </c>
      <c r="M181" s="245" t="s">
        <v>2292</v>
      </c>
      <c r="N181" s="236" t="str">
        <f>_xlfn.IFNA(VLOOKUP($M181,[1]Buff.CM!$A:$O,13,FALSE),"")</f>
        <v>icon_battle_attack</v>
      </c>
      <c r="O181" s="236" t="str">
        <f>_xlfn.IFNA(VLOOKUP($M181,[1]Buff.CM!$A:$O,14,FALSE),"")</f>
        <v>Buff.Name.NormalDamage.Up.02</v>
      </c>
      <c r="P181" s="236" t="str">
        <f>_xlfn.IFNA(VLOOKUP($M181,[1]Buff.CM!$A:$O,15,FALSE),"")</f>
        <v>Buff.Desc.NormalDamage.Up.02</v>
      </c>
      <c r="Q181" s="236" t="b">
        <v>0</v>
      </c>
      <c r="R181" s="236" t="b">
        <v>0</v>
      </c>
    </row>
    <row r="182" spans="1:18" x14ac:dyDescent="0.3">
      <c r="A182" s="236" t="s">
        <v>2533</v>
      </c>
      <c r="B182" s="236"/>
      <c r="C182" s="236"/>
      <c r="D182" s="236">
        <v>8000</v>
      </c>
      <c r="E182" s="236">
        <v>0</v>
      </c>
      <c r="F182" s="236">
        <v>0</v>
      </c>
      <c r="G182" s="245" t="s">
        <v>2293</v>
      </c>
      <c r="H182" s="236"/>
      <c r="I182" s="236" t="b">
        <v>0</v>
      </c>
      <c r="J182" s="236" t="b">
        <v>0</v>
      </c>
      <c r="K182" s="236" t="b">
        <v>1</v>
      </c>
      <c r="L182" s="236" t="s">
        <v>63</v>
      </c>
      <c r="M182" s="245" t="s">
        <v>2293</v>
      </c>
      <c r="N182" s="236" t="str">
        <f>_xlfn.IFNA(VLOOKUP($M182,[1]Buff.CM!$A:$O,13,FALSE),"")</f>
        <v>icon_battle_attack</v>
      </c>
      <c r="O182" s="236" t="str">
        <f>_xlfn.IFNA(VLOOKUP($M182,[1]Buff.CM!$A:$O,14,FALSE),"")</f>
        <v>Buff.Name.NormalDamage.Up.03</v>
      </c>
      <c r="P182" s="236" t="str">
        <f>_xlfn.IFNA(VLOOKUP($M182,[1]Buff.CM!$A:$O,15,FALSE),"")</f>
        <v>Buff.Desc.NormalDamage.Up.03</v>
      </c>
      <c r="Q182" s="236" t="b">
        <v>0</v>
      </c>
      <c r="R182" s="236" t="b">
        <v>0</v>
      </c>
    </row>
    <row r="183" spans="1:18" x14ac:dyDescent="0.3">
      <c r="A183" s="236" t="s">
        <v>2534</v>
      </c>
      <c r="B183" s="236"/>
      <c r="C183" s="236"/>
      <c r="D183" s="236">
        <v>8000</v>
      </c>
      <c r="E183" s="236">
        <v>0</v>
      </c>
      <c r="F183" s="236">
        <v>0</v>
      </c>
      <c r="G183" s="245" t="s">
        <v>2293</v>
      </c>
      <c r="H183" s="236"/>
      <c r="I183" s="236" t="b">
        <v>0</v>
      </c>
      <c r="J183" s="236" t="b">
        <v>0</v>
      </c>
      <c r="K183" s="236" t="b">
        <v>1</v>
      </c>
      <c r="L183" s="236" t="s">
        <v>63</v>
      </c>
      <c r="M183" s="245" t="s">
        <v>2293</v>
      </c>
      <c r="N183" s="236" t="str">
        <f>_xlfn.IFNA(VLOOKUP($M183,[1]Buff.CM!$A:$O,13,FALSE),"")</f>
        <v>icon_battle_attack</v>
      </c>
      <c r="O183" s="236" t="str">
        <f>_xlfn.IFNA(VLOOKUP($M183,[1]Buff.CM!$A:$O,14,FALSE),"")</f>
        <v>Buff.Name.NormalDamage.Up.03</v>
      </c>
      <c r="P183" s="236" t="str">
        <f>_xlfn.IFNA(VLOOKUP($M183,[1]Buff.CM!$A:$O,15,FALSE),"")</f>
        <v>Buff.Desc.NormalDamage.Up.03</v>
      </c>
      <c r="Q183" s="236" t="b">
        <v>0</v>
      </c>
      <c r="R183" s="236" t="b">
        <v>0</v>
      </c>
    </row>
    <row r="184" spans="1:18" x14ac:dyDescent="0.3">
      <c r="A184" s="236" t="s">
        <v>2535</v>
      </c>
      <c r="B184" s="236"/>
      <c r="C184" s="236"/>
      <c r="D184" s="236">
        <v>8000</v>
      </c>
      <c r="E184" s="236">
        <v>0</v>
      </c>
      <c r="F184" s="236">
        <v>0</v>
      </c>
      <c r="G184" s="245" t="s">
        <v>2294</v>
      </c>
      <c r="H184" s="236"/>
      <c r="I184" s="236" t="b">
        <v>0</v>
      </c>
      <c r="J184" s="236" t="b">
        <v>0</v>
      </c>
      <c r="K184" s="236" t="b">
        <v>1</v>
      </c>
      <c r="L184" s="236" t="s">
        <v>63</v>
      </c>
      <c r="M184" s="245" t="s">
        <v>2294</v>
      </c>
      <c r="N184" s="236" t="str">
        <f>_xlfn.IFNA(VLOOKUP($M184,[1]Buff.CM!$A:$O,13,FALSE),"")</f>
        <v>icon_battle_attack</v>
      </c>
      <c r="O184" s="236" t="str">
        <f>_xlfn.IFNA(VLOOKUP($M184,[1]Buff.CM!$A:$O,14,FALSE),"")</f>
        <v>Buff.Name.NormalDamage.Up.04</v>
      </c>
      <c r="P184" s="236" t="str">
        <f>_xlfn.IFNA(VLOOKUP($M184,[1]Buff.CM!$A:$O,15,FALSE),"")</f>
        <v>Buff.Desc.NormalDamage.Up.04</v>
      </c>
      <c r="Q184" s="236" t="b">
        <v>0</v>
      </c>
      <c r="R184" s="236" t="b">
        <v>0</v>
      </c>
    </row>
    <row r="185" spans="1:18" x14ac:dyDescent="0.3">
      <c r="A185" s="232" t="s">
        <v>2536</v>
      </c>
      <c r="B185" s="232"/>
      <c r="C185" s="232"/>
      <c r="D185" s="232">
        <v>8000</v>
      </c>
      <c r="E185" s="232">
        <v>0</v>
      </c>
      <c r="F185" s="232">
        <v>0</v>
      </c>
      <c r="G185" s="238" t="s">
        <v>2293</v>
      </c>
      <c r="H185" s="232"/>
      <c r="I185" s="232" t="b">
        <v>0</v>
      </c>
      <c r="J185" s="232" t="b">
        <v>0</v>
      </c>
      <c r="K185" s="232" t="b">
        <v>1</v>
      </c>
      <c r="L185" s="232" t="s">
        <v>63</v>
      </c>
      <c r="M185" s="232" t="s">
        <v>2293</v>
      </c>
      <c r="N185" s="232" t="str">
        <f>_xlfn.IFNA(VLOOKUP($M185,[1]Buff.CM!$A:$O,13,FALSE),"")</f>
        <v>icon_battle_attack</v>
      </c>
      <c r="O185" s="232" t="str">
        <f>_xlfn.IFNA(VLOOKUP($M185,[1]Buff.CM!$A:$O,14,FALSE),"")</f>
        <v>Buff.Name.NormalDamage.Up.03</v>
      </c>
      <c r="P185" s="232" t="str">
        <f>_xlfn.IFNA(VLOOKUP($M185,[1]Buff.CM!$A:$O,15,FALSE),"")</f>
        <v>Buff.Desc.NormalDamage.Up.03</v>
      </c>
      <c r="Q185" s="232" t="b">
        <v>0</v>
      </c>
      <c r="R185" s="232" t="b">
        <v>0</v>
      </c>
    </row>
    <row r="186" spans="1:18" x14ac:dyDescent="0.3">
      <c r="A186" s="232" t="s">
        <v>2537</v>
      </c>
      <c r="B186" s="232"/>
      <c r="C186" s="232"/>
      <c r="D186" s="232">
        <v>8000</v>
      </c>
      <c r="E186" s="232">
        <v>0</v>
      </c>
      <c r="F186" s="232">
        <v>0</v>
      </c>
      <c r="G186" s="238" t="s">
        <v>2293</v>
      </c>
      <c r="H186" s="232"/>
      <c r="I186" s="232" t="b">
        <v>0</v>
      </c>
      <c r="J186" s="232" t="b">
        <v>0</v>
      </c>
      <c r="K186" s="232" t="b">
        <v>1</v>
      </c>
      <c r="L186" s="232" t="s">
        <v>63</v>
      </c>
      <c r="M186" s="232" t="s">
        <v>2293</v>
      </c>
      <c r="N186" s="232" t="str">
        <f>_xlfn.IFNA(VLOOKUP($M186,[1]Buff.CM!$A:$O,13,FALSE),"")</f>
        <v>icon_battle_attack</v>
      </c>
      <c r="O186" s="232" t="str">
        <f>_xlfn.IFNA(VLOOKUP($M186,[1]Buff.CM!$A:$O,14,FALSE),"")</f>
        <v>Buff.Name.NormalDamage.Up.03</v>
      </c>
      <c r="P186" s="232" t="str">
        <f>_xlfn.IFNA(VLOOKUP($M186,[1]Buff.CM!$A:$O,15,FALSE),"")</f>
        <v>Buff.Desc.NormalDamage.Up.03</v>
      </c>
      <c r="Q186" s="232" t="b">
        <v>0</v>
      </c>
      <c r="R186" s="232" t="b">
        <v>0</v>
      </c>
    </row>
    <row r="187" spans="1:18" x14ac:dyDescent="0.3">
      <c r="A187" s="236" t="s">
        <v>2538</v>
      </c>
      <c r="B187" s="236"/>
      <c r="C187" s="236"/>
      <c r="D187" s="236">
        <v>8000</v>
      </c>
      <c r="E187" s="236">
        <v>0</v>
      </c>
      <c r="F187" s="236">
        <v>0</v>
      </c>
      <c r="G187" s="245" t="s">
        <v>2295</v>
      </c>
      <c r="H187" s="236"/>
      <c r="I187" s="236" t="b">
        <v>0</v>
      </c>
      <c r="J187" s="236" t="b">
        <v>0</v>
      </c>
      <c r="K187" s="236" t="b">
        <v>1</v>
      </c>
      <c r="L187" s="236" t="s">
        <v>2296</v>
      </c>
      <c r="M187" s="245" t="s">
        <v>2295</v>
      </c>
      <c r="N187" s="236" t="str">
        <f>_xlfn.IFNA(VLOOKUP($M187,[1]Buff.CM!$A:$O,13,FALSE),"")</f>
        <v>icon_battle_attackspeed</v>
      </c>
      <c r="O187" s="236" t="str">
        <f>_xlfn.IFNA(VLOOKUP($M187,[1]Buff.CM!$A:$O,14,FALSE),"")</f>
        <v>Buff.Name.AtkSpeed.Up.01</v>
      </c>
      <c r="P187" s="236" t="str">
        <f>_xlfn.IFNA(VLOOKUP($M187,[1]Buff.CM!$A:$O,15,FALSE),"")</f>
        <v>Buff.Desc.AtkSpeed.Up.01</v>
      </c>
      <c r="Q187" s="236" t="b">
        <v>0</v>
      </c>
      <c r="R187" s="236" t="b">
        <v>0</v>
      </c>
    </row>
    <row r="188" spans="1:18" x14ac:dyDescent="0.3">
      <c r="A188" s="236" t="s">
        <v>2539</v>
      </c>
      <c r="B188" s="236"/>
      <c r="C188" s="236"/>
      <c r="D188" s="236">
        <v>8000</v>
      </c>
      <c r="E188" s="236">
        <v>0</v>
      </c>
      <c r="F188" s="236">
        <v>0</v>
      </c>
      <c r="G188" s="245" t="s">
        <v>2295</v>
      </c>
      <c r="H188" s="236"/>
      <c r="I188" s="236" t="b">
        <v>0</v>
      </c>
      <c r="J188" s="236" t="b">
        <v>0</v>
      </c>
      <c r="K188" s="236" t="b">
        <v>1</v>
      </c>
      <c r="L188" s="236" t="s">
        <v>2296</v>
      </c>
      <c r="M188" s="245" t="s">
        <v>2295</v>
      </c>
      <c r="N188" s="236" t="str">
        <f>_xlfn.IFNA(VLOOKUP($M188,[1]Buff.CM!$A:$O,13,FALSE),"")</f>
        <v>icon_battle_attackspeed</v>
      </c>
      <c r="O188" s="236" t="str">
        <f>_xlfn.IFNA(VLOOKUP($M188,[1]Buff.CM!$A:$O,14,FALSE),"")</f>
        <v>Buff.Name.AtkSpeed.Up.01</v>
      </c>
      <c r="P188" s="236" t="str">
        <f>_xlfn.IFNA(VLOOKUP($M188,[1]Buff.CM!$A:$O,15,FALSE),"")</f>
        <v>Buff.Desc.AtkSpeed.Up.01</v>
      </c>
      <c r="Q188" s="236" t="b">
        <v>0</v>
      </c>
      <c r="R188" s="236" t="b">
        <v>0</v>
      </c>
    </row>
    <row r="189" spans="1:18" x14ac:dyDescent="0.3">
      <c r="A189" s="236" t="s">
        <v>2540</v>
      </c>
      <c r="B189" s="236"/>
      <c r="C189" s="236"/>
      <c r="D189" s="236">
        <v>8000</v>
      </c>
      <c r="E189" s="236">
        <v>0</v>
      </c>
      <c r="F189" s="236">
        <v>0</v>
      </c>
      <c r="G189" s="245" t="s">
        <v>2297</v>
      </c>
      <c r="H189" s="236"/>
      <c r="I189" s="236" t="b">
        <v>0</v>
      </c>
      <c r="J189" s="236" t="b">
        <v>0</v>
      </c>
      <c r="K189" s="236" t="b">
        <v>1</v>
      </c>
      <c r="L189" s="236" t="s">
        <v>2296</v>
      </c>
      <c r="M189" s="245" t="s">
        <v>2297</v>
      </c>
      <c r="N189" s="236" t="str">
        <f>_xlfn.IFNA(VLOOKUP($M189,[1]Buff.CM!$A:$O,13,FALSE),"")</f>
        <v>icon_battle_attackspeed</v>
      </c>
      <c r="O189" s="236" t="str">
        <f>_xlfn.IFNA(VLOOKUP($M189,[1]Buff.CM!$A:$O,14,FALSE),"")</f>
        <v>Buff.Name.AtkSpeed.Up.02</v>
      </c>
      <c r="P189" s="236" t="str">
        <f>_xlfn.IFNA(VLOOKUP($M189,[1]Buff.CM!$A:$O,15,FALSE),"")</f>
        <v>Buff.Desc.AtkSpeed.Up.02</v>
      </c>
      <c r="Q189" s="236" t="b">
        <v>0</v>
      </c>
      <c r="R189" s="236" t="b">
        <v>0</v>
      </c>
    </row>
    <row r="190" spans="1:18" x14ac:dyDescent="0.3">
      <c r="A190" s="236" t="s">
        <v>2541</v>
      </c>
      <c r="B190" s="236"/>
      <c r="C190" s="236"/>
      <c r="D190" s="236">
        <v>8000</v>
      </c>
      <c r="E190" s="236">
        <v>0</v>
      </c>
      <c r="F190" s="236">
        <v>0</v>
      </c>
      <c r="G190" s="245" t="s">
        <v>2297</v>
      </c>
      <c r="H190" s="236"/>
      <c r="I190" s="236" t="b">
        <v>0</v>
      </c>
      <c r="J190" s="236" t="b">
        <v>0</v>
      </c>
      <c r="K190" s="236" t="b">
        <v>1</v>
      </c>
      <c r="L190" s="236" t="s">
        <v>2296</v>
      </c>
      <c r="M190" s="245" t="s">
        <v>2297</v>
      </c>
      <c r="N190" s="236" t="str">
        <f>_xlfn.IFNA(VLOOKUP($M190,[1]Buff.CM!$A:$O,13,FALSE),"")</f>
        <v>icon_battle_attackspeed</v>
      </c>
      <c r="O190" s="236" t="str">
        <f>_xlfn.IFNA(VLOOKUP($M190,[1]Buff.CM!$A:$O,14,FALSE),"")</f>
        <v>Buff.Name.AtkSpeed.Up.02</v>
      </c>
      <c r="P190" s="236" t="str">
        <f>_xlfn.IFNA(VLOOKUP($M190,[1]Buff.CM!$A:$O,15,FALSE),"")</f>
        <v>Buff.Desc.AtkSpeed.Up.02</v>
      </c>
      <c r="Q190" s="236" t="b">
        <v>0</v>
      </c>
      <c r="R190" s="236" t="b">
        <v>0</v>
      </c>
    </row>
    <row r="191" spans="1:18" x14ac:dyDescent="0.3">
      <c r="A191" s="236" t="s">
        <v>2542</v>
      </c>
      <c r="B191" s="236"/>
      <c r="C191" s="236"/>
      <c r="D191" s="236">
        <v>8000</v>
      </c>
      <c r="E191" s="236">
        <v>0</v>
      </c>
      <c r="F191" s="236">
        <v>0</v>
      </c>
      <c r="G191" s="245" t="s">
        <v>2298</v>
      </c>
      <c r="H191" s="236"/>
      <c r="I191" s="236" t="b">
        <v>0</v>
      </c>
      <c r="J191" s="236" t="b">
        <v>0</v>
      </c>
      <c r="K191" s="236" t="b">
        <v>1</v>
      </c>
      <c r="L191" s="236" t="s">
        <v>2296</v>
      </c>
      <c r="M191" s="245" t="s">
        <v>2298</v>
      </c>
      <c r="N191" s="236" t="str">
        <f>_xlfn.IFNA(VLOOKUP($M191,[1]Buff.CM!$A:$O,13,FALSE),"")</f>
        <v>icon_battle_attackspeed</v>
      </c>
      <c r="O191" s="236" t="str">
        <f>_xlfn.IFNA(VLOOKUP($M191,[1]Buff.CM!$A:$O,14,FALSE),"")</f>
        <v>Buff.Name.AtkSpeed.Up.03</v>
      </c>
      <c r="P191" s="236" t="str">
        <f>_xlfn.IFNA(VLOOKUP($M191,[1]Buff.CM!$A:$O,15,FALSE),"")</f>
        <v>Buff.Desc.AtkSpeed.Up.03</v>
      </c>
      <c r="Q191" s="236" t="b">
        <v>0</v>
      </c>
      <c r="R191" s="236" t="b">
        <v>0</v>
      </c>
    </row>
    <row r="192" spans="1:18" x14ac:dyDescent="0.3">
      <c r="A192" s="232" t="s">
        <v>2543</v>
      </c>
      <c r="B192" s="232"/>
      <c r="C192" s="232"/>
      <c r="D192" s="232">
        <v>8000</v>
      </c>
      <c r="E192" s="232">
        <v>0</v>
      </c>
      <c r="F192" s="232">
        <v>0</v>
      </c>
      <c r="G192" s="238" t="s">
        <v>2299</v>
      </c>
      <c r="H192" s="232"/>
      <c r="I192" s="232" t="b">
        <v>0</v>
      </c>
      <c r="J192" s="232" t="b">
        <v>0</v>
      </c>
      <c r="K192" s="232" t="b">
        <v>1</v>
      </c>
      <c r="L192" s="232" t="s">
        <v>2296</v>
      </c>
      <c r="M192" s="232" t="s">
        <v>2299</v>
      </c>
      <c r="N192" s="232" t="str">
        <f>_xlfn.IFNA(VLOOKUP($M192,[1]Buff.CM!$A:$O,13,FALSE),"")</f>
        <v>icon_battle_attackspeed</v>
      </c>
      <c r="O192" s="232" t="str">
        <f>_xlfn.IFNA(VLOOKUP($M192,[1]Buff.CM!$A:$O,14,FALSE),"")</f>
        <v>Buff.Name.AtkSpeed.Up.04</v>
      </c>
      <c r="P192" s="232" t="str">
        <f>_xlfn.IFNA(VLOOKUP($M192,[1]Buff.CM!$A:$O,15,FALSE),"")</f>
        <v>Buff.Desc.AtkSpeed.Up.04</v>
      </c>
      <c r="Q192" s="232" t="b">
        <v>0</v>
      </c>
      <c r="R192" s="232" t="b">
        <v>0</v>
      </c>
    </row>
    <row r="193" spans="1:18" x14ac:dyDescent="0.3">
      <c r="A193" s="232" t="s">
        <v>2544</v>
      </c>
      <c r="B193" s="232"/>
      <c r="C193" s="232"/>
      <c r="D193" s="232">
        <v>8000</v>
      </c>
      <c r="E193" s="232">
        <v>0</v>
      </c>
      <c r="F193" s="232">
        <v>0</v>
      </c>
      <c r="G193" s="238" t="s">
        <v>2299</v>
      </c>
      <c r="H193" s="232"/>
      <c r="I193" s="232" t="b">
        <v>0</v>
      </c>
      <c r="J193" s="232" t="b">
        <v>0</v>
      </c>
      <c r="K193" s="232" t="b">
        <v>1</v>
      </c>
      <c r="L193" s="232" t="s">
        <v>2296</v>
      </c>
      <c r="M193" s="232" t="s">
        <v>2299</v>
      </c>
      <c r="N193" s="232" t="str">
        <f>_xlfn.IFNA(VLOOKUP($M193,[1]Buff.CM!$A:$O,13,FALSE),"")</f>
        <v>icon_battle_attackspeed</v>
      </c>
      <c r="O193" s="232" t="str">
        <f>_xlfn.IFNA(VLOOKUP($M193,[1]Buff.CM!$A:$O,14,FALSE),"")</f>
        <v>Buff.Name.AtkSpeed.Up.04</v>
      </c>
      <c r="P193" s="232" t="str">
        <f>_xlfn.IFNA(VLOOKUP($M193,[1]Buff.CM!$A:$O,15,FALSE),"")</f>
        <v>Buff.Desc.AtkSpeed.Up.04</v>
      </c>
      <c r="Q193" s="232" t="b">
        <v>0</v>
      </c>
      <c r="R193" s="232" t="b">
        <v>0</v>
      </c>
    </row>
    <row r="194" spans="1:18" x14ac:dyDescent="0.3">
      <c r="A194" s="234" t="s">
        <v>2545</v>
      </c>
      <c r="B194" s="234"/>
      <c r="C194" s="234"/>
      <c r="D194" s="234">
        <v>4000</v>
      </c>
      <c r="E194" s="234">
        <v>0</v>
      </c>
      <c r="F194" s="234">
        <v>0</v>
      </c>
      <c r="G194" s="243" t="s">
        <v>2300</v>
      </c>
      <c r="H194" s="234"/>
      <c r="I194" s="234" t="b">
        <v>0</v>
      </c>
      <c r="J194" s="234" t="b">
        <v>0</v>
      </c>
      <c r="K194" s="234" t="b">
        <v>0</v>
      </c>
      <c r="L194" s="157" t="s">
        <v>55</v>
      </c>
      <c r="M194" s="243" t="s">
        <v>2300</v>
      </c>
      <c r="N194" s="234" t="str">
        <f>_xlfn.IFNA(VLOOKUP($M194,[1]Buff.CM!$A:$O,13,FALSE),"")</f>
        <v>icon_battle_evasion</v>
      </c>
      <c r="O194" s="234" t="str">
        <f>_xlfn.IFNA(VLOOKUP($M194,[1]Buff.CM!$A:$O,14,FALSE),"")</f>
        <v>Buff.Name.Evasion.Down.01</v>
      </c>
      <c r="P194" s="234" t="str">
        <f>_xlfn.IFNA(VLOOKUP($M194,[1]Buff.CM!$A:$O,15,FALSE),"")</f>
        <v>Buff.Desc.Evasion.Down.01</v>
      </c>
      <c r="Q194" s="234" t="b">
        <v>0</v>
      </c>
      <c r="R194" s="234" t="b">
        <v>0</v>
      </c>
    </row>
    <row r="195" spans="1:18" x14ac:dyDescent="0.3">
      <c r="A195" s="234" t="s">
        <v>2546</v>
      </c>
      <c r="B195" s="234"/>
      <c r="C195" s="234"/>
      <c r="D195" s="234">
        <v>4000</v>
      </c>
      <c r="E195" s="234">
        <v>0</v>
      </c>
      <c r="F195" s="234">
        <v>0</v>
      </c>
      <c r="G195" s="243" t="s">
        <v>2300</v>
      </c>
      <c r="H195" s="234"/>
      <c r="I195" s="234" t="b">
        <v>0</v>
      </c>
      <c r="J195" s="234" t="b">
        <v>0</v>
      </c>
      <c r="K195" s="234" t="b">
        <v>0</v>
      </c>
      <c r="L195" s="157" t="s">
        <v>55</v>
      </c>
      <c r="M195" s="243" t="s">
        <v>2300</v>
      </c>
      <c r="N195" s="234" t="str">
        <f>_xlfn.IFNA(VLOOKUP($M195,[1]Buff.CM!$A:$O,13,FALSE),"")</f>
        <v>icon_battle_evasion</v>
      </c>
      <c r="O195" s="234" t="str">
        <f>_xlfn.IFNA(VLOOKUP($M195,[1]Buff.CM!$A:$O,14,FALSE),"")</f>
        <v>Buff.Name.Evasion.Down.01</v>
      </c>
      <c r="P195" s="234" t="str">
        <f>_xlfn.IFNA(VLOOKUP($M195,[1]Buff.CM!$A:$O,15,FALSE),"")</f>
        <v>Buff.Desc.Evasion.Down.01</v>
      </c>
      <c r="Q195" s="234" t="b">
        <v>0</v>
      </c>
      <c r="R195" s="234" t="b">
        <v>0</v>
      </c>
    </row>
    <row r="196" spans="1:18" x14ac:dyDescent="0.3">
      <c r="A196" s="234" t="s">
        <v>2547</v>
      </c>
      <c r="B196" s="234"/>
      <c r="C196" s="234"/>
      <c r="D196" s="234">
        <v>4000</v>
      </c>
      <c r="E196" s="234">
        <v>0</v>
      </c>
      <c r="F196" s="234">
        <v>0</v>
      </c>
      <c r="G196" s="243" t="s">
        <v>2301</v>
      </c>
      <c r="H196" s="234"/>
      <c r="I196" s="234" t="b">
        <v>0</v>
      </c>
      <c r="J196" s="234" t="b">
        <v>0</v>
      </c>
      <c r="K196" s="234" t="b">
        <v>0</v>
      </c>
      <c r="L196" s="157" t="s">
        <v>55</v>
      </c>
      <c r="M196" s="243" t="s">
        <v>2301</v>
      </c>
      <c r="N196" s="234" t="str">
        <f>_xlfn.IFNA(VLOOKUP($M196,[1]Buff.CM!$A:$O,13,FALSE),"")</f>
        <v>icon_battle_evasion</v>
      </c>
      <c r="O196" s="234" t="str">
        <f>_xlfn.IFNA(VLOOKUP($M196,[1]Buff.CM!$A:$O,14,FALSE),"")</f>
        <v>Buff.Name.Evasion.Down.02</v>
      </c>
      <c r="P196" s="234" t="str">
        <f>_xlfn.IFNA(VLOOKUP($M196,[1]Buff.CM!$A:$O,15,FALSE),"")</f>
        <v>Buff.Desc.Evasion.Down.02</v>
      </c>
      <c r="Q196" s="234" t="b">
        <v>0</v>
      </c>
      <c r="R196" s="234" t="b">
        <v>0</v>
      </c>
    </row>
    <row r="197" spans="1:18" x14ac:dyDescent="0.3">
      <c r="A197" s="232" t="s">
        <v>2548</v>
      </c>
      <c r="B197" s="232"/>
      <c r="C197" s="232"/>
      <c r="D197" s="232">
        <v>4000</v>
      </c>
      <c r="E197" s="232">
        <v>0</v>
      </c>
      <c r="F197" s="232">
        <v>0</v>
      </c>
      <c r="G197" s="238" t="s">
        <v>2301</v>
      </c>
      <c r="H197" s="232"/>
      <c r="I197" s="232" t="b">
        <v>0</v>
      </c>
      <c r="J197" s="232" t="b">
        <v>0</v>
      </c>
      <c r="K197" s="232" t="b">
        <v>0</v>
      </c>
      <c r="L197" s="157" t="s">
        <v>55</v>
      </c>
      <c r="M197" s="238" t="s">
        <v>2301</v>
      </c>
      <c r="N197" s="232" t="str">
        <f>_xlfn.IFNA(VLOOKUP($M197,[1]Buff.CM!$A:$O,13,FALSE),"")</f>
        <v>icon_battle_evasion</v>
      </c>
      <c r="O197" s="232" t="str">
        <f>_xlfn.IFNA(VLOOKUP($M197,[1]Buff.CM!$A:$O,14,FALSE),"")</f>
        <v>Buff.Name.Evasion.Down.02</v>
      </c>
      <c r="P197" s="232" t="str">
        <f>_xlfn.IFNA(VLOOKUP($M197,[1]Buff.CM!$A:$O,15,FALSE),"")</f>
        <v>Buff.Desc.Evasion.Down.02</v>
      </c>
      <c r="Q197" s="232" t="b">
        <v>0</v>
      </c>
      <c r="R197" s="232" t="b">
        <v>0</v>
      </c>
    </row>
    <row r="198" spans="1:18" x14ac:dyDescent="0.3">
      <c r="A198" s="232" t="s">
        <v>2549</v>
      </c>
      <c r="B198" s="232"/>
      <c r="C198" s="232"/>
      <c r="D198" s="232">
        <v>4000</v>
      </c>
      <c r="E198" s="232">
        <v>0</v>
      </c>
      <c r="F198" s="232">
        <v>0</v>
      </c>
      <c r="G198" s="238" t="s">
        <v>2302</v>
      </c>
      <c r="H198" s="232"/>
      <c r="I198" s="232" t="b">
        <v>0</v>
      </c>
      <c r="J198" s="232" t="b">
        <v>0</v>
      </c>
      <c r="K198" s="232" t="b">
        <v>0</v>
      </c>
      <c r="L198" s="157" t="s">
        <v>55</v>
      </c>
      <c r="M198" s="238" t="s">
        <v>2302</v>
      </c>
      <c r="N198" s="232" t="str">
        <f>_xlfn.IFNA(VLOOKUP($M198,[1]Buff.CM!$A:$O,13,FALSE),"")</f>
        <v>icon_battle_evasion</v>
      </c>
      <c r="O198" s="232" t="str">
        <f>_xlfn.IFNA(VLOOKUP($M198,[1]Buff.CM!$A:$O,14,FALSE),"")</f>
        <v>Buff.Name.Evasion.Down.03</v>
      </c>
      <c r="P198" s="232" t="str">
        <f>_xlfn.IFNA(VLOOKUP($M198,[1]Buff.CM!$A:$O,15,FALSE),"")</f>
        <v>Buff.Desc.Evasion.Down.03</v>
      </c>
      <c r="Q198" s="232" t="b">
        <v>0</v>
      </c>
      <c r="R198" s="232" t="b">
        <v>0</v>
      </c>
    </row>
    <row r="199" spans="1:18" x14ac:dyDescent="0.3">
      <c r="A199" s="232" t="s">
        <v>2550</v>
      </c>
      <c r="B199" s="232"/>
      <c r="C199" s="232"/>
      <c r="D199" s="232">
        <v>4000</v>
      </c>
      <c r="E199" s="232">
        <v>0</v>
      </c>
      <c r="F199" s="232">
        <v>0</v>
      </c>
      <c r="G199" s="238" t="s">
        <v>2301</v>
      </c>
      <c r="H199" s="232"/>
      <c r="I199" s="232" t="b">
        <v>0</v>
      </c>
      <c r="J199" s="232" t="b">
        <v>0</v>
      </c>
      <c r="K199" s="232" t="b">
        <v>0</v>
      </c>
      <c r="L199" s="157" t="s">
        <v>55</v>
      </c>
      <c r="M199" s="238" t="s">
        <v>2301</v>
      </c>
      <c r="N199" s="232" t="str">
        <f>_xlfn.IFNA(VLOOKUP($M199,[1]Buff.CM!$A:$O,13,FALSE),"")</f>
        <v>icon_battle_evasion</v>
      </c>
      <c r="O199" s="232" t="str">
        <f>_xlfn.IFNA(VLOOKUP($M199,[1]Buff.CM!$A:$O,14,FALSE),"")</f>
        <v>Buff.Name.Evasion.Down.02</v>
      </c>
      <c r="P199" s="232" t="str">
        <f>_xlfn.IFNA(VLOOKUP($M199,[1]Buff.CM!$A:$O,15,FALSE),"")</f>
        <v>Buff.Desc.Evasion.Down.02</v>
      </c>
      <c r="Q199" s="232" t="b">
        <v>0</v>
      </c>
      <c r="R199" s="232" t="b">
        <v>0</v>
      </c>
    </row>
    <row r="200" spans="1:18" x14ac:dyDescent="0.3">
      <c r="A200" s="234" t="s">
        <v>2551</v>
      </c>
      <c r="B200" s="234"/>
      <c r="C200" s="234"/>
      <c r="D200" s="234">
        <v>4000</v>
      </c>
      <c r="E200" s="234">
        <v>0</v>
      </c>
      <c r="F200" s="234">
        <v>0</v>
      </c>
      <c r="G200" s="243" t="s">
        <v>2301</v>
      </c>
      <c r="H200" s="234"/>
      <c r="I200" s="234" t="b">
        <v>0</v>
      </c>
      <c r="J200" s="234" t="b">
        <v>0</v>
      </c>
      <c r="K200" s="234" t="b">
        <v>0</v>
      </c>
      <c r="L200" s="157" t="s">
        <v>55</v>
      </c>
      <c r="M200" s="243" t="s">
        <v>2301</v>
      </c>
      <c r="N200" s="234" t="str">
        <f>_xlfn.IFNA(VLOOKUP($M200,[1]Buff.CM!$A:$O,13,FALSE),"")</f>
        <v>icon_battle_evasion</v>
      </c>
      <c r="O200" s="234" t="str">
        <f>_xlfn.IFNA(VLOOKUP($M200,[1]Buff.CM!$A:$O,14,FALSE),"")</f>
        <v>Buff.Name.Evasion.Down.02</v>
      </c>
      <c r="P200" s="234" t="str">
        <f>_xlfn.IFNA(VLOOKUP($M200,[1]Buff.CM!$A:$O,15,FALSE),"")</f>
        <v>Buff.Desc.Evasion.Down.02</v>
      </c>
      <c r="Q200" s="234" t="b">
        <v>0</v>
      </c>
      <c r="R200" s="234" t="b">
        <v>0</v>
      </c>
    </row>
    <row r="201" spans="1:18" x14ac:dyDescent="0.3">
      <c r="A201" s="234" t="s">
        <v>2552</v>
      </c>
      <c r="B201" s="234"/>
      <c r="C201" s="234"/>
      <c r="D201" s="234">
        <v>4000</v>
      </c>
      <c r="E201" s="234">
        <v>0</v>
      </c>
      <c r="F201" s="234">
        <v>0</v>
      </c>
      <c r="G201" s="243" t="s">
        <v>2301</v>
      </c>
      <c r="H201" s="234"/>
      <c r="I201" s="234" t="b">
        <v>0</v>
      </c>
      <c r="J201" s="234" t="b">
        <v>0</v>
      </c>
      <c r="K201" s="234" t="b">
        <v>0</v>
      </c>
      <c r="L201" s="157" t="s">
        <v>55</v>
      </c>
      <c r="M201" s="243" t="s">
        <v>2301</v>
      </c>
      <c r="N201" s="234" t="str">
        <f>_xlfn.IFNA(VLOOKUP($M201,[1]Buff.CM!$A:$O,13,FALSE),"")</f>
        <v>icon_battle_evasion</v>
      </c>
      <c r="O201" s="234" t="str">
        <f>_xlfn.IFNA(VLOOKUP($M201,[1]Buff.CM!$A:$O,14,FALSE),"")</f>
        <v>Buff.Name.Evasion.Down.02</v>
      </c>
      <c r="P201" s="234" t="str">
        <f>_xlfn.IFNA(VLOOKUP($M201,[1]Buff.CM!$A:$O,15,FALSE),"")</f>
        <v>Buff.Desc.Evasion.Down.02</v>
      </c>
      <c r="Q201" s="234" t="b">
        <v>0</v>
      </c>
      <c r="R201" s="234" t="b">
        <v>0</v>
      </c>
    </row>
    <row r="202" spans="1:18" x14ac:dyDescent="0.3">
      <c r="A202" s="234" t="s">
        <v>2553</v>
      </c>
      <c r="B202" s="234"/>
      <c r="C202" s="234"/>
      <c r="D202" s="234">
        <v>4000</v>
      </c>
      <c r="E202" s="234">
        <v>0</v>
      </c>
      <c r="F202" s="234">
        <v>0</v>
      </c>
      <c r="G202" s="243" t="s">
        <v>2302</v>
      </c>
      <c r="H202" s="234"/>
      <c r="I202" s="234" t="b">
        <v>0</v>
      </c>
      <c r="J202" s="234" t="b">
        <v>0</v>
      </c>
      <c r="K202" s="234" t="b">
        <v>0</v>
      </c>
      <c r="L202" s="157" t="s">
        <v>55</v>
      </c>
      <c r="M202" s="243" t="s">
        <v>2302</v>
      </c>
      <c r="N202" s="234" t="str">
        <f>_xlfn.IFNA(VLOOKUP($M202,[1]Buff.CM!$A:$O,13,FALSE),"")</f>
        <v>icon_battle_evasion</v>
      </c>
      <c r="O202" s="234" t="str">
        <f>_xlfn.IFNA(VLOOKUP($M202,[1]Buff.CM!$A:$O,14,FALSE),"")</f>
        <v>Buff.Name.Evasion.Down.03</v>
      </c>
      <c r="P202" s="234" t="str">
        <f>_xlfn.IFNA(VLOOKUP($M202,[1]Buff.CM!$A:$O,15,FALSE),"")</f>
        <v>Buff.Desc.Evasion.Down.03</v>
      </c>
      <c r="Q202" s="234" t="b">
        <v>0</v>
      </c>
      <c r="R202" s="234" t="b">
        <v>0</v>
      </c>
    </row>
    <row r="203" spans="1:18" x14ac:dyDescent="0.3">
      <c r="A203" s="232" t="s">
        <v>2554</v>
      </c>
      <c r="B203" s="232"/>
      <c r="C203" s="232"/>
      <c r="D203" s="232">
        <v>4000</v>
      </c>
      <c r="E203" s="232">
        <v>0</v>
      </c>
      <c r="F203" s="232">
        <v>0</v>
      </c>
      <c r="G203" s="238" t="s">
        <v>2302</v>
      </c>
      <c r="H203" s="232"/>
      <c r="I203" s="232" t="b">
        <v>0</v>
      </c>
      <c r="J203" s="232" t="b">
        <v>0</v>
      </c>
      <c r="K203" s="232" t="b">
        <v>0</v>
      </c>
      <c r="L203" s="157" t="s">
        <v>55</v>
      </c>
      <c r="M203" s="238" t="s">
        <v>2302</v>
      </c>
      <c r="N203" s="232" t="str">
        <f>_xlfn.IFNA(VLOOKUP($M203,[1]Buff.CM!$A:$O,13,FALSE),"")</f>
        <v>icon_battle_evasion</v>
      </c>
      <c r="O203" s="232" t="str">
        <f>_xlfn.IFNA(VLOOKUP($M203,[1]Buff.CM!$A:$O,14,FALSE),"")</f>
        <v>Buff.Name.Evasion.Down.03</v>
      </c>
      <c r="P203" s="232" t="str">
        <f>_xlfn.IFNA(VLOOKUP($M203,[1]Buff.CM!$A:$O,15,FALSE),"")</f>
        <v>Buff.Desc.Evasion.Down.03</v>
      </c>
      <c r="Q203" s="232" t="b">
        <v>0</v>
      </c>
      <c r="R203" s="232" t="b">
        <v>0</v>
      </c>
    </row>
    <row r="204" spans="1:18" x14ac:dyDescent="0.3">
      <c r="A204" s="232" t="s">
        <v>2555</v>
      </c>
      <c r="B204" s="232"/>
      <c r="C204" s="232"/>
      <c r="D204" s="232">
        <v>4000</v>
      </c>
      <c r="E204" s="232">
        <v>0</v>
      </c>
      <c r="F204" s="232">
        <v>0</v>
      </c>
      <c r="G204" s="238" t="s">
        <v>2303</v>
      </c>
      <c r="H204" s="232"/>
      <c r="I204" s="232" t="b">
        <v>0</v>
      </c>
      <c r="J204" s="232" t="b">
        <v>0</v>
      </c>
      <c r="K204" s="232" t="b">
        <v>0</v>
      </c>
      <c r="L204" s="157" t="s">
        <v>55</v>
      </c>
      <c r="M204" s="238" t="s">
        <v>2303</v>
      </c>
      <c r="N204" s="232" t="str">
        <f>_xlfn.IFNA(VLOOKUP($M204,[1]Buff.CM!$A:$O,13,FALSE),"")</f>
        <v>icon_battle_evasion</v>
      </c>
      <c r="O204" s="232" t="str">
        <f>_xlfn.IFNA(VLOOKUP($M204,[1]Buff.CM!$A:$O,14,FALSE),"")</f>
        <v>Buff.Name.Evasion.Down.04</v>
      </c>
      <c r="P204" s="232" t="str">
        <f>_xlfn.IFNA(VLOOKUP($M204,[1]Buff.CM!$A:$O,15,FALSE),"")</f>
        <v>Buff.Desc.Evasion.Down.04</v>
      </c>
      <c r="Q204" s="232" t="b">
        <v>0</v>
      </c>
      <c r="R204" s="232" t="b">
        <v>0</v>
      </c>
    </row>
    <row r="205" spans="1:18" x14ac:dyDescent="0.3">
      <c r="A205" s="232" t="s">
        <v>2556</v>
      </c>
      <c r="B205" s="232"/>
      <c r="C205" s="232"/>
      <c r="D205" s="232">
        <v>4000</v>
      </c>
      <c r="E205" s="232">
        <v>0</v>
      </c>
      <c r="F205" s="232">
        <v>0</v>
      </c>
      <c r="G205" s="238" t="s">
        <v>2303</v>
      </c>
      <c r="H205" s="232"/>
      <c r="I205" s="232" t="b">
        <v>0</v>
      </c>
      <c r="J205" s="232" t="b">
        <v>0</v>
      </c>
      <c r="K205" s="232" t="b">
        <v>0</v>
      </c>
      <c r="L205" s="157" t="s">
        <v>55</v>
      </c>
      <c r="M205" s="238" t="s">
        <v>2303</v>
      </c>
      <c r="N205" s="232" t="str">
        <f>_xlfn.IFNA(VLOOKUP($M205,[1]Buff.CM!$A:$O,13,FALSE),"")</f>
        <v>icon_battle_evasion</v>
      </c>
      <c r="O205" s="232" t="str">
        <f>_xlfn.IFNA(VLOOKUP($M205,[1]Buff.CM!$A:$O,14,FALSE),"")</f>
        <v>Buff.Name.Evasion.Down.04</v>
      </c>
      <c r="P205" s="232" t="str">
        <f>_xlfn.IFNA(VLOOKUP($M205,[1]Buff.CM!$A:$O,15,FALSE),"")</f>
        <v>Buff.Desc.Evasion.Down.04</v>
      </c>
      <c r="Q205" s="232" t="b">
        <v>0</v>
      </c>
      <c r="R205" s="232" t="b">
        <v>0</v>
      </c>
    </row>
    <row r="206" spans="1:18" x14ac:dyDescent="0.3">
      <c r="A206" s="234" t="s">
        <v>2557</v>
      </c>
      <c r="B206" s="234"/>
      <c r="C206" s="234"/>
      <c r="D206" s="234">
        <v>6000</v>
      </c>
      <c r="E206" s="234">
        <v>0</v>
      </c>
      <c r="F206" s="234">
        <v>0</v>
      </c>
      <c r="G206" s="234" t="s">
        <v>2295</v>
      </c>
      <c r="H206" s="234"/>
      <c r="I206" s="234" t="b">
        <v>0</v>
      </c>
      <c r="J206" s="234" t="b">
        <v>0</v>
      </c>
      <c r="K206" s="234" t="b">
        <v>1</v>
      </c>
      <c r="L206" s="234" t="s">
        <v>2296</v>
      </c>
      <c r="M206" s="234" t="s">
        <v>3479</v>
      </c>
      <c r="N206" s="234" t="str">
        <f>_xlfn.IFNA(VLOOKUP($M206,[1]Buff.CM!$A:$O,13,FALSE),"")</f>
        <v>icon_battle_attackspeed</v>
      </c>
      <c r="O206" s="234" t="str">
        <f>_xlfn.IFNA(VLOOKUP($M206,[1]Buff.CM!$A:$O,14,FALSE),"")</f>
        <v>Buff.Name.AtkSpeed.Up.01</v>
      </c>
      <c r="P206" s="234" t="str">
        <f>_xlfn.IFNA(VLOOKUP($M206,[1]Buff.CM!$A:$O,15,FALSE),"")</f>
        <v>Buff.Desc.AtkSpeed.Up.01</v>
      </c>
      <c r="Q206" s="234" t="b">
        <v>0</v>
      </c>
      <c r="R206" s="234" t="b">
        <v>0</v>
      </c>
    </row>
    <row r="207" spans="1:18" x14ac:dyDescent="0.3">
      <c r="A207" s="234" t="s">
        <v>2558</v>
      </c>
      <c r="B207" s="234"/>
      <c r="C207" s="234"/>
      <c r="D207" s="234">
        <v>6000</v>
      </c>
      <c r="E207" s="234">
        <v>0</v>
      </c>
      <c r="F207" s="234">
        <v>0</v>
      </c>
      <c r="G207" s="234" t="s">
        <v>2297</v>
      </c>
      <c r="H207" s="234"/>
      <c r="I207" s="234" t="b">
        <v>0</v>
      </c>
      <c r="J207" s="234" t="b">
        <v>0</v>
      </c>
      <c r="K207" s="234" t="b">
        <v>1</v>
      </c>
      <c r="L207" s="234" t="s">
        <v>2296</v>
      </c>
      <c r="M207" s="234" t="s">
        <v>3480</v>
      </c>
      <c r="N207" s="234" t="str">
        <f>_xlfn.IFNA(VLOOKUP($M207,[1]Buff.CM!$A:$O,13,FALSE),"")</f>
        <v>icon_battle_attackspeed</v>
      </c>
      <c r="O207" s="234" t="str">
        <f>_xlfn.IFNA(VLOOKUP($M207,[1]Buff.CM!$A:$O,14,FALSE),"")</f>
        <v>Buff.Name.AtkSpeed.Up.02</v>
      </c>
      <c r="P207" s="234" t="str">
        <f>_xlfn.IFNA(VLOOKUP($M207,[1]Buff.CM!$A:$O,15,FALSE),"")</f>
        <v>Buff.Desc.AtkSpeed.Up.02</v>
      </c>
      <c r="Q207" s="234" t="b">
        <v>0</v>
      </c>
      <c r="R207" s="234" t="b">
        <v>0</v>
      </c>
    </row>
    <row r="208" spans="1:18" x14ac:dyDescent="0.3">
      <c r="A208" s="234" t="s">
        <v>2559</v>
      </c>
      <c r="B208" s="234"/>
      <c r="C208" s="234"/>
      <c r="D208" s="234">
        <v>7000</v>
      </c>
      <c r="E208" s="234">
        <v>0</v>
      </c>
      <c r="F208" s="234">
        <v>0</v>
      </c>
      <c r="G208" s="234" t="s">
        <v>2297</v>
      </c>
      <c r="H208" s="234"/>
      <c r="I208" s="234" t="b">
        <v>0</v>
      </c>
      <c r="J208" s="234" t="b">
        <v>0</v>
      </c>
      <c r="K208" s="234" t="b">
        <v>1</v>
      </c>
      <c r="L208" s="234" t="s">
        <v>2296</v>
      </c>
      <c r="M208" s="234" t="s">
        <v>3480</v>
      </c>
      <c r="N208" s="234" t="str">
        <f>_xlfn.IFNA(VLOOKUP($M208,[1]Buff.CM!$A:$O,13,FALSE),"")</f>
        <v>icon_battle_attackspeed</v>
      </c>
      <c r="O208" s="234" t="str">
        <f>_xlfn.IFNA(VLOOKUP($M208,[1]Buff.CM!$A:$O,14,FALSE),"")</f>
        <v>Buff.Name.AtkSpeed.Up.02</v>
      </c>
      <c r="P208" s="234" t="str">
        <f>_xlfn.IFNA(VLOOKUP($M208,[1]Buff.CM!$A:$O,15,FALSE),"")</f>
        <v>Buff.Desc.AtkSpeed.Up.02</v>
      </c>
      <c r="Q208" s="234" t="b">
        <v>0</v>
      </c>
      <c r="R208" s="234" t="b">
        <v>0</v>
      </c>
    </row>
    <row r="209" spans="1:18" x14ac:dyDescent="0.3">
      <c r="A209" s="232" t="s">
        <v>2560</v>
      </c>
      <c r="B209" s="232"/>
      <c r="C209" s="232"/>
      <c r="D209" s="232">
        <v>7000</v>
      </c>
      <c r="E209" s="232">
        <v>0</v>
      </c>
      <c r="F209" s="232">
        <v>0</v>
      </c>
      <c r="G209" s="232" t="s">
        <v>2298</v>
      </c>
      <c r="H209" s="232"/>
      <c r="I209" s="232" t="b">
        <v>0</v>
      </c>
      <c r="J209" s="232" t="b">
        <v>0</v>
      </c>
      <c r="K209" s="232" t="b">
        <v>1</v>
      </c>
      <c r="L209" s="232" t="s">
        <v>2296</v>
      </c>
      <c r="M209" s="232" t="s">
        <v>3481</v>
      </c>
      <c r="N209" s="232" t="str">
        <f>_xlfn.IFNA(VLOOKUP($M209,[1]Buff.CM!$A:$O,13,FALSE),"")</f>
        <v>icon_battle_attackspeed</v>
      </c>
      <c r="O209" s="232" t="str">
        <f>_xlfn.IFNA(VLOOKUP($M209,[1]Buff.CM!$A:$O,14,FALSE),"")</f>
        <v>Buff.Name.AtkSpeed.Up.03</v>
      </c>
      <c r="P209" s="232" t="str">
        <f>_xlfn.IFNA(VLOOKUP($M209,[1]Buff.CM!$A:$O,15,FALSE),"")</f>
        <v>Buff.Desc.AtkSpeed.Up.03</v>
      </c>
      <c r="Q209" s="232" t="b">
        <v>0</v>
      </c>
      <c r="R209" s="232" t="b">
        <v>0</v>
      </c>
    </row>
    <row r="210" spans="1:18" x14ac:dyDescent="0.3">
      <c r="A210" s="232" t="s">
        <v>2561</v>
      </c>
      <c r="B210" s="232"/>
      <c r="C210" s="232"/>
      <c r="D210" s="232">
        <v>7000</v>
      </c>
      <c r="E210" s="232">
        <v>0</v>
      </c>
      <c r="F210" s="232">
        <v>0</v>
      </c>
      <c r="G210" s="232" t="s">
        <v>2298</v>
      </c>
      <c r="H210" s="232"/>
      <c r="I210" s="232" t="b">
        <v>0</v>
      </c>
      <c r="J210" s="232" t="b">
        <v>0</v>
      </c>
      <c r="K210" s="232" t="b">
        <v>1</v>
      </c>
      <c r="L210" s="232" t="s">
        <v>2296</v>
      </c>
      <c r="M210" s="232" t="s">
        <v>3481</v>
      </c>
      <c r="N210" s="232" t="str">
        <f>_xlfn.IFNA(VLOOKUP($M210,[1]Buff.CM!$A:$O,13,FALSE),"")</f>
        <v>icon_battle_attackspeed</v>
      </c>
      <c r="O210" s="232" t="str">
        <f>_xlfn.IFNA(VLOOKUP($M210,[1]Buff.CM!$A:$O,14,FALSE),"")</f>
        <v>Buff.Name.AtkSpeed.Up.03</v>
      </c>
      <c r="P210" s="232" t="str">
        <f>_xlfn.IFNA(VLOOKUP($M210,[1]Buff.CM!$A:$O,15,FALSE),"")</f>
        <v>Buff.Desc.AtkSpeed.Up.03</v>
      </c>
      <c r="Q210" s="232" t="b">
        <v>0</v>
      </c>
      <c r="R210" s="232" t="b">
        <v>0</v>
      </c>
    </row>
    <row r="211" spans="1:18" x14ac:dyDescent="0.3">
      <c r="A211" s="232" t="s">
        <v>2562</v>
      </c>
      <c r="B211" s="232"/>
      <c r="C211" s="232"/>
      <c r="D211" s="232">
        <v>7000</v>
      </c>
      <c r="E211" s="232">
        <v>0</v>
      </c>
      <c r="F211" s="232">
        <v>0</v>
      </c>
      <c r="G211" s="232" t="s">
        <v>2298</v>
      </c>
      <c r="H211" s="232"/>
      <c r="I211" s="232" t="b">
        <v>0</v>
      </c>
      <c r="J211" s="232" t="b">
        <v>0</v>
      </c>
      <c r="K211" s="232" t="b">
        <v>1</v>
      </c>
      <c r="L211" s="232" t="s">
        <v>2296</v>
      </c>
      <c r="M211" s="232" t="s">
        <v>3481</v>
      </c>
      <c r="N211" s="232" t="str">
        <f>_xlfn.IFNA(VLOOKUP($M211,[1]Buff.CM!$A:$O,13,FALSE),"")</f>
        <v>icon_battle_attackspeed</v>
      </c>
      <c r="O211" s="232" t="str">
        <f>_xlfn.IFNA(VLOOKUP($M211,[1]Buff.CM!$A:$O,14,FALSE),"")</f>
        <v>Buff.Name.AtkSpeed.Up.03</v>
      </c>
      <c r="P211" s="232" t="str">
        <f>_xlfn.IFNA(VLOOKUP($M211,[1]Buff.CM!$A:$O,15,FALSE),"")</f>
        <v>Buff.Desc.AtkSpeed.Up.03</v>
      </c>
      <c r="Q211" s="232" t="b">
        <v>0</v>
      </c>
      <c r="R211" s="232" t="b">
        <v>0</v>
      </c>
    </row>
    <row r="212" spans="1:18" x14ac:dyDescent="0.3">
      <c r="A212" s="234" t="s">
        <v>2563</v>
      </c>
      <c r="B212" s="234"/>
      <c r="C212" s="234"/>
      <c r="D212" s="234">
        <v>6000</v>
      </c>
      <c r="E212" s="234">
        <v>0</v>
      </c>
      <c r="F212" s="234">
        <v>0</v>
      </c>
      <c r="G212" s="234" t="s">
        <v>2297</v>
      </c>
      <c r="H212" s="234"/>
      <c r="I212" s="234" t="b">
        <v>0</v>
      </c>
      <c r="J212" s="234" t="b">
        <v>0</v>
      </c>
      <c r="K212" s="234" t="b">
        <v>1</v>
      </c>
      <c r="L212" s="234" t="s">
        <v>2296</v>
      </c>
      <c r="M212" s="234" t="s">
        <v>3480</v>
      </c>
      <c r="N212" s="234" t="str">
        <f>_xlfn.IFNA(VLOOKUP($M212,[1]Buff.CM!$A:$O,13,FALSE),"")</f>
        <v>icon_battle_attackspeed</v>
      </c>
      <c r="O212" s="234" t="str">
        <f>_xlfn.IFNA(VLOOKUP($M212,[1]Buff.CM!$A:$O,14,FALSE),"")</f>
        <v>Buff.Name.AtkSpeed.Up.02</v>
      </c>
      <c r="P212" s="234" t="str">
        <f>_xlfn.IFNA(VLOOKUP($M212,[1]Buff.CM!$A:$O,15,FALSE),"")</f>
        <v>Buff.Desc.AtkSpeed.Up.02</v>
      </c>
      <c r="Q212" s="234" t="b">
        <v>0</v>
      </c>
      <c r="R212" s="234" t="b">
        <v>0</v>
      </c>
    </row>
    <row r="213" spans="1:18" x14ac:dyDescent="0.3">
      <c r="A213" s="234" t="s">
        <v>2564</v>
      </c>
      <c r="B213" s="234"/>
      <c r="C213" s="234"/>
      <c r="D213" s="234">
        <v>6000</v>
      </c>
      <c r="E213" s="234">
        <v>0</v>
      </c>
      <c r="F213" s="234">
        <v>0</v>
      </c>
      <c r="G213" s="234" t="s">
        <v>2298</v>
      </c>
      <c r="H213" s="234"/>
      <c r="I213" s="234" t="b">
        <v>0</v>
      </c>
      <c r="J213" s="234" t="b">
        <v>0</v>
      </c>
      <c r="K213" s="234" t="b">
        <v>1</v>
      </c>
      <c r="L213" s="234" t="s">
        <v>2296</v>
      </c>
      <c r="M213" s="234" t="s">
        <v>3481</v>
      </c>
      <c r="N213" s="234" t="str">
        <f>_xlfn.IFNA(VLOOKUP($M213,[1]Buff.CM!$A:$O,13,FALSE),"")</f>
        <v>icon_battle_attackspeed</v>
      </c>
      <c r="O213" s="234" t="str">
        <f>_xlfn.IFNA(VLOOKUP($M213,[1]Buff.CM!$A:$O,14,FALSE),"")</f>
        <v>Buff.Name.AtkSpeed.Up.03</v>
      </c>
      <c r="P213" s="234" t="str">
        <f>_xlfn.IFNA(VLOOKUP($M213,[1]Buff.CM!$A:$O,15,FALSE),"")</f>
        <v>Buff.Desc.AtkSpeed.Up.03</v>
      </c>
      <c r="Q213" s="234" t="b">
        <v>0</v>
      </c>
      <c r="R213" s="234" t="b">
        <v>0</v>
      </c>
    </row>
    <row r="214" spans="1:18" x14ac:dyDescent="0.3">
      <c r="A214" s="234" t="s">
        <v>2565</v>
      </c>
      <c r="B214" s="234"/>
      <c r="C214" s="234"/>
      <c r="D214" s="234">
        <v>7000</v>
      </c>
      <c r="E214" s="234">
        <v>0</v>
      </c>
      <c r="F214" s="234">
        <v>0</v>
      </c>
      <c r="G214" s="234" t="s">
        <v>2298</v>
      </c>
      <c r="H214" s="234"/>
      <c r="I214" s="234" t="b">
        <v>0</v>
      </c>
      <c r="J214" s="234" t="b">
        <v>0</v>
      </c>
      <c r="K214" s="234" t="b">
        <v>1</v>
      </c>
      <c r="L214" s="234" t="s">
        <v>2296</v>
      </c>
      <c r="M214" s="234" t="s">
        <v>3481</v>
      </c>
      <c r="N214" s="234" t="str">
        <f>_xlfn.IFNA(VLOOKUP($M214,[1]Buff.CM!$A:$O,13,FALSE),"")</f>
        <v>icon_battle_attackspeed</v>
      </c>
      <c r="O214" s="234" t="str">
        <f>_xlfn.IFNA(VLOOKUP($M214,[1]Buff.CM!$A:$O,14,FALSE),"")</f>
        <v>Buff.Name.AtkSpeed.Up.03</v>
      </c>
      <c r="P214" s="234" t="str">
        <f>_xlfn.IFNA(VLOOKUP($M214,[1]Buff.CM!$A:$O,15,FALSE),"")</f>
        <v>Buff.Desc.AtkSpeed.Up.03</v>
      </c>
      <c r="Q214" s="234" t="b">
        <v>0</v>
      </c>
      <c r="R214" s="234" t="b">
        <v>0</v>
      </c>
    </row>
    <row r="215" spans="1:18" x14ac:dyDescent="0.3">
      <c r="A215" s="232" t="s">
        <v>2566</v>
      </c>
      <c r="B215" s="232"/>
      <c r="C215" s="232"/>
      <c r="D215" s="232">
        <v>7000</v>
      </c>
      <c r="E215" s="232">
        <v>0</v>
      </c>
      <c r="F215" s="232">
        <v>0</v>
      </c>
      <c r="G215" s="232" t="s">
        <v>2299</v>
      </c>
      <c r="H215" s="232"/>
      <c r="I215" s="232" t="b">
        <v>0</v>
      </c>
      <c r="J215" s="232" t="b">
        <v>0</v>
      </c>
      <c r="K215" s="232" t="b">
        <v>1</v>
      </c>
      <c r="L215" s="232" t="s">
        <v>2296</v>
      </c>
      <c r="M215" s="232" t="s">
        <v>3482</v>
      </c>
      <c r="N215" s="232" t="str">
        <f>_xlfn.IFNA(VLOOKUP($M215,[1]Buff.CM!$A:$O,13,FALSE),"")</f>
        <v>icon_battle_attackspeed</v>
      </c>
      <c r="O215" s="232" t="str">
        <f>_xlfn.IFNA(VLOOKUP($M215,[1]Buff.CM!$A:$O,14,FALSE),"")</f>
        <v>Buff.Name.AtkSpeed.Up.04</v>
      </c>
      <c r="P215" s="232" t="str">
        <f>_xlfn.IFNA(VLOOKUP($M215,[1]Buff.CM!$A:$O,15,FALSE),"")</f>
        <v>Buff.Desc.AtkSpeed.Up.04</v>
      </c>
      <c r="Q215" s="232" t="b">
        <v>0</v>
      </c>
      <c r="R215" s="232" t="b">
        <v>0</v>
      </c>
    </row>
    <row r="216" spans="1:18" x14ac:dyDescent="0.3">
      <c r="A216" s="232" t="s">
        <v>2567</v>
      </c>
      <c r="B216" s="232"/>
      <c r="C216" s="232"/>
      <c r="D216" s="232">
        <v>7000</v>
      </c>
      <c r="E216" s="232">
        <v>0</v>
      </c>
      <c r="F216" s="232">
        <v>0</v>
      </c>
      <c r="G216" s="232" t="s">
        <v>2299</v>
      </c>
      <c r="H216" s="232"/>
      <c r="I216" s="232" t="b">
        <v>0</v>
      </c>
      <c r="J216" s="232" t="b">
        <v>0</v>
      </c>
      <c r="K216" s="232" t="b">
        <v>1</v>
      </c>
      <c r="L216" s="232" t="s">
        <v>2296</v>
      </c>
      <c r="M216" s="232" t="s">
        <v>3482</v>
      </c>
      <c r="N216" s="232" t="str">
        <f>_xlfn.IFNA(VLOOKUP($M216,[1]Buff.CM!$A:$O,13,FALSE),"")</f>
        <v>icon_battle_attackspeed</v>
      </c>
      <c r="O216" s="232" t="str">
        <f>_xlfn.IFNA(VLOOKUP($M216,[1]Buff.CM!$A:$O,14,FALSE),"")</f>
        <v>Buff.Name.AtkSpeed.Up.04</v>
      </c>
      <c r="P216" s="232" t="str">
        <f>_xlfn.IFNA(VLOOKUP($M216,[1]Buff.CM!$A:$O,15,FALSE),"")</f>
        <v>Buff.Desc.AtkSpeed.Up.04</v>
      </c>
      <c r="Q216" s="232" t="b">
        <v>0</v>
      </c>
      <c r="R216" s="232" t="b">
        <v>0</v>
      </c>
    </row>
    <row r="217" spans="1:18" x14ac:dyDescent="0.3">
      <c r="A217" s="232" t="s">
        <v>2568</v>
      </c>
      <c r="B217" s="232"/>
      <c r="C217" s="232"/>
      <c r="D217" s="232">
        <v>7000</v>
      </c>
      <c r="E217" s="232">
        <v>0</v>
      </c>
      <c r="F217" s="232">
        <v>0</v>
      </c>
      <c r="G217" s="232" t="s">
        <v>2299</v>
      </c>
      <c r="H217" s="232"/>
      <c r="I217" s="232" t="b">
        <v>0</v>
      </c>
      <c r="J217" s="232" t="b">
        <v>0</v>
      </c>
      <c r="K217" s="232" t="b">
        <v>1</v>
      </c>
      <c r="L217" s="232" t="s">
        <v>2296</v>
      </c>
      <c r="M217" s="232" t="s">
        <v>3482</v>
      </c>
      <c r="N217" s="232" t="str">
        <f>_xlfn.IFNA(VLOOKUP($M217,[1]Buff.CM!$A:$O,13,FALSE),"")</f>
        <v>icon_battle_attackspeed</v>
      </c>
      <c r="O217" s="232" t="str">
        <f>_xlfn.IFNA(VLOOKUP($M217,[1]Buff.CM!$A:$O,14,FALSE),"")</f>
        <v>Buff.Name.AtkSpeed.Up.04</v>
      </c>
      <c r="P217" s="232" t="str">
        <f>_xlfn.IFNA(VLOOKUP($M217,[1]Buff.CM!$A:$O,15,FALSE),"")</f>
        <v>Buff.Desc.AtkSpeed.Up.04</v>
      </c>
      <c r="Q217" s="232" t="b">
        <v>0</v>
      </c>
      <c r="R217" s="232" t="b">
        <v>0</v>
      </c>
    </row>
    <row r="218" spans="1:18" ht="49.5" x14ac:dyDescent="0.3">
      <c r="A218" s="233" t="s">
        <v>2569</v>
      </c>
      <c r="B218" s="233"/>
      <c r="C218" s="233"/>
      <c r="D218" s="233">
        <v>0</v>
      </c>
      <c r="E218" s="233">
        <v>0</v>
      </c>
      <c r="F218" s="233">
        <v>0</v>
      </c>
      <c r="G218" s="237" t="s">
        <v>2570</v>
      </c>
      <c r="H218" s="233"/>
      <c r="I218" s="233" t="b">
        <v>0</v>
      </c>
      <c r="J218" s="157" t="b">
        <v>1</v>
      </c>
      <c r="K218" s="233" t="b">
        <v>1</v>
      </c>
      <c r="L218" s="233"/>
      <c r="M218" s="233"/>
      <c r="N218" s="233" t="str">
        <f>_xlfn.IFNA(VLOOKUP($M218,[1]Buff.CM!$A:$O,13,FALSE),"")</f>
        <v/>
      </c>
      <c r="O218" s="233" t="str">
        <f>_xlfn.IFNA(VLOOKUP($M218,[1]Buff.CM!$A:$O,14,FALSE),"")</f>
        <v/>
      </c>
      <c r="P218" s="233" t="str">
        <f>_xlfn.IFNA(VLOOKUP($M218,[1]Buff.CM!$A:$O,15,FALSE),"")</f>
        <v/>
      </c>
      <c r="Q218" s="232" t="b">
        <v>0</v>
      </c>
      <c r="R218" s="233" t="b">
        <v>0</v>
      </c>
    </row>
    <row r="219" spans="1:18" ht="49.5" x14ac:dyDescent="0.3">
      <c r="A219" s="233" t="s">
        <v>2571</v>
      </c>
      <c r="B219" s="233"/>
      <c r="C219" s="233"/>
      <c r="D219" s="233">
        <v>0</v>
      </c>
      <c r="E219" s="233">
        <v>0</v>
      </c>
      <c r="F219" s="233">
        <v>0</v>
      </c>
      <c r="G219" s="237" t="s">
        <v>2572</v>
      </c>
      <c r="H219" s="233"/>
      <c r="I219" s="233" t="b">
        <v>0</v>
      </c>
      <c r="J219" s="157" t="b">
        <v>1</v>
      </c>
      <c r="K219" s="233" t="b">
        <v>1</v>
      </c>
      <c r="L219" s="233"/>
      <c r="M219" s="233"/>
      <c r="N219" s="233" t="str">
        <f>_xlfn.IFNA(VLOOKUP($M219,[1]Buff.CM!$A:$O,13,FALSE),"")</f>
        <v/>
      </c>
      <c r="O219" s="233" t="str">
        <f>_xlfn.IFNA(VLOOKUP($M219,[1]Buff.CM!$A:$O,14,FALSE),"")</f>
        <v/>
      </c>
      <c r="P219" s="233" t="str">
        <f>_xlfn.IFNA(VLOOKUP($M219,[1]Buff.CM!$A:$O,15,FALSE),"")</f>
        <v/>
      </c>
      <c r="Q219" s="232" t="b">
        <v>0</v>
      </c>
      <c r="R219" s="233" t="b">
        <v>0</v>
      </c>
    </row>
    <row r="220" spans="1:18" ht="49.5" x14ac:dyDescent="0.3">
      <c r="A220" s="233" t="s">
        <v>2573</v>
      </c>
      <c r="B220" s="233"/>
      <c r="C220" s="233"/>
      <c r="D220" s="233">
        <v>0</v>
      </c>
      <c r="E220" s="233">
        <v>0</v>
      </c>
      <c r="F220" s="233">
        <v>0</v>
      </c>
      <c r="G220" s="237" t="s">
        <v>2574</v>
      </c>
      <c r="H220" s="233"/>
      <c r="I220" s="233" t="b">
        <v>0</v>
      </c>
      <c r="J220" s="157" t="b">
        <v>1</v>
      </c>
      <c r="K220" s="233" t="b">
        <v>1</v>
      </c>
      <c r="L220" s="233"/>
      <c r="M220" s="233"/>
      <c r="N220" s="233" t="str">
        <f>_xlfn.IFNA(VLOOKUP($M220,[1]Buff.CM!$A:$O,13,FALSE),"")</f>
        <v/>
      </c>
      <c r="O220" s="233" t="str">
        <f>_xlfn.IFNA(VLOOKUP($M220,[1]Buff.CM!$A:$O,14,FALSE),"")</f>
        <v/>
      </c>
      <c r="P220" s="233" t="str">
        <f>_xlfn.IFNA(VLOOKUP($M220,[1]Buff.CM!$A:$O,15,FALSE),"")</f>
        <v/>
      </c>
      <c r="Q220" s="232" t="b">
        <v>0</v>
      </c>
      <c r="R220" s="233" t="b">
        <v>0</v>
      </c>
    </row>
    <row r="221" spans="1:18" ht="49.5" x14ac:dyDescent="0.3">
      <c r="A221" s="232" t="s">
        <v>2575</v>
      </c>
      <c r="B221" s="232"/>
      <c r="C221" s="232"/>
      <c r="D221" s="232">
        <v>0</v>
      </c>
      <c r="E221" s="232">
        <v>0</v>
      </c>
      <c r="F221" s="232">
        <v>0</v>
      </c>
      <c r="G221" s="238" t="s">
        <v>2576</v>
      </c>
      <c r="H221" s="232"/>
      <c r="I221" s="232" t="b">
        <v>0</v>
      </c>
      <c r="J221" s="157" t="b">
        <v>1</v>
      </c>
      <c r="K221" s="232" t="b">
        <v>1</v>
      </c>
      <c r="L221" s="232"/>
      <c r="M221" s="232"/>
      <c r="N221" s="232" t="str">
        <f>_xlfn.IFNA(VLOOKUP($M221,[1]Buff.CM!$A:$O,13,FALSE),"")</f>
        <v/>
      </c>
      <c r="O221" s="232" t="str">
        <f>_xlfn.IFNA(VLOOKUP($M221,[1]Buff.CM!$A:$O,14,FALSE),"")</f>
        <v/>
      </c>
      <c r="P221" s="232" t="str">
        <f>_xlfn.IFNA(VLOOKUP($M221,[1]Buff.CM!$A:$O,15,FALSE),"")</f>
        <v/>
      </c>
      <c r="Q221" s="232" t="b">
        <v>0</v>
      </c>
      <c r="R221" s="232" t="b">
        <v>0</v>
      </c>
    </row>
    <row r="222" spans="1:18" ht="49.5" x14ac:dyDescent="0.3">
      <c r="A222" s="232" t="s">
        <v>2577</v>
      </c>
      <c r="B222" s="232"/>
      <c r="C222" s="232"/>
      <c r="D222" s="232">
        <v>0</v>
      </c>
      <c r="E222" s="232">
        <v>0</v>
      </c>
      <c r="F222" s="232">
        <v>0</v>
      </c>
      <c r="G222" s="238" t="s">
        <v>2578</v>
      </c>
      <c r="H222" s="232"/>
      <c r="I222" s="232" t="b">
        <v>0</v>
      </c>
      <c r="J222" s="157" t="b">
        <v>1</v>
      </c>
      <c r="K222" s="232" t="b">
        <v>1</v>
      </c>
      <c r="L222" s="232"/>
      <c r="M222" s="232"/>
      <c r="N222" s="232" t="str">
        <f>_xlfn.IFNA(VLOOKUP($M222,[1]Buff.CM!$A:$O,13,FALSE),"")</f>
        <v/>
      </c>
      <c r="O222" s="232" t="str">
        <f>_xlfn.IFNA(VLOOKUP($M222,[1]Buff.CM!$A:$O,14,FALSE),"")</f>
        <v/>
      </c>
      <c r="P222" s="232" t="str">
        <f>_xlfn.IFNA(VLOOKUP($M222,[1]Buff.CM!$A:$O,15,FALSE),"")</f>
        <v/>
      </c>
      <c r="Q222" s="232" t="b">
        <v>0</v>
      </c>
      <c r="R222" s="232" t="b">
        <v>0</v>
      </c>
    </row>
    <row r="223" spans="1:18" ht="49.5" x14ac:dyDescent="0.3">
      <c r="A223" s="232" t="s">
        <v>2579</v>
      </c>
      <c r="B223" s="232"/>
      <c r="C223" s="232"/>
      <c r="D223" s="232">
        <v>0</v>
      </c>
      <c r="E223" s="232">
        <v>0</v>
      </c>
      <c r="F223" s="232">
        <v>0</v>
      </c>
      <c r="G223" s="238" t="s">
        <v>2580</v>
      </c>
      <c r="H223" s="232"/>
      <c r="I223" s="232" t="b">
        <v>0</v>
      </c>
      <c r="J223" s="157" t="b">
        <v>1</v>
      </c>
      <c r="K223" s="232" t="b">
        <v>1</v>
      </c>
      <c r="L223" s="232"/>
      <c r="M223" s="232"/>
      <c r="N223" s="232" t="str">
        <f>_xlfn.IFNA(VLOOKUP($M223,[1]Buff.CM!$A:$O,13,FALSE),"")</f>
        <v/>
      </c>
      <c r="O223" s="232" t="str">
        <f>_xlfn.IFNA(VLOOKUP($M223,[1]Buff.CM!$A:$O,14,FALSE),"")</f>
        <v/>
      </c>
      <c r="P223" s="232" t="str">
        <f>_xlfn.IFNA(VLOOKUP($M223,[1]Buff.CM!$A:$O,15,FALSE),"")</f>
        <v/>
      </c>
      <c r="Q223" s="232" t="b">
        <v>0</v>
      </c>
      <c r="R223" s="232" t="b">
        <v>0</v>
      </c>
    </row>
    <row r="224" spans="1:18" x14ac:dyDescent="0.3">
      <c r="A224" s="234" t="s">
        <v>2581</v>
      </c>
      <c r="B224" s="234"/>
      <c r="C224" s="234"/>
      <c r="D224" s="234">
        <v>0</v>
      </c>
      <c r="E224" s="234">
        <v>0</v>
      </c>
      <c r="F224" s="234">
        <v>0</v>
      </c>
      <c r="G224" s="234" t="s">
        <v>2582</v>
      </c>
      <c r="H224" s="234"/>
      <c r="I224" s="234" t="b">
        <v>0</v>
      </c>
      <c r="J224" s="157" t="b">
        <v>1</v>
      </c>
      <c r="K224" s="234" t="b">
        <v>1</v>
      </c>
      <c r="L224" s="234"/>
      <c r="M224" s="234"/>
      <c r="N224" s="234" t="str">
        <f>_xlfn.IFNA(VLOOKUP($M224,[1]Buff.CM!$A:$O,13,FALSE),"")</f>
        <v/>
      </c>
      <c r="O224" s="234" t="str">
        <f>_xlfn.IFNA(VLOOKUP($M224,[1]Buff.CM!$A:$O,14,FALSE),"")</f>
        <v/>
      </c>
      <c r="P224" s="234" t="str">
        <f>_xlfn.IFNA(VLOOKUP($M224,[1]Buff.CM!$A:$O,15,FALSE),"")</f>
        <v/>
      </c>
      <c r="Q224" s="234" t="b">
        <v>0</v>
      </c>
      <c r="R224" s="234" t="b">
        <v>0</v>
      </c>
    </row>
    <row r="225" spans="1:18" x14ac:dyDescent="0.3">
      <c r="A225" s="234" t="s">
        <v>2583</v>
      </c>
      <c r="B225" s="234"/>
      <c r="C225" s="234"/>
      <c r="D225" s="234">
        <v>0</v>
      </c>
      <c r="E225" s="234">
        <v>0</v>
      </c>
      <c r="F225" s="234">
        <v>0</v>
      </c>
      <c r="G225" s="234" t="s">
        <v>2584</v>
      </c>
      <c r="H225" s="234"/>
      <c r="I225" s="234" t="b">
        <v>0</v>
      </c>
      <c r="J225" s="157" t="b">
        <v>1</v>
      </c>
      <c r="K225" s="234" t="b">
        <v>1</v>
      </c>
      <c r="L225" s="234"/>
      <c r="M225" s="234"/>
      <c r="N225" s="234" t="str">
        <f>_xlfn.IFNA(VLOOKUP($M225,[1]Buff.CM!$A:$O,13,FALSE),"")</f>
        <v/>
      </c>
      <c r="O225" s="234" t="str">
        <f>_xlfn.IFNA(VLOOKUP($M225,[1]Buff.CM!$A:$O,14,FALSE),"")</f>
        <v/>
      </c>
      <c r="P225" s="234" t="str">
        <f>_xlfn.IFNA(VLOOKUP($M225,[1]Buff.CM!$A:$O,15,FALSE),"")</f>
        <v/>
      </c>
      <c r="Q225" s="234" t="b">
        <v>0</v>
      </c>
      <c r="R225" s="234" t="b">
        <v>0</v>
      </c>
    </row>
    <row r="226" spans="1:18" x14ac:dyDescent="0.3">
      <c r="A226" s="234" t="s">
        <v>2585</v>
      </c>
      <c r="B226" s="234"/>
      <c r="C226" s="234"/>
      <c r="D226" s="234">
        <v>0</v>
      </c>
      <c r="E226" s="234">
        <v>0</v>
      </c>
      <c r="F226" s="234">
        <v>0</v>
      </c>
      <c r="G226" s="234" t="s">
        <v>2586</v>
      </c>
      <c r="H226" s="234"/>
      <c r="I226" s="234" t="b">
        <v>0</v>
      </c>
      <c r="J226" s="157" t="b">
        <v>1</v>
      </c>
      <c r="K226" s="234" t="b">
        <v>1</v>
      </c>
      <c r="L226" s="234"/>
      <c r="M226" s="234"/>
      <c r="N226" s="234" t="str">
        <f>_xlfn.IFNA(VLOOKUP($M226,[1]Buff.CM!$A:$O,13,FALSE),"")</f>
        <v/>
      </c>
      <c r="O226" s="234" t="str">
        <f>_xlfn.IFNA(VLOOKUP($M226,[1]Buff.CM!$A:$O,14,FALSE),"")</f>
        <v/>
      </c>
      <c r="P226" s="234" t="str">
        <f>_xlfn.IFNA(VLOOKUP($M226,[1]Buff.CM!$A:$O,15,FALSE),"")</f>
        <v/>
      </c>
      <c r="Q226" s="234" t="b">
        <v>0</v>
      </c>
      <c r="R226" s="234" t="b">
        <v>0</v>
      </c>
    </row>
    <row r="227" spans="1:18" x14ac:dyDescent="0.3">
      <c r="A227" s="233" t="s">
        <v>2587</v>
      </c>
      <c r="B227" s="233"/>
      <c r="C227" s="233"/>
      <c r="D227" s="233">
        <v>0</v>
      </c>
      <c r="E227" s="233">
        <v>0</v>
      </c>
      <c r="F227" s="233">
        <v>0</v>
      </c>
      <c r="G227" s="233" t="s">
        <v>2588</v>
      </c>
      <c r="H227" s="233"/>
      <c r="I227" s="233" t="b">
        <v>0</v>
      </c>
      <c r="J227" s="157" t="b">
        <v>1</v>
      </c>
      <c r="K227" s="233" t="b">
        <v>1</v>
      </c>
      <c r="L227" s="233"/>
      <c r="M227" s="233"/>
      <c r="N227" s="233" t="str">
        <f>_xlfn.IFNA(VLOOKUP($M227,[1]Buff.CM!$A:$O,13,FALSE),"")</f>
        <v/>
      </c>
      <c r="O227" s="233" t="str">
        <f>_xlfn.IFNA(VLOOKUP($M227,[1]Buff.CM!$A:$O,14,FALSE),"")</f>
        <v/>
      </c>
      <c r="P227" s="233" t="str">
        <f>_xlfn.IFNA(VLOOKUP($M227,[1]Buff.CM!$A:$O,15,FALSE),"")</f>
        <v/>
      </c>
      <c r="Q227" s="233" t="b">
        <v>0</v>
      </c>
      <c r="R227" s="233" t="b">
        <v>0</v>
      </c>
    </row>
    <row r="228" spans="1:18" x14ac:dyDescent="0.3">
      <c r="A228" s="233" t="s">
        <v>2589</v>
      </c>
      <c r="B228" s="233"/>
      <c r="C228" s="233"/>
      <c r="D228" s="233">
        <v>0</v>
      </c>
      <c r="E228" s="233">
        <v>0</v>
      </c>
      <c r="F228" s="233">
        <v>0</v>
      </c>
      <c r="G228" s="233" t="s">
        <v>2590</v>
      </c>
      <c r="H228" s="233"/>
      <c r="I228" s="233" t="b">
        <v>0</v>
      </c>
      <c r="J228" s="157" t="b">
        <v>1</v>
      </c>
      <c r="K228" s="233" t="b">
        <v>1</v>
      </c>
      <c r="L228" s="233"/>
      <c r="M228" s="233"/>
      <c r="N228" s="233" t="str">
        <f>_xlfn.IFNA(VLOOKUP($M228,[1]Buff.CM!$A:$O,13,FALSE),"")</f>
        <v/>
      </c>
      <c r="O228" s="233" t="str">
        <f>_xlfn.IFNA(VLOOKUP($M228,[1]Buff.CM!$A:$O,14,FALSE),"")</f>
        <v/>
      </c>
      <c r="P228" s="233" t="str">
        <f>_xlfn.IFNA(VLOOKUP($M228,[1]Buff.CM!$A:$O,15,FALSE),"")</f>
        <v/>
      </c>
      <c r="Q228" s="233" t="b">
        <v>0</v>
      </c>
      <c r="R228" s="233" t="b">
        <v>0</v>
      </c>
    </row>
    <row r="229" spans="1:18" x14ac:dyDescent="0.3">
      <c r="A229" s="233" t="s">
        <v>2591</v>
      </c>
      <c r="B229" s="233"/>
      <c r="C229" s="233"/>
      <c r="D229" s="233">
        <v>0</v>
      </c>
      <c r="E229" s="233">
        <v>0</v>
      </c>
      <c r="F229" s="233">
        <v>0</v>
      </c>
      <c r="G229" s="233" t="s">
        <v>2592</v>
      </c>
      <c r="H229" s="233"/>
      <c r="I229" s="233" t="b">
        <v>0</v>
      </c>
      <c r="J229" s="157" t="b">
        <v>1</v>
      </c>
      <c r="K229" s="233" t="b">
        <v>1</v>
      </c>
      <c r="L229" s="233"/>
      <c r="M229" s="233"/>
      <c r="N229" s="233" t="str">
        <f>_xlfn.IFNA(VLOOKUP($M229,[1]Buff.CM!$A:$O,13,FALSE),"")</f>
        <v/>
      </c>
      <c r="O229" s="233" t="str">
        <f>_xlfn.IFNA(VLOOKUP($M229,[1]Buff.CM!$A:$O,14,FALSE),"")</f>
        <v/>
      </c>
      <c r="P229" s="233" t="str">
        <f>_xlfn.IFNA(VLOOKUP($M229,[1]Buff.CM!$A:$O,15,FALSE),"")</f>
        <v/>
      </c>
      <c r="Q229" s="233" t="b">
        <v>0</v>
      </c>
      <c r="R229" s="233" t="b">
        <v>0</v>
      </c>
    </row>
    <row r="230" spans="1:18" x14ac:dyDescent="0.3">
      <c r="A230" s="234" t="s">
        <v>2593</v>
      </c>
      <c r="B230" s="234"/>
      <c r="C230" s="234"/>
      <c r="D230" s="234">
        <v>0</v>
      </c>
      <c r="E230" s="234">
        <v>0</v>
      </c>
      <c r="F230" s="234">
        <v>0</v>
      </c>
      <c r="G230" s="234" t="s">
        <v>2594</v>
      </c>
      <c r="H230" s="234"/>
      <c r="I230" s="234" t="b">
        <v>0</v>
      </c>
      <c r="J230" s="157" t="b">
        <v>1</v>
      </c>
      <c r="K230" s="234" t="b">
        <v>1</v>
      </c>
      <c r="L230" s="234"/>
      <c r="M230" s="234"/>
      <c r="N230" s="234" t="str">
        <f>_xlfn.IFNA(VLOOKUP($M230,[1]Buff.CM!$A:$O,13,FALSE),"")</f>
        <v/>
      </c>
      <c r="O230" s="234" t="str">
        <f>_xlfn.IFNA(VLOOKUP($M230,[1]Buff.CM!$A:$O,14,FALSE),"")</f>
        <v/>
      </c>
      <c r="P230" s="234" t="str">
        <f>_xlfn.IFNA(VLOOKUP($M230,[1]Buff.CM!$A:$O,15,FALSE),"")</f>
        <v/>
      </c>
      <c r="Q230" s="234" t="b">
        <v>0</v>
      </c>
      <c r="R230" s="234" t="b">
        <v>0</v>
      </c>
    </row>
    <row r="231" spans="1:18" x14ac:dyDescent="0.3">
      <c r="A231" s="234" t="s">
        <v>2595</v>
      </c>
      <c r="B231" s="234"/>
      <c r="C231" s="234"/>
      <c r="D231" s="234">
        <v>0</v>
      </c>
      <c r="E231" s="234">
        <v>0</v>
      </c>
      <c r="F231" s="234">
        <v>0</v>
      </c>
      <c r="G231" s="234" t="s">
        <v>2596</v>
      </c>
      <c r="H231" s="234"/>
      <c r="I231" s="234" t="b">
        <v>0</v>
      </c>
      <c r="J231" s="157" t="b">
        <v>1</v>
      </c>
      <c r="K231" s="234" t="b">
        <v>1</v>
      </c>
      <c r="L231" s="234"/>
      <c r="M231" s="234"/>
      <c r="N231" s="234" t="str">
        <f>_xlfn.IFNA(VLOOKUP($M231,[1]Buff.CM!$A:$O,13,FALSE),"")</f>
        <v/>
      </c>
      <c r="O231" s="234" t="str">
        <f>_xlfn.IFNA(VLOOKUP($M231,[1]Buff.CM!$A:$O,14,FALSE),"")</f>
        <v/>
      </c>
      <c r="P231" s="234" t="str">
        <f>_xlfn.IFNA(VLOOKUP($M231,[1]Buff.CM!$A:$O,15,FALSE),"")</f>
        <v/>
      </c>
      <c r="Q231" s="234" t="b">
        <v>0</v>
      </c>
      <c r="R231" s="234" t="b">
        <v>0</v>
      </c>
    </row>
    <row r="232" spans="1:18" x14ac:dyDescent="0.3">
      <c r="A232" s="234" t="s">
        <v>2597</v>
      </c>
      <c r="B232" s="234"/>
      <c r="C232" s="234"/>
      <c r="D232" s="234">
        <v>0</v>
      </c>
      <c r="E232" s="234">
        <v>0</v>
      </c>
      <c r="F232" s="234">
        <v>0</v>
      </c>
      <c r="G232" s="234" t="s">
        <v>2598</v>
      </c>
      <c r="H232" s="234"/>
      <c r="I232" s="234" t="b">
        <v>0</v>
      </c>
      <c r="J232" s="157" t="b">
        <v>1</v>
      </c>
      <c r="K232" s="234" t="b">
        <v>1</v>
      </c>
      <c r="L232" s="234"/>
      <c r="M232" s="234"/>
      <c r="N232" s="234" t="str">
        <f>_xlfn.IFNA(VLOOKUP($M232,[1]Buff.CM!$A:$O,13,FALSE),"")</f>
        <v/>
      </c>
      <c r="O232" s="234" t="str">
        <f>_xlfn.IFNA(VLOOKUP($M232,[1]Buff.CM!$A:$O,14,FALSE),"")</f>
        <v/>
      </c>
      <c r="P232" s="234" t="str">
        <f>_xlfn.IFNA(VLOOKUP($M232,[1]Buff.CM!$A:$O,15,FALSE),"")</f>
        <v/>
      </c>
      <c r="Q232" s="234" t="b">
        <v>0</v>
      </c>
      <c r="R232" s="234" t="b">
        <v>0</v>
      </c>
    </row>
    <row r="233" spans="1:18" x14ac:dyDescent="0.3">
      <c r="A233" s="233" t="s">
        <v>2599</v>
      </c>
      <c r="B233" s="233"/>
      <c r="C233" s="233"/>
      <c r="D233" s="233">
        <v>0</v>
      </c>
      <c r="E233" s="233">
        <v>0</v>
      </c>
      <c r="F233" s="233">
        <v>0</v>
      </c>
      <c r="G233" s="233" t="s">
        <v>2600</v>
      </c>
      <c r="H233" s="233"/>
      <c r="I233" s="233" t="b">
        <v>0</v>
      </c>
      <c r="J233" s="157" t="b">
        <v>1</v>
      </c>
      <c r="K233" s="233" t="b">
        <v>1</v>
      </c>
      <c r="L233" s="233"/>
      <c r="M233" s="233"/>
      <c r="N233" s="233" t="str">
        <f>_xlfn.IFNA(VLOOKUP($M233,[1]Buff.CM!$A:$O,13,FALSE),"")</f>
        <v/>
      </c>
      <c r="O233" s="233" t="str">
        <f>_xlfn.IFNA(VLOOKUP($M233,[1]Buff.CM!$A:$O,14,FALSE),"")</f>
        <v/>
      </c>
      <c r="P233" s="233" t="str">
        <f>_xlfn.IFNA(VLOOKUP($M233,[1]Buff.CM!$A:$O,15,FALSE),"")</f>
        <v/>
      </c>
      <c r="Q233" s="233" t="b">
        <v>0</v>
      </c>
      <c r="R233" s="233" t="b">
        <v>0</v>
      </c>
    </row>
    <row r="234" spans="1:18" x14ac:dyDescent="0.3">
      <c r="A234" s="233" t="s">
        <v>2601</v>
      </c>
      <c r="B234" s="233"/>
      <c r="C234" s="233"/>
      <c r="D234" s="233">
        <v>0</v>
      </c>
      <c r="E234" s="233">
        <v>0</v>
      </c>
      <c r="F234" s="233">
        <v>0</v>
      </c>
      <c r="G234" s="233" t="s">
        <v>2602</v>
      </c>
      <c r="H234" s="233"/>
      <c r="I234" s="233" t="b">
        <v>0</v>
      </c>
      <c r="J234" s="157" t="b">
        <v>1</v>
      </c>
      <c r="K234" s="233" t="b">
        <v>1</v>
      </c>
      <c r="L234" s="233"/>
      <c r="M234" s="233"/>
      <c r="N234" s="233" t="str">
        <f>_xlfn.IFNA(VLOOKUP($M234,[1]Buff.CM!$A:$O,13,FALSE),"")</f>
        <v/>
      </c>
      <c r="O234" s="233" t="str">
        <f>_xlfn.IFNA(VLOOKUP($M234,[1]Buff.CM!$A:$O,14,FALSE),"")</f>
        <v/>
      </c>
      <c r="P234" s="233" t="str">
        <f>_xlfn.IFNA(VLOOKUP($M234,[1]Buff.CM!$A:$O,15,FALSE),"")</f>
        <v/>
      </c>
      <c r="Q234" s="233" t="b">
        <v>0</v>
      </c>
      <c r="R234" s="233" t="b">
        <v>0</v>
      </c>
    </row>
    <row r="235" spans="1:18" x14ac:dyDescent="0.3">
      <c r="A235" s="233" t="s">
        <v>2603</v>
      </c>
      <c r="B235" s="233"/>
      <c r="C235" s="233"/>
      <c r="D235" s="233">
        <v>0</v>
      </c>
      <c r="E235" s="233">
        <v>0</v>
      </c>
      <c r="F235" s="233">
        <v>0</v>
      </c>
      <c r="G235" s="233" t="s">
        <v>2604</v>
      </c>
      <c r="H235" s="233"/>
      <c r="I235" s="233" t="b">
        <v>0</v>
      </c>
      <c r="J235" s="157" t="b">
        <v>1</v>
      </c>
      <c r="K235" s="233" t="b">
        <v>1</v>
      </c>
      <c r="L235" s="233"/>
      <c r="M235" s="233"/>
      <c r="N235" s="233" t="str">
        <f>_xlfn.IFNA(VLOOKUP($M235,[1]Buff.CM!$A:$O,13,FALSE),"")</f>
        <v/>
      </c>
      <c r="O235" s="233" t="str">
        <f>_xlfn.IFNA(VLOOKUP($M235,[1]Buff.CM!$A:$O,14,FALSE),"")</f>
        <v/>
      </c>
      <c r="P235" s="233" t="str">
        <f>_xlfn.IFNA(VLOOKUP($M235,[1]Buff.CM!$A:$O,15,FALSE),"")</f>
        <v/>
      </c>
      <c r="Q235" s="233" t="b">
        <v>0</v>
      </c>
      <c r="R235" s="233" t="b">
        <v>0</v>
      </c>
    </row>
    <row r="236" spans="1:18" ht="33" x14ac:dyDescent="0.3">
      <c r="A236" s="233" t="s">
        <v>2605</v>
      </c>
      <c r="B236" s="233"/>
      <c r="C236" s="233"/>
      <c r="D236" s="233">
        <v>0</v>
      </c>
      <c r="E236" s="233">
        <v>0</v>
      </c>
      <c r="F236" s="233">
        <v>0</v>
      </c>
      <c r="G236" s="237" t="s">
        <v>2606</v>
      </c>
      <c r="H236" s="233"/>
      <c r="I236" s="233" t="b">
        <v>0</v>
      </c>
      <c r="J236" s="157" t="b">
        <v>1</v>
      </c>
      <c r="K236" s="233" t="b">
        <v>1</v>
      </c>
      <c r="L236" s="233"/>
      <c r="M236" s="233"/>
      <c r="N236" s="233" t="str">
        <f>_xlfn.IFNA(VLOOKUP($M236,[1]Buff.CM!$A:$O,13,FALSE),"")</f>
        <v/>
      </c>
      <c r="O236" s="233" t="str">
        <f>_xlfn.IFNA(VLOOKUP($M236,[1]Buff.CM!$A:$O,14,FALSE),"")</f>
        <v/>
      </c>
      <c r="P236" s="233" t="str">
        <f>_xlfn.IFNA(VLOOKUP($M236,[1]Buff.CM!$A:$O,15,FALSE),"")</f>
        <v/>
      </c>
      <c r="Q236" s="232" t="b">
        <v>0</v>
      </c>
      <c r="R236" s="233" t="b">
        <v>0</v>
      </c>
    </row>
    <row r="237" spans="1:18" ht="33" x14ac:dyDescent="0.3">
      <c r="A237" s="233" t="s">
        <v>2607</v>
      </c>
      <c r="B237" s="233"/>
      <c r="C237" s="233"/>
      <c r="D237" s="233">
        <v>0</v>
      </c>
      <c r="E237" s="233">
        <v>0</v>
      </c>
      <c r="F237" s="233">
        <v>0</v>
      </c>
      <c r="G237" s="237" t="s">
        <v>2608</v>
      </c>
      <c r="H237" s="233"/>
      <c r="I237" s="233" t="b">
        <v>0</v>
      </c>
      <c r="J237" s="157" t="b">
        <v>1</v>
      </c>
      <c r="K237" s="233" t="b">
        <v>1</v>
      </c>
      <c r="L237" s="233"/>
      <c r="M237" s="233"/>
      <c r="N237" s="233" t="str">
        <f>_xlfn.IFNA(VLOOKUP($M237,[1]Buff.CM!$A:$O,13,FALSE),"")</f>
        <v/>
      </c>
      <c r="O237" s="233" t="str">
        <f>_xlfn.IFNA(VLOOKUP($M237,[1]Buff.CM!$A:$O,14,FALSE),"")</f>
        <v/>
      </c>
      <c r="P237" s="233" t="str">
        <f>_xlfn.IFNA(VLOOKUP($M237,[1]Buff.CM!$A:$O,15,FALSE),"")</f>
        <v/>
      </c>
      <c r="Q237" s="232" t="b">
        <v>0</v>
      </c>
      <c r="R237" s="233" t="b">
        <v>0</v>
      </c>
    </row>
    <row r="238" spans="1:18" ht="33" x14ac:dyDescent="0.3">
      <c r="A238" s="233" t="s">
        <v>2609</v>
      </c>
      <c r="B238" s="233"/>
      <c r="C238" s="233"/>
      <c r="D238" s="233">
        <v>0</v>
      </c>
      <c r="E238" s="233">
        <v>0</v>
      </c>
      <c r="F238" s="233">
        <v>0</v>
      </c>
      <c r="G238" s="237" t="s">
        <v>2610</v>
      </c>
      <c r="H238" s="233"/>
      <c r="I238" s="233" t="b">
        <v>0</v>
      </c>
      <c r="J238" s="157" t="b">
        <v>1</v>
      </c>
      <c r="K238" s="233" t="b">
        <v>1</v>
      </c>
      <c r="L238" s="233"/>
      <c r="M238" s="233"/>
      <c r="N238" s="233" t="str">
        <f>_xlfn.IFNA(VLOOKUP($M238,[1]Buff.CM!$A:$O,13,FALSE),"")</f>
        <v/>
      </c>
      <c r="O238" s="233" t="str">
        <f>_xlfn.IFNA(VLOOKUP($M238,[1]Buff.CM!$A:$O,14,FALSE),"")</f>
        <v/>
      </c>
      <c r="P238" s="233" t="str">
        <f>_xlfn.IFNA(VLOOKUP($M238,[1]Buff.CM!$A:$O,15,FALSE),"")</f>
        <v/>
      </c>
      <c r="Q238" s="232" t="b">
        <v>0</v>
      </c>
      <c r="R238" s="233" t="b">
        <v>0</v>
      </c>
    </row>
    <row r="239" spans="1:18" ht="33" x14ac:dyDescent="0.3">
      <c r="A239" s="232" t="s">
        <v>2611</v>
      </c>
      <c r="B239" s="232"/>
      <c r="C239" s="232"/>
      <c r="D239" s="232">
        <v>0</v>
      </c>
      <c r="E239" s="232">
        <v>0</v>
      </c>
      <c r="F239" s="232">
        <v>0</v>
      </c>
      <c r="G239" s="238" t="s">
        <v>2612</v>
      </c>
      <c r="H239" s="232"/>
      <c r="I239" s="232" t="b">
        <v>0</v>
      </c>
      <c r="J239" s="157" t="b">
        <v>1</v>
      </c>
      <c r="K239" s="232" t="b">
        <v>1</v>
      </c>
      <c r="L239" s="232"/>
      <c r="M239" s="232"/>
      <c r="N239" s="232" t="str">
        <f>_xlfn.IFNA(VLOOKUP($M239,[1]Buff.CM!$A:$O,13,FALSE),"")</f>
        <v/>
      </c>
      <c r="O239" s="232" t="str">
        <f>_xlfn.IFNA(VLOOKUP($M239,[1]Buff.CM!$A:$O,14,FALSE),"")</f>
        <v/>
      </c>
      <c r="P239" s="232" t="str">
        <f>_xlfn.IFNA(VLOOKUP($M239,[1]Buff.CM!$A:$O,15,FALSE),"")</f>
        <v/>
      </c>
      <c r="Q239" s="232" t="b">
        <v>0</v>
      </c>
      <c r="R239" s="232" t="b">
        <v>0</v>
      </c>
    </row>
    <row r="240" spans="1:18" ht="33" x14ac:dyDescent="0.3">
      <c r="A240" s="232" t="s">
        <v>2613</v>
      </c>
      <c r="B240" s="232"/>
      <c r="C240" s="232"/>
      <c r="D240" s="232">
        <v>0</v>
      </c>
      <c r="E240" s="232">
        <v>0</v>
      </c>
      <c r="F240" s="232">
        <v>0</v>
      </c>
      <c r="G240" s="238" t="s">
        <v>2614</v>
      </c>
      <c r="H240" s="232"/>
      <c r="I240" s="232" t="b">
        <v>0</v>
      </c>
      <c r="J240" s="157" t="b">
        <v>1</v>
      </c>
      <c r="K240" s="232" t="b">
        <v>1</v>
      </c>
      <c r="L240" s="232"/>
      <c r="M240" s="232"/>
      <c r="N240" s="232" t="str">
        <f>_xlfn.IFNA(VLOOKUP($M240,[1]Buff.CM!$A:$O,13,FALSE),"")</f>
        <v/>
      </c>
      <c r="O240" s="232" t="str">
        <f>_xlfn.IFNA(VLOOKUP($M240,[1]Buff.CM!$A:$O,14,FALSE),"")</f>
        <v/>
      </c>
      <c r="P240" s="232" t="str">
        <f>_xlfn.IFNA(VLOOKUP($M240,[1]Buff.CM!$A:$O,15,FALSE),"")</f>
        <v/>
      </c>
      <c r="Q240" s="232" t="b">
        <v>0</v>
      </c>
      <c r="R240" s="232" t="b">
        <v>0</v>
      </c>
    </row>
    <row r="241" spans="1:18" ht="33" x14ac:dyDescent="0.3">
      <c r="A241" s="232" t="s">
        <v>2615</v>
      </c>
      <c r="B241" s="232"/>
      <c r="C241" s="232"/>
      <c r="D241" s="232">
        <v>0</v>
      </c>
      <c r="E241" s="232">
        <v>0</v>
      </c>
      <c r="F241" s="232">
        <v>0</v>
      </c>
      <c r="G241" s="238" t="s">
        <v>2616</v>
      </c>
      <c r="H241" s="232"/>
      <c r="I241" s="232" t="b">
        <v>0</v>
      </c>
      <c r="J241" s="157" t="b">
        <v>1</v>
      </c>
      <c r="K241" s="232" t="b">
        <v>1</v>
      </c>
      <c r="L241" s="232"/>
      <c r="M241" s="232"/>
      <c r="N241" s="232" t="str">
        <f>_xlfn.IFNA(VLOOKUP($M241,[1]Buff.CM!$A:$O,13,FALSE),"")</f>
        <v/>
      </c>
      <c r="O241" s="232" t="str">
        <f>_xlfn.IFNA(VLOOKUP($M241,[1]Buff.CM!$A:$O,14,FALSE),"")</f>
        <v/>
      </c>
      <c r="P241" s="232" t="str">
        <f>_xlfn.IFNA(VLOOKUP($M241,[1]Buff.CM!$A:$O,15,FALSE),"")</f>
        <v/>
      </c>
      <c r="Q241" s="232" t="b">
        <v>0</v>
      </c>
      <c r="R241" s="232" t="b">
        <v>0</v>
      </c>
    </row>
    <row r="242" spans="1:18" x14ac:dyDescent="0.3">
      <c r="A242" s="233" t="s">
        <v>2617</v>
      </c>
      <c r="B242" s="233"/>
      <c r="C242" s="233"/>
      <c r="D242" s="233">
        <v>0</v>
      </c>
      <c r="E242" s="233">
        <v>4</v>
      </c>
      <c r="F242" s="233">
        <v>1</v>
      </c>
      <c r="G242" s="237" t="s">
        <v>2618</v>
      </c>
      <c r="H242" s="233"/>
      <c r="I242" s="233" t="b">
        <v>0</v>
      </c>
      <c r="J242" s="157" t="b">
        <v>1</v>
      </c>
      <c r="K242" s="233" t="b">
        <v>1</v>
      </c>
      <c r="L242" s="233"/>
      <c r="M242" s="233" t="s">
        <v>3365</v>
      </c>
      <c r="N242" s="233" t="str">
        <f>_xlfn.IFNA(VLOOKUP($M242,[1]Buff.CM!$A:$O,13,FALSE),"")</f>
        <v>icon_battle_angelica_stage1</v>
      </c>
      <c r="O242" s="233" t="str">
        <f>_xlfn.IFNA(VLOOKUP($M242,[1]Buff.CM!$A:$O,14,FALSE),"")</f>
        <v>info.angelica.buff.burn</v>
      </c>
      <c r="P242" s="233" t="str">
        <f>_xlfn.IFNA(VLOOKUP($M242,[1]Buff.CM!$A:$O,15,FALSE),"")</f>
        <v>Desc.info.angelica.buff.burn</v>
      </c>
      <c r="Q242" s="232" t="b">
        <v>0</v>
      </c>
      <c r="R242" s="233" t="b">
        <v>1</v>
      </c>
    </row>
    <row r="243" spans="1:18" x14ac:dyDescent="0.3">
      <c r="A243" s="233" t="s">
        <v>2619</v>
      </c>
      <c r="B243" s="233"/>
      <c r="C243" s="233"/>
      <c r="D243" s="233">
        <v>0</v>
      </c>
      <c r="E243" s="233">
        <v>4</v>
      </c>
      <c r="F243" s="233">
        <v>1</v>
      </c>
      <c r="G243" s="237" t="s">
        <v>2620</v>
      </c>
      <c r="H243" s="233"/>
      <c r="I243" s="233" t="b">
        <v>0</v>
      </c>
      <c r="J243" s="157" t="b">
        <v>1</v>
      </c>
      <c r="K243" s="233" t="b">
        <v>1</v>
      </c>
      <c r="L243" s="233"/>
      <c r="M243" s="233" t="s">
        <v>3365</v>
      </c>
      <c r="N243" s="233" t="str">
        <f>_xlfn.IFNA(VLOOKUP($M243,[1]Buff.CM!$A:$O,13,FALSE),"")</f>
        <v>icon_battle_angelica_stage1</v>
      </c>
      <c r="O243" s="233" t="str">
        <f>_xlfn.IFNA(VLOOKUP($M243,[1]Buff.CM!$A:$O,14,FALSE),"")</f>
        <v>info.angelica.buff.burn</v>
      </c>
      <c r="P243" s="233" t="str">
        <f>_xlfn.IFNA(VLOOKUP($M243,[1]Buff.CM!$A:$O,15,FALSE),"")</f>
        <v>Desc.info.angelica.buff.burn</v>
      </c>
      <c r="Q243" s="232" t="b">
        <v>0</v>
      </c>
      <c r="R243" s="233" t="b">
        <v>1</v>
      </c>
    </row>
    <row r="244" spans="1:18" x14ac:dyDescent="0.3">
      <c r="A244" s="233" t="s">
        <v>2621</v>
      </c>
      <c r="B244" s="233"/>
      <c r="C244" s="233"/>
      <c r="D244" s="233">
        <v>0</v>
      </c>
      <c r="E244" s="233">
        <v>4</v>
      </c>
      <c r="F244" s="233">
        <v>1</v>
      </c>
      <c r="G244" s="237" t="s">
        <v>2622</v>
      </c>
      <c r="H244" s="233"/>
      <c r="I244" s="233" t="b">
        <v>0</v>
      </c>
      <c r="J244" s="157" t="b">
        <v>1</v>
      </c>
      <c r="K244" s="233" t="b">
        <v>1</v>
      </c>
      <c r="L244" s="233"/>
      <c r="M244" s="233" t="s">
        <v>3365</v>
      </c>
      <c r="N244" s="233" t="str">
        <f>_xlfn.IFNA(VLOOKUP($M244,[1]Buff.CM!$A:$O,13,FALSE),"")</f>
        <v>icon_battle_angelica_stage1</v>
      </c>
      <c r="O244" s="233" t="str">
        <f>_xlfn.IFNA(VLOOKUP($M244,[1]Buff.CM!$A:$O,14,FALSE),"")</f>
        <v>info.angelica.buff.burn</v>
      </c>
      <c r="P244" s="233" t="str">
        <f>_xlfn.IFNA(VLOOKUP($M244,[1]Buff.CM!$A:$O,15,FALSE),"")</f>
        <v>Desc.info.angelica.buff.burn</v>
      </c>
      <c r="Q244" s="232" t="b">
        <v>0</v>
      </c>
      <c r="R244" s="233" t="b">
        <v>1</v>
      </c>
    </row>
    <row r="245" spans="1:18" x14ac:dyDescent="0.3">
      <c r="A245" s="232" t="s">
        <v>2623</v>
      </c>
      <c r="B245" s="232"/>
      <c r="C245" s="232"/>
      <c r="D245" s="232">
        <v>0</v>
      </c>
      <c r="E245" s="232">
        <v>4</v>
      </c>
      <c r="F245" s="232">
        <v>1</v>
      </c>
      <c r="G245" s="238" t="s">
        <v>2624</v>
      </c>
      <c r="H245" s="232"/>
      <c r="I245" s="232" t="b">
        <v>0</v>
      </c>
      <c r="J245" s="157" t="b">
        <v>1</v>
      </c>
      <c r="K245" s="232" t="b">
        <v>1</v>
      </c>
      <c r="L245" s="232"/>
      <c r="M245" s="232" t="s">
        <v>3365</v>
      </c>
      <c r="N245" s="232" t="str">
        <f>_xlfn.IFNA(VLOOKUP($M245,[1]Buff.CM!$A:$O,13,FALSE),"")</f>
        <v>icon_battle_angelica_stage1</v>
      </c>
      <c r="O245" s="232" t="str">
        <f>_xlfn.IFNA(VLOOKUP($M245,[1]Buff.CM!$A:$O,14,FALSE),"")</f>
        <v>info.angelica.buff.burn</v>
      </c>
      <c r="P245" s="232" t="str">
        <f>_xlfn.IFNA(VLOOKUP($M245,[1]Buff.CM!$A:$O,15,FALSE),"")</f>
        <v>Desc.info.angelica.buff.burn</v>
      </c>
      <c r="Q245" s="232" t="b">
        <v>0</v>
      </c>
      <c r="R245" s="232" t="b">
        <v>1</v>
      </c>
    </row>
    <row r="246" spans="1:18" x14ac:dyDescent="0.3">
      <c r="A246" s="232" t="s">
        <v>2625</v>
      </c>
      <c r="B246" s="232"/>
      <c r="C246" s="232"/>
      <c r="D246" s="232">
        <v>0</v>
      </c>
      <c r="E246" s="232">
        <v>4</v>
      </c>
      <c r="F246" s="232">
        <v>1</v>
      </c>
      <c r="G246" s="238" t="s">
        <v>2626</v>
      </c>
      <c r="H246" s="232"/>
      <c r="I246" s="232" t="b">
        <v>0</v>
      </c>
      <c r="J246" s="157" t="b">
        <v>1</v>
      </c>
      <c r="K246" s="232" t="b">
        <v>1</v>
      </c>
      <c r="L246" s="232"/>
      <c r="M246" s="232" t="s">
        <v>3365</v>
      </c>
      <c r="N246" s="232" t="str">
        <f>_xlfn.IFNA(VLOOKUP($M246,[1]Buff.CM!$A:$O,13,FALSE),"")</f>
        <v>icon_battle_angelica_stage1</v>
      </c>
      <c r="O246" s="232" t="str">
        <f>_xlfn.IFNA(VLOOKUP($M246,[1]Buff.CM!$A:$O,14,FALSE),"")</f>
        <v>info.angelica.buff.burn</v>
      </c>
      <c r="P246" s="232" t="str">
        <f>_xlfn.IFNA(VLOOKUP($M246,[1]Buff.CM!$A:$O,15,FALSE),"")</f>
        <v>Desc.info.angelica.buff.burn</v>
      </c>
      <c r="Q246" s="232" t="b">
        <v>0</v>
      </c>
      <c r="R246" s="232" t="b">
        <v>1</v>
      </c>
    </row>
    <row r="247" spans="1:18" x14ac:dyDescent="0.3">
      <c r="A247" s="232" t="s">
        <v>2627</v>
      </c>
      <c r="B247" s="232"/>
      <c r="C247" s="232"/>
      <c r="D247" s="232">
        <v>0</v>
      </c>
      <c r="E247" s="232">
        <v>4</v>
      </c>
      <c r="F247" s="232">
        <v>1</v>
      </c>
      <c r="G247" s="238" t="s">
        <v>2628</v>
      </c>
      <c r="H247" s="232"/>
      <c r="I247" s="232" t="b">
        <v>0</v>
      </c>
      <c r="J247" s="157" t="b">
        <v>1</v>
      </c>
      <c r="K247" s="232" t="b">
        <v>1</v>
      </c>
      <c r="L247" s="232"/>
      <c r="M247" s="232" t="s">
        <v>3365</v>
      </c>
      <c r="N247" s="232" t="str">
        <f>_xlfn.IFNA(VLOOKUP($M247,[1]Buff.CM!$A:$O,13,FALSE),"")</f>
        <v>icon_battle_angelica_stage1</v>
      </c>
      <c r="O247" s="232" t="str">
        <f>_xlfn.IFNA(VLOOKUP($M247,[1]Buff.CM!$A:$O,14,FALSE),"")</f>
        <v>info.angelica.buff.burn</v>
      </c>
      <c r="P247" s="232" t="str">
        <f>_xlfn.IFNA(VLOOKUP($M247,[1]Buff.CM!$A:$O,15,FALSE),"")</f>
        <v>Desc.info.angelica.buff.burn</v>
      </c>
      <c r="Q247" s="232" t="b">
        <v>0</v>
      </c>
      <c r="R247" s="232" t="b">
        <v>1</v>
      </c>
    </row>
    <row r="248" spans="1:18" x14ac:dyDescent="0.3">
      <c r="A248" s="233" t="s">
        <v>2629</v>
      </c>
      <c r="B248" s="233"/>
      <c r="C248" s="233"/>
      <c r="D248" s="233">
        <v>7000</v>
      </c>
      <c r="E248" s="233">
        <v>0</v>
      </c>
      <c r="F248" s="233">
        <v>0</v>
      </c>
      <c r="G248" s="237" t="s">
        <v>3483</v>
      </c>
      <c r="H248" s="233"/>
      <c r="I248" s="233" t="b">
        <v>0</v>
      </c>
      <c r="J248" s="233" t="b">
        <v>0</v>
      </c>
      <c r="K248" s="233" t="b">
        <v>1</v>
      </c>
      <c r="L248" s="233" t="s">
        <v>2296</v>
      </c>
      <c r="M248" s="233" t="s">
        <v>2295</v>
      </c>
      <c r="N248" s="233" t="str">
        <f>_xlfn.IFNA(VLOOKUP($M248,[1]Buff.CM!$A:$O,13,FALSE),"")</f>
        <v>icon_battle_attackspeed</v>
      </c>
      <c r="O248" s="233" t="str">
        <f>_xlfn.IFNA(VLOOKUP($M248,[1]Buff.CM!$A:$O,14,FALSE),"")</f>
        <v>Buff.Name.AtkSpeed.Up.01</v>
      </c>
      <c r="P248" s="233" t="str">
        <f>_xlfn.IFNA(VLOOKUP($M248,[1]Buff.CM!$A:$O,15,FALSE),"")</f>
        <v>Buff.Desc.AtkSpeed.Up.01</v>
      </c>
      <c r="Q248" s="232" t="b">
        <v>0</v>
      </c>
      <c r="R248" s="233" t="b">
        <v>1</v>
      </c>
    </row>
    <row r="249" spans="1:18" x14ac:dyDescent="0.3">
      <c r="A249" s="233" t="s">
        <v>2630</v>
      </c>
      <c r="B249" s="233"/>
      <c r="C249" s="233"/>
      <c r="D249" s="233">
        <v>7000</v>
      </c>
      <c r="E249" s="233">
        <v>0</v>
      </c>
      <c r="F249" s="233">
        <v>0</v>
      </c>
      <c r="G249" s="237" t="s">
        <v>2306</v>
      </c>
      <c r="H249" s="233"/>
      <c r="I249" s="233" t="b">
        <v>0</v>
      </c>
      <c r="J249" s="233" t="b">
        <v>0</v>
      </c>
      <c r="K249" s="233" t="b">
        <v>1</v>
      </c>
      <c r="L249" s="233" t="s">
        <v>2296</v>
      </c>
      <c r="M249" s="233" t="s">
        <v>2297</v>
      </c>
      <c r="N249" s="233" t="str">
        <f>_xlfn.IFNA(VLOOKUP($M249,[1]Buff.CM!$A:$O,13,FALSE),"")</f>
        <v>icon_battle_attackspeed</v>
      </c>
      <c r="O249" s="233" t="str">
        <f>_xlfn.IFNA(VLOOKUP($M249,[1]Buff.CM!$A:$O,14,FALSE),"")</f>
        <v>Buff.Name.AtkSpeed.Up.02</v>
      </c>
      <c r="P249" s="233" t="str">
        <f>_xlfn.IFNA(VLOOKUP($M249,[1]Buff.CM!$A:$O,15,FALSE),"")</f>
        <v>Buff.Desc.AtkSpeed.Up.02</v>
      </c>
      <c r="Q249" s="232" t="b">
        <v>0</v>
      </c>
      <c r="R249" s="233" t="b">
        <v>1</v>
      </c>
    </row>
    <row r="250" spans="1:18" x14ac:dyDescent="0.3">
      <c r="A250" s="233" t="s">
        <v>2631</v>
      </c>
      <c r="B250" s="233"/>
      <c r="C250" s="233"/>
      <c r="D250" s="233">
        <v>8000</v>
      </c>
      <c r="E250" s="233">
        <v>0</v>
      </c>
      <c r="F250" s="233">
        <v>0</v>
      </c>
      <c r="G250" s="237" t="s">
        <v>2306</v>
      </c>
      <c r="H250" s="233"/>
      <c r="I250" s="233" t="b">
        <v>0</v>
      </c>
      <c r="J250" s="233" t="b">
        <v>0</v>
      </c>
      <c r="K250" s="233" t="b">
        <v>1</v>
      </c>
      <c r="L250" s="233" t="s">
        <v>2296</v>
      </c>
      <c r="M250" s="233" t="s">
        <v>2297</v>
      </c>
      <c r="N250" s="233" t="str">
        <f>_xlfn.IFNA(VLOOKUP($M250,[1]Buff.CM!$A:$O,13,FALSE),"")</f>
        <v>icon_battle_attackspeed</v>
      </c>
      <c r="O250" s="233" t="str">
        <f>_xlfn.IFNA(VLOOKUP($M250,[1]Buff.CM!$A:$O,14,FALSE),"")</f>
        <v>Buff.Name.AtkSpeed.Up.02</v>
      </c>
      <c r="P250" s="233" t="str">
        <f>_xlfn.IFNA(VLOOKUP($M250,[1]Buff.CM!$A:$O,15,FALSE),"")</f>
        <v>Buff.Desc.AtkSpeed.Up.02</v>
      </c>
      <c r="Q250" s="232" t="b">
        <v>0</v>
      </c>
      <c r="R250" s="233" t="b">
        <v>1</v>
      </c>
    </row>
    <row r="251" spans="1:18" x14ac:dyDescent="0.3">
      <c r="A251" s="232" t="s">
        <v>2632</v>
      </c>
      <c r="B251" s="232"/>
      <c r="C251" s="232"/>
      <c r="D251" s="232">
        <v>8000</v>
      </c>
      <c r="E251" s="232">
        <v>0</v>
      </c>
      <c r="F251" s="232">
        <v>0</v>
      </c>
      <c r="G251" s="238" t="s">
        <v>2305</v>
      </c>
      <c r="H251" s="232"/>
      <c r="I251" s="232" t="b">
        <v>0</v>
      </c>
      <c r="J251" s="232" t="b">
        <v>0</v>
      </c>
      <c r="K251" s="232" t="b">
        <v>1</v>
      </c>
      <c r="L251" s="232" t="s">
        <v>2296</v>
      </c>
      <c r="M251" s="232" t="s">
        <v>2298</v>
      </c>
      <c r="N251" s="232" t="str">
        <f>_xlfn.IFNA(VLOOKUP($M251,[1]Buff.CM!$A:$O,13,FALSE),"")</f>
        <v>icon_battle_attackspeed</v>
      </c>
      <c r="O251" s="232" t="str">
        <f>_xlfn.IFNA(VLOOKUP($M251,[1]Buff.CM!$A:$O,14,FALSE),"")</f>
        <v>Buff.Name.AtkSpeed.Up.03</v>
      </c>
      <c r="P251" s="232" t="str">
        <f>_xlfn.IFNA(VLOOKUP($M251,[1]Buff.CM!$A:$O,15,FALSE),"")</f>
        <v>Buff.Desc.AtkSpeed.Up.03</v>
      </c>
      <c r="Q251" s="232" t="b">
        <v>0</v>
      </c>
      <c r="R251" s="232" t="b">
        <v>1</v>
      </c>
    </row>
    <row r="252" spans="1:18" x14ac:dyDescent="0.3">
      <c r="A252" s="232" t="s">
        <v>2633</v>
      </c>
      <c r="B252" s="232"/>
      <c r="C252" s="232"/>
      <c r="D252" s="232">
        <v>3000</v>
      </c>
      <c r="E252" s="232">
        <v>0</v>
      </c>
      <c r="F252" s="232">
        <v>0</v>
      </c>
      <c r="G252" s="238" t="s">
        <v>2305</v>
      </c>
      <c r="H252" s="232"/>
      <c r="I252" s="232" t="b">
        <v>0</v>
      </c>
      <c r="J252" s="232" t="b">
        <v>0</v>
      </c>
      <c r="K252" s="232" t="b">
        <v>1</v>
      </c>
      <c r="L252" s="232" t="s">
        <v>2296</v>
      </c>
      <c r="M252" s="232" t="s">
        <v>2298</v>
      </c>
      <c r="N252" s="232" t="str">
        <f>_xlfn.IFNA(VLOOKUP($M252,[1]Buff.CM!$A:$O,13,FALSE),"")</f>
        <v>icon_battle_attackspeed</v>
      </c>
      <c r="O252" s="232" t="str">
        <f>_xlfn.IFNA(VLOOKUP($M252,[1]Buff.CM!$A:$O,14,FALSE),"")</f>
        <v>Buff.Name.AtkSpeed.Up.03</v>
      </c>
      <c r="P252" s="232" t="str">
        <f>_xlfn.IFNA(VLOOKUP($M252,[1]Buff.CM!$A:$O,15,FALSE),"")</f>
        <v>Buff.Desc.AtkSpeed.Up.03</v>
      </c>
      <c r="Q252" s="232" t="b">
        <v>0</v>
      </c>
      <c r="R252" s="232" t="b">
        <v>1</v>
      </c>
    </row>
    <row r="253" spans="1:18" x14ac:dyDescent="0.3">
      <c r="A253" s="232" t="s">
        <v>2634</v>
      </c>
      <c r="B253" s="232"/>
      <c r="C253" s="232"/>
      <c r="D253" s="232">
        <v>3000</v>
      </c>
      <c r="E253" s="232">
        <v>0</v>
      </c>
      <c r="F253" s="232">
        <v>0</v>
      </c>
      <c r="G253" s="238" t="s">
        <v>3481</v>
      </c>
      <c r="H253" s="232"/>
      <c r="I253" s="232" t="b">
        <v>0</v>
      </c>
      <c r="J253" s="232" t="b">
        <v>0</v>
      </c>
      <c r="K253" s="232" t="b">
        <v>1</v>
      </c>
      <c r="L253" s="232" t="s">
        <v>2296</v>
      </c>
      <c r="M253" s="232" t="s">
        <v>2298</v>
      </c>
      <c r="N253" s="232" t="str">
        <f>_xlfn.IFNA(VLOOKUP($M253,[1]Buff.CM!$A:$O,13,FALSE),"")</f>
        <v>icon_battle_attackspeed</v>
      </c>
      <c r="O253" s="232" t="str">
        <f>_xlfn.IFNA(VLOOKUP($M253,[1]Buff.CM!$A:$O,14,FALSE),"")</f>
        <v>Buff.Name.AtkSpeed.Up.03</v>
      </c>
      <c r="P253" s="232" t="str">
        <f>_xlfn.IFNA(VLOOKUP($M253,[1]Buff.CM!$A:$O,15,FALSE),"")</f>
        <v>Buff.Desc.AtkSpeed.Up.03</v>
      </c>
      <c r="Q253" s="232" t="b">
        <v>0</v>
      </c>
      <c r="R253" s="232" t="b">
        <v>1</v>
      </c>
    </row>
    <row r="254" spans="1:18" x14ac:dyDescent="0.3">
      <c r="A254" s="157" t="s">
        <v>3793</v>
      </c>
      <c r="B254" s="157"/>
      <c r="C254" s="157"/>
      <c r="D254" s="157">
        <v>4000</v>
      </c>
      <c r="E254" s="157">
        <v>0</v>
      </c>
      <c r="F254" s="157">
        <v>0</v>
      </c>
      <c r="G254" s="157" t="s">
        <v>2301</v>
      </c>
      <c r="H254" s="157"/>
      <c r="I254" s="157" t="b">
        <v>0</v>
      </c>
      <c r="J254" s="157" t="b">
        <v>0</v>
      </c>
      <c r="K254" s="233" t="b">
        <v>0</v>
      </c>
      <c r="L254" s="157" t="s">
        <v>55</v>
      </c>
      <c r="M254" s="157" t="s">
        <v>2301</v>
      </c>
      <c r="N254" s="157" t="str">
        <f>_xlfn.IFNA(VLOOKUP($M254,[1]Buff.CM!$A:$O,13,FALSE),"")</f>
        <v>icon_battle_evasion</v>
      </c>
      <c r="O254" s="157" t="str">
        <f>_xlfn.IFNA(VLOOKUP($M254,[1]Buff.CM!$A:$O,14,FALSE),"")</f>
        <v>Buff.Name.Evasion.Down.02</v>
      </c>
      <c r="P254" s="231" t="str">
        <f>_xlfn.IFNA(VLOOKUP($M254,[1]Buff.CM!$A:$O,15,FALSE),"")</f>
        <v>Buff.Desc.Evasion.Down.02</v>
      </c>
      <c r="Q254" s="234" t="b">
        <v>0</v>
      </c>
      <c r="R254" s="157" t="b">
        <v>0</v>
      </c>
    </row>
    <row r="255" spans="1:18" x14ac:dyDescent="0.3">
      <c r="A255" s="157" t="s">
        <v>3794</v>
      </c>
      <c r="B255" s="157"/>
      <c r="C255" s="157"/>
      <c r="D255" s="157">
        <v>5000</v>
      </c>
      <c r="E255" s="157">
        <v>0</v>
      </c>
      <c r="F255" s="157">
        <v>0</v>
      </c>
      <c r="G255" s="157" t="s">
        <v>2301</v>
      </c>
      <c r="H255" s="157"/>
      <c r="I255" s="157" t="b">
        <v>0</v>
      </c>
      <c r="J255" s="157" t="b">
        <v>0</v>
      </c>
      <c r="K255" s="233" t="b">
        <v>0</v>
      </c>
      <c r="L255" s="157" t="s">
        <v>55</v>
      </c>
      <c r="M255" s="157" t="s">
        <v>2301</v>
      </c>
      <c r="N255" s="157" t="str">
        <f>_xlfn.IFNA(VLOOKUP($M255,[1]Buff.CM!$A:$O,13,FALSE),"")</f>
        <v>icon_battle_evasion</v>
      </c>
      <c r="O255" s="157" t="str">
        <f>_xlfn.IFNA(VLOOKUP($M255,[1]Buff.CM!$A:$O,14,FALSE),"")</f>
        <v>Buff.Name.Evasion.Down.02</v>
      </c>
      <c r="P255" s="231" t="str">
        <f>_xlfn.IFNA(VLOOKUP($M255,[1]Buff.CM!$A:$O,15,FALSE),"")</f>
        <v>Buff.Desc.Evasion.Down.02</v>
      </c>
      <c r="Q255" s="234" t="b">
        <v>0</v>
      </c>
      <c r="R255" s="157" t="b">
        <v>0</v>
      </c>
    </row>
    <row r="256" spans="1:18" x14ac:dyDescent="0.3">
      <c r="A256" s="157" t="s">
        <v>3795</v>
      </c>
      <c r="B256" s="157"/>
      <c r="C256" s="157"/>
      <c r="D256" s="157">
        <v>5000</v>
      </c>
      <c r="E256" s="157">
        <v>0</v>
      </c>
      <c r="F256" s="157">
        <v>0</v>
      </c>
      <c r="G256" s="157" t="s">
        <v>2302</v>
      </c>
      <c r="H256" s="157"/>
      <c r="I256" s="157" t="b">
        <v>0</v>
      </c>
      <c r="J256" s="157" t="b">
        <v>0</v>
      </c>
      <c r="K256" s="233" t="b">
        <v>0</v>
      </c>
      <c r="L256" s="157" t="s">
        <v>55</v>
      </c>
      <c r="M256" s="157" t="s">
        <v>2302</v>
      </c>
      <c r="N256" s="157" t="str">
        <f>_xlfn.IFNA(VLOOKUP($M256,[1]Buff.CM!$A:$O,13,FALSE),"")</f>
        <v>icon_battle_evasion</v>
      </c>
      <c r="O256" s="157" t="str">
        <f>_xlfn.IFNA(VLOOKUP($M256,[1]Buff.CM!$A:$O,14,FALSE),"")</f>
        <v>Buff.Name.Evasion.Down.03</v>
      </c>
      <c r="P256" s="231" t="str">
        <f>_xlfn.IFNA(VLOOKUP($M256,[1]Buff.CM!$A:$O,15,FALSE),"")</f>
        <v>Buff.Desc.Evasion.Down.03</v>
      </c>
      <c r="Q256" s="234" t="b">
        <v>0</v>
      </c>
      <c r="R256" s="157" t="b">
        <v>0</v>
      </c>
    </row>
    <row r="257" spans="1:18" x14ac:dyDescent="0.3">
      <c r="A257" s="157" t="s">
        <v>3796</v>
      </c>
      <c r="B257" s="157"/>
      <c r="C257" s="157"/>
      <c r="D257" s="157">
        <v>6000</v>
      </c>
      <c r="E257" s="157">
        <v>0</v>
      </c>
      <c r="F257" s="157">
        <v>0</v>
      </c>
      <c r="G257" s="157" t="s">
        <v>2302</v>
      </c>
      <c r="H257" s="157"/>
      <c r="I257" s="157" t="b">
        <v>0</v>
      </c>
      <c r="J257" s="157" t="b">
        <v>0</v>
      </c>
      <c r="K257" s="233" t="b">
        <v>0</v>
      </c>
      <c r="L257" s="157" t="s">
        <v>55</v>
      </c>
      <c r="M257" s="157" t="s">
        <v>2302</v>
      </c>
      <c r="N257" s="157" t="str">
        <f>_xlfn.IFNA(VLOOKUP($M257,[1]Buff.CM!$A:$O,13,FALSE),"")</f>
        <v>icon_battle_evasion</v>
      </c>
      <c r="O257" s="157" t="str">
        <f>_xlfn.IFNA(VLOOKUP($M257,[1]Buff.CM!$A:$O,14,FALSE),"")</f>
        <v>Buff.Name.Evasion.Down.03</v>
      </c>
      <c r="P257" s="231" t="str">
        <f>_xlfn.IFNA(VLOOKUP($M257,[1]Buff.CM!$A:$O,15,FALSE),"")</f>
        <v>Buff.Desc.Evasion.Down.03</v>
      </c>
      <c r="Q257" s="234" t="b">
        <v>0</v>
      </c>
      <c r="R257" s="157" t="b">
        <v>0</v>
      </c>
    </row>
    <row r="258" spans="1:18" x14ac:dyDescent="0.3">
      <c r="A258" s="157" t="s">
        <v>3797</v>
      </c>
      <c r="B258" s="157"/>
      <c r="C258" s="157"/>
      <c r="D258" s="157">
        <v>6000</v>
      </c>
      <c r="E258" s="157">
        <v>0</v>
      </c>
      <c r="F258" s="157">
        <v>0</v>
      </c>
      <c r="G258" s="157" t="s">
        <v>2303</v>
      </c>
      <c r="H258" s="157"/>
      <c r="I258" s="157" t="b">
        <v>0</v>
      </c>
      <c r="J258" s="157" t="b">
        <v>0</v>
      </c>
      <c r="K258" s="233" t="b">
        <v>0</v>
      </c>
      <c r="L258" s="157" t="s">
        <v>55</v>
      </c>
      <c r="M258" s="157" t="s">
        <v>2303</v>
      </c>
      <c r="N258" s="157" t="str">
        <f>_xlfn.IFNA(VLOOKUP($M258,[1]Buff.CM!$A:$O,13,FALSE),"")</f>
        <v>icon_battle_evasion</v>
      </c>
      <c r="O258" s="157" t="str">
        <f>_xlfn.IFNA(VLOOKUP($M258,[1]Buff.CM!$A:$O,14,FALSE),"")</f>
        <v>Buff.Name.Evasion.Down.04</v>
      </c>
      <c r="P258" s="231" t="str">
        <f>_xlfn.IFNA(VLOOKUP($M258,[1]Buff.CM!$A:$O,15,FALSE),"")</f>
        <v>Buff.Desc.Evasion.Down.04</v>
      </c>
      <c r="Q258" s="234" t="b">
        <v>0</v>
      </c>
      <c r="R258" s="157" t="b">
        <v>0</v>
      </c>
    </row>
    <row r="259" spans="1:18" x14ac:dyDescent="0.3">
      <c r="A259" s="232" t="s">
        <v>3798</v>
      </c>
      <c r="B259" s="232"/>
      <c r="C259" s="232"/>
      <c r="D259" s="232">
        <v>7000</v>
      </c>
      <c r="E259" s="232">
        <v>0</v>
      </c>
      <c r="F259" s="232">
        <v>0</v>
      </c>
      <c r="G259" s="232" t="s">
        <v>2303</v>
      </c>
      <c r="H259" s="232"/>
      <c r="I259" s="232" t="b">
        <v>0</v>
      </c>
      <c r="J259" s="232" t="b">
        <v>0</v>
      </c>
      <c r="K259" s="232" t="b">
        <v>0</v>
      </c>
      <c r="L259" s="232" t="s">
        <v>55</v>
      </c>
      <c r="M259" s="232" t="s">
        <v>2303</v>
      </c>
      <c r="N259" s="232" t="str">
        <f>_xlfn.IFNA(VLOOKUP($M259,[1]Buff.CM!$A:$O,13,FALSE),"")</f>
        <v>icon_battle_evasion</v>
      </c>
      <c r="O259" s="232" t="str">
        <f>_xlfn.IFNA(VLOOKUP($M259,[1]Buff.CM!$A:$O,14,FALSE),"")</f>
        <v>Buff.Name.Evasion.Down.04</v>
      </c>
      <c r="P259" s="232" t="str">
        <f>_xlfn.IFNA(VLOOKUP($M259,[1]Buff.CM!$A:$O,15,FALSE),"")</f>
        <v>Buff.Desc.Evasion.Down.04</v>
      </c>
      <c r="Q259" s="232" t="b">
        <v>0</v>
      </c>
      <c r="R259" s="232" t="b">
        <v>0</v>
      </c>
    </row>
    <row r="260" spans="1:18" x14ac:dyDescent="0.3">
      <c r="A260" s="232" t="s">
        <v>3799</v>
      </c>
      <c r="B260" s="232"/>
      <c r="C260" s="232"/>
      <c r="D260" s="232">
        <v>7000</v>
      </c>
      <c r="E260" s="232">
        <v>0</v>
      </c>
      <c r="F260" s="232">
        <v>0</v>
      </c>
      <c r="G260" s="232" t="s">
        <v>2303</v>
      </c>
      <c r="H260" s="232"/>
      <c r="I260" s="232" t="b">
        <v>0</v>
      </c>
      <c r="J260" s="232" t="b">
        <v>0</v>
      </c>
      <c r="K260" s="232" t="b">
        <v>0</v>
      </c>
      <c r="L260" s="232" t="s">
        <v>55</v>
      </c>
      <c r="M260" s="232" t="s">
        <v>2303</v>
      </c>
      <c r="N260" s="232" t="str">
        <f>_xlfn.IFNA(VLOOKUP($M260,[1]Buff.CM!$A:$O,13,FALSE),"")</f>
        <v>icon_battle_evasion</v>
      </c>
      <c r="O260" s="232" t="str">
        <f>_xlfn.IFNA(VLOOKUP($M260,[1]Buff.CM!$A:$O,14,FALSE),"")</f>
        <v>Buff.Name.Evasion.Down.04</v>
      </c>
      <c r="P260" s="232" t="str">
        <f>_xlfn.IFNA(VLOOKUP($M260,[1]Buff.CM!$A:$O,15,FALSE),"")</f>
        <v>Buff.Desc.Evasion.Down.04</v>
      </c>
      <c r="Q260" s="232" t="b">
        <v>0</v>
      </c>
      <c r="R260" s="232" t="b">
        <v>0</v>
      </c>
    </row>
    <row r="261" spans="1:18" x14ac:dyDescent="0.3">
      <c r="A261" s="157" t="s">
        <v>3800</v>
      </c>
      <c r="B261" s="157"/>
      <c r="C261" s="157"/>
      <c r="D261" s="157">
        <v>4000</v>
      </c>
      <c r="E261" s="157">
        <v>0</v>
      </c>
      <c r="F261" s="157">
        <v>0</v>
      </c>
      <c r="G261" s="157" t="s">
        <v>3604</v>
      </c>
      <c r="H261" s="157"/>
      <c r="I261" s="157" t="b">
        <v>0</v>
      </c>
      <c r="J261" s="157" t="b">
        <v>0</v>
      </c>
      <c r="K261" s="233" t="b">
        <v>0</v>
      </c>
      <c r="L261" s="157" t="s">
        <v>55</v>
      </c>
      <c r="M261" s="157" t="s">
        <v>3604</v>
      </c>
      <c r="N261" s="157" t="str">
        <f>_xlfn.IFNA(VLOOKUP($M261,[1]Buff.CM!$A:$O,13,FALSE),"")</f>
        <v>icon_battle_attackspeed</v>
      </c>
      <c r="O261" s="157" t="str">
        <f>_xlfn.IFNA(VLOOKUP($M261,[1]Buff.CM!$A:$O,14,FALSE),"")</f>
        <v>Buff.Name.AtkSpeed.Down.03</v>
      </c>
      <c r="P261" s="231" t="str">
        <f>_xlfn.IFNA(VLOOKUP($M261,[1]Buff.CM!$A:$O,15,FALSE),"")</f>
        <v>Buff.Desc.AtkSpeed.Down.03</v>
      </c>
      <c r="Q261" s="234" t="b">
        <v>0</v>
      </c>
      <c r="R261" s="157" t="b">
        <v>0</v>
      </c>
    </row>
    <row r="262" spans="1:18" x14ac:dyDescent="0.3">
      <c r="A262" s="157" t="s">
        <v>3801</v>
      </c>
      <c r="B262" s="157"/>
      <c r="C262" s="157"/>
      <c r="D262" s="157">
        <v>5000</v>
      </c>
      <c r="E262" s="157">
        <v>0</v>
      </c>
      <c r="F262" s="157">
        <v>0</v>
      </c>
      <c r="G262" s="157" t="s">
        <v>3604</v>
      </c>
      <c r="H262" s="157"/>
      <c r="I262" s="157" t="b">
        <v>0</v>
      </c>
      <c r="J262" s="157" t="b">
        <v>0</v>
      </c>
      <c r="K262" s="233" t="b">
        <v>0</v>
      </c>
      <c r="L262" s="157" t="s">
        <v>55</v>
      </c>
      <c r="M262" s="157" t="s">
        <v>3604</v>
      </c>
      <c r="N262" s="157" t="str">
        <f>_xlfn.IFNA(VLOOKUP($M262,[1]Buff.CM!$A:$O,13,FALSE),"")</f>
        <v>icon_battle_attackspeed</v>
      </c>
      <c r="O262" s="157" t="str">
        <f>_xlfn.IFNA(VLOOKUP($M262,[1]Buff.CM!$A:$O,14,FALSE),"")</f>
        <v>Buff.Name.AtkSpeed.Down.03</v>
      </c>
      <c r="P262" s="231" t="str">
        <f>_xlfn.IFNA(VLOOKUP($M262,[1]Buff.CM!$A:$O,15,FALSE),"")</f>
        <v>Buff.Desc.AtkSpeed.Down.03</v>
      </c>
      <c r="Q262" s="234" t="b">
        <v>0</v>
      </c>
      <c r="R262" s="157" t="b">
        <v>0</v>
      </c>
    </row>
    <row r="263" spans="1:18" x14ac:dyDescent="0.3">
      <c r="A263" s="157" t="s">
        <v>3802</v>
      </c>
      <c r="B263" s="157"/>
      <c r="C263" s="157"/>
      <c r="D263" s="157">
        <v>5000</v>
      </c>
      <c r="E263" s="157">
        <v>0</v>
      </c>
      <c r="F263" s="157">
        <v>0</v>
      </c>
      <c r="G263" s="157" t="s">
        <v>3605</v>
      </c>
      <c r="H263" s="157"/>
      <c r="I263" s="157" t="b">
        <v>0</v>
      </c>
      <c r="J263" s="157" t="b">
        <v>0</v>
      </c>
      <c r="K263" s="233" t="b">
        <v>0</v>
      </c>
      <c r="L263" s="157" t="s">
        <v>55</v>
      </c>
      <c r="M263" s="157" t="s">
        <v>3605</v>
      </c>
      <c r="N263" s="157" t="str">
        <f>_xlfn.IFNA(VLOOKUP($M263,[1]Buff.CM!$A:$O,13,FALSE),"")</f>
        <v>icon_battle_attackspeed</v>
      </c>
      <c r="O263" s="157" t="str">
        <f>_xlfn.IFNA(VLOOKUP($M263,[1]Buff.CM!$A:$O,14,FALSE),"")</f>
        <v>Buff.Name.AtkSpeed.Down.04</v>
      </c>
      <c r="P263" s="231" t="str">
        <f>_xlfn.IFNA(VLOOKUP($M263,[1]Buff.CM!$A:$O,15,FALSE),"")</f>
        <v>Buff.Desc.AtkSpeed.Down.04</v>
      </c>
      <c r="Q263" s="234" t="b">
        <v>0</v>
      </c>
      <c r="R263" s="157" t="b">
        <v>0</v>
      </c>
    </row>
    <row r="264" spans="1:18" x14ac:dyDescent="0.3">
      <c r="A264" s="157" t="s">
        <v>3803</v>
      </c>
      <c r="B264" s="157"/>
      <c r="C264" s="157"/>
      <c r="D264" s="157">
        <v>6000</v>
      </c>
      <c r="E264" s="157">
        <v>0</v>
      </c>
      <c r="F264" s="157">
        <v>0</v>
      </c>
      <c r="G264" s="157" t="s">
        <v>3605</v>
      </c>
      <c r="H264" s="157"/>
      <c r="I264" s="157" t="b">
        <v>0</v>
      </c>
      <c r="J264" s="157" t="b">
        <v>0</v>
      </c>
      <c r="K264" s="233" t="b">
        <v>0</v>
      </c>
      <c r="L264" s="157" t="s">
        <v>55</v>
      </c>
      <c r="M264" s="157" t="s">
        <v>3605</v>
      </c>
      <c r="N264" s="157" t="str">
        <f>_xlfn.IFNA(VLOOKUP($M264,[1]Buff.CM!$A:$O,13,FALSE),"")</f>
        <v>icon_battle_attackspeed</v>
      </c>
      <c r="O264" s="157" t="str">
        <f>_xlfn.IFNA(VLOOKUP($M264,[1]Buff.CM!$A:$O,14,FALSE),"")</f>
        <v>Buff.Name.AtkSpeed.Down.04</v>
      </c>
      <c r="P264" s="231" t="str">
        <f>_xlfn.IFNA(VLOOKUP($M264,[1]Buff.CM!$A:$O,15,FALSE),"")</f>
        <v>Buff.Desc.AtkSpeed.Down.04</v>
      </c>
      <c r="Q264" s="234" t="b">
        <v>0</v>
      </c>
      <c r="R264" s="157" t="b">
        <v>0</v>
      </c>
    </row>
    <row r="265" spans="1:18" x14ac:dyDescent="0.3">
      <c r="A265" s="157" t="s">
        <v>3804</v>
      </c>
      <c r="B265" s="157"/>
      <c r="C265" s="157"/>
      <c r="D265" s="157">
        <v>6000</v>
      </c>
      <c r="E265" s="157">
        <v>0</v>
      </c>
      <c r="F265" s="157">
        <v>0</v>
      </c>
      <c r="G265" s="157" t="s">
        <v>3606</v>
      </c>
      <c r="H265" s="157"/>
      <c r="I265" s="157" t="b">
        <v>0</v>
      </c>
      <c r="J265" s="157" t="b">
        <v>0</v>
      </c>
      <c r="K265" s="233" t="b">
        <v>0</v>
      </c>
      <c r="L265" s="157" t="s">
        <v>55</v>
      </c>
      <c r="M265" s="157" t="s">
        <v>3606</v>
      </c>
      <c r="N265" s="157" t="str">
        <f>_xlfn.IFNA(VLOOKUP($M265,[1]Buff.CM!$A:$O,13,FALSE),"")</f>
        <v>icon_battle_attackspeed</v>
      </c>
      <c r="O265" s="157" t="str">
        <f>_xlfn.IFNA(VLOOKUP($M265,[1]Buff.CM!$A:$O,14,FALSE),"")</f>
        <v>Buff.Name.AtkSpeed.Down.05</v>
      </c>
      <c r="P265" s="231" t="str">
        <f>_xlfn.IFNA(VLOOKUP($M265,[1]Buff.CM!$A:$O,15,FALSE),"")</f>
        <v>Buff.Desc.AtkSpeed.Down.05</v>
      </c>
      <c r="Q265" s="234" t="b">
        <v>0</v>
      </c>
      <c r="R265" s="157" t="b">
        <v>0</v>
      </c>
    </row>
    <row r="266" spans="1:18" x14ac:dyDescent="0.3">
      <c r="A266" s="232" t="s">
        <v>3805</v>
      </c>
      <c r="B266" s="232"/>
      <c r="C266" s="232"/>
      <c r="D266" s="232">
        <v>7000</v>
      </c>
      <c r="E266" s="232">
        <v>0</v>
      </c>
      <c r="F266" s="232">
        <v>0</v>
      </c>
      <c r="G266" s="232" t="s">
        <v>3606</v>
      </c>
      <c r="H266" s="232"/>
      <c r="I266" s="232" t="b">
        <v>0</v>
      </c>
      <c r="J266" s="232" t="b">
        <v>0</v>
      </c>
      <c r="K266" s="232" t="b">
        <v>0</v>
      </c>
      <c r="L266" s="232" t="s">
        <v>55</v>
      </c>
      <c r="M266" s="232" t="s">
        <v>3606</v>
      </c>
      <c r="N266" s="232" t="str">
        <f>_xlfn.IFNA(VLOOKUP($M266,[1]Buff.CM!$A:$O,13,FALSE),"")</f>
        <v>icon_battle_attackspeed</v>
      </c>
      <c r="O266" s="232" t="str">
        <f>_xlfn.IFNA(VLOOKUP($M266,[1]Buff.CM!$A:$O,14,FALSE),"")</f>
        <v>Buff.Name.AtkSpeed.Down.05</v>
      </c>
      <c r="P266" s="232" t="str">
        <f>_xlfn.IFNA(VLOOKUP($M266,[1]Buff.CM!$A:$O,15,FALSE),"")</f>
        <v>Buff.Desc.AtkSpeed.Down.05</v>
      </c>
      <c r="Q266" s="232" t="b">
        <v>0</v>
      </c>
      <c r="R266" s="232" t="b">
        <v>0</v>
      </c>
    </row>
    <row r="267" spans="1:18" x14ac:dyDescent="0.3">
      <c r="A267" s="232" t="s">
        <v>3806</v>
      </c>
      <c r="B267" s="232"/>
      <c r="C267" s="232"/>
      <c r="D267" s="232">
        <v>7000</v>
      </c>
      <c r="E267" s="232">
        <v>0</v>
      </c>
      <c r="F267" s="232">
        <v>0</v>
      </c>
      <c r="G267" s="232" t="s">
        <v>3606</v>
      </c>
      <c r="H267" s="232"/>
      <c r="I267" s="232" t="b">
        <v>0</v>
      </c>
      <c r="J267" s="232" t="b">
        <v>0</v>
      </c>
      <c r="K267" s="232" t="b">
        <v>0</v>
      </c>
      <c r="L267" s="232" t="s">
        <v>55</v>
      </c>
      <c r="M267" s="232" t="s">
        <v>3606</v>
      </c>
      <c r="N267" s="232" t="str">
        <f>_xlfn.IFNA(VLOOKUP($M267,[1]Buff.CM!$A:$O,13,FALSE),"")</f>
        <v>icon_battle_attackspeed</v>
      </c>
      <c r="O267" s="232" t="str">
        <f>_xlfn.IFNA(VLOOKUP($M267,[1]Buff.CM!$A:$O,14,FALSE),"")</f>
        <v>Buff.Name.AtkSpeed.Down.05</v>
      </c>
      <c r="P267" s="232" t="str">
        <f>_xlfn.IFNA(VLOOKUP($M267,[1]Buff.CM!$A:$O,15,FALSE),"")</f>
        <v>Buff.Desc.AtkSpeed.Down.05</v>
      </c>
      <c r="Q267" s="232" t="b">
        <v>0</v>
      </c>
      <c r="R267" s="232" t="b">
        <v>0</v>
      </c>
    </row>
    <row r="268" spans="1:18" x14ac:dyDescent="0.3">
      <c r="A268" s="231" t="s">
        <v>3807</v>
      </c>
      <c r="B268" s="231"/>
      <c r="C268" s="231"/>
      <c r="D268" s="231">
        <v>100</v>
      </c>
      <c r="E268" s="231">
        <v>0</v>
      </c>
      <c r="F268" s="231">
        <v>0</v>
      </c>
      <c r="G268" s="242" t="s">
        <v>3607</v>
      </c>
      <c r="H268" s="231"/>
      <c r="I268" s="231" t="b">
        <v>0</v>
      </c>
      <c r="J268" s="231" t="b">
        <v>0</v>
      </c>
      <c r="K268" s="233" t="b">
        <v>1</v>
      </c>
      <c r="L268" s="157"/>
      <c r="M268" s="157"/>
      <c r="N268" s="231" t="str">
        <f>_xlfn.IFNA(VLOOKUP($M268,[1]Buff.CM!$A:$O,13,FALSE),"")</f>
        <v/>
      </c>
      <c r="O268" s="231" t="str">
        <f>_xlfn.IFNA(VLOOKUP($M268,[1]Buff.CM!$A:$O,14,FALSE),"")</f>
        <v/>
      </c>
      <c r="P268" s="157" t="str">
        <f>_xlfn.IFNA(VLOOKUP($M268,[1]Buff.CM!$A:$O,15,FALSE),"")</f>
        <v/>
      </c>
      <c r="Q268" s="234" t="b">
        <v>0</v>
      </c>
      <c r="R268" s="157" t="b">
        <v>0</v>
      </c>
    </row>
    <row r="269" spans="1:18" x14ac:dyDescent="0.3">
      <c r="A269" s="157" t="s">
        <v>3808</v>
      </c>
      <c r="B269" s="157"/>
      <c r="C269" s="157"/>
      <c r="D269" s="157">
        <v>8000</v>
      </c>
      <c r="E269" s="157">
        <v>0</v>
      </c>
      <c r="F269" s="157">
        <v>0</v>
      </c>
      <c r="G269" s="157" t="s">
        <v>3608</v>
      </c>
      <c r="H269" s="157"/>
      <c r="I269" s="157" t="b">
        <v>0</v>
      </c>
      <c r="J269" s="157" t="b">
        <v>0</v>
      </c>
      <c r="K269" s="157" t="b">
        <v>1</v>
      </c>
      <c r="L269" s="157" t="s">
        <v>3601</v>
      </c>
      <c r="M269" s="157" t="s">
        <v>3608</v>
      </c>
      <c r="N269" s="157" t="str">
        <f>_xlfn.IFNA(VLOOKUP($M269,[1]Buff.CM!$A:$O,13,FALSE),"")</f>
        <v>icon_battle_critical</v>
      </c>
      <c r="O269" s="157" t="str">
        <f>_xlfn.IFNA(VLOOKUP($M269,[1]Buff.CM!$A:$O,14,FALSE),"")</f>
        <v>Buff.Name.Critical.Up.03</v>
      </c>
      <c r="P269" s="157" t="str">
        <f>_xlfn.IFNA(VLOOKUP($M269,[1]Buff.CM!$A:$O,15,FALSE),"")</f>
        <v>Buff.Desc.Critical.Up.03</v>
      </c>
      <c r="Q269" s="157" t="b">
        <v>0</v>
      </c>
      <c r="R269" s="157" t="b">
        <v>0</v>
      </c>
    </row>
    <row r="270" spans="1:18" x14ac:dyDescent="0.3">
      <c r="A270" s="157" t="s">
        <v>3809</v>
      </c>
      <c r="B270" s="157"/>
      <c r="C270" s="157"/>
      <c r="D270" s="157">
        <v>9000</v>
      </c>
      <c r="E270" s="157">
        <v>0</v>
      </c>
      <c r="F270" s="157">
        <v>0</v>
      </c>
      <c r="G270" s="157" t="s">
        <v>3608</v>
      </c>
      <c r="H270" s="157"/>
      <c r="I270" s="157" t="b">
        <v>0</v>
      </c>
      <c r="J270" s="157" t="b">
        <v>0</v>
      </c>
      <c r="K270" s="157" t="b">
        <v>1</v>
      </c>
      <c r="L270" s="157" t="s">
        <v>3601</v>
      </c>
      <c r="M270" s="157" t="s">
        <v>3608</v>
      </c>
      <c r="N270" s="157" t="str">
        <f>_xlfn.IFNA(VLOOKUP($M270,[1]Buff.CM!$A:$O,13,FALSE),"")</f>
        <v>icon_battle_critical</v>
      </c>
      <c r="O270" s="157" t="str">
        <f>_xlfn.IFNA(VLOOKUP($M270,[1]Buff.CM!$A:$O,14,FALSE),"")</f>
        <v>Buff.Name.Critical.Up.03</v>
      </c>
      <c r="P270" s="157" t="str">
        <f>_xlfn.IFNA(VLOOKUP($M270,[1]Buff.CM!$A:$O,15,FALSE),"")</f>
        <v>Buff.Desc.Critical.Up.03</v>
      </c>
      <c r="Q270" s="157" t="b">
        <v>0</v>
      </c>
      <c r="R270" s="157" t="b">
        <v>0</v>
      </c>
    </row>
    <row r="271" spans="1:18" x14ac:dyDescent="0.3">
      <c r="A271" s="157" t="s">
        <v>3810</v>
      </c>
      <c r="B271" s="157"/>
      <c r="C271" s="157"/>
      <c r="D271" s="157">
        <v>10000</v>
      </c>
      <c r="E271" s="157">
        <v>0</v>
      </c>
      <c r="F271" s="157">
        <v>0</v>
      </c>
      <c r="G271" s="157" t="s">
        <v>3608</v>
      </c>
      <c r="H271" s="157"/>
      <c r="I271" s="157" t="b">
        <v>0</v>
      </c>
      <c r="J271" s="157" t="b">
        <v>0</v>
      </c>
      <c r="K271" s="157" t="b">
        <v>1</v>
      </c>
      <c r="L271" s="157" t="s">
        <v>3601</v>
      </c>
      <c r="M271" s="157" t="s">
        <v>3608</v>
      </c>
      <c r="N271" s="157" t="str">
        <f>_xlfn.IFNA(VLOOKUP($M271,[1]Buff.CM!$A:$O,13,FALSE),"")</f>
        <v>icon_battle_critical</v>
      </c>
      <c r="O271" s="157" t="str">
        <f>_xlfn.IFNA(VLOOKUP($M271,[1]Buff.CM!$A:$O,14,FALSE),"")</f>
        <v>Buff.Name.Critical.Up.03</v>
      </c>
      <c r="P271" s="157" t="str">
        <f>_xlfn.IFNA(VLOOKUP($M271,[1]Buff.CM!$A:$O,15,FALSE),"")</f>
        <v>Buff.Desc.Critical.Up.03</v>
      </c>
      <c r="Q271" s="157" t="b">
        <v>0</v>
      </c>
      <c r="R271" s="157" t="b">
        <v>0</v>
      </c>
    </row>
    <row r="272" spans="1:18" x14ac:dyDescent="0.3">
      <c r="A272" s="232" t="s">
        <v>3811</v>
      </c>
      <c r="B272" s="232"/>
      <c r="C272" s="232"/>
      <c r="D272" s="232">
        <v>11000</v>
      </c>
      <c r="E272" s="232">
        <v>0</v>
      </c>
      <c r="F272" s="232">
        <v>0</v>
      </c>
      <c r="G272" s="232" t="s">
        <v>3609</v>
      </c>
      <c r="H272" s="232"/>
      <c r="I272" s="232" t="b">
        <v>0</v>
      </c>
      <c r="J272" s="232" t="b">
        <v>0</v>
      </c>
      <c r="K272" s="232" t="b">
        <v>1</v>
      </c>
      <c r="L272" s="232" t="s">
        <v>3601</v>
      </c>
      <c r="M272" s="232" t="s">
        <v>3609</v>
      </c>
      <c r="N272" s="232" t="str">
        <f>_xlfn.IFNA(VLOOKUP($M272,[1]Buff.CM!$A:$O,13,FALSE),"")</f>
        <v>icon_battle_critical</v>
      </c>
      <c r="O272" s="232" t="str">
        <f>_xlfn.IFNA(VLOOKUP($M272,[1]Buff.CM!$A:$O,14,FALSE),"")</f>
        <v>Buff.Name.Critical.Up.04</v>
      </c>
      <c r="P272" s="232" t="str">
        <f>_xlfn.IFNA(VLOOKUP($M272,[1]Buff.CM!$A:$O,15,FALSE),"")</f>
        <v>Buff.Desc.Critical.Up.04</v>
      </c>
      <c r="Q272" s="232" t="b">
        <v>0</v>
      </c>
      <c r="R272" s="232" t="b">
        <v>0</v>
      </c>
    </row>
    <row r="273" spans="1:18" x14ac:dyDescent="0.3">
      <c r="A273" s="232" t="s">
        <v>3812</v>
      </c>
      <c r="B273" s="232"/>
      <c r="C273" s="232"/>
      <c r="D273" s="232">
        <v>7000</v>
      </c>
      <c r="E273" s="232">
        <v>0</v>
      </c>
      <c r="F273" s="232">
        <v>0</v>
      </c>
      <c r="G273" s="232" t="s">
        <v>3610</v>
      </c>
      <c r="H273" s="232"/>
      <c r="I273" s="232" t="b">
        <v>0</v>
      </c>
      <c r="J273" s="232" t="b">
        <v>0</v>
      </c>
      <c r="K273" s="232" t="b">
        <v>1</v>
      </c>
      <c r="L273" s="232" t="s">
        <v>3601</v>
      </c>
      <c r="M273" s="232" t="s">
        <v>3610</v>
      </c>
      <c r="N273" s="232" t="str">
        <f>_xlfn.IFNA(VLOOKUP($M273,[1]Buff.CM!$A:$O,13,FALSE),"")</f>
        <v>icon_battle_critical</v>
      </c>
      <c r="O273" s="232" t="str">
        <f>_xlfn.IFNA(VLOOKUP($M273,[1]Buff.CM!$A:$O,14,FALSE),"")</f>
        <v>Buff.Name.Critical.Up.05</v>
      </c>
      <c r="P273" s="232" t="str">
        <f>_xlfn.IFNA(VLOOKUP($M273,[1]Buff.CM!$A:$O,15,FALSE),"")</f>
        <v>Buff.Desc.Critical.Up.05</v>
      </c>
      <c r="Q273" s="232" t="b">
        <v>0</v>
      </c>
      <c r="R273" s="232" t="b">
        <v>0</v>
      </c>
    </row>
    <row r="274" spans="1:18" x14ac:dyDescent="0.3">
      <c r="A274" s="232" t="s">
        <v>3813</v>
      </c>
      <c r="B274" s="232"/>
      <c r="C274" s="232"/>
      <c r="D274" s="232">
        <v>7000</v>
      </c>
      <c r="E274" s="232">
        <v>0</v>
      </c>
      <c r="F274" s="232">
        <v>0</v>
      </c>
      <c r="G274" s="232" t="s">
        <v>3610</v>
      </c>
      <c r="H274" s="232"/>
      <c r="I274" s="232" t="b">
        <v>0</v>
      </c>
      <c r="J274" s="232" t="b">
        <v>0</v>
      </c>
      <c r="K274" s="232" t="b">
        <v>1</v>
      </c>
      <c r="L274" s="232" t="s">
        <v>3601</v>
      </c>
      <c r="M274" s="232" t="s">
        <v>3610</v>
      </c>
      <c r="N274" s="232" t="str">
        <f>_xlfn.IFNA(VLOOKUP($M274,[1]Buff.CM!$A:$O,13,FALSE),"")</f>
        <v>icon_battle_critical</v>
      </c>
      <c r="O274" s="232" t="str">
        <f>_xlfn.IFNA(VLOOKUP($M274,[1]Buff.CM!$A:$O,14,FALSE),"")</f>
        <v>Buff.Name.Critical.Up.05</v>
      </c>
      <c r="P274" s="232" t="str">
        <f>_xlfn.IFNA(VLOOKUP($M274,[1]Buff.CM!$A:$O,15,FALSE),"")</f>
        <v>Buff.Desc.Critical.Up.05</v>
      </c>
      <c r="Q274" s="232" t="b">
        <v>0</v>
      </c>
      <c r="R274" s="232" t="b">
        <v>0</v>
      </c>
    </row>
    <row r="275" spans="1:18" x14ac:dyDescent="0.3">
      <c r="A275" s="157" t="s">
        <v>3814</v>
      </c>
      <c r="B275" s="157"/>
      <c r="C275" s="157"/>
      <c r="D275" s="157">
        <v>0</v>
      </c>
      <c r="E275" s="157">
        <v>0</v>
      </c>
      <c r="F275" s="157">
        <v>0</v>
      </c>
      <c r="G275" s="157" t="s">
        <v>3751</v>
      </c>
      <c r="H275" s="157"/>
      <c r="I275" s="157" t="b">
        <v>0</v>
      </c>
      <c r="J275" s="157" t="b">
        <v>1</v>
      </c>
      <c r="K275" s="157" t="b">
        <v>1</v>
      </c>
      <c r="L275" s="157"/>
      <c r="M275" s="157"/>
      <c r="N275" s="157" t="str">
        <f>_xlfn.IFNA(VLOOKUP($M275,[1]Buff.CM!$A:$O,13,FALSE),"")</f>
        <v/>
      </c>
      <c r="O275" s="157" t="str">
        <f>_xlfn.IFNA(VLOOKUP($M275,[1]Buff.CM!$A:$O,14,FALSE),"")</f>
        <v/>
      </c>
      <c r="P275" s="157" t="str">
        <f>_xlfn.IFNA(VLOOKUP($M275,[1]Buff.CM!$A:$O,15,FALSE),"")</f>
        <v/>
      </c>
      <c r="Q275" s="157" t="b">
        <v>0</v>
      </c>
      <c r="R275" s="157" t="b">
        <v>0</v>
      </c>
    </row>
    <row r="276" spans="1:18" x14ac:dyDescent="0.3">
      <c r="A276" s="157" t="s">
        <v>3815</v>
      </c>
      <c r="B276" s="157"/>
      <c r="C276" s="157"/>
      <c r="D276" s="157">
        <v>0</v>
      </c>
      <c r="E276" s="157">
        <v>0</v>
      </c>
      <c r="F276" s="157">
        <v>0</v>
      </c>
      <c r="G276" s="157" t="s">
        <v>3753</v>
      </c>
      <c r="H276" s="157"/>
      <c r="I276" s="157" t="b">
        <v>0</v>
      </c>
      <c r="J276" s="157" t="b">
        <v>1</v>
      </c>
      <c r="K276" s="157" t="b">
        <v>1</v>
      </c>
      <c r="L276" s="157"/>
      <c r="M276" s="157"/>
      <c r="N276" s="157" t="str">
        <f>_xlfn.IFNA(VLOOKUP($M276,[1]Buff.CM!$A:$O,13,FALSE),"")</f>
        <v/>
      </c>
      <c r="O276" s="157" t="str">
        <f>_xlfn.IFNA(VLOOKUP($M276,[1]Buff.CM!$A:$O,14,FALSE),"")</f>
        <v/>
      </c>
      <c r="P276" s="157" t="str">
        <f>_xlfn.IFNA(VLOOKUP($M276,[1]Buff.CM!$A:$O,15,FALSE),"")</f>
        <v/>
      </c>
      <c r="Q276" s="157" t="b">
        <v>0</v>
      </c>
      <c r="R276" s="157" t="b">
        <v>0</v>
      </c>
    </row>
    <row r="277" spans="1:18" x14ac:dyDescent="0.3">
      <c r="A277" s="157" t="s">
        <v>3816</v>
      </c>
      <c r="B277" s="157"/>
      <c r="C277" s="157"/>
      <c r="D277" s="157">
        <v>0</v>
      </c>
      <c r="E277" s="157">
        <v>0</v>
      </c>
      <c r="F277" s="157">
        <v>0</v>
      </c>
      <c r="G277" s="157" t="s">
        <v>3755</v>
      </c>
      <c r="H277" s="157"/>
      <c r="I277" s="157" t="b">
        <v>0</v>
      </c>
      <c r="J277" s="157" t="b">
        <v>1</v>
      </c>
      <c r="K277" s="157" t="b">
        <v>1</v>
      </c>
      <c r="L277" s="157"/>
      <c r="M277" s="157"/>
      <c r="N277" s="157" t="str">
        <f>_xlfn.IFNA(VLOOKUP($M277,[1]Buff.CM!$A:$O,13,FALSE),"")</f>
        <v/>
      </c>
      <c r="O277" s="157" t="str">
        <f>_xlfn.IFNA(VLOOKUP($M277,[1]Buff.CM!$A:$O,14,FALSE),"")</f>
        <v/>
      </c>
      <c r="P277" s="157" t="str">
        <f>_xlfn.IFNA(VLOOKUP($M277,[1]Buff.CM!$A:$O,15,FALSE),"")</f>
        <v/>
      </c>
      <c r="Q277" s="157" t="b">
        <v>0</v>
      </c>
      <c r="R277" s="157" t="b">
        <v>0</v>
      </c>
    </row>
    <row r="278" spans="1:18" x14ac:dyDescent="0.3">
      <c r="A278" s="157" t="s">
        <v>3817</v>
      </c>
      <c r="B278" s="157"/>
      <c r="C278" s="157"/>
      <c r="D278" s="157">
        <v>0</v>
      </c>
      <c r="E278" s="157">
        <v>0</v>
      </c>
      <c r="F278" s="157">
        <v>0</v>
      </c>
      <c r="G278" s="157" t="s">
        <v>3757</v>
      </c>
      <c r="H278" s="157"/>
      <c r="I278" s="157" t="b">
        <v>0</v>
      </c>
      <c r="J278" s="157" t="b">
        <v>1</v>
      </c>
      <c r="K278" s="157" t="b">
        <v>1</v>
      </c>
      <c r="L278" s="157"/>
      <c r="M278" s="157"/>
      <c r="N278" s="157" t="str">
        <f>_xlfn.IFNA(VLOOKUP($M278,[1]Buff.CM!$A:$O,13,FALSE),"")</f>
        <v/>
      </c>
      <c r="O278" s="157" t="str">
        <f>_xlfn.IFNA(VLOOKUP($M278,[1]Buff.CM!$A:$O,14,FALSE),"")</f>
        <v/>
      </c>
      <c r="P278" s="157" t="str">
        <f>_xlfn.IFNA(VLOOKUP($M278,[1]Buff.CM!$A:$O,15,FALSE),"")</f>
        <v/>
      </c>
      <c r="Q278" s="157" t="b">
        <v>0</v>
      </c>
      <c r="R278" s="157" t="b">
        <v>0</v>
      </c>
    </row>
    <row r="279" spans="1:18" x14ac:dyDescent="0.3">
      <c r="A279" s="157" t="s">
        <v>3818</v>
      </c>
      <c r="B279" s="157"/>
      <c r="C279" s="157"/>
      <c r="D279" s="157">
        <v>0</v>
      </c>
      <c r="E279" s="157">
        <v>0</v>
      </c>
      <c r="F279" s="157">
        <v>0</v>
      </c>
      <c r="G279" s="157" t="s">
        <v>3759</v>
      </c>
      <c r="H279" s="157"/>
      <c r="I279" s="157" t="b">
        <v>0</v>
      </c>
      <c r="J279" s="157" t="b">
        <v>1</v>
      </c>
      <c r="K279" s="157" t="b">
        <v>1</v>
      </c>
      <c r="L279" s="157"/>
      <c r="M279" s="157"/>
      <c r="N279" s="157" t="str">
        <f>_xlfn.IFNA(VLOOKUP($M279,[1]Buff.CM!$A:$O,13,FALSE),"")</f>
        <v/>
      </c>
      <c r="O279" s="157" t="str">
        <f>_xlfn.IFNA(VLOOKUP($M279,[1]Buff.CM!$A:$O,14,FALSE),"")</f>
        <v/>
      </c>
      <c r="P279" s="157" t="str">
        <f>_xlfn.IFNA(VLOOKUP($M279,[1]Buff.CM!$A:$O,15,FALSE),"")</f>
        <v/>
      </c>
      <c r="Q279" s="157" t="b">
        <v>0</v>
      </c>
      <c r="R279" s="157" t="b">
        <v>0</v>
      </c>
    </row>
    <row r="280" spans="1:18" x14ac:dyDescent="0.3">
      <c r="A280" s="232" t="s">
        <v>3752</v>
      </c>
      <c r="B280" s="232"/>
      <c r="C280" s="232"/>
      <c r="D280" s="232">
        <v>0</v>
      </c>
      <c r="E280" s="232">
        <v>0</v>
      </c>
      <c r="F280" s="232">
        <v>0</v>
      </c>
      <c r="G280" s="232" t="s">
        <v>3761</v>
      </c>
      <c r="H280" s="232"/>
      <c r="I280" s="232" t="b">
        <v>0</v>
      </c>
      <c r="J280" s="157" t="b">
        <v>1</v>
      </c>
      <c r="K280" s="232" t="b">
        <v>1</v>
      </c>
      <c r="L280" s="232"/>
      <c r="M280" s="232"/>
      <c r="N280" s="232" t="str">
        <f>_xlfn.IFNA(VLOOKUP($M280,[1]Buff.CM!$A:$O,13,FALSE),"")</f>
        <v/>
      </c>
      <c r="O280" s="232" t="str">
        <f>_xlfn.IFNA(VLOOKUP($M280,[1]Buff.CM!$A:$O,14,FALSE),"")</f>
        <v/>
      </c>
      <c r="P280" s="232" t="str">
        <f>_xlfn.IFNA(VLOOKUP($M280,[1]Buff.CM!$A:$O,15,FALSE),"")</f>
        <v/>
      </c>
      <c r="Q280" s="232" t="b">
        <v>0</v>
      </c>
      <c r="R280" s="232" t="b">
        <v>0</v>
      </c>
    </row>
    <row r="281" spans="1:18" x14ac:dyDescent="0.3">
      <c r="A281" s="232" t="s">
        <v>3754</v>
      </c>
      <c r="B281" s="232"/>
      <c r="C281" s="232"/>
      <c r="D281" s="232">
        <v>0</v>
      </c>
      <c r="E281" s="232">
        <v>0</v>
      </c>
      <c r="F281" s="232">
        <v>0</v>
      </c>
      <c r="G281" s="232" t="s">
        <v>3763</v>
      </c>
      <c r="H281" s="232"/>
      <c r="I281" s="232" t="b">
        <v>0</v>
      </c>
      <c r="J281" s="157" t="b">
        <v>1</v>
      </c>
      <c r="K281" s="232" t="b">
        <v>1</v>
      </c>
      <c r="L281" s="232"/>
      <c r="M281" s="232"/>
      <c r="N281" s="232" t="str">
        <f>_xlfn.IFNA(VLOOKUP($M281,[1]Buff.CM!$A:$O,13,FALSE),"")</f>
        <v/>
      </c>
      <c r="O281" s="232" t="str">
        <f>_xlfn.IFNA(VLOOKUP($M281,[1]Buff.CM!$A:$O,14,FALSE),"")</f>
        <v/>
      </c>
      <c r="P281" s="232" t="str">
        <f>_xlfn.IFNA(VLOOKUP($M281,[1]Buff.CM!$A:$O,15,FALSE),"")</f>
        <v/>
      </c>
      <c r="Q281" s="232" t="b">
        <v>0</v>
      </c>
      <c r="R281" s="232" t="b">
        <v>0</v>
      </c>
    </row>
    <row r="282" spans="1:18" x14ac:dyDescent="0.3">
      <c r="A282" s="232" t="s">
        <v>3756</v>
      </c>
      <c r="B282" s="232"/>
      <c r="C282" s="232"/>
      <c r="D282" s="232">
        <v>0</v>
      </c>
      <c r="E282" s="232">
        <v>0</v>
      </c>
      <c r="F282" s="232">
        <v>0</v>
      </c>
      <c r="G282" s="232" t="s">
        <v>3765</v>
      </c>
      <c r="H282" s="232"/>
      <c r="I282" s="232" t="b">
        <v>0</v>
      </c>
      <c r="J282" s="157" t="b">
        <v>1</v>
      </c>
      <c r="K282" s="232" t="b">
        <v>1</v>
      </c>
      <c r="L282" s="232"/>
      <c r="M282" s="232"/>
      <c r="N282" s="232" t="str">
        <f>_xlfn.IFNA(VLOOKUP($M282,[1]Buff.CM!$A:$O,13,FALSE),"")</f>
        <v/>
      </c>
      <c r="O282" s="232" t="str">
        <f>_xlfn.IFNA(VLOOKUP($M282,[1]Buff.CM!$A:$O,14,FALSE),"")</f>
        <v/>
      </c>
      <c r="P282" s="232" t="str">
        <f>_xlfn.IFNA(VLOOKUP($M282,[1]Buff.CM!$A:$O,15,FALSE),"")</f>
        <v/>
      </c>
      <c r="Q282" s="232" t="b">
        <v>0</v>
      </c>
      <c r="R282" s="232" t="b">
        <v>0</v>
      </c>
    </row>
    <row r="283" spans="1:18" x14ac:dyDescent="0.3">
      <c r="A283" s="232" t="s">
        <v>3758</v>
      </c>
      <c r="B283" s="232"/>
      <c r="C283" s="232"/>
      <c r="D283" s="232">
        <v>0</v>
      </c>
      <c r="E283" s="232">
        <v>0</v>
      </c>
      <c r="F283" s="232">
        <v>0</v>
      </c>
      <c r="G283" s="232" t="s">
        <v>3767</v>
      </c>
      <c r="H283" s="232"/>
      <c r="I283" s="232" t="b">
        <v>0</v>
      </c>
      <c r="J283" s="157" t="b">
        <v>1</v>
      </c>
      <c r="K283" s="232" t="b">
        <v>1</v>
      </c>
      <c r="L283" s="232"/>
      <c r="M283" s="232"/>
      <c r="N283" s="232" t="str">
        <f>_xlfn.IFNA(VLOOKUP($M283,[1]Buff.CM!$A:$O,13,FALSE),"")</f>
        <v/>
      </c>
      <c r="O283" s="232" t="str">
        <f>_xlfn.IFNA(VLOOKUP($M283,[1]Buff.CM!$A:$O,14,FALSE),"")</f>
        <v/>
      </c>
      <c r="P283" s="232" t="str">
        <f>_xlfn.IFNA(VLOOKUP($M283,[1]Buff.CM!$A:$O,15,FALSE),"")</f>
        <v/>
      </c>
      <c r="Q283" s="232" t="b">
        <v>0</v>
      </c>
      <c r="R283" s="232" t="b">
        <v>0</v>
      </c>
    </row>
    <row r="284" spans="1:18" x14ac:dyDescent="0.3">
      <c r="A284" s="232" t="s">
        <v>3760</v>
      </c>
      <c r="B284" s="232"/>
      <c r="C284" s="232"/>
      <c r="D284" s="232">
        <v>0</v>
      </c>
      <c r="E284" s="232">
        <v>0</v>
      </c>
      <c r="F284" s="232">
        <v>0</v>
      </c>
      <c r="G284" s="232" t="s">
        <v>3769</v>
      </c>
      <c r="H284" s="232"/>
      <c r="I284" s="232" t="b">
        <v>0</v>
      </c>
      <c r="J284" s="157" t="b">
        <v>1</v>
      </c>
      <c r="K284" s="232" t="b">
        <v>1</v>
      </c>
      <c r="L284" s="232"/>
      <c r="M284" s="232"/>
      <c r="N284" s="232" t="str">
        <f>_xlfn.IFNA(VLOOKUP($M284,[1]Buff.CM!$A:$O,13,FALSE),"")</f>
        <v/>
      </c>
      <c r="O284" s="232" t="str">
        <f>_xlfn.IFNA(VLOOKUP($M284,[1]Buff.CM!$A:$O,14,FALSE),"")</f>
        <v/>
      </c>
      <c r="P284" s="232" t="str">
        <f>_xlfn.IFNA(VLOOKUP($M284,[1]Buff.CM!$A:$O,15,FALSE),"")</f>
        <v/>
      </c>
      <c r="Q284" s="232" t="b">
        <v>0</v>
      </c>
      <c r="R284" s="232" t="b">
        <v>0</v>
      </c>
    </row>
    <row r="285" spans="1:18" x14ac:dyDescent="0.3">
      <c r="A285" s="231" t="s">
        <v>3819</v>
      </c>
      <c r="B285" s="231"/>
      <c r="C285" s="231"/>
      <c r="D285" s="231">
        <v>0</v>
      </c>
      <c r="E285" s="231">
        <v>10</v>
      </c>
      <c r="F285" s="231">
        <v>1</v>
      </c>
      <c r="G285" s="231" t="s">
        <v>3771</v>
      </c>
      <c r="H285" s="231"/>
      <c r="I285" s="231" t="b">
        <v>1</v>
      </c>
      <c r="J285" s="157" t="b">
        <v>1</v>
      </c>
      <c r="K285" s="231" t="b">
        <v>1</v>
      </c>
      <c r="L285" s="231"/>
      <c r="M285" s="231"/>
      <c r="N285" s="231" t="str">
        <f>_xlfn.IFNA(VLOOKUP($M285,[1]Buff.CM!$A:$O,13,FALSE),"")</f>
        <v/>
      </c>
      <c r="O285" s="231" t="str">
        <f>_xlfn.IFNA(VLOOKUP($M285,[1]Buff.CM!$A:$O,14,FALSE),"")</f>
        <v/>
      </c>
      <c r="P285" s="231" t="str">
        <f>_xlfn.IFNA(VLOOKUP($M285,[1]Buff.CM!$A:$O,15,FALSE),"")</f>
        <v/>
      </c>
      <c r="Q285" s="231" t="b">
        <v>0</v>
      </c>
      <c r="R285" s="231" t="b">
        <v>0</v>
      </c>
    </row>
    <row r="286" spans="1:18" x14ac:dyDescent="0.3">
      <c r="A286" s="231" t="s">
        <v>3820</v>
      </c>
      <c r="B286" s="231"/>
      <c r="C286" s="231"/>
      <c r="D286" s="231">
        <v>0</v>
      </c>
      <c r="E286" s="231">
        <v>10</v>
      </c>
      <c r="F286" s="231">
        <v>1</v>
      </c>
      <c r="G286" s="231" t="s">
        <v>3774</v>
      </c>
      <c r="H286" s="231"/>
      <c r="I286" s="231" t="b">
        <v>1</v>
      </c>
      <c r="J286" s="157" t="b">
        <v>1</v>
      </c>
      <c r="K286" s="231" t="b">
        <v>1</v>
      </c>
      <c r="L286" s="231"/>
      <c r="M286" s="231"/>
      <c r="N286" s="231" t="str">
        <f>_xlfn.IFNA(VLOOKUP($M286,[1]Buff.CM!$A:$O,13,FALSE),"")</f>
        <v/>
      </c>
      <c r="O286" s="231" t="str">
        <f>_xlfn.IFNA(VLOOKUP($M286,[1]Buff.CM!$A:$O,14,FALSE),"")</f>
        <v/>
      </c>
      <c r="P286" s="231" t="str">
        <f>_xlfn.IFNA(VLOOKUP($M286,[1]Buff.CM!$A:$O,15,FALSE),"")</f>
        <v/>
      </c>
      <c r="Q286" s="231" t="b">
        <v>0</v>
      </c>
      <c r="R286" s="231" t="b">
        <v>0</v>
      </c>
    </row>
    <row r="287" spans="1:18" x14ac:dyDescent="0.3">
      <c r="A287" s="231" t="s">
        <v>3821</v>
      </c>
      <c r="B287" s="231"/>
      <c r="C287" s="231"/>
      <c r="D287" s="231">
        <v>0</v>
      </c>
      <c r="E287" s="231">
        <v>10</v>
      </c>
      <c r="F287" s="231">
        <v>1</v>
      </c>
      <c r="G287" s="231" t="s">
        <v>3776</v>
      </c>
      <c r="H287" s="231"/>
      <c r="I287" s="231" t="b">
        <v>1</v>
      </c>
      <c r="J287" s="157" t="b">
        <v>1</v>
      </c>
      <c r="K287" s="231" t="b">
        <v>1</v>
      </c>
      <c r="L287" s="231"/>
      <c r="M287" s="231"/>
      <c r="N287" s="231" t="str">
        <f>_xlfn.IFNA(VLOOKUP($M287,[1]Buff.CM!$A:$O,13,FALSE),"")</f>
        <v/>
      </c>
      <c r="O287" s="231" t="str">
        <f>_xlfn.IFNA(VLOOKUP($M287,[1]Buff.CM!$A:$O,14,FALSE),"")</f>
        <v/>
      </c>
      <c r="P287" s="231" t="str">
        <f>_xlfn.IFNA(VLOOKUP($M287,[1]Buff.CM!$A:$O,15,FALSE),"")</f>
        <v/>
      </c>
      <c r="Q287" s="231" t="b">
        <v>0</v>
      </c>
      <c r="R287" s="231" t="b">
        <v>0</v>
      </c>
    </row>
    <row r="288" spans="1:18" x14ac:dyDescent="0.3">
      <c r="A288" s="231" t="s">
        <v>3822</v>
      </c>
      <c r="B288" s="231"/>
      <c r="C288" s="231"/>
      <c r="D288" s="231">
        <v>0</v>
      </c>
      <c r="E288" s="231">
        <v>10</v>
      </c>
      <c r="F288" s="231">
        <v>1</v>
      </c>
      <c r="G288" s="231" t="s">
        <v>3778</v>
      </c>
      <c r="H288" s="231"/>
      <c r="I288" s="231" t="b">
        <v>1</v>
      </c>
      <c r="J288" s="157" t="b">
        <v>1</v>
      </c>
      <c r="K288" s="231" t="b">
        <v>1</v>
      </c>
      <c r="L288" s="231"/>
      <c r="M288" s="231"/>
      <c r="N288" s="231" t="str">
        <f>_xlfn.IFNA(VLOOKUP($M288,[1]Buff.CM!$A:$O,13,FALSE),"")</f>
        <v/>
      </c>
      <c r="O288" s="231" t="str">
        <f>_xlfn.IFNA(VLOOKUP($M288,[1]Buff.CM!$A:$O,14,FALSE),"")</f>
        <v/>
      </c>
      <c r="P288" s="231" t="str">
        <f>_xlfn.IFNA(VLOOKUP($M288,[1]Buff.CM!$A:$O,15,FALSE),"")</f>
        <v/>
      </c>
      <c r="Q288" s="231" t="b">
        <v>0</v>
      </c>
      <c r="R288" s="231" t="b">
        <v>0</v>
      </c>
    </row>
    <row r="289" spans="1:18" x14ac:dyDescent="0.3">
      <c r="A289" s="231" t="s">
        <v>3823</v>
      </c>
      <c r="B289" s="231"/>
      <c r="C289" s="231"/>
      <c r="D289" s="231">
        <v>0</v>
      </c>
      <c r="E289" s="231">
        <v>10</v>
      </c>
      <c r="F289" s="231">
        <v>1</v>
      </c>
      <c r="G289" s="231" t="s">
        <v>3780</v>
      </c>
      <c r="H289" s="231"/>
      <c r="I289" s="231" t="b">
        <v>1</v>
      </c>
      <c r="J289" s="157" t="b">
        <v>1</v>
      </c>
      <c r="K289" s="231" t="b">
        <v>1</v>
      </c>
      <c r="L289" s="231"/>
      <c r="M289" s="231"/>
      <c r="N289" s="231" t="str">
        <f>_xlfn.IFNA(VLOOKUP($M289,[1]Buff.CM!$A:$O,13,FALSE),"")</f>
        <v/>
      </c>
      <c r="O289" s="231" t="str">
        <f>_xlfn.IFNA(VLOOKUP($M289,[1]Buff.CM!$A:$O,14,FALSE),"")</f>
        <v/>
      </c>
      <c r="P289" s="231" t="str">
        <f>_xlfn.IFNA(VLOOKUP($M289,[1]Buff.CM!$A:$O,15,FALSE),"")</f>
        <v/>
      </c>
      <c r="Q289" s="231" t="b">
        <v>0</v>
      </c>
      <c r="R289" s="231" t="b">
        <v>0</v>
      </c>
    </row>
    <row r="290" spans="1:18" ht="33" x14ac:dyDescent="0.3">
      <c r="A290" s="157" t="s">
        <v>3824</v>
      </c>
      <c r="B290" s="157"/>
      <c r="C290" s="157"/>
      <c r="D290" s="157">
        <v>0</v>
      </c>
      <c r="E290" s="157">
        <v>0</v>
      </c>
      <c r="F290" s="157">
        <v>0</v>
      </c>
      <c r="G290" s="252" t="s">
        <v>3825</v>
      </c>
      <c r="H290" s="157"/>
      <c r="I290" s="157" t="b">
        <v>0</v>
      </c>
      <c r="J290" s="157" t="b">
        <v>1</v>
      </c>
      <c r="K290" s="157" t="b">
        <v>1</v>
      </c>
      <c r="L290" s="157"/>
      <c r="M290" s="157"/>
      <c r="N290" s="157" t="str">
        <f>_xlfn.IFNA(VLOOKUP($M290,[1]Buff.CM!$A:$O,13,FALSE),"")</f>
        <v/>
      </c>
      <c r="O290" s="157" t="str">
        <f>_xlfn.IFNA(VLOOKUP($M290,[1]Buff.CM!$A:$O,14,FALSE),"")</f>
        <v/>
      </c>
      <c r="P290" s="157" t="str">
        <f>_xlfn.IFNA(VLOOKUP($M290,[1]Buff.CM!$A:$O,15,FALSE),"")</f>
        <v/>
      </c>
      <c r="Q290" s="157" t="b">
        <v>0</v>
      </c>
      <c r="R290" s="157" t="b">
        <v>0</v>
      </c>
    </row>
    <row r="291" spans="1:18" ht="33" x14ac:dyDescent="0.3">
      <c r="A291" s="157" t="s">
        <v>3826</v>
      </c>
      <c r="B291" s="157"/>
      <c r="C291" s="157"/>
      <c r="D291" s="157">
        <v>0</v>
      </c>
      <c r="E291" s="157">
        <v>0</v>
      </c>
      <c r="F291" s="157">
        <v>0</v>
      </c>
      <c r="G291" s="252" t="s">
        <v>3827</v>
      </c>
      <c r="H291" s="157"/>
      <c r="I291" s="157" t="b">
        <v>0</v>
      </c>
      <c r="J291" s="157" t="b">
        <v>1</v>
      </c>
      <c r="K291" s="157" t="b">
        <v>1</v>
      </c>
      <c r="L291" s="157"/>
      <c r="M291" s="157"/>
      <c r="N291" s="157" t="str">
        <f>_xlfn.IFNA(VLOOKUP($M291,[1]Buff.CM!$A:$O,13,FALSE),"")</f>
        <v/>
      </c>
      <c r="O291" s="157" t="str">
        <f>_xlfn.IFNA(VLOOKUP($M291,[1]Buff.CM!$A:$O,14,FALSE),"")</f>
        <v/>
      </c>
      <c r="P291" s="157" t="str">
        <f>_xlfn.IFNA(VLOOKUP($M291,[1]Buff.CM!$A:$O,15,FALSE),"")</f>
        <v/>
      </c>
      <c r="Q291" s="157" t="b">
        <v>0</v>
      </c>
      <c r="R291" s="157" t="b">
        <v>0</v>
      </c>
    </row>
    <row r="292" spans="1:18" ht="33" x14ac:dyDescent="0.3">
      <c r="A292" s="157" t="s">
        <v>3828</v>
      </c>
      <c r="B292" s="157"/>
      <c r="C292" s="157"/>
      <c r="D292" s="157">
        <v>0</v>
      </c>
      <c r="E292" s="157">
        <v>0</v>
      </c>
      <c r="F292" s="157">
        <v>0</v>
      </c>
      <c r="G292" s="252" t="s">
        <v>3829</v>
      </c>
      <c r="H292" s="157"/>
      <c r="I292" s="157" t="b">
        <v>0</v>
      </c>
      <c r="J292" s="157" t="b">
        <v>1</v>
      </c>
      <c r="K292" s="157" t="b">
        <v>1</v>
      </c>
      <c r="L292" s="157"/>
      <c r="M292" s="157"/>
      <c r="N292" s="157" t="str">
        <f>_xlfn.IFNA(VLOOKUP($M292,[1]Buff.CM!$A:$O,13,FALSE),"")</f>
        <v/>
      </c>
      <c r="O292" s="157" t="str">
        <f>_xlfn.IFNA(VLOOKUP($M292,[1]Buff.CM!$A:$O,14,FALSE),"")</f>
        <v/>
      </c>
      <c r="P292" s="157" t="str">
        <f>_xlfn.IFNA(VLOOKUP($M292,[1]Buff.CM!$A:$O,15,FALSE),"")</f>
        <v/>
      </c>
      <c r="Q292" s="157" t="b">
        <v>0</v>
      </c>
      <c r="R292" s="157" t="b">
        <v>0</v>
      </c>
    </row>
    <row r="293" spans="1:18" ht="33" x14ac:dyDescent="0.3">
      <c r="A293" s="157" t="s">
        <v>3830</v>
      </c>
      <c r="B293" s="157"/>
      <c r="C293" s="157"/>
      <c r="D293" s="157">
        <v>0</v>
      </c>
      <c r="E293" s="157">
        <v>0</v>
      </c>
      <c r="F293" s="157">
        <v>0</v>
      </c>
      <c r="G293" s="252" t="s">
        <v>3831</v>
      </c>
      <c r="H293" s="157"/>
      <c r="I293" s="157" t="b">
        <v>0</v>
      </c>
      <c r="J293" s="157" t="b">
        <v>1</v>
      </c>
      <c r="K293" s="157" t="b">
        <v>1</v>
      </c>
      <c r="L293" s="157"/>
      <c r="M293" s="157"/>
      <c r="N293" s="157" t="str">
        <f>_xlfn.IFNA(VLOOKUP($M293,[1]Buff.CM!$A:$O,13,FALSE),"")</f>
        <v/>
      </c>
      <c r="O293" s="157" t="str">
        <f>_xlfn.IFNA(VLOOKUP($M293,[1]Buff.CM!$A:$O,14,FALSE),"")</f>
        <v/>
      </c>
      <c r="P293" s="157" t="str">
        <f>_xlfn.IFNA(VLOOKUP($M293,[1]Buff.CM!$A:$O,15,FALSE),"")</f>
        <v/>
      </c>
      <c r="Q293" s="157" t="b">
        <v>0</v>
      </c>
      <c r="R293" s="157" t="b">
        <v>0</v>
      </c>
    </row>
    <row r="294" spans="1:18" ht="33" x14ac:dyDescent="0.3">
      <c r="A294" s="157" t="s">
        <v>3832</v>
      </c>
      <c r="B294" s="157"/>
      <c r="C294" s="157"/>
      <c r="D294" s="157">
        <v>0</v>
      </c>
      <c r="E294" s="157">
        <v>0</v>
      </c>
      <c r="F294" s="157">
        <v>0</v>
      </c>
      <c r="G294" s="252" t="s">
        <v>3833</v>
      </c>
      <c r="H294" s="157"/>
      <c r="I294" s="157" t="b">
        <v>0</v>
      </c>
      <c r="J294" s="157" t="b">
        <v>1</v>
      </c>
      <c r="K294" s="157" t="b">
        <v>1</v>
      </c>
      <c r="L294" s="157"/>
      <c r="M294" s="157"/>
      <c r="N294" s="157" t="str">
        <f>_xlfn.IFNA(VLOOKUP($M294,[1]Buff.CM!$A:$O,13,FALSE),"")</f>
        <v/>
      </c>
      <c r="O294" s="157" t="str">
        <f>_xlfn.IFNA(VLOOKUP($M294,[1]Buff.CM!$A:$O,14,FALSE),"")</f>
        <v/>
      </c>
      <c r="P294" s="157" t="str">
        <f>_xlfn.IFNA(VLOOKUP($M294,[1]Buff.CM!$A:$O,15,FALSE),"")</f>
        <v/>
      </c>
      <c r="Q294" s="157" t="b">
        <v>0</v>
      </c>
      <c r="R294" s="157" t="b">
        <v>0</v>
      </c>
    </row>
    <row r="295" spans="1:18" x14ac:dyDescent="0.3">
      <c r="A295" s="231" t="s">
        <v>3834</v>
      </c>
      <c r="B295" s="231"/>
      <c r="C295" s="231"/>
      <c r="D295" s="231">
        <v>8000</v>
      </c>
      <c r="E295" s="157">
        <v>0</v>
      </c>
      <c r="F295" s="157">
        <v>0</v>
      </c>
      <c r="G295" s="231" t="s">
        <v>3600</v>
      </c>
      <c r="H295" s="231"/>
      <c r="I295" s="157" t="b">
        <v>0</v>
      </c>
      <c r="J295" s="231" t="b">
        <v>0</v>
      </c>
      <c r="K295" s="231" t="b">
        <v>1</v>
      </c>
      <c r="L295" s="231" t="s">
        <v>3601</v>
      </c>
      <c r="M295" s="231" t="s">
        <v>3600</v>
      </c>
      <c r="N295" s="231" t="str">
        <f>_xlfn.IFNA(VLOOKUP($M295,[1]Buff.CM!$A:$O,13,FALSE),"")</f>
        <v>icon_battle_criticaldamage</v>
      </c>
      <c r="O295" s="231" t="str">
        <f>_xlfn.IFNA(VLOOKUP($M295,[1]Buff.CM!$A:$O,14,FALSE),"")</f>
        <v>Buff.Name.CriticalDamage.Up.01</v>
      </c>
      <c r="P295" s="231" t="str">
        <f>_xlfn.IFNA(VLOOKUP($M295,[1]Buff.CM!$A:$O,15,FALSE),"")</f>
        <v>Buff.Desc.CriticalDamage.Up.01</v>
      </c>
      <c r="Q295" s="231" t="b">
        <v>0</v>
      </c>
      <c r="R295" s="231" t="b">
        <v>0</v>
      </c>
    </row>
    <row r="296" spans="1:18" x14ac:dyDescent="0.3">
      <c r="A296" s="231" t="s">
        <v>3835</v>
      </c>
      <c r="B296" s="231"/>
      <c r="C296" s="231"/>
      <c r="D296" s="231">
        <v>9000</v>
      </c>
      <c r="E296" s="157">
        <v>0</v>
      </c>
      <c r="F296" s="157">
        <v>0</v>
      </c>
      <c r="G296" s="231" t="s">
        <v>3600</v>
      </c>
      <c r="H296" s="231"/>
      <c r="I296" s="157" t="b">
        <v>0</v>
      </c>
      <c r="J296" s="231" t="b">
        <v>0</v>
      </c>
      <c r="K296" s="231" t="b">
        <v>1</v>
      </c>
      <c r="L296" s="231" t="s">
        <v>3601</v>
      </c>
      <c r="M296" s="231" t="s">
        <v>3600</v>
      </c>
      <c r="N296" s="231" t="str">
        <f>_xlfn.IFNA(VLOOKUP($M296,[1]Buff.CM!$A:$O,13,FALSE),"")</f>
        <v>icon_battle_criticaldamage</v>
      </c>
      <c r="O296" s="231" t="str">
        <f>_xlfn.IFNA(VLOOKUP($M296,[1]Buff.CM!$A:$O,14,FALSE),"")</f>
        <v>Buff.Name.CriticalDamage.Up.01</v>
      </c>
      <c r="P296" s="231" t="str">
        <f>_xlfn.IFNA(VLOOKUP($M296,[1]Buff.CM!$A:$O,15,FALSE),"")</f>
        <v>Buff.Desc.CriticalDamage.Up.01</v>
      </c>
      <c r="Q296" s="231" t="b">
        <v>0</v>
      </c>
      <c r="R296" s="231" t="b">
        <v>0</v>
      </c>
    </row>
    <row r="297" spans="1:18" x14ac:dyDescent="0.3">
      <c r="A297" s="231" t="s">
        <v>3836</v>
      </c>
      <c r="B297" s="231"/>
      <c r="C297" s="231"/>
      <c r="D297" s="231">
        <v>10000</v>
      </c>
      <c r="E297" s="157">
        <v>0</v>
      </c>
      <c r="F297" s="157">
        <v>0</v>
      </c>
      <c r="G297" s="231" t="s">
        <v>3600</v>
      </c>
      <c r="H297" s="231"/>
      <c r="I297" s="157" t="b">
        <v>0</v>
      </c>
      <c r="J297" s="231" t="b">
        <v>0</v>
      </c>
      <c r="K297" s="231" t="b">
        <v>1</v>
      </c>
      <c r="L297" s="231" t="s">
        <v>3601</v>
      </c>
      <c r="M297" s="231" t="s">
        <v>3600</v>
      </c>
      <c r="N297" s="231" t="str">
        <f>_xlfn.IFNA(VLOOKUP($M297,[1]Buff.CM!$A:$O,13,FALSE),"")</f>
        <v>icon_battle_criticaldamage</v>
      </c>
      <c r="O297" s="231" t="str">
        <f>_xlfn.IFNA(VLOOKUP($M297,[1]Buff.CM!$A:$O,14,FALSE),"")</f>
        <v>Buff.Name.CriticalDamage.Up.01</v>
      </c>
      <c r="P297" s="231" t="str">
        <f>_xlfn.IFNA(VLOOKUP($M297,[1]Buff.CM!$A:$O,15,FALSE),"")</f>
        <v>Buff.Desc.CriticalDamage.Up.01</v>
      </c>
      <c r="Q297" s="231" t="b">
        <v>0</v>
      </c>
      <c r="R297" s="231" t="b">
        <v>0</v>
      </c>
    </row>
    <row r="298" spans="1:18" x14ac:dyDescent="0.3">
      <c r="A298" s="231" t="s">
        <v>3837</v>
      </c>
      <c r="B298" s="231"/>
      <c r="C298" s="231"/>
      <c r="D298" s="231">
        <v>11000</v>
      </c>
      <c r="E298" s="157">
        <v>0</v>
      </c>
      <c r="F298" s="157">
        <v>0</v>
      </c>
      <c r="G298" s="231" t="s">
        <v>3600</v>
      </c>
      <c r="H298" s="231"/>
      <c r="I298" s="157" t="b">
        <v>0</v>
      </c>
      <c r="J298" s="231" t="b">
        <v>0</v>
      </c>
      <c r="K298" s="231" t="b">
        <v>1</v>
      </c>
      <c r="L298" s="231" t="s">
        <v>3601</v>
      </c>
      <c r="M298" s="231" t="s">
        <v>3600</v>
      </c>
      <c r="N298" s="231" t="str">
        <f>_xlfn.IFNA(VLOOKUP($M298,[1]Buff.CM!$A:$O,13,FALSE),"")</f>
        <v>icon_battle_criticaldamage</v>
      </c>
      <c r="O298" s="231" t="str">
        <f>_xlfn.IFNA(VLOOKUP($M298,[1]Buff.CM!$A:$O,14,FALSE),"")</f>
        <v>Buff.Name.CriticalDamage.Up.01</v>
      </c>
      <c r="P298" s="231" t="str">
        <f>_xlfn.IFNA(VLOOKUP($M298,[1]Buff.CM!$A:$O,15,FALSE),"")</f>
        <v>Buff.Desc.CriticalDamage.Up.01</v>
      </c>
      <c r="Q298" s="231" t="b">
        <v>0</v>
      </c>
      <c r="R298" s="231" t="b">
        <v>0</v>
      </c>
    </row>
    <row r="299" spans="1:18" x14ac:dyDescent="0.3">
      <c r="A299" s="231" t="s">
        <v>3838</v>
      </c>
      <c r="B299" s="231"/>
      <c r="C299" s="231"/>
      <c r="D299" s="231">
        <v>6500</v>
      </c>
      <c r="E299" s="157">
        <v>0</v>
      </c>
      <c r="F299" s="157">
        <v>0</v>
      </c>
      <c r="G299" s="231" t="s">
        <v>3600</v>
      </c>
      <c r="H299" s="231"/>
      <c r="I299" s="157" t="b">
        <v>0</v>
      </c>
      <c r="J299" s="231" t="b">
        <v>0</v>
      </c>
      <c r="K299" s="231" t="b">
        <v>1</v>
      </c>
      <c r="L299" s="231" t="s">
        <v>3601</v>
      </c>
      <c r="M299" s="231" t="s">
        <v>3600</v>
      </c>
      <c r="N299" s="231" t="str">
        <f>_xlfn.IFNA(VLOOKUP($M299,[1]Buff.CM!$A:$O,13,FALSE),"")</f>
        <v>icon_battle_criticaldamage</v>
      </c>
      <c r="O299" s="231" t="str">
        <f>_xlfn.IFNA(VLOOKUP($M299,[1]Buff.CM!$A:$O,14,FALSE),"")</f>
        <v>Buff.Name.CriticalDamage.Up.01</v>
      </c>
      <c r="P299" s="231" t="str">
        <f>_xlfn.IFNA(VLOOKUP($M299,[1]Buff.CM!$A:$O,15,FALSE),"")</f>
        <v>Buff.Desc.CriticalDamage.Up.01</v>
      </c>
      <c r="Q299" s="231" t="b">
        <v>0</v>
      </c>
      <c r="R299" s="231" t="b">
        <v>0</v>
      </c>
    </row>
    <row r="300" spans="1:18" x14ac:dyDescent="0.3">
      <c r="A300" s="233" t="s">
        <v>3927</v>
      </c>
      <c r="B300" s="233"/>
      <c r="C300" s="233"/>
      <c r="D300" s="233">
        <v>5000</v>
      </c>
      <c r="E300" s="233">
        <v>0</v>
      </c>
      <c r="F300" s="233">
        <v>0</v>
      </c>
      <c r="G300" s="233" t="s">
        <v>3611</v>
      </c>
      <c r="H300" s="233"/>
      <c r="I300" s="233" t="b">
        <v>0</v>
      </c>
      <c r="J300" s="233" t="b">
        <v>0</v>
      </c>
      <c r="K300" s="233" t="b">
        <v>0</v>
      </c>
      <c r="L300" s="233" t="s">
        <v>583</v>
      </c>
      <c r="M300" s="233" t="s">
        <v>3612</v>
      </c>
      <c r="N300" s="233" t="str">
        <f>_xlfn.IFNA(VLOOKUP($M300,[1]Buff.CM!$A:$O,13,FALSE),"")</f>
        <v>icon_battle_shock</v>
      </c>
      <c r="O300" s="233" t="str">
        <f>_xlfn.IFNA(VLOOKUP($M300,[1]Buff.CM!$A:$O,14,FALSE),"")</f>
        <v>Buff.Name.Electric</v>
      </c>
      <c r="P300" s="233" t="str">
        <f>_xlfn.IFNA(VLOOKUP($M300,[1]Buff.CM!$A:$O,15,FALSE),"")</f>
        <v>Buff.Desc.Electric</v>
      </c>
      <c r="Q300" s="233" t="b">
        <v>0</v>
      </c>
      <c r="R300" s="233" t="b">
        <v>0</v>
      </c>
    </row>
    <row r="301" spans="1:18" x14ac:dyDescent="0.3">
      <c r="A301" s="233" t="s">
        <v>3928</v>
      </c>
      <c r="B301" s="233"/>
      <c r="C301" s="233"/>
      <c r="D301" s="233">
        <v>6000</v>
      </c>
      <c r="E301" s="233">
        <v>0</v>
      </c>
      <c r="F301" s="233">
        <v>0</v>
      </c>
      <c r="G301" s="233" t="s">
        <v>3611</v>
      </c>
      <c r="H301" s="233"/>
      <c r="I301" s="233" t="b">
        <v>0</v>
      </c>
      <c r="J301" s="233" t="b">
        <v>0</v>
      </c>
      <c r="K301" s="233" t="b">
        <v>0</v>
      </c>
      <c r="L301" s="233" t="s">
        <v>583</v>
      </c>
      <c r="M301" s="233" t="s">
        <v>3612</v>
      </c>
      <c r="N301" s="233" t="str">
        <f>_xlfn.IFNA(VLOOKUP($M301,[1]Buff.CM!$A:$O,13,FALSE),"")</f>
        <v>icon_battle_shock</v>
      </c>
      <c r="O301" s="233" t="str">
        <f>_xlfn.IFNA(VLOOKUP($M301,[1]Buff.CM!$A:$O,14,FALSE),"")</f>
        <v>Buff.Name.Electric</v>
      </c>
      <c r="P301" s="233" t="str">
        <f>_xlfn.IFNA(VLOOKUP($M301,[1]Buff.CM!$A:$O,15,FALSE),"")</f>
        <v>Buff.Desc.Electric</v>
      </c>
      <c r="Q301" s="233" t="b">
        <v>0</v>
      </c>
      <c r="R301" s="233" t="b">
        <v>0</v>
      </c>
    </row>
    <row r="302" spans="1:18" x14ac:dyDescent="0.3">
      <c r="A302" s="233" t="s">
        <v>3929</v>
      </c>
      <c r="B302" s="233"/>
      <c r="C302" s="233"/>
      <c r="D302" s="233">
        <v>6000</v>
      </c>
      <c r="E302" s="233">
        <v>0</v>
      </c>
      <c r="F302" s="233">
        <v>0</v>
      </c>
      <c r="G302" s="233" t="s">
        <v>3613</v>
      </c>
      <c r="H302" s="233"/>
      <c r="I302" s="233" t="b">
        <v>0</v>
      </c>
      <c r="J302" s="233" t="b">
        <v>0</v>
      </c>
      <c r="K302" s="233" t="b">
        <v>0</v>
      </c>
      <c r="L302" s="233" t="s">
        <v>583</v>
      </c>
      <c r="M302" s="233" t="s">
        <v>3612</v>
      </c>
      <c r="N302" s="233" t="str">
        <f>_xlfn.IFNA(VLOOKUP($M302,[1]Buff.CM!$A:$O,13,FALSE),"")</f>
        <v>icon_battle_shock</v>
      </c>
      <c r="O302" s="233" t="str">
        <f>_xlfn.IFNA(VLOOKUP($M302,[1]Buff.CM!$A:$O,14,FALSE),"")</f>
        <v>Buff.Name.Electric</v>
      </c>
      <c r="P302" s="233" t="str">
        <f>_xlfn.IFNA(VLOOKUP($M302,[1]Buff.CM!$A:$O,15,FALSE),"")</f>
        <v>Buff.Desc.Electric</v>
      </c>
      <c r="Q302" s="233" t="b">
        <v>0</v>
      </c>
      <c r="R302" s="233" t="b">
        <v>0</v>
      </c>
    </row>
    <row r="303" spans="1:18" x14ac:dyDescent="0.3">
      <c r="A303" s="233" t="s">
        <v>3930</v>
      </c>
      <c r="B303" s="233"/>
      <c r="C303" s="233"/>
      <c r="D303" s="233">
        <v>7000</v>
      </c>
      <c r="E303" s="233">
        <v>0</v>
      </c>
      <c r="F303" s="233">
        <v>0</v>
      </c>
      <c r="G303" s="233" t="s">
        <v>3613</v>
      </c>
      <c r="H303" s="233"/>
      <c r="I303" s="233" t="b">
        <v>0</v>
      </c>
      <c r="J303" s="233" t="b">
        <v>0</v>
      </c>
      <c r="K303" s="233" t="b">
        <v>0</v>
      </c>
      <c r="L303" s="233" t="s">
        <v>583</v>
      </c>
      <c r="M303" s="233" t="s">
        <v>3612</v>
      </c>
      <c r="N303" s="233" t="str">
        <f>_xlfn.IFNA(VLOOKUP($M303,[1]Buff.CM!$A:$O,13,FALSE),"")</f>
        <v>icon_battle_shock</v>
      </c>
      <c r="O303" s="233" t="str">
        <f>_xlfn.IFNA(VLOOKUP($M303,[1]Buff.CM!$A:$O,14,FALSE),"")</f>
        <v>Buff.Name.Electric</v>
      </c>
      <c r="P303" s="233" t="str">
        <f>_xlfn.IFNA(VLOOKUP($M303,[1]Buff.CM!$A:$O,15,FALSE),"")</f>
        <v>Buff.Desc.Electric</v>
      </c>
      <c r="Q303" s="233" t="b">
        <v>0</v>
      </c>
      <c r="R303" s="233" t="b">
        <v>0</v>
      </c>
    </row>
    <row r="304" spans="1:18" x14ac:dyDescent="0.3">
      <c r="A304" s="233" t="s">
        <v>3931</v>
      </c>
      <c r="B304" s="233"/>
      <c r="C304" s="233"/>
      <c r="D304" s="233">
        <v>8000</v>
      </c>
      <c r="E304" s="233">
        <v>0</v>
      </c>
      <c r="F304" s="233">
        <v>0</v>
      </c>
      <c r="G304" s="233" t="s">
        <v>3613</v>
      </c>
      <c r="H304" s="233"/>
      <c r="I304" s="233" t="b">
        <v>0</v>
      </c>
      <c r="J304" s="233" t="b">
        <v>0</v>
      </c>
      <c r="K304" s="233" t="b">
        <v>0</v>
      </c>
      <c r="L304" s="233" t="s">
        <v>583</v>
      </c>
      <c r="M304" s="233" t="s">
        <v>3612</v>
      </c>
      <c r="N304" s="233" t="str">
        <f>_xlfn.IFNA(VLOOKUP($M304,[1]Buff.CM!$A:$O,13,FALSE),"")</f>
        <v>icon_battle_shock</v>
      </c>
      <c r="O304" s="233" t="str">
        <f>_xlfn.IFNA(VLOOKUP($M304,[1]Buff.CM!$A:$O,14,FALSE),"")</f>
        <v>Buff.Name.Electric</v>
      </c>
      <c r="P304" s="233" t="str">
        <f>_xlfn.IFNA(VLOOKUP($M304,[1]Buff.CM!$A:$O,15,FALSE),"")</f>
        <v>Buff.Desc.Electric</v>
      </c>
      <c r="Q304" s="233" t="b">
        <v>0</v>
      </c>
      <c r="R304" s="233" t="b">
        <v>0</v>
      </c>
    </row>
    <row r="305" spans="1:18" x14ac:dyDescent="0.3">
      <c r="A305" s="261" t="s">
        <v>3932</v>
      </c>
      <c r="B305" s="231"/>
      <c r="C305" s="231"/>
      <c r="D305" s="231">
        <v>5000</v>
      </c>
      <c r="E305" s="231">
        <v>0</v>
      </c>
      <c r="F305" s="231">
        <v>0</v>
      </c>
      <c r="G305" s="231" t="s">
        <v>3614</v>
      </c>
      <c r="H305" s="231"/>
      <c r="I305" s="231" t="b">
        <v>0</v>
      </c>
      <c r="J305" s="231" t="b">
        <v>0</v>
      </c>
      <c r="K305" s="231" t="b">
        <v>0</v>
      </c>
      <c r="L305" s="234" t="s">
        <v>55</v>
      </c>
      <c r="M305" s="234" t="s">
        <v>3614</v>
      </c>
      <c r="N305" s="231" t="str">
        <f>_xlfn.IFNA(VLOOKUP($M305,[1]Buff.CM!$A:$O,13,FALSE),"")</f>
        <v>icon_battle_guardreduce</v>
      </c>
      <c r="O305" s="231" t="str">
        <f>_xlfn.IFNA(VLOOKUP($M305,[1]Buff.CM!$A:$O,14,FALSE),"")</f>
        <v>Buff.Name.GuardRate.Down.01</v>
      </c>
      <c r="P305" s="231" t="str">
        <f>_xlfn.IFNA(VLOOKUP($M305,[1]Buff.CM!$A:$O,15,FALSE),"")</f>
        <v>Buff.Desc.GuardRate.Down.01</v>
      </c>
      <c r="Q305" s="231" t="b">
        <v>0</v>
      </c>
      <c r="R305" s="231" t="b">
        <v>0</v>
      </c>
    </row>
    <row r="306" spans="1:18" x14ac:dyDescent="0.3">
      <c r="A306" s="261" t="s">
        <v>3933</v>
      </c>
      <c r="B306" s="231"/>
      <c r="C306" s="231"/>
      <c r="D306" s="231">
        <v>6000</v>
      </c>
      <c r="E306" s="231">
        <v>0</v>
      </c>
      <c r="F306" s="231">
        <v>0</v>
      </c>
      <c r="G306" s="231" t="s">
        <v>3614</v>
      </c>
      <c r="H306" s="231"/>
      <c r="I306" s="231" t="b">
        <v>0</v>
      </c>
      <c r="J306" s="231" t="b">
        <v>0</v>
      </c>
      <c r="K306" s="231" t="b">
        <v>0</v>
      </c>
      <c r="L306" s="234" t="s">
        <v>55</v>
      </c>
      <c r="M306" s="234" t="s">
        <v>3614</v>
      </c>
      <c r="N306" s="231" t="str">
        <f>_xlfn.IFNA(VLOOKUP($M306,[1]Buff.CM!$A:$O,13,FALSE),"")</f>
        <v>icon_battle_guardreduce</v>
      </c>
      <c r="O306" s="231" t="str">
        <f>_xlfn.IFNA(VLOOKUP($M306,[1]Buff.CM!$A:$O,14,FALSE),"")</f>
        <v>Buff.Name.GuardRate.Down.01</v>
      </c>
      <c r="P306" s="231" t="str">
        <f>_xlfn.IFNA(VLOOKUP($M306,[1]Buff.CM!$A:$O,15,FALSE),"")</f>
        <v>Buff.Desc.GuardRate.Down.01</v>
      </c>
      <c r="Q306" s="231" t="b">
        <v>0</v>
      </c>
      <c r="R306" s="231" t="b">
        <v>0</v>
      </c>
    </row>
    <row r="307" spans="1:18" x14ac:dyDescent="0.3">
      <c r="A307" s="261" t="s">
        <v>3934</v>
      </c>
      <c r="B307" s="231"/>
      <c r="C307" s="231"/>
      <c r="D307" s="231">
        <v>6000</v>
      </c>
      <c r="E307" s="231">
        <v>0</v>
      </c>
      <c r="F307" s="231">
        <v>0</v>
      </c>
      <c r="G307" s="231" t="s">
        <v>3615</v>
      </c>
      <c r="H307" s="231"/>
      <c r="I307" s="231" t="b">
        <v>0</v>
      </c>
      <c r="J307" s="231" t="b">
        <v>0</v>
      </c>
      <c r="K307" s="231" t="b">
        <v>0</v>
      </c>
      <c r="L307" s="234" t="s">
        <v>55</v>
      </c>
      <c r="M307" s="234" t="s">
        <v>3615</v>
      </c>
      <c r="N307" s="231" t="str">
        <f>_xlfn.IFNA(VLOOKUP($M307,[1]Buff.CM!$A:$O,13,FALSE),"")</f>
        <v>icon_battle_guardreduce</v>
      </c>
      <c r="O307" s="231" t="str">
        <f>_xlfn.IFNA(VLOOKUP($M307,[1]Buff.CM!$A:$O,14,FALSE),"")</f>
        <v>Buff.Name.GuardRate.Down.02</v>
      </c>
      <c r="P307" s="231" t="str">
        <f>_xlfn.IFNA(VLOOKUP($M307,[1]Buff.CM!$A:$O,15,FALSE),"")</f>
        <v>Buff.Desc.GuardRate.Down.02</v>
      </c>
      <c r="Q307" s="231" t="b">
        <v>0</v>
      </c>
      <c r="R307" s="231" t="b">
        <v>0</v>
      </c>
    </row>
    <row r="308" spans="1:18" x14ac:dyDescent="0.3">
      <c r="A308" s="261" t="s">
        <v>3935</v>
      </c>
      <c r="B308" s="231"/>
      <c r="C308" s="231"/>
      <c r="D308" s="231">
        <v>7000</v>
      </c>
      <c r="E308" s="231">
        <v>0</v>
      </c>
      <c r="F308" s="231">
        <v>0</v>
      </c>
      <c r="G308" s="231" t="s">
        <v>3615</v>
      </c>
      <c r="H308" s="231"/>
      <c r="I308" s="231" t="b">
        <v>0</v>
      </c>
      <c r="J308" s="231" t="b">
        <v>0</v>
      </c>
      <c r="K308" s="231" t="b">
        <v>0</v>
      </c>
      <c r="L308" s="234" t="s">
        <v>55</v>
      </c>
      <c r="M308" s="234" t="s">
        <v>3615</v>
      </c>
      <c r="N308" s="231" t="str">
        <f>_xlfn.IFNA(VLOOKUP($M308,[1]Buff.CM!$A:$O,13,FALSE),"")</f>
        <v>icon_battle_guardreduce</v>
      </c>
      <c r="O308" s="231" t="str">
        <f>_xlfn.IFNA(VLOOKUP($M308,[1]Buff.CM!$A:$O,14,FALSE),"")</f>
        <v>Buff.Name.GuardRate.Down.02</v>
      </c>
      <c r="P308" s="231" t="str">
        <f>_xlfn.IFNA(VLOOKUP($M308,[1]Buff.CM!$A:$O,15,FALSE),"")</f>
        <v>Buff.Desc.GuardRate.Down.02</v>
      </c>
      <c r="Q308" s="231" t="b">
        <v>0</v>
      </c>
      <c r="R308" s="231" t="b">
        <v>0</v>
      </c>
    </row>
    <row r="309" spans="1:18" x14ac:dyDescent="0.3">
      <c r="A309" s="261" t="s">
        <v>3936</v>
      </c>
      <c r="B309" s="231"/>
      <c r="C309" s="231"/>
      <c r="D309" s="231">
        <v>8000</v>
      </c>
      <c r="E309" s="231">
        <v>0</v>
      </c>
      <c r="F309" s="231">
        <v>0</v>
      </c>
      <c r="G309" s="231" t="s">
        <v>3615</v>
      </c>
      <c r="H309" s="231"/>
      <c r="I309" s="231" t="b">
        <v>0</v>
      </c>
      <c r="J309" s="231" t="b">
        <v>0</v>
      </c>
      <c r="K309" s="231" t="b">
        <v>0</v>
      </c>
      <c r="L309" s="234" t="s">
        <v>55</v>
      </c>
      <c r="M309" s="234" t="s">
        <v>3615</v>
      </c>
      <c r="N309" s="231" t="str">
        <f>_xlfn.IFNA(VLOOKUP($M309,[1]Buff.CM!$A:$O,13,FALSE),"")</f>
        <v>icon_battle_guardreduce</v>
      </c>
      <c r="O309" s="231" t="str">
        <f>_xlfn.IFNA(VLOOKUP($M309,[1]Buff.CM!$A:$O,14,FALSE),"")</f>
        <v>Buff.Name.GuardRate.Down.02</v>
      </c>
      <c r="P309" s="231" t="str">
        <f>_xlfn.IFNA(VLOOKUP($M309,[1]Buff.CM!$A:$O,15,FALSE),"")</f>
        <v>Buff.Desc.GuardRate.Down.02</v>
      </c>
      <c r="Q309" s="231" t="b">
        <v>0</v>
      </c>
      <c r="R309" s="231" t="b">
        <v>0</v>
      </c>
    </row>
    <row r="310" spans="1:18" x14ac:dyDescent="0.3">
      <c r="A310" s="234" t="s">
        <v>3937</v>
      </c>
      <c r="B310" s="234"/>
      <c r="C310" s="234"/>
      <c r="D310" s="234">
        <v>4000</v>
      </c>
      <c r="E310" s="234">
        <v>0</v>
      </c>
      <c r="F310" s="234">
        <v>0</v>
      </c>
      <c r="G310" s="234" t="s">
        <v>2269</v>
      </c>
      <c r="H310" s="234"/>
      <c r="I310" s="234" t="b">
        <v>0</v>
      </c>
      <c r="J310" s="234" t="b">
        <v>0</v>
      </c>
      <c r="K310" s="234" t="b">
        <v>0</v>
      </c>
      <c r="L310" s="234" t="s">
        <v>3616</v>
      </c>
      <c r="M310" s="234" t="s">
        <v>2269</v>
      </c>
      <c r="N310" s="234" t="str">
        <f>_xlfn.IFNA(VLOOKUP($M310,[1]Buff.CM!$A:$O,13,FALSE),"")</f>
        <v>icon_battle_attack</v>
      </c>
      <c r="O310" s="234" t="str">
        <f>_xlfn.IFNA(VLOOKUP($M310,[1]Buff.CM!$A:$O,14,FALSE),"")</f>
        <v>Buff.Name.Atk.Down.01</v>
      </c>
      <c r="P310" s="234" t="str">
        <f>_xlfn.IFNA(VLOOKUP($M310,[1]Buff.CM!$A:$O,15,FALSE),"")</f>
        <v>Buff.Desc.Atk.Down.01</v>
      </c>
      <c r="Q310" s="234" t="b">
        <v>0</v>
      </c>
      <c r="R310" s="234" t="b">
        <v>0</v>
      </c>
    </row>
    <row r="311" spans="1:18" x14ac:dyDescent="0.3">
      <c r="A311" s="234" t="s">
        <v>3938</v>
      </c>
      <c r="B311" s="234"/>
      <c r="C311" s="234"/>
      <c r="D311" s="234">
        <v>4500</v>
      </c>
      <c r="E311" s="234">
        <v>0</v>
      </c>
      <c r="F311" s="234">
        <v>0</v>
      </c>
      <c r="G311" s="234" t="s">
        <v>2269</v>
      </c>
      <c r="H311" s="234"/>
      <c r="I311" s="234" t="b">
        <v>0</v>
      </c>
      <c r="J311" s="234" t="b">
        <v>0</v>
      </c>
      <c r="K311" s="234" t="b">
        <v>0</v>
      </c>
      <c r="L311" s="234" t="s">
        <v>3616</v>
      </c>
      <c r="M311" s="234" t="s">
        <v>2269</v>
      </c>
      <c r="N311" s="234" t="str">
        <f>_xlfn.IFNA(VLOOKUP($M311,[1]Buff.CM!$A:$O,13,FALSE),"")</f>
        <v>icon_battle_attack</v>
      </c>
      <c r="O311" s="234" t="str">
        <f>_xlfn.IFNA(VLOOKUP($M311,[1]Buff.CM!$A:$O,14,FALSE),"")</f>
        <v>Buff.Name.Atk.Down.01</v>
      </c>
      <c r="P311" s="234" t="str">
        <f>_xlfn.IFNA(VLOOKUP($M311,[1]Buff.CM!$A:$O,15,FALSE),"")</f>
        <v>Buff.Desc.Atk.Down.01</v>
      </c>
      <c r="Q311" s="234" t="b">
        <v>0</v>
      </c>
      <c r="R311" s="234" t="b">
        <v>0</v>
      </c>
    </row>
    <row r="312" spans="1:18" x14ac:dyDescent="0.3">
      <c r="A312" s="234" t="s">
        <v>3939</v>
      </c>
      <c r="B312" s="234"/>
      <c r="C312" s="234"/>
      <c r="D312" s="234">
        <v>5000</v>
      </c>
      <c r="E312" s="234">
        <v>0</v>
      </c>
      <c r="F312" s="234">
        <v>0</v>
      </c>
      <c r="G312" s="234" t="s">
        <v>2269</v>
      </c>
      <c r="H312" s="234"/>
      <c r="I312" s="234" t="b">
        <v>0</v>
      </c>
      <c r="J312" s="234" t="b">
        <v>0</v>
      </c>
      <c r="K312" s="234" t="b">
        <v>0</v>
      </c>
      <c r="L312" s="234" t="s">
        <v>3616</v>
      </c>
      <c r="M312" s="234" t="s">
        <v>2269</v>
      </c>
      <c r="N312" s="234" t="str">
        <f>_xlfn.IFNA(VLOOKUP($M312,[1]Buff.CM!$A:$O,13,FALSE),"")</f>
        <v>icon_battle_attack</v>
      </c>
      <c r="O312" s="234" t="str">
        <f>_xlfn.IFNA(VLOOKUP($M312,[1]Buff.CM!$A:$O,14,FALSE),"")</f>
        <v>Buff.Name.Atk.Down.01</v>
      </c>
      <c r="P312" s="234" t="str">
        <f>_xlfn.IFNA(VLOOKUP($M312,[1]Buff.CM!$A:$O,15,FALSE),"")</f>
        <v>Buff.Desc.Atk.Down.01</v>
      </c>
      <c r="Q312" s="234" t="b">
        <v>0</v>
      </c>
      <c r="R312" s="234" t="b">
        <v>0</v>
      </c>
    </row>
    <row r="313" spans="1:18" x14ac:dyDescent="0.3">
      <c r="A313" s="234" t="s">
        <v>3940</v>
      </c>
      <c r="B313" s="234"/>
      <c r="C313" s="234"/>
      <c r="D313" s="234">
        <v>5500</v>
      </c>
      <c r="E313" s="234">
        <v>0</v>
      </c>
      <c r="F313" s="234">
        <v>0</v>
      </c>
      <c r="G313" s="234" t="s">
        <v>2270</v>
      </c>
      <c r="H313" s="234"/>
      <c r="I313" s="234" t="b">
        <v>0</v>
      </c>
      <c r="J313" s="234" t="b">
        <v>0</v>
      </c>
      <c r="K313" s="234" t="b">
        <v>0</v>
      </c>
      <c r="L313" s="234" t="s">
        <v>3616</v>
      </c>
      <c r="M313" s="234" t="s">
        <v>2270</v>
      </c>
      <c r="N313" s="234" t="str">
        <f>_xlfn.IFNA(VLOOKUP($M313,[1]Buff.CM!$A:$O,13,FALSE),"")</f>
        <v>icon_battle_attack</v>
      </c>
      <c r="O313" s="234" t="str">
        <f>_xlfn.IFNA(VLOOKUP($M313,[1]Buff.CM!$A:$O,14,FALSE),"")</f>
        <v>Buff.Name.Atk.Down.02</v>
      </c>
      <c r="P313" s="234" t="str">
        <f>_xlfn.IFNA(VLOOKUP($M313,[1]Buff.CM!$A:$O,15,FALSE),"")</f>
        <v>Buff.Desc.Atk.Down.02</v>
      </c>
      <c r="Q313" s="234" t="b">
        <v>0</v>
      </c>
      <c r="R313" s="234" t="b">
        <v>0</v>
      </c>
    </row>
    <row r="314" spans="1:18" x14ac:dyDescent="0.3">
      <c r="A314" s="239" t="s">
        <v>3941</v>
      </c>
      <c r="B314" s="239"/>
      <c r="C314" s="239"/>
      <c r="D314" s="239">
        <v>3000</v>
      </c>
      <c r="E314" s="239">
        <v>0</v>
      </c>
      <c r="F314" s="239">
        <v>0</v>
      </c>
      <c r="G314" s="239" t="s">
        <v>3617</v>
      </c>
      <c r="H314" s="239"/>
      <c r="I314" s="239" t="b">
        <v>0</v>
      </c>
      <c r="J314" s="239" t="b">
        <v>0</v>
      </c>
      <c r="K314" s="239" t="b">
        <v>0</v>
      </c>
      <c r="L314" s="239" t="s">
        <v>620</v>
      </c>
      <c r="M314" s="239" t="s">
        <v>3618</v>
      </c>
      <c r="N314" s="239" t="str">
        <f>_xlfn.IFNA(VLOOKUP($M314,[1]Buff.CM!$A:$O,13,FALSE),"")</f>
        <v>icon_battle_provoke</v>
      </c>
      <c r="O314" s="239" t="str">
        <f>_xlfn.IFNA(VLOOKUP($M314,[1]Buff.CM!$A:$O,14,FALSE),"")</f>
        <v>Buff.Name.Provoke</v>
      </c>
      <c r="P314" s="239" t="str">
        <f>_xlfn.IFNA(VLOOKUP($M314,[1]Buff.CM!$A:$O,15,FALSE),"")</f>
        <v>Buff.Desc.Provoke</v>
      </c>
      <c r="Q314" s="239" t="b">
        <v>0</v>
      </c>
      <c r="R314" s="239" t="b">
        <v>0</v>
      </c>
    </row>
    <row r="315" spans="1:18" x14ac:dyDescent="0.3">
      <c r="A315" s="239" t="s">
        <v>3942</v>
      </c>
      <c r="B315" s="239"/>
      <c r="C315" s="239"/>
      <c r="D315" s="239">
        <v>3000</v>
      </c>
      <c r="E315" s="239">
        <v>0</v>
      </c>
      <c r="F315" s="239">
        <v>0</v>
      </c>
      <c r="G315" s="239" t="s">
        <v>3617</v>
      </c>
      <c r="H315" s="239"/>
      <c r="I315" s="239" t="b">
        <v>0</v>
      </c>
      <c r="J315" s="239" t="b">
        <v>0</v>
      </c>
      <c r="K315" s="239" t="b">
        <v>0</v>
      </c>
      <c r="L315" s="239" t="s">
        <v>620</v>
      </c>
      <c r="M315" s="239" t="s">
        <v>3618</v>
      </c>
      <c r="N315" s="239" t="str">
        <f>_xlfn.IFNA(VLOOKUP($M315,[1]Buff.CM!$A:$O,13,FALSE),"")</f>
        <v>icon_battle_provoke</v>
      </c>
      <c r="O315" s="239" t="str">
        <f>_xlfn.IFNA(VLOOKUP($M315,[1]Buff.CM!$A:$O,14,FALSE),"")</f>
        <v>Buff.Name.Provoke</v>
      </c>
      <c r="P315" s="239" t="str">
        <f>_xlfn.IFNA(VLOOKUP($M315,[1]Buff.CM!$A:$O,15,FALSE),"")</f>
        <v>Buff.Desc.Provoke</v>
      </c>
      <c r="Q315" s="239" t="b">
        <v>0</v>
      </c>
      <c r="R315" s="239" t="b">
        <v>0</v>
      </c>
    </row>
    <row r="316" spans="1:18" x14ac:dyDescent="0.3">
      <c r="A316" s="239" t="s">
        <v>3943</v>
      </c>
      <c r="B316" s="239"/>
      <c r="C316" s="239"/>
      <c r="D316" s="239">
        <v>4000</v>
      </c>
      <c r="E316" s="239">
        <v>0</v>
      </c>
      <c r="F316" s="239">
        <v>0</v>
      </c>
      <c r="G316" s="239" t="s">
        <v>3617</v>
      </c>
      <c r="H316" s="239"/>
      <c r="I316" s="239" t="b">
        <v>0</v>
      </c>
      <c r="J316" s="239" t="b">
        <v>0</v>
      </c>
      <c r="K316" s="239" t="b">
        <v>0</v>
      </c>
      <c r="L316" s="239" t="s">
        <v>620</v>
      </c>
      <c r="M316" s="239" t="s">
        <v>3618</v>
      </c>
      <c r="N316" s="239" t="str">
        <f>_xlfn.IFNA(VLOOKUP($M316,[1]Buff.CM!$A:$O,13,FALSE),"")</f>
        <v>icon_battle_provoke</v>
      </c>
      <c r="O316" s="239" t="str">
        <f>_xlfn.IFNA(VLOOKUP($M316,[1]Buff.CM!$A:$O,14,FALSE),"")</f>
        <v>Buff.Name.Provoke</v>
      </c>
      <c r="P316" s="239" t="str">
        <f>_xlfn.IFNA(VLOOKUP($M316,[1]Buff.CM!$A:$O,15,FALSE),"")</f>
        <v>Buff.Desc.Provoke</v>
      </c>
      <c r="Q316" s="239" t="b">
        <v>0</v>
      </c>
      <c r="R316" s="239" t="b">
        <v>0</v>
      </c>
    </row>
    <row r="317" spans="1:18" x14ac:dyDescent="0.3">
      <c r="A317" s="239" t="s">
        <v>3944</v>
      </c>
      <c r="B317" s="239"/>
      <c r="C317" s="239"/>
      <c r="D317" s="239">
        <v>4000</v>
      </c>
      <c r="E317" s="239">
        <v>0</v>
      </c>
      <c r="F317" s="239">
        <v>0</v>
      </c>
      <c r="G317" s="239" t="s">
        <v>3617</v>
      </c>
      <c r="H317" s="239"/>
      <c r="I317" s="239" t="b">
        <v>0</v>
      </c>
      <c r="J317" s="239" t="b">
        <v>0</v>
      </c>
      <c r="K317" s="239" t="b">
        <v>0</v>
      </c>
      <c r="L317" s="239" t="s">
        <v>620</v>
      </c>
      <c r="M317" s="239" t="s">
        <v>3618</v>
      </c>
      <c r="N317" s="239" t="str">
        <f>_xlfn.IFNA(VLOOKUP($M317,[1]Buff.CM!$A:$O,13,FALSE),"")</f>
        <v>icon_battle_provoke</v>
      </c>
      <c r="O317" s="239" t="str">
        <f>_xlfn.IFNA(VLOOKUP($M317,[1]Buff.CM!$A:$O,14,FALSE),"")</f>
        <v>Buff.Name.Provoke</v>
      </c>
      <c r="P317" s="239" t="str">
        <f>_xlfn.IFNA(VLOOKUP($M317,[1]Buff.CM!$A:$O,15,FALSE),"")</f>
        <v>Buff.Desc.Provoke</v>
      </c>
      <c r="Q317" s="239" t="b">
        <v>0</v>
      </c>
      <c r="R317" s="239" t="b">
        <v>0</v>
      </c>
    </row>
    <row r="318" spans="1:18" x14ac:dyDescent="0.3">
      <c r="A318" s="233" t="s">
        <v>3945</v>
      </c>
      <c r="B318" s="233"/>
      <c r="C318" s="233"/>
      <c r="D318" s="233">
        <v>0</v>
      </c>
      <c r="E318" s="233">
        <v>0</v>
      </c>
      <c r="F318" s="233">
        <v>0</v>
      </c>
      <c r="G318" s="233" t="s">
        <v>3946</v>
      </c>
      <c r="H318" s="233"/>
      <c r="I318" s="233" t="b">
        <v>0</v>
      </c>
      <c r="J318" s="157" t="b">
        <v>1</v>
      </c>
      <c r="K318" s="233" t="b">
        <v>1</v>
      </c>
      <c r="L318" s="233"/>
      <c r="M318" s="233"/>
      <c r="N318" s="233" t="str">
        <f>_xlfn.IFNA(VLOOKUP($M318,[1]Buff.CM!$A:$O,13,FALSE),"")</f>
        <v/>
      </c>
      <c r="O318" s="233" t="str">
        <f>_xlfn.IFNA(VLOOKUP($M318,[1]Buff.CM!$A:$O,14,FALSE),"")</f>
        <v/>
      </c>
      <c r="P318" s="233" t="str">
        <f>_xlfn.IFNA(VLOOKUP($M318,[1]Buff.CM!$A:$O,15,FALSE),"")</f>
        <v/>
      </c>
      <c r="Q318" s="233" t="b">
        <v>0</v>
      </c>
      <c r="R318" s="233" t="b">
        <v>0</v>
      </c>
    </row>
    <row r="319" spans="1:18" x14ac:dyDescent="0.3">
      <c r="A319" s="233" t="s">
        <v>3947</v>
      </c>
      <c r="B319" s="233"/>
      <c r="C319" s="233"/>
      <c r="D319" s="233">
        <v>0</v>
      </c>
      <c r="E319" s="233">
        <v>0</v>
      </c>
      <c r="F319" s="233">
        <v>0</v>
      </c>
      <c r="G319" s="233" t="s">
        <v>3948</v>
      </c>
      <c r="H319" s="233"/>
      <c r="I319" s="233" t="b">
        <v>0</v>
      </c>
      <c r="J319" s="157" t="b">
        <v>1</v>
      </c>
      <c r="K319" s="233" t="b">
        <v>1</v>
      </c>
      <c r="L319" s="233"/>
      <c r="M319" s="233"/>
      <c r="N319" s="233" t="str">
        <f>_xlfn.IFNA(VLOOKUP($M319,[1]Buff.CM!$A:$O,13,FALSE),"")</f>
        <v/>
      </c>
      <c r="O319" s="233" t="str">
        <f>_xlfn.IFNA(VLOOKUP($M319,[1]Buff.CM!$A:$O,14,FALSE),"")</f>
        <v/>
      </c>
      <c r="P319" s="233" t="str">
        <f>_xlfn.IFNA(VLOOKUP($M319,[1]Buff.CM!$A:$O,15,FALSE),"")</f>
        <v/>
      </c>
      <c r="Q319" s="233" t="b">
        <v>0</v>
      </c>
      <c r="R319" s="233" t="b">
        <v>0</v>
      </c>
    </row>
    <row r="320" spans="1:18" x14ac:dyDescent="0.3">
      <c r="A320" s="233" t="s">
        <v>3949</v>
      </c>
      <c r="B320" s="233"/>
      <c r="C320" s="233"/>
      <c r="D320" s="233">
        <v>0</v>
      </c>
      <c r="E320" s="233">
        <v>0</v>
      </c>
      <c r="F320" s="233">
        <v>0</v>
      </c>
      <c r="G320" s="233" t="s">
        <v>3950</v>
      </c>
      <c r="H320" s="233"/>
      <c r="I320" s="233" t="b">
        <v>0</v>
      </c>
      <c r="J320" s="157" t="b">
        <v>1</v>
      </c>
      <c r="K320" s="233" t="b">
        <v>1</v>
      </c>
      <c r="L320" s="233"/>
      <c r="M320" s="233"/>
      <c r="N320" s="233" t="str">
        <f>_xlfn.IFNA(VLOOKUP($M320,[1]Buff.CM!$A:$O,13,FALSE),"")</f>
        <v/>
      </c>
      <c r="O320" s="233" t="str">
        <f>_xlfn.IFNA(VLOOKUP($M320,[1]Buff.CM!$A:$O,14,FALSE),"")</f>
        <v/>
      </c>
      <c r="P320" s="233" t="str">
        <f>_xlfn.IFNA(VLOOKUP($M320,[1]Buff.CM!$A:$O,15,FALSE),"")</f>
        <v/>
      </c>
      <c r="Q320" s="233" t="b">
        <v>0</v>
      </c>
      <c r="R320" s="233" t="b">
        <v>0</v>
      </c>
    </row>
    <row r="321" spans="1:18" x14ac:dyDescent="0.3">
      <c r="A321" s="232" t="s">
        <v>3951</v>
      </c>
      <c r="B321" s="232"/>
      <c r="C321" s="232"/>
      <c r="D321" s="232">
        <v>0</v>
      </c>
      <c r="E321" s="232">
        <v>0</v>
      </c>
      <c r="F321" s="232">
        <v>0</v>
      </c>
      <c r="G321" s="232" t="s">
        <v>3952</v>
      </c>
      <c r="H321" s="232"/>
      <c r="I321" s="232" t="b">
        <v>0</v>
      </c>
      <c r="J321" s="157" t="b">
        <v>1</v>
      </c>
      <c r="K321" s="232" t="b">
        <v>1</v>
      </c>
      <c r="L321" s="232"/>
      <c r="M321" s="232"/>
      <c r="N321" s="232" t="str">
        <f>_xlfn.IFNA(VLOOKUP($M321,[1]Buff.CM!$A:$O,13,FALSE),"")</f>
        <v/>
      </c>
      <c r="O321" s="232" t="str">
        <f>_xlfn.IFNA(VLOOKUP($M321,[1]Buff.CM!$A:$O,14,FALSE),"")</f>
        <v/>
      </c>
      <c r="P321" s="232" t="str">
        <f>_xlfn.IFNA(VLOOKUP($M321,[1]Buff.CM!$A:$O,15,FALSE),"")</f>
        <v/>
      </c>
      <c r="Q321" s="232" t="b">
        <v>0</v>
      </c>
      <c r="R321" s="232" t="b">
        <v>0</v>
      </c>
    </row>
    <row r="322" spans="1:18" x14ac:dyDescent="0.3">
      <c r="A322" s="232" t="s">
        <v>3953</v>
      </c>
      <c r="B322" s="232"/>
      <c r="C322" s="232"/>
      <c r="D322" s="232">
        <v>0</v>
      </c>
      <c r="E322" s="232">
        <v>0</v>
      </c>
      <c r="F322" s="232">
        <v>0</v>
      </c>
      <c r="G322" s="232" t="s">
        <v>3954</v>
      </c>
      <c r="H322" s="232"/>
      <c r="I322" s="232" t="b">
        <v>0</v>
      </c>
      <c r="J322" s="157" t="b">
        <v>1</v>
      </c>
      <c r="K322" s="232" t="b">
        <v>1</v>
      </c>
      <c r="L322" s="232"/>
      <c r="M322" s="232"/>
      <c r="N322" s="232" t="str">
        <f>_xlfn.IFNA(VLOOKUP($M322,[1]Buff.CM!$A:$O,13,FALSE),"")</f>
        <v/>
      </c>
      <c r="O322" s="232" t="str">
        <f>_xlfn.IFNA(VLOOKUP($M322,[1]Buff.CM!$A:$O,14,FALSE),"")</f>
        <v/>
      </c>
      <c r="P322" s="232" t="str">
        <f>_xlfn.IFNA(VLOOKUP($M322,[1]Buff.CM!$A:$O,15,FALSE),"")</f>
        <v/>
      </c>
      <c r="Q322" s="232" t="b">
        <v>0</v>
      </c>
      <c r="R322" s="232" t="b">
        <v>0</v>
      </c>
    </row>
    <row r="323" spans="1:18" x14ac:dyDescent="0.3">
      <c r="A323" s="232" t="s">
        <v>3955</v>
      </c>
      <c r="B323" s="232"/>
      <c r="C323" s="232"/>
      <c r="D323" s="232">
        <v>0</v>
      </c>
      <c r="E323" s="232">
        <v>0</v>
      </c>
      <c r="F323" s="232">
        <v>0</v>
      </c>
      <c r="G323" s="232" t="s">
        <v>3956</v>
      </c>
      <c r="H323" s="232"/>
      <c r="I323" s="232" t="b">
        <v>0</v>
      </c>
      <c r="J323" s="157" t="b">
        <v>1</v>
      </c>
      <c r="K323" s="232" t="b">
        <v>1</v>
      </c>
      <c r="L323" s="232"/>
      <c r="M323" s="232"/>
      <c r="N323" s="232" t="str">
        <f>_xlfn.IFNA(VLOOKUP($M323,[1]Buff.CM!$A:$O,13,FALSE),"")</f>
        <v/>
      </c>
      <c r="O323" s="232" t="str">
        <f>_xlfn.IFNA(VLOOKUP($M323,[1]Buff.CM!$A:$O,14,FALSE),"")</f>
        <v/>
      </c>
      <c r="P323" s="232" t="str">
        <f>_xlfn.IFNA(VLOOKUP($M323,[1]Buff.CM!$A:$O,15,FALSE),"")</f>
        <v/>
      </c>
      <c r="Q323" s="232" t="b">
        <v>0</v>
      </c>
      <c r="R323" s="232" t="b">
        <v>0</v>
      </c>
    </row>
    <row r="324" spans="1:18" x14ac:dyDescent="0.3">
      <c r="A324" s="233" t="s">
        <v>3957</v>
      </c>
      <c r="B324" s="233"/>
      <c r="C324" s="233"/>
      <c r="D324" s="233">
        <v>6000</v>
      </c>
      <c r="E324" s="233">
        <v>0</v>
      </c>
      <c r="F324" s="233">
        <v>0</v>
      </c>
      <c r="G324" s="233" t="s">
        <v>3611</v>
      </c>
      <c r="H324" s="233"/>
      <c r="I324" s="233" t="b">
        <v>0</v>
      </c>
      <c r="J324" s="157" t="b">
        <v>1</v>
      </c>
      <c r="K324" s="233" t="b">
        <v>0</v>
      </c>
      <c r="L324" s="233" t="s">
        <v>583</v>
      </c>
      <c r="M324" s="233" t="s">
        <v>3612</v>
      </c>
      <c r="N324" s="233" t="str">
        <f>_xlfn.IFNA(VLOOKUP($M324,[1]Buff.CM!$A:$O,13,FALSE),"")</f>
        <v>icon_battle_shock</v>
      </c>
      <c r="O324" s="233" t="str">
        <f>_xlfn.IFNA(VLOOKUP($M324,[1]Buff.CM!$A:$O,14,FALSE),"")</f>
        <v>Buff.Name.Electric</v>
      </c>
      <c r="P324" s="233" t="str">
        <f>_xlfn.IFNA(VLOOKUP($M324,[1]Buff.CM!$A:$O,15,FALSE),"")</f>
        <v>Buff.Desc.Electric</v>
      </c>
      <c r="Q324" s="233" t="b">
        <v>0</v>
      </c>
      <c r="R324" s="233" t="b">
        <v>0</v>
      </c>
    </row>
    <row r="325" spans="1:18" x14ac:dyDescent="0.3">
      <c r="A325" s="233" t="s">
        <v>3958</v>
      </c>
      <c r="B325" s="233"/>
      <c r="C325" s="233"/>
      <c r="D325" s="233">
        <v>7000</v>
      </c>
      <c r="E325" s="233">
        <v>0</v>
      </c>
      <c r="F325" s="233">
        <v>0</v>
      </c>
      <c r="G325" s="233" t="s">
        <v>3611</v>
      </c>
      <c r="H325" s="233"/>
      <c r="I325" s="233" t="b">
        <v>0</v>
      </c>
      <c r="J325" s="157" t="b">
        <v>1</v>
      </c>
      <c r="K325" s="233" t="b">
        <v>0</v>
      </c>
      <c r="L325" s="233" t="s">
        <v>583</v>
      </c>
      <c r="M325" s="233" t="s">
        <v>3612</v>
      </c>
      <c r="N325" s="233" t="str">
        <f>_xlfn.IFNA(VLOOKUP($M325,[1]Buff.CM!$A:$O,13,FALSE),"")</f>
        <v>icon_battle_shock</v>
      </c>
      <c r="O325" s="233" t="str">
        <f>_xlfn.IFNA(VLOOKUP($M325,[1]Buff.CM!$A:$O,14,FALSE),"")</f>
        <v>Buff.Name.Electric</v>
      </c>
      <c r="P325" s="233" t="str">
        <f>_xlfn.IFNA(VLOOKUP($M325,[1]Buff.CM!$A:$O,15,FALSE),"")</f>
        <v>Buff.Desc.Electric</v>
      </c>
      <c r="Q325" s="233" t="b">
        <v>0</v>
      </c>
      <c r="R325" s="233" t="b">
        <v>0</v>
      </c>
    </row>
    <row r="326" spans="1:18" x14ac:dyDescent="0.3">
      <c r="A326" s="233" t="s">
        <v>3959</v>
      </c>
      <c r="B326" s="233"/>
      <c r="C326" s="233"/>
      <c r="D326" s="233">
        <v>7000</v>
      </c>
      <c r="E326" s="233">
        <v>0</v>
      </c>
      <c r="F326" s="233">
        <v>0</v>
      </c>
      <c r="G326" s="233" t="s">
        <v>3613</v>
      </c>
      <c r="H326" s="233"/>
      <c r="I326" s="233" t="b">
        <v>0</v>
      </c>
      <c r="J326" s="157" t="b">
        <v>1</v>
      </c>
      <c r="K326" s="233" t="b">
        <v>0</v>
      </c>
      <c r="L326" s="233" t="s">
        <v>583</v>
      </c>
      <c r="M326" s="233" t="s">
        <v>3612</v>
      </c>
      <c r="N326" s="233" t="str">
        <f>_xlfn.IFNA(VLOOKUP($M326,[1]Buff.CM!$A:$O,13,FALSE),"")</f>
        <v>icon_battle_shock</v>
      </c>
      <c r="O326" s="233" t="str">
        <f>_xlfn.IFNA(VLOOKUP($M326,[1]Buff.CM!$A:$O,14,FALSE),"")</f>
        <v>Buff.Name.Electric</v>
      </c>
      <c r="P326" s="233" t="str">
        <f>_xlfn.IFNA(VLOOKUP($M326,[1]Buff.CM!$A:$O,15,FALSE),"")</f>
        <v>Buff.Desc.Electric</v>
      </c>
      <c r="Q326" s="233" t="b">
        <v>0</v>
      </c>
      <c r="R326" s="233" t="b">
        <v>0</v>
      </c>
    </row>
    <row r="327" spans="1:18" x14ac:dyDescent="0.3">
      <c r="A327" s="233" t="s">
        <v>3960</v>
      </c>
      <c r="B327" s="233"/>
      <c r="C327" s="233"/>
      <c r="D327" s="233">
        <v>8000</v>
      </c>
      <c r="E327" s="233">
        <v>0</v>
      </c>
      <c r="F327" s="233">
        <v>0</v>
      </c>
      <c r="G327" s="233" t="s">
        <v>3613</v>
      </c>
      <c r="H327" s="233"/>
      <c r="I327" s="233" t="b">
        <v>0</v>
      </c>
      <c r="J327" s="157" t="b">
        <v>1</v>
      </c>
      <c r="K327" s="233" t="b">
        <v>0</v>
      </c>
      <c r="L327" s="233" t="s">
        <v>583</v>
      </c>
      <c r="M327" s="233" t="s">
        <v>3612</v>
      </c>
      <c r="N327" s="233" t="str">
        <f>_xlfn.IFNA(VLOOKUP($M327,[1]Buff.CM!$A:$O,13,FALSE),"")</f>
        <v>icon_battle_shock</v>
      </c>
      <c r="O327" s="233" t="str">
        <f>_xlfn.IFNA(VLOOKUP($M327,[1]Buff.CM!$A:$O,14,FALSE),"")</f>
        <v>Buff.Name.Electric</v>
      </c>
      <c r="P327" s="233" t="str">
        <f>_xlfn.IFNA(VLOOKUP($M327,[1]Buff.CM!$A:$O,15,FALSE),"")</f>
        <v>Buff.Desc.Electric</v>
      </c>
      <c r="Q327" s="233" t="b">
        <v>0</v>
      </c>
      <c r="R327" s="233" t="b">
        <v>0</v>
      </c>
    </row>
    <row r="328" spans="1:18" x14ac:dyDescent="0.3">
      <c r="A328" s="233" t="s">
        <v>3961</v>
      </c>
      <c r="B328" s="233"/>
      <c r="C328" s="233"/>
      <c r="D328" s="233">
        <v>8000</v>
      </c>
      <c r="E328" s="233">
        <v>0</v>
      </c>
      <c r="F328" s="233">
        <v>0</v>
      </c>
      <c r="G328" s="233" t="s">
        <v>3613</v>
      </c>
      <c r="H328" s="233"/>
      <c r="I328" s="233" t="b">
        <v>0</v>
      </c>
      <c r="J328" s="157" t="b">
        <v>1</v>
      </c>
      <c r="K328" s="233" t="b">
        <v>0</v>
      </c>
      <c r="L328" s="233" t="s">
        <v>583</v>
      </c>
      <c r="M328" s="233" t="s">
        <v>3612</v>
      </c>
      <c r="N328" s="233" t="str">
        <f>_xlfn.IFNA(VLOOKUP($M328,[1]Buff.CM!$A:$O,13,FALSE),"")</f>
        <v>icon_battle_shock</v>
      </c>
      <c r="O328" s="233" t="str">
        <f>_xlfn.IFNA(VLOOKUP($M328,[1]Buff.CM!$A:$O,14,FALSE),"")</f>
        <v>Buff.Name.Electric</v>
      </c>
      <c r="P328" s="233" t="str">
        <f>_xlfn.IFNA(VLOOKUP($M328,[1]Buff.CM!$A:$O,15,FALSE),"")</f>
        <v>Buff.Desc.Electric</v>
      </c>
      <c r="Q328" s="233" t="b">
        <v>0</v>
      </c>
      <c r="R328" s="233" t="b">
        <v>0</v>
      </c>
    </row>
    <row r="329" spans="1:18" x14ac:dyDescent="0.3">
      <c r="A329" s="231" t="s">
        <v>3962</v>
      </c>
      <c r="B329" s="231"/>
      <c r="C329" s="231"/>
      <c r="D329" s="231">
        <v>0</v>
      </c>
      <c r="E329" s="231">
        <v>0</v>
      </c>
      <c r="F329" s="231">
        <v>0</v>
      </c>
      <c r="G329" s="231" t="s">
        <v>3963</v>
      </c>
      <c r="H329" s="231"/>
      <c r="I329" s="231" t="b">
        <v>1</v>
      </c>
      <c r="J329" s="157" t="b">
        <v>1</v>
      </c>
      <c r="K329" s="231" t="b">
        <v>1</v>
      </c>
      <c r="L329" s="231"/>
      <c r="M329" s="231"/>
      <c r="N329" s="231" t="str">
        <f>_xlfn.IFNA(VLOOKUP($M329,[1]Buff.CM!$A:$O,13,FALSE),"")</f>
        <v/>
      </c>
      <c r="O329" s="231" t="str">
        <f>_xlfn.IFNA(VLOOKUP($M329,[1]Buff.CM!$A:$O,14,FALSE),"")</f>
        <v/>
      </c>
      <c r="P329" s="231" t="str">
        <f>_xlfn.IFNA(VLOOKUP($M329,[1]Buff.CM!$A:$O,15,FALSE),"")</f>
        <v/>
      </c>
      <c r="Q329" s="231" t="b">
        <v>0</v>
      </c>
      <c r="R329" s="231" t="b">
        <v>0</v>
      </c>
    </row>
    <row r="330" spans="1:18" x14ac:dyDescent="0.3">
      <c r="A330" s="231" t="s">
        <v>3964</v>
      </c>
      <c r="B330" s="231"/>
      <c r="C330" s="231"/>
      <c r="D330" s="231">
        <v>0</v>
      </c>
      <c r="E330" s="231">
        <v>0</v>
      </c>
      <c r="F330" s="231">
        <v>0</v>
      </c>
      <c r="G330" s="231" t="s">
        <v>3965</v>
      </c>
      <c r="H330" s="231"/>
      <c r="I330" s="231" t="b">
        <v>1</v>
      </c>
      <c r="J330" s="157" t="b">
        <v>1</v>
      </c>
      <c r="K330" s="231" t="b">
        <v>1</v>
      </c>
      <c r="L330" s="231"/>
      <c r="M330" s="231"/>
      <c r="N330" s="231" t="str">
        <f>_xlfn.IFNA(VLOOKUP($M330,[1]Buff.CM!$A:$O,13,FALSE),"")</f>
        <v/>
      </c>
      <c r="O330" s="231" t="str">
        <f>_xlfn.IFNA(VLOOKUP($M330,[1]Buff.CM!$A:$O,14,FALSE),"")</f>
        <v/>
      </c>
      <c r="P330" s="231" t="str">
        <f>_xlfn.IFNA(VLOOKUP($M330,[1]Buff.CM!$A:$O,15,FALSE),"")</f>
        <v/>
      </c>
      <c r="Q330" s="231" t="b">
        <v>0</v>
      </c>
      <c r="R330" s="231" t="b">
        <v>0</v>
      </c>
    </row>
    <row r="331" spans="1:18" x14ac:dyDescent="0.3">
      <c r="A331" s="231" t="s">
        <v>3966</v>
      </c>
      <c r="B331" s="231"/>
      <c r="C331" s="231"/>
      <c r="D331" s="231">
        <v>0</v>
      </c>
      <c r="E331" s="231">
        <v>0</v>
      </c>
      <c r="F331" s="231">
        <v>0</v>
      </c>
      <c r="G331" s="231" t="s">
        <v>3967</v>
      </c>
      <c r="H331" s="231"/>
      <c r="I331" s="231" t="b">
        <v>1</v>
      </c>
      <c r="J331" s="157" t="b">
        <v>1</v>
      </c>
      <c r="K331" s="231" t="b">
        <v>1</v>
      </c>
      <c r="L331" s="231"/>
      <c r="M331" s="231"/>
      <c r="N331" s="231" t="str">
        <f>_xlfn.IFNA(VLOOKUP($M331,[1]Buff.CM!$A:$O,13,FALSE),"")</f>
        <v/>
      </c>
      <c r="O331" s="231" t="str">
        <f>_xlfn.IFNA(VLOOKUP($M331,[1]Buff.CM!$A:$O,14,FALSE),"")</f>
        <v/>
      </c>
      <c r="P331" s="231" t="str">
        <f>_xlfn.IFNA(VLOOKUP($M331,[1]Buff.CM!$A:$O,15,FALSE),"")</f>
        <v/>
      </c>
      <c r="Q331" s="231" t="b">
        <v>0</v>
      </c>
      <c r="R331" s="231" t="b">
        <v>0</v>
      </c>
    </row>
    <row r="332" spans="1:18" x14ac:dyDescent="0.3">
      <c r="A332" s="231" t="s">
        <v>3968</v>
      </c>
      <c r="B332" s="231"/>
      <c r="C332" s="231"/>
      <c r="D332" s="231">
        <v>0</v>
      </c>
      <c r="E332" s="231">
        <v>0</v>
      </c>
      <c r="F332" s="231">
        <v>0</v>
      </c>
      <c r="G332" s="231" t="s">
        <v>3969</v>
      </c>
      <c r="H332" s="231"/>
      <c r="I332" s="231" t="b">
        <v>1</v>
      </c>
      <c r="J332" s="157" t="b">
        <v>1</v>
      </c>
      <c r="K332" s="231" t="b">
        <v>1</v>
      </c>
      <c r="L332" s="231"/>
      <c r="M332" s="231"/>
      <c r="N332" s="231" t="str">
        <f>_xlfn.IFNA(VLOOKUP($M332,[1]Buff.CM!$A:$O,13,FALSE),"")</f>
        <v/>
      </c>
      <c r="O332" s="231" t="str">
        <f>_xlfn.IFNA(VLOOKUP($M332,[1]Buff.CM!$A:$O,14,FALSE),"")</f>
        <v/>
      </c>
      <c r="P332" s="231" t="str">
        <f>_xlfn.IFNA(VLOOKUP($M332,[1]Buff.CM!$A:$O,15,FALSE),"")</f>
        <v/>
      </c>
      <c r="Q332" s="231" t="b">
        <v>0</v>
      </c>
      <c r="R332" s="231" t="b">
        <v>0</v>
      </c>
    </row>
    <row r="333" spans="1:18" x14ac:dyDescent="0.3">
      <c r="A333" s="231" t="s">
        <v>3970</v>
      </c>
      <c r="B333" s="231"/>
      <c r="C333" s="231"/>
      <c r="D333" s="231">
        <v>0</v>
      </c>
      <c r="E333" s="231">
        <v>0</v>
      </c>
      <c r="F333" s="231">
        <v>0</v>
      </c>
      <c r="G333" s="231" t="s">
        <v>3971</v>
      </c>
      <c r="H333" s="231"/>
      <c r="I333" s="231" t="b">
        <v>1</v>
      </c>
      <c r="J333" s="157" t="b">
        <v>1</v>
      </c>
      <c r="K333" s="231" t="b">
        <v>1</v>
      </c>
      <c r="L333" s="231"/>
      <c r="M333" s="231"/>
      <c r="N333" s="231" t="str">
        <f>_xlfn.IFNA(VLOOKUP($M333,[1]Buff.CM!$A:$O,13,FALSE),"")</f>
        <v/>
      </c>
      <c r="O333" s="231" t="str">
        <f>_xlfn.IFNA(VLOOKUP($M333,[1]Buff.CM!$A:$O,14,FALSE),"")</f>
        <v/>
      </c>
      <c r="P333" s="231" t="str">
        <f>_xlfn.IFNA(VLOOKUP($M333,[1]Buff.CM!$A:$O,15,FALSE),"")</f>
        <v/>
      </c>
      <c r="Q333" s="231" t="b">
        <v>0</v>
      </c>
      <c r="R333" s="231" t="b">
        <v>0</v>
      </c>
    </row>
    <row r="334" spans="1:18" x14ac:dyDescent="0.3">
      <c r="A334" s="231" t="s">
        <v>3972</v>
      </c>
      <c r="B334" s="231"/>
      <c r="C334" s="231"/>
      <c r="D334" s="231">
        <v>0</v>
      </c>
      <c r="E334" s="231">
        <v>0</v>
      </c>
      <c r="F334" s="231">
        <v>0</v>
      </c>
      <c r="G334" s="231" t="s">
        <v>3973</v>
      </c>
      <c r="H334" s="231"/>
      <c r="I334" s="231" t="b">
        <v>1</v>
      </c>
      <c r="J334" s="157" t="b">
        <v>1</v>
      </c>
      <c r="K334" s="231" t="b">
        <v>1</v>
      </c>
      <c r="L334" s="231"/>
      <c r="M334" s="231"/>
      <c r="N334" s="231" t="str">
        <f>_xlfn.IFNA(VLOOKUP($M334,[1]Buff.CM!$A:$O,13,FALSE),"")</f>
        <v/>
      </c>
      <c r="O334" s="231" t="str">
        <f>_xlfn.IFNA(VLOOKUP($M334,[1]Buff.CM!$A:$O,14,FALSE),"")</f>
        <v/>
      </c>
      <c r="P334" s="231" t="str">
        <f>_xlfn.IFNA(VLOOKUP($M334,[1]Buff.CM!$A:$O,15,FALSE),"")</f>
        <v/>
      </c>
      <c r="Q334" s="231" t="b">
        <v>0</v>
      </c>
      <c r="R334" s="231" t="b">
        <v>0</v>
      </c>
    </row>
    <row r="335" spans="1:18" x14ac:dyDescent="0.3">
      <c r="A335" s="239" t="s">
        <v>3974</v>
      </c>
      <c r="B335" s="239" t="s">
        <v>2180</v>
      </c>
      <c r="C335" s="239" t="s">
        <v>2156</v>
      </c>
      <c r="D335" s="239">
        <v>0</v>
      </c>
      <c r="E335" s="239">
        <v>0</v>
      </c>
      <c r="F335" s="239">
        <v>0</v>
      </c>
      <c r="G335" s="239" t="s">
        <v>3975</v>
      </c>
      <c r="H335" s="239"/>
      <c r="I335" s="231" t="b">
        <v>1</v>
      </c>
      <c r="J335" s="157" t="b">
        <v>1</v>
      </c>
      <c r="K335" s="233" t="b">
        <v>0</v>
      </c>
      <c r="L335" s="239"/>
      <c r="M335" s="239"/>
      <c r="N335" s="239" t="str">
        <f>_xlfn.IFNA(VLOOKUP($M335,[1]Buff.CM!$A:$O,13,FALSE),"")</f>
        <v/>
      </c>
      <c r="O335" s="239" t="str">
        <f>_xlfn.IFNA(VLOOKUP($M335,[1]Buff.CM!$A:$O,14,FALSE),"")</f>
        <v/>
      </c>
      <c r="P335" s="239" t="str">
        <f>_xlfn.IFNA(VLOOKUP($M335,[1]Buff.CM!$A:$O,15,FALSE),"")</f>
        <v/>
      </c>
      <c r="Q335" s="239" t="b">
        <v>0</v>
      </c>
      <c r="R335" s="239" t="b">
        <v>0</v>
      </c>
    </row>
    <row r="336" spans="1:18" x14ac:dyDescent="0.3">
      <c r="A336" s="239" t="s">
        <v>3976</v>
      </c>
      <c r="B336" s="239" t="s">
        <v>2180</v>
      </c>
      <c r="C336" s="239" t="s">
        <v>2156</v>
      </c>
      <c r="D336" s="239">
        <v>0</v>
      </c>
      <c r="E336" s="239">
        <v>0</v>
      </c>
      <c r="F336" s="239">
        <v>0</v>
      </c>
      <c r="G336" s="239" t="s">
        <v>3977</v>
      </c>
      <c r="H336" s="239"/>
      <c r="I336" s="231" t="b">
        <v>1</v>
      </c>
      <c r="J336" s="157" t="b">
        <v>1</v>
      </c>
      <c r="K336" s="233" t="b">
        <v>0</v>
      </c>
      <c r="L336" s="239"/>
      <c r="M336" s="239"/>
      <c r="N336" s="239" t="str">
        <f>_xlfn.IFNA(VLOOKUP($M336,[1]Buff.CM!$A:$O,13,FALSE),"")</f>
        <v/>
      </c>
      <c r="O336" s="239" t="str">
        <f>_xlfn.IFNA(VLOOKUP($M336,[1]Buff.CM!$A:$O,14,FALSE),"")</f>
        <v/>
      </c>
      <c r="P336" s="239" t="str">
        <f>_xlfn.IFNA(VLOOKUP($M336,[1]Buff.CM!$A:$O,15,FALSE),"")</f>
        <v/>
      </c>
      <c r="Q336" s="239" t="b">
        <v>0</v>
      </c>
      <c r="R336" s="239" t="b">
        <v>0</v>
      </c>
    </row>
    <row r="337" spans="1:18" x14ac:dyDescent="0.3">
      <c r="A337" s="239" t="s">
        <v>3978</v>
      </c>
      <c r="B337" s="239" t="s">
        <v>2180</v>
      </c>
      <c r="C337" s="239" t="s">
        <v>2156</v>
      </c>
      <c r="D337" s="239">
        <v>0</v>
      </c>
      <c r="E337" s="239">
        <v>0</v>
      </c>
      <c r="F337" s="239">
        <v>0</v>
      </c>
      <c r="G337" s="239" t="s">
        <v>3979</v>
      </c>
      <c r="H337" s="239"/>
      <c r="I337" s="231" t="b">
        <v>1</v>
      </c>
      <c r="J337" s="157" t="b">
        <v>1</v>
      </c>
      <c r="K337" s="233" t="b">
        <v>0</v>
      </c>
      <c r="L337" s="239"/>
      <c r="M337" s="239"/>
      <c r="N337" s="239" t="str">
        <f>_xlfn.IFNA(VLOOKUP($M337,[1]Buff.CM!$A:$O,13,FALSE),"")</f>
        <v/>
      </c>
      <c r="O337" s="239" t="str">
        <f>_xlfn.IFNA(VLOOKUP($M337,[1]Buff.CM!$A:$O,14,FALSE),"")</f>
        <v/>
      </c>
      <c r="P337" s="239" t="str">
        <f>_xlfn.IFNA(VLOOKUP($M337,[1]Buff.CM!$A:$O,15,FALSE),"")</f>
        <v/>
      </c>
      <c r="Q337" s="239" t="b">
        <v>0</v>
      </c>
      <c r="R337" s="239" t="b">
        <v>0</v>
      </c>
    </row>
    <row r="338" spans="1:18" x14ac:dyDescent="0.3">
      <c r="A338" s="239" t="s">
        <v>3980</v>
      </c>
      <c r="B338" s="239" t="s">
        <v>2180</v>
      </c>
      <c r="C338" s="239" t="s">
        <v>2156</v>
      </c>
      <c r="D338" s="239">
        <v>0</v>
      </c>
      <c r="E338" s="239">
        <v>0</v>
      </c>
      <c r="F338" s="239">
        <v>0</v>
      </c>
      <c r="G338" s="239" t="s">
        <v>3981</v>
      </c>
      <c r="H338" s="239"/>
      <c r="I338" s="231" t="b">
        <v>1</v>
      </c>
      <c r="J338" s="157" t="b">
        <v>1</v>
      </c>
      <c r="K338" s="233" t="b">
        <v>0</v>
      </c>
      <c r="L338" s="239"/>
      <c r="M338" s="239"/>
      <c r="N338" s="239" t="str">
        <f>_xlfn.IFNA(VLOOKUP($M338,[1]Buff.CM!$A:$O,13,FALSE),"")</f>
        <v/>
      </c>
      <c r="O338" s="239" t="str">
        <f>_xlfn.IFNA(VLOOKUP($M338,[1]Buff.CM!$A:$O,14,FALSE),"")</f>
        <v/>
      </c>
      <c r="P338" s="239" t="str">
        <f>_xlfn.IFNA(VLOOKUP($M338,[1]Buff.CM!$A:$O,15,FALSE),"")</f>
        <v/>
      </c>
      <c r="Q338" s="239" t="b">
        <v>0</v>
      </c>
      <c r="R338" s="239" t="b">
        <v>0</v>
      </c>
    </row>
    <row r="339" spans="1:18" x14ac:dyDescent="0.3">
      <c r="A339" s="239" t="s">
        <v>3982</v>
      </c>
      <c r="B339" s="239" t="s">
        <v>2180</v>
      </c>
      <c r="C339" s="239" t="s">
        <v>2156</v>
      </c>
      <c r="D339" s="239">
        <v>0</v>
      </c>
      <c r="E339" s="239">
        <v>0</v>
      </c>
      <c r="F339" s="239">
        <v>0</v>
      </c>
      <c r="G339" s="239" t="s">
        <v>3983</v>
      </c>
      <c r="H339" s="239"/>
      <c r="I339" s="231" t="b">
        <v>1</v>
      </c>
      <c r="J339" s="157" t="b">
        <v>1</v>
      </c>
      <c r="K339" s="233" t="b">
        <v>0</v>
      </c>
      <c r="L339" s="239"/>
      <c r="M339" s="239"/>
      <c r="N339" s="239" t="str">
        <f>_xlfn.IFNA(VLOOKUP($M339,[1]Buff.CM!$A:$O,13,FALSE),"")</f>
        <v/>
      </c>
      <c r="O339" s="239" t="str">
        <f>_xlfn.IFNA(VLOOKUP($M339,[1]Buff.CM!$A:$O,14,FALSE),"")</f>
        <v/>
      </c>
      <c r="P339" s="239" t="str">
        <f>_xlfn.IFNA(VLOOKUP($M339,[1]Buff.CM!$A:$O,15,FALSE),"")</f>
        <v/>
      </c>
      <c r="Q339" s="239" t="b">
        <v>0</v>
      </c>
      <c r="R339" s="239" t="b">
        <v>0</v>
      </c>
    </row>
    <row r="340" spans="1:18" x14ac:dyDescent="0.3">
      <c r="A340" s="239" t="s">
        <v>3984</v>
      </c>
      <c r="B340" s="239" t="s">
        <v>2180</v>
      </c>
      <c r="C340" s="239" t="s">
        <v>2156</v>
      </c>
      <c r="D340" s="239">
        <v>0</v>
      </c>
      <c r="E340" s="239">
        <v>0</v>
      </c>
      <c r="F340" s="239">
        <v>0</v>
      </c>
      <c r="G340" s="239" t="s">
        <v>3985</v>
      </c>
      <c r="H340" s="239"/>
      <c r="I340" s="231" t="b">
        <v>1</v>
      </c>
      <c r="J340" s="157" t="b">
        <v>1</v>
      </c>
      <c r="K340" s="233" t="b">
        <v>0</v>
      </c>
      <c r="L340" s="239"/>
      <c r="M340" s="239"/>
      <c r="N340" s="239" t="str">
        <f>_xlfn.IFNA(VLOOKUP($M340,[1]Buff.CM!$A:$O,13,FALSE),"")</f>
        <v/>
      </c>
      <c r="O340" s="239" t="str">
        <f>_xlfn.IFNA(VLOOKUP($M340,[1]Buff.CM!$A:$O,14,FALSE),"")</f>
        <v/>
      </c>
      <c r="P340" s="239" t="str">
        <f>_xlfn.IFNA(VLOOKUP($M340,[1]Buff.CM!$A:$O,15,FALSE),"")</f>
        <v/>
      </c>
      <c r="Q340" s="239" t="b">
        <v>0</v>
      </c>
      <c r="R340" s="239" t="b">
        <v>0</v>
      </c>
    </row>
    <row r="341" spans="1:18" x14ac:dyDescent="0.3">
      <c r="A341" s="32"/>
      <c r="B341" s="31"/>
      <c r="C341" s="31"/>
      <c r="D341" s="29"/>
      <c r="E341" s="29"/>
      <c r="F341" s="29"/>
      <c r="G341" s="175"/>
      <c r="H341" s="29"/>
      <c r="I341" s="56"/>
      <c r="J341" s="56"/>
      <c r="K341" s="56"/>
      <c r="L341" s="29"/>
      <c r="M341" s="29"/>
      <c r="N341" s="29"/>
      <c r="O341" s="29"/>
      <c r="P341" s="29"/>
      <c r="Q341" s="29"/>
      <c r="R341" s="56"/>
    </row>
    <row r="342" spans="1:18" x14ac:dyDescent="0.3">
      <c r="A342" s="159" t="s">
        <v>3564</v>
      </c>
      <c r="B342" s="159"/>
      <c r="C342" s="159"/>
      <c r="D342" s="159">
        <v>0</v>
      </c>
      <c r="E342" s="159">
        <v>0</v>
      </c>
      <c r="F342" s="159">
        <v>0</v>
      </c>
      <c r="G342" s="256" t="s">
        <v>3520</v>
      </c>
      <c r="H342" s="159"/>
      <c r="I342" s="159" t="b">
        <v>0</v>
      </c>
      <c r="J342" s="159" t="b">
        <v>0</v>
      </c>
      <c r="K342" s="159" t="b">
        <v>1</v>
      </c>
      <c r="L342" s="159"/>
      <c r="M342" s="159"/>
      <c r="N342" s="159" t="str">
        <f>_xlfn.IFNA(VLOOKUP($M342,[1]Buff.CM!$A:$O,13,FALSE),"")</f>
        <v/>
      </c>
      <c r="O342" s="159" t="str">
        <f>_xlfn.IFNA(VLOOKUP($M342,[1]Buff.CM!$A:$O,14,FALSE),"")</f>
        <v/>
      </c>
      <c r="P342" s="159" t="str">
        <f>_xlfn.IFNA(VLOOKUP($M342,[1]Buff.CM!$A:$O,15,FALSE),"")</f>
        <v/>
      </c>
      <c r="Q342" s="159" t="b">
        <v>0</v>
      </c>
      <c r="R342" s="159" t="b">
        <v>0</v>
      </c>
    </row>
    <row r="343" spans="1:18" x14ac:dyDescent="0.3">
      <c r="A343" s="159" t="s">
        <v>3565</v>
      </c>
      <c r="B343" s="159"/>
      <c r="C343" s="159"/>
      <c r="D343" s="159">
        <v>0</v>
      </c>
      <c r="E343" s="159">
        <v>0</v>
      </c>
      <c r="F343" s="159">
        <v>0</v>
      </c>
      <c r="G343" s="256" t="s">
        <v>3523</v>
      </c>
      <c r="H343" s="159"/>
      <c r="I343" s="159" t="b">
        <v>0</v>
      </c>
      <c r="J343" s="159" t="b">
        <v>0</v>
      </c>
      <c r="K343" s="159" t="b">
        <v>1</v>
      </c>
      <c r="L343" s="159"/>
      <c r="M343" s="159"/>
      <c r="N343" s="159" t="str">
        <f>_xlfn.IFNA(VLOOKUP($M343,[1]Buff.CM!$A:$O,13,FALSE),"")</f>
        <v/>
      </c>
      <c r="O343" s="159" t="str">
        <f>_xlfn.IFNA(VLOOKUP($M343,[1]Buff.CM!$A:$O,14,FALSE),"")</f>
        <v/>
      </c>
      <c r="P343" s="159" t="str">
        <f>_xlfn.IFNA(VLOOKUP($M343,[1]Buff.CM!$A:$O,15,FALSE),"")</f>
        <v/>
      </c>
      <c r="Q343" s="159" t="b">
        <v>0</v>
      </c>
      <c r="R343" s="159" t="b">
        <v>0</v>
      </c>
    </row>
    <row r="344" spans="1:18" x14ac:dyDescent="0.3">
      <c r="A344" s="159" t="s">
        <v>3566</v>
      </c>
      <c r="B344" s="159"/>
      <c r="C344" s="159"/>
      <c r="D344" s="159">
        <v>0</v>
      </c>
      <c r="E344" s="159">
        <v>0</v>
      </c>
      <c r="F344" s="159">
        <v>0</v>
      </c>
      <c r="G344" s="256" t="s">
        <v>3525</v>
      </c>
      <c r="H344" s="159"/>
      <c r="I344" s="159" t="b">
        <v>0</v>
      </c>
      <c r="J344" s="159" t="b">
        <v>0</v>
      </c>
      <c r="K344" s="159" t="b">
        <v>1</v>
      </c>
      <c r="L344" s="159"/>
      <c r="M344" s="159"/>
      <c r="N344" s="159" t="str">
        <f>_xlfn.IFNA(VLOOKUP($M344,[1]Buff.CM!$A:$O,13,FALSE),"")</f>
        <v/>
      </c>
      <c r="O344" s="159" t="str">
        <f>_xlfn.IFNA(VLOOKUP($M344,[1]Buff.CM!$A:$O,14,FALSE),"")</f>
        <v/>
      </c>
      <c r="P344" s="159" t="str">
        <f>_xlfn.IFNA(VLOOKUP($M344,[1]Buff.CM!$A:$O,15,FALSE),"")</f>
        <v/>
      </c>
      <c r="Q344" s="159" t="b">
        <v>0</v>
      </c>
      <c r="R344" s="159" t="b">
        <v>0</v>
      </c>
    </row>
    <row r="345" spans="1:18" x14ac:dyDescent="0.3">
      <c r="A345" s="159" t="s">
        <v>3567</v>
      </c>
      <c r="B345" s="159"/>
      <c r="C345" s="159"/>
      <c r="D345" s="159">
        <v>0</v>
      </c>
      <c r="E345" s="159">
        <v>0</v>
      </c>
      <c r="F345" s="159">
        <v>0</v>
      </c>
      <c r="G345" s="256" t="s">
        <v>3527</v>
      </c>
      <c r="H345" s="159"/>
      <c r="I345" s="159" t="b">
        <v>0</v>
      </c>
      <c r="J345" s="159" t="b">
        <v>0</v>
      </c>
      <c r="K345" s="159" t="b">
        <v>1</v>
      </c>
      <c r="L345" s="159"/>
      <c r="M345" s="159"/>
      <c r="N345" s="159" t="str">
        <f>_xlfn.IFNA(VLOOKUP($M345,[1]Buff.CM!$A:$O,13,FALSE),"")</f>
        <v/>
      </c>
      <c r="O345" s="159" t="str">
        <f>_xlfn.IFNA(VLOOKUP($M345,[1]Buff.CM!$A:$O,14,FALSE),"")</f>
        <v/>
      </c>
      <c r="P345" s="159" t="str">
        <f>_xlfn.IFNA(VLOOKUP($M345,[1]Buff.CM!$A:$O,15,FALSE),"")</f>
        <v/>
      </c>
      <c r="Q345" s="159" t="b">
        <v>0</v>
      </c>
      <c r="R345" s="159" t="b">
        <v>0</v>
      </c>
    </row>
    <row r="346" spans="1:18" x14ac:dyDescent="0.3">
      <c r="A346" s="159" t="s">
        <v>3568</v>
      </c>
      <c r="B346" s="159"/>
      <c r="C346" s="159"/>
      <c r="D346" s="159">
        <v>0</v>
      </c>
      <c r="E346" s="159">
        <v>0</v>
      </c>
      <c r="F346" s="159">
        <v>0</v>
      </c>
      <c r="G346" s="256" t="s">
        <v>3529</v>
      </c>
      <c r="H346" s="159"/>
      <c r="I346" s="159" t="b">
        <v>0</v>
      </c>
      <c r="J346" s="159" t="b">
        <v>0</v>
      </c>
      <c r="K346" s="159" t="b">
        <v>1</v>
      </c>
      <c r="L346" s="159"/>
      <c r="M346" s="159"/>
      <c r="N346" s="159" t="str">
        <f>_xlfn.IFNA(VLOOKUP($M346,[1]Buff.CM!$A:$O,13,FALSE),"")</f>
        <v/>
      </c>
      <c r="O346" s="159" t="str">
        <f>_xlfn.IFNA(VLOOKUP($M346,[1]Buff.CM!$A:$O,14,FALSE),"")</f>
        <v/>
      </c>
      <c r="P346" s="159" t="str">
        <f>_xlfn.IFNA(VLOOKUP($M346,[1]Buff.CM!$A:$O,15,FALSE),"")</f>
        <v/>
      </c>
      <c r="Q346" s="159" t="b">
        <v>0</v>
      </c>
      <c r="R346" s="159" t="b">
        <v>0</v>
      </c>
    </row>
    <row r="347" spans="1:18" x14ac:dyDescent="0.3">
      <c r="A347" s="159" t="s">
        <v>3569</v>
      </c>
      <c r="B347" s="159"/>
      <c r="C347" s="159"/>
      <c r="D347" s="159">
        <v>0</v>
      </c>
      <c r="E347" s="159">
        <v>0</v>
      </c>
      <c r="F347" s="159">
        <v>0</v>
      </c>
      <c r="G347" s="256" t="s">
        <v>3531</v>
      </c>
      <c r="H347" s="159"/>
      <c r="I347" s="159" t="b">
        <v>0</v>
      </c>
      <c r="J347" s="159" t="b">
        <v>0</v>
      </c>
      <c r="K347" s="159" t="b">
        <v>1</v>
      </c>
      <c r="L347" s="159"/>
      <c r="M347" s="159"/>
      <c r="N347" s="159" t="str">
        <f>_xlfn.IFNA(VLOOKUP($M347,[1]Buff.CM!$A:$O,13,FALSE),"")</f>
        <v/>
      </c>
      <c r="O347" s="159" t="str">
        <f>_xlfn.IFNA(VLOOKUP($M347,[1]Buff.CM!$A:$O,14,FALSE),"")</f>
        <v/>
      </c>
      <c r="P347" s="159" t="str">
        <f>_xlfn.IFNA(VLOOKUP($M347,[1]Buff.CM!$A:$O,15,FALSE),"")</f>
        <v/>
      </c>
      <c r="Q347" s="159" t="b">
        <v>0</v>
      </c>
      <c r="R347" s="159" t="b">
        <v>0</v>
      </c>
    </row>
    <row r="348" spans="1:18" x14ac:dyDescent="0.3">
      <c r="A348" s="159" t="s">
        <v>3570</v>
      </c>
      <c r="B348" s="159"/>
      <c r="C348" s="159"/>
      <c r="D348" s="159">
        <v>0</v>
      </c>
      <c r="E348" s="159">
        <v>0</v>
      </c>
      <c r="F348" s="159">
        <v>0</v>
      </c>
      <c r="G348" s="256" t="s">
        <v>3533</v>
      </c>
      <c r="H348" s="159"/>
      <c r="I348" s="159" t="b">
        <v>0</v>
      </c>
      <c r="J348" s="159" t="b">
        <v>0</v>
      </c>
      <c r="K348" s="159" t="b">
        <v>1</v>
      </c>
      <c r="L348" s="159"/>
      <c r="M348" s="159"/>
      <c r="N348" s="159" t="str">
        <f>_xlfn.IFNA(VLOOKUP($M348,[1]Buff.CM!$A:$O,13,FALSE),"")</f>
        <v/>
      </c>
      <c r="O348" s="159" t="str">
        <f>_xlfn.IFNA(VLOOKUP($M348,[1]Buff.CM!$A:$O,14,FALSE),"")</f>
        <v/>
      </c>
      <c r="P348" s="159" t="str">
        <f>_xlfn.IFNA(VLOOKUP($M348,[1]Buff.CM!$A:$O,15,FALSE),"")</f>
        <v/>
      </c>
      <c r="Q348" s="159" t="b">
        <v>0</v>
      </c>
      <c r="R348" s="159" t="b">
        <v>0</v>
      </c>
    </row>
    <row r="349" spans="1:18" x14ac:dyDescent="0.3">
      <c r="A349" s="159" t="s">
        <v>3542</v>
      </c>
      <c r="B349" s="159"/>
      <c r="C349" s="159"/>
      <c r="D349" s="159">
        <v>0</v>
      </c>
      <c r="E349" s="159">
        <v>0</v>
      </c>
      <c r="F349" s="159">
        <v>0</v>
      </c>
      <c r="G349" s="256" t="s">
        <v>173</v>
      </c>
      <c r="H349" s="159"/>
      <c r="I349" s="159" t="b">
        <v>0</v>
      </c>
      <c r="J349" s="159" t="b">
        <v>0</v>
      </c>
      <c r="K349" s="159" t="b">
        <v>1</v>
      </c>
      <c r="L349" s="159"/>
      <c r="M349" s="159"/>
      <c r="N349" s="159" t="str">
        <f>_xlfn.IFNA(VLOOKUP($M349,[1]Buff.CM!$A:$O,13,FALSE),"")</f>
        <v/>
      </c>
      <c r="O349" s="159" t="str">
        <f>_xlfn.IFNA(VLOOKUP($M349,[1]Buff.CM!$A:$O,14,FALSE),"")</f>
        <v/>
      </c>
      <c r="P349" s="159" t="str">
        <f>_xlfn.IFNA(VLOOKUP($M349,[1]Buff.CM!$A:$O,15,FALSE),"")</f>
        <v/>
      </c>
      <c r="Q349" s="159" t="b">
        <v>0</v>
      </c>
      <c r="R349" s="159" t="b">
        <v>0</v>
      </c>
    </row>
    <row r="350" spans="1:18" x14ac:dyDescent="0.3">
      <c r="A350" s="232" t="s">
        <v>3544</v>
      </c>
      <c r="B350" s="232"/>
      <c r="C350" s="232"/>
      <c r="D350" s="232">
        <v>0</v>
      </c>
      <c r="E350" s="232">
        <v>0</v>
      </c>
      <c r="F350" s="232">
        <v>0</v>
      </c>
      <c r="G350" s="232" t="s">
        <v>173</v>
      </c>
      <c r="H350" s="232"/>
      <c r="I350" s="232" t="b">
        <v>0</v>
      </c>
      <c r="J350" s="232" t="b">
        <v>0</v>
      </c>
      <c r="K350" s="232" t="b">
        <v>1</v>
      </c>
      <c r="L350" s="232"/>
      <c r="M350" s="232"/>
      <c r="N350" s="234" t="str">
        <f>_xlfn.IFNA(VLOOKUP($M350,[1]Buff.CM!$A:$O,13,FALSE),"")</f>
        <v/>
      </c>
      <c r="O350" s="234" t="str">
        <f>_xlfn.IFNA(VLOOKUP($M350,[1]Buff.CM!$A:$O,14,FALSE),"")</f>
        <v/>
      </c>
      <c r="P350" s="234" t="str">
        <f>_xlfn.IFNA(VLOOKUP($M350,[1]Buff.CM!$A:$O,15,FALSE),"")</f>
        <v/>
      </c>
      <c r="Q350" s="157" t="b">
        <v>0</v>
      </c>
      <c r="R350" s="232" t="b">
        <v>0</v>
      </c>
    </row>
    <row r="351" spans="1:18" ht="49.5" x14ac:dyDescent="0.3">
      <c r="A351" s="257" t="s">
        <v>3571</v>
      </c>
      <c r="B351" s="258"/>
      <c r="C351" s="258"/>
      <c r="D351" s="258">
        <v>8000</v>
      </c>
      <c r="E351" s="258">
        <v>0</v>
      </c>
      <c r="F351" s="258">
        <v>0</v>
      </c>
      <c r="G351" s="259" t="s">
        <v>3572</v>
      </c>
      <c r="H351" s="258"/>
      <c r="I351" s="258" t="b">
        <v>0</v>
      </c>
      <c r="J351" s="258" t="b">
        <v>0</v>
      </c>
      <c r="K351" s="232" t="b">
        <v>1</v>
      </c>
      <c r="L351" s="258"/>
      <c r="M351" s="258" t="s">
        <v>3585</v>
      </c>
      <c r="N351" s="258" t="s">
        <v>3586</v>
      </c>
      <c r="O351" s="258" t="s">
        <v>3584</v>
      </c>
      <c r="P351" s="258" t="s">
        <v>3587</v>
      </c>
      <c r="Q351" s="258" t="b">
        <v>0</v>
      </c>
      <c r="R351" s="258" t="b">
        <v>0</v>
      </c>
    </row>
    <row r="352" spans="1:18" ht="49.5" x14ac:dyDescent="0.3">
      <c r="A352" s="257" t="s">
        <v>3573</v>
      </c>
      <c r="B352" s="258"/>
      <c r="C352" s="258"/>
      <c r="D352" s="258">
        <v>8000</v>
      </c>
      <c r="E352" s="258">
        <v>0</v>
      </c>
      <c r="F352" s="258">
        <v>0</v>
      </c>
      <c r="G352" s="259" t="s">
        <v>3572</v>
      </c>
      <c r="H352" s="258"/>
      <c r="I352" s="258" t="b">
        <v>0</v>
      </c>
      <c r="J352" s="258" t="b">
        <v>0</v>
      </c>
      <c r="K352" s="232" t="b">
        <v>1</v>
      </c>
      <c r="L352" s="258"/>
      <c r="M352" s="258" t="s">
        <v>3584</v>
      </c>
      <c r="N352" s="258" t="s">
        <v>3586</v>
      </c>
      <c r="O352" s="258" t="s">
        <v>3584</v>
      </c>
      <c r="P352" s="258" t="s">
        <v>3587</v>
      </c>
      <c r="Q352" s="258" t="b">
        <v>0</v>
      </c>
      <c r="R352" s="258" t="b">
        <v>0</v>
      </c>
    </row>
    <row r="353" spans="1:18" ht="49.5" x14ac:dyDescent="0.3">
      <c r="A353" s="257" t="s">
        <v>3574</v>
      </c>
      <c r="B353" s="258"/>
      <c r="C353" s="258"/>
      <c r="D353" s="258">
        <v>10000</v>
      </c>
      <c r="E353" s="258">
        <v>0</v>
      </c>
      <c r="F353" s="258">
        <v>0</v>
      </c>
      <c r="G353" s="259" t="s">
        <v>3572</v>
      </c>
      <c r="H353" s="258"/>
      <c r="I353" s="258" t="b">
        <v>0</v>
      </c>
      <c r="J353" s="258" t="b">
        <v>0</v>
      </c>
      <c r="K353" s="232" t="b">
        <v>1</v>
      </c>
      <c r="L353" s="258"/>
      <c r="M353" s="258" t="s">
        <v>3584</v>
      </c>
      <c r="N353" s="258" t="s">
        <v>3586</v>
      </c>
      <c r="O353" s="258" t="s">
        <v>3584</v>
      </c>
      <c r="P353" s="258" t="s">
        <v>3587</v>
      </c>
      <c r="Q353" s="258" t="b">
        <v>0</v>
      </c>
      <c r="R353" s="258" t="b">
        <v>0</v>
      </c>
    </row>
    <row r="354" spans="1:18" ht="49.5" x14ac:dyDescent="0.3">
      <c r="A354" s="257" t="s">
        <v>3575</v>
      </c>
      <c r="B354" s="258"/>
      <c r="C354" s="258"/>
      <c r="D354" s="258">
        <v>10000</v>
      </c>
      <c r="E354" s="258">
        <v>0</v>
      </c>
      <c r="F354" s="258">
        <v>0</v>
      </c>
      <c r="G354" s="259" t="s">
        <v>3572</v>
      </c>
      <c r="H354" s="258"/>
      <c r="I354" s="258" t="b">
        <v>0</v>
      </c>
      <c r="J354" s="258" t="b">
        <v>0</v>
      </c>
      <c r="K354" s="232" t="b">
        <v>1</v>
      </c>
      <c r="L354" s="258"/>
      <c r="M354" s="258" t="s">
        <v>3584</v>
      </c>
      <c r="N354" s="258" t="s">
        <v>3586</v>
      </c>
      <c r="O354" s="258" t="s">
        <v>3584</v>
      </c>
      <c r="P354" s="258" t="s">
        <v>3587</v>
      </c>
      <c r="Q354" s="258" t="b">
        <v>0</v>
      </c>
      <c r="R354" s="258" t="b">
        <v>0</v>
      </c>
    </row>
    <row r="355" spans="1:18" ht="49.5" x14ac:dyDescent="0.3">
      <c r="A355" s="257" t="s">
        <v>3576</v>
      </c>
      <c r="B355" s="258"/>
      <c r="C355" s="258"/>
      <c r="D355" s="258">
        <v>12000</v>
      </c>
      <c r="E355" s="258">
        <v>0</v>
      </c>
      <c r="F355" s="258">
        <v>0</v>
      </c>
      <c r="G355" s="259" t="s">
        <v>3572</v>
      </c>
      <c r="H355" s="258"/>
      <c r="I355" s="258" t="b">
        <v>0</v>
      </c>
      <c r="J355" s="258" t="b">
        <v>0</v>
      </c>
      <c r="K355" s="232" t="b">
        <v>1</v>
      </c>
      <c r="L355" s="258"/>
      <c r="M355" s="258" t="s">
        <v>3584</v>
      </c>
      <c r="N355" s="258" t="s">
        <v>3586</v>
      </c>
      <c r="O355" s="258" t="s">
        <v>3584</v>
      </c>
      <c r="P355" s="258" t="s">
        <v>3587</v>
      </c>
      <c r="Q355" s="258" t="b">
        <v>0</v>
      </c>
      <c r="R355" s="258" t="b">
        <v>0</v>
      </c>
    </row>
    <row r="356" spans="1:18" ht="49.5" x14ac:dyDescent="0.3">
      <c r="A356" s="236" t="s">
        <v>3577</v>
      </c>
      <c r="B356" s="236"/>
      <c r="C356" s="236"/>
      <c r="D356" s="236">
        <v>14000</v>
      </c>
      <c r="E356" s="236">
        <v>0</v>
      </c>
      <c r="F356" s="236">
        <v>0</v>
      </c>
      <c r="G356" s="259" t="s">
        <v>3572</v>
      </c>
      <c r="H356" s="236"/>
      <c r="I356" s="236" t="b">
        <v>0</v>
      </c>
      <c r="J356" s="236" t="b">
        <v>0</v>
      </c>
      <c r="K356" s="232" t="b">
        <v>1</v>
      </c>
      <c r="L356" s="236"/>
      <c r="M356" s="236" t="s">
        <v>3584</v>
      </c>
      <c r="N356" s="236" t="s">
        <v>3586</v>
      </c>
      <c r="O356" s="236" t="s">
        <v>3584</v>
      </c>
      <c r="P356" s="236" t="s">
        <v>3587</v>
      </c>
      <c r="Q356" s="236" t="b">
        <v>0</v>
      </c>
      <c r="R356" s="236" t="b">
        <v>0</v>
      </c>
    </row>
    <row r="357" spans="1:18" ht="49.5" x14ac:dyDescent="0.3">
      <c r="A357" s="246" t="s">
        <v>3578</v>
      </c>
      <c r="B357" s="236"/>
      <c r="C357" s="236"/>
      <c r="D357" s="236">
        <v>14000</v>
      </c>
      <c r="E357" s="236">
        <v>0</v>
      </c>
      <c r="F357" s="236">
        <v>0</v>
      </c>
      <c r="G357" s="259" t="s">
        <v>3572</v>
      </c>
      <c r="H357" s="236"/>
      <c r="I357" s="236" t="b">
        <v>0</v>
      </c>
      <c r="J357" s="236" t="b">
        <v>0</v>
      </c>
      <c r="K357" s="232" t="b">
        <v>1</v>
      </c>
      <c r="L357" s="236"/>
      <c r="M357" s="236" t="s">
        <v>3584</v>
      </c>
      <c r="N357" s="236" t="s">
        <v>3586</v>
      </c>
      <c r="O357" s="236" t="s">
        <v>3584</v>
      </c>
      <c r="P357" s="236" t="s">
        <v>3587</v>
      </c>
      <c r="Q357" s="236" t="b">
        <v>0</v>
      </c>
      <c r="R357" s="236" t="b">
        <v>0</v>
      </c>
    </row>
    <row r="358" spans="1:18" x14ac:dyDescent="0.3">
      <c r="A358" s="157" t="s">
        <v>3546</v>
      </c>
      <c r="B358" s="157"/>
      <c r="C358" s="157"/>
      <c r="D358" s="157">
        <v>0</v>
      </c>
      <c r="E358" s="157">
        <v>0</v>
      </c>
      <c r="F358" s="157">
        <v>0</v>
      </c>
      <c r="G358" s="252" t="s">
        <v>173</v>
      </c>
      <c r="H358" s="157"/>
      <c r="I358" s="157" t="b">
        <v>0</v>
      </c>
      <c r="J358" s="157" t="b">
        <v>1</v>
      </c>
      <c r="K358" s="231" t="b">
        <v>1</v>
      </c>
      <c r="L358" s="157"/>
      <c r="M358" s="157"/>
      <c r="N358" s="157" t="str">
        <f>_xlfn.IFNA(VLOOKUP($M358,[1]Buff.CM!$A:$O,13,FALSE),"")</f>
        <v/>
      </c>
      <c r="O358" s="157" t="str">
        <f>_xlfn.IFNA(VLOOKUP($M358,[1]Buff.CM!$A:$O,14,FALSE),"")</f>
        <v/>
      </c>
      <c r="P358" s="157" t="str">
        <f>_xlfn.IFNA(VLOOKUP($M358,[1]Buff.CM!$A:$O,15,FALSE),"")</f>
        <v/>
      </c>
      <c r="Q358" s="157" t="b">
        <v>0</v>
      </c>
      <c r="R358" s="157" t="b">
        <v>0</v>
      </c>
    </row>
    <row r="359" spans="1:18" x14ac:dyDescent="0.3">
      <c r="A359" s="157" t="s">
        <v>3548</v>
      </c>
      <c r="B359" s="157"/>
      <c r="C359" s="157"/>
      <c r="D359" s="157">
        <v>0</v>
      </c>
      <c r="E359" s="157">
        <v>0</v>
      </c>
      <c r="F359" s="157">
        <v>0</v>
      </c>
      <c r="G359" s="252" t="s">
        <v>173</v>
      </c>
      <c r="H359" s="157"/>
      <c r="I359" s="157" t="b">
        <v>0</v>
      </c>
      <c r="J359" s="157" t="b">
        <v>1</v>
      </c>
      <c r="K359" s="231" t="b">
        <v>1</v>
      </c>
      <c r="L359" s="157"/>
      <c r="M359" s="157"/>
      <c r="N359" s="157" t="str">
        <f>_xlfn.IFNA(VLOOKUP($M359,[1]Buff.CM!$A:$O,13,FALSE),"")</f>
        <v/>
      </c>
      <c r="O359" s="157" t="str">
        <f>_xlfn.IFNA(VLOOKUP($M359,[1]Buff.CM!$A:$O,14,FALSE),"")</f>
        <v/>
      </c>
      <c r="P359" s="157" t="str">
        <f>_xlfn.IFNA(VLOOKUP($M359,[1]Buff.CM!$A:$O,15,FALSE),"")</f>
        <v/>
      </c>
      <c r="Q359" s="157" t="b">
        <v>0</v>
      </c>
      <c r="R359" s="157" t="b">
        <v>0</v>
      </c>
    </row>
    <row r="360" spans="1:18" x14ac:dyDescent="0.3">
      <c r="A360" s="157" t="s">
        <v>3550</v>
      </c>
      <c r="B360" s="157"/>
      <c r="C360" s="157"/>
      <c r="D360" s="157">
        <v>0</v>
      </c>
      <c r="E360" s="157">
        <v>0</v>
      </c>
      <c r="F360" s="157">
        <v>0</v>
      </c>
      <c r="G360" s="252" t="s">
        <v>173</v>
      </c>
      <c r="H360" s="157"/>
      <c r="I360" s="157" t="b">
        <v>0</v>
      </c>
      <c r="J360" s="157" t="b">
        <v>1</v>
      </c>
      <c r="K360" s="231" t="b">
        <v>1</v>
      </c>
      <c r="L360" s="157"/>
      <c r="M360" s="157"/>
      <c r="N360" s="157" t="str">
        <f>_xlfn.IFNA(VLOOKUP($M360,[1]Buff.CM!$A:$O,13,FALSE),"")</f>
        <v/>
      </c>
      <c r="O360" s="157" t="str">
        <f>_xlfn.IFNA(VLOOKUP($M360,[1]Buff.CM!$A:$O,14,FALSE),"")</f>
        <v/>
      </c>
      <c r="P360" s="157" t="str">
        <f>_xlfn.IFNA(VLOOKUP($M360,[1]Buff.CM!$A:$O,15,FALSE),"")</f>
        <v/>
      </c>
      <c r="Q360" s="157" t="b">
        <v>0</v>
      </c>
      <c r="R360" s="157" t="b">
        <v>0</v>
      </c>
    </row>
    <row r="361" spans="1:18" x14ac:dyDescent="0.3">
      <c r="A361" s="232" t="s">
        <v>3552</v>
      </c>
      <c r="B361" s="232"/>
      <c r="C361" s="232"/>
      <c r="D361" s="232">
        <v>0</v>
      </c>
      <c r="E361" s="232">
        <v>0</v>
      </c>
      <c r="F361" s="232">
        <v>0</v>
      </c>
      <c r="G361" s="238" t="s">
        <v>173</v>
      </c>
      <c r="H361" s="232"/>
      <c r="I361" s="232" t="b">
        <v>0</v>
      </c>
      <c r="J361" s="157" t="b">
        <v>1</v>
      </c>
      <c r="K361" s="231" t="b">
        <v>1</v>
      </c>
      <c r="L361" s="232"/>
      <c r="M361" s="232"/>
      <c r="N361" s="232" t="str">
        <f>_xlfn.IFNA(VLOOKUP($M361,[1]Buff.CM!$A:$O,13,FALSE),"")</f>
        <v/>
      </c>
      <c r="O361" s="232" t="str">
        <f>_xlfn.IFNA(VLOOKUP($M361,[1]Buff.CM!$A:$O,14,FALSE),"")</f>
        <v/>
      </c>
      <c r="P361" s="232" t="str">
        <f>_xlfn.IFNA(VLOOKUP($M361,[1]Buff.CM!$A:$O,15,FALSE),"")</f>
        <v/>
      </c>
      <c r="Q361" s="232" t="b">
        <v>0</v>
      </c>
      <c r="R361" s="232" t="b">
        <v>0</v>
      </c>
    </row>
    <row r="362" spans="1:18" x14ac:dyDescent="0.3">
      <c r="A362" s="232" t="s">
        <v>3554</v>
      </c>
      <c r="B362" s="232"/>
      <c r="C362" s="232"/>
      <c r="D362" s="232">
        <v>0</v>
      </c>
      <c r="E362" s="232">
        <v>0</v>
      </c>
      <c r="F362" s="232">
        <v>0</v>
      </c>
      <c r="G362" s="238" t="s">
        <v>173</v>
      </c>
      <c r="H362" s="232"/>
      <c r="I362" s="232" t="b">
        <v>0</v>
      </c>
      <c r="J362" s="157" t="b">
        <v>1</v>
      </c>
      <c r="K362" s="231" t="b">
        <v>1</v>
      </c>
      <c r="L362" s="232"/>
      <c r="M362" s="232"/>
      <c r="N362" s="232" t="str">
        <f>_xlfn.IFNA(VLOOKUP($M362,[1]Buff.CM!$A:$O,13,FALSE),"")</f>
        <v/>
      </c>
      <c r="O362" s="232" t="str">
        <f>_xlfn.IFNA(VLOOKUP($M362,[1]Buff.CM!$A:$O,14,FALSE),"")</f>
        <v/>
      </c>
      <c r="P362" s="232" t="str">
        <f>_xlfn.IFNA(VLOOKUP($M362,[1]Buff.CM!$A:$O,15,FALSE),"")</f>
        <v/>
      </c>
      <c r="Q362" s="232" t="b">
        <v>0</v>
      </c>
      <c r="R362" s="232" t="b">
        <v>0</v>
      </c>
    </row>
    <row r="363" spans="1:18" x14ac:dyDescent="0.3">
      <c r="A363" s="232" t="s">
        <v>3556</v>
      </c>
      <c r="B363" s="232"/>
      <c r="C363" s="232"/>
      <c r="D363" s="232">
        <v>0</v>
      </c>
      <c r="E363" s="232">
        <v>0</v>
      </c>
      <c r="F363" s="232">
        <v>0</v>
      </c>
      <c r="G363" s="238" t="s">
        <v>173</v>
      </c>
      <c r="H363" s="232"/>
      <c r="I363" s="232" t="b">
        <v>0</v>
      </c>
      <c r="J363" s="157" t="b">
        <v>1</v>
      </c>
      <c r="K363" s="231" t="b">
        <v>1</v>
      </c>
      <c r="L363" s="232"/>
      <c r="M363" s="232"/>
      <c r="N363" s="232" t="str">
        <f>_xlfn.IFNA(VLOOKUP($M363,[1]Buff.CM!$A:$O,13,FALSE),"")</f>
        <v/>
      </c>
      <c r="O363" s="232" t="str">
        <f>_xlfn.IFNA(VLOOKUP($M363,[1]Buff.CM!$A:$O,14,FALSE),"")</f>
        <v/>
      </c>
      <c r="P363" s="232" t="str">
        <f>_xlfn.IFNA(VLOOKUP($M363,[1]Buff.CM!$A:$O,15,FALSE),"")</f>
        <v/>
      </c>
      <c r="Q363" s="232" t="b">
        <v>0</v>
      </c>
      <c r="R363" s="232" t="b">
        <v>0</v>
      </c>
    </row>
    <row r="364" spans="1:18" x14ac:dyDescent="0.3">
      <c r="A364" s="157" t="s">
        <v>3558</v>
      </c>
      <c r="B364" s="157"/>
      <c r="C364" s="157"/>
      <c r="D364" s="157">
        <v>0</v>
      </c>
      <c r="E364" s="157">
        <v>0</v>
      </c>
      <c r="F364" s="157">
        <v>0</v>
      </c>
      <c r="G364" s="252" t="s">
        <v>3557</v>
      </c>
      <c r="H364" s="157"/>
      <c r="I364" s="157" t="b">
        <v>0</v>
      </c>
      <c r="J364" s="157" t="b">
        <v>1</v>
      </c>
      <c r="K364" s="231" t="b">
        <v>1</v>
      </c>
      <c r="L364" s="157"/>
      <c r="M364" s="157"/>
      <c r="N364" s="157" t="str">
        <f>_xlfn.IFNA(VLOOKUP($M364,[1]Buff.CM!$A:$O,13,FALSE),"")</f>
        <v/>
      </c>
      <c r="O364" s="157" t="str">
        <f>_xlfn.IFNA(VLOOKUP($M364,[1]Buff.CM!$A:$O,14,FALSE),"")</f>
        <v/>
      </c>
      <c r="P364" s="157" t="str">
        <f>_xlfn.IFNA(VLOOKUP($M364,[1]Buff.CM!$A:$O,15,FALSE),"")</f>
        <v/>
      </c>
      <c r="Q364" s="157" t="b">
        <v>0</v>
      </c>
      <c r="R364" s="157" t="b">
        <v>0</v>
      </c>
    </row>
    <row r="365" spans="1:18" x14ac:dyDescent="0.3">
      <c r="A365" s="157" t="s">
        <v>3559</v>
      </c>
      <c r="B365" s="157"/>
      <c r="C365" s="157"/>
      <c r="D365" s="157">
        <v>0</v>
      </c>
      <c r="E365" s="157">
        <v>0</v>
      </c>
      <c r="F365" s="157">
        <v>0</v>
      </c>
      <c r="G365" s="252" t="s">
        <v>3557</v>
      </c>
      <c r="H365" s="157"/>
      <c r="I365" s="157" t="b">
        <v>0</v>
      </c>
      <c r="J365" s="157" t="b">
        <v>1</v>
      </c>
      <c r="K365" s="231" t="b">
        <v>1</v>
      </c>
      <c r="L365" s="157"/>
      <c r="M365" s="157"/>
      <c r="N365" s="157" t="str">
        <f>_xlfn.IFNA(VLOOKUP($M365,[1]Buff.CM!$A:$O,13,FALSE),"")</f>
        <v/>
      </c>
      <c r="O365" s="157" t="str">
        <f>_xlfn.IFNA(VLOOKUP($M365,[1]Buff.CM!$A:$O,14,FALSE),"")</f>
        <v/>
      </c>
      <c r="P365" s="157" t="str">
        <f>_xlfn.IFNA(VLOOKUP($M365,[1]Buff.CM!$A:$O,15,FALSE),"")</f>
        <v/>
      </c>
      <c r="Q365" s="157" t="b">
        <v>0</v>
      </c>
      <c r="R365" s="157" t="b">
        <v>0</v>
      </c>
    </row>
    <row r="366" spans="1:18" x14ac:dyDescent="0.3">
      <c r="A366" s="157" t="s">
        <v>3560</v>
      </c>
      <c r="B366" s="157"/>
      <c r="C366" s="157"/>
      <c r="D366" s="157">
        <v>0</v>
      </c>
      <c r="E366" s="157">
        <v>0</v>
      </c>
      <c r="F366" s="157">
        <v>0</v>
      </c>
      <c r="G366" s="252" t="s">
        <v>3557</v>
      </c>
      <c r="H366" s="157"/>
      <c r="I366" s="157" t="b">
        <v>0</v>
      </c>
      <c r="J366" s="157" t="b">
        <v>1</v>
      </c>
      <c r="K366" s="231" t="b">
        <v>1</v>
      </c>
      <c r="L366" s="157"/>
      <c r="M366" s="157"/>
      <c r="N366" s="157" t="str">
        <f>_xlfn.IFNA(VLOOKUP($M366,[1]Buff.CM!$A:$O,13,FALSE),"")</f>
        <v/>
      </c>
      <c r="O366" s="157" t="str">
        <f>_xlfn.IFNA(VLOOKUP($M366,[1]Buff.CM!$A:$O,14,FALSE),"")</f>
        <v/>
      </c>
      <c r="P366" s="157" t="str">
        <f>_xlfn.IFNA(VLOOKUP($M366,[1]Buff.CM!$A:$O,15,FALSE),"")</f>
        <v/>
      </c>
      <c r="Q366" s="157" t="b">
        <v>0</v>
      </c>
      <c r="R366" s="157" t="b">
        <v>0</v>
      </c>
    </row>
    <row r="367" spans="1:18" x14ac:dyDescent="0.3">
      <c r="A367" s="232" t="s">
        <v>3561</v>
      </c>
      <c r="B367" s="232"/>
      <c r="C367" s="232"/>
      <c r="D367" s="232">
        <v>0</v>
      </c>
      <c r="E367" s="232">
        <v>0</v>
      </c>
      <c r="F367" s="232">
        <v>0</v>
      </c>
      <c r="G367" s="238" t="s">
        <v>3557</v>
      </c>
      <c r="H367" s="232"/>
      <c r="I367" s="232" t="b">
        <v>0</v>
      </c>
      <c r="J367" s="157" t="b">
        <v>1</v>
      </c>
      <c r="K367" s="231" t="b">
        <v>1</v>
      </c>
      <c r="L367" s="232"/>
      <c r="M367" s="232"/>
      <c r="N367" s="232" t="str">
        <f>_xlfn.IFNA(VLOOKUP($M367,[1]Buff.CM!$A:$O,13,FALSE),"")</f>
        <v/>
      </c>
      <c r="O367" s="232" t="str">
        <f>_xlfn.IFNA(VLOOKUP($M367,[1]Buff.CM!$A:$O,14,FALSE),"")</f>
        <v/>
      </c>
      <c r="P367" s="232" t="str">
        <f>_xlfn.IFNA(VLOOKUP($M367,[1]Buff.CM!$A:$O,15,FALSE),"")</f>
        <v/>
      </c>
      <c r="Q367" s="232" t="b">
        <v>0</v>
      </c>
      <c r="R367" s="232" t="b">
        <v>0</v>
      </c>
    </row>
    <row r="368" spans="1:18" x14ac:dyDescent="0.3">
      <c r="A368" s="232" t="s">
        <v>3562</v>
      </c>
      <c r="B368" s="232"/>
      <c r="C368" s="232"/>
      <c r="D368" s="232">
        <v>0</v>
      </c>
      <c r="E368" s="232">
        <v>0</v>
      </c>
      <c r="F368" s="232">
        <v>0</v>
      </c>
      <c r="G368" s="238" t="s">
        <v>3557</v>
      </c>
      <c r="H368" s="232"/>
      <c r="I368" s="232" t="b">
        <v>0</v>
      </c>
      <c r="J368" s="157" t="b">
        <v>1</v>
      </c>
      <c r="K368" s="231" t="b">
        <v>1</v>
      </c>
      <c r="L368" s="232"/>
      <c r="M368" s="232"/>
      <c r="N368" s="232" t="str">
        <f>_xlfn.IFNA(VLOOKUP($M368,[1]Buff.CM!$A:$O,13,FALSE),"")</f>
        <v/>
      </c>
      <c r="O368" s="232" t="str">
        <f>_xlfn.IFNA(VLOOKUP($M368,[1]Buff.CM!$A:$O,14,FALSE),"")</f>
        <v/>
      </c>
      <c r="P368" s="232" t="str">
        <f>_xlfn.IFNA(VLOOKUP($M368,[1]Buff.CM!$A:$O,15,FALSE),"")</f>
        <v/>
      </c>
      <c r="Q368" s="232" t="b">
        <v>0</v>
      </c>
      <c r="R368" s="232" t="b">
        <v>0</v>
      </c>
    </row>
    <row r="369" spans="1:18" x14ac:dyDescent="0.3">
      <c r="A369" s="232" t="s">
        <v>3563</v>
      </c>
      <c r="B369" s="232"/>
      <c r="C369" s="232"/>
      <c r="D369" s="232">
        <v>0</v>
      </c>
      <c r="E369" s="232">
        <v>0</v>
      </c>
      <c r="F369" s="232">
        <v>0</v>
      </c>
      <c r="G369" s="238" t="s">
        <v>3557</v>
      </c>
      <c r="H369" s="232"/>
      <c r="I369" s="232" t="b">
        <v>0</v>
      </c>
      <c r="J369" s="157" t="b">
        <v>1</v>
      </c>
      <c r="K369" s="231" t="b">
        <v>1</v>
      </c>
      <c r="L369" s="232"/>
      <c r="M369" s="232"/>
      <c r="N369" s="232" t="str">
        <f>_xlfn.IFNA(VLOOKUP($M369,[1]Buff.CM!$A:$O,13,FALSE),"")</f>
        <v/>
      </c>
      <c r="O369" s="232" t="str">
        <f>_xlfn.IFNA(VLOOKUP($M369,[1]Buff.CM!$A:$O,14,FALSE),"")</f>
        <v/>
      </c>
      <c r="P369" s="232" t="str">
        <f>_xlfn.IFNA(VLOOKUP($M369,[1]Buff.CM!$A:$O,15,FALSE),"")</f>
        <v/>
      </c>
      <c r="Q369" s="232" t="b">
        <v>0</v>
      </c>
      <c r="R369" s="232" t="b">
        <v>0</v>
      </c>
    </row>
    <row r="370" spans="1:18" ht="132" x14ac:dyDescent="0.3">
      <c r="A370" s="159" t="s">
        <v>3579</v>
      </c>
      <c r="B370" s="159"/>
      <c r="C370" s="159"/>
      <c r="D370" s="159">
        <v>0</v>
      </c>
      <c r="E370" s="159">
        <v>10</v>
      </c>
      <c r="F370" s="159">
        <v>1</v>
      </c>
      <c r="G370" s="256" t="s">
        <v>3580</v>
      </c>
      <c r="H370" s="159"/>
      <c r="I370" s="159" t="b">
        <v>0</v>
      </c>
      <c r="J370" s="157" t="b">
        <v>1</v>
      </c>
      <c r="K370" s="234" t="b">
        <v>1</v>
      </c>
      <c r="L370" s="159"/>
      <c r="M370" s="159" t="s">
        <v>3583</v>
      </c>
      <c r="N370" s="159" t="str">
        <f>_xlfn.IFNA(VLOOKUP($M370,[1]Buff.CM!$A:$O,13,FALSE),"")</f>
        <v>icon_battle_archphase_starcore</v>
      </c>
      <c r="O370" s="159" t="str">
        <f>_xlfn.IFNA(VLOOKUP($M370,[1]Buff.CM!$A:$O,14,FALSE),"")</f>
        <v>info.archphase.buff.starcore</v>
      </c>
      <c r="P370" s="159" t="str">
        <f>_xlfn.IFNA(VLOOKUP($M370,[1]Buff.CM!$A:$O,15,FALSE),"")</f>
        <v>Desc.info.archphase.buff.starcore</v>
      </c>
      <c r="Q370" s="159" t="b">
        <v>0</v>
      </c>
      <c r="R370" s="159" t="b">
        <v>0</v>
      </c>
    </row>
    <row r="371" spans="1:18" x14ac:dyDescent="0.3">
      <c r="A371" s="157" t="s">
        <v>3581</v>
      </c>
      <c r="B371" s="157"/>
      <c r="C371" s="157"/>
      <c r="D371" s="157">
        <v>700</v>
      </c>
      <c r="E371" s="157">
        <v>0</v>
      </c>
      <c r="F371" s="157">
        <v>0</v>
      </c>
      <c r="G371" s="157" t="s">
        <v>173</v>
      </c>
      <c r="H371" s="157"/>
      <c r="I371" s="157" t="b">
        <v>1</v>
      </c>
      <c r="J371" s="157" t="b">
        <v>1</v>
      </c>
      <c r="K371" s="157" t="b">
        <v>0</v>
      </c>
      <c r="L371" s="157" t="s">
        <v>3518</v>
      </c>
      <c r="M371" s="157"/>
      <c r="N371" s="157" t="str">
        <f>_xlfn.IFNA(VLOOKUP($M371,[1]Buff.CM!$A:$O,13,FALSE),"")</f>
        <v/>
      </c>
      <c r="O371" s="157" t="str">
        <f>_xlfn.IFNA(VLOOKUP($M371,[1]Buff.CM!$A:$O,14,FALSE),"")</f>
        <v/>
      </c>
      <c r="P371" s="157" t="str">
        <f>_xlfn.IFNA(VLOOKUP($M371,[1]Buff.CM!$A:$O,15,FALSE),"")</f>
        <v/>
      </c>
      <c r="Q371" s="157" t="b">
        <v>0</v>
      </c>
      <c r="R371" s="157" t="b">
        <v>0</v>
      </c>
    </row>
    <row r="372" spans="1:18" x14ac:dyDescent="0.3">
      <c r="A372" s="157" t="s">
        <v>3582</v>
      </c>
      <c r="B372" s="157"/>
      <c r="C372" s="157"/>
      <c r="D372" s="157">
        <v>700</v>
      </c>
      <c r="E372" s="157">
        <v>0</v>
      </c>
      <c r="F372" s="157">
        <v>0</v>
      </c>
      <c r="G372" s="157" t="s">
        <v>173</v>
      </c>
      <c r="H372" s="157"/>
      <c r="I372" s="157" t="b">
        <v>1</v>
      </c>
      <c r="J372" s="157" t="b">
        <v>1</v>
      </c>
      <c r="K372" s="157" t="b">
        <v>0</v>
      </c>
      <c r="L372" s="157" t="s">
        <v>3519</v>
      </c>
      <c r="M372" s="157"/>
      <c r="N372" s="157" t="str">
        <f>_xlfn.IFNA(VLOOKUP($M372,[1]Buff.CM!$A:$O,13,FALSE),"")</f>
        <v/>
      </c>
      <c r="O372" s="157" t="str">
        <f>_xlfn.IFNA(VLOOKUP($M372,[1]Buff.CM!$A:$O,14,FALSE),"")</f>
        <v/>
      </c>
      <c r="P372" s="157" t="str">
        <f>_xlfn.IFNA(VLOOKUP($M372,[1]Buff.CM!$A:$O,15,FALSE),"")</f>
        <v/>
      </c>
      <c r="Q372" s="157" t="b">
        <v>0</v>
      </c>
      <c r="R372" s="157" t="b">
        <v>0</v>
      </c>
    </row>
    <row r="373" spans="1:18" x14ac:dyDescent="0.3">
      <c r="A373" s="247" t="s">
        <v>3378</v>
      </c>
      <c r="B373" s="247"/>
      <c r="C373" s="247"/>
      <c r="D373" s="247">
        <v>50</v>
      </c>
      <c r="E373" s="247">
        <v>0</v>
      </c>
      <c r="F373" s="247">
        <v>0</v>
      </c>
      <c r="G373" s="248" t="s">
        <v>1191</v>
      </c>
      <c r="H373" s="247"/>
      <c r="I373" s="247" t="b">
        <v>0</v>
      </c>
      <c r="J373" s="247" t="b">
        <v>0</v>
      </c>
      <c r="K373" s="247" t="b">
        <v>0</v>
      </c>
      <c r="L373" s="247"/>
      <c r="M373" s="247"/>
      <c r="N373" s="247" t="str">
        <f>_xlfn.IFNA(VLOOKUP($M373,[1]Buff.CM!$A:$O,13,FALSE),"")</f>
        <v/>
      </c>
      <c r="O373" s="247" t="str">
        <f>_xlfn.IFNA(VLOOKUP($M373,[1]Buff.CM!$A:$O,14,FALSE),"")</f>
        <v/>
      </c>
      <c r="P373" s="247" t="str">
        <f>_xlfn.IFNA(VLOOKUP($M373,[1]Buff.CM!$A:$O,15,FALSE),"")</f>
        <v/>
      </c>
      <c r="Q373" s="247" t="b">
        <v>0</v>
      </c>
      <c r="R373" s="247" t="b">
        <v>0</v>
      </c>
    </row>
    <row r="374" spans="1:18" x14ac:dyDescent="0.3">
      <c r="A374" s="231" t="s">
        <v>3379</v>
      </c>
      <c r="B374" s="231"/>
      <c r="C374" s="231"/>
      <c r="D374" s="231">
        <v>3000</v>
      </c>
      <c r="E374" s="231">
        <v>0</v>
      </c>
      <c r="F374" s="231">
        <v>0</v>
      </c>
      <c r="G374" s="242" t="s">
        <v>3380</v>
      </c>
      <c r="H374" s="231"/>
      <c r="I374" s="231" t="b">
        <v>0</v>
      </c>
      <c r="J374" s="231" t="b">
        <v>0</v>
      </c>
      <c r="K374" s="231" t="b">
        <v>0</v>
      </c>
      <c r="L374" s="231" t="s">
        <v>55</v>
      </c>
      <c r="M374" s="231"/>
      <c r="N374" s="231" t="str">
        <f>_xlfn.IFNA(VLOOKUP($M374,[1]Buff.CM!$A:$O,13,FALSE),"")</f>
        <v/>
      </c>
      <c r="O374" s="231" t="str">
        <f>_xlfn.IFNA(VLOOKUP($M374,[1]Buff.CM!$A:$O,14,FALSE),"")</f>
        <v/>
      </c>
      <c r="P374" s="231" t="str">
        <f>_xlfn.IFNA(VLOOKUP($M374,[1]Buff.CM!$A:$O,15,FALSE),"")</f>
        <v/>
      </c>
      <c r="Q374" s="231" t="b">
        <v>0</v>
      </c>
      <c r="R374" s="231" t="b">
        <v>0</v>
      </c>
    </row>
    <row r="375" spans="1:18" x14ac:dyDescent="0.3">
      <c r="A375" s="247" t="s">
        <v>3381</v>
      </c>
      <c r="B375" s="247"/>
      <c r="C375" s="247"/>
      <c r="D375" s="247">
        <v>100</v>
      </c>
      <c r="E375" s="247">
        <v>0</v>
      </c>
      <c r="F375" s="247">
        <v>0</v>
      </c>
      <c r="G375" s="248" t="s">
        <v>1191</v>
      </c>
      <c r="H375" s="247"/>
      <c r="I375" s="247" t="b">
        <v>0</v>
      </c>
      <c r="J375" s="247" t="b">
        <v>0</v>
      </c>
      <c r="K375" s="247" t="b">
        <v>0</v>
      </c>
      <c r="L375" s="247"/>
      <c r="M375" s="247"/>
      <c r="N375" s="247" t="str">
        <f>_xlfn.IFNA(VLOOKUP($M375,[1]Buff.CM!$A:$O,13,FALSE),"")</f>
        <v/>
      </c>
      <c r="O375" s="247" t="str">
        <f>_xlfn.IFNA(VLOOKUP($M375,[1]Buff.CM!$A:$O,14,FALSE),"")</f>
        <v/>
      </c>
      <c r="P375" s="247" t="str">
        <f>_xlfn.IFNA(VLOOKUP($M375,[1]Buff.CM!$A:$O,15,FALSE),"")</f>
        <v/>
      </c>
      <c r="Q375" s="247" t="b">
        <v>0</v>
      </c>
      <c r="R375" s="247" t="b">
        <v>0</v>
      </c>
    </row>
    <row r="376" spans="1:18" x14ac:dyDescent="0.3">
      <c r="A376" s="231" t="s">
        <v>3382</v>
      </c>
      <c r="B376" s="231"/>
      <c r="C376" s="231"/>
      <c r="D376" s="231">
        <v>6000</v>
      </c>
      <c r="E376" s="231">
        <v>0</v>
      </c>
      <c r="F376" s="231">
        <v>0</v>
      </c>
      <c r="G376" s="231" t="s">
        <v>2267</v>
      </c>
      <c r="H376" s="231"/>
      <c r="I376" s="231" t="b">
        <v>0</v>
      </c>
      <c r="J376" s="231" t="b">
        <v>0</v>
      </c>
      <c r="K376" s="231" t="b">
        <v>0</v>
      </c>
      <c r="L376" s="239" t="s">
        <v>463</v>
      </c>
      <c r="M376" s="231" t="s">
        <v>2267</v>
      </c>
      <c r="N376" s="231" t="str">
        <f>_xlfn.IFNA(VLOOKUP($M376,[1]Buff.CM!$A:$O,13,FALSE),"")</f>
        <v>icon_battle_defense</v>
      </c>
      <c r="O376" s="231" t="str">
        <f>_xlfn.IFNA(VLOOKUP($M376,[1]Buff.CM!$A:$O,14,FALSE),"")</f>
        <v>Buff.Name.Def.Down.02</v>
      </c>
      <c r="P376" s="231" t="str">
        <f>_xlfn.IFNA(VLOOKUP($M376,[1]Buff.CM!$A:$O,15,FALSE),"")</f>
        <v>Buff.Desc.Def.Down.02</v>
      </c>
      <c r="Q376" s="231" t="b">
        <v>0</v>
      </c>
      <c r="R376" s="231" t="b">
        <v>0</v>
      </c>
    </row>
    <row r="377" spans="1:18" x14ac:dyDescent="0.3">
      <c r="A377" s="231" t="s">
        <v>3383</v>
      </c>
      <c r="B377" s="231"/>
      <c r="C377" s="231"/>
      <c r="D377" s="231">
        <v>6000</v>
      </c>
      <c r="E377" s="231">
        <v>0</v>
      </c>
      <c r="F377" s="231">
        <v>0</v>
      </c>
      <c r="G377" s="231" t="s">
        <v>2267</v>
      </c>
      <c r="H377" s="231"/>
      <c r="I377" s="231" t="b">
        <v>0</v>
      </c>
      <c r="J377" s="231" t="b">
        <v>0</v>
      </c>
      <c r="K377" s="231" t="b">
        <v>0</v>
      </c>
      <c r="L377" s="239" t="s">
        <v>463</v>
      </c>
      <c r="M377" s="231" t="s">
        <v>2267</v>
      </c>
      <c r="N377" s="231" t="str">
        <f>_xlfn.IFNA(VLOOKUP($M377,[1]Buff.CM!$A:$O,13,FALSE),"")</f>
        <v>icon_battle_defense</v>
      </c>
      <c r="O377" s="231" t="str">
        <f>_xlfn.IFNA(VLOOKUP($M377,[1]Buff.CM!$A:$O,14,FALSE),"")</f>
        <v>Buff.Name.Def.Down.02</v>
      </c>
      <c r="P377" s="231" t="str">
        <f>_xlfn.IFNA(VLOOKUP($M377,[1]Buff.CM!$A:$O,15,FALSE),"")</f>
        <v>Buff.Desc.Def.Down.02</v>
      </c>
      <c r="Q377" s="231" t="b">
        <v>0</v>
      </c>
      <c r="R377" s="231" t="b">
        <v>0</v>
      </c>
    </row>
    <row r="378" spans="1:18" x14ac:dyDescent="0.3">
      <c r="A378" s="231" t="s">
        <v>3384</v>
      </c>
      <c r="B378" s="231"/>
      <c r="C378" s="231"/>
      <c r="D378" s="231">
        <v>6000</v>
      </c>
      <c r="E378" s="231">
        <v>0</v>
      </c>
      <c r="F378" s="231">
        <v>0</v>
      </c>
      <c r="G378" s="231" t="s">
        <v>2266</v>
      </c>
      <c r="H378" s="231"/>
      <c r="I378" s="231" t="b">
        <v>0</v>
      </c>
      <c r="J378" s="231" t="b">
        <v>0</v>
      </c>
      <c r="K378" s="231" t="b">
        <v>0</v>
      </c>
      <c r="L378" s="239" t="s">
        <v>463</v>
      </c>
      <c r="M378" s="231" t="s">
        <v>2266</v>
      </c>
      <c r="N378" s="231" t="str">
        <f>_xlfn.IFNA(VLOOKUP($M378,[1]Buff.CM!$A:$O,13,FALSE),"")</f>
        <v>icon_battle_defense</v>
      </c>
      <c r="O378" s="231" t="str">
        <f>_xlfn.IFNA(VLOOKUP($M378,[1]Buff.CM!$A:$O,14,FALSE),"")</f>
        <v>Buff.Name.Def.Down.03</v>
      </c>
      <c r="P378" s="231" t="str">
        <f>_xlfn.IFNA(VLOOKUP($M378,[1]Buff.CM!$A:$O,15,FALSE),"")</f>
        <v>Buff.Desc.Def.Down.03</v>
      </c>
      <c r="Q378" s="231" t="b">
        <v>0</v>
      </c>
      <c r="R378" s="231" t="b">
        <v>0</v>
      </c>
    </row>
    <row r="379" spans="1:18" x14ac:dyDescent="0.3">
      <c r="A379" s="231" t="s">
        <v>3385</v>
      </c>
      <c r="B379" s="231"/>
      <c r="C379" s="231"/>
      <c r="D379" s="231">
        <v>6000</v>
      </c>
      <c r="E379" s="231">
        <v>0</v>
      </c>
      <c r="F379" s="231">
        <v>0</v>
      </c>
      <c r="G379" s="231" t="s">
        <v>2266</v>
      </c>
      <c r="H379" s="231"/>
      <c r="I379" s="231" t="b">
        <v>0</v>
      </c>
      <c r="J379" s="231" t="b">
        <v>0</v>
      </c>
      <c r="K379" s="231" t="b">
        <v>0</v>
      </c>
      <c r="L379" s="239" t="s">
        <v>463</v>
      </c>
      <c r="M379" s="231" t="s">
        <v>2266</v>
      </c>
      <c r="N379" s="231" t="str">
        <f>_xlfn.IFNA(VLOOKUP($M379,[1]Buff.CM!$A:$O,13,FALSE),"")</f>
        <v>icon_battle_defense</v>
      </c>
      <c r="O379" s="231" t="str">
        <f>_xlfn.IFNA(VLOOKUP($M379,[1]Buff.CM!$A:$O,14,FALSE),"")</f>
        <v>Buff.Name.Def.Down.03</v>
      </c>
      <c r="P379" s="231" t="str">
        <f>_xlfn.IFNA(VLOOKUP($M379,[1]Buff.CM!$A:$O,15,FALSE),"")</f>
        <v>Buff.Desc.Def.Down.03</v>
      </c>
      <c r="Q379" s="231" t="b">
        <v>0</v>
      </c>
      <c r="R379" s="231" t="b">
        <v>0</v>
      </c>
    </row>
    <row r="380" spans="1:18" x14ac:dyDescent="0.3">
      <c r="A380" s="231" t="s">
        <v>3386</v>
      </c>
      <c r="B380" s="231"/>
      <c r="C380" s="231"/>
      <c r="D380" s="231">
        <v>6000</v>
      </c>
      <c r="E380" s="231">
        <v>0</v>
      </c>
      <c r="F380" s="231">
        <v>0</v>
      </c>
      <c r="G380" s="231" t="s">
        <v>2256</v>
      </c>
      <c r="H380" s="231"/>
      <c r="I380" s="231" t="b">
        <v>0</v>
      </c>
      <c r="J380" s="231" t="b">
        <v>0</v>
      </c>
      <c r="K380" s="231" t="b">
        <v>0</v>
      </c>
      <c r="L380" s="239" t="s">
        <v>463</v>
      </c>
      <c r="M380" s="231" t="s">
        <v>2256</v>
      </c>
      <c r="N380" s="231" t="str">
        <f>_xlfn.IFNA(VLOOKUP($M380,[1]Buff.CM!$A:$O,13,FALSE),"")</f>
        <v>icon_battle_defense</v>
      </c>
      <c r="O380" s="231" t="str">
        <f>_xlfn.IFNA(VLOOKUP($M380,[1]Buff.CM!$A:$O,14,FALSE),"")</f>
        <v>Buff.Name.Def.Down.04</v>
      </c>
      <c r="P380" s="231" t="str">
        <f>_xlfn.IFNA(VLOOKUP($M380,[1]Buff.CM!$A:$O,15,FALSE),"")</f>
        <v>Buff.Desc.Def.Down.04</v>
      </c>
      <c r="Q380" s="231" t="b">
        <v>0</v>
      </c>
      <c r="R380" s="231" t="b">
        <v>0</v>
      </c>
    </row>
    <row r="381" spans="1:18" x14ac:dyDescent="0.3">
      <c r="A381" s="231" t="s">
        <v>3387</v>
      </c>
      <c r="B381" s="231"/>
      <c r="C381" s="231"/>
      <c r="D381" s="231">
        <v>2000</v>
      </c>
      <c r="E381" s="231">
        <v>0</v>
      </c>
      <c r="F381" s="231">
        <v>0</v>
      </c>
      <c r="G381" s="231" t="s">
        <v>425</v>
      </c>
      <c r="H381" s="231"/>
      <c r="I381" s="231" t="b">
        <v>0</v>
      </c>
      <c r="J381" s="231" t="b">
        <v>0</v>
      </c>
      <c r="K381" s="231" t="b">
        <v>0</v>
      </c>
      <c r="L381" s="231" t="s">
        <v>426</v>
      </c>
      <c r="M381" s="231" t="s">
        <v>3372</v>
      </c>
      <c r="N381" s="231" t="str">
        <f>_xlfn.IFNA(VLOOKUP($M381,[1]Buff.CM!$A:$O,13,FALSE),"")</f>
        <v>icon_battle_silence</v>
      </c>
      <c r="O381" s="231" t="str">
        <f>_xlfn.IFNA(VLOOKUP($M381,[1]Buff.CM!$A:$O,14,FALSE),"")</f>
        <v>Buff.Name.Silence</v>
      </c>
      <c r="P381" s="231" t="str">
        <f>_xlfn.IFNA(VLOOKUP($M381,[1]Buff.CM!$A:$O,15,FALSE),"")</f>
        <v>Buff.Desc.Silence</v>
      </c>
      <c r="Q381" s="231" t="b">
        <v>0</v>
      </c>
      <c r="R381" s="231" t="b">
        <v>0</v>
      </c>
    </row>
    <row r="382" spans="1:18" x14ac:dyDescent="0.3">
      <c r="A382" s="231" t="s">
        <v>3388</v>
      </c>
      <c r="B382" s="231"/>
      <c r="C382" s="231"/>
      <c r="D382" s="231">
        <v>2000</v>
      </c>
      <c r="E382" s="231">
        <v>0</v>
      </c>
      <c r="F382" s="231">
        <v>0</v>
      </c>
      <c r="G382" s="231" t="s">
        <v>425</v>
      </c>
      <c r="H382" s="231"/>
      <c r="I382" s="231" t="b">
        <v>0</v>
      </c>
      <c r="J382" s="231" t="b">
        <v>0</v>
      </c>
      <c r="K382" s="231" t="b">
        <v>0</v>
      </c>
      <c r="L382" s="231" t="s">
        <v>426</v>
      </c>
      <c r="M382" s="231" t="s">
        <v>3372</v>
      </c>
      <c r="N382" s="231" t="str">
        <f>_xlfn.IFNA(VLOOKUP($M382,[1]Buff.CM!$A:$O,13,FALSE),"")</f>
        <v>icon_battle_silence</v>
      </c>
      <c r="O382" s="231" t="str">
        <f>_xlfn.IFNA(VLOOKUP($M382,[1]Buff.CM!$A:$O,14,FALSE),"")</f>
        <v>Buff.Name.Silence</v>
      </c>
      <c r="P382" s="231" t="str">
        <f>_xlfn.IFNA(VLOOKUP($M382,[1]Buff.CM!$A:$O,15,FALSE),"")</f>
        <v>Buff.Desc.Silence</v>
      </c>
      <c r="Q382" s="231" t="b">
        <v>0</v>
      </c>
      <c r="R382" s="231" t="b">
        <v>0</v>
      </c>
    </row>
    <row r="383" spans="1:18" x14ac:dyDescent="0.3">
      <c r="A383" s="231" t="s">
        <v>3389</v>
      </c>
      <c r="B383" s="231"/>
      <c r="C383" s="231"/>
      <c r="D383" s="231">
        <v>2000</v>
      </c>
      <c r="E383" s="231">
        <v>0</v>
      </c>
      <c r="F383" s="231">
        <v>0</v>
      </c>
      <c r="G383" s="231" t="s">
        <v>425</v>
      </c>
      <c r="H383" s="231"/>
      <c r="I383" s="231" t="b">
        <v>0</v>
      </c>
      <c r="J383" s="231" t="b">
        <v>0</v>
      </c>
      <c r="K383" s="231" t="b">
        <v>0</v>
      </c>
      <c r="L383" s="231" t="s">
        <v>426</v>
      </c>
      <c r="M383" s="231" t="s">
        <v>3372</v>
      </c>
      <c r="N383" s="231" t="str">
        <f>_xlfn.IFNA(VLOOKUP($M383,[1]Buff.CM!$A:$O,13,FALSE),"")</f>
        <v>icon_battle_silence</v>
      </c>
      <c r="O383" s="231" t="str">
        <f>_xlfn.IFNA(VLOOKUP($M383,[1]Buff.CM!$A:$O,14,FALSE),"")</f>
        <v>Buff.Name.Silence</v>
      </c>
      <c r="P383" s="231" t="str">
        <f>_xlfn.IFNA(VLOOKUP($M383,[1]Buff.CM!$A:$O,15,FALSE),"")</f>
        <v>Buff.Desc.Silence</v>
      </c>
      <c r="Q383" s="231" t="b">
        <v>0</v>
      </c>
      <c r="R383" s="231" t="b">
        <v>0</v>
      </c>
    </row>
    <row r="384" spans="1:18" x14ac:dyDescent="0.3">
      <c r="A384" s="159" t="s">
        <v>3390</v>
      </c>
      <c r="B384" s="159"/>
      <c r="C384" s="159"/>
      <c r="D384" s="159">
        <v>6000</v>
      </c>
      <c r="E384" s="159">
        <v>0</v>
      </c>
      <c r="F384" s="159">
        <v>0</v>
      </c>
      <c r="G384" s="159" t="s">
        <v>3373</v>
      </c>
      <c r="H384" s="159"/>
      <c r="I384" s="159" t="b">
        <v>0</v>
      </c>
      <c r="J384" s="159" t="b">
        <v>0</v>
      </c>
      <c r="K384" s="159" t="b">
        <v>0</v>
      </c>
      <c r="L384" s="159" t="s">
        <v>55</v>
      </c>
      <c r="M384" s="159" t="s">
        <v>3373</v>
      </c>
      <c r="N384" s="159" t="str">
        <f>_xlfn.IFNA(VLOOKUP($M384,[1]Buff.CM!$A:$O,13,FALSE),"")</f>
        <v>icon_battle_attack</v>
      </c>
      <c r="O384" s="159" t="str">
        <f>_xlfn.IFNA(VLOOKUP($M384,[1]Buff.CM!$A:$O,14,FALSE),"")</f>
        <v>Buff.Name.NormalDamageDerate.Down.03</v>
      </c>
      <c r="P384" s="159" t="str">
        <f>_xlfn.IFNA(VLOOKUP($M384,[1]Buff.CM!$A:$O,15,FALSE),"")</f>
        <v>Buff.Desc.NormalDamageDerate.Down.03</v>
      </c>
      <c r="Q384" s="159" t="b">
        <v>0</v>
      </c>
      <c r="R384" s="159" t="b">
        <v>0</v>
      </c>
    </row>
    <row r="385" spans="1:18" x14ac:dyDescent="0.3">
      <c r="A385" s="159" t="s">
        <v>3391</v>
      </c>
      <c r="B385" s="159"/>
      <c r="C385" s="159"/>
      <c r="D385" s="159">
        <v>6000</v>
      </c>
      <c r="E385" s="159">
        <v>0</v>
      </c>
      <c r="F385" s="159">
        <v>0</v>
      </c>
      <c r="G385" s="159" t="s">
        <v>3373</v>
      </c>
      <c r="H385" s="159"/>
      <c r="I385" s="159" t="b">
        <v>0</v>
      </c>
      <c r="J385" s="159" t="b">
        <v>0</v>
      </c>
      <c r="K385" s="159" t="b">
        <v>0</v>
      </c>
      <c r="L385" s="159" t="s">
        <v>55</v>
      </c>
      <c r="M385" s="159" t="s">
        <v>3373</v>
      </c>
      <c r="N385" s="159" t="str">
        <f>_xlfn.IFNA(VLOOKUP($M385,[1]Buff.CM!$A:$O,13,FALSE),"")</f>
        <v>icon_battle_attack</v>
      </c>
      <c r="O385" s="159" t="str">
        <f>_xlfn.IFNA(VLOOKUP($M385,[1]Buff.CM!$A:$O,14,FALSE),"")</f>
        <v>Buff.Name.NormalDamageDerate.Down.03</v>
      </c>
      <c r="P385" s="159" t="str">
        <f>_xlfn.IFNA(VLOOKUP($M385,[1]Buff.CM!$A:$O,15,FALSE),"")</f>
        <v>Buff.Desc.NormalDamageDerate.Down.03</v>
      </c>
      <c r="Q385" s="159" t="b">
        <v>0</v>
      </c>
      <c r="R385" s="159" t="b">
        <v>0</v>
      </c>
    </row>
    <row r="386" spans="1:18" x14ac:dyDescent="0.3">
      <c r="A386" s="159" t="s">
        <v>3392</v>
      </c>
      <c r="B386" s="159"/>
      <c r="C386" s="159"/>
      <c r="D386" s="159">
        <v>6000</v>
      </c>
      <c r="E386" s="159">
        <v>0</v>
      </c>
      <c r="F386" s="159">
        <v>0</v>
      </c>
      <c r="G386" s="159" t="s">
        <v>3374</v>
      </c>
      <c r="H386" s="159"/>
      <c r="I386" s="159" t="b">
        <v>0</v>
      </c>
      <c r="J386" s="159" t="b">
        <v>0</v>
      </c>
      <c r="K386" s="159" t="b">
        <v>0</v>
      </c>
      <c r="L386" s="159" t="s">
        <v>55</v>
      </c>
      <c r="M386" s="159" t="s">
        <v>3374</v>
      </c>
      <c r="N386" s="159" t="str">
        <f>_xlfn.IFNA(VLOOKUP($M386,[1]Buff.CM!$A:$O,13,FALSE),"")</f>
        <v>icon_battle_attack</v>
      </c>
      <c r="O386" s="159" t="str">
        <f>_xlfn.IFNA(VLOOKUP($M386,[1]Buff.CM!$A:$O,14,FALSE),"")</f>
        <v>Buff.Name.NormalDamageDerate.Down.04</v>
      </c>
      <c r="P386" s="159" t="str">
        <f>_xlfn.IFNA(VLOOKUP($M386,[1]Buff.CM!$A:$O,15,FALSE),"")</f>
        <v>Buff.Desc.NormalDamageDerate.Down.04</v>
      </c>
      <c r="Q386" s="159" t="b">
        <v>0</v>
      </c>
      <c r="R386" s="159" t="b">
        <v>0</v>
      </c>
    </row>
    <row r="387" spans="1:18" x14ac:dyDescent="0.3">
      <c r="A387" s="159" t="s">
        <v>3393</v>
      </c>
      <c r="B387" s="159"/>
      <c r="C387" s="159"/>
      <c r="D387" s="159">
        <v>6000</v>
      </c>
      <c r="E387" s="159">
        <v>0</v>
      </c>
      <c r="F387" s="159">
        <v>0</v>
      </c>
      <c r="G387" s="159" t="s">
        <v>3374</v>
      </c>
      <c r="H387" s="159"/>
      <c r="I387" s="159" t="b">
        <v>0</v>
      </c>
      <c r="J387" s="159" t="b">
        <v>0</v>
      </c>
      <c r="K387" s="159" t="b">
        <v>0</v>
      </c>
      <c r="L387" s="159" t="s">
        <v>55</v>
      </c>
      <c r="M387" s="159" t="s">
        <v>3374</v>
      </c>
      <c r="N387" s="159" t="str">
        <f>_xlfn.IFNA(VLOOKUP($M387,[1]Buff.CM!$A:$O,13,FALSE),"")</f>
        <v>icon_battle_attack</v>
      </c>
      <c r="O387" s="159" t="str">
        <f>_xlfn.IFNA(VLOOKUP($M387,[1]Buff.CM!$A:$O,14,FALSE),"")</f>
        <v>Buff.Name.NormalDamageDerate.Down.04</v>
      </c>
      <c r="P387" s="159" t="str">
        <f>_xlfn.IFNA(VLOOKUP($M387,[1]Buff.CM!$A:$O,15,FALSE),"")</f>
        <v>Buff.Desc.NormalDamageDerate.Down.04</v>
      </c>
      <c r="Q387" s="159" t="b">
        <v>0</v>
      </c>
      <c r="R387" s="159" t="b">
        <v>0</v>
      </c>
    </row>
    <row r="388" spans="1:18" x14ac:dyDescent="0.3">
      <c r="A388" s="159" t="s">
        <v>3394</v>
      </c>
      <c r="B388" s="159"/>
      <c r="C388" s="159"/>
      <c r="D388" s="159">
        <v>6000</v>
      </c>
      <c r="E388" s="159">
        <v>0</v>
      </c>
      <c r="F388" s="159">
        <v>0</v>
      </c>
      <c r="G388" s="159" t="s">
        <v>3374</v>
      </c>
      <c r="H388" s="159"/>
      <c r="I388" s="159" t="b">
        <v>0</v>
      </c>
      <c r="J388" s="159" t="b">
        <v>0</v>
      </c>
      <c r="K388" s="159" t="b">
        <v>0</v>
      </c>
      <c r="L388" s="159" t="s">
        <v>55</v>
      </c>
      <c r="M388" s="159" t="s">
        <v>3374</v>
      </c>
      <c r="N388" s="159" t="str">
        <f>_xlfn.IFNA(VLOOKUP($M388,[1]Buff.CM!$A:$O,13,FALSE),"")</f>
        <v>icon_battle_attack</v>
      </c>
      <c r="O388" s="159" t="str">
        <f>_xlfn.IFNA(VLOOKUP($M388,[1]Buff.CM!$A:$O,14,FALSE),"")</f>
        <v>Buff.Name.NormalDamageDerate.Down.04</v>
      </c>
      <c r="P388" s="159" t="str">
        <f>_xlfn.IFNA(VLOOKUP($M388,[1]Buff.CM!$A:$O,15,FALSE),"")</f>
        <v>Buff.Desc.NormalDamageDerate.Down.04</v>
      </c>
      <c r="Q388" s="159" t="b">
        <v>0</v>
      </c>
      <c r="R388" s="159" t="b">
        <v>0</v>
      </c>
    </row>
    <row r="389" spans="1:18" x14ac:dyDescent="0.3">
      <c r="A389" s="159" t="s">
        <v>3395</v>
      </c>
      <c r="B389" s="159"/>
      <c r="C389" s="159"/>
      <c r="D389" s="159">
        <v>6000</v>
      </c>
      <c r="E389" s="159">
        <v>0</v>
      </c>
      <c r="F389" s="159">
        <v>0</v>
      </c>
      <c r="G389" s="159" t="s">
        <v>3374</v>
      </c>
      <c r="H389" s="159"/>
      <c r="I389" s="159" t="b">
        <v>0</v>
      </c>
      <c r="J389" s="159" t="b">
        <v>0</v>
      </c>
      <c r="K389" s="159" t="b">
        <v>0</v>
      </c>
      <c r="L389" s="159" t="s">
        <v>55</v>
      </c>
      <c r="M389" s="159" t="s">
        <v>3374</v>
      </c>
      <c r="N389" s="159" t="str">
        <f>_xlfn.IFNA(VLOOKUP($M389,[1]Buff.CM!$A:$O,13,FALSE),"")</f>
        <v>icon_battle_attack</v>
      </c>
      <c r="O389" s="159" t="str">
        <f>_xlfn.IFNA(VLOOKUP($M389,[1]Buff.CM!$A:$O,14,FALSE),"")</f>
        <v>Buff.Name.NormalDamageDerate.Down.04</v>
      </c>
      <c r="P389" s="159" t="str">
        <f>_xlfn.IFNA(VLOOKUP($M389,[1]Buff.CM!$A:$O,15,FALSE),"")</f>
        <v>Buff.Desc.NormalDamageDerate.Down.04</v>
      </c>
      <c r="Q389" s="159" t="b">
        <v>0</v>
      </c>
      <c r="R389" s="159" t="b">
        <v>0</v>
      </c>
    </row>
    <row r="390" spans="1:18" x14ac:dyDescent="0.3">
      <c r="A390" s="157" t="s">
        <v>3396</v>
      </c>
      <c r="B390" s="157"/>
      <c r="C390" s="157"/>
      <c r="D390" s="157">
        <v>6000</v>
      </c>
      <c r="E390" s="157">
        <v>0</v>
      </c>
      <c r="F390" s="157">
        <v>0</v>
      </c>
      <c r="G390" s="252" t="s">
        <v>3375</v>
      </c>
      <c r="H390" s="157"/>
      <c r="I390" s="157" t="b">
        <v>0</v>
      </c>
      <c r="J390" s="157" t="b">
        <v>0</v>
      </c>
      <c r="K390" s="157" t="b">
        <v>1</v>
      </c>
      <c r="L390" s="157" t="s">
        <v>3376</v>
      </c>
      <c r="M390" s="157" t="s">
        <v>3375</v>
      </c>
      <c r="N390" s="157" t="str">
        <f>_xlfn.IFNA(VLOOKUP($M390,[1]Buff.CM!$A:$O,13,FALSE),"")</f>
        <v>icon_battle_eprechargerate</v>
      </c>
      <c r="O390" s="157" t="str">
        <f>_xlfn.IFNA(VLOOKUP($M390,[1]Buff.CM!$A:$O,14,FALSE),"")</f>
        <v>Buff.Name.RechargeRate.Up.01</v>
      </c>
      <c r="P390" s="157" t="str">
        <f>_xlfn.IFNA(VLOOKUP($M390,[1]Buff.CM!$A:$O,15,FALSE),"")</f>
        <v>Buff.Desc.RechargeRate.Up.01</v>
      </c>
      <c r="Q390" s="157" t="b">
        <v>0</v>
      </c>
      <c r="R390" s="157" t="b">
        <v>0</v>
      </c>
    </row>
    <row r="391" spans="1:18" x14ac:dyDescent="0.3">
      <c r="A391" s="157" t="s">
        <v>3397</v>
      </c>
      <c r="B391" s="157"/>
      <c r="C391" s="157"/>
      <c r="D391" s="157">
        <v>6000</v>
      </c>
      <c r="E391" s="157">
        <v>0</v>
      </c>
      <c r="F391" s="157">
        <v>0</v>
      </c>
      <c r="G391" s="252" t="s">
        <v>3375</v>
      </c>
      <c r="H391" s="157"/>
      <c r="I391" s="157" t="b">
        <v>0</v>
      </c>
      <c r="J391" s="157" t="b">
        <v>0</v>
      </c>
      <c r="K391" s="157" t="b">
        <v>1</v>
      </c>
      <c r="L391" s="157" t="s">
        <v>3376</v>
      </c>
      <c r="M391" s="157" t="s">
        <v>3375</v>
      </c>
      <c r="N391" s="157" t="str">
        <f>_xlfn.IFNA(VLOOKUP($M391,[1]Buff.CM!$A:$O,13,FALSE),"")</f>
        <v>icon_battle_eprechargerate</v>
      </c>
      <c r="O391" s="157" t="str">
        <f>_xlfn.IFNA(VLOOKUP($M391,[1]Buff.CM!$A:$O,14,FALSE),"")</f>
        <v>Buff.Name.RechargeRate.Up.01</v>
      </c>
      <c r="P391" s="157" t="str">
        <f>_xlfn.IFNA(VLOOKUP($M391,[1]Buff.CM!$A:$O,15,FALSE),"")</f>
        <v>Buff.Desc.RechargeRate.Up.01</v>
      </c>
      <c r="Q391" s="157" t="b">
        <v>0</v>
      </c>
      <c r="R391" s="157" t="b">
        <v>0</v>
      </c>
    </row>
    <row r="392" spans="1:18" x14ac:dyDescent="0.3">
      <c r="A392" s="157" t="s">
        <v>3398</v>
      </c>
      <c r="B392" s="157"/>
      <c r="C392" s="157"/>
      <c r="D392" s="157">
        <v>6000</v>
      </c>
      <c r="E392" s="157">
        <v>0</v>
      </c>
      <c r="F392" s="157">
        <v>0</v>
      </c>
      <c r="G392" s="252" t="s">
        <v>3377</v>
      </c>
      <c r="H392" s="157"/>
      <c r="I392" s="157" t="b">
        <v>0</v>
      </c>
      <c r="J392" s="157" t="b">
        <v>0</v>
      </c>
      <c r="K392" s="157" t="b">
        <v>1</v>
      </c>
      <c r="L392" s="157" t="s">
        <v>3376</v>
      </c>
      <c r="M392" s="157" t="s">
        <v>3377</v>
      </c>
      <c r="N392" s="157" t="str">
        <f>_xlfn.IFNA(VLOOKUP($M392,[1]Buff.CM!$A:$O,13,FALSE),"")</f>
        <v>icon_battle_eprechargerate</v>
      </c>
      <c r="O392" s="157" t="str">
        <f>_xlfn.IFNA(VLOOKUP($M392,[1]Buff.CM!$A:$O,14,FALSE),"")</f>
        <v>Buff.Name.RechargeRate.Up.02</v>
      </c>
      <c r="P392" s="157" t="str">
        <f>_xlfn.IFNA(VLOOKUP($M392,[1]Buff.CM!$A:$O,15,FALSE),"")</f>
        <v>Buff.Desc.RechargeRate.Up.02</v>
      </c>
      <c r="Q392" s="157" t="b">
        <v>0</v>
      </c>
      <c r="R392" s="157" t="b">
        <v>0</v>
      </c>
    </row>
    <row r="393" spans="1:18" x14ac:dyDescent="0.3">
      <c r="A393" s="232" t="s">
        <v>3399</v>
      </c>
      <c r="B393" s="232"/>
      <c r="C393" s="232"/>
      <c r="D393" s="232">
        <v>6000</v>
      </c>
      <c r="E393" s="232">
        <v>0</v>
      </c>
      <c r="F393" s="232">
        <v>0</v>
      </c>
      <c r="G393" s="238" t="s">
        <v>3377</v>
      </c>
      <c r="H393" s="232"/>
      <c r="I393" s="232" t="b">
        <v>0</v>
      </c>
      <c r="J393" s="232" t="b">
        <v>0</v>
      </c>
      <c r="K393" s="232" t="b">
        <v>1</v>
      </c>
      <c r="L393" s="232" t="s">
        <v>3376</v>
      </c>
      <c r="M393" s="232" t="s">
        <v>3377</v>
      </c>
      <c r="N393" s="232" t="str">
        <f>_xlfn.IFNA(VLOOKUP($M393,[1]Buff.CM!$A:$O,13,FALSE),"")</f>
        <v>icon_battle_eprechargerate</v>
      </c>
      <c r="O393" s="232" t="str">
        <f>_xlfn.IFNA(VLOOKUP($M393,[1]Buff.CM!$A:$O,14,FALSE),"")</f>
        <v>Buff.Name.RechargeRate.Up.02</v>
      </c>
      <c r="P393" s="232" t="str">
        <f>_xlfn.IFNA(VLOOKUP($M393,[1]Buff.CM!$A:$O,15,FALSE),"")</f>
        <v>Buff.Desc.RechargeRate.Up.02</v>
      </c>
      <c r="Q393" s="232" t="b">
        <v>0</v>
      </c>
      <c r="R393" s="232" t="b">
        <v>0</v>
      </c>
    </row>
    <row r="394" spans="1:18" x14ac:dyDescent="0.3">
      <c r="A394" s="232" t="s">
        <v>3400</v>
      </c>
      <c r="B394" s="232"/>
      <c r="C394" s="232"/>
      <c r="D394" s="232">
        <v>8000</v>
      </c>
      <c r="E394" s="232">
        <v>0</v>
      </c>
      <c r="F394" s="232">
        <v>0</v>
      </c>
      <c r="G394" s="238" t="s">
        <v>3377</v>
      </c>
      <c r="H394" s="232"/>
      <c r="I394" s="232" t="b">
        <v>0</v>
      </c>
      <c r="J394" s="232" t="b">
        <v>0</v>
      </c>
      <c r="K394" s="232" t="b">
        <v>1</v>
      </c>
      <c r="L394" s="232" t="s">
        <v>3376</v>
      </c>
      <c r="M394" s="232" t="s">
        <v>3377</v>
      </c>
      <c r="N394" s="232" t="str">
        <f>_xlfn.IFNA(VLOOKUP($M394,[1]Buff.CM!$A:$O,13,FALSE),"")</f>
        <v>icon_battle_eprechargerate</v>
      </c>
      <c r="O394" s="232" t="str">
        <f>_xlfn.IFNA(VLOOKUP($M394,[1]Buff.CM!$A:$O,14,FALSE),"")</f>
        <v>Buff.Name.RechargeRate.Up.02</v>
      </c>
      <c r="P394" s="232" t="str">
        <f>_xlfn.IFNA(VLOOKUP($M394,[1]Buff.CM!$A:$O,15,FALSE),"")</f>
        <v>Buff.Desc.RechargeRate.Up.02</v>
      </c>
      <c r="Q394" s="232" t="b">
        <v>0</v>
      </c>
      <c r="R394" s="232" t="b">
        <v>0</v>
      </c>
    </row>
    <row r="395" spans="1:18" x14ac:dyDescent="0.3">
      <c r="A395" s="232" t="s">
        <v>3401</v>
      </c>
      <c r="B395" s="232"/>
      <c r="C395" s="232"/>
      <c r="D395" s="232">
        <v>8000</v>
      </c>
      <c r="E395" s="232">
        <v>0</v>
      </c>
      <c r="F395" s="232">
        <v>0</v>
      </c>
      <c r="G395" s="238" t="s">
        <v>3377</v>
      </c>
      <c r="H395" s="232"/>
      <c r="I395" s="232" t="b">
        <v>0</v>
      </c>
      <c r="J395" s="232" t="b">
        <v>0</v>
      </c>
      <c r="K395" s="232" t="b">
        <v>1</v>
      </c>
      <c r="L395" s="232" t="s">
        <v>3376</v>
      </c>
      <c r="M395" s="232" t="s">
        <v>3377</v>
      </c>
      <c r="N395" s="232" t="str">
        <f>_xlfn.IFNA(VLOOKUP($M395,[1]Buff.CM!$A:$O,13,FALSE),"")</f>
        <v>icon_battle_eprechargerate</v>
      </c>
      <c r="O395" s="232" t="str">
        <f>_xlfn.IFNA(VLOOKUP($M395,[1]Buff.CM!$A:$O,14,FALSE),"")</f>
        <v>Buff.Name.RechargeRate.Up.02</v>
      </c>
      <c r="P395" s="232" t="str">
        <f>_xlfn.IFNA(VLOOKUP($M395,[1]Buff.CM!$A:$O,15,FALSE),"")</f>
        <v>Buff.Desc.RechargeRate.Up.02</v>
      </c>
      <c r="Q395" s="232" t="b">
        <v>0</v>
      </c>
      <c r="R395" s="232" t="b">
        <v>0</v>
      </c>
    </row>
    <row r="396" spans="1:18" ht="49.5" x14ac:dyDescent="0.3">
      <c r="A396" s="231" t="s">
        <v>3402</v>
      </c>
      <c r="B396" s="231"/>
      <c r="C396" s="231"/>
      <c r="D396" s="231">
        <v>0</v>
      </c>
      <c r="E396" s="231">
        <v>0</v>
      </c>
      <c r="F396" s="231">
        <v>0</v>
      </c>
      <c r="G396" s="242" t="s">
        <v>3403</v>
      </c>
      <c r="H396" s="231"/>
      <c r="I396" s="231" t="b">
        <v>0</v>
      </c>
      <c r="J396" s="157" t="b">
        <v>1</v>
      </c>
      <c r="K396" s="231" t="b">
        <v>1</v>
      </c>
      <c r="L396" s="231"/>
      <c r="M396" s="231"/>
      <c r="N396" s="231" t="str">
        <f>_xlfn.IFNA(VLOOKUP($M396,[1]Buff.CM!$A:$O,13,FALSE),"")</f>
        <v/>
      </c>
      <c r="O396" s="231" t="str">
        <f>_xlfn.IFNA(VLOOKUP($M396,[1]Buff.CM!$A:$O,14,FALSE),"")</f>
        <v/>
      </c>
      <c r="P396" s="231" t="str">
        <f>_xlfn.IFNA(VLOOKUP($M396,[1]Buff.CM!$A:$O,15,FALSE),"")</f>
        <v/>
      </c>
      <c r="Q396" s="233" t="b">
        <v>0</v>
      </c>
      <c r="R396" s="231" t="b">
        <v>0</v>
      </c>
    </row>
    <row r="397" spans="1:18" ht="49.5" x14ac:dyDescent="0.3">
      <c r="A397" s="231" t="s">
        <v>3404</v>
      </c>
      <c r="B397" s="231"/>
      <c r="C397" s="231"/>
      <c r="D397" s="231">
        <v>0</v>
      </c>
      <c r="E397" s="231">
        <v>0</v>
      </c>
      <c r="F397" s="231">
        <v>0</v>
      </c>
      <c r="G397" s="242" t="s">
        <v>3405</v>
      </c>
      <c r="H397" s="231"/>
      <c r="I397" s="231" t="b">
        <v>0</v>
      </c>
      <c r="J397" s="157" t="b">
        <v>1</v>
      </c>
      <c r="K397" s="231" t="b">
        <v>1</v>
      </c>
      <c r="L397" s="231"/>
      <c r="M397" s="231"/>
      <c r="N397" s="231" t="str">
        <f>_xlfn.IFNA(VLOOKUP($M397,[1]Buff.CM!$A:$O,13,FALSE),"")</f>
        <v/>
      </c>
      <c r="O397" s="231" t="str">
        <f>_xlfn.IFNA(VLOOKUP($M397,[1]Buff.CM!$A:$O,14,FALSE),"")</f>
        <v/>
      </c>
      <c r="P397" s="231" t="str">
        <f>_xlfn.IFNA(VLOOKUP($M397,[1]Buff.CM!$A:$O,15,FALSE),"")</f>
        <v/>
      </c>
      <c r="Q397" s="233" t="b">
        <v>0</v>
      </c>
      <c r="R397" s="231" t="b">
        <v>0</v>
      </c>
    </row>
    <row r="398" spans="1:18" ht="49.5" x14ac:dyDescent="0.3">
      <c r="A398" s="231" t="s">
        <v>3406</v>
      </c>
      <c r="B398" s="231"/>
      <c r="C398" s="231"/>
      <c r="D398" s="231">
        <v>0</v>
      </c>
      <c r="E398" s="231">
        <v>0</v>
      </c>
      <c r="F398" s="231">
        <v>0</v>
      </c>
      <c r="G398" s="242" t="s">
        <v>3407</v>
      </c>
      <c r="H398" s="231"/>
      <c r="I398" s="231" t="b">
        <v>0</v>
      </c>
      <c r="J398" s="157" t="b">
        <v>1</v>
      </c>
      <c r="K398" s="231" t="b">
        <v>1</v>
      </c>
      <c r="L398" s="231"/>
      <c r="M398" s="231"/>
      <c r="N398" s="231" t="str">
        <f>_xlfn.IFNA(VLOOKUP($M398,[1]Buff.CM!$A:$O,13,FALSE),"")</f>
        <v/>
      </c>
      <c r="O398" s="231" t="str">
        <f>_xlfn.IFNA(VLOOKUP($M398,[1]Buff.CM!$A:$O,14,FALSE),"")</f>
        <v/>
      </c>
      <c r="P398" s="231" t="str">
        <f>_xlfn.IFNA(VLOOKUP($M398,[1]Buff.CM!$A:$O,15,FALSE),"")</f>
        <v/>
      </c>
      <c r="Q398" s="233" t="b">
        <v>0</v>
      </c>
      <c r="R398" s="231" t="b">
        <v>0</v>
      </c>
    </row>
    <row r="399" spans="1:18" ht="49.5" x14ac:dyDescent="0.3">
      <c r="A399" s="232" t="s">
        <v>3408</v>
      </c>
      <c r="B399" s="232"/>
      <c r="C399" s="232"/>
      <c r="D399" s="232">
        <v>0</v>
      </c>
      <c r="E399" s="232">
        <v>0</v>
      </c>
      <c r="F399" s="232">
        <v>0</v>
      </c>
      <c r="G399" s="238" t="s">
        <v>3409</v>
      </c>
      <c r="H399" s="232"/>
      <c r="I399" s="232" t="b">
        <v>0</v>
      </c>
      <c r="J399" s="157" t="b">
        <v>1</v>
      </c>
      <c r="K399" s="232" t="b">
        <v>1</v>
      </c>
      <c r="L399" s="232"/>
      <c r="M399" s="232"/>
      <c r="N399" s="231" t="str">
        <f>_xlfn.IFNA(VLOOKUP($M399,[1]Buff.CM!$A:$O,13,FALSE),"")</f>
        <v/>
      </c>
      <c r="O399" s="231" t="str">
        <f>_xlfn.IFNA(VLOOKUP($M399,[1]Buff.CM!$A:$O,14,FALSE),"")</f>
        <v/>
      </c>
      <c r="P399" s="231" t="str">
        <f>_xlfn.IFNA(VLOOKUP($M399,[1]Buff.CM!$A:$O,15,FALSE),"")</f>
        <v/>
      </c>
      <c r="Q399" s="233" t="b">
        <v>0</v>
      </c>
      <c r="R399" s="232" t="b">
        <v>0</v>
      </c>
    </row>
    <row r="400" spans="1:18" ht="49.5" x14ac:dyDescent="0.3">
      <c r="A400" s="232" t="s">
        <v>3410</v>
      </c>
      <c r="B400" s="232"/>
      <c r="C400" s="232"/>
      <c r="D400" s="232">
        <v>0</v>
      </c>
      <c r="E400" s="232">
        <v>0</v>
      </c>
      <c r="F400" s="232">
        <v>0</v>
      </c>
      <c r="G400" s="238" t="s">
        <v>3411</v>
      </c>
      <c r="H400" s="232"/>
      <c r="I400" s="232" t="b">
        <v>0</v>
      </c>
      <c r="J400" s="157" t="b">
        <v>1</v>
      </c>
      <c r="K400" s="232" t="b">
        <v>1</v>
      </c>
      <c r="L400" s="232"/>
      <c r="M400" s="232"/>
      <c r="N400" s="231" t="str">
        <f>_xlfn.IFNA(VLOOKUP($M400,[1]Buff.CM!$A:$O,13,FALSE),"")</f>
        <v/>
      </c>
      <c r="O400" s="231" t="str">
        <f>_xlfn.IFNA(VLOOKUP($M400,[1]Buff.CM!$A:$O,14,FALSE),"")</f>
        <v/>
      </c>
      <c r="P400" s="231" t="str">
        <f>_xlfn.IFNA(VLOOKUP($M400,[1]Buff.CM!$A:$O,15,FALSE),"")</f>
        <v/>
      </c>
      <c r="Q400" s="233" t="b">
        <v>0</v>
      </c>
      <c r="R400" s="232" t="b">
        <v>0</v>
      </c>
    </row>
    <row r="401" spans="1:18" ht="49.5" x14ac:dyDescent="0.3">
      <c r="A401" s="232" t="s">
        <v>3412</v>
      </c>
      <c r="B401" s="232"/>
      <c r="C401" s="232"/>
      <c r="D401" s="232">
        <v>0</v>
      </c>
      <c r="E401" s="232">
        <v>0</v>
      </c>
      <c r="F401" s="232">
        <v>0</v>
      </c>
      <c r="G401" s="238" t="s">
        <v>3413</v>
      </c>
      <c r="H401" s="232"/>
      <c r="I401" s="232" t="b">
        <v>0</v>
      </c>
      <c r="J401" s="157" t="b">
        <v>1</v>
      </c>
      <c r="K401" s="232" t="b">
        <v>1</v>
      </c>
      <c r="L401" s="232"/>
      <c r="M401" s="232"/>
      <c r="N401" s="231" t="str">
        <f>_xlfn.IFNA(VLOOKUP($M401,[1]Buff.CM!$A:$O,13,FALSE),"")</f>
        <v/>
      </c>
      <c r="O401" s="231" t="str">
        <f>_xlfn.IFNA(VLOOKUP($M401,[1]Buff.CM!$A:$O,14,FALSE),"")</f>
        <v/>
      </c>
      <c r="P401" s="231" t="str">
        <f>_xlfn.IFNA(VLOOKUP($M401,[1]Buff.CM!$A:$O,15,FALSE),"")</f>
        <v/>
      </c>
      <c r="Q401" s="233" t="b">
        <v>0</v>
      </c>
      <c r="R401" s="232" t="b">
        <v>0</v>
      </c>
    </row>
    <row r="402" spans="1:18" ht="33" x14ac:dyDescent="0.3">
      <c r="A402" s="231" t="s">
        <v>3414</v>
      </c>
      <c r="B402" s="231"/>
      <c r="C402" s="231"/>
      <c r="D402" s="231">
        <v>0</v>
      </c>
      <c r="E402" s="231">
        <v>0</v>
      </c>
      <c r="F402" s="231">
        <v>0</v>
      </c>
      <c r="G402" s="242" t="s">
        <v>3415</v>
      </c>
      <c r="H402" s="231"/>
      <c r="I402" s="231" t="b">
        <v>0</v>
      </c>
      <c r="J402" s="157" t="b">
        <v>1</v>
      </c>
      <c r="K402" s="231" t="b">
        <v>1</v>
      </c>
      <c r="L402" s="231"/>
      <c r="M402" s="231"/>
      <c r="N402" s="231" t="str">
        <f>_xlfn.IFNA(VLOOKUP($M402,[1]Buff.CM!$A:$O,13,FALSE),"")</f>
        <v/>
      </c>
      <c r="O402" s="231" t="str">
        <f>_xlfn.IFNA(VLOOKUP($M402,[1]Buff.CM!$A:$O,14,FALSE),"")</f>
        <v/>
      </c>
      <c r="P402" s="231" t="str">
        <f>_xlfn.IFNA(VLOOKUP($M402,[1]Buff.CM!$A:$O,15,FALSE),"")</f>
        <v/>
      </c>
      <c r="Q402" s="233" t="b">
        <v>0</v>
      </c>
      <c r="R402" s="231" t="b">
        <v>0</v>
      </c>
    </row>
    <row r="403" spans="1:18" ht="33" x14ac:dyDescent="0.3">
      <c r="A403" s="231" t="s">
        <v>3416</v>
      </c>
      <c r="B403" s="231"/>
      <c r="C403" s="231"/>
      <c r="D403" s="231">
        <v>0</v>
      </c>
      <c r="E403" s="231">
        <v>0</v>
      </c>
      <c r="F403" s="231">
        <v>0</v>
      </c>
      <c r="G403" s="242" t="s">
        <v>3417</v>
      </c>
      <c r="H403" s="231"/>
      <c r="I403" s="231" t="b">
        <v>0</v>
      </c>
      <c r="J403" s="157" t="b">
        <v>1</v>
      </c>
      <c r="K403" s="231" t="b">
        <v>1</v>
      </c>
      <c r="L403" s="231"/>
      <c r="M403" s="231"/>
      <c r="N403" s="231" t="str">
        <f>_xlfn.IFNA(VLOOKUP($M403,[1]Buff.CM!$A:$O,13,FALSE),"")</f>
        <v/>
      </c>
      <c r="O403" s="231" t="str">
        <f>_xlfn.IFNA(VLOOKUP($M403,[1]Buff.CM!$A:$O,14,FALSE),"")</f>
        <v/>
      </c>
      <c r="P403" s="231" t="str">
        <f>_xlfn.IFNA(VLOOKUP($M403,[1]Buff.CM!$A:$O,15,FALSE),"")</f>
        <v/>
      </c>
      <c r="Q403" s="233" t="b">
        <v>0</v>
      </c>
      <c r="R403" s="231" t="b">
        <v>0</v>
      </c>
    </row>
    <row r="404" spans="1:18" ht="33" x14ac:dyDescent="0.3">
      <c r="A404" s="231" t="s">
        <v>3418</v>
      </c>
      <c r="B404" s="231"/>
      <c r="C404" s="231"/>
      <c r="D404" s="231">
        <v>0</v>
      </c>
      <c r="E404" s="231">
        <v>0</v>
      </c>
      <c r="F404" s="231">
        <v>0</v>
      </c>
      <c r="G404" s="242" t="s">
        <v>3419</v>
      </c>
      <c r="H404" s="231"/>
      <c r="I404" s="231" t="b">
        <v>0</v>
      </c>
      <c r="J404" s="157" t="b">
        <v>1</v>
      </c>
      <c r="K404" s="231" t="b">
        <v>1</v>
      </c>
      <c r="L404" s="231"/>
      <c r="M404" s="231"/>
      <c r="N404" s="231" t="str">
        <f>_xlfn.IFNA(VLOOKUP($M404,[1]Buff.CM!$A:$O,13,FALSE),"")</f>
        <v/>
      </c>
      <c r="O404" s="231" t="str">
        <f>_xlfn.IFNA(VLOOKUP($M404,[1]Buff.CM!$A:$O,14,FALSE),"")</f>
        <v/>
      </c>
      <c r="P404" s="231" t="str">
        <f>_xlfn.IFNA(VLOOKUP($M404,[1]Buff.CM!$A:$O,15,FALSE),"")</f>
        <v/>
      </c>
      <c r="Q404" s="233" t="b">
        <v>0</v>
      </c>
      <c r="R404" s="231" t="b">
        <v>0</v>
      </c>
    </row>
    <row r="405" spans="1:18" ht="33" x14ac:dyDescent="0.3">
      <c r="A405" s="232" t="s">
        <v>3420</v>
      </c>
      <c r="B405" s="232"/>
      <c r="C405" s="232"/>
      <c r="D405" s="232">
        <v>0</v>
      </c>
      <c r="E405" s="232">
        <v>0</v>
      </c>
      <c r="F405" s="232">
        <v>0</v>
      </c>
      <c r="G405" s="238" t="s">
        <v>3421</v>
      </c>
      <c r="H405" s="232"/>
      <c r="I405" s="232" t="b">
        <v>0</v>
      </c>
      <c r="J405" s="157" t="b">
        <v>1</v>
      </c>
      <c r="K405" s="232" t="b">
        <v>1</v>
      </c>
      <c r="L405" s="232"/>
      <c r="M405" s="232"/>
      <c r="N405" s="231" t="str">
        <f>_xlfn.IFNA(VLOOKUP($M405,[1]Buff.CM!$A:$O,13,FALSE),"")</f>
        <v/>
      </c>
      <c r="O405" s="231" t="str">
        <f>_xlfn.IFNA(VLOOKUP($M405,[1]Buff.CM!$A:$O,14,FALSE),"")</f>
        <v/>
      </c>
      <c r="P405" s="231" t="str">
        <f>_xlfn.IFNA(VLOOKUP($M405,[1]Buff.CM!$A:$O,15,FALSE),"")</f>
        <v/>
      </c>
      <c r="Q405" s="233" t="b">
        <v>0</v>
      </c>
      <c r="R405" s="232" t="b">
        <v>0</v>
      </c>
    </row>
    <row r="406" spans="1:18" ht="33" x14ac:dyDescent="0.3">
      <c r="A406" s="232" t="s">
        <v>3422</v>
      </c>
      <c r="B406" s="232"/>
      <c r="C406" s="232"/>
      <c r="D406" s="232">
        <v>0</v>
      </c>
      <c r="E406" s="232">
        <v>0</v>
      </c>
      <c r="F406" s="232">
        <v>0</v>
      </c>
      <c r="G406" s="238" t="s">
        <v>3423</v>
      </c>
      <c r="H406" s="232"/>
      <c r="I406" s="232" t="b">
        <v>0</v>
      </c>
      <c r="J406" s="157" t="b">
        <v>1</v>
      </c>
      <c r="K406" s="232" t="b">
        <v>1</v>
      </c>
      <c r="L406" s="232"/>
      <c r="M406" s="232"/>
      <c r="N406" s="231" t="str">
        <f>_xlfn.IFNA(VLOOKUP($M406,[1]Buff.CM!$A:$O,13,FALSE),"")</f>
        <v/>
      </c>
      <c r="O406" s="231" t="str">
        <f>_xlfn.IFNA(VLOOKUP($M406,[1]Buff.CM!$A:$O,14,FALSE),"")</f>
        <v/>
      </c>
      <c r="P406" s="231" t="str">
        <f>_xlfn.IFNA(VLOOKUP($M406,[1]Buff.CM!$A:$O,15,FALSE),"")</f>
        <v/>
      </c>
      <c r="Q406" s="233" t="b">
        <v>0</v>
      </c>
      <c r="R406" s="232" t="b">
        <v>0</v>
      </c>
    </row>
    <row r="407" spans="1:18" ht="33" x14ac:dyDescent="0.3">
      <c r="A407" s="232" t="s">
        <v>3424</v>
      </c>
      <c r="B407" s="232"/>
      <c r="C407" s="232"/>
      <c r="D407" s="232">
        <v>0</v>
      </c>
      <c r="E407" s="232">
        <v>0</v>
      </c>
      <c r="F407" s="232">
        <v>0</v>
      </c>
      <c r="G407" s="238" t="s">
        <v>3425</v>
      </c>
      <c r="H407" s="232"/>
      <c r="I407" s="232" t="b">
        <v>0</v>
      </c>
      <c r="J407" s="157" t="b">
        <v>1</v>
      </c>
      <c r="K407" s="232" t="b">
        <v>1</v>
      </c>
      <c r="L407" s="232"/>
      <c r="M407" s="232"/>
      <c r="N407" s="231" t="str">
        <f>_xlfn.IFNA(VLOOKUP($M407,[1]Buff.CM!$A:$O,13,FALSE),"")</f>
        <v/>
      </c>
      <c r="O407" s="231" t="str">
        <f>_xlfn.IFNA(VLOOKUP($M407,[1]Buff.CM!$A:$O,14,FALSE),"")</f>
        <v/>
      </c>
      <c r="P407" s="231" t="str">
        <f>_xlfn.IFNA(VLOOKUP($M407,[1]Buff.CM!$A:$O,15,FALSE),"")</f>
        <v/>
      </c>
      <c r="Q407" s="233" t="b">
        <v>0</v>
      </c>
      <c r="R407" s="232" t="b">
        <v>0</v>
      </c>
    </row>
    <row r="408" spans="1:18" x14ac:dyDescent="0.3">
      <c r="A408" s="264" t="s">
        <v>3839</v>
      </c>
      <c r="B408" s="157"/>
      <c r="C408" s="157"/>
      <c r="D408" s="157">
        <v>4000</v>
      </c>
      <c r="E408" s="157">
        <v>0</v>
      </c>
      <c r="F408" s="157">
        <v>0</v>
      </c>
      <c r="G408" s="264" t="s">
        <v>3621</v>
      </c>
      <c r="H408" s="157"/>
      <c r="I408" s="157" t="b">
        <v>0</v>
      </c>
      <c r="J408" s="157" t="b">
        <v>0</v>
      </c>
      <c r="K408" s="157" t="b">
        <v>0</v>
      </c>
      <c r="L408" s="157" t="s">
        <v>3622</v>
      </c>
      <c r="M408" s="264" t="s">
        <v>3621</v>
      </c>
      <c r="N408" s="157" t="str">
        <f>_xlfn.IFNA(VLOOKUP($M408,[1]Buff.CM!$A:$O,13,FALSE),"")</f>
        <v>icon_battle_receiverecovery</v>
      </c>
      <c r="O408" s="157" t="str">
        <f>_xlfn.IFNA(VLOOKUP($M408,[1]Buff.CM!$A:$O,14,FALSE),"")</f>
        <v>Buff.Name.ReceiveHealRate.Down.01</v>
      </c>
      <c r="P408" s="157" t="str">
        <f>_xlfn.IFNA(VLOOKUP($M408,[1]Buff.CM!$A:$O,15,FALSE),"")</f>
        <v>Buff.Desc.ReceiveHealRate.Down.01</v>
      </c>
      <c r="Q408" s="157" t="b">
        <v>0</v>
      </c>
      <c r="R408" s="157" t="b">
        <v>0</v>
      </c>
    </row>
    <row r="409" spans="1:18" x14ac:dyDescent="0.3">
      <c r="A409" s="264" t="s">
        <v>3840</v>
      </c>
      <c r="B409" s="157"/>
      <c r="C409" s="157"/>
      <c r="D409" s="157">
        <v>5000</v>
      </c>
      <c r="E409" s="157">
        <v>0</v>
      </c>
      <c r="F409" s="157">
        <v>0</v>
      </c>
      <c r="G409" s="264" t="s">
        <v>3621</v>
      </c>
      <c r="H409" s="157"/>
      <c r="I409" s="157" t="b">
        <v>0</v>
      </c>
      <c r="J409" s="157" t="b">
        <v>0</v>
      </c>
      <c r="K409" s="157" t="b">
        <v>0</v>
      </c>
      <c r="L409" s="157" t="s">
        <v>3622</v>
      </c>
      <c r="M409" s="264" t="s">
        <v>3621</v>
      </c>
      <c r="N409" s="157" t="str">
        <f>_xlfn.IFNA(VLOOKUP($M409,[1]Buff.CM!$A:$O,13,FALSE),"")</f>
        <v>icon_battle_receiverecovery</v>
      </c>
      <c r="O409" s="157" t="str">
        <f>_xlfn.IFNA(VLOOKUP($M409,[1]Buff.CM!$A:$O,14,FALSE),"")</f>
        <v>Buff.Name.ReceiveHealRate.Down.01</v>
      </c>
      <c r="P409" s="157" t="str">
        <f>_xlfn.IFNA(VLOOKUP($M409,[1]Buff.CM!$A:$O,15,FALSE),"")</f>
        <v>Buff.Desc.ReceiveHealRate.Down.01</v>
      </c>
      <c r="Q409" s="157" t="b">
        <v>0</v>
      </c>
      <c r="R409" s="157" t="b">
        <v>0</v>
      </c>
    </row>
    <row r="410" spans="1:18" x14ac:dyDescent="0.3">
      <c r="A410" s="264" t="s">
        <v>3841</v>
      </c>
      <c r="B410" s="157"/>
      <c r="C410" s="157"/>
      <c r="D410" s="157">
        <v>6000</v>
      </c>
      <c r="E410" s="157">
        <v>0</v>
      </c>
      <c r="F410" s="157">
        <v>0</v>
      </c>
      <c r="G410" s="264" t="s">
        <v>3621</v>
      </c>
      <c r="H410" s="157"/>
      <c r="I410" s="157" t="b">
        <v>0</v>
      </c>
      <c r="J410" s="157" t="b">
        <v>0</v>
      </c>
      <c r="K410" s="157" t="b">
        <v>0</v>
      </c>
      <c r="L410" s="157" t="s">
        <v>3622</v>
      </c>
      <c r="M410" s="264" t="s">
        <v>3621</v>
      </c>
      <c r="N410" s="157" t="str">
        <f>_xlfn.IFNA(VLOOKUP($M410,[1]Buff.CM!$A:$O,13,FALSE),"")</f>
        <v>icon_battle_receiverecovery</v>
      </c>
      <c r="O410" s="157" t="str">
        <f>_xlfn.IFNA(VLOOKUP($M410,[1]Buff.CM!$A:$O,14,FALSE),"")</f>
        <v>Buff.Name.ReceiveHealRate.Down.01</v>
      </c>
      <c r="P410" s="157" t="str">
        <f>_xlfn.IFNA(VLOOKUP($M410,[1]Buff.CM!$A:$O,15,FALSE),"")</f>
        <v>Buff.Desc.ReceiveHealRate.Down.01</v>
      </c>
      <c r="Q410" s="157" t="b">
        <v>0</v>
      </c>
      <c r="R410" s="157" t="b">
        <v>0</v>
      </c>
    </row>
    <row r="411" spans="1:18" x14ac:dyDescent="0.3">
      <c r="A411" s="264" t="s">
        <v>3842</v>
      </c>
      <c r="B411" s="157"/>
      <c r="C411" s="157"/>
      <c r="D411" s="157">
        <v>6000</v>
      </c>
      <c r="E411" s="157">
        <v>0</v>
      </c>
      <c r="F411" s="157">
        <v>0</v>
      </c>
      <c r="G411" s="264" t="s">
        <v>3623</v>
      </c>
      <c r="H411" s="157"/>
      <c r="I411" s="157" t="b">
        <v>0</v>
      </c>
      <c r="J411" s="157" t="b">
        <v>0</v>
      </c>
      <c r="K411" s="157" t="b">
        <v>0</v>
      </c>
      <c r="L411" s="157" t="s">
        <v>3622</v>
      </c>
      <c r="M411" s="264" t="s">
        <v>3623</v>
      </c>
      <c r="N411" s="157" t="str">
        <f>_xlfn.IFNA(VLOOKUP($M411,[1]Buff.CM!$A:$O,13,FALSE),"")</f>
        <v>icon_battle_receiverecovery</v>
      </c>
      <c r="O411" s="157" t="str">
        <f>_xlfn.IFNA(VLOOKUP($M411,[1]Buff.CM!$A:$O,14,FALSE),"")</f>
        <v>Buff.Name.ReceiveHealRate.Down.02</v>
      </c>
      <c r="P411" s="157" t="str">
        <f>_xlfn.IFNA(VLOOKUP($M411,[1]Buff.CM!$A:$O,15,FALSE),"")</f>
        <v>Buff.Desc.ReceiveHealRate.Down.02</v>
      </c>
      <c r="Q411" s="157" t="b">
        <v>0</v>
      </c>
      <c r="R411" s="157" t="b">
        <v>0</v>
      </c>
    </row>
    <row r="412" spans="1:18" x14ac:dyDescent="0.3">
      <c r="A412" s="264" t="s">
        <v>3843</v>
      </c>
      <c r="B412" s="157"/>
      <c r="C412" s="157"/>
      <c r="D412" s="157">
        <v>7000</v>
      </c>
      <c r="E412" s="157">
        <v>0</v>
      </c>
      <c r="F412" s="157">
        <v>0</v>
      </c>
      <c r="G412" s="264" t="s">
        <v>3623</v>
      </c>
      <c r="H412" s="157"/>
      <c r="I412" s="157" t="b">
        <v>0</v>
      </c>
      <c r="J412" s="157" t="b">
        <v>0</v>
      </c>
      <c r="K412" s="157" t="b">
        <v>0</v>
      </c>
      <c r="L412" s="157" t="s">
        <v>3622</v>
      </c>
      <c r="M412" s="264" t="s">
        <v>3623</v>
      </c>
      <c r="N412" s="157" t="str">
        <f>_xlfn.IFNA(VLOOKUP($M412,[1]Buff.CM!$A:$O,13,FALSE),"")</f>
        <v>icon_battle_receiverecovery</v>
      </c>
      <c r="O412" s="157" t="str">
        <f>_xlfn.IFNA(VLOOKUP($M412,[1]Buff.CM!$A:$O,14,FALSE),"")</f>
        <v>Buff.Name.ReceiveHealRate.Down.02</v>
      </c>
      <c r="P412" s="157" t="str">
        <f>_xlfn.IFNA(VLOOKUP($M412,[1]Buff.CM!$A:$O,15,FALSE),"")</f>
        <v>Buff.Desc.ReceiveHealRate.Down.02</v>
      </c>
      <c r="Q412" s="157" t="b">
        <v>0</v>
      </c>
      <c r="R412" s="157" t="b">
        <v>0</v>
      </c>
    </row>
    <row r="413" spans="1:18" x14ac:dyDescent="0.3">
      <c r="A413" s="265" t="s">
        <v>3844</v>
      </c>
      <c r="B413" s="232"/>
      <c r="C413" s="232"/>
      <c r="D413" s="232">
        <v>500</v>
      </c>
      <c r="E413" s="232">
        <v>0</v>
      </c>
      <c r="F413" s="232">
        <v>0</v>
      </c>
      <c r="G413" s="265" t="s">
        <v>3624</v>
      </c>
      <c r="H413" s="232"/>
      <c r="I413" s="232" t="b">
        <v>0</v>
      </c>
      <c r="J413" s="232" t="b">
        <v>0</v>
      </c>
      <c r="K413" s="232" t="b">
        <v>0</v>
      </c>
      <c r="L413" s="157" t="s">
        <v>3622</v>
      </c>
      <c r="M413" s="232" t="s">
        <v>3623</v>
      </c>
      <c r="N413" s="232" t="str">
        <f>_xlfn.IFNA(VLOOKUP($M413,[1]Buff.CM!$A:$O,13,FALSE),"")</f>
        <v>icon_battle_receiverecovery</v>
      </c>
      <c r="O413" s="232" t="str">
        <f>_xlfn.IFNA(VLOOKUP($M413,[1]Buff.CM!$A:$O,14,FALSE),"")</f>
        <v>Buff.Name.ReceiveHealRate.Down.02</v>
      </c>
      <c r="P413" s="232" t="str">
        <f>_xlfn.IFNA(VLOOKUP($M413,[1]Buff.CM!$A:$O,15,FALSE),"")</f>
        <v>Buff.Desc.ReceiveHealRate.Down.02</v>
      </c>
      <c r="Q413" s="232" t="b">
        <v>0</v>
      </c>
      <c r="R413" s="232" t="b">
        <v>0</v>
      </c>
    </row>
    <row r="414" spans="1:18" x14ac:dyDescent="0.3">
      <c r="A414" s="265" t="s">
        <v>3845</v>
      </c>
      <c r="B414" s="232"/>
      <c r="C414" s="232"/>
      <c r="D414" s="232">
        <v>500</v>
      </c>
      <c r="E414" s="232">
        <v>0</v>
      </c>
      <c r="F414" s="232">
        <v>0</v>
      </c>
      <c r="G414" s="265" t="s">
        <v>3624</v>
      </c>
      <c r="H414" s="232"/>
      <c r="I414" s="232" t="b">
        <v>0</v>
      </c>
      <c r="J414" s="232" t="b">
        <v>0</v>
      </c>
      <c r="K414" s="232" t="b">
        <v>0</v>
      </c>
      <c r="L414" s="157" t="s">
        <v>3622</v>
      </c>
      <c r="M414" s="232" t="s">
        <v>3623</v>
      </c>
      <c r="N414" s="232" t="str">
        <f>_xlfn.IFNA(VLOOKUP($M414,[1]Buff.CM!$A:$O,13,FALSE),"")</f>
        <v>icon_battle_receiverecovery</v>
      </c>
      <c r="O414" s="232" t="str">
        <f>_xlfn.IFNA(VLOOKUP($M414,[1]Buff.CM!$A:$O,14,FALSE),"")</f>
        <v>Buff.Name.ReceiveHealRate.Down.02</v>
      </c>
      <c r="P414" s="232" t="str">
        <f>_xlfn.IFNA(VLOOKUP($M414,[1]Buff.CM!$A:$O,15,FALSE),"")</f>
        <v>Buff.Desc.ReceiveHealRate.Down.02</v>
      </c>
      <c r="Q414" s="232" t="b">
        <v>0</v>
      </c>
      <c r="R414" s="232" t="b">
        <v>0</v>
      </c>
    </row>
    <row r="415" spans="1:18" x14ac:dyDescent="0.3">
      <c r="A415" s="266" t="s">
        <v>3846</v>
      </c>
      <c r="B415" s="266"/>
      <c r="C415" s="266"/>
      <c r="D415" s="266">
        <v>4000</v>
      </c>
      <c r="E415" s="266">
        <v>0</v>
      </c>
      <c r="F415" s="266">
        <v>0</v>
      </c>
      <c r="G415" s="266" t="s">
        <v>3625</v>
      </c>
      <c r="H415" s="266"/>
      <c r="I415" s="266" t="b">
        <v>0</v>
      </c>
      <c r="J415" s="266" t="b">
        <v>0</v>
      </c>
      <c r="K415" s="266" t="b">
        <v>0</v>
      </c>
      <c r="L415" s="234" t="s">
        <v>55</v>
      </c>
      <c r="M415" s="266" t="s">
        <v>3625</v>
      </c>
      <c r="N415" s="266" t="str">
        <f>_xlfn.IFNA(VLOOKUP($M415,[1]Buff.CM!$A:$O,13,FALSE),"")</f>
        <v>icon_battle_damageimmune</v>
      </c>
      <c r="O415" s="266" t="str">
        <f>_xlfn.IFNA(VLOOKUP($M415,[1]Buff.CM!$A:$O,14,FALSE),"")</f>
        <v>Buff.Name.Reduce.DotDamage.Down.01</v>
      </c>
      <c r="P415" s="266" t="str">
        <f>_xlfn.IFNA(VLOOKUP($M415,[1]Buff.CM!$A:$O,15,FALSE),"")</f>
        <v>Buff.Desc.Reduce.DotDamage.Down.01</v>
      </c>
      <c r="Q415" s="234" t="b">
        <v>0</v>
      </c>
      <c r="R415" s="266" t="b">
        <v>0</v>
      </c>
    </row>
    <row r="416" spans="1:18" x14ac:dyDescent="0.3">
      <c r="A416" s="266" t="s">
        <v>3847</v>
      </c>
      <c r="B416" s="266"/>
      <c r="C416" s="266"/>
      <c r="D416" s="266">
        <v>5000</v>
      </c>
      <c r="E416" s="266">
        <v>0</v>
      </c>
      <c r="F416" s="266">
        <v>0</v>
      </c>
      <c r="G416" s="266" t="s">
        <v>3625</v>
      </c>
      <c r="H416" s="266"/>
      <c r="I416" s="266" t="b">
        <v>0</v>
      </c>
      <c r="J416" s="266" t="b">
        <v>0</v>
      </c>
      <c r="K416" s="266" t="b">
        <v>0</v>
      </c>
      <c r="L416" s="234" t="s">
        <v>55</v>
      </c>
      <c r="M416" s="266" t="s">
        <v>3625</v>
      </c>
      <c r="N416" s="266" t="str">
        <f>_xlfn.IFNA(VLOOKUP($M416,[1]Buff.CM!$A:$O,13,FALSE),"")</f>
        <v>icon_battle_damageimmune</v>
      </c>
      <c r="O416" s="266" t="str">
        <f>_xlfn.IFNA(VLOOKUP($M416,[1]Buff.CM!$A:$O,14,FALSE),"")</f>
        <v>Buff.Name.Reduce.DotDamage.Down.01</v>
      </c>
      <c r="P416" s="266" t="str">
        <f>_xlfn.IFNA(VLOOKUP($M416,[1]Buff.CM!$A:$O,15,FALSE),"")</f>
        <v>Buff.Desc.Reduce.DotDamage.Down.01</v>
      </c>
      <c r="Q416" s="234" t="b">
        <v>0</v>
      </c>
      <c r="R416" s="266" t="b">
        <v>0</v>
      </c>
    </row>
    <row r="417" spans="1:18" x14ac:dyDescent="0.3">
      <c r="A417" s="266" t="s">
        <v>3848</v>
      </c>
      <c r="B417" s="266"/>
      <c r="C417" s="266"/>
      <c r="D417" s="266">
        <v>6000</v>
      </c>
      <c r="E417" s="266">
        <v>0</v>
      </c>
      <c r="F417" s="266">
        <v>0</v>
      </c>
      <c r="G417" s="266" t="s">
        <v>3625</v>
      </c>
      <c r="H417" s="266"/>
      <c r="I417" s="266" t="b">
        <v>0</v>
      </c>
      <c r="J417" s="266" t="b">
        <v>0</v>
      </c>
      <c r="K417" s="266" t="b">
        <v>0</v>
      </c>
      <c r="L417" s="234" t="s">
        <v>55</v>
      </c>
      <c r="M417" s="266" t="s">
        <v>3625</v>
      </c>
      <c r="N417" s="266" t="str">
        <f>_xlfn.IFNA(VLOOKUP($M417,[1]Buff.CM!$A:$O,13,FALSE),"")</f>
        <v>icon_battle_damageimmune</v>
      </c>
      <c r="O417" s="266" t="str">
        <f>_xlfn.IFNA(VLOOKUP($M417,[1]Buff.CM!$A:$O,14,FALSE),"")</f>
        <v>Buff.Name.Reduce.DotDamage.Down.01</v>
      </c>
      <c r="P417" s="266" t="str">
        <f>_xlfn.IFNA(VLOOKUP($M417,[1]Buff.CM!$A:$O,15,FALSE),"")</f>
        <v>Buff.Desc.Reduce.DotDamage.Down.01</v>
      </c>
      <c r="Q417" s="234" t="b">
        <v>0</v>
      </c>
      <c r="R417" s="266" t="b">
        <v>0</v>
      </c>
    </row>
    <row r="418" spans="1:18" x14ac:dyDescent="0.3">
      <c r="A418" s="266" t="s">
        <v>3849</v>
      </c>
      <c r="B418" s="266"/>
      <c r="C418" s="266"/>
      <c r="D418" s="266">
        <v>6000</v>
      </c>
      <c r="E418" s="266">
        <v>0</v>
      </c>
      <c r="F418" s="266">
        <v>0</v>
      </c>
      <c r="G418" s="266" t="s">
        <v>3626</v>
      </c>
      <c r="H418" s="266"/>
      <c r="I418" s="266" t="b">
        <v>0</v>
      </c>
      <c r="J418" s="266" t="b">
        <v>0</v>
      </c>
      <c r="K418" s="266" t="b">
        <v>0</v>
      </c>
      <c r="L418" s="234" t="s">
        <v>55</v>
      </c>
      <c r="M418" s="266" t="s">
        <v>3626</v>
      </c>
      <c r="N418" s="266" t="str">
        <f>_xlfn.IFNA(VLOOKUP($M418,[1]Buff.CM!$A:$O,13,FALSE),"")</f>
        <v>icon_battle_damageimmune</v>
      </c>
      <c r="O418" s="266" t="str">
        <f>_xlfn.IFNA(VLOOKUP($M418,[1]Buff.CM!$A:$O,14,FALSE),"")</f>
        <v>Buff.Name.Reduce.DotDamage.Down.02</v>
      </c>
      <c r="P418" s="266" t="str">
        <f>_xlfn.IFNA(VLOOKUP($M418,[1]Buff.CM!$A:$O,15,FALSE),"")</f>
        <v>Buff.Desc.Reduce.DotDamage.Down.02</v>
      </c>
      <c r="Q418" s="234" t="b">
        <v>0</v>
      </c>
      <c r="R418" s="266" t="b">
        <v>0</v>
      </c>
    </row>
    <row r="419" spans="1:18" x14ac:dyDescent="0.3">
      <c r="A419" s="266" t="s">
        <v>3850</v>
      </c>
      <c r="B419" s="266"/>
      <c r="C419" s="266"/>
      <c r="D419" s="266">
        <v>7000</v>
      </c>
      <c r="E419" s="266">
        <v>0</v>
      </c>
      <c r="F419" s="266">
        <v>0</v>
      </c>
      <c r="G419" s="266" t="s">
        <v>3626</v>
      </c>
      <c r="H419" s="266"/>
      <c r="I419" s="266" t="b">
        <v>0</v>
      </c>
      <c r="J419" s="266" t="b">
        <v>0</v>
      </c>
      <c r="K419" s="266" t="b">
        <v>0</v>
      </c>
      <c r="L419" s="234" t="s">
        <v>55</v>
      </c>
      <c r="M419" s="266" t="s">
        <v>3626</v>
      </c>
      <c r="N419" s="266" t="str">
        <f>_xlfn.IFNA(VLOOKUP($M419,[1]Buff.CM!$A:$O,13,FALSE),"")</f>
        <v>icon_battle_damageimmune</v>
      </c>
      <c r="O419" s="266" t="str">
        <f>_xlfn.IFNA(VLOOKUP($M419,[1]Buff.CM!$A:$O,14,FALSE),"")</f>
        <v>Buff.Name.Reduce.DotDamage.Down.02</v>
      </c>
      <c r="P419" s="266" t="str">
        <f>_xlfn.IFNA(VLOOKUP($M419,[1]Buff.CM!$A:$O,15,FALSE),"")</f>
        <v>Buff.Desc.Reduce.DotDamage.Down.02</v>
      </c>
      <c r="Q419" s="234" t="b">
        <v>0</v>
      </c>
      <c r="R419" s="266" t="b">
        <v>0</v>
      </c>
    </row>
    <row r="420" spans="1:18" x14ac:dyDescent="0.3">
      <c r="A420" s="232" t="s">
        <v>3851</v>
      </c>
      <c r="B420" s="232"/>
      <c r="C420" s="232"/>
      <c r="D420" s="232">
        <v>5100</v>
      </c>
      <c r="E420" s="232">
        <v>0</v>
      </c>
      <c r="F420" s="232">
        <v>0</v>
      </c>
      <c r="G420" s="232" t="s">
        <v>3626</v>
      </c>
      <c r="H420" s="232"/>
      <c r="I420" s="232" t="b">
        <v>0</v>
      </c>
      <c r="J420" s="232" t="b">
        <v>0</v>
      </c>
      <c r="K420" s="232" t="b">
        <v>0</v>
      </c>
      <c r="L420" s="232" t="s">
        <v>55</v>
      </c>
      <c r="M420" s="232" t="s">
        <v>3626</v>
      </c>
      <c r="N420" s="232" t="str">
        <f>_xlfn.IFNA(VLOOKUP($M420,[1]Buff.CM!$A:$O,13,FALSE),"")</f>
        <v>icon_battle_damageimmune</v>
      </c>
      <c r="O420" s="232" t="str">
        <f>_xlfn.IFNA(VLOOKUP($M420,[1]Buff.CM!$A:$O,14,FALSE),"")</f>
        <v>Buff.Name.Reduce.DotDamage.Down.02</v>
      </c>
      <c r="P420" s="232" t="str">
        <f>_xlfn.IFNA(VLOOKUP($M420,[1]Buff.CM!$A:$O,15,FALSE),"")</f>
        <v>Buff.Desc.Reduce.DotDamage.Down.02</v>
      </c>
      <c r="Q420" s="232" t="b">
        <v>0</v>
      </c>
      <c r="R420" s="232" t="b">
        <v>0</v>
      </c>
    </row>
    <row r="421" spans="1:18" x14ac:dyDescent="0.3">
      <c r="A421" s="232" t="s">
        <v>3852</v>
      </c>
      <c r="B421" s="232"/>
      <c r="C421" s="232"/>
      <c r="D421" s="232">
        <v>5600</v>
      </c>
      <c r="E421" s="232">
        <v>0</v>
      </c>
      <c r="F421" s="232">
        <v>0</v>
      </c>
      <c r="G421" s="232" t="s">
        <v>3626</v>
      </c>
      <c r="H421" s="232"/>
      <c r="I421" s="232" t="b">
        <v>0</v>
      </c>
      <c r="J421" s="232" t="b">
        <v>0</v>
      </c>
      <c r="K421" s="232" t="b">
        <v>0</v>
      </c>
      <c r="L421" s="232" t="s">
        <v>55</v>
      </c>
      <c r="M421" s="232" t="s">
        <v>3626</v>
      </c>
      <c r="N421" s="232" t="str">
        <f>_xlfn.IFNA(VLOOKUP($M421,[1]Buff.CM!$A:$O,13,FALSE),"")</f>
        <v>icon_battle_damageimmune</v>
      </c>
      <c r="O421" s="232" t="str">
        <f>_xlfn.IFNA(VLOOKUP($M421,[1]Buff.CM!$A:$O,14,FALSE),"")</f>
        <v>Buff.Name.Reduce.DotDamage.Down.02</v>
      </c>
      <c r="P421" s="232" t="str">
        <f>_xlfn.IFNA(VLOOKUP($M421,[1]Buff.CM!$A:$O,15,FALSE),"")</f>
        <v>Buff.Desc.Reduce.DotDamage.Down.02</v>
      </c>
      <c r="Q421" s="232" t="b">
        <v>0</v>
      </c>
      <c r="R421" s="232" t="b">
        <v>0</v>
      </c>
    </row>
    <row r="422" spans="1:18" x14ac:dyDescent="0.3">
      <c r="A422" s="266" t="s">
        <v>3853</v>
      </c>
      <c r="B422" s="266"/>
      <c r="C422" s="266"/>
      <c r="D422" s="266">
        <v>4000</v>
      </c>
      <c r="E422" s="266">
        <v>0</v>
      </c>
      <c r="F422" s="266">
        <v>0</v>
      </c>
      <c r="G422" s="266" t="s">
        <v>3627</v>
      </c>
      <c r="H422" s="266"/>
      <c r="I422" s="266" t="b">
        <v>0</v>
      </c>
      <c r="J422" s="266" t="b">
        <v>0</v>
      </c>
      <c r="K422" s="266" t="b">
        <v>0</v>
      </c>
      <c r="L422" s="266" t="s">
        <v>51</v>
      </c>
      <c r="M422" s="266" t="s">
        <v>3628</v>
      </c>
      <c r="N422" s="266" t="str">
        <f>_xlfn.IFNA(VLOOKUP($M422,[1]Buff.CM!$A:$O,13,FALSE),"")</f>
        <v>icon_battle_bleeding</v>
      </c>
      <c r="O422" s="266" t="str">
        <f>_xlfn.IFNA(VLOOKUP($M422,[1]Buff.CM!$A:$O,14,FALSE),"")</f>
        <v>Buff.Name.Bleeding</v>
      </c>
      <c r="P422" s="266" t="str">
        <f>_xlfn.IFNA(VLOOKUP($M422,[1]Buff.CM!$A:$O,15,FALSE),"")</f>
        <v>Buff.Desc.Bleeding</v>
      </c>
      <c r="Q422" s="234" t="b">
        <v>0</v>
      </c>
      <c r="R422" s="266" t="b">
        <v>0</v>
      </c>
    </row>
    <row r="423" spans="1:18" x14ac:dyDescent="0.3">
      <c r="A423" s="266" t="s">
        <v>3854</v>
      </c>
      <c r="B423" s="266"/>
      <c r="C423" s="266"/>
      <c r="D423" s="266">
        <v>5000</v>
      </c>
      <c r="E423" s="266">
        <v>0</v>
      </c>
      <c r="F423" s="266">
        <v>0</v>
      </c>
      <c r="G423" s="266" t="s">
        <v>3627</v>
      </c>
      <c r="H423" s="266"/>
      <c r="I423" s="266" t="b">
        <v>0</v>
      </c>
      <c r="J423" s="266" t="b">
        <v>0</v>
      </c>
      <c r="K423" s="266" t="b">
        <v>0</v>
      </c>
      <c r="L423" s="266" t="s">
        <v>51</v>
      </c>
      <c r="M423" s="266" t="s">
        <v>3628</v>
      </c>
      <c r="N423" s="266" t="str">
        <f>_xlfn.IFNA(VLOOKUP($M423,[1]Buff.CM!$A:$O,13,FALSE),"")</f>
        <v>icon_battle_bleeding</v>
      </c>
      <c r="O423" s="266" t="str">
        <f>_xlfn.IFNA(VLOOKUP($M423,[1]Buff.CM!$A:$O,14,FALSE),"")</f>
        <v>Buff.Name.Bleeding</v>
      </c>
      <c r="P423" s="266" t="str">
        <f>_xlfn.IFNA(VLOOKUP($M423,[1]Buff.CM!$A:$O,15,FALSE),"")</f>
        <v>Buff.Desc.Bleeding</v>
      </c>
      <c r="Q423" s="234" t="b">
        <v>0</v>
      </c>
      <c r="R423" s="266" t="b">
        <v>0</v>
      </c>
    </row>
    <row r="424" spans="1:18" x14ac:dyDescent="0.3">
      <c r="A424" s="266" t="s">
        <v>3855</v>
      </c>
      <c r="B424" s="266"/>
      <c r="C424" s="266"/>
      <c r="D424" s="266">
        <v>6000</v>
      </c>
      <c r="E424" s="266">
        <v>0</v>
      </c>
      <c r="F424" s="266">
        <v>0</v>
      </c>
      <c r="G424" s="266" t="s">
        <v>3627</v>
      </c>
      <c r="H424" s="266"/>
      <c r="I424" s="266" t="b">
        <v>0</v>
      </c>
      <c r="J424" s="266" t="b">
        <v>0</v>
      </c>
      <c r="K424" s="266" t="b">
        <v>0</v>
      </c>
      <c r="L424" s="266" t="s">
        <v>51</v>
      </c>
      <c r="M424" s="266" t="s">
        <v>3628</v>
      </c>
      <c r="N424" s="266" t="str">
        <f>_xlfn.IFNA(VLOOKUP($M424,[1]Buff.CM!$A:$O,13,FALSE),"")</f>
        <v>icon_battle_bleeding</v>
      </c>
      <c r="O424" s="266" t="str">
        <f>_xlfn.IFNA(VLOOKUP($M424,[1]Buff.CM!$A:$O,14,FALSE),"")</f>
        <v>Buff.Name.Bleeding</v>
      </c>
      <c r="P424" s="266" t="str">
        <f>_xlfn.IFNA(VLOOKUP($M424,[1]Buff.CM!$A:$O,15,FALSE),"")</f>
        <v>Buff.Desc.Bleeding</v>
      </c>
      <c r="Q424" s="234" t="b">
        <v>0</v>
      </c>
      <c r="R424" s="266" t="b">
        <v>0</v>
      </c>
    </row>
    <row r="425" spans="1:18" x14ac:dyDescent="0.3">
      <c r="A425" s="266" t="s">
        <v>3856</v>
      </c>
      <c r="B425" s="266"/>
      <c r="C425" s="266"/>
      <c r="D425" s="266">
        <v>6000</v>
      </c>
      <c r="E425" s="266">
        <v>0</v>
      </c>
      <c r="F425" s="266">
        <v>0</v>
      </c>
      <c r="G425" s="266" t="s">
        <v>3629</v>
      </c>
      <c r="H425" s="266"/>
      <c r="I425" s="266" t="b">
        <v>0</v>
      </c>
      <c r="J425" s="266" t="b">
        <v>0</v>
      </c>
      <c r="K425" s="266" t="b">
        <v>0</v>
      </c>
      <c r="L425" s="266" t="s">
        <v>51</v>
      </c>
      <c r="M425" s="266" t="s">
        <v>3628</v>
      </c>
      <c r="N425" s="266" t="str">
        <f>_xlfn.IFNA(VLOOKUP($M425,[1]Buff.CM!$A:$O,13,FALSE),"")</f>
        <v>icon_battle_bleeding</v>
      </c>
      <c r="O425" s="266" t="str">
        <f>_xlfn.IFNA(VLOOKUP($M425,[1]Buff.CM!$A:$O,14,FALSE),"")</f>
        <v>Buff.Name.Bleeding</v>
      </c>
      <c r="P425" s="266" t="str">
        <f>_xlfn.IFNA(VLOOKUP($M425,[1]Buff.CM!$A:$O,15,FALSE),"")</f>
        <v>Buff.Desc.Bleeding</v>
      </c>
      <c r="Q425" s="234" t="b">
        <v>0</v>
      </c>
      <c r="R425" s="266" t="b">
        <v>0</v>
      </c>
    </row>
    <row r="426" spans="1:18" x14ac:dyDescent="0.3">
      <c r="A426" s="266" t="s">
        <v>3857</v>
      </c>
      <c r="B426" s="266"/>
      <c r="C426" s="266"/>
      <c r="D426" s="266">
        <v>7000</v>
      </c>
      <c r="E426" s="266">
        <v>0</v>
      </c>
      <c r="F426" s="266">
        <v>0</v>
      </c>
      <c r="G426" s="266" t="s">
        <v>3629</v>
      </c>
      <c r="H426" s="266"/>
      <c r="I426" s="266" t="b">
        <v>0</v>
      </c>
      <c r="J426" s="266" t="b">
        <v>0</v>
      </c>
      <c r="K426" s="266" t="b">
        <v>0</v>
      </c>
      <c r="L426" s="266" t="s">
        <v>51</v>
      </c>
      <c r="M426" s="266" t="s">
        <v>3628</v>
      </c>
      <c r="N426" s="266" t="str">
        <f>_xlfn.IFNA(VLOOKUP($M426,[1]Buff.CM!$A:$O,13,FALSE),"")</f>
        <v>icon_battle_bleeding</v>
      </c>
      <c r="O426" s="266" t="str">
        <f>_xlfn.IFNA(VLOOKUP($M426,[1]Buff.CM!$A:$O,14,FALSE),"")</f>
        <v>Buff.Name.Bleeding</v>
      </c>
      <c r="P426" s="266" t="str">
        <f>_xlfn.IFNA(VLOOKUP($M426,[1]Buff.CM!$A:$O,15,FALSE),"")</f>
        <v>Buff.Desc.Bleeding</v>
      </c>
      <c r="Q426" s="234" t="b">
        <v>0</v>
      </c>
      <c r="R426" s="266" t="b">
        <v>0</v>
      </c>
    </row>
    <row r="427" spans="1:18" x14ac:dyDescent="0.3">
      <c r="A427" s="232" t="s">
        <v>3858</v>
      </c>
      <c r="B427" s="232"/>
      <c r="C427" s="232"/>
      <c r="D427" s="232">
        <v>5100</v>
      </c>
      <c r="E427" s="232">
        <v>0</v>
      </c>
      <c r="F427" s="232">
        <v>0</v>
      </c>
      <c r="G427" s="232" t="s">
        <v>3630</v>
      </c>
      <c r="H427" s="232"/>
      <c r="I427" s="232" t="b">
        <v>0</v>
      </c>
      <c r="J427" s="232" t="b">
        <v>0</v>
      </c>
      <c r="K427" s="232" t="b">
        <v>0</v>
      </c>
      <c r="L427" s="232" t="s">
        <v>51</v>
      </c>
      <c r="M427" s="232" t="s">
        <v>3628</v>
      </c>
      <c r="N427" s="232" t="str">
        <f>_xlfn.IFNA(VLOOKUP($M427,[1]Buff.CM!$A:$O,13,FALSE),"")</f>
        <v>icon_battle_bleeding</v>
      </c>
      <c r="O427" s="232" t="str">
        <f>_xlfn.IFNA(VLOOKUP($M427,[1]Buff.CM!$A:$O,14,FALSE),"")</f>
        <v>Buff.Name.Bleeding</v>
      </c>
      <c r="P427" s="232" t="str">
        <f>_xlfn.IFNA(VLOOKUP($M427,[1]Buff.CM!$A:$O,15,FALSE),"")</f>
        <v>Buff.Desc.Bleeding</v>
      </c>
      <c r="Q427" s="232" t="b">
        <v>0</v>
      </c>
      <c r="R427" s="232" t="b">
        <v>0</v>
      </c>
    </row>
    <row r="428" spans="1:18" x14ac:dyDescent="0.3">
      <c r="A428" s="232" t="s">
        <v>3859</v>
      </c>
      <c r="B428" s="232"/>
      <c r="C428" s="232"/>
      <c r="D428" s="232">
        <v>5600</v>
      </c>
      <c r="E428" s="232">
        <v>0</v>
      </c>
      <c r="F428" s="232">
        <v>0</v>
      </c>
      <c r="G428" s="232" t="s">
        <v>3630</v>
      </c>
      <c r="H428" s="232"/>
      <c r="I428" s="232" t="b">
        <v>0</v>
      </c>
      <c r="J428" s="232" t="b">
        <v>0</v>
      </c>
      <c r="K428" s="232" t="b">
        <v>0</v>
      </c>
      <c r="L428" s="232" t="s">
        <v>51</v>
      </c>
      <c r="M428" s="232" t="s">
        <v>3628</v>
      </c>
      <c r="N428" s="232" t="str">
        <f>_xlfn.IFNA(VLOOKUP($M428,[1]Buff.CM!$A:$O,13,FALSE),"")</f>
        <v>icon_battle_bleeding</v>
      </c>
      <c r="O428" s="232" t="str">
        <f>_xlfn.IFNA(VLOOKUP($M428,[1]Buff.CM!$A:$O,14,FALSE),"")</f>
        <v>Buff.Name.Bleeding</v>
      </c>
      <c r="P428" s="232" t="str">
        <f>_xlfn.IFNA(VLOOKUP($M428,[1]Buff.CM!$A:$O,15,FALSE),"")</f>
        <v>Buff.Desc.Bleeding</v>
      </c>
      <c r="Q428" s="232" t="b">
        <v>0</v>
      </c>
      <c r="R428" s="232" t="b">
        <v>0</v>
      </c>
    </row>
    <row r="429" spans="1:18" x14ac:dyDescent="0.3">
      <c r="A429" s="257" t="s">
        <v>3860</v>
      </c>
      <c r="B429" s="258"/>
      <c r="C429" s="258"/>
      <c r="D429" s="258">
        <v>4000</v>
      </c>
      <c r="E429" s="258">
        <v>0</v>
      </c>
      <c r="F429" s="258">
        <v>0</v>
      </c>
      <c r="G429" s="259" t="s">
        <v>3631</v>
      </c>
      <c r="H429" s="258"/>
      <c r="I429" s="258" t="b">
        <v>0</v>
      </c>
      <c r="J429" s="258" t="b">
        <v>0</v>
      </c>
      <c r="K429" s="232" t="b">
        <v>0</v>
      </c>
      <c r="L429" s="258" t="s">
        <v>55</v>
      </c>
      <c r="M429" s="259" t="s">
        <v>3631</v>
      </c>
      <c r="N429" s="258" t="str">
        <f>_xlfn.IFNA(VLOOKUP($M429,[1]Buff.CM!$A:$O,13,FALSE),"")</f>
        <v>icon_battle_accuracy</v>
      </c>
      <c r="O429" s="258" t="str">
        <f>_xlfn.IFNA(VLOOKUP($M429,[1]Buff.CM!$A:$O,14,FALSE),"")</f>
        <v>Buff.Name.Accuracy.Down.01</v>
      </c>
      <c r="P429" s="258" t="str">
        <f>_xlfn.IFNA(VLOOKUP($M429,[1]Buff.CM!$A:$O,15,FALSE),"")</f>
        <v>Buff.Desc.Accuracy.Down.01</v>
      </c>
      <c r="Q429" s="234" t="b">
        <v>0</v>
      </c>
      <c r="R429" s="258" t="b">
        <v>0</v>
      </c>
    </row>
    <row r="430" spans="1:18" x14ac:dyDescent="0.3">
      <c r="A430" s="257" t="s">
        <v>3861</v>
      </c>
      <c r="B430" s="258"/>
      <c r="C430" s="258"/>
      <c r="D430" s="258">
        <v>4500</v>
      </c>
      <c r="E430" s="258">
        <v>0</v>
      </c>
      <c r="F430" s="258">
        <v>0</v>
      </c>
      <c r="G430" s="259" t="s">
        <v>3631</v>
      </c>
      <c r="H430" s="258"/>
      <c r="I430" s="258" t="b">
        <v>0</v>
      </c>
      <c r="J430" s="258" t="b">
        <v>0</v>
      </c>
      <c r="K430" s="232" t="b">
        <v>0</v>
      </c>
      <c r="L430" s="258" t="s">
        <v>55</v>
      </c>
      <c r="M430" s="259" t="s">
        <v>3631</v>
      </c>
      <c r="N430" s="258" t="str">
        <f>_xlfn.IFNA(VLOOKUP($M430,[1]Buff.CM!$A:$O,13,FALSE),"")</f>
        <v>icon_battle_accuracy</v>
      </c>
      <c r="O430" s="258" t="str">
        <f>_xlfn.IFNA(VLOOKUP($M430,[1]Buff.CM!$A:$O,14,FALSE),"")</f>
        <v>Buff.Name.Accuracy.Down.01</v>
      </c>
      <c r="P430" s="258" t="str">
        <f>_xlfn.IFNA(VLOOKUP($M430,[1]Buff.CM!$A:$O,15,FALSE),"")</f>
        <v>Buff.Desc.Accuracy.Down.01</v>
      </c>
      <c r="Q430" s="234" t="b">
        <v>0</v>
      </c>
      <c r="R430" s="258" t="b">
        <v>0</v>
      </c>
    </row>
    <row r="431" spans="1:18" x14ac:dyDescent="0.3">
      <c r="A431" s="257" t="s">
        <v>3862</v>
      </c>
      <c r="B431" s="258"/>
      <c r="C431" s="258"/>
      <c r="D431" s="258">
        <v>5000</v>
      </c>
      <c r="E431" s="258">
        <v>0</v>
      </c>
      <c r="F431" s="258">
        <v>0</v>
      </c>
      <c r="G431" s="259" t="s">
        <v>3631</v>
      </c>
      <c r="H431" s="258"/>
      <c r="I431" s="258" t="b">
        <v>0</v>
      </c>
      <c r="J431" s="258" t="b">
        <v>0</v>
      </c>
      <c r="K431" s="232" t="b">
        <v>0</v>
      </c>
      <c r="L431" s="258" t="s">
        <v>55</v>
      </c>
      <c r="M431" s="259" t="s">
        <v>3631</v>
      </c>
      <c r="N431" s="258" t="str">
        <f>_xlfn.IFNA(VLOOKUP($M431,[1]Buff.CM!$A:$O,13,FALSE),"")</f>
        <v>icon_battle_accuracy</v>
      </c>
      <c r="O431" s="258" t="str">
        <f>_xlfn.IFNA(VLOOKUP($M431,[1]Buff.CM!$A:$O,14,FALSE),"")</f>
        <v>Buff.Name.Accuracy.Down.01</v>
      </c>
      <c r="P431" s="258" t="str">
        <f>_xlfn.IFNA(VLOOKUP($M431,[1]Buff.CM!$A:$O,15,FALSE),"")</f>
        <v>Buff.Desc.Accuracy.Down.01</v>
      </c>
      <c r="Q431" s="234" t="b">
        <v>0</v>
      </c>
      <c r="R431" s="258" t="b">
        <v>0</v>
      </c>
    </row>
    <row r="432" spans="1:18" x14ac:dyDescent="0.3">
      <c r="A432" s="267" t="s">
        <v>3863</v>
      </c>
      <c r="B432" s="232"/>
      <c r="C432" s="232"/>
      <c r="D432" s="232">
        <v>5500</v>
      </c>
      <c r="E432" s="232">
        <v>0</v>
      </c>
      <c r="F432" s="232">
        <v>0</v>
      </c>
      <c r="G432" s="238" t="s">
        <v>3631</v>
      </c>
      <c r="H432" s="232"/>
      <c r="I432" s="232" t="b">
        <v>0</v>
      </c>
      <c r="J432" s="232" t="b">
        <v>0</v>
      </c>
      <c r="K432" s="232" t="b">
        <v>0</v>
      </c>
      <c r="L432" s="232" t="s">
        <v>55</v>
      </c>
      <c r="M432" s="238" t="s">
        <v>3631</v>
      </c>
      <c r="N432" s="232" t="str">
        <f>_xlfn.IFNA(VLOOKUP($M432,[1]Buff.CM!$A:$O,13,FALSE),"")</f>
        <v>icon_battle_accuracy</v>
      </c>
      <c r="O432" s="232" t="str">
        <f>_xlfn.IFNA(VLOOKUP($M432,[1]Buff.CM!$A:$O,14,FALSE),"")</f>
        <v>Buff.Name.Accuracy.Down.01</v>
      </c>
      <c r="P432" s="232" t="str">
        <f>_xlfn.IFNA(VLOOKUP($M432,[1]Buff.CM!$A:$O,15,FALSE),"")</f>
        <v>Buff.Desc.Accuracy.Down.01</v>
      </c>
      <c r="Q432" s="232" t="b">
        <v>0</v>
      </c>
      <c r="R432" s="232" t="b">
        <v>0</v>
      </c>
    </row>
    <row r="433" spans="1:18" x14ac:dyDescent="0.3">
      <c r="A433" s="268" t="s">
        <v>3864</v>
      </c>
      <c r="B433" s="232"/>
      <c r="C433" s="232"/>
      <c r="D433" s="232">
        <v>8000</v>
      </c>
      <c r="E433" s="232">
        <v>0</v>
      </c>
      <c r="F433" s="232">
        <v>0</v>
      </c>
      <c r="G433" s="238" t="s">
        <v>3631</v>
      </c>
      <c r="H433" s="232"/>
      <c r="I433" s="232" t="b">
        <v>0</v>
      </c>
      <c r="J433" s="232" t="b">
        <v>0</v>
      </c>
      <c r="K433" s="232" t="b">
        <v>0</v>
      </c>
      <c r="L433" s="232" t="s">
        <v>55</v>
      </c>
      <c r="M433" s="238" t="s">
        <v>3631</v>
      </c>
      <c r="N433" s="232" t="str">
        <f>_xlfn.IFNA(VLOOKUP($M433,[1]Buff.CM!$A:$O,13,FALSE),"")</f>
        <v>icon_battle_accuracy</v>
      </c>
      <c r="O433" s="232" t="str">
        <f>_xlfn.IFNA(VLOOKUP($M433,[1]Buff.CM!$A:$O,14,FALSE),"")</f>
        <v>Buff.Name.Accuracy.Down.01</v>
      </c>
      <c r="P433" s="232" t="str">
        <f>_xlfn.IFNA(VLOOKUP($M433,[1]Buff.CM!$A:$O,15,FALSE),"")</f>
        <v>Buff.Desc.Accuracy.Down.01</v>
      </c>
      <c r="Q433" s="232" t="b">
        <v>0</v>
      </c>
      <c r="R433" s="232" t="b">
        <v>0</v>
      </c>
    </row>
    <row r="434" spans="1:18" x14ac:dyDescent="0.3">
      <c r="A434" s="265" t="s">
        <v>3865</v>
      </c>
      <c r="B434" s="232"/>
      <c r="C434" s="232"/>
      <c r="D434" s="232">
        <v>8000</v>
      </c>
      <c r="E434" s="232">
        <v>0</v>
      </c>
      <c r="F434" s="232">
        <v>0</v>
      </c>
      <c r="G434" s="238" t="s">
        <v>3631</v>
      </c>
      <c r="H434" s="232"/>
      <c r="I434" s="232" t="b">
        <v>0</v>
      </c>
      <c r="J434" s="232" t="b">
        <v>0</v>
      </c>
      <c r="K434" s="232" t="b">
        <v>0</v>
      </c>
      <c r="L434" s="232" t="s">
        <v>55</v>
      </c>
      <c r="M434" s="238" t="s">
        <v>3631</v>
      </c>
      <c r="N434" s="232" t="str">
        <f>_xlfn.IFNA(VLOOKUP($M434,[1]Buff.CM!$A:$O,13,FALSE),"")</f>
        <v>icon_battle_accuracy</v>
      </c>
      <c r="O434" s="232" t="str">
        <f>_xlfn.IFNA(VLOOKUP($M434,[1]Buff.CM!$A:$O,14,FALSE),"")</f>
        <v>Buff.Name.Accuracy.Down.01</v>
      </c>
      <c r="P434" s="232" t="str">
        <f>_xlfn.IFNA(VLOOKUP($M434,[1]Buff.CM!$A:$O,15,FALSE),"")</f>
        <v>Buff.Desc.Accuracy.Down.01</v>
      </c>
      <c r="Q434" s="232" t="b">
        <v>0</v>
      </c>
      <c r="R434" s="232" t="b">
        <v>0</v>
      </c>
    </row>
    <row r="435" spans="1:18" x14ac:dyDescent="0.3">
      <c r="A435" s="258" t="s">
        <v>3866</v>
      </c>
      <c r="B435" s="258"/>
      <c r="C435" s="258"/>
      <c r="D435" s="258">
        <v>4000</v>
      </c>
      <c r="E435" s="258">
        <v>0</v>
      </c>
      <c r="F435" s="258">
        <v>0</v>
      </c>
      <c r="G435" s="258" t="s">
        <v>3627</v>
      </c>
      <c r="H435" s="258"/>
      <c r="I435" s="258" t="b">
        <v>0</v>
      </c>
      <c r="J435" s="258" t="b">
        <v>0</v>
      </c>
      <c r="K435" s="258" t="b">
        <v>0</v>
      </c>
      <c r="L435" s="258" t="s">
        <v>51</v>
      </c>
      <c r="M435" s="258" t="s">
        <v>3628</v>
      </c>
      <c r="N435" s="258" t="str">
        <f>_xlfn.IFNA(VLOOKUP($M435,[1]Buff.CM!$A:$O,13,FALSE),"")</f>
        <v>icon_battle_bleeding</v>
      </c>
      <c r="O435" s="258" t="str">
        <f>_xlfn.IFNA(VLOOKUP($M435,[1]Buff.CM!$A:$O,14,FALSE),"")</f>
        <v>Buff.Name.Bleeding</v>
      </c>
      <c r="P435" s="258" t="str">
        <f>_xlfn.IFNA(VLOOKUP($M435,[1]Buff.CM!$A:$O,15,FALSE),"")</f>
        <v>Buff.Desc.Bleeding</v>
      </c>
      <c r="Q435" s="234" t="b">
        <v>0</v>
      </c>
      <c r="R435" s="258" t="b">
        <v>0</v>
      </c>
    </row>
    <row r="436" spans="1:18" x14ac:dyDescent="0.3">
      <c r="A436" s="258" t="s">
        <v>3867</v>
      </c>
      <c r="B436" s="258"/>
      <c r="C436" s="258"/>
      <c r="D436" s="258">
        <v>5000</v>
      </c>
      <c r="E436" s="258">
        <v>0</v>
      </c>
      <c r="F436" s="258">
        <v>0</v>
      </c>
      <c r="G436" s="258" t="s">
        <v>3627</v>
      </c>
      <c r="H436" s="258"/>
      <c r="I436" s="258" t="b">
        <v>0</v>
      </c>
      <c r="J436" s="258" t="b">
        <v>0</v>
      </c>
      <c r="K436" s="258" t="b">
        <v>0</v>
      </c>
      <c r="L436" s="258" t="s">
        <v>51</v>
      </c>
      <c r="M436" s="258" t="s">
        <v>3628</v>
      </c>
      <c r="N436" s="258" t="str">
        <f>_xlfn.IFNA(VLOOKUP($M436,[1]Buff.CM!$A:$O,13,FALSE),"")</f>
        <v>icon_battle_bleeding</v>
      </c>
      <c r="O436" s="258" t="str">
        <f>_xlfn.IFNA(VLOOKUP($M436,[1]Buff.CM!$A:$O,14,FALSE),"")</f>
        <v>Buff.Name.Bleeding</v>
      </c>
      <c r="P436" s="258" t="str">
        <f>_xlfn.IFNA(VLOOKUP($M436,[1]Buff.CM!$A:$O,15,FALSE),"")</f>
        <v>Buff.Desc.Bleeding</v>
      </c>
      <c r="Q436" s="234" t="b">
        <v>0</v>
      </c>
      <c r="R436" s="258" t="b">
        <v>0</v>
      </c>
    </row>
    <row r="437" spans="1:18" x14ac:dyDescent="0.3">
      <c r="A437" s="258" t="s">
        <v>3868</v>
      </c>
      <c r="B437" s="258"/>
      <c r="C437" s="258"/>
      <c r="D437" s="258">
        <v>5000</v>
      </c>
      <c r="E437" s="258">
        <v>0</v>
      </c>
      <c r="F437" s="258">
        <v>0</v>
      </c>
      <c r="G437" s="258" t="s">
        <v>3629</v>
      </c>
      <c r="H437" s="258"/>
      <c r="I437" s="258" t="b">
        <v>0</v>
      </c>
      <c r="J437" s="258" t="b">
        <v>0</v>
      </c>
      <c r="K437" s="258" t="b">
        <v>0</v>
      </c>
      <c r="L437" s="258" t="s">
        <v>51</v>
      </c>
      <c r="M437" s="258" t="s">
        <v>3628</v>
      </c>
      <c r="N437" s="258" t="str">
        <f>_xlfn.IFNA(VLOOKUP($M437,[1]Buff.CM!$A:$O,13,FALSE),"")</f>
        <v>icon_battle_bleeding</v>
      </c>
      <c r="O437" s="258" t="str">
        <f>_xlfn.IFNA(VLOOKUP($M437,[1]Buff.CM!$A:$O,14,FALSE),"")</f>
        <v>Buff.Name.Bleeding</v>
      </c>
      <c r="P437" s="258" t="str">
        <f>_xlfn.IFNA(VLOOKUP($M437,[1]Buff.CM!$A:$O,15,FALSE),"")</f>
        <v>Buff.Desc.Bleeding</v>
      </c>
      <c r="Q437" s="234" t="b">
        <v>0</v>
      </c>
      <c r="R437" s="258" t="b">
        <v>0</v>
      </c>
    </row>
    <row r="438" spans="1:18" x14ac:dyDescent="0.3">
      <c r="A438" s="232" t="s">
        <v>3869</v>
      </c>
      <c r="B438" s="232"/>
      <c r="C438" s="232"/>
      <c r="D438" s="232">
        <v>6000</v>
      </c>
      <c r="E438" s="232">
        <v>0</v>
      </c>
      <c r="F438" s="232">
        <v>0</v>
      </c>
      <c r="G438" s="232" t="s">
        <v>3629</v>
      </c>
      <c r="H438" s="232"/>
      <c r="I438" s="232" t="b">
        <v>0</v>
      </c>
      <c r="J438" s="232" t="b">
        <v>0</v>
      </c>
      <c r="K438" s="232" t="b">
        <v>0</v>
      </c>
      <c r="L438" s="232" t="s">
        <v>51</v>
      </c>
      <c r="M438" s="232" t="s">
        <v>3628</v>
      </c>
      <c r="N438" s="232" t="str">
        <f>_xlfn.IFNA(VLOOKUP($M438,[1]Buff.CM!$A:$O,13,FALSE),"")</f>
        <v>icon_battle_bleeding</v>
      </c>
      <c r="O438" s="232" t="str">
        <f>_xlfn.IFNA(VLOOKUP($M438,[1]Buff.CM!$A:$O,14,FALSE),"")</f>
        <v>Buff.Name.Bleeding</v>
      </c>
      <c r="P438" s="232" t="str">
        <f>_xlfn.IFNA(VLOOKUP($M438,[1]Buff.CM!$A:$O,15,FALSE),"")</f>
        <v>Buff.Desc.Bleeding</v>
      </c>
      <c r="Q438" s="232" t="b">
        <v>0</v>
      </c>
      <c r="R438" s="232" t="b">
        <v>0</v>
      </c>
    </row>
    <row r="439" spans="1:18" x14ac:dyDescent="0.3">
      <c r="A439" s="232" t="s">
        <v>3870</v>
      </c>
      <c r="B439" s="232"/>
      <c r="C439" s="232"/>
      <c r="D439" s="232">
        <v>6000</v>
      </c>
      <c r="E439" s="232">
        <v>0</v>
      </c>
      <c r="F439" s="232">
        <v>0</v>
      </c>
      <c r="G439" s="232" t="s">
        <v>3632</v>
      </c>
      <c r="H439" s="232"/>
      <c r="I439" s="232" t="b">
        <v>0</v>
      </c>
      <c r="J439" s="232" t="b">
        <v>0</v>
      </c>
      <c r="K439" s="232" t="b">
        <v>0</v>
      </c>
      <c r="L439" s="232" t="s">
        <v>51</v>
      </c>
      <c r="M439" s="232" t="s">
        <v>3628</v>
      </c>
      <c r="N439" s="232" t="str">
        <f>_xlfn.IFNA(VLOOKUP($M439,[1]Buff.CM!$A:$O,13,FALSE),"")</f>
        <v>icon_battle_bleeding</v>
      </c>
      <c r="O439" s="232" t="str">
        <f>_xlfn.IFNA(VLOOKUP($M439,[1]Buff.CM!$A:$O,14,FALSE),"")</f>
        <v>Buff.Name.Bleeding</v>
      </c>
      <c r="P439" s="232" t="str">
        <f>_xlfn.IFNA(VLOOKUP($M439,[1]Buff.CM!$A:$O,15,FALSE),"")</f>
        <v>Buff.Desc.Bleeding</v>
      </c>
      <c r="Q439" s="232" t="b">
        <v>0</v>
      </c>
      <c r="R439" s="232" t="b">
        <v>0</v>
      </c>
    </row>
    <row r="440" spans="1:18" x14ac:dyDescent="0.3">
      <c r="A440" s="232" t="s">
        <v>3871</v>
      </c>
      <c r="B440" s="232"/>
      <c r="C440" s="232"/>
      <c r="D440" s="232">
        <v>6000</v>
      </c>
      <c r="E440" s="232">
        <v>0</v>
      </c>
      <c r="F440" s="232">
        <v>0</v>
      </c>
      <c r="G440" s="232" t="s">
        <v>3630</v>
      </c>
      <c r="H440" s="232"/>
      <c r="I440" s="232" t="b">
        <v>0</v>
      </c>
      <c r="J440" s="232" t="b">
        <v>0</v>
      </c>
      <c r="K440" s="232" t="b">
        <v>0</v>
      </c>
      <c r="L440" s="232" t="s">
        <v>51</v>
      </c>
      <c r="M440" s="232" t="s">
        <v>3628</v>
      </c>
      <c r="N440" s="232" t="str">
        <f>_xlfn.IFNA(VLOOKUP($M440,[1]Buff.CM!$A:$O,13,FALSE),"")</f>
        <v>icon_battle_bleeding</v>
      </c>
      <c r="O440" s="232" t="str">
        <f>_xlfn.IFNA(VLOOKUP($M440,[1]Buff.CM!$A:$O,14,FALSE),"")</f>
        <v>Buff.Name.Bleeding</v>
      </c>
      <c r="P440" s="232" t="str">
        <f>_xlfn.IFNA(VLOOKUP($M440,[1]Buff.CM!$A:$O,15,FALSE),"")</f>
        <v>Buff.Desc.Bleeding</v>
      </c>
      <c r="Q440" s="232" t="b">
        <v>0</v>
      </c>
      <c r="R440" s="232" t="b">
        <v>0</v>
      </c>
    </row>
    <row r="441" spans="1:18" x14ac:dyDescent="0.3">
      <c r="A441" s="269" t="s">
        <v>3872</v>
      </c>
      <c r="B441" s="266"/>
      <c r="C441" s="266"/>
      <c r="D441" s="266">
        <v>0</v>
      </c>
      <c r="E441" s="266">
        <v>0</v>
      </c>
      <c r="F441" s="266">
        <v>0</v>
      </c>
      <c r="G441" s="269" t="s">
        <v>3873</v>
      </c>
      <c r="H441" s="266"/>
      <c r="I441" s="266" t="b">
        <v>0</v>
      </c>
      <c r="J441" s="157" t="b">
        <v>1</v>
      </c>
      <c r="K441" s="266" t="b">
        <v>1</v>
      </c>
      <c r="L441" s="266"/>
      <c r="M441" s="266"/>
      <c r="N441" s="258" t="str">
        <f>_xlfn.IFNA(VLOOKUP($M441,[1]Buff.CM!$A:$O,13,FALSE),"")</f>
        <v/>
      </c>
      <c r="O441" s="258" t="str">
        <f>_xlfn.IFNA(VLOOKUP($M441,[1]Buff.CM!$A:$O,14,FALSE),"")</f>
        <v/>
      </c>
      <c r="P441" s="258" t="str">
        <f>_xlfn.IFNA(VLOOKUP($M441,[1]Buff.CM!$A:$O,15,FALSE),"")</f>
        <v/>
      </c>
      <c r="Q441" s="266" t="b">
        <v>0</v>
      </c>
      <c r="R441" s="266" t="b">
        <v>0</v>
      </c>
    </row>
    <row r="442" spans="1:18" x14ac:dyDescent="0.3">
      <c r="A442" s="269" t="s">
        <v>3874</v>
      </c>
      <c r="B442" s="266"/>
      <c r="C442" s="266"/>
      <c r="D442" s="266">
        <v>0</v>
      </c>
      <c r="E442" s="266">
        <v>0</v>
      </c>
      <c r="F442" s="266">
        <v>0</v>
      </c>
      <c r="G442" s="269" t="s">
        <v>3875</v>
      </c>
      <c r="H442" s="266"/>
      <c r="I442" s="266" t="b">
        <v>0</v>
      </c>
      <c r="J442" s="157" t="b">
        <v>1</v>
      </c>
      <c r="K442" s="266" t="b">
        <v>1</v>
      </c>
      <c r="L442" s="266"/>
      <c r="M442" s="266"/>
      <c r="N442" s="258" t="str">
        <f>_xlfn.IFNA(VLOOKUP($M442,[1]Buff.CM!$A:$O,13,FALSE),"")</f>
        <v/>
      </c>
      <c r="O442" s="258" t="str">
        <f>_xlfn.IFNA(VLOOKUP($M442,[1]Buff.CM!$A:$O,14,FALSE),"")</f>
        <v/>
      </c>
      <c r="P442" s="258" t="str">
        <f>_xlfn.IFNA(VLOOKUP($M442,[1]Buff.CM!$A:$O,15,FALSE),"")</f>
        <v/>
      </c>
      <c r="Q442" s="266" t="b">
        <v>0</v>
      </c>
      <c r="R442" s="266" t="b">
        <v>0</v>
      </c>
    </row>
    <row r="443" spans="1:18" x14ac:dyDescent="0.3">
      <c r="A443" s="269" t="s">
        <v>3876</v>
      </c>
      <c r="B443" s="266"/>
      <c r="C443" s="266"/>
      <c r="D443" s="266">
        <v>0</v>
      </c>
      <c r="E443" s="266">
        <v>0</v>
      </c>
      <c r="F443" s="266">
        <v>0</v>
      </c>
      <c r="G443" s="269" t="s">
        <v>3877</v>
      </c>
      <c r="H443" s="266"/>
      <c r="I443" s="266" t="b">
        <v>0</v>
      </c>
      <c r="J443" s="157" t="b">
        <v>1</v>
      </c>
      <c r="K443" s="266" t="b">
        <v>1</v>
      </c>
      <c r="L443" s="266"/>
      <c r="M443" s="266"/>
      <c r="N443" s="258" t="str">
        <f>_xlfn.IFNA(VLOOKUP($M443,[1]Buff.CM!$A:$O,13,FALSE),"")</f>
        <v/>
      </c>
      <c r="O443" s="258" t="str">
        <f>_xlfn.IFNA(VLOOKUP($M443,[1]Buff.CM!$A:$O,14,FALSE),"")</f>
        <v/>
      </c>
      <c r="P443" s="258" t="str">
        <f>_xlfn.IFNA(VLOOKUP($M443,[1]Buff.CM!$A:$O,15,FALSE),"")</f>
        <v/>
      </c>
      <c r="Q443" s="266" t="b">
        <v>0</v>
      </c>
      <c r="R443" s="266" t="b">
        <v>0</v>
      </c>
    </row>
    <row r="444" spans="1:18" x14ac:dyDescent="0.3">
      <c r="A444" s="265" t="s">
        <v>3878</v>
      </c>
      <c r="B444" s="232"/>
      <c r="C444" s="232"/>
      <c r="D444" s="232">
        <v>0</v>
      </c>
      <c r="E444" s="232">
        <v>0</v>
      </c>
      <c r="F444" s="232">
        <v>0</v>
      </c>
      <c r="G444" s="265" t="s">
        <v>3879</v>
      </c>
      <c r="H444" s="232"/>
      <c r="I444" s="232" t="b">
        <v>0</v>
      </c>
      <c r="J444" s="157" t="b">
        <v>1</v>
      </c>
      <c r="K444" s="232" t="b">
        <v>1</v>
      </c>
      <c r="L444" s="232"/>
      <c r="M444" s="232"/>
      <c r="N444" s="232" t="str">
        <f>_xlfn.IFNA(VLOOKUP($M444,[1]Buff.CM!$A:$O,13,FALSE),"")</f>
        <v/>
      </c>
      <c r="O444" s="232" t="str">
        <f>_xlfn.IFNA(VLOOKUP($M444,[1]Buff.CM!$A:$O,14,FALSE),"")</f>
        <v/>
      </c>
      <c r="P444" s="232" t="str">
        <f>_xlfn.IFNA(VLOOKUP($M444,[1]Buff.CM!$A:$O,15,FALSE),"")</f>
        <v/>
      </c>
      <c r="Q444" s="232" t="b">
        <v>0</v>
      </c>
      <c r="R444" s="232" t="b">
        <v>0</v>
      </c>
    </row>
    <row r="445" spans="1:18" x14ac:dyDescent="0.3">
      <c r="A445" s="265" t="s">
        <v>3880</v>
      </c>
      <c r="B445" s="232"/>
      <c r="C445" s="232"/>
      <c r="D445" s="232">
        <v>0</v>
      </c>
      <c r="E445" s="232">
        <v>0</v>
      </c>
      <c r="F445" s="232">
        <v>0</v>
      </c>
      <c r="G445" s="265" t="s">
        <v>3881</v>
      </c>
      <c r="H445" s="232"/>
      <c r="I445" s="232" t="b">
        <v>0</v>
      </c>
      <c r="J445" s="157" t="b">
        <v>1</v>
      </c>
      <c r="K445" s="232" t="b">
        <v>1</v>
      </c>
      <c r="L445" s="232"/>
      <c r="M445" s="232"/>
      <c r="N445" s="232" t="str">
        <f>_xlfn.IFNA(VLOOKUP($M445,[1]Buff.CM!$A:$O,13,FALSE),"")</f>
        <v/>
      </c>
      <c r="O445" s="232" t="str">
        <f>_xlfn.IFNA(VLOOKUP($M445,[1]Buff.CM!$A:$O,14,FALSE),"")</f>
        <v/>
      </c>
      <c r="P445" s="232" t="str">
        <f>_xlfn.IFNA(VLOOKUP($M445,[1]Buff.CM!$A:$O,15,FALSE),"")</f>
        <v/>
      </c>
      <c r="Q445" s="232" t="b">
        <v>0</v>
      </c>
      <c r="R445" s="232" t="b">
        <v>0</v>
      </c>
    </row>
    <row r="446" spans="1:18" x14ac:dyDescent="0.3">
      <c r="A446" s="265" t="s">
        <v>3882</v>
      </c>
      <c r="B446" s="232"/>
      <c r="C446" s="232"/>
      <c r="D446" s="232">
        <v>0</v>
      </c>
      <c r="E446" s="232">
        <v>0</v>
      </c>
      <c r="F446" s="232">
        <v>0</v>
      </c>
      <c r="G446" s="265" t="s">
        <v>3883</v>
      </c>
      <c r="H446" s="232"/>
      <c r="I446" s="232" t="b">
        <v>0</v>
      </c>
      <c r="J446" s="157" t="b">
        <v>1</v>
      </c>
      <c r="K446" s="232" t="b">
        <v>1</v>
      </c>
      <c r="L446" s="232"/>
      <c r="M446" s="232"/>
      <c r="N446" s="232" t="str">
        <f>_xlfn.IFNA(VLOOKUP($M446,[1]Buff.CM!$A:$O,13,FALSE),"")</f>
        <v/>
      </c>
      <c r="O446" s="232" t="str">
        <f>_xlfn.IFNA(VLOOKUP($M446,[1]Buff.CM!$A:$O,14,FALSE),"")</f>
        <v/>
      </c>
      <c r="P446" s="232" t="str">
        <f>_xlfn.IFNA(VLOOKUP($M446,[1]Buff.CM!$A:$O,15,FALSE),"")</f>
        <v/>
      </c>
      <c r="Q446" s="232" t="b">
        <v>0</v>
      </c>
      <c r="R446" s="232" t="b">
        <v>0</v>
      </c>
    </row>
    <row r="447" spans="1:18" x14ac:dyDescent="0.3">
      <c r="A447" s="270" t="s">
        <v>3884</v>
      </c>
      <c r="B447" s="258"/>
      <c r="C447" s="258"/>
      <c r="D447" s="258">
        <v>0</v>
      </c>
      <c r="E447" s="258">
        <v>0</v>
      </c>
      <c r="F447" s="258">
        <v>0</v>
      </c>
      <c r="G447" s="270" t="s">
        <v>3885</v>
      </c>
      <c r="H447" s="258"/>
      <c r="I447" s="258" t="b">
        <v>0</v>
      </c>
      <c r="J447" s="157" t="b">
        <v>1</v>
      </c>
      <c r="K447" s="258" t="b">
        <v>0</v>
      </c>
      <c r="L447" s="258"/>
      <c r="M447" s="258"/>
      <c r="N447" s="258" t="str">
        <f>_xlfn.IFNA(VLOOKUP($M447,[1]Buff.CM!$A:$O,13,FALSE),"")</f>
        <v/>
      </c>
      <c r="O447" s="258" t="str">
        <f>_xlfn.IFNA(VLOOKUP($M447,[1]Buff.CM!$A:$O,14,FALSE),"")</f>
        <v/>
      </c>
      <c r="P447" s="258" t="str">
        <f>_xlfn.IFNA(VLOOKUP($M447,[1]Buff.CM!$A:$O,15,FALSE),"")</f>
        <v/>
      </c>
      <c r="Q447" s="258" t="b">
        <v>0</v>
      </c>
      <c r="R447" s="258" t="b">
        <v>0</v>
      </c>
    </row>
    <row r="448" spans="1:18" x14ac:dyDescent="0.3">
      <c r="A448" s="270" t="s">
        <v>3886</v>
      </c>
      <c r="B448" s="258"/>
      <c r="C448" s="258"/>
      <c r="D448" s="258">
        <v>0</v>
      </c>
      <c r="E448" s="258">
        <v>0</v>
      </c>
      <c r="F448" s="258">
        <v>0</v>
      </c>
      <c r="G448" s="270" t="s">
        <v>3887</v>
      </c>
      <c r="H448" s="258"/>
      <c r="I448" s="258" t="b">
        <v>0</v>
      </c>
      <c r="J448" s="157" t="b">
        <v>1</v>
      </c>
      <c r="K448" s="258" t="b">
        <v>0</v>
      </c>
      <c r="L448" s="258"/>
      <c r="M448" s="258"/>
      <c r="N448" s="258" t="str">
        <f>_xlfn.IFNA(VLOOKUP($M448,[1]Buff.CM!$A:$O,13,FALSE),"")</f>
        <v/>
      </c>
      <c r="O448" s="258" t="str">
        <f>_xlfn.IFNA(VLOOKUP($M448,[1]Buff.CM!$A:$O,14,FALSE),"")</f>
        <v/>
      </c>
      <c r="P448" s="258" t="str">
        <f>_xlfn.IFNA(VLOOKUP($M448,[1]Buff.CM!$A:$O,15,FALSE),"")</f>
        <v/>
      </c>
      <c r="Q448" s="258" t="b">
        <v>0</v>
      </c>
      <c r="R448" s="258" t="b">
        <v>0</v>
      </c>
    </row>
    <row r="449" spans="1:18" x14ac:dyDescent="0.3">
      <c r="A449" s="270" t="s">
        <v>3888</v>
      </c>
      <c r="B449" s="258"/>
      <c r="C449" s="258"/>
      <c r="D449" s="258">
        <v>0</v>
      </c>
      <c r="E449" s="258">
        <v>0</v>
      </c>
      <c r="F449" s="258">
        <v>0</v>
      </c>
      <c r="G449" s="270" t="s">
        <v>3889</v>
      </c>
      <c r="H449" s="258"/>
      <c r="I449" s="258" t="b">
        <v>0</v>
      </c>
      <c r="J449" s="157" t="b">
        <v>1</v>
      </c>
      <c r="K449" s="258" t="b">
        <v>0</v>
      </c>
      <c r="L449" s="258"/>
      <c r="M449" s="258"/>
      <c r="N449" s="258" t="str">
        <f>_xlfn.IFNA(VLOOKUP($M449,[1]Buff.CM!$A:$O,13,FALSE),"")</f>
        <v/>
      </c>
      <c r="O449" s="258" t="str">
        <f>_xlfn.IFNA(VLOOKUP($M449,[1]Buff.CM!$A:$O,14,FALSE),"")</f>
        <v/>
      </c>
      <c r="P449" s="258" t="str">
        <f>_xlfn.IFNA(VLOOKUP($M449,[1]Buff.CM!$A:$O,15,FALSE),"")</f>
        <v/>
      </c>
      <c r="Q449" s="258" t="b">
        <v>0</v>
      </c>
      <c r="R449" s="258" t="b">
        <v>0</v>
      </c>
    </row>
    <row r="450" spans="1:18" x14ac:dyDescent="0.3">
      <c r="A450" s="265" t="s">
        <v>3890</v>
      </c>
      <c r="B450" s="232"/>
      <c r="C450" s="232"/>
      <c r="D450" s="232">
        <v>0</v>
      </c>
      <c r="E450" s="232">
        <v>0</v>
      </c>
      <c r="F450" s="232">
        <v>0</v>
      </c>
      <c r="G450" s="265" t="s">
        <v>3891</v>
      </c>
      <c r="H450" s="232"/>
      <c r="I450" s="232" t="b">
        <v>0</v>
      </c>
      <c r="J450" s="157" t="b">
        <v>1</v>
      </c>
      <c r="K450" s="232" t="b">
        <v>0</v>
      </c>
      <c r="L450" s="232"/>
      <c r="M450" s="232"/>
      <c r="N450" s="232" t="str">
        <f>_xlfn.IFNA(VLOOKUP($M450,[1]Buff.CM!$A:$O,13,FALSE),"")</f>
        <v/>
      </c>
      <c r="O450" s="232" t="str">
        <f>_xlfn.IFNA(VLOOKUP($M450,[1]Buff.CM!$A:$O,14,FALSE),"")</f>
        <v/>
      </c>
      <c r="P450" s="232" t="str">
        <f>_xlfn.IFNA(VLOOKUP($M450,[1]Buff.CM!$A:$O,15,FALSE),"")</f>
        <v/>
      </c>
      <c r="Q450" s="232" t="b">
        <v>0</v>
      </c>
      <c r="R450" s="232" t="b">
        <v>0</v>
      </c>
    </row>
    <row r="451" spans="1:18" x14ac:dyDescent="0.3">
      <c r="A451" s="265" t="s">
        <v>3892</v>
      </c>
      <c r="B451" s="232"/>
      <c r="C451" s="232"/>
      <c r="D451" s="232">
        <v>0</v>
      </c>
      <c r="E451" s="232">
        <v>0</v>
      </c>
      <c r="F451" s="232">
        <v>0</v>
      </c>
      <c r="G451" s="265" t="s">
        <v>3893</v>
      </c>
      <c r="H451" s="232"/>
      <c r="I451" s="232" t="b">
        <v>0</v>
      </c>
      <c r="J451" s="157" t="b">
        <v>1</v>
      </c>
      <c r="K451" s="232" t="b">
        <v>0</v>
      </c>
      <c r="L451" s="232"/>
      <c r="M451" s="232"/>
      <c r="N451" s="232" t="str">
        <f>_xlfn.IFNA(VLOOKUP($M451,[1]Buff.CM!$A:$O,13,FALSE),"")</f>
        <v/>
      </c>
      <c r="O451" s="232" t="str">
        <f>_xlfn.IFNA(VLOOKUP($M451,[1]Buff.CM!$A:$O,14,FALSE),"")</f>
        <v/>
      </c>
      <c r="P451" s="232" t="str">
        <f>_xlfn.IFNA(VLOOKUP($M451,[1]Buff.CM!$A:$O,15,FALSE),"")</f>
        <v/>
      </c>
      <c r="Q451" s="232" t="b">
        <v>0</v>
      </c>
      <c r="R451" s="232" t="b">
        <v>0</v>
      </c>
    </row>
    <row r="452" spans="1:18" x14ac:dyDescent="0.3">
      <c r="A452" s="265" t="s">
        <v>3894</v>
      </c>
      <c r="B452" s="232"/>
      <c r="C452" s="232"/>
      <c r="D452" s="232">
        <v>0</v>
      </c>
      <c r="E452" s="232">
        <v>0</v>
      </c>
      <c r="F452" s="232">
        <v>0</v>
      </c>
      <c r="G452" s="265" t="s">
        <v>3895</v>
      </c>
      <c r="H452" s="232"/>
      <c r="I452" s="232" t="b">
        <v>0</v>
      </c>
      <c r="J452" s="157" t="b">
        <v>1</v>
      </c>
      <c r="K452" s="232" t="b">
        <v>0</v>
      </c>
      <c r="L452" s="232"/>
      <c r="M452" s="232"/>
      <c r="N452" s="232" t="str">
        <f>_xlfn.IFNA(VLOOKUP($M452,[1]Buff.CM!$A:$O,13,FALSE),"")</f>
        <v/>
      </c>
      <c r="O452" s="232" t="str">
        <f>_xlfn.IFNA(VLOOKUP($M452,[1]Buff.CM!$A:$O,14,FALSE),"")</f>
        <v/>
      </c>
      <c r="P452" s="232" t="str">
        <f>_xlfn.IFNA(VLOOKUP($M452,[1]Buff.CM!$A:$O,15,FALSE),"")</f>
        <v/>
      </c>
      <c r="Q452" s="232" t="b">
        <v>0</v>
      </c>
      <c r="R452" s="232" t="b">
        <v>0</v>
      </c>
    </row>
    <row r="453" spans="1:18" x14ac:dyDescent="0.3">
      <c r="A453" s="269" t="s">
        <v>3896</v>
      </c>
      <c r="B453" s="266"/>
      <c r="C453" s="266"/>
      <c r="D453" s="266">
        <v>0</v>
      </c>
      <c r="E453" s="266">
        <v>0</v>
      </c>
      <c r="F453" s="266">
        <v>0</v>
      </c>
      <c r="G453" s="269" t="s">
        <v>3897</v>
      </c>
      <c r="H453" s="266"/>
      <c r="I453" s="266" t="b">
        <v>0</v>
      </c>
      <c r="J453" s="157" t="b">
        <v>1</v>
      </c>
      <c r="K453" s="266" t="b">
        <v>1</v>
      </c>
      <c r="L453" s="266"/>
      <c r="M453" s="266"/>
      <c r="N453" s="258" t="str">
        <f>_xlfn.IFNA(VLOOKUP($M453,[1]Buff.CM!$A:$O,13,FALSE),"")</f>
        <v/>
      </c>
      <c r="O453" s="258" t="str">
        <f>_xlfn.IFNA(VLOOKUP($M453,[1]Buff.CM!$A:$O,14,FALSE),"")</f>
        <v/>
      </c>
      <c r="P453" s="258" t="str">
        <f>_xlfn.IFNA(VLOOKUP($M453,[1]Buff.CM!$A:$O,15,FALSE),"")</f>
        <v/>
      </c>
      <c r="Q453" s="266" t="b">
        <v>0</v>
      </c>
      <c r="R453" s="266" t="b">
        <v>0</v>
      </c>
    </row>
    <row r="454" spans="1:18" x14ac:dyDescent="0.3">
      <c r="A454" s="269" t="s">
        <v>3898</v>
      </c>
      <c r="B454" s="266"/>
      <c r="C454" s="266"/>
      <c r="D454" s="266">
        <v>0</v>
      </c>
      <c r="E454" s="266">
        <v>0</v>
      </c>
      <c r="F454" s="266">
        <v>0</v>
      </c>
      <c r="G454" s="269" t="s">
        <v>3899</v>
      </c>
      <c r="H454" s="266"/>
      <c r="I454" s="266" t="b">
        <v>0</v>
      </c>
      <c r="J454" s="157" t="b">
        <v>1</v>
      </c>
      <c r="K454" s="266" t="b">
        <v>1</v>
      </c>
      <c r="L454" s="266"/>
      <c r="M454" s="266"/>
      <c r="N454" s="258" t="str">
        <f>_xlfn.IFNA(VLOOKUP($M454,[1]Buff.CM!$A:$O,13,FALSE),"")</f>
        <v/>
      </c>
      <c r="O454" s="258" t="str">
        <f>_xlfn.IFNA(VLOOKUP($M454,[1]Buff.CM!$A:$O,14,FALSE),"")</f>
        <v/>
      </c>
      <c r="P454" s="258" t="str">
        <f>_xlfn.IFNA(VLOOKUP($M454,[1]Buff.CM!$A:$O,15,FALSE),"")</f>
        <v/>
      </c>
      <c r="Q454" s="266" t="b">
        <v>0</v>
      </c>
      <c r="R454" s="266" t="b">
        <v>0</v>
      </c>
    </row>
    <row r="455" spans="1:18" x14ac:dyDescent="0.3">
      <c r="A455" s="269" t="s">
        <v>3900</v>
      </c>
      <c r="B455" s="266"/>
      <c r="C455" s="266"/>
      <c r="D455" s="266">
        <v>0</v>
      </c>
      <c r="E455" s="266">
        <v>0</v>
      </c>
      <c r="F455" s="266">
        <v>0</v>
      </c>
      <c r="G455" s="269" t="s">
        <v>3901</v>
      </c>
      <c r="H455" s="266"/>
      <c r="I455" s="266" t="b">
        <v>0</v>
      </c>
      <c r="J455" s="157" t="b">
        <v>1</v>
      </c>
      <c r="K455" s="266" t="b">
        <v>1</v>
      </c>
      <c r="L455" s="266"/>
      <c r="M455" s="266"/>
      <c r="N455" s="258" t="str">
        <f>_xlfn.IFNA(VLOOKUP($M455,[1]Buff.CM!$A:$O,13,FALSE),"")</f>
        <v/>
      </c>
      <c r="O455" s="258" t="str">
        <f>_xlfn.IFNA(VLOOKUP($M455,[1]Buff.CM!$A:$O,14,FALSE),"")</f>
        <v/>
      </c>
      <c r="P455" s="258" t="str">
        <f>_xlfn.IFNA(VLOOKUP($M455,[1]Buff.CM!$A:$O,15,FALSE),"")</f>
        <v/>
      </c>
      <c r="Q455" s="266" t="b">
        <v>0</v>
      </c>
      <c r="R455" s="266" t="b">
        <v>0</v>
      </c>
    </row>
    <row r="456" spans="1:18" x14ac:dyDescent="0.3">
      <c r="A456" s="265" t="s">
        <v>3902</v>
      </c>
      <c r="B456" s="232"/>
      <c r="C456" s="232"/>
      <c r="D456" s="232">
        <v>0</v>
      </c>
      <c r="E456" s="232">
        <v>0</v>
      </c>
      <c r="F456" s="232">
        <v>0</v>
      </c>
      <c r="G456" s="265" t="s">
        <v>3903</v>
      </c>
      <c r="H456" s="232"/>
      <c r="I456" s="232" t="b">
        <v>0</v>
      </c>
      <c r="J456" s="157" t="b">
        <v>1</v>
      </c>
      <c r="K456" s="232" t="b">
        <v>1</v>
      </c>
      <c r="L456" s="232"/>
      <c r="M456" s="232"/>
      <c r="N456" s="232" t="str">
        <f>_xlfn.IFNA(VLOOKUP($M456,[1]Buff.CM!$A:$O,13,FALSE),"")</f>
        <v/>
      </c>
      <c r="O456" s="232" t="str">
        <f>_xlfn.IFNA(VLOOKUP($M456,[1]Buff.CM!$A:$O,14,FALSE),"")</f>
        <v/>
      </c>
      <c r="P456" s="232" t="str">
        <f>_xlfn.IFNA(VLOOKUP($M456,[1]Buff.CM!$A:$O,15,FALSE),"")</f>
        <v/>
      </c>
      <c r="Q456" s="232" t="b">
        <v>0</v>
      </c>
      <c r="R456" s="232" t="b">
        <v>0</v>
      </c>
    </row>
    <row r="457" spans="1:18" x14ac:dyDescent="0.3">
      <c r="A457" s="265" t="s">
        <v>3904</v>
      </c>
      <c r="B457" s="232"/>
      <c r="C457" s="232"/>
      <c r="D457" s="232">
        <v>0</v>
      </c>
      <c r="E457" s="232">
        <v>0</v>
      </c>
      <c r="F457" s="232">
        <v>0</v>
      </c>
      <c r="G457" s="265" t="s">
        <v>3905</v>
      </c>
      <c r="H457" s="232"/>
      <c r="I457" s="232" t="b">
        <v>0</v>
      </c>
      <c r="J457" s="157" t="b">
        <v>1</v>
      </c>
      <c r="K457" s="232" t="b">
        <v>1</v>
      </c>
      <c r="L457" s="232"/>
      <c r="M457" s="232"/>
      <c r="N457" s="232" t="str">
        <f>_xlfn.IFNA(VLOOKUP($M457,[1]Buff.CM!$A:$O,13,FALSE),"")</f>
        <v/>
      </c>
      <c r="O457" s="232" t="str">
        <f>_xlfn.IFNA(VLOOKUP($M457,[1]Buff.CM!$A:$O,14,FALSE),"")</f>
        <v/>
      </c>
      <c r="P457" s="232" t="str">
        <f>_xlfn.IFNA(VLOOKUP($M457,[1]Buff.CM!$A:$O,15,FALSE),"")</f>
        <v/>
      </c>
      <c r="Q457" s="232" t="b">
        <v>0</v>
      </c>
      <c r="R457" s="232" t="b">
        <v>0</v>
      </c>
    </row>
    <row r="458" spans="1:18" x14ac:dyDescent="0.3">
      <c r="A458" s="265" t="s">
        <v>3906</v>
      </c>
      <c r="B458" s="232"/>
      <c r="C458" s="232"/>
      <c r="D458" s="232">
        <v>0</v>
      </c>
      <c r="E458" s="232">
        <v>0</v>
      </c>
      <c r="F458" s="232">
        <v>0</v>
      </c>
      <c r="G458" s="265" t="s">
        <v>3907</v>
      </c>
      <c r="H458" s="232"/>
      <c r="I458" s="232" t="b">
        <v>0</v>
      </c>
      <c r="J458" s="157" t="b">
        <v>1</v>
      </c>
      <c r="K458" s="232" t="b">
        <v>1</v>
      </c>
      <c r="L458" s="232"/>
      <c r="M458" s="232"/>
      <c r="N458" s="232" t="str">
        <f>_xlfn.IFNA(VLOOKUP($M458,[1]Buff.CM!$A:$O,13,FALSE),"")</f>
        <v/>
      </c>
      <c r="O458" s="232" t="str">
        <f>_xlfn.IFNA(VLOOKUP($M458,[1]Buff.CM!$A:$O,14,FALSE),"")</f>
        <v/>
      </c>
      <c r="P458" s="232" t="str">
        <f>_xlfn.IFNA(VLOOKUP($M458,[1]Buff.CM!$A:$O,15,FALSE),"")</f>
        <v/>
      </c>
      <c r="Q458" s="232" t="b">
        <v>0</v>
      </c>
      <c r="R458" s="232" t="b">
        <v>0</v>
      </c>
    </row>
    <row r="459" spans="1:18" x14ac:dyDescent="0.3">
      <c r="A459" s="269" t="s">
        <v>3908</v>
      </c>
      <c r="B459" s="266"/>
      <c r="C459" s="266"/>
      <c r="D459" s="266">
        <v>15000</v>
      </c>
      <c r="E459" s="266">
        <v>0</v>
      </c>
      <c r="F459" s="266">
        <v>0</v>
      </c>
      <c r="G459" s="269" t="s">
        <v>3909</v>
      </c>
      <c r="H459" s="266"/>
      <c r="I459" s="266" t="b">
        <v>0</v>
      </c>
      <c r="J459" s="266" t="b">
        <v>0</v>
      </c>
      <c r="K459" s="266" t="b">
        <v>1</v>
      </c>
      <c r="L459" s="266" t="s">
        <v>63</v>
      </c>
      <c r="M459" s="266" t="s">
        <v>3910</v>
      </c>
      <c r="N459" s="258" t="str">
        <f>_xlfn.IFNA(VLOOKUP($M459,[1]Buff.CM!$A:$O,13,FALSE),"")</f>
        <v/>
      </c>
      <c r="O459" s="258" t="str">
        <f>_xlfn.IFNA(VLOOKUP($M459,[1]Buff.CM!$A:$O,14,FALSE),"")</f>
        <v/>
      </c>
      <c r="P459" s="258" t="str">
        <f>_xlfn.IFNA(VLOOKUP($M459,[1]Buff.CM!$A:$O,15,FALSE),"")</f>
        <v/>
      </c>
      <c r="Q459" s="266" t="b">
        <v>0</v>
      </c>
      <c r="R459" s="266" t="b">
        <v>0</v>
      </c>
    </row>
    <row r="460" spans="1:18" x14ac:dyDescent="0.3">
      <c r="A460" s="269" t="s">
        <v>3911</v>
      </c>
      <c r="B460" s="266"/>
      <c r="C460" s="266"/>
      <c r="D460" s="266">
        <v>15000</v>
      </c>
      <c r="E460" s="266">
        <v>0</v>
      </c>
      <c r="F460" s="266">
        <v>0</v>
      </c>
      <c r="G460" s="269" t="s">
        <v>3912</v>
      </c>
      <c r="H460" s="266"/>
      <c r="I460" s="266" t="b">
        <v>0</v>
      </c>
      <c r="J460" s="266" t="b">
        <v>0</v>
      </c>
      <c r="K460" s="266" t="b">
        <v>1</v>
      </c>
      <c r="L460" s="266" t="s">
        <v>63</v>
      </c>
      <c r="M460" s="266" t="s">
        <v>3910</v>
      </c>
      <c r="N460" s="258" t="str">
        <f>_xlfn.IFNA(VLOOKUP($M460,[1]Buff.CM!$A:$O,13,FALSE),"")</f>
        <v/>
      </c>
      <c r="O460" s="258" t="str">
        <f>_xlfn.IFNA(VLOOKUP($M460,[1]Buff.CM!$A:$O,14,FALSE),"")</f>
        <v/>
      </c>
      <c r="P460" s="258" t="str">
        <f>_xlfn.IFNA(VLOOKUP($M460,[1]Buff.CM!$A:$O,15,FALSE),"")</f>
        <v/>
      </c>
      <c r="Q460" s="266" t="b">
        <v>0</v>
      </c>
      <c r="R460" s="266" t="b">
        <v>0</v>
      </c>
    </row>
    <row r="461" spans="1:18" x14ac:dyDescent="0.3">
      <c r="A461" s="269" t="s">
        <v>3913</v>
      </c>
      <c r="B461" s="266"/>
      <c r="C461" s="266"/>
      <c r="D461" s="266">
        <v>15000</v>
      </c>
      <c r="E461" s="266">
        <v>0</v>
      </c>
      <c r="F461" s="266">
        <v>0</v>
      </c>
      <c r="G461" s="269" t="s">
        <v>3914</v>
      </c>
      <c r="H461" s="266"/>
      <c r="I461" s="266" t="b">
        <v>0</v>
      </c>
      <c r="J461" s="266" t="b">
        <v>0</v>
      </c>
      <c r="K461" s="266" t="b">
        <v>1</v>
      </c>
      <c r="L461" s="266" t="s">
        <v>63</v>
      </c>
      <c r="M461" s="266" t="s">
        <v>3910</v>
      </c>
      <c r="N461" s="258" t="str">
        <f>_xlfn.IFNA(VLOOKUP($M461,[1]Buff.CM!$A:$O,13,FALSE),"")</f>
        <v/>
      </c>
      <c r="O461" s="258" t="str">
        <f>_xlfn.IFNA(VLOOKUP($M461,[1]Buff.CM!$A:$O,14,FALSE),"")</f>
        <v/>
      </c>
      <c r="P461" s="258" t="str">
        <f>_xlfn.IFNA(VLOOKUP($M461,[1]Buff.CM!$A:$O,15,FALSE),"")</f>
        <v/>
      </c>
      <c r="Q461" s="266" t="b">
        <v>0</v>
      </c>
      <c r="R461" s="266" t="b">
        <v>0</v>
      </c>
    </row>
    <row r="462" spans="1:18" x14ac:dyDescent="0.3">
      <c r="A462" s="265" t="s">
        <v>3915</v>
      </c>
      <c r="B462" s="232"/>
      <c r="C462" s="232"/>
      <c r="D462" s="232">
        <v>15000</v>
      </c>
      <c r="E462" s="232">
        <v>0</v>
      </c>
      <c r="F462" s="232">
        <v>0</v>
      </c>
      <c r="G462" s="265" t="s">
        <v>3916</v>
      </c>
      <c r="H462" s="232"/>
      <c r="I462" s="232" t="b">
        <v>0</v>
      </c>
      <c r="J462" s="232" t="b">
        <v>0</v>
      </c>
      <c r="K462" s="232" t="b">
        <v>1</v>
      </c>
      <c r="L462" s="232" t="s">
        <v>63</v>
      </c>
      <c r="M462" s="232" t="s">
        <v>3910</v>
      </c>
      <c r="N462" s="232" t="str">
        <f>_xlfn.IFNA(VLOOKUP($M462,[1]Buff.CM!$A:$O,13,FALSE),"")</f>
        <v/>
      </c>
      <c r="O462" s="232" t="str">
        <f>_xlfn.IFNA(VLOOKUP($M462,[1]Buff.CM!$A:$O,14,FALSE),"")</f>
        <v/>
      </c>
      <c r="P462" s="232" t="str">
        <f>_xlfn.IFNA(VLOOKUP($M462,[1]Buff.CM!$A:$O,15,FALSE),"")</f>
        <v/>
      </c>
      <c r="Q462" s="232" t="b">
        <v>0</v>
      </c>
      <c r="R462" s="232" t="b">
        <v>0</v>
      </c>
    </row>
    <row r="463" spans="1:18" x14ac:dyDescent="0.3">
      <c r="A463" s="265" t="s">
        <v>3917</v>
      </c>
      <c r="B463" s="232"/>
      <c r="C463" s="232"/>
      <c r="D463" s="232">
        <v>15000</v>
      </c>
      <c r="E463" s="232">
        <v>0</v>
      </c>
      <c r="F463" s="232">
        <v>0</v>
      </c>
      <c r="G463" s="265" t="s">
        <v>3918</v>
      </c>
      <c r="H463" s="232"/>
      <c r="I463" s="232" t="b">
        <v>0</v>
      </c>
      <c r="J463" s="232" t="b">
        <v>0</v>
      </c>
      <c r="K463" s="232" t="b">
        <v>1</v>
      </c>
      <c r="L463" s="232" t="s">
        <v>63</v>
      </c>
      <c r="M463" s="232" t="s">
        <v>3910</v>
      </c>
      <c r="N463" s="232" t="str">
        <f>_xlfn.IFNA(VLOOKUP($M463,[1]Buff.CM!$A:$O,13,FALSE),"")</f>
        <v/>
      </c>
      <c r="O463" s="232" t="str">
        <f>_xlfn.IFNA(VLOOKUP($M463,[1]Buff.CM!$A:$O,14,FALSE),"")</f>
        <v/>
      </c>
      <c r="P463" s="232" t="str">
        <f>_xlfn.IFNA(VLOOKUP($M463,[1]Buff.CM!$A:$O,15,FALSE),"")</f>
        <v/>
      </c>
      <c r="Q463" s="232" t="b">
        <v>0</v>
      </c>
      <c r="R463" s="232" t="b">
        <v>0</v>
      </c>
    </row>
    <row r="464" spans="1:18" x14ac:dyDescent="0.3">
      <c r="A464" s="265" t="s">
        <v>3919</v>
      </c>
      <c r="B464" s="232"/>
      <c r="C464" s="232"/>
      <c r="D464" s="232">
        <v>15000</v>
      </c>
      <c r="E464" s="232">
        <v>0</v>
      </c>
      <c r="F464" s="232">
        <v>0</v>
      </c>
      <c r="G464" s="265" t="s">
        <v>3920</v>
      </c>
      <c r="H464" s="232"/>
      <c r="I464" s="232" t="b">
        <v>0</v>
      </c>
      <c r="J464" s="232" t="b">
        <v>0</v>
      </c>
      <c r="K464" s="232" t="b">
        <v>1</v>
      </c>
      <c r="L464" s="232" t="s">
        <v>63</v>
      </c>
      <c r="M464" s="232" t="s">
        <v>3910</v>
      </c>
      <c r="N464" s="232" t="str">
        <f>_xlfn.IFNA(VLOOKUP($M464,[1]Buff.CM!$A:$O,13,FALSE),"")</f>
        <v/>
      </c>
      <c r="O464" s="232" t="str">
        <f>_xlfn.IFNA(VLOOKUP($M464,[1]Buff.CM!$A:$O,14,FALSE),"")</f>
        <v/>
      </c>
      <c r="P464" s="232" t="str">
        <f>_xlfn.IFNA(VLOOKUP($M464,[1]Buff.CM!$A:$O,15,FALSE),"")</f>
        <v/>
      </c>
      <c r="Q464" s="232" t="b">
        <v>0</v>
      </c>
      <c r="R464" s="232" t="b">
        <v>0</v>
      </c>
    </row>
    <row r="465" spans="1:18" x14ac:dyDescent="0.3">
      <c r="A465" s="32"/>
      <c r="B465" s="31"/>
      <c r="C465" s="31"/>
      <c r="D465" s="29"/>
      <c r="E465" s="29"/>
      <c r="F465" s="29"/>
      <c r="G465" s="175"/>
      <c r="H465" s="29"/>
      <c r="I465" s="56"/>
      <c r="J465" s="56"/>
      <c r="K465" s="56"/>
      <c r="L465" s="29"/>
      <c r="M465" s="29"/>
      <c r="N465" s="29"/>
      <c r="O465" s="29"/>
      <c r="P465" s="29"/>
      <c r="Q465" s="29"/>
      <c r="R465" s="56"/>
    </row>
    <row r="466" spans="1:18" ht="33" x14ac:dyDescent="0.3">
      <c r="A466" s="231" t="s">
        <v>2776</v>
      </c>
      <c r="B466" s="231"/>
      <c r="C466" s="231"/>
      <c r="D466" s="231">
        <v>3000</v>
      </c>
      <c r="E466" s="231">
        <v>0</v>
      </c>
      <c r="F466" s="231">
        <v>0</v>
      </c>
      <c r="G466" s="242" t="s">
        <v>2777</v>
      </c>
      <c r="H466" s="231"/>
      <c r="I466" s="231" t="b">
        <v>1</v>
      </c>
      <c r="J466" s="231" t="b">
        <v>0</v>
      </c>
      <c r="K466" s="231" t="b">
        <v>1</v>
      </c>
      <c r="L466" s="231" t="s">
        <v>2246</v>
      </c>
      <c r="M466" s="231" t="s">
        <v>3366</v>
      </c>
      <c r="N466" s="231" t="str">
        <f>_xlfn.IFNA(VLOOKUP($M466,[1]Buff.CM!$A:$O,13,FALSE),"")</f>
        <v>icon_battle_yurizia_buff_01</v>
      </c>
      <c r="O466" s="231" t="str">
        <f>_xlfn.IFNA(VLOOKUP($M466,[1]Buff.CM!$A:$O,14,FALSE),"")</f>
        <v>info.yurizia.buff.8bitegloo</v>
      </c>
      <c r="P466" s="231" t="str">
        <f>_xlfn.IFNA(VLOOKUP($M466,[1]Buff.CM!$A:$O,15,FALSE),"")</f>
        <v>Desc.info.yurizia.buff.8bitegloo</v>
      </c>
      <c r="Q466" s="231" t="b">
        <v>0</v>
      </c>
      <c r="R466" s="231" t="b">
        <v>0</v>
      </c>
    </row>
    <row r="467" spans="1:18" ht="33" x14ac:dyDescent="0.3">
      <c r="A467" s="231" t="s">
        <v>2778</v>
      </c>
      <c r="B467" s="231"/>
      <c r="C467" s="231"/>
      <c r="D467" s="231">
        <v>3000</v>
      </c>
      <c r="E467" s="231">
        <v>0</v>
      </c>
      <c r="F467" s="231">
        <v>0</v>
      </c>
      <c r="G467" s="242" t="s">
        <v>2779</v>
      </c>
      <c r="H467" s="231"/>
      <c r="I467" s="231" t="b">
        <v>1</v>
      </c>
      <c r="J467" s="231" t="b">
        <v>0</v>
      </c>
      <c r="K467" s="231" t="b">
        <v>1</v>
      </c>
      <c r="L467" s="231" t="s">
        <v>2246</v>
      </c>
      <c r="M467" s="231" t="s">
        <v>3366</v>
      </c>
      <c r="N467" s="231" t="str">
        <f>_xlfn.IFNA(VLOOKUP($M467,[1]Buff.CM!$A:$O,13,FALSE),"")</f>
        <v>icon_battle_yurizia_buff_01</v>
      </c>
      <c r="O467" s="231" t="str">
        <f>_xlfn.IFNA(VLOOKUP($M467,[1]Buff.CM!$A:$O,14,FALSE),"")</f>
        <v>info.yurizia.buff.8bitegloo</v>
      </c>
      <c r="P467" s="231" t="str">
        <f>_xlfn.IFNA(VLOOKUP($M467,[1]Buff.CM!$A:$O,15,FALSE),"")</f>
        <v>Desc.info.yurizia.buff.8bitegloo</v>
      </c>
      <c r="Q467" s="231" t="b">
        <v>0</v>
      </c>
      <c r="R467" s="231" t="b">
        <v>0</v>
      </c>
    </row>
    <row r="468" spans="1:18" ht="33" x14ac:dyDescent="0.3">
      <c r="A468" s="231" t="s">
        <v>2780</v>
      </c>
      <c r="B468" s="231"/>
      <c r="C468" s="231"/>
      <c r="D468" s="231">
        <v>3000</v>
      </c>
      <c r="E468" s="231">
        <v>0</v>
      </c>
      <c r="F468" s="231">
        <v>0</v>
      </c>
      <c r="G468" s="242" t="s">
        <v>2781</v>
      </c>
      <c r="H468" s="231"/>
      <c r="I468" s="231" t="b">
        <v>1</v>
      </c>
      <c r="J468" s="231" t="b">
        <v>0</v>
      </c>
      <c r="K468" s="231" t="b">
        <v>1</v>
      </c>
      <c r="L468" s="231" t="s">
        <v>2246</v>
      </c>
      <c r="M468" s="231" t="s">
        <v>3366</v>
      </c>
      <c r="N468" s="231" t="str">
        <f>_xlfn.IFNA(VLOOKUP($M468,[1]Buff.CM!$A:$O,13,FALSE),"")</f>
        <v>icon_battle_yurizia_buff_01</v>
      </c>
      <c r="O468" s="231" t="str">
        <f>_xlfn.IFNA(VLOOKUP($M468,[1]Buff.CM!$A:$O,14,FALSE),"")</f>
        <v>info.yurizia.buff.8bitegloo</v>
      </c>
      <c r="P468" s="231" t="str">
        <f>_xlfn.IFNA(VLOOKUP($M468,[1]Buff.CM!$A:$O,15,FALSE),"")</f>
        <v>Desc.info.yurizia.buff.8bitegloo</v>
      </c>
      <c r="Q468" s="231" t="b">
        <v>0</v>
      </c>
      <c r="R468" s="231" t="b">
        <v>0</v>
      </c>
    </row>
    <row r="469" spans="1:18" ht="33" x14ac:dyDescent="0.3">
      <c r="A469" s="231" t="s">
        <v>2782</v>
      </c>
      <c r="B469" s="231"/>
      <c r="C469" s="231"/>
      <c r="D469" s="231">
        <v>3000</v>
      </c>
      <c r="E469" s="231">
        <v>0</v>
      </c>
      <c r="F469" s="231">
        <v>0</v>
      </c>
      <c r="G469" s="242" t="s">
        <v>2783</v>
      </c>
      <c r="H469" s="231"/>
      <c r="I469" s="231" t="b">
        <v>1</v>
      </c>
      <c r="J469" s="231" t="b">
        <v>0</v>
      </c>
      <c r="K469" s="231" t="b">
        <v>1</v>
      </c>
      <c r="L469" s="231" t="s">
        <v>2246</v>
      </c>
      <c r="M469" s="231" t="s">
        <v>3366</v>
      </c>
      <c r="N469" s="231" t="str">
        <f>_xlfn.IFNA(VLOOKUP($M469,[1]Buff.CM!$A:$O,13,FALSE),"")</f>
        <v>icon_battle_yurizia_buff_01</v>
      </c>
      <c r="O469" s="231" t="str">
        <f>_xlfn.IFNA(VLOOKUP($M469,[1]Buff.CM!$A:$O,14,FALSE),"")</f>
        <v>info.yurizia.buff.8bitegloo</v>
      </c>
      <c r="P469" s="231" t="str">
        <f>_xlfn.IFNA(VLOOKUP($M469,[1]Buff.CM!$A:$O,15,FALSE),"")</f>
        <v>Desc.info.yurizia.buff.8bitegloo</v>
      </c>
      <c r="Q469" s="231" t="b">
        <v>0</v>
      </c>
      <c r="R469" s="231" t="b">
        <v>0</v>
      </c>
    </row>
    <row r="470" spans="1:18" ht="33" x14ac:dyDescent="0.3">
      <c r="A470" s="231" t="s">
        <v>2784</v>
      </c>
      <c r="B470" s="231"/>
      <c r="C470" s="231"/>
      <c r="D470" s="231">
        <v>3000</v>
      </c>
      <c r="E470" s="231">
        <v>0</v>
      </c>
      <c r="F470" s="231">
        <v>0</v>
      </c>
      <c r="G470" s="242" t="s">
        <v>2785</v>
      </c>
      <c r="H470" s="231"/>
      <c r="I470" s="231" t="b">
        <v>1</v>
      </c>
      <c r="J470" s="231" t="b">
        <v>0</v>
      </c>
      <c r="K470" s="231" t="b">
        <v>1</v>
      </c>
      <c r="L470" s="231" t="s">
        <v>2246</v>
      </c>
      <c r="M470" s="231" t="s">
        <v>3366</v>
      </c>
      <c r="N470" s="231" t="str">
        <f>_xlfn.IFNA(VLOOKUP($M470,[1]Buff.CM!$A:$O,13,FALSE),"")</f>
        <v>icon_battle_yurizia_buff_01</v>
      </c>
      <c r="O470" s="231" t="str">
        <f>_xlfn.IFNA(VLOOKUP($M470,[1]Buff.CM!$A:$O,14,FALSE),"")</f>
        <v>info.yurizia.buff.8bitegloo</v>
      </c>
      <c r="P470" s="231" t="str">
        <f>_xlfn.IFNA(VLOOKUP($M470,[1]Buff.CM!$A:$O,15,FALSE),"")</f>
        <v>Desc.info.yurizia.buff.8bitegloo</v>
      </c>
      <c r="Q470" s="231" t="b">
        <v>0</v>
      </c>
      <c r="R470" s="231" t="b">
        <v>0</v>
      </c>
    </row>
    <row r="471" spans="1:18" ht="33" x14ac:dyDescent="0.3">
      <c r="A471" s="231" t="s">
        <v>2786</v>
      </c>
      <c r="B471" s="231"/>
      <c r="C471" s="231"/>
      <c r="D471" s="231">
        <v>3000</v>
      </c>
      <c r="E471" s="231">
        <v>0</v>
      </c>
      <c r="F471" s="231">
        <v>0</v>
      </c>
      <c r="G471" s="242" t="s">
        <v>2787</v>
      </c>
      <c r="H471" s="231"/>
      <c r="I471" s="231" t="b">
        <v>1</v>
      </c>
      <c r="J471" s="231" t="b">
        <v>0</v>
      </c>
      <c r="K471" s="231" t="b">
        <v>1</v>
      </c>
      <c r="L471" s="231" t="s">
        <v>2246</v>
      </c>
      <c r="M471" s="231" t="s">
        <v>3366</v>
      </c>
      <c r="N471" s="231" t="str">
        <f>_xlfn.IFNA(VLOOKUP($M471,[1]Buff.CM!$A:$O,13,FALSE),"")</f>
        <v>icon_battle_yurizia_buff_01</v>
      </c>
      <c r="O471" s="231" t="str">
        <f>_xlfn.IFNA(VLOOKUP($M471,[1]Buff.CM!$A:$O,14,FALSE),"")</f>
        <v>info.yurizia.buff.8bitegloo</v>
      </c>
      <c r="P471" s="231" t="str">
        <f>_xlfn.IFNA(VLOOKUP($M471,[1]Buff.CM!$A:$O,15,FALSE),"")</f>
        <v>Desc.info.yurizia.buff.8bitegloo</v>
      </c>
      <c r="Q471" s="231" t="b">
        <v>0</v>
      </c>
      <c r="R471" s="231" t="b">
        <v>0</v>
      </c>
    </row>
    <row r="472" spans="1:18" ht="33" x14ac:dyDescent="0.3">
      <c r="A472" s="231" t="s">
        <v>2788</v>
      </c>
      <c r="B472" s="231"/>
      <c r="C472" s="231"/>
      <c r="D472" s="231">
        <v>3000</v>
      </c>
      <c r="E472" s="231">
        <v>0</v>
      </c>
      <c r="F472" s="231">
        <v>0</v>
      </c>
      <c r="G472" s="242" t="s">
        <v>2789</v>
      </c>
      <c r="H472" s="231"/>
      <c r="I472" s="231" t="b">
        <v>1</v>
      </c>
      <c r="J472" s="231" t="b">
        <v>0</v>
      </c>
      <c r="K472" s="231" t="b">
        <v>1</v>
      </c>
      <c r="L472" s="231" t="s">
        <v>2246</v>
      </c>
      <c r="M472" s="231" t="s">
        <v>3366</v>
      </c>
      <c r="N472" s="231" t="str">
        <f>_xlfn.IFNA(VLOOKUP($M472,[1]Buff.CM!$A:$O,13,FALSE),"")</f>
        <v>icon_battle_yurizia_buff_01</v>
      </c>
      <c r="O472" s="231" t="str">
        <f>_xlfn.IFNA(VLOOKUP($M472,[1]Buff.CM!$A:$O,14,FALSE),"")</f>
        <v>info.yurizia.buff.8bitegloo</v>
      </c>
      <c r="P472" s="231" t="str">
        <f>_xlfn.IFNA(VLOOKUP($M472,[1]Buff.CM!$A:$O,15,FALSE),"")</f>
        <v>Desc.info.yurizia.buff.8bitegloo</v>
      </c>
      <c r="Q472" s="231" t="b">
        <v>0</v>
      </c>
      <c r="R472" s="231" t="b">
        <v>0</v>
      </c>
    </row>
    <row r="473" spans="1:18" x14ac:dyDescent="0.3">
      <c r="A473" s="232" t="s">
        <v>2790</v>
      </c>
      <c r="B473" s="232"/>
      <c r="C473" s="232"/>
      <c r="D473" s="232">
        <v>0</v>
      </c>
      <c r="E473" s="232">
        <v>3</v>
      </c>
      <c r="F473" s="232">
        <v>1</v>
      </c>
      <c r="G473" s="232" t="s">
        <v>173</v>
      </c>
      <c r="H473" s="232"/>
      <c r="I473" s="232" t="b">
        <v>1</v>
      </c>
      <c r="J473" s="232" t="b">
        <v>0</v>
      </c>
      <c r="K473" s="232" t="b">
        <v>1</v>
      </c>
      <c r="L473" s="232" t="s">
        <v>2247</v>
      </c>
      <c r="M473" s="232" t="s">
        <v>3367</v>
      </c>
      <c r="N473" s="232" t="str">
        <f>_xlfn.IFNA(VLOOKUP($M473,[1]Buff.CM!$A:$O,13,FALSE),"")</f>
        <v>icon_battle_yurizia_buff_02</v>
      </c>
      <c r="O473" s="232" t="str">
        <f>_xlfn.IFNA(VLOOKUP($M473,[1]Buff.CM!$A:$O,14,FALSE),"")</f>
        <v>info.yurizia.buff.energydrink</v>
      </c>
      <c r="P473" s="232" t="str">
        <f>_xlfn.IFNA(VLOOKUP($M473,[1]Buff.CM!$A:$O,15,FALSE),"")</f>
        <v>Desc.info.yurizia.buff.energydrink</v>
      </c>
      <c r="Q473" s="232" t="b">
        <v>0</v>
      </c>
      <c r="R473" s="232" t="b">
        <v>0</v>
      </c>
    </row>
    <row r="474" spans="1:18" x14ac:dyDescent="0.3">
      <c r="A474" s="232" t="s">
        <v>2791</v>
      </c>
      <c r="B474" s="232"/>
      <c r="C474" s="232"/>
      <c r="D474" s="232">
        <v>0</v>
      </c>
      <c r="E474" s="232">
        <v>0</v>
      </c>
      <c r="F474" s="232">
        <v>0</v>
      </c>
      <c r="G474" s="232" t="s">
        <v>2701</v>
      </c>
      <c r="H474" s="232"/>
      <c r="I474" s="232" t="b">
        <v>1</v>
      </c>
      <c r="J474" s="232" t="b">
        <v>0</v>
      </c>
      <c r="K474" s="232" t="b">
        <v>1</v>
      </c>
      <c r="L474" s="232"/>
      <c r="M474" s="232"/>
      <c r="N474" s="232" t="s">
        <v>1301</v>
      </c>
      <c r="O474" s="232" t="s">
        <v>1301</v>
      </c>
      <c r="P474" s="232" t="s">
        <v>1301</v>
      </c>
      <c r="Q474" s="232" t="b">
        <v>0</v>
      </c>
      <c r="R474" s="232" t="b">
        <v>0</v>
      </c>
    </row>
    <row r="475" spans="1:18" x14ac:dyDescent="0.3">
      <c r="A475" s="232" t="s">
        <v>2792</v>
      </c>
      <c r="B475" s="232"/>
      <c r="C475" s="232"/>
      <c r="D475" s="232">
        <v>0</v>
      </c>
      <c r="E475" s="232">
        <v>0</v>
      </c>
      <c r="F475" s="232">
        <v>0</v>
      </c>
      <c r="G475" s="232" t="s">
        <v>2702</v>
      </c>
      <c r="H475" s="232"/>
      <c r="I475" s="232" t="b">
        <v>1</v>
      </c>
      <c r="J475" s="232" t="b">
        <v>0</v>
      </c>
      <c r="K475" s="232" t="b">
        <v>1</v>
      </c>
      <c r="L475" s="232"/>
      <c r="M475" s="232"/>
      <c r="N475" s="232" t="s">
        <v>1301</v>
      </c>
      <c r="O475" s="232" t="s">
        <v>1301</v>
      </c>
      <c r="P475" s="232" t="s">
        <v>1301</v>
      </c>
      <c r="Q475" s="232" t="b">
        <v>0</v>
      </c>
      <c r="R475" s="232" t="b">
        <v>0</v>
      </c>
    </row>
    <row r="476" spans="1:18" x14ac:dyDescent="0.3">
      <c r="A476" s="232" t="s">
        <v>2793</v>
      </c>
      <c r="B476" s="232"/>
      <c r="C476" s="232"/>
      <c r="D476" s="232">
        <v>0</v>
      </c>
      <c r="E476" s="232">
        <v>0</v>
      </c>
      <c r="F476" s="232">
        <v>0</v>
      </c>
      <c r="G476" s="232" t="s">
        <v>2703</v>
      </c>
      <c r="H476" s="232"/>
      <c r="I476" s="232" t="b">
        <v>1</v>
      </c>
      <c r="J476" s="232" t="b">
        <v>0</v>
      </c>
      <c r="K476" s="232" t="b">
        <v>1</v>
      </c>
      <c r="L476" s="232"/>
      <c r="M476" s="232"/>
      <c r="N476" s="232" t="s">
        <v>1301</v>
      </c>
      <c r="O476" s="232" t="s">
        <v>1301</v>
      </c>
      <c r="P476" s="232" t="s">
        <v>1301</v>
      </c>
      <c r="Q476" s="232" t="b">
        <v>0</v>
      </c>
      <c r="R476" s="232" t="b">
        <v>0</v>
      </c>
    </row>
    <row r="477" spans="1:18" x14ac:dyDescent="0.3">
      <c r="A477" s="232" t="s">
        <v>2794</v>
      </c>
      <c r="B477" s="232"/>
      <c r="C477" s="232"/>
      <c r="D477" s="232">
        <v>0</v>
      </c>
      <c r="E477" s="232">
        <v>0</v>
      </c>
      <c r="F477" s="232">
        <v>0</v>
      </c>
      <c r="G477" s="232" t="s">
        <v>2704</v>
      </c>
      <c r="H477" s="232"/>
      <c r="I477" s="232" t="b">
        <v>1</v>
      </c>
      <c r="J477" s="232" t="b">
        <v>0</v>
      </c>
      <c r="K477" s="232" t="b">
        <v>1</v>
      </c>
      <c r="L477" s="232"/>
      <c r="M477" s="232"/>
      <c r="N477" s="232" t="s">
        <v>1301</v>
      </c>
      <c r="O477" s="232" t="s">
        <v>1301</v>
      </c>
      <c r="P477" s="232" t="s">
        <v>1301</v>
      </c>
      <c r="Q477" s="232" t="b">
        <v>0</v>
      </c>
      <c r="R477" s="232" t="b">
        <v>0</v>
      </c>
    </row>
    <row r="478" spans="1:18" x14ac:dyDescent="0.3">
      <c r="A478" s="232" t="s">
        <v>2795</v>
      </c>
      <c r="B478" s="232"/>
      <c r="C478" s="232"/>
      <c r="D478" s="232">
        <v>0</v>
      </c>
      <c r="E478" s="232">
        <v>0</v>
      </c>
      <c r="F478" s="232">
        <v>0</v>
      </c>
      <c r="G478" s="232" t="s">
        <v>2705</v>
      </c>
      <c r="H478" s="232"/>
      <c r="I478" s="232" t="b">
        <v>1</v>
      </c>
      <c r="J478" s="232" t="b">
        <v>0</v>
      </c>
      <c r="K478" s="232" t="b">
        <v>1</v>
      </c>
      <c r="L478" s="232"/>
      <c r="M478" s="232"/>
      <c r="N478" s="232" t="s">
        <v>1301</v>
      </c>
      <c r="O478" s="232" t="s">
        <v>1301</v>
      </c>
      <c r="P478" s="232" t="s">
        <v>1301</v>
      </c>
      <c r="Q478" s="232" t="b">
        <v>0</v>
      </c>
      <c r="R478" s="232" t="b">
        <v>0</v>
      </c>
    </row>
    <row r="479" spans="1:18" x14ac:dyDescent="0.3">
      <c r="A479" s="232" t="s">
        <v>2796</v>
      </c>
      <c r="B479" s="232"/>
      <c r="C479" s="232"/>
      <c r="D479" s="232">
        <v>0</v>
      </c>
      <c r="E479" s="232">
        <v>0</v>
      </c>
      <c r="F479" s="232">
        <v>0</v>
      </c>
      <c r="G479" s="232" t="s">
        <v>2706</v>
      </c>
      <c r="H479" s="232"/>
      <c r="I479" s="232" t="b">
        <v>1</v>
      </c>
      <c r="J479" s="232" t="b">
        <v>0</v>
      </c>
      <c r="K479" s="232" t="b">
        <v>1</v>
      </c>
      <c r="L479" s="232"/>
      <c r="M479" s="232"/>
      <c r="N479" s="232" t="s">
        <v>1301</v>
      </c>
      <c r="O479" s="232" t="s">
        <v>1301</v>
      </c>
      <c r="P479" s="232" t="s">
        <v>1301</v>
      </c>
      <c r="Q479" s="232" t="b">
        <v>0</v>
      </c>
      <c r="R479" s="232" t="b">
        <v>0</v>
      </c>
    </row>
    <row r="480" spans="1:18" x14ac:dyDescent="0.3">
      <c r="A480" s="232" t="s">
        <v>2797</v>
      </c>
      <c r="B480" s="232"/>
      <c r="C480" s="232"/>
      <c r="D480" s="232">
        <v>0</v>
      </c>
      <c r="E480" s="232">
        <v>0</v>
      </c>
      <c r="F480" s="232">
        <v>0</v>
      </c>
      <c r="G480" s="232" t="s">
        <v>2707</v>
      </c>
      <c r="H480" s="232"/>
      <c r="I480" s="232" t="b">
        <v>1</v>
      </c>
      <c r="J480" s="232" t="b">
        <v>0</v>
      </c>
      <c r="K480" s="232" t="b">
        <v>1</v>
      </c>
      <c r="L480" s="232"/>
      <c r="M480" s="232"/>
      <c r="N480" s="232" t="s">
        <v>1301</v>
      </c>
      <c r="O480" s="232" t="s">
        <v>1301</v>
      </c>
      <c r="P480" s="232" t="s">
        <v>1301</v>
      </c>
      <c r="Q480" s="232" t="b">
        <v>0</v>
      </c>
      <c r="R480" s="232" t="b">
        <v>0</v>
      </c>
    </row>
    <row r="481" spans="1:18" x14ac:dyDescent="0.3">
      <c r="A481" s="236" t="s">
        <v>2798</v>
      </c>
      <c r="B481" s="236"/>
      <c r="C481" s="236"/>
      <c r="D481" s="236">
        <v>0</v>
      </c>
      <c r="E481" s="236">
        <v>0</v>
      </c>
      <c r="F481" s="236">
        <v>0</v>
      </c>
      <c r="G481" s="236" t="s">
        <v>173</v>
      </c>
      <c r="H481" s="236"/>
      <c r="I481" s="232" t="b">
        <v>1</v>
      </c>
      <c r="J481" s="236" t="b">
        <v>0</v>
      </c>
      <c r="K481" s="236" t="b">
        <v>1</v>
      </c>
      <c r="L481" s="236" t="s">
        <v>2248</v>
      </c>
      <c r="M481" s="236"/>
      <c r="N481" s="236" t="s">
        <v>1301</v>
      </c>
      <c r="O481" s="236" t="s">
        <v>1301</v>
      </c>
      <c r="P481" s="236" t="s">
        <v>1301</v>
      </c>
      <c r="Q481" s="236" t="b">
        <v>0</v>
      </c>
      <c r="R481" s="236" t="b">
        <v>0</v>
      </c>
    </row>
    <row r="482" spans="1:18" x14ac:dyDescent="0.3">
      <c r="A482" s="236" t="s">
        <v>2799</v>
      </c>
      <c r="B482" s="236"/>
      <c r="C482" s="236"/>
      <c r="D482" s="236">
        <v>0</v>
      </c>
      <c r="E482" s="236">
        <v>0</v>
      </c>
      <c r="F482" s="236">
        <v>0</v>
      </c>
      <c r="G482" s="236" t="s">
        <v>2708</v>
      </c>
      <c r="H482" s="236"/>
      <c r="I482" s="232" t="b">
        <v>1</v>
      </c>
      <c r="J482" s="236" t="b">
        <v>0</v>
      </c>
      <c r="K482" s="236" t="b">
        <v>1</v>
      </c>
      <c r="L482" s="236"/>
      <c r="M482" s="236"/>
      <c r="N482" s="236" t="s">
        <v>1301</v>
      </c>
      <c r="O482" s="236" t="s">
        <v>1301</v>
      </c>
      <c r="P482" s="236" t="s">
        <v>1301</v>
      </c>
      <c r="Q482" s="236" t="b">
        <v>0</v>
      </c>
      <c r="R482" s="236" t="b">
        <v>0</v>
      </c>
    </row>
    <row r="483" spans="1:18" x14ac:dyDescent="0.3">
      <c r="A483" s="236" t="s">
        <v>2800</v>
      </c>
      <c r="B483" s="236"/>
      <c r="C483" s="236"/>
      <c r="D483" s="236">
        <v>0</v>
      </c>
      <c r="E483" s="236">
        <v>0</v>
      </c>
      <c r="F483" s="236">
        <v>0</v>
      </c>
      <c r="G483" s="236" t="s">
        <v>2709</v>
      </c>
      <c r="H483" s="236"/>
      <c r="I483" s="232" t="b">
        <v>1</v>
      </c>
      <c r="J483" s="236" t="b">
        <v>0</v>
      </c>
      <c r="K483" s="236" t="b">
        <v>1</v>
      </c>
      <c r="L483" s="236"/>
      <c r="M483" s="236"/>
      <c r="N483" s="236" t="s">
        <v>1301</v>
      </c>
      <c r="O483" s="236" t="s">
        <v>1301</v>
      </c>
      <c r="P483" s="236" t="s">
        <v>1301</v>
      </c>
      <c r="Q483" s="236" t="b">
        <v>0</v>
      </c>
      <c r="R483" s="236" t="b">
        <v>0</v>
      </c>
    </row>
    <row r="484" spans="1:18" x14ac:dyDescent="0.3">
      <c r="A484" s="236" t="s">
        <v>2801</v>
      </c>
      <c r="B484" s="236"/>
      <c r="C484" s="236"/>
      <c r="D484" s="236">
        <v>0</v>
      </c>
      <c r="E484" s="236">
        <v>0</v>
      </c>
      <c r="F484" s="236">
        <v>0</v>
      </c>
      <c r="G484" s="236" t="s">
        <v>2710</v>
      </c>
      <c r="H484" s="236"/>
      <c r="I484" s="232" t="b">
        <v>1</v>
      </c>
      <c r="J484" s="236" t="b">
        <v>0</v>
      </c>
      <c r="K484" s="236" t="b">
        <v>1</v>
      </c>
      <c r="L484" s="236"/>
      <c r="M484" s="236"/>
      <c r="N484" s="236" t="s">
        <v>1301</v>
      </c>
      <c r="O484" s="236" t="s">
        <v>1301</v>
      </c>
      <c r="P484" s="236" t="s">
        <v>1301</v>
      </c>
      <c r="Q484" s="236" t="b">
        <v>0</v>
      </c>
      <c r="R484" s="236" t="b">
        <v>0</v>
      </c>
    </row>
    <row r="485" spans="1:18" x14ac:dyDescent="0.3">
      <c r="A485" s="236" t="s">
        <v>2802</v>
      </c>
      <c r="B485" s="236"/>
      <c r="C485" s="236"/>
      <c r="D485" s="236">
        <v>0</v>
      </c>
      <c r="E485" s="236">
        <v>0</v>
      </c>
      <c r="F485" s="236">
        <v>0</v>
      </c>
      <c r="G485" s="236" t="s">
        <v>2711</v>
      </c>
      <c r="H485" s="236"/>
      <c r="I485" s="232" t="b">
        <v>1</v>
      </c>
      <c r="J485" s="236" t="b">
        <v>0</v>
      </c>
      <c r="K485" s="236" t="b">
        <v>1</v>
      </c>
      <c r="L485" s="236"/>
      <c r="M485" s="236"/>
      <c r="N485" s="236" t="s">
        <v>1301</v>
      </c>
      <c r="O485" s="236" t="s">
        <v>1301</v>
      </c>
      <c r="P485" s="236" t="s">
        <v>1301</v>
      </c>
      <c r="Q485" s="236" t="b">
        <v>0</v>
      </c>
      <c r="R485" s="236" t="b">
        <v>0</v>
      </c>
    </row>
    <row r="486" spans="1:18" x14ac:dyDescent="0.3">
      <c r="A486" s="236" t="s">
        <v>2803</v>
      </c>
      <c r="B486" s="236"/>
      <c r="C486" s="236"/>
      <c r="D486" s="236">
        <v>0</v>
      </c>
      <c r="E486" s="236">
        <v>0</v>
      </c>
      <c r="F486" s="236">
        <v>0</v>
      </c>
      <c r="G486" s="236" t="s">
        <v>2712</v>
      </c>
      <c r="H486" s="236"/>
      <c r="I486" s="232" t="b">
        <v>1</v>
      </c>
      <c r="J486" s="236" t="b">
        <v>0</v>
      </c>
      <c r="K486" s="236" t="b">
        <v>1</v>
      </c>
      <c r="L486" s="236"/>
      <c r="M486" s="236"/>
      <c r="N486" s="236" t="s">
        <v>1301</v>
      </c>
      <c r="O486" s="236" t="s">
        <v>1301</v>
      </c>
      <c r="P486" s="236" t="s">
        <v>1301</v>
      </c>
      <c r="Q486" s="236" t="b">
        <v>0</v>
      </c>
      <c r="R486" s="236" t="b">
        <v>0</v>
      </c>
    </row>
    <row r="487" spans="1:18" x14ac:dyDescent="0.3">
      <c r="A487" s="236" t="s">
        <v>2804</v>
      </c>
      <c r="B487" s="236"/>
      <c r="C487" s="236"/>
      <c r="D487" s="236">
        <v>0</v>
      </c>
      <c r="E487" s="236">
        <v>0</v>
      </c>
      <c r="F487" s="236">
        <v>0</v>
      </c>
      <c r="G487" s="236" t="s">
        <v>2713</v>
      </c>
      <c r="H487" s="236"/>
      <c r="I487" s="232" t="b">
        <v>1</v>
      </c>
      <c r="J487" s="236" t="b">
        <v>0</v>
      </c>
      <c r="K487" s="236" t="b">
        <v>1</v>
      </c>
      <c r="L487" s="236"/>
      <c r="M487" s="236"/>
      <c r="N487" s="236" t="s">
        <v>1301</v>
      </c>
      <c r="O487" s="236" t="s">
        <v>1301</v>
      </c>
      <c r="P487" s="236" t="s">
        <v>1301</v>
      </c>
      <c r="Q487" s="236" t="b">
        <v>0</v>
      </c>
      <c r="R487" s="236" t="b">
        <v>0</v>
      </c>
    </row>
    <row r="488" spans="1:18" x14ac:dyDescent="0.3">
      <c r="A488" s="236" t="s">
        <v>2805</v>
      </c>
      <c r="B488" s="236"/>
      <c r="C488" s="236"/>
      <c r="D488" s="236">
        <v>0</v>
      </c>
      <c r="E488" s="236">
        <v>0</v>
      </c>
      <c r="F488" s="236">
        <v>0</v>
      </c>
      <c r="G488" s="236" t="s">
        <v>2714</v>
      </c>
      <c r="H488" s="236"/>
      <c r="I488" s="232" t="b">
        <v>1</v>
      </c>
      <c r="J488" s="236" t="b">
        <v>0</v>
      </c>
      <c r="K488" s="236" t="b">
        <v>1</v>
      </c>
      <c r="L488" s="236"/>
      <c r="M488" s="236"/>
      <c r="N488" s="236" t="s">
        <v>1301</v>
      </c>
      <c r="O488" s="236" t="s">
        <v>1301</v>
      </c>
      <c r="P488" s="236" t="s">
        <v>1301</v>
      </c>
      <c r="Q488" s="236" t="b">
        <v>0</v>
      </c>
      <c r="R488" s="236" t="b">
        <v>0</v>
      </c>
    </row>
    <row r="489" spans="1:18" x14ac:dyDescent="0.3">
      <c r="A489" s="232" t="s">
        <v>2806</v>
      </c>
      <c r="B489" s="232"/>
      <c r="C489" s="232"/>
      <c r="D489" s="232">
        <v>0</v>
      </c>
      <c r="E489" s="232">
        <v>0</v>
      </c>
      <c r="F489" s="232">
        <v>0</v>
      </c>
      <c r="G489" s="232" t="s">
        <v>173</v>
      </c>
      <c r="H489" s="232"/>
      <c r="I489" s="232" t="b">
        <v>1</v>
      </c>
      <c r="J489" s="232" t="b">
        <v>0</v>
      </c>
      <c r="K489" s="232" t="b">
        <v>1</v>
      </c>
      <c r="L489" s="232" t="s">
        <v>2249</v>
      </c>
      <c r="M489" s="232"/>
      <c r="N489" s="232" t="s">
        <v>1301</v>
      </c>
      <c r="O489" s="232" t="s">
        <v>1301</v>
      </c>
      <c r="P489" s="232" t="s">
        <v>1301</v>
      </c>
      <c r="Q489" s="232" t="b">
        <v>0</v>
      </c>
      <c r="R489" s="232" t="b">
        <v>0</v>
      </c>
    </row>
    <row r="490" spans="1:18" x14ac:dyDescent="0.3">
      <c r="A490" s="232" t="s">
        <v>2807</v>
      </c>
      <c r="B490" s="232"/>
      <c r="C490" s="232"/>
      <c r="D490" s="232">
        <v>0</v>
      </c>
      <c r="E490" s="232">
        <v>0</v>
      </c>
      <c r="F490" s="232">
        <v>0</v>
      </c>
      <c r="G490" s="232" t="s">
        <v>2715</v>
      </c>
      <c r="H490" s="232"/>
      <c r="I490" s="232" t="b">
        <v>1</v>
      </c>
      <c r="J490" s="232" t="b">
        <v>0</v>
      </c>
      <c r="K490" s="232" t="b">
        <v>1</v>
      </c>
      <c r="L490" s="232"/>
      <c r="M490" s="232"/>
      <c r="N490" s="232" t="s">
        <v>1301</v>
      </c>
      <c r="O490" s="232" t="s">
        <v>1301</v>
      </c>
      <c r="P490" s="232" t="s">
        <v>1301</v>
      </c>
      <c r="Q490" s="232" t="b">
        <v>0</v>
      </c>
      <c r="R490" s="232" t="b">
        <v>0</v>
      </c>
    </row>
    <row r="491" spans="1:18" x14ac:dyDescent="0.3">
      <c r="A491" s="232" t="s">
        <v>2808</v>
      </c>
      <c r="B491" s="232"/>
      <c r="C491" s="232"/>
      <c r="D491" s="232">
        <v>0</v>
      </c>
      <c r="E491" s="232">
        <v>0</v>
      </c>
      <c r="F491" s="232">
        <v>0</v>
      </c>
      <c r="G491" s="232" t="s">
        <v>2716</v>
      </c>
      <c r="H491" s="232"/>
      <c r="I491" s="232" t="b">
        <v>1</v>
      </c>
      <c r="J491" s="232" t="b">
        <v>0</v>
      </c>
      <c r="K491" s="232" t="b">
        <v>1</v>
      </c>
      <c r="L491" s="232"/>
      <c r="M491" s="232"/>
      <c r="N491" s="232" t="s">
        <v>1301</v>
      </c>
      <c r="O491" s="232" t="s">
        <v>1301</v>
      </c>
      <c r="P491" s="232" t="s">
        <v>1301</v>
      </c>
      <c r="Q491" s="232" t="b">
        <v>0</v>
      </c>
      <c r="R491" s="232" t="b">
        <v>0</v>
      </c>
    </row>
    <row r="492" spans="1:18" x14ac:dyDescent="0.3">
      <c r="A492" s="232" t="s">
        <v>2809</v>
      </c>
      <c r="B492" s="232"/>
      <c r="C492" s="232"/>
      <c r="D492" s="232">
        <v>0</v>
      </c>
      <c r="E492" s="232">
        <v>0</v>
      </c>
      <c r="F492" s="232">
        <v>0</v>
      </c>
      <c r="G492" s="232" t="s">
        <v>2717</v>
      </c>
      <c r="H492" s="232"/>
      <c r="I492" s="232" t="b">
        <v>1</v>
      </c>
      <c r="J492" s="232" t="b">
        <v>0</v>
      </c>
      <c r="K492" s="232" t="b">
        <v>1</v>
      </c>
      <c r="L492" s="232"/>
      <c r="M492" s="232"/>
      <c r="N492" s="232" t="s">
        <v>1301</v>
      </c>
      <c r="O492" s="232" t="s">
        <v>1301</v>
      </c>
      <c r="P492" s="232" t="s">
        <v>1301</v>
      </c>
      <c r="Q492" s="232" t="b">
        <v>0</v>
      </c>
      <c r="R492" s="232" t="b">
        <v>0</v>
      </c>
    </row>
    <row r="493" spans="1:18" x14ac:dyDescent="0.3">
      <c r="A493" s="232" t="s">
        <v>2810</v>
      </c>
      <c r="B493" s="232"/>
      <c r="C493" s="232"/>
      <c r="D493" s="232">
        <v>0</v>
      </c>
      <c r="E493" s="232">
        <v>0</v>
      </c>
      <c r="F493" s="232">
        <v>0</v>
      </c>
      <c r="G493" s="232" t="s">
        <v>2718</v>
      </c>
      <c r="H493" s="232"/>
      <c r="I493" s="232" t="b">
        <v>1</v>
      </c>
      <c r="J493" s="232" t="b">
        <v>0</v>
      </c>
      <c r="K493" s="232" t="b">
        <v>1</v>
      </c>
      <c r="L493" s="232"/>
      <c r="M493" s="232"/>
      <c r="N493" s="232" t="s">
        <v>1301</v>
      </c>
      <c r="O493" s="232" t="s">
        <v>1301</v>
      </c>
      <c r="P493" s="232" t="s">
        <v>1301</v>
      </c>
      <c r="Q493" s="232" t="b">
        <v>0</v>
      </c>
      <c r="R493" s="232" t="b">
        <v>0</v>
      </c>
    </row>
    <row r="494" spans="1:18" x14ac:dyDescent="0.3">
      <c r="A494" s="232" t="s">
        <v>2811</v>
      </c>
      <c r="B494" s="232"/>
      <c r="C494" s="232"/>
      <c r="D494" s="232">
        <v>0</v>
      </c>
      <c r="E494" s="232">
        <v>0</v>
      </c>
      <c r="F494" s="232">
        <v>0</v>
      </c>
      <c r="G494" s="232" t="s">
        <v>2719</v>
      </c>
      <c r="H494" s="232"/>
      <c r="I494" s="232" t="b">
        <v>1</v>
      </c>
      <c r="J494" s="232" t="b">
        <v>0</v>
      </c>
      <c r="K494" s="232" t="b">
        <v>1</v>
      </c>
      <c r="L494" s="232"/>
      <c r="M494" s="232"/>
      <c r="N494" s="232" t="s">
        <v>1301</v>
      </c>
      <c r="O494" s="232" t="s">
        <v>1301</v>
      </c>
      <c r="P494" s="232" t="s">
        <v>1301</v>
      </c>
      <c r="Q494" s="232" t="b">
        <v>0</v>
      </c>
      <c r="R494" s="232" t="b">
        <v>0</v>
      </c>
    </row>
    <row r="495" spans="1:18" x14ac:dyDescent="0.3">
      <c r="A495" s="232" t="s">
        <v>2812</v>
      </c>
      <c r="B495" s="232"/>
      <c r="C495" s="232"/>
      <c r="D495" s="232">
        <v>0</v>
      </c>
      <c r="E495" s="232">
        <v>0</v>
      </c>
      <c r="F495" s="232">
        <v>0</v>
      </c>
      <c r="G495" s="232" t="s">
        <v>2720</v>
      </c>
      <c r="H495" s="232"/>
      <c r="I495" s="232" t="b">
        <v>1</v>
      </c>
      <c r="J495" s="232" t="b">
        <v>0</v>
      </c>
      <c r="K495" s="232" t="b">
        <v>1</v>
      </c>
      <c r="L495" s="232"/>
      <c r="M495" s="232"/>
      <c r="N495" s="232" t="s">
        <v>1301</v>
      </c>
      <c r="O495" s="232" t="s">
        <v>1301</v>
      </c>
      <c r="P495" s="232" t="s">
        <v>1301</v>
      </c>
      <c r="Q495" s="232" t="b">
        <v>0</v>
      </c>
      <c r="R495" s="232" t="b">
        <v>0</v>
      </c>
    </row>
    <row r="496" spans="1:18" x14ac:dyDescent="0.3">
      <c r="A496" s="232" t="s">
        <v>2813</v>
      </c>
      <c r="B496" s="232"/>
      <c r="C496" s="232"/>
      <c r="D496" s="232">
        <v>0</v>
      </c>
      <c r="E496" s="232">
        <v>0</v>
      </c>
      <c r="F496" s="232">
        <v>0</v>
      </c>
      <c r="G496" s="232" t="s">
        <v>2721</v>
      </c>
      <c r="H496" s="232"/>
      <c r="I496" s="232" t="b">
        <v>1</v>
      </c>
      <c r="J496" s="232" t="b">
        <v>0</v>
      </c>
      <c r="K496" s="232" t="b">
        <v>1</v>
      </c>
      <c r="L496" s="232"/>
      <c r="M496" s="232"/>
      <c r="N496" s="232" t="s">
        <v>1301</v>
      </c>
      <c r="O496" s="232" t="s">
        <v>1301</v>
      </c>
      <c r="P496" s="232" t="s">
        <v>1301</v>
      </c>
      <c r="Q496" s="232" t="b">
        <v>0</v>
      </c>
      <c r="R496" s="232" t="b">
        <v>0</v>
      </c>
    </row>
    <row r="497" spans="1:18" x14ac:dyDescent="0.3">
      <c r="A497" s="157" t="s">
        <v>2814</v>
      </c>
      <c r="B497" s="157"/>
      <c r="C497" s="157"/>
      <c r="D497" s="157">
        <v>6000</v>
      </c>
      <c r="E497" s="157">
        <v>0</v>
      </c>
      <c r="F497" s="157">
        <v>0</v>
      </c>
      <c r="G497" s="157" t="s">
        <v>2250</v>
      </c>
      <c r="H497" s="157"/>
      <c r="I497" s="157" t="b">
        <v>0</v>
      </c>
      <c r="J497" s="157" t="b">
        <v>0</v>
      </c>
      <c r="K497" s="157" t="b">
        <v>0</v>
      </c>
      <c r="L497" s="157" t="s">
        <v>55</v>
      </c>
      <c r="M497" s="157" t="s">
        <v>2250</v>
      </c>
      <c r="N497" s="157" t="str">
        <f>_xlfn.IFNA(VLOOKUP($M497,[1]Buff.CM!$A:$O,13,FALSE),"")</f>
        <v>icon_battle_eprechargerate_down</v>
      </c>
      <c r="O497" s="157" t="str">
        <f>_xlfn.IFNA(VLOOKUP($M497,[1]Buff.CM!$A:$O,14,FALSE),"")</f>
        <v>Buff.Name.RechargeRate.Down.03</v>
      </c>
      <c r="P497" s="157" t="str">
        <f>_xlfn.IFNA(VLOOKUP($M497,[1]Buff.CM!$A:$O,15,FALSE),"")</f>
        <v>Buff.Desc.RechargeRate.Down.03</v>
      </c>
      <c r="Q497" s="157" t="b">
        <v>0</v>
      </c>
      <c r="R497" s="157" t="b">
        <v>0</v>
      </c>
    </row>
    <row r="498" spans="1:18" x14ac:dyDescent="0.3">
      <c r="A498" s="157" t="s">
        <v>2815</v>
      </c>
      <c r="B498" s="157"/>
      <c r="C498" s="157"/>
      <c r="D498" s="157">
        <v>7000</v>
      </c>
      <c r="E498" s="157">
        <v>0</v>
      </c>
      <c r="F498" s="157">
        <v>0</v>
      </c>
      <c r="G498" s="157" t="s">
        <v>2250</v>
      </c>
      <c r="H498" s="157"/>
      <c r="I498" s="157" t="b">
        <v>0</v>
      </c>
      <c r="J498" s="157" t="b">
        <v>0</v>
      </c>
      <c r="K498" s="157" t="b">
        <v>0</v>
      </c>
      <c r="L498" s="157" t="s">
        <v>55</v>
      </c>
      <c r="M498" s="157" t="s">
        <v>2250</v>
      </c>
      <c r="N498" s="157" t="str">
        <f>_xlfn.IFNA(VLOOKUP($M498,[1]Buff.CM!$A:$O,13,FALSE),"")</f>
        <v>icon_battle_eprechargerate_down</v>
      </c>
      <c r="O498" s="157" t="str">
        <f>_xlfn.IFNA(VLOOKUP($M498,[1]Buff.CM!$A:$O,14,FALSE),"")</f>
        <v>Buff.Name.RechargeRate.Down.03</v>
      </c>
      <c r="P498" s="157" t="str">
        <f>_xlfn.IFNA(VLOOKUP($M498,[1]Buff.CM!$A:$O,15,FALSE),"")</f>
        <v>Buff.Desc.RechargeRate.Down.03</v>
      </c>
      <c r="Q498" s="157" t="b">
        <v>0</v>
      </c>
      <c r="R498" s="157" t="b">
        <v>0</v>
      </c>
    </row>
    <row r="499" spans="1:18" x14ac:dyDescent="0.3">
      <c r="A499" s="157" t="s">
        <v>2816</v>
      </c>
      <c r="B499" s="157"/>
      <c r="C499" s="157"/>
      <c r="D499" s="157">
        <v>8000</v>
      </c>
      <c r="E499" s="157">
        <v>0</v>
      </c>
      <c r="F499" s="157">
        <v>0</v>
      </c>
      <c r="G499" s="157" t="s">
        <v>2251</v>
      </c>
      <c r="H499" s="157"/>
      <c r="I499" s="157" t="b">
        <v>0</v>
      </c>
      <c r="J499" s="157" t="b">
        <v>0</v>
      </c>
      <c r="K499" s="157" t="b">
        <v>0</v>
      </c>
      <c r="L499" s="157" t="s">
        <v>55</v>
      </c>
      <c r="M499" s="157" t="s">
        <v>2251</v>
      </c>
      <c r="N499" s="157" t="str">
        <f>_xlfn.IFNA(VLOOKUP($M499,[1]Buff.CM!$A:$O,13,FALSE),"")</f>
        <v>icon_battle_eprechargerate_down</v>
      </c>
      <c r="O499" s="157" t="str">
        <f>_xlfn.IFNA(VLOOKUP($M499,[1]Buff.CM!$A:$O,14,FALSE),"")</f>
        <v>Buff.Name.RechargeRate.Down.04</v>
      </c>
      <c r="P499" s="157" t="str">
        <f>_xlfn.IFNA(VLOOKUP($M499,[1]Buff.CM!$A:$O,15,FALSE),"")</f>
        <v>Buff.Desc.RechargeRate.Down.04</v>
      </c>
      <c r="Q499" s="157" t="b">
        <v>0</v>
      </c>
      <c r="R499" s="157" t="b">
        <v>0</v>
      </c>
    </row>
    <row r="500" spans="1:18" x14ac:dyDescent="0.3">
      <c r="A500" s="157" t="s">
        <v>2817</v>
      </c>
      <c r="B500" s="157"/>
      <c r="C500" s="157"/>
      <c r="D500" s="157">
        <v>10000</v>
      </c>
      <c r="E500" s="157">
        <v>0</v>
      </c>
      <c r="F500" s="157">
        <v>0</v>
      </c>
      <c r="G500" s="157" t="s">
        <v>2251</v>
      </c>
      <c r="H500" s="157"/>
      <c r="I500" s="157" t="b">
        <v>0</v>
      </c>
      <c r="J500" s="157" t="b">
        <v>0</v>
      </c>
      <c r="K500" s="157" t="b">
        <v>0</v>
      </c>
      <c r="L500" s="157" t="s">
        <v>55</v>
      </c>
      <c r="M500" s="157" t="s">
        <v>2251</v>
      </c>
      <c r="N500" s="157" t="str">
        <f>_xlfn.IFNA(VLOOKUP($M500,[1]Buff.CM!$A:$O,13,FALSE),"")</f>
        <v>icon_battle_eprechargerate_down</v>
      </c>
      <c r="O500" s="157" t="str">
        <f>_xlfn.IFNA(VLOOKUP($M500,[1]Buff.CM!$A:$O,14,FALSE),"")</f>
        <v>Buff.Name.RechargeRate.Down.04</v>
      </c>
      <c r="P500" s="157" t="str">
        <f>_xlfn.IFNA(VLOOKUP($M500,[1]Buff.CM!$A:$O,15,FALSE),"")</f>
        <v>Buff.Desc.RechargeRate.Down.04</v>
      </c>
      <c r="Q500" s="157" t="b">
        <v>0</v>
      </c>
      <c r="R500" s="157" t="b">
        <v>0</v>
      </c>
    </row>
    <row r="501" spans="1:18" x14ac:dyDescent="0.3">
      <c r="A501" s="231" t="s">
        <v>2818</v>
      </c>
      <c r="B501" s="231"/>
      <c r="C501" s="231"/>
      <c r="D501" s="231">
        <v>5000</v>
      </c>
      <c r="E501" s="231">
        <v>0</v>
      </c>
      <c r="F501" s="231">
        <v>0</v>
      </c>
      <c r="G501" s="231" t="s">
        <v>3491</v>
      </c>
      <c r="H501" s="231"/>
      <c r="I501" s="231" t="b">
        <v>0</v>
      </c>
      <c r="J501" s="231" t="b">
        <v>0</v>
      </c>
      <c r="K501" s="231" t="b">
        <v>1</v>
      </c>
      <c r="L501" s="231" t="s">
        <v>63</v>
      </c>
      <c r="M501" s="231" t="s">
        <v>3490</v>
      </c>
      <c r="N501" s="231" t="str">
        <f>_xlfn.IFNA(VLOOKUP($M501,[1]Buff.CM!$A:$O,13,FALSE),"")</f>
        <v>icon_battle_eprechargerate</v>
      </c>
      <c r="O501" s="231" t="str">
        <f>_xlfn.IFNA(VLOOKUP($M501,[1]Buff.CM!$A:$O,14,FALSE),"")</f>
        <v>Buff.Name.RechargeRate.Up.03</v>
      </c>
      <c r="P501" s="231" t="str">
        <f>_xlfn.IFNA(VLOOKUP($M501,[1]Buff.CM!$A:$O,15,FALSE),"")</f>
        <v>Buff.Desc.RechargeRate.Up.03</v>
      </c>
      <c r="Q501" s="231" t="b">
        <v>0</v>
      </c>
      <c r="R501" s="231" t="b">
        <v>0</v>
      </c>
    </row>
    <row r="502" spans="1:18" x14ac:dyDescent="0.3">
      <c r="A502" s="231" t="s">
        <v>2819</v>
      </c>
      <c r="B502" s="231"/>
      <c r="C502" s="231"/>
      <c r="D502" s="231">
        <v>5500</v>
      </c>
      <c r="E502" s="231">
        <v>0</v>
      </c>
      <c r="F502" s="231">
        <v>0</v>
      </c>
      <c r="G502" s="231" t="s">
        <v>3491</v>
      </c>
      <c r="H502" s="231"/>
      <c r="I502" s="231" t="b">
        <v>0</v>
      </c>
      <c r="J502" s="231" t="b">
        <v>0</v>
      </c>
      <c r="K502" s="231" t="b">
        <v>1</v>
      </c>
      <c r="L502" s="231" t="s">
        <v>63</v>
      </c>
      <c r="M502" s="231" t="s">
        <v>3490</v>
      </c>
      <c r="N502" s="231" t="str">
        <f>_xlfn.IFNA(VLOOKUP($M502,[1]Buff.CM!$A:$O,13,FALSE),"")</f>
        <v>icon_battle_eprechargerate</v>
      </c>
      <c r="O502" s="231" t="str">
        <f>_xlfn.IFNA(VLOOKUP($M502,[1]Buff.CM!$A:$O,14,FALSE),"")</f>
        <v>Buff.Name.RechargeRate.Up.03</v>
      </c>
      <c r="P502" s="231" t="str">
        <f>_xlfn.IFNA(VLOOKUP($M502,[1]Buff.CM!$A:$O,15,FALSE),"")</f>
        <v>Buff.Desc.RechargeRate.Up.03</v>
      </c>
      <c r="Q502" s="231" t="b">
        <v>0</v>
      </c>
      <c r="R502" s="231" t="b">
        <v>0</v>
      </c>
    </row>
    <row r="503" spans="1:18" x14ac:dyDescent="0.3">
      <c r="A503" s="231" t="s">
        <v>2820</v>
      </c>
      <c r="B503" s="231"/>
      <c r="C503" s="231"/>
      <c r="D503" s="231">
        <v>6000</v>
      </c>
      <c r="E503" s="231">
        <v>0</v>
      </c>
      <c r="F503" s="231">
        <v>0</v>
      </c>
      <c r="G503" s="231" t="s">
        <v>2287</v>
      </c>
      <c r="H503" s="231"/>
      <c r="I503" s="231" t="b">
        <v>0</v>
      </c>
      <c r="J503" s="231" t="b">
        <v>0</v>
      </c>
      <c r="K503" s="231" t="b">
        <v>1</v>
      </c>
      <c r="L503" s="231" t="s">
        <v>63</v>
      </c>
      <c r="M503" s="231" t="s">
        <v>2252</v>
      </c>
      <c r="N503" s="231" t="str">
        <f>_xlfn.IFNA(VLOOKUP($M503,[1]Buff.CM!$A:$O,13,FALSE),"")</f>
        <v>icon_battle_eprechargerate</v>
      </c>
      <c r="O503" s="231" t="str">
        <f>_xlfn.IFNA(VLOOKUP($M503,[1]Buff.CM!$A:$O,14,FALSE),"")</f>
        <v>Buff.Name.RechargeRate.Up.04</v>
      </c>
      <c r="P503" s="231" t="str">
        <f>_xlfn.IFNA(VLOOKUP($M503,[1]Buff.CM!$A:$O,15,FALSE),"")</f>
        <v>Buff.Desc.RechargeRate.Up.04</v>
      </c>
      <c r="Q503" s="231" t="b">
        <v>0</v>
      </c>
      <c r="R503" s="231" t="b">
        <v>0</v>
      </c>
    </row>
    <row r="504" spans="1:18" x14ac:dyDescent="0.3">
      <c r="A504" s="231" t="s">
        <v>2821</v>
      </c>
      <c r="B504" s="231"/>
      <c r="C504" s="231"/>
      <c r="D504" s="231">
        <v>6500</v>
      </c>
      <c r="E504" s="231">
        <v>0</v>
      </c>
      <c r="F504" s="231">
        <v>0</v>
      </c>
      <c r="G504" s="231" t="s">
        <v>2287</v>
      </c>
      <c r="H504" s="231"/>
      <c r="I504" s="231" t="b">
        <v>0</v>
      </c>
      <c r="J504" s="231" t="b">
        <v>0</v>
      </c>
      <c r="K504" s="231" t="b">
        <v>1</v>
      </c>
      <c r="L504" s="231" t="s">
        <v>63</v>
      </c>
      <c r="M504" s="231" t="s">
        <v>2252</v>
      </c>
      <c r="N504" s="231" t="str">
        <f>_xlfn.IFNA(VLOOKUP($M504,[1]Buff.CM!$A:$O,13,FALSE),"")</f>
        <v>icon_battle_eprechargerate</v>
      </c>
      <c r="O504" s="231" t="str">
        <f>_xlfn.IFNA(VLOOKUP($M504,[1]Buff.CM!$A:$O,14,FALSE),"")</f>
        <v>Buff.Name.RechargeRate.Up.04</v>
      </c>
      <c r="P504" s="231" t="str">
        <f>_xlfn.IFNA(VLOOKUP($M504,[1]Buff.CM!$A:$O,15,FALSE),"")</f>
        <v>Buff.Desc.RechargeRate.Up.04</v>
      </c>
      <c r="Q504" s="231" t="b">
        <v>0</v>
      </c>
      <c r="R504" s="231" t="b">
        <v>0</v>
      </c>
    </row>
    <row r="505" spans="1:18" x14ac:dyDescent="0.3">
      <c r="A505" s="157" t="s">
        <v>2822</v>
      </c>
      <c r="B505" s="157"/>
      <c r="C505" s="157"/>
      <c r="D505" s="157">
        <v>5000</v>
      </c>
      <c r="E505" s="157">
        <v>0</v>
      </c>
      <c r="F505" s="157">
        <v>0</v>
      </c>
      <c r="G505" s="157" t="s">
        <v>2253</v>
      </c>
      <c r="H505" s="157"/>
      <c r="I505" s="157" t="b">
        <v>0</v>
      </c>
      <c r="J505" s="157" t="b">
        <v>0</v>
      </c>
      <c r="K505" s="157" t="b">
        <v>1</v>
      </c>
      <c r="L505" s="157" t="s">
        <v>63</v>
      </c>
      <c r="M505" s="157" t="s">
        <v>2253</v>
      </c>
      <c r="N505" s="157" t="str">
        <f>_xlfn.IFNA(VLOOKUP($M505,[1]Buff.CM!$A:$O,13,FALSE),"")</f>
        <v>icon_battle_attack</v>
      </c>
      <c r="O505" s="157" t="str">
        <f>_xlfn.IFNA(VLOOKUP($M505,[1]Buff.CM!$A:$O,14,FALSE),"")</f>
        <v>Buff.Name.Atk.Up.02</v>
      </c>
      <c r="P505" s="157" t="str">
        <f>_xlfn.IFNA(VLOOKUP($M505,[1]Buff.CM!$A:$O,15,FALSE),"")</f>
        <v>Buff.Desc.Atk.Up.02</v>
      </c>
      <c r="Q505" s="157" t="b">
        <v>0</v>
      </c>
      <c r="R505" s="157" t="b">
        <v>0</v>
      </c>
    </row>
    <row r="506" spans="1:18" x14ac:dyDescent="0.3">
      <c r="A506" s="157" t="s">
        <v>2823</v>
      </c>
      <c r="B506" s="157"/>
      <c r="C506" s="157"/>
      <c r="D506" s="157">
        <v>5500</v>
      </c>
      <c r="E506" s="157">
        <v>0</v>
      </c>
      <c r="F506" s="157">
        <v>0</v>
      </c>
      <c r="G506" s="157" t="s">
        <v>2253</v>
      </c>
      <c r="H506" s="157"/>
      <c r="I506" s="157" t="b">
        <v>0</v>
      </c>
      <c r="J506" s="157" t="b">
        <v>0</v>
      </c>
      <c r="K506" s="157" t="b">
        <v>1</v>
      </c>
      <c r="L506" s="157" t="s">
        <v>63</v>
      </c>
      <c r="M506" s="157" t="s">
        <v>2253</v>
      </c>
      <c r="N506" s="157" t="str">
        <f>_xlfn.IFNA(VLOOKUP($M506,[1]Buff.CM!$A:$O,13,FALSE),"")</f>
        <v>icon_battle_attack</v>
      </c>
      <c r="O506" s="157" t="str">
        <f>_xlfn.IFNA(VLOOKUP($M506,[1]Buff.CM!$A:$O,14,FALSE),"")</f>
        <v>Buff.Name.Atk.Up.02</v>
      </c>
      <c r="P506" s="157" t="str">
        <f>_xlfn.IFNA(VLOOKUP($M506,[1]Buff.CM!$A:$O,15,FALSE),"")</f>
        <v>Buff.Desc.Atk.Up.02</v>
      </c>
      <c r="Q506" s="157" t="b">
        <v>0</v>
      </c>
      <c r="R506" s="157" t="b">
        <v>0</v>
      </c>
    </row>
    <row r="507" spans="1:18" x14ac:dyDescent="0.3">
      <c r="A507" s="157" t="s">
        <v>2824</v>
      </c>
      <c r="B507" s="157"/>
      <c r="C507" s="157"/>
      <c r="D507" s="157">
        <v>6000</v>
      </c>
      <c r="E507" s="157">
        <v>0</v>
      </c>
      <c r="F507" s="157">
        <v>0</v>
      </c>
      <c r="G507" s="157" t="s">
        <v>2254</v>
      </c>
      <c r="H507" s="157"/>
      <c r="I507" s="157" t="b">
        <v>0</v>
      </c>
      <c r="J507" s="157" t="b">
        <v>0</v>
      </c>
      <c r="K507" s="157" t="b">
        <v>1</v>
      </c>
      <c r="L507" s="157" t="s">
        <v>63</v>
      </c>
      <c r="M507" s="157" t="s">
        <v>2254</v>
      </c>
      <c r="N507" s="157" t="str">
        <f>_xlfn.IFNA(VLOOKUP($M507,[1]Buff.CM!$A:$O,13,FALSE),"")</f>
        <v>icon_battle_attack</v>
      </c>
      <c r="O507" s="157" t="str">
        <f>_xlfn.IFNA(VLOOKUP($M507,[1]Buff.CM!$A:$O,14,FALSE),"")</f>
        <v>Buff.Name.Atk.Up.03</v>
      </c>
      <c r="P507" s="157" t="str">
        <f>_xlfn.IFNA(VLOOKUP($M507,[1]Buff.CM!$A:$O,15,FALSE),"")</f>
        <v>Buff.Desc.Atk.Up.03</v>
      </c>
      <c r="Q507" s="157" t="b">
        <v>0</v>
      </c>
      <c r="R507" s="157" t="b">
        <v>0</v>
      </c>
    </row>
    <row r="508" spans="1:18" x14ac:dyDescent="0.3">
      <c r="A508" s="232" t="s">
        <v>2825</v>
      </c>
      <c r="B508" s="232"/>
      <c r="C508" s="232"/>
      <c r="D508" s="232">
        <v>6500</v>
      </c>
      <c r="E508" s="232">
        <v>0</v>
      </c>
      <c r="F508" s="232">
        <v>0</v>
      </c>
      <c r="G508" s="232" t="s">
        <v>2254</v>
      </c>
      <c r="H508" s="232"/>
      <c r="I508" s="232" t="b">
        <v>0</v>
      </c>
      <c r="J508" s="232" t="b">
        <v>0</v>
      </c>
      <c r="K508" s="232" t="b">
        <v>1</v>
      </c>
      <c r="L508" s="232" t="s">
        <v>63</v>
      </c>
      <c r="M508" s="232" t="s">
        <v>2254</v>
      </c>
      <c r="N508" s="232" t="str">
        <f>_xlfn.IFNA(VLOOKUP($M508,[1]Buff.CM!$A:$O,13,FALSE),"")</f>
        <v>icon_battle_attack</v>
      </c>
      <c r="O508" s="232" t="str">
        <f>_xlfn.IFNA(VLOOKUP($M508,[1]Buff.CM!$A:$O,14,FALSE),"")</f>
        <v>Buff.Name.Atk.Up.03</v>
      </c>
      <c r="P508" s="232" t="str">
        <f>_xlfn.IFNA(VLOOKUP($M508,[1]Buff.CM!$A:$O,15,FALSE),"")</f>
        <v>Buff.Desc.Atk.Up.03</v>
      </c>
      <c r="Q508" s="232" t="b">
        <v>0</v>
      </c>
      <c r="R508" s="232" t="b">
        <v>0</v>
      </c>
    </row>
    <row r="509" spans="1:18" x14ac:dyDescent="0.3">
      <c r="A509" s="232" t="s">
        <v>2826</v>
      </c>
      <c r="B509" s="232"/>
      <c r="C509" s="232"/>
      <c r="D509" s="232">
        <v>6000</v>
      </c>
      <c r="E509" s="232">
        <v>0</v>
      </c>
      <c r="F509" s="232">
        <v>0</v>
      </c>
      <c r="G509" s="232" t="s">
        <v>2254</v>
      </c>
      <c r="H509" s="232"/>
      <c r="I509" s="232" t="b">
        <v>0</v>
      </c>
      <c r="J509" s="232" t="b">
        <v>0</v>
      </c>
      <c r="K509" s="232" t="b">
        <v>1</v>
      </c>
      <c r="L509" s="232" t="s">
        <v>63</v>
      </c>
      <c r="M509" s="232" t="s">
        <v>2254</v>
      </c>
      <c r="N509" s="232" t="str">
        <f>_xlfn.IFNA(VLOOKUP($M509,[1]Buff.CM!$A:$O,13,FALSE),"")</f>
        <v>icon_battle_attack</v>
      </c>
      <c r="O509" s="232" t="str">
        <f>_xlfn.IFNA(VLOOKUP($M509,[1]Buff.CM!$A:$O,14,FALSE),"")</f>
        <v>Buff.Name.Atk.Up.03</v>
      </c>
      <c r="P509" s="232" t="str">
        <f>_xlfn.IFNA(VLOOKUP($M509,[1]Buff.CM!$A:$O,15,FALSE),"")</f>
        <v>Buff.Desc.Atk.Up.03</v>
      </c>
      <c r="Q509" s="232" t="b">
        <v>0</v>
      </c>
      <c r="R509" s="232" t="b">
        <v>0</v>
      </c>
    </row>
    <row r="510" spans="1:18" x14ac:dyDescent="0.3">
      <c r="A510" s="232" t="s">
        <v>2827</v>
      </c>
      <c r="B510" s="232"/>
      <c r="C510" s="232"/>
      <c r="D510" s="232">
        <v>6000</v>
      </c>
      <c r="E510" s="232">
        <v>0</v>
      </c>
      <c r="F510" s="232">
        <v>0</v>
      </c>
      <c r="G510" s="232" t="s">
        <v>2254</v>
      </c>
      <c r="H510" s="232"/>
      <c r="I510" s="232" t="b">
        <v>0</v>
      </c>
      <c r="J510" s="232" t="b">
        <v>0</v>
      </c>
      <c r="K510" s="232" t="b">
        <v>1</v>
      </c>
      <c r="L510" s="232" t="s">
        <v>63</v>
      </c>
      <c r="M510" s="232" t="s">
        <v>2254</v>
      </c>
      <c r="N510" s="232" t="str">
        <f>_xlfn.IFNA(VLOOKUP($M510,[1]Buff.CM!$A:$O,13,FALSE),"")</f>
        <v>icon_battle_attack</v>
      </c>
      <c r="O510" s="232" t="str">
        <f>_xlfn.IFNA(VLOOKUP($M510,[1]Buff.CM!$A:$O,14,FALSE),"")</f>
        <v>Buff.Name.Atk.Up.03</v>
      </c>
      <c r="P510" s="232" t="str">
        <f>_xlfn.IFNA(VLOOKUP($M510,[1]Buff.CM!$A:$O,15,FALSE),"")</f>
        <v>Buff.Desc.Atk.Up.03</v>
      </c>
      <c r="Q510" s="232" t="b">
        <v>0</v>
      </c>
      <c r="R510" s="232" t="b">
        <v>0</v>
      </c>
    </row>
    <row r="511" spans="1:18" ht="49.5" x14ac:dyDescent="0.3">
      <c r="A511" s="231" t="s">
        <v>2828</v>
      </c>
      <c r="B511" s="231"/>
      <c r="C511" s="231"/>
      <c r="D511" s="231">
        <v>0</v>
      </c>
      <c r="E511" s="231">
        <v>0</v>
      </c>
      <c r="F511" s="231">
        <v>0</v>
      </c>
      <c r="G511" s="242" t="s">
        <v>2829</v>
      </c>
      <c r="H511" s="231"/>
      <c r="I511" s="157" t="b">
        <v>1</v>
      </c>
      <c r="J511" s="157" t="b">
        <v>1</v>
      </c>
      <c r="K511" s="232" t="b">
        <v>1</v>
      </c>
      <c r="L511" s="231"/>
      <c r="M511" s="231"/>
      <c r="N511" s="231" t="s">
        <v>1301</v>
      </c>
      <c r="O511" s="231" t="s">
        <v>1301</v>
      </c>
      <c r="P511" s="231" t="s">
        <v>1301</v>
      </c>
      <c r="Q511" s="231" t="b">
        <v>0</v>
      </c>
      <c r="R511" s="231" t="b">
        <v>0</v>
      </c>
    </row>
    <row r="512" spans="1:18" x14ac:dyDescent="0.3">
      <c r="A512" s="231" t="s">
        <v>2830</v>
      </c>
      <c r="B512" s="231"/>
      <c r="C512" s="231"/>
      <c r="D512" s="231">
        <v>0</v>
      </c>
      <c r="E512" s="231">
        <v>0</v>
      </c>
      <c r="F512" s="231">
        <v>0</v>
      </c>
      <c r="G512" s="242" t="s">
        <v>173</v>
      </c>
      <c r="H512" s="231"/>
      <c r="I512" s="157" t="b">
        <v>1</v>
      </c>
      <c r="J512" s="157" t="b">
        <v>1</v>
      </c>
      <c r="K512" s="232" t="b">
        <v>1</v>
      </c>
      <c r="L512" s="231"/>
      <c r="M512" s="231"/>
      <c r="N512" s="231" t="s">
        <v>1301</v>
      </c>
      <c r="O512" s="231" t="s">
        <v>1301</v>
      </c>
      <c r="P512" s="231" t="s">
        <v>1301</v>
      </c>
      <c r="Q512" s="231" t="b">
        <v>0</v>
      </c>
      <c r="R512" s="231" t="b">
        <v>0</v>
      </c>
    </row>
    <row r="513" spans="1:18" x14ac:dyDescent="0.3">
      <c r="A513" s="157" t="s">
        <v>2831</v>
      </c>
      <c r="B513" s="157"/>
      <c r="C513" s="157"/>
      <c r="D513" s="157">
        <v>0</v>
      </c>
      <c r="E513" s="157">
        <v>0</v>
      </c>
      <c r="F513" s="157">
        <v>0</v>
      </c>
      <c r="G513" s="157" t="s">
        <v>2728</v>
      </c>
      <c r="H513" s="157"/>
      <c r="I513" s="157" t="b">
        <v>1</v>
      </c>
      <c r="J513" s="157" t="b">
        <v>1</v>
      </c>
      <c r="K513" s="232" t="b">
        <v>1</v>
      </c>
      <c r="L513" s="157"/>
      <c r="M513" s="157"/>
      <c r="N513" s="157" t="s">
        <v>1301</v>
      </c>
      <c r="O513" s="157" t="s">
        <v>1301</v>
      </c>
      <c r="P513" s="157" t="s">
        <v>1301</v>
      </c>
      <c r="Q513" s="157" t="b">
        <v>0</v>
      </c>
      <c r="R513" s="157" t="b">
        <v>0</v>
      </c>
    </row>
    <row r="514" spans="1:18" x14ac:dyDescent="0.3">
      <c r="A514" s="157" t="s">
        <v>2832</v>
      </c>
      <c r="B514" s="157"/>
      <c r="C514" s="157"/>
      <c r="D514" s="157">
        <v>0</v>
      </c>
      <c r="E514" s="157">
        <v>0</v>
      </c>
      <c r="F514" s="157">
        <v>0</v>
      </c>
      <c r="G514" s="157" t="s">
        <v>2730</v>
      </c>
      <c r="H514" s="157"/>
      <c r="I514" s="157" t="b">
        <v>1</v>
      </c>
      <c r="J514" s="157" t="b">
        <v>1</v>
      </c>
      <c r="K514" s="232" t="b">
        <v>1</v>
      </c>
      <c r="L514" s="157"/>
      <c r="M514" s="157"/>
      <c r="N514" s="157" t="s">
        <v>1301</v>
      </c>
      <c r="O514" s="157" t="s">
        <v>1301</v>
      </c>
      <c r="P514" s="157" t="s">
        <v>1301</v>
      </c>
      <c r="Q514" s="157" t="b">
        <v>0</v>
      </c>
      <c r="R514" s="157" t="b">
        <v>0</v>
      </c>
    </row>
    <row r="515" spans="1:18" x14ac:dyDescent="0.3">
      <c r="A515" s="157" t="s">
        <v>2833</v>
      </c>
      <c r="B515" s="157"/>
      <c r="C515" s="157"/>
      <c r="D515" s="157">
        <v>0</v>
      </c>
      <c r="E515" s="157">
        <v>0</v>
      </c>
      <c r="F515" s="157">
        <v>0</v>
      </c>
      <c r="G515" s="157" t="s">
        <v>2732</v>
      </c>
      <c r="H515" s="157"/>
      <c r="I515" s="157" t="b">
        <v>1</v>
      </c>
      <c r="J515" s="157" t="b">
        <v>1</v>
      </c>
      <c r="K515" s="232" t="b">
        <v>1</v>
      </c>
      <c r="L515" s="157"/>
      <c r="M515" s="157"/>
      <c r="N515" s="157" t="s">
        <v>1301</v>
      </c>
      <c r="O515" s="157" t="s">
        <v>1301</v>
      </c>
      <c r="P515" s="157" t="s">
        <v>1301</v>
      </c>
      <c r="Q515" s="157" t="b">
        <v>0</v>
      </c>
      <c r="R515" s="157" t="b">
        <v>0</v>
      </c>
    </row>
    <row r="516" spans="1:18" x14ac:dyDescent="0.3">
      <c r="A516" s="157" t="s">
        <v>2834</v>
      </c>
      <c r="B516" s="157"/>
      <c r="C516" s="157"/>
      <c r="D516" s="157">
        <v>0</v>
      </c>
      <c r="E516" s="157">
        <v>0</v>
      </c>
      <c r="F516" s="157">
        <v>0</v>
      </c>
      <c r="G516" s="157" t="s">
        <v>2734</v>
      </c>
      <c r="H516" s="157"/>
      <c r="I516" s="157" t="b">
        <v>1</v>
      </c>
      <c r="J516" s="157" t="b">
        <v>1</v>
      </c>
      <c r="K516" s="232" t="b">
        <v>1</v>
      </c>
      <c r="L516" s="157"/>
      <c r="M516" s="157"/>
      <c r="N516" s="157" t="s">
        <v>1301</v>
      </c>
      <c r="O516" s="157" t="s">
        <v>1301</v>
      </c>
      <c r="P516" s="157" t="s">
        <v>1301</v>
      </c>
      <c r="Q516" s="157" t="b">
        <v>0</v>
      </c>
      <c r="R516" s="157" t="b">
        <v>0</v>
      </c>
    </row>
    <row r="517" spans="1:18" x14ac:dyDescent="0.3">
      <c r="A517" s="157" t="s">
        <v>2835</v>
      </c>
      <c r="B517" s="157"/>
      <c r="C517" s="157"/>
      <c r="D517" s="157">
        <v>0</v>
      </c>
      <c r="E517" s="157">
        <v>0</v>
      </c>
      <c r="F517" s="157">
        <v>0</v>
      </c>
      <c r="G517" s="157" t="s">
        <v>2736</v>
      </c>
      <c r="H517" s="157"/>
      <c r="I517" s="157" t="b">
        <v>1</v>
      </c>
      <c r="J517" s="157" t="b">
        <v>1</v>
      </c>
      <c r="K517" s="232" t="b">
        <v>1</v>
      </c>
      <c r="L517" s="157"/>
      <c r="M517" s="157"/>
      <c r="N517" s="157" t="s">
        <v>1301</v>
      </c>
      <c r="O517" s="157" t="s">
        <v>1301</v>
      </c>
      <c r="P517" s="157" t="s">
        <v>1301</v>
      </c>
      <c r="Q517" s="157" t="b">
        <v>0</v>
      </c>
      <c r="R517" s="157" t="b">
        <v>0</v>
      </c>
    </row>
    <row r="518" spans="1:18" x14ac:dyDescent="0.3">
      <c r="A518" s="157" t="s">
        <v>2836</v>
      </c>
      <c r="B518" s="157"/>
      <c r="C518" s="157"/>
      <c r="D518" s="157">
        <v>0</v>
      </c>
      <c r="E518" s="157">
        <v>0</v>
      </c>
      <c r="F518" s="157">
        <v>0</v>
      </c>
      <c r="G518" s="157" t="s">
        <v>2738</v>
      </c>
      <c r="H518" s="157"/>
      <c r="I518" s="157" t="b">
        <v>1</v>
      </c>
      <c r="J518" s="157" t="b">
        <v>1</v>
      </c>
      <c r="K518" s="232" t="b">
        <v>1</v>
      </c>
      <c r="L518" s="157"/>
      <c r="M518" s="157"/>
      <c r="N518" s="157" t="s">
        <v>1301</v>
      </c>
      <c r="O518" s="157" t="s">
        <v>1301</v>
      </c>
      <c r="P518" s="157" t="s">
        <v>1301</v>
      </c>
      <c r="Q518" s="157" t="b">
        <v>0</v>
      </c>
      <c r="R518" s="157" t="b">
        <v>0</v>
      </c>
    </row>
    <row r="519" spans="1:18" ht="33" x14ac:dyDescent="0.3">
      <c r="A519" s="231" t="s">
        <v>2729</v>
      </c>
      <c r="B519" s="231" t="s">
        <v>487</v>
      </c>
      <c r="C519" s="231" t="s">
        <v>2830</v>
      </c>
      <c r="D519" s="231">
        <v>0</v>
      </c>
      <c r="E519" s="231">
        <v>0</v>
      </c>
      <c r="F519" s="231">
        <v>0</v>
      </c>
      <c r="G519" s="242" t="s">
        <v>2837</v>
      </c>
      <c r="H519" s="231"/>
      <c r="I519" s="157" t="b">
        <v>1</v>
      </c>
      <c r="J519" s="157" t="b">
        <v>1</v>
      </c>
      <c r="K519" s="232" t="b">
        <v>1</v>
      </c>
      <c r="L519" s="231"/>
      <c r="M519" s="231"/>
      <c r="N519" s="231" t="s">
        <v>1301</v>
      </c>
      <c r="O519" s="231" t="s">
        <v>1301</v>
      </c>
      <c r="P519" s="231" t="s">
        <v>1301</v>
      </c>
      <c r="Q519" s="231" t="b">
        <v>0</v>
      </c>
      <c r="R519" s="231" t="b">
        <v>0</v>
      </c>
    </row>
    <row r="520" spans="1:18" ht="33" x14ac:dyDescent="0.3">
      <c r="A520" s="231" t="s">
        <v>2731</v>
      </c>
      <c r="B520" s="231" t="s">
        <v>487</v>
      </c>
      <c r="C520" s="231" t="s">
        <v>2830</v>
      </c>
      <c r="D520" s="231">
        <v>0</v>
      </c>
      <c r="E520" s="231">
        <v>0</v>
      </c>
      <c r="F520" s="231">
        <v>0</v>
      </c>
      <c r="G520" s="242" t="s">
        <v>2838</v>
      </c>
      <c r="H520" s="231"/>
      <c r="I520" s="157" t="b">
        <v>1</v>
      </c>
      <c r="J520" s="157" t="b">
        <v>1</v>
      </c>
      <c r="K520" s="232" t="b">
        <v>1</v>
      </c>
      <c r="L520" s="231"/>
      <c r="M520" s="231"/>
      <c r="N520" s="231" t="s">
        <v>1301</v>
      </c>
      <c r="O520" s="231" t="s">
        <v>1301</v>
      </c>
      <c r="P520" s="231" t="s">
        <v>1301</v>
      </c>
      <c r="Q520" s="231" t="b">
        <v>0</v>
      </c>
      <c r="R520" s="231" t="b">
        <v>0</v>
      </c>
    </row>
    <row r="521" spans="1:18" ht="33" x14ac:dyDescent="0.3">
      <c r="A521" s="231" t="s">
        <v>2733</v>
      </c>
      <c r="B521" s="231" t="s">
        <v>487</v>
      </c>
      <c r="C521" s="231" t="s">
        <v>2830</v>
      </c>
      <c r="D521" s="231">
        <v>0</v>
      </c>
      <c r="E521" s="231">
        <v>0</v>
      </c>
      <c r="F521" s="231">
        <v>0</v>
      </c>
      <c r="G521" s="242" t="s">
        <v>2839</v>
      </c>
      <c r="H521" s="231"/>
      <c r="I521" s="157" t="b">
        <v>1</v>
      </c>
      <c r="J521" s="157" t="b">
        <v>1</v>
      </c>
      <c r="K521" s="232" t="b">
        <v>1</v>
      </c>
      <c r="L521" s="231"/>
      <c r="M521" s="231"/>
      <c r="N521" s="231" t="s">
        <v>1301</v>
      </c>
      <c r="O521" s="231" t="s">
        <v>1301</v>
      </c>
      <c r="P521" s="231" t="s">
        <v>1301</v>
      </c>
      <c r="Q521" s="231" t="b">
        <v>0</v>
      </c>
      <c r="R521" s="231" t="b">
        <v>0</v>
      </c>
    </row>
    <row r="522" spans="1:18" ht="33" x14ac:dyDescent="0.3">
      <c r="A522" s="232" t="s">
        <v>2735</v>
      </c>
      <c r="B522" s="232" t="s">
        <v>487</v>
      </c>
      <c r="C522" s="232" t="s">
        <v>2830</v>
      </c>
      <c r="D522" s="232">
        <v>0</v>
      </c>
      <c r="E522" s="232">
        <v>0</v>
      </c>
      <c r="F522" s="232">
        <v>0</v>
      </c>
      <c r="G522" s="238" t="s">
        <v>2840</v>
      </c>
      <c r="H522" s="232"/>
      <c r="I522" s="157" t="b">
        <v>1</v>
      </c>
      <c r="J522" s="157" t="b">
        <v>1</v>
      </c>
      <c r="K522" s="232" t="b">
        <v>1</v>
      </c>
      <c r="L522" s="232"/>
      <c r="M522" s="232"/>
      <c r="N522" s="232" t="s">
        <v>1301</v>
      </c>
      <c r="O522" s="232" t="s">
        <v>1301</v>
      </c>
      <c r="P522" s="232" t="s">
        <v>1301</v>
      </c>
      <c r="Q522" s="232" t="b">
        <v>0</v>
      </c>
      <c r="R522" s="232" t="b">
        <v>0</v>
      </c>
    </row>
    <row r="523" spans="1:18" ht="33" x14ac:dyDescent="0.3">
      <c r="A523" s="232" t="s">
        <v>2737</v>
      </c>
      <c r="B523" s="232" t="s">
        <v>487</v>
      </c>
      <c r="C523" s="232" t="s">
        <v>2830</v>
      </c>
      <c r="D523" s="232">
        <v>0</v>
      </c>
      <c r="E523" s="232">
        <v>0</v>
      </c>
      <c r="F523" s="232">
        <v>0</v>
      </c>
      <c r="G523" s="238" t="s">
        <v>2841</v>
      </c>
      <c r="H523" s="232"/>
      <c r="I523" s="157" t="b">
        <v>1</v>
      </c>
      <c r="J523" s="157" t="b">
        <v>1</v>
      </c>
      <c r="K523" s="232" t="b">
        <v>1</v>
      </c>
      <c r="L523" s="232"/>
      <c r="M523" s="232"/>
      <c r="N523" s="232" t="s">
        <v>1301</v>
      </c>
      <c r="O523" s="232" t="s">
        <v>1301</v>
      </c>
      <c r="P523" s="232" t="s">
        <v>1301</v>
      </c>
      <c r="Q523" s="232" t="b">
        <v>0</v>
      </c>
      <c r="R523" s="232" t="b">
        <v>0</v>
      </c>
    </row>
    <row r="524" spans="1:18" ht="33" x14ac:dyDescent="0.3">
      <c r="A524" s="232" t="s">
        <v>2739</v>
      </c>
      <c r="B524" s="232" t="s">
        <v>487</v>
      </c>
      <c r="C524" s="232" t="s">
        <v>2830</v>
      </c>
      <c r="D524" s="232">
        <v>0</v>
      </c>
      <c r="E524" s="232">
        <v>0</v>
      </c>
      <c r="F524" s="232">
        <v>0</v>
      </c>
      <c r="G524" s="238" t="s">
        <v>2842</v>
      </c>
      <c r="H524" s="232"/>
      <c r="I524" s="157" t="b">
        <v>1</v>
      </c>
      <c r="J524" s="157" t="b">
        <v>1</v>
      </c>
      <c r="K524" s="232" t="b">
        <v>1</v>
      </c>
      <c r="L524" s="232"/>
      <c r="M524" s="232"/>
      <c r="N524" s="232" t="s">
        <v>1301</v>
      </c>
      <c r="O524" s="232" t="s">
        <v>1301</v>
      </c>
      <c r="P524" s="232" t="s">
        <v>1301</v>
      </c>
      <c r="Q524" s="232" t="b">
        <v>0</v>
      </c>
      <c r="R524" s="232" t="b">
        <v>0</v>
      </c>
    </row>
    <row r="525" spans="1:18" x14ac:dyDescent="0.3">
      <c r="A525" s="231" t="s">
        <v>2843</v>
      </c>
      <c r="B525" s="231"/>
      <c r="C525" s="231"/>
      <c r="D525" s="231">
        <v>0</v>
      </c>
      <c r="E525" s="231">
        <v>0</v>
      </c>
      <c r="F525" s="231">
        <v>0</v>
      </c>
      <c r="G525" s="231" t="s">
        <v>2758</v>
      </c>
      <c r="H525" s="231"/>
      <c r="I525" s="157" t="b">
        <v>1</v>
      </c>
      <c r="J525" s="157" t="b">
        <v>1</v>
      </c>
      <c r="K525" s="157" t="b">
        <v>1</v>
      </c>
      <c r="L525" s="231"/>
      <c r="M525" s="231"/>
      <c r="N525" s="231" t="s">
        <v>1301</v>
      </c>
      <c r="O525" s="231" t="s">
        <v>1301</v>
      </c>
      <c r="P525" s="231" t="s">
        <v>1301</v>
      </c>
      <c r="Q525" s="231" t="b">
        <v>0</v>
      </c>
      <c r="R525" s="231" t="b">
        <v>0</v>
      </c>
    </row>
    <row r="526" spans="1:18" x14ac:dyDescent="0.3">
      <c r="A526" s="231" t="s">
        <v>2844</v>
      </c>
      <c r="B526" s="231"/>
      <c r="C526" s="231"/>
      <c r="D526" s="231">
        <v>0</v>
      </c>
      <c r="E526" s="231">
        <v>0</v>
      </c>
      <c r="F526" s="231">
        <v>0</v>
      </c>
      <c r="G526" s="231" t="s">
        <v>2760</v>
      </c>
      <c r="H526" s="231"/>
      <c r="I526" s="157" t="b">
        <v>1</v>
      </c>
      <c r="J526" s="157" t="b">
        <v>1</v>
      </c>
      <c r="K526" s="157" t="b">
        <v>1</v>
      </c>
      <c r="L526" s="231"/>
      <c r="M526" s="231"/>
      <c r="N526" s="231" t="s">
        <v>1301</v>
      </c>
      <c r="O526" s="231" t="s">
        <v>1301</v>
      </c>
      <c r="P526" s="231" t="s">
        <v>1301</v>
      </c>
      <c r="Q526" s="231" t="b">
        <v>0</v>
      </c>
      <c r="R526" s="231" t="b">
        <v>0</v>
      </c>
    </row>
    <row r="527" spans="1:18" x14ac:dyDescent="0.3">
      <c r="A527" s="231" t="s">
        <v>2845</v>
      </c>
      <c r="B527" s="231"/>
      <c r="C527" s="231"/>
      <c r="D527" s="231">
        <v>0</v>
      </c>
      <c r="E527" s="231">
        <v>0</v>
      </c>
      <c r="F527" s="231">
        <v>0</v>
      </c>
      <c r="G527" s="231" t="s">
        <v>2762</v>
      </c>
      <c r="H527" s="231"/>
      <c r="I527" s="157" t="b">
        <v>1</v>
      </c>
      <c r="J527" s="157" t="b">
        <v>1</v>
      </c>
      <c r="K527" s="157" t="b">
        <v>1</v>
      </c>
      <c r="L527" s="231"/>
      <c r="M527" s="231"/>
      <c r="N527" s="231" t="s">
        <v>1301</v>
      </c>
      <c r="O527" s="231" t="s">
        <v>1301</v>
      </c>
      <c r="P527" s="231" t="s">
        <v>1301</v>
      </c>
      <c r="Q527" s="231" t="b">
        <v>0</v>
      </c>
      <c r="R527" s="231" t="b">
        <v>0</v>
      </c>
    </row>
    <row r="528" spans="1:18" x14ac:dyDescent="0.3">
      <c r="A528" s="232" t="s">
        <v>2846</v>
      </c>
      <c r="B528" s="232"/>
      <c r="C528" s="232"/>
      <c r="D528" s="232">
        <v>0</v>
      </c>
      <c r="E528" s="232">
        <v>0</v>
      </c>
      <c r="F528" s="232">
        <v>0</v>
      </c>
      <c r="G528" s="232" t="s">
        <v>2764</v>
      </c>
      <c r="H528" s="232"/>
      <c r="I528" s="232" t="b">
        <v>1</v>
      </c>
      <c r="J528" s="157" t="b">
        <v>1</v>
      </c>
      <c r="K528" s="232" t="b">
        <v>1</v>
      </c>
      <c r="L528" s="232"/>
      <c r="M528" s="232"/>
      <c r="N528" s="232" t="s">
        <v>1301</v>
      </c>
      <c r="O528" s="232" t="s">
        <v>1301</v>
      </c>
      <c r="P528" s="232" t="s">
        <v>1301</v>
      </c>
      <c r="Q528" s="232" t="b">
        <v>0</v>
      </c>
      <c r="R528" s="232" t="b">
        <v>0</v>
      </c>
    </row>
    <row r="529" spans="1:18" x14ac:dyDescent="0.3">
      <c r="A529" s="232" t="s">
        <v>2847</v>
      </c>
      <c r="B529" s="232"/>
      <c r="C529" s="232"/>
      <c r="D529" s="232">
        <v>0</v>
      </c>
      <c r="E529" s="232">
        <v>0</v>
      </c>
      <c r="F529" s="232">
        <v>0</v>
      </c>
      <c r="G529" s="232" t="s">
        <v>2766</v>
      </c>
      <c r="H529" s="232"/>
      <c r="I529" s="232" t="b">
        <v>1</v>
      </c>
      <c r="J529" s="157" t="b">
        <v>1</v>
      </c>
      <c r="K529" s="232" t="b">
        <v>1</v>
      </c>
      <c r="L529" s="232"/>
      <c r="M529" s="232"/>
      <c r="N529" s="232" t="s">
        <v>1301</v>
      </c>
      <c r="O529" s="232" t="s">
        <v>1301</v>
      </c>
      <c r="P529" s="232" t="s">
        <v>1301</v>
      </c>
      <c r="Q529" s="232" t="b">
        <v>0</v>
      </c>
      <c r="R529" s="232" t="b">
        <v>0</v>
      </c>
    </row>
    <row r="530" spans="1:18" x14ac:dyDescent="0.3">
      <c r="A530" s="232" t="s">
        <v>2848</v>
      </c>
      <c r="B530" s="232"/>
      <c r="C530" s="232"/>
      <c r="D530" s="232">
        <v>0</v>
      </c>
      <c r="E530" s="232">
        <v>0</v>
      </c>
      <c r="F530" s="232">
        <v>0</v>
      </c>
      <c r="G530" s="232" t="s">
        <v>2768</v>
      </c>
      <c r="H530" s="232"/>
      <c r="I530" s="232" t="b">
        <v>1</v>
      </c>
      <c r="J530" s="157" t="b">
        <v>1</v>
      </c>
      <c r="K530" s="232" t="b">
        <v>1</v>
      </c>
      <c r="L530" s="232"/>
      <c r="M530" s="232"/>
      <c r="N530" s="232" t="s">
        <v>1301</v>
      </c>
      <c r="O530" s="232" t="s">
        <v>1301</v>
      </c>
      <c r="P530" s="232" t="s">
        <v>1301</v>
      </c>
      <c r="Q530" s="232" t="b">
        <v>0</v>
      </c>
      <c r="R530" s="232" t="b">
        <v>0</v>
      </c>
    </row>
    <row r="531" spans="1:18" x14ac:dyDescent="0.3">
      <c r="A531" s="157" t="s">
        <v>2849</v>
      </c>
      <c r="B531" s="157"/>
      <c r="C531" s="157"/>
      <c r="D531" s="157">
        <v>0</v>
      </c>
      <c r="E531" s="157">
        <v>0</v>
      </c>
      <c r="F531" s="157">
        <v>0</v>
      </c>
      <c r="G531" s="157" t="s">
        <v>2770</v>
      </c>
      <c r="H531" s="157"/>
      <c r="I531" s="157" t="b">
        <v>1</v>
      </c>
      <c r="J531" s="157" t="b">
        <v>1</v>
      </c>
      <c r="K531" s="157" t="b">
        <v>1</v>
      </c>
      <c r="L531" s="157"/>
      <c r="M531" s="157"/>
      <c r="N531" s="157" t="s">
        <v>1301</v>
      </c>
      <c r="O531" s="157" t="s">
        <v>1301</v>
      </c>
      <c r="P531" s="157" t="s">
        <v>1301</v>
      </c>
      <c r="Q531" s="157" t="b">
        <v>0</v>
      </c>
      <c r="R531" s="157" t="b">
        <v>0</v>
      </c>
    </row>
    <row r="532" spans="1:18" x14ac:dyDescent="0.3">
      <c r="A532" s="157" t="s">
        <v>2850</v>
      </c>
      <c r="B532" s="157"/>
      <c r="C532" s="157"/>
      <c r="D532" s="157">
        <v>0</v>
      </c>
      <c r="E532" s="157">
        <v>0</v>
      </c>
      <c r="F532" s="157">
        <v>0</v>
      </c>
      <c r="G532" s="157" t="s">
        <v>2771</v>
      </c>
      <c r="H532" s="157"/>
      <c r="I532" s="157" t="b">
        <v>1</v>
      </c>
      <c r="J532" s="157" t="b">
        <v>1</v>
      </c>
      <c r="K532" s="157" t="b">
        <v>1</v>
      </c>
      <c r="L532" s="157"/>
      <c r="M532" s="157"/>
      <c r="N532" s="157" t="s">
        <v>1301</v>
      </c>
      <c r="O532" s="157" t="s">
        <v>1301</v>
      </c>
      <c r="P532" s="157" t="s">
        <v>1301</v>
      </c>
      <c r="Q532" s="157" t="b">
        <v>0</v>
      </c>
      <c r="R532" s="157" t="b">
        <v>0</v>
      </c>
    </row>
    <row r="533" spans="1:18" x14ac:dyDescent="0.3">
      <c r="A533" s="157" t="s">
        <v>2851</v>
      </c>
      <c r="B533" s="157"/>
      <c r="C533" s="157"/>
      <c r="D533" s="157">
        <v>0</v>
      </c>
      <c r="E533" s="157">
        <v>0</v>
      </c>
      <c r="F533" s="157">
        <v>0</v>
      </c>
      <c r="G533" s="157" t="s">
        <v>2772</v>
      </c>
      <c r="H533" s="157"/>
      <c r="I533" s="157" t="b">
        <v>1</v>
      </c>
      <c r="J533" s="157" t="b">
        <v>1</v>
      </c>
      <c r="K533" s="157" t="b">
        <v>1</v>
      </c>
      <c r="L533" s="157"/>
      <c r="M533" s="157"/>
      <c r="N533" s="157" t="s">
        <v>1301</v>
      </c>
      <c r="O533" s="157" t="s">
        <v>1301</v>
      </c>
      <c r="P533" s="157" t="s">
        <v>1301</v>
      </c>
      <c r="Q533" s="157" t="b">
        <v>0</v>
      </c>
      <c r="R533" s="157" t="b">
        <v>0</v>
      </c>
    </row>
    <row r="534" spans="1:18" x14ac:dyDescent="0.3">
      <c r="A534" s="232" t="s">
        <v>2852</v>
      </c>
      <c r="B534" s="232"/>
      <c r="C534" s="232"/>
      <c r="D534" s="232">
        <v>0</v>
      </c>
      <c r="E534" s="232">
        <v>0</v>
      </c>
      <c r="F534" s="232">
        <v>0</v>
      </c>
      <c r="G534" s="232" t="s">
        <v>2773</v>
      </c>
      <c r="H534" s="232"/>
      <c r="I534" s="232" t="b">
        <v>1</v>
      </c>
      <c r="J534" s="157" t="b">
        <v>1</v>
      </c>
      <c r="K534" s="232" t="b">
        <v>1</v>
      </c>
      <c r="L534" s="232"/>
      <c r="M534" s="232"/>
      <c r="N534" s="232" t="s">
        <v>1301</v>
      </c>
      <c r="O534" s="232" t="s">
        <v>1301</v>
      </c>
      <c r="P534" s="232" t="s">
        <v>1301</v>
      </c>
      <c r="Q534" s="232" t="b">
        <v>0</v>
      </c>
      <c r="R534" s="232" t="b">
        <v>0</v>
      </c>
    </row>
    <row r="535" spans="1:18" x14ac:dyDescent="0.3">
      <c r="A535" s="232" t="s">
        <v>2853</v>
      </c>
      <c r="B535" s="232"/>
      <c r="C535" s="232"/>
      <c r="D535" s="232">
        <v>0</v>
      </c>
      <c r="E535" s="232">
        <v>0</v>
      </c>
      <c r="F535" s="232">
        <v>0</v>
      </c>
      <c r="G535" s="232" t="s">
        <v>2774</v>
      </c>
      <c r="H535" s="232"/>
      <c r="I535" s="232" t="b">
        <v>1</v>
      </c>
      <c r="J535" s="157" t="b">
        <v>1</v>
      </c>
      <c r="K535" s="232" t="b">
        <v>1</v>
      </c>
      <c r="L535" s="232"/>
      <c r="M535" s="232"/>
      <c r="N535" s="232" t="s">
        <v>1301</v>
      </c>
      <c r="O535" s="232" t="s">
        <v>1301</v>
      </c>
      <c r="P535" s="232" t="s">
        <v>1301</v>
      </c>
      <c r="Q535" s="232" t="b">
        <v>0</v>
      </c>
      <c r="R535" s="232" t="b">
        <v>0</v>
      </c>
    </row>
    <row r="536" spans="1:18" x14ac:dyDescent="0.3">
      <c r="A536" s="232" t="s">
        <v>2854</v>
      </c>
      <c r="B536" s="232"/>
      <c r="C536" s="232"/>
      <c r="D536" s="232">
        <v>0</v>
      </c>
      <c r="E536" s="232">
        <v>0</v>
      </c>
      <c r="F536" s="232">
        <v>0</v>
      </c>
      <c r="G536" s="232" t="s">
        <v>2775</v>
      </c>
      <c r="H536" s="232"/>
      <c r="I536" s="232" t="b">
        <v>1</v>
      </c>
      <c r="J536" s="157" t="b">
        <v>1</v>
      </c>
      <c r="K536" s="232" t="b">
        <v>1</v>
      </c>
      <c r="L536" s="232"/>
      <c r="M536" s="232"/>
      <c r="N536" s="232" t="s">
        <v>1301</v>
      </c>
      <c r="O536" s="232" t="s">
        <v>1301</v>
      </c>
      <c r="P536" s="232" t="s">
        <v>1301</v>
      </c>
      <c r="Q536" s="232" t="b">
        <v>0</v>
      </c>
      <c r="R536" s="232" t="b">
        <v>0</v>
      </c>
    </row>
    <row r="537" spans="1:18" x14ac:dyDescent="0.3">
      <c r="A537" s="236" t="s">
        <v>2855</v>
      </c>
      <c r="B537" s="236"/>
      <c r="C537" s="236"/>
      <c r="D537" s="236">
        <v>0</v>
      </c>
      <c r="E537" s="236">
        <v>0</v>
      </c>
      <c r="F537" s="236">
        <v>0</v>
      </c>
      <c r="G537" s="236" t="s">
        <v>2856</v>
      </c>
      <c r="H537" s="236"/>
      <c r="I537" s="236" t="b">
        <v>0</v>
      </c>
      <c r="J537" s="236" t="b">
        <v>0</v>
      </c>
      <c r="K537" s="236" t="b">
        <v>1</v>
      </c>
      <c r="L537" s="236"/>
      <c r="M537" s="236"/>
      <c r="N537" s="236" t="s">
        <v>1301</v>
      </c>
      <c r="O537" s="236" t="s">
        <v>1301</v>
      </c>
      <c r="P537" s="236" t="s">
        <v>1301</v>
      </c>
      <c r="Q537" s="236" t="b">
        <v>0</v>
      </c>
      <c r="R537" s="236" t="b">
        <v>0</v>
      </c>
    </row>
    <row r="538" spans="1:18" x14ac:dyDescent="0.3">
      <c r="A538" s="236" t="s">
        <v>2857</v>
      </c>
      <c r="B538" s="236"/>
      <c r="C538" s="236"/>
      <c r="D538" s="236">
        <v>0</v>
      </c>
      <c r="E538" s="236">
        <v>0</v>
      </c>
      <c r="F538" s="236">
        <v>0</v>
      </c>
      <c r="G538" s="236" t="s">
        <v>2858</v>
      </c>
      <c r="H538" s="236"/>
      <c r="I538" s="236" t="b">
        <v>0</v>
      </c>
      <c r="J538" s="236" t="b">
        <v>0</v>
      </c>
      <c r="K538" s="236" t="b">
        <v>1</v>
      </c>
      <c r="L538" s="236"/>
      <c r="M538" s="236"/>
      <c r="N538" s="236" t="s">
        <v>1301</v>
      </c>
      <c r="O538" s="236" t="s">
        <v>1301</v>
      </c>
      <c r="P538" s="236" t="s">
        <v>1301</v>
      </c>
      <c r="Q538" s="236" t="b">
        <v>0</v>
      </c>
      <c r="R538" s="236" t="b">
        <v>0</v>
      </c>
    </row>
    <row r="539" spans="1:18" x14ac:dyDescent="0.3">
      <c r="A539" s="236" t="s">
        <v>2859</v>
      </c>
      <c r="B539" s="236"/>
      <c r="C539" s="236"/>
      <c r="D539" s="236">
        <v>0</v>
      </c>
      <c r="E539" s="236">
        <v>0</v>
      </c>
      <c r="F539" s="236">
        <v>0</v>
      </c>
      <c r="G539" s="236" t="s">
        <v>2860</v>
      </c>
      <c r="H539" s="236"/>
      <c r="I539" s="236" t="b">
        <v>0</v>
      </c>
      <c r="J539" s="236" t="b">
        <v>0</v>
      </c>
      <c r="K539" s="236" t="b">
        <v>1</v>
      </c>
      <c r="L539" s="236"/>
      <c r="M539" s="236"/>
      <c r="N539" s="236" t="s">
        <v>1301</v>
      </c>
      <c r="O539" s="236" t="s">
        <v>1301</v>
      </c>
      <c r="P539" s="236" t="s">
        <v>1301</v>
      </c>
      <c r="Q539" s="236" t="b">
        <v>0</v>
      </c>
      <c r="R539" s="236" t="b">
        <v>0</v>
      </c>
    </row>
    <row r="540" spans="1:18" x14ac:dyDescent="0.3">
      <c r="A540" s="232" t="s">
        <v>2861</v>
      </c>
      <c r="B540" s="232"/>
      <c r="C540" s="232"/>
      <c r="D540" s="232">
        <v>4000</v>
      </c>
      <c r="E540" s="232">
        <v>0</v>
      </c>
      <c r="F540" s="232">
        <v>0</v>
      </c>
      <c r="G540" s="232" t="s">
        <v>173</v>
      </c>
      <c r="H540" s="232"/>
      <c r="I540" s="232" t="b">
        <v>0</v>
      </c>
      <c r="J540" s="232" t="b">
        <v>0</v>
      </c>
      <c r="K540" s="236" t="b">
        <v>1</v>
      </c>
      <c r="L540" s="232"/>
      <c r="M540" s="232"/>
      <c r="N540" s="232" t="s">
        <v>1301</v>
      </c>
      <c r="O540" s="232" t="s">
        <v>1301</v>
      </c>
      <c r="P540" s="232" t="s">
        <v>1301</v>
      </c>
      <c r="Q540" s="232" t="b">
        <v>0</v>
      </c>
      <c r="R540" s="232" t="b">
        <v>0</v>
      </c>
    </row>
    <row r="541" spans="1:18" x14ac:dyDescent="0.3">
      <c r="A541" s="233" t="s">
        <v>2862</v>
      </c>
      <c r="B541" s="233"/>
      <c r="C541" s="233"/>
      <c r="D541" s="233">
        <v>3000</v>
      </c>
      <c r="E541" s="233">
        <v>0</v>
      </c>
      <c r="F541" s="233">
        <v>0</v>
      </c>
      <c r="G541" s="237" t="s">
        <v>2863</v>
      </c>
      <c r="H541" s="233"/>
      <c r="I541" s="233" t="b">
        <v>0</v>
      </c>
      <c r="J541" s="233" t="b">
        <v>0</v>
      </c>
      <c r="K541" s="233" t="b">
        <v>0</v>
      </c>
      <c r="L541" s="233"/>
      <c r="M541" s="233" t="s">
        <v>3368</v>
      </c>
      <c r="N541" s="233" t="str">
        <f>_xlfn.IFNA(VLOOKUP($M541,[1]Buff.CM!$A:$O,13,FALSE),"")</f>
        <v>icon_battle_change</v>
      </c>
      <c r="O541" s="233" t="str">
        <f>_xlfn.IFNA(VLOOKUP($M541,[1]Buff.CM!$A:$O,14,FALSE),"")</f>
        <v>info.shale.debuff.polymorph</v>
      </c>
      <c r="P541" s="233" t="str">
        <f>_xlfn.IFNA(VLOOKUP($M541,[1]Buff.CM!$A:$O,15,FALSE),"")</f>
        <v>Desc.info.shale.debuff.polymorph</v>
      </c>
      <c r="Q541" s="233" t="b">
        <v>0</v>
      </c>
      <c r="R541" s="233" t="b">
        <v>0</v>
      </c>
    </row>
    <row r="542" spans="1:18" x14ac:dyDescent="0.3">
      <c r="A542" s="233" t="s">
        <v>2864</v>
      </c>
      <c r="B542" s="233"/>
      <c r="C542" s="233"/>
      <c r="D542" s="233">
        <v>4000</v>
      </c>
      <c r="E542" s="233">
        <v>0</v>
      </c>
      <c r="F542" s="233">
        <v>0</v>
      </c>
      <c r="G542" s="233" t="s">
        <v>2863</v>
      </c>
      <c r="H542" s="233"/>
      <c r="I542" s="233" t="b">
        <v>0</v>
      </c>
      <c r="J542" s="233" t="b">
        <v>0</v>
      </c>
      <c r="K542" s="233" t="b">
        <v>0</v>
      </c>
      <c r="L542" s="233"/>
      <c r="M542" s="233" t="s">
        <v>3368</v>
      </c>
      <c r="N542" s="233" t="str">
        <f>_xlfn.IFNA(VLOOKUP($M542,[1]Buff.CM!$A:$O,13,FALSE),"")</f>
        <v>icon_battle_change</v>
      </c>
      <c r="O542" s="233" t="str">
        <f>_xlfn.IFNA(VLOOKUP($M542,[1]Buff.CM!$A:$O,14,FALSE),"")</f>
        <v>info.shale.debuff.polymorph</v>
      </c>
      <c r="P542" s="233" t="str">
        <f>_xlfn.IFNA(VLOOKUP($M542,[1]Buff.CM!$A:$O,15,FALSE),"")</f>
        <v>Desc.info.shale.debuff.polymorph</v>
      </c>
      <c r="Q542" s="233" t="b">
        <v>0</v>
      </c>
      <c r="R542" s="233" t="b">
        <v>0</v>
      </c>
    </row>
    <row r="543" spans="1:18" x14ac:dyDescent="0.3">
      <c r="A543" s="233" t="s">
        <v>2865</v>
      </c>
      <c r="B543" s="233"/>
      <c r="C543" s="233"/>
      <c r="D543" s="233">
        <v>4000</v>
      </c>
      <c r="E543" s="233">
        <v>0</v>
      </c>
      <c r="F543" s="233">
        <v>0</v>
      </c>
      <c r="G543" s="233" t="s">
        <v>2863</v>
      </c>
      <c r="H543" s="233"/>
      <c r="I543" s="233" t="b">
        <v>0</v>
      </c>
      <c r="J543" s="233" t="b">
        <v>0</v>
      </c>
      <c r="K543" s="233" t="b">
        <v>0</v>
      </c>
      <c r="L543" s="233"/>
      <c r="M543" s="233" t="s">
        <v>3368</v>
      </c>
      <c r="N543" s="233" t="str">
        <f>_xlfn.IFNA(VLOOKUP($M543,[1]Buff.CM!$A:$O,13,FALSE),"")</f>
        <v>icon_battle_change</v>
      </c>
      <c r="O543" s="233" t="str">
        <f>_xlfn.IFNA(VLOOKUP($M543,[1]Buff.CM!$A:$O,14,FALSE),"")</f>
        <v>info.shale.debuff.polymorph</v>
      </c>
      <c r="P543" s="233" t="str">
        <f>_xlfn.IFNA(VLOOKUP($M543,[1]Buff.CM!$A:$O,15,FALSE),"")</f>
        <v>Desc.info.shale.debuff.polymorph</v>
      </c>
      <c r="Q543" s="233" t="b">
        <v>0</v>
      </c>
      <c r="R543" s="233" t="b">
        <v>0</v>
      </c>
    </row>
    <row r="544" spans="1:18" x14ac:dyDescent="0.3">
      <c r="A544" s="232" t="s">
        <v>2866</v>
      </c>
      <c r="B544" s="232"/>
      <c r="C544" s="232"/>
      <c r="D544" s="232">
        <v>5000</v>
      </c>
      <c r="E544" s="232">
        <v>0</v>
      </c>
      <c r="F544" s="232">
        <v>0</v>
      </c>
      <c r="G544" s="232" t="s">
        <v>2863</v>
      </c>
      <c r="H544" s="232"/>
      <c r="I544" s="232" t="b">
        <v>0</v>
      </c>
      <c r="J544" s="232" t="b">
        <v>0</v>
      </c>
      <c r="K544" s="232" t="b">
        <v>0</v>
      </c>
      <c r="L544" s="232"/>
      <c r="M544" s="232" t="s">
        <v>3368</v>
      </c>
      <c r="N544" s="232" t="str">
        <f>_xlfn.IFNA(VLOOKUP($M544,[1]Buff.CM!$A:$O,13,FALSE),"")</f>
        <v>icon_battle_change</v>
      </c>
      <c r="O544" s="232" t="str">
        <f>_xlfn.IFNA(VLOOKUP($M544,[1]Buff.CM!$A:$O,14,FALSE),"")</f>
        <v>info.shale.debuff.polymorph</v>
      </c>
      <c r="P544" s="232" t="str">
        <f>_xlfn.IFNA(VLOOKUP($M544,[1]Buff.CM!$A:$O,15,FALSE),"")</f>
        <v>Desc.info.shale.debuff.polymorph</v>
      </c>
      <c r="Q544" s="232" t="b">
        <v>0</v>
      </c>
      <c r="R544" s="232" t="b">
        <v>0</v>
      </c>
    </row>
    <row r="545" spans="1:18" x14ac:dyDescent="0.3">
      <c r="A545" s="232" t="s">
        <v>2867</v>
      </c>
      <c r="B545" s="232"/>
      <c r="C545" s="232"/>
      <c r="D545" s="232">
        <v>4000</v>
      </c>
      <c r="E545" s="232">
        <v>0</v>
      </c>
      <c r="F545" s="232">
        <v>0</v>
      </c>
      <c r="G545" s="232" t="s">
        <v>2863</v>
      </c>
      <c r="H545" s="232"/>
      <c r="I545" s="232" t="b">
        <v>0</v>
      </c>
      <c r="J545" s="232" t="b">
        <v>0</v>
      </c>
      <c r="K545" s="232" t="b">
        <v>0</v>
      </c>
      <c r="L545" s="232"/>
      <c r="M545" s="232" t="s">
        <v>3368</v>
      </c>
      <c r="N545" s="232" t="str">
        <f>_xlfn.IFNA(VLOOKUP($M545,[1]Buff.CM!$A:$O,13,FALSE),"")</f>
        <v>icon_battle_change</v>
      </c>
      <c r="O545" s="232" t="str">
        <f>_xlfn.IFNA(VLOOKUP($M545,[1]Buff.CM!$A:$O,14,FALSE),"")</f>
        <v>info.shale.debuff.polymorph</v>
      </c>
      <c r="P545" s="232" t="str">
        <f>_xlfn.IFNA(VLOOKUP($M545,[1]Buff.CM!$A:$O,15,FALSE),"")</f>
        <v>Desc.info.shale.debuff.polymorph</v>
      </c>
      <c r="Q545" s="232" t="b">
        <v>0</v>
      </c>
      <c r="R545" s="232" t="b">
        <v>0</v>
      </c>
    </row>
    <row r="546" spans="1:18" x14ac:dyDescent="0.3">
      <c r="A546" s="232" t="s">
        <v>2868</v>
      </c>
      <c r="B546" s="232"/>
      <c r="C546" s="232"/>
      <c r="D546" s="232">
        <v>4000</v>
      </c>
      <c r="E546" s="232">
        <v>0</v>
      </c>
      <c r="F546" s="232">
        <v>0</v>
      </c>
      <c r="G546" s="232" t="s">
        <v>2863</v>
      </c>
      <c r="H546" s="232"/>
      <c r="I546" s="232" t="b">
        <v>0</v>
      </c>
      <c r="J546" s="232" t="b">
        <v>0</v>
      </c>
      <c r="K546" s="232" t="b">
        <v>0</v>
      </c>
      <c r="L546" s="232"/>
      <c r="M546" s="232" t="s">
        <v>3368</v>
      </c>
      <c r="N546" s="232" t="str">
        <f>_xlfn.IFNA(VLOOKUP($M546,[1]Buff.CM!$A:$O,13,FALSE),"")</f>
        <v>icon_battle_change</v>
      </c>
      <c r="O546" s="232" t="str">
        <f>_xlfn.IFNA(VLOOKUP($M546,[1]Buff.CM!$A:$O,14,FALSE),"")</f>
        <v>info.shale.debuff.polymorph</v>
      </c>
      <c r="P546" s="232" t="str">
        <f>_xlfn.IFNA(VLOOKUP($M546,[1]Buff.CM!$A:$O,15,FALSE),"")</f>
        <v>Desc.info.shale.debuff.polymorph</v>
      </c>
      <c r="Q546" s="232" t="b">
        <v>0</v>
      </c>
      <c r="R546" s="232" t="b">
        <v>0</v>
      </c>
    </row>
    <row r="547" spans="1:18" x14ac:dyDescent="0.3">
      <c r="A547" s="233" t="s">
        <v>2869</v>
      </c>
      <c r="B547" s="233"/>
      <c r="C547" s="233"/>
      <c r="D547" s="233">
        <v>3500</v>
      </c>
      <c r="E547" s="233">
        <v>0</v>
      </c>
      <c r="F547" s="233">
        <v>0</v>
      </c>
      <c r="G547" s="237" t="s">
        <v>2255</v>
      </c>
      <c r="H547" s="233"/>
      <c r="I547" s="233" t="b">
        <v>0</v>
      </c>
      <c r="J547" s="233" t="b">
        <v>0</v>
      </c>
      <c r="K547" s="233" t="b">
        <v>0</v>
      </c>
      <c r="L547" s="233"/>
      <c r="M547" s="233"/>
      <c r="N547" s="233" t="s">
        <v>1301</v>
      </c>
      <c r="O547" s="233" t="s">
        <v>1301</v>
      </c>
      <c r="P547" s="233" t="s">
        <v>1301</v>
      </c>
      <c r="Q547" s="233" t="b">
        <v>0</v>
      </c>
      <c r="R547" s="233" t="b">
        <v>0</v>
      </c>
    </row>
    <row r="548" spans="1:18" x14ac:dyDescent="0.3">
      <c r="A548" s="233" t="s">
        <v>2870</v>
      </c>
      <c r="B548" s="233"/>
      <c r="C548" s="233"/>
      <c r="D548" s="233">
        <v>4500</v>
      </c>
      <c r="E548" s="233">
        <v>0</v>
      </c>
      <c r="F548" s="233">
        <v>0</v>
      </c>
      <c r="G548" s="233" t="s">
        <v>2255</v>
      </c>
      <c r="H548" s="233"/>
      <c r="I548" s="233" t="b">
        <v>0</v>
      </c>
      <c r="J548" s="233" t="b">
        <v>0</v>
      </c>
      <c r="K548" s="233" t="b">
        <v>0</v>
      </c>
      <c r="L548" s="233"/>
      <c r="M548" s="233"/>
      <c r="N548" s="233" t="s">
        <v>1301</v>
      </c>
      <c r="O548" s="233" t="s">
        <v>1301</v>
      </c>
      <c r="P548" s="233" t="s">
        <v>1301</v>
      </c>
      <c r="Q548" s="233" t="b">
        <v>0</v>
      </c>
      <c r="R548" s="233" t="b">
        <v>0</v>
      </c>
    </row>
    <row r="549" spans="1:18" x14ac:dyDescent="0.3">
      <c r="A549" s="233" t="s">
        <v>2871</v>
      </c>
      <c r="B549" s="233"/>
      <c r="C549" s="233"/>
      <c r="D549" s="233">
        <v>4500</v>
      </c>
      <c r="E549" s="233">
        <v>0</v>
      </c>
      <c r="F549" s="233">
        <v>0</v>
      </c>
      <c r="G549" s="233" t="s">
        <v>2255</v>
      </c>
      <c r="H549" s="233"/>
      <c r="I549" s="233" t="b">
        <v>0</v>
      </c>
      <c r="J549" s="233" t="b">
        <v>0</v>
      </c>
      <c r="K549" s="233" t="b">
        <v>0</v>
      </c>
      <c r="L549" s="233"/>
      <c r="M549" s="233"/>
      <c r="N549" s="233" t="s">
        <v>1301</v>
      </c>
      <c r="O549" s="233" t="s">
        <v>1301</v>
      </c>
      <c r="P549" s="233" t="s">
        <v>1301</v>
      </c>
      <c r="Q549" s="233" t="b">
        <v>0</v>
      </c>
      <c r="R549" s="233" t="b">
        <v>0</v>
      </c>
    </row>
    <row r="550" spans="1:18" x14ac:dyDescent="0.3">
      <c r="A550" s="232" t="s">
        <v>2872</v>
      </c>
      <c r="B550" s="232"/>
      <c r="C550" s="232"/>
      <c r="D550" s="232">
        <v>5500</v>
      </c>
      <c r="E550" s="232">
        <v>0</v>
      </c>
      <c r="F550" s="232">
        <v>0</v>
      </c>
      <c r="G550" s="232" t="s">
        <v>2255</v>
      </c>
      <c r="H550" s="232"/>
      <c r="I550" s="232" t="b">
        <v>0</v>
      </c>
      <c r="J550" s="232" t="b">
        <v>0</v>
      </c>
      <c r="K550" s="232" t="b">
        <v>0</v>
      </c>
      <c r="L550" s="232"/>
      <c r="M550" s="232"/>
      <c r="N550" s="232" t="s">
        <v>1301</v>
      </c>
      <c r="O550" s="232" t="s">
        <v>1301</v>
      </c>
      <c r="P550" s="232" t="s">
        <v>1301</v>
      </c>
      <c r="Q550" s="232" t="b">
        <v>0</v>
      </c>
      <c r="R550" s="232" t="b">
        <v>0</v>
      </c>
    </row>
    <row r="551" spans="1:18" x14ac:dyDescent="0.3">
      <c r="A551" s="232" t="s">
        <v>2873</v>
      </c>
      <c r="B551" s="232"/>
      <c r="C551" s="232"/>
      <c r="D551" s="232">
        <v>4500</v>
      </c>
      <c r="E551" s="232">
        <v>0</v>
      </c>
      <c r="F551" s="232">
        <v>0</v>
      </c>
      <c r="G551" s="232" t="s">
        <v>2255</v>
      </c>
      <c r="H551" s="232"/>
      <c r="I551" s="232" t="b">
        <v>0</v>
      </c>
      <c r="J551" s="232" t="b">
        <v>0</v>
      </c>
      <c r="K551" s="232" t="b">
        <v>0</v>
      </c>
      <c r="L551" s="232"/>
      <c r="M551" s="232"/>
      <c r="N551" s="232" t="s">
        <v>1301</v>
      </c>
      <c r="O551" s="232" t="s">
        <v>1301</v>
      </c>
      <c r="P551" s="232" t="s">
        <v>1301</v>
      </c>
      <c r="Q551" s="232" t="b">
        <v>0</v>
      </c>
      <c r="R551" s="232" t="b">
        <v>0</v>
      </c>
    </row>
    <row r="552" spans="1:18" x14ac:dyDescent="0.3">
      <c r="A552" s="232" t="s">
        <v>2874</v>
      </c>
      <c r="B552" s="232"/>
      <c r="C552" s="232"/>
      <c r="D552" s="232">
        <v>4500</v>
      </c>
      <c r="E552" s="232">
        <v>0</v>
      </c>
      <c r="F552" s="232">
        <v>0</v>
      </c>
      <c r="G552" s="232" t="s">
        <v>2255</v>
      </c>
      <c r="H552" s="232"/>
      <c r="I552" s="232" t="b">
        <v>0</v>
      </c>
      <c r="J552" s="232" t="b">
        <v>0</v>
      </c>
      <c r="K552" s="232" t="b">
        <v>0</v>
      </c>
      <c r="L552" s="232"/>
      <c r="M552" s="232"/>
      <c r="N552" s="232" t="s">
        <v>1301</v>
      </c>
      <c r="O552" s="232" t="s">
        <v>1301</v>
      </c>
      <c r="P552" s="232" t="s">
        <v>1301</v>
      </c>
      <c r="Q552" s="232" t="b">
        <v>0</v>
      </c>
      <c r="R552" s="232" t="b">
        <v>0</v>
      </c>
    </row>
    <row r="553" spans="1:18" x14ac:dyDescent="0.3">
      <c r="A553" s="234" t="s">
        <v>2875</v>
      </c>
      <c r="B553" s="234"/>
      <c r="C553" s="234"/>
      <c r="D553" s="234">
        <v>6000</v>
      </c>
      <c r="E553" s="234">
        <v>0</v>
      </c>
      <c r="F553" s="234">
        <v>0</v>
      </c>
      <c r="G553" s="234" t="s">
        <v>2266</v>
      </c>
      <c r="H553" s="234"/>
      <c r="I553" s="234" t="b">
        <v>0</v>
      </c>
      <c r="J553" s="234" t="b">
        <v>0</v>
      </c>
      <c r="K553" s="234" t="b">
        <v>0</v>
      </c>
      <c r="L553" s="234" t="s">
        <v>55</v>
      </c>
      <c r="M553" s="234" t="s">
        <v>2266</v>
      </c>
      <c r="N553" s="234" t="str">
        <f>_xlfn.IFNA(VLOOKUP($M553,[1]Buff.CM!$A:$O,13,FALSE),"")</f>
        <v>icon_battle_defense</v>
      </c>
      <c r="O553" s="234" t="str">
        <f>_xlfn.IFNA(VLOOKUP($M553,[1]Buff.CM!$A:$O,14,FALSE),"")</f>
        <v>Buff.Name.Def.Down.03</v>
      </c>
      <c r="P553" s="234" t="str">
        <f>_xlfn.IFNA(VLOOKUP($M553,[1]Buff.CM!$A:$O,15,FALSE),"")</f>
        <v>Buff.Desc.Def.Down.03</v>
      </c>
      <c r="Q553" s="234" t="b">
        <v>0</v>
      </c>
      <c r="R553" s="234" t="b">
        <v>0</v>
      </c>
    </row>
    <row r="554" spans="1:18" x14ac:dyDescent="0.3">
      <c r="A554" s="234" t="s">
        <v>2876</v>
      </c>
      <c r="B554" s="234"/>
      <c r="C554" s="234"/>
      <c r="D554" s="234">
        <v>7000</v>
      </c>
      <c r="E554" s="234">
        <v>0</v>
      </c>
      <c r="F554" s="234">
        <v>0</v>
      </c>
      <c r="G554" s="234" t="s">
        <v>2266</v>
      </c>
      <c r="H554" s="234"/>
      <c r="I554" s="234" t="b">
        <v>0</v>
      </c>
      <c r="J554" s="234" t="b">
        <v>0</v>
      </c>
      <c r="K554" s="234" t="b">
        <v>0</v>
      </c>
      <c r="L554" s="234" t="s">
        <v>55</v>
      </c>
      <c r="M554" s="234" t="s">
        <v>2266</v>
      </c>
      <c r="N554" s="234" t="str">
        <f>_xlfn.IFNA(VLOOKUP($M554,[1]Buff.CM!$A:$O,13,FALSE),"")</f>
        <v>icon_battle_defense</v>
      </c>
      <c r="O554" s="234" t="str">
        <f>_xlfn.IFNA(VLOOKUP($M554,[1]Buff.CM!$A:$O,14,FALSE),"")</f>
        <v>Buff.Name.Def.Down.03</v>
      </c>
      <c r="P554" s="234" t="str">
        <f>_xlfn.IFNA(VLOOKUP($M554,[1]Buff.CM!$A:$O,15,FALSE),"")</f>
        <v>Buff.Desc.Def.Down.03</v>
      </c>
      <c r="Q554" s="234" t="b">
        <v>0</v>
      </c>
      <c r="R554" s="234" t="b">
        <v>0</v>
      </c>
    </row>
    <row r="555" spans="1:18" x14ac:dyDescent="0.3">
      <c r="A555" s="234" t="s">
        <v>2877</v>
      </c>
      <c r="B555" s="234"/>
      <c r="C555" s="234"/>
      <c r="D555" s="234">
        <v>7000</v>
      </c>
      <c r="E555" s="234">
        <v>0</v>
      </c>
      <c r="F555" s="234">
        <v>0</v>
      </c>
      <c r="G555" s="234" t="s">
        <v>2256</v>
      </c>
      <c r="H555" s="234"/>
      <c r="I555" s="234" t="b">
        <v>0</v>
      </c>
      <c r="J555" s="234" t="b">
        <v>0</v>
      </c>
      <c r="K555" s="234" t="b">
        <v>0</v>
      </c>
      <c r="L555" s="234" t="s">
        <v>55</v>
      </c>
      <c r="M555" s="234" t="s">
        <v>2256</v>
      </c>
      <c r="N555" s="234" t="str">
        <f>_xlfn.IFNA(VLOOKUP($M555,[1]Buff.CM!$A:$O,13,FALSE),"")</f>
        <v>icon_battle_defense</v>
      </c>
      <c r="O555" s="234" t="str">
        <f>_xlfn.IFNA(VLOOKUP($M555,[1]Buff.CM!$A:$O,14,FALSE),"")</f>
        <v>Buff.Name.Def.Down.04</v>
      </c>
      <c r="P555" s="234" t="str">
        <f>_xlfn.IFNA(VLOOKUP($M555,[1]Buff.CM!$A:$O,15,FALSE),"")</f>
        <v>Buff.Desc.Def.Down.04</v>
      </c>
      <c r="Q555" s="234" t="b">
        <v>0</v>
      </c>
      <c r="R555" s="234" t="b">
        <v>0</v>
      </c>
    </row>
    <row r="556" spans="1:18" x14ac:dyDescent="0.3">
      <c r="A556" s="232" t="s">
        <v>2878</v>
      </c>
      <c r="B556" s="232"/>
      <c r="C556" s="232"/>
      <c r="D556" s="232">
        <v>8000</v>
      </c>
      <c r="E556" s="232">
        <v>0</v>
      </c>
      <c r="F556" s="232">
        <v>0</v>
      </c>
      <c r="G556" s="232" t="s">
        <v>2256</v>
      </c>
      <c r="H556" s="232"/>
      <c r="I556" s="232" t="b">
        <v>0</v>
      </c>
      <c r="J556" s="232" t="b">
        <v>0</v>
      </c>
      <c r="K556" s="232" t="b">
        <v>0</v>
      </c>
      <c r="L556" s="232" t="s">
        <v>55</v>
      </c>
      <c r="M556" s="232" t="s">
        <v>2256</v>
      </c>
      <c r="N556" s="232" t="str">
        <f>_xlfn.IFNA(VLOOKUP($M556,[1]Buff.CM!$A:$O,13,FALSE),"")</f>
        <v>icon_battle_defense</v>
      </c>
      <c r="O556" s="232" t="str">
        <f>_xlfn.IFNA(VLOOKUP($M556,[1]Buff.CM!$A:$O,14,FALSE),"")</f>
        <v>Buff.Name.Def.Down.04</v>
      </c>
      <c r="P556" s="232" t="str">
        <f>_xlfn.IFNA(VLOOKUP($M556,[1]Buff.CM!$A:$O,15,FALSE),"")</f>
        <v>Buff.Desc.Def.Down.04</v>
      </c>
      <c r="Q556" s="232" t="b">
        <v>0</v>
      </c>
      <c r="R556" s="232" t="b">
        <v>0</v>
      </c>
    </row>
    <row r="557" spans="1:18" x14ac:dyDescent="0.3">
      <c r="A557" s="232" t="s">
        <v>2879</v>
      </c>
      <c r="B557" s="232"/>
      <c r="C557" s="232"/>
      <c r="D557" s="232">
        <v>5000</v>
      </c>
      <c r="E557" s="232">
        <v>0</v>
      </c>
      <c r="F557" s="232">
        <v>0</v>
      </c>
      <c r="G557" s="232" t="s">
        <v>2257</v>
      </c>
      <c r="H557" s="232"/>
      <c r="I557" s="232" t="b">
        <v>0</v>
      </c>
      <c r="J557" s="232" t="b">
        <v>0</v>
      </c>
      <c r="K557" s="232" t="b">
        <v>0</v>
      </c>
      <c r="L557" s="232" t="s">
        <v>55</v>
      </c>
      <c r="M557" s="232" t="s">
        <v>2257</v>
      </c>
      <c r="N557" s="232" t="str">
        <f>_xlfn.IFNA(VLOOKUP($M557,[1]Buff.CM!$A:$O,13,FALSE),"")</f>
        <v>icon_battle_defense</v>
      </c>
      <c r="O557" s="232" t="str">
        <f>_xlfn.IFNA(VLOOKUP($M557,[1]Buff.CM!$A:$O,14,FALSE),"")</f>
        <v>Buff.Name.Def.Down.05</v>
      </c>
      <c r="P557" s="232" t="str">
        <f>_xlfn.IFNA(VLOOKUP($M557,[1]Buff.CM!$A:$O,15,FALSE),"")</f>
        <v>Buff.Desc.Def.Down.05</v>
      </c>
      <c r="Q557" s="232" t="b">
        <v>0</v>
      </c>
      <c r="R557" s="232" t="b">
        <v>0</v>
      </c>
    </row>
    <row r="558" spans="1:18" x14ac:dyDescent="0.3">
      <c r="A558" s="232" t="s">
        <v>2880</v>
      </c>
      <c r="B558" s="232"/>
      <c r="C558" s="232"/>
      <c r="D558" s="232">
        <v>5000</v>
      </c>
      <c r="E558" s="232">
        <v>0</v>
      </c>
      <c r="F558" s="232">
        <v>0</v>
      </c>
      <c r="G558" s="232" t="s">
        <v>2257</v>
      </c>
      <c r="H558" s="232"/>
      <c r="I558" s="232" t="b">
        <v>0</v>
      </c>
      <c r="J558" s="232" t="b">
        <v>0</v>
      </c>
      <c r="K558" s="232" t="b">
        <v>0</v>
      </c>
      <c r="L558" s="232" t="s">
        <v>55</v>
      </c>
      <c r="M558" s="232" t="s">
        <v>2257</v>
      </c>
      <c r="N558" s="232" t="str">
        <f>_xlfn.IFNA(VLOOKUP($M558,[1]Buff.CM!$A:$O,13,FALSE),"")</f>
        <v>icon_battle_defense</v>
      </c>
      <c r="O558" s="232" t="str">
        <f>_xlfn.IFNA(VLOOKUP($M558,[1]Buff.CM!$A:$O,14,FALSE),"")</f>
        <v>Buff.Name.Def.Down.05</v>
      </c>
      <c r="P558" s="232" t="str">
        <f>_xlfn.IFNA(VLOOKUP($M558,[1]Buff.CM!$A:$O,15,FALSE),"")</f>
        <v>Buff.Desc.Def.Down.05</v>
      </c>
      <c r="Q558" s="232" t="b">
        <v>0</v>
      </c>
      <c r="R558" s="232" t="b">
        <v>0</v>
      </c>
    </row>
    <row r="559" spans="1:18" ht="33" x14ac:dyDescent="0.3">
      <c r="A559" s="233" t="s">
        <v>2881</v>
      </c>
      <c r="B559" s="233"/>
      <c r="C559" s="233"/>
      <c r="D559" s="233">
        <v>0</v>
      </c>
      <c r="E559" s="233">
        <v>0</v>
      </c>
      <c r="F559" s="233">
        <v>0</v>
      </c>
      <c r="G559" s="237" t="s">
        <v>2882</v>
      </c>
      <c r="H559" s="233"/>
      <c r="I559" s="233" t="b">
        <v>0</v>
      </c>
      <c r="J559" s="233" t="b">
        <v>0</v>
      </c>
      <c r="K559" s="233" t="b">
        <v>1</v>
      </c>
      <c r="L559" s="233"/>
      <c r="M559" s="233"/>
      <c r="N559" s="233" t="str">
        <f>_xlfn.IFNA(VLOOKUP($M559,[1]Buff.CM!$A:$O,13,FALSE),"")</f>
        <v/>
      </c>
      <c r="O559" s="233" t="str">
        <f>_xlfn.IFNA(VLOOKUP($M559,[1]Buff.CM!$A:$O,14,FALSE),"")</f>
        <v/>
      </c>
      <c r="P559" s="233" t="str">
        <f>_xlfn.IFNA(VLOOKUP($M559,[1]Buff.CM!$A:$O,15,FALSE),"")</f>
        <v/>
      </c>
      <c r="Q559" s="233" t="b">
        <v>0</v>
      </c>
      <c r="R559" s="233" t="b">
        <v>0</v>
      </c>
    </row>
    <row r="560" spans="1:18" ht="33" x14ac:dyDescent="0.3">
      <c r="A560" s="233" t="s">
        <v>2883</v>
      </c>
      <c r="B560" s="233"/>
      <c r="C560" s="233"/>
      <c r="D560" s="233">
        <v>0</v>
      </c>
      <c r="E560" s="233">
        <v>0</v>
      </c>
      <c r="F560" s="233">
        <v>0</v>
      </c>
      <c r="G560" s="237" t="s">
        <v>2884</v>
      </c>
      <c r="H560" s="233"/>
      <c r="I560" s="233" t="b">
        <v>0</v>
      </c>
      <c r="J560" s="233" t="b">
        <v>0</v>
      </c>
      <c r="K560" s="233" t="b">
        <v>1</v>
      </c>
      <c r="L560" s="233"/>
      <c r="M560" s="233"/>
      <c r="N560" s="233" t="str">
        <f>_xlfn.IFNA(VLOOKUP($M560,[1]Buff.CM!$A:$O,13,FALSE),"")</f>
        <v/>
      </c>
      <c r="O560" s="233" t="str">
        <f>_xlfn.IFNA(VLOOKUP($M560,[1]Buff.CM!$A:$O,14,FALSE),"")</f>
        <v/>
      </c>
      <c r="P560" s="233" t="str">
        <f>_xlfn.IFNA(VLOOKUP($M560,[1]Buff.CM!$A:$O,15,FALSE),"")</f>
        <v/>
      </c>
      <c r="Q560" s="233" t="b">
        <v>0</v>
      </c>
      <c r="R560" s="233" t="b">
        <v>0</v>
      </c>
    </row>
    <row r="561" spans="1:18" ht="33" x14ac:dyDescent="0.3">
      <c r="A561" s="233" t="s">
        <v>2885</v>
      </c>
      <c r="B561" s="233"/>
      <c r="C561" s="233"/>
      <c r="D561" s="233">
        <v>0</v>
      </c>
      <c r="E561" s="233">
        <v>0</v>
      </c>
      <c r="F561" s="233">
        <v>0</v>
      </c>
      <c r="G561" s="237" t="s">
        <v>2886</v>
      </c>
      <c r="H561" s="233"/>
      <c r="I561" s="233" t="b">
        <v>0</v>
      </c>
      <c r="J561" s="233" t="b">
        <v>0</v>
      </c>
      <c r="K561" s="233" t="b">
        <v>1</v>
      </c>
      <c r="L561" s="233"/>
      <c r="M561" s="233"/>
      <c r="N561" s="233" t="str">
        <f>_xlfn.IFNA(VLOOKUP($M561,[1]Buff.CM!$A:$O,13,FALSE),"")</f>
        <v/>
      </c>
      <c r="O561" s="233" t="str">
        <f>_xlfn.IFNA(VLOOKUP($M561,[1]Buff.CM!$A:$O,14,FALSE),"")</f>
        <v/>
      </c>
      <c r="P561" s="233" t="str">
        <f>_xlfn.IFNA(VLOOKUP($M561,[1]Buff.CM!$A:$O,15,FALSE),"")</f>
        <v/>
      </c>
      <c r="Q561" s="233" t="b">
        <v>0</v>
      </c>
      <c r="R561" s="233" t="b">
        <v>0</v>
      </c>
    </row>
    <row r="562" spans="1:18" ht="33" x14ac:dyDescent="0.3">
      <c r="A562" s="232" t="s">
        <v>2887</v>
      </c>
      <c r="B562" s="232"/>
      <c r="C562" s="232"/>
      <c r="D562" s="232">
        <v>0</v>
      </c>
      <c r="E562" s="232">
        <v>0</v>
      </c>
      <c r="F562" s="232">
        <v>0</v>
      </c>
      <c r="G562" s="238" t="s">
        <v>2888</v>
      </c>
      <c r="H562" s="232"/>
      <c r="I562" s="233" t="b">
        <v>0</v>
      </c>
      <c r="J562" s="233" t="b">
        <v>0</v>
      </c>
      <c r="K562" s="232" t="b">
        <v>1</v>
      </c>
      <c r="L562" s="232"/>
      <c r="M562" s="232"/>
      <c r="N562" s="232" t="str">
        <f>_xlfn.IFNA(VLOOKUP($M562,[1]Buff.CM!$A:$O,13,FALSE),"")</f>
        <v/>
      </c>
      <c r="O562" s="232" t="str">
        <f>_xlfn.IFNA(VLOOKUP($M562,[1]Buff.CM!$A:$O,14,FALSE),"")</f>
        <v/>
      </c>
      <c r="P562" s="232" t="str">
        <f>_xlfn.IFNA(VLOOKUP($M562,[1]Buff.CM!$A:$O,15,FALSE),"")</f>
        <v/>
      </c>
      <c r="Q562" s="232" t="b">
        <v>0</v>
      </c>
      <c r="R562" s="232" t="b">
        <v>0</v>
      </c>
    </row>
    <row r="563" spans="1:18" ht="33" x14ac:dyDescent="0.3">
      <c r="A563" s="232" t="s">
        <v>2889</v>
      </c>
      <c r="B563" s="232"/>
      <c r="C563" s="232"/>
      <c r="D563" s="232">
        <v>0</v>
      </c>
      <c r="E563" s="232">
        <v>0</v>
      </c>
      <c r="F563" s="232">
        <v>0</v>
      </c>
      <c r="G563" s="238" t="s">
        <v>2890</v>
      </c>
      <c r="H563" s="232"/>
      <c r="I563" s="233" t="b">
        <v>0</v>
      </c>
      <c r="J563" s="233" t="b">
        <v>0</v>
      </c>
      <c r="K563" s="232" t="b">
        <v>1</v>
      </c>
      <c r="L563" s="232"/>
      <c r="M563" s="232"/>
      <c r="N563" s="232" t="str">
        <f>_xlfn.IFNA(VLOOKUP($M563,[1]Buff.CM!$A:$O,13,FALSE),"")</f>
        <v/>
      </c>
      <c r="O563" s="232" t="str">
        <f>_xlfn.IFNA(VLOOKUP($M563,[1]Buff.CM!$A:$O,14,FALSE),"")</f>
        <v/>
      </c>
      <c r="P563" s="232" t="str">
        <f>_xlfn.IFNA(VLOOKUP($M563,[1]Buff.CM!$A:$O,15,FALSE),"")</f>
        <v/>
      </c>
      <c r="Q563" s="232" t="b">
        <v>0</v>
      </c>
      <c r="R563" s="232" t="b">
        <v>0</v>
      </c>
    </row>
    <row r="564" spans="1:18" ht="33" x14ac:dyDescent="0.3">
      <c r="A564" s="232" t="s">
        <v>2891</v>
      </c>
      <c r="B564" s="232"/>
      <c r="C564" s="232"/>
      <c r="D564" s="232">
        <v>0</v>
      </c>
      <c r="E564" s="232">
        <v>0</v>
      </c>
      <c r="F564" s="232">
        <v>0</v>
      </c>
      <c r="G564" s="238" t="s">
        <v>2892</v>
      </c>
      <c r="H564" s="232"/>
      <c r="I564" s="233" t="b">
        <v>0</v>
      </c>
      <c r="J564" s="233" t="b">
        <v>0</v>
      </c>
      <c r="K564" s="232" t="b">
        <v>1</v>
      </c>
      <c r="L564" s="232"/>
      <c r="M564" s="232"/>
      <c r="N564" s="232" t="str">
        <f>_xlfn.IFNA(VLOOKUP($M564,[1]Buff.CM!$A:$O,13,FALSE),"")</f>
        <v/>
      </c>
      <c r="O564" s="232" t="str">
        <f>_xlfn.IFNA(VLOOKUP($M564,[1]Buff.CM!$A:$O,14,FALSE),"")</f>
        <v/>
      </c>
      <c r="P564" s="232" t="str">
        <f>_xlfn.IFNA(VLOOKUP($M564,[1]Buff.CM!$A:$O,15,FALSE),"")</f>
        <v/>
      </c>
      <c r="Q564" s="232" t="b">
        <v>0</v>
      </c>
      <c r="R564" s="232" t="b">
        <v>0</v>
      </c>
    </row>
    <row r="565" spans="1:18" ht="33" x14ac:dyDescent="0.3">
      <c r="A565" s="234" t="s">
        <v>2893</v>
      </c>
      <c r="B565" s="234"/>
      <c r="C565" s="234"/>
      <c r="D565" s="234">
        <v>0</v>
      </c>
      <c r="E565" s="234">
        <v>5</v>
      </c>
      <c r="F565" s="234">
        <v>1</v>
      </c>
      <c r="G565" s="243" t="s">
        <v>2894</v>
      </c>
      <c r="H565" s="234"/>
      <c r="I565" s="233" t="b">
        <v>0</v>
      </c>
      <c r="J565" s="233" t="b">
        <v>0</v>
      </c>
      <c r="K565" s="234" t="b">
        <v>1</v>
      </c>
      <c r="L565" s="234"/>
      <c r="M565" s="234" t="s">
        <v>3369</v>
      </c>
      <c r="N565" s="234" t="str">
        <f>_xlfn.IFNA(VLOOKUP($M565,[1]Buff.CM!$A:$O,13,FALSE),"")</f>
        <v>icon_battle_shale_buff_01</v>
      </c>
      <c r="O565" s="234" t="str">
        <f>_xlfn.IFNA(VLOOKUP($M565,[1]Buff.CM!$A:$O,14,FALSE),"")</f>
        <v>info.shale.buff.bookmark</v>
      </c>
      <c r="P565" s="234" t="str">
        <f>_xlfn.IFNA(VLOOKUP($M565,[1]Buff.CM!$A:$O,15,FALSE),"")</f>
        <v>Desc.info.shale.buff.bookmark</v>
      </c>
      <c r="Q565" s="234" t="b">
        <v>0</v>
      </c>
      <c r="R565" s="234" t="b">
        <v>0</v>
      </c>
    </row>
    <row r="566" spans="1:18" ht="33" x14ac:dyDescent="0.3">
      <c r="A566" s="234" t="s">
        <v>2895</v>
      </c>
      <c r="B566" s="234"/>
      <c r="C566" s="234"/>
      <c r="D566" s="234">
        <v>0</v>
      </c>
      <c r="E566" s="234">
        <v>5</v>
      </c>
      <c r="F566" s="234">
        <v>1</v>
      </c>
      <c r="G566" s="243" t="s">
        <v>2896</v>
      </c>
      <c r="H566" s="234"/>
      <c r="I566" s="233" t="b">
        <v>0</v>
      </c>
      <c r="J566" s="233" t="b">
        <v>0</v>
      </c>
      <c r="K566" s="234" t="b">
        <v>1</v>
      </c>
      <c r="L566" s="234"/>
      <c r="M566" s="234" t="s">
        <v>3369</v>
      </c>
      <c r="N566" s="234" t="str">
        <f>_xlfn.IFNA(VLOOKUP($M566,[1]Buff.CM!$A:$O,13,FALSE),"")</f>
        <v>icon_battle_shale_buff_01</v>
      </c>
      <c r="O566" s="234" t="str">
        <f>_xlfn.IFNA(VLOOKUP($M566,[1]Buff.CM!$A:$O,14,FALSE),"")</f>
        <v>info.shale.buff.bookmark</v>
      </c>
      <c r="P566" s="234" t="str">
        <f>_xlfn.IFNA(VLOOKUP($M566,[1]Buff.CM!$A:$O,15,FALSE),"")</f>
        <v>Desc.info.shale.buff.bookmark</v>
      </c>
      <c r="Q566" s="234" t="b">
        <v>0</v>
      </c>
      <c r="R566" s="234" t="b">
        <v>0</v>
      </c>
    </row>
    <row r="567" spans="1:18" ht="33" x14ac:dyDescent="0.3">
      <c r="A567" s="234" t="s">
        <v>2897</v>
      </c>
      <c r="B567" s="234"/>
      <c r="C567" s="234"/>
      <c r="D567" s="234">
        <v>0</v>
      </c>
      <c r="E567" s="234">
        <v>5</v>
      </c>
      <c r="F567" s="234">
        <v>1</v>
      </c>
      <c r="G567" s="243" t="s">
        <v>2898</v>
      </c>
      <c r="H567" s="234"/>
      <c r="I567" s="233" t="b">
        <v>0</v>
      </c>
      <c r="J567" s="233" t="b">
        <v>0</v>
      </c>
      <c r="K567" s="234" t="b">
        <v>1</v>
      </c>
      <c r="L567" s="234"/>
      <c r="M567" s="234" t="s">
        <v>3369</v>
      </c>
      <c r="N567" s="234" t="str">
        <f>_xlfn.IFNA(VLOOKUP($M567,[1]Buff.CM!$A:$O,13,FALSE),"")</f>
        <v>icon_battle_shale_buff_01</v>
      </c>
      <c r="O567" s="234" t="str">
        <f>_xlfn.IFNA(VLOOKUP($M567,[1]Buff.CM!$A:$O,14,FALSE),"")</f>
        <v>info.shale.buff.bookmark</v>
      </c>
      <c r="P567" s="234" t="str">
        <f>_xlfn.IFNA(VLOOKUP($M567,[1]Buff.CM!$A:$O,15,FALSE),"")</f>
        <v>Desc.info.shale.buff.bookmark</v>
      </c>
      <c r="Q567" s="234" t="b">
        <v>0</v>
      </c>
      <c r="R567" s="234" t="b">
        <v>0</v>
      </c>
    </row>
    <row r="568" spans="1:18" ht="33" x14ac:dyDescent="0.3">
      <c r="A568" s="232" t="s">
        <v>2899</v>
      </c>
      <c r="B568" s="232"/>
      <c r="C568" s="232"/>
      <c r="D568" s="232">
        <v>0</v>
      </c>
      <c r="E568" s="232">
        <v>5</v>
      </c>
      <c r="F568" s="232">
        <v>1</v>
      </c>
      <c r="G568" s="238" t="s">
        <v>2900</v>
      </c>
      <c r="H568" s="232"/>
      <c r="I568" s="233" t="b">
        <v>0</v>
      </c>
      <c r="J568" s="233" t="b">
        <v>0</v>
      </c>
      <c r="K568" s="232" t="b">
        <v>1</v>
      </c>
      <c r="L568" s="232"/>
      <c r="M568" s="232" t="s">
        <v>3369</v>
      </c>
      <c r="N568" s="232" t="str">
        <f>_xlfn.IFNA(VLOOKUP($M568,[1]Buff.CM!$A:$O,13,FALSE),"")</f>
        <v>icon_battle_shale_buff_01</v>
      </c>
      <c r="O568" s="232" t="str">
        <f>_xlfn.IFNA(VLOOKUP($M568,[1]Buff.CM!$A:$O,14,FALSE),"")</f>
        <v>info.shale.buff.bookmark</v>
      </c>
      <c r="P568" s="232" t="str">
        <f>_xlfn.IFNA(VLOOKUP($M568,[1]Buff.CM!$A:$O,15,FALSE),"")</f>
        <v>Desc.info.shale.buff.bookmark</v>
      </c>
      <c r="Q568" s="232" t="b">
        <v>0</v>
      </c>
      <c r="R568" s="232" t="b">
        <v>0</v>
      </c>
    </row>
    <row r="569" spans="1:18" ht="33" x14ac:dyDescent="0.3">
      <c r="A569" s="232" t="s">
        <v>2901</v>
      </c>
      <c r="B569" s="232"/>
      <c r="C569" s="232"/>
      <c r="D569" s="232">
        <v>0</v>
      </c>
      <c r="E569" s="232">
        <v>5</v>
      </c>
      <c r="F569" s="232">
        <v>1</v>
      </c>
      <c r="G569" s="238" t="s">
        <v>2902</v>
      </c>
      <c r="H569" s="232"/>
      <c r="I569" s="233" t="b">
        <v>0</v>
      </c>
      <c r="J569" s="233" t="b">
        <v>0</v>
      </c>
      <c r="K569" s="232" t="b">
        <v>1</v>
      </c>
      <c r="L569" s="232"/>
      <c r="M569" s="232" t="s">
        <v>3369</v>
      </c>
      <c r="N569" s="232" t="str">
        <f>_xlfn.IFNA(VLOOKUP($M569,[1]Buff.CM!$A:$O,13,FALSE),"")</f>
        <v>icon_battle_shale_buff_01</v>
      </c>
      <c r="O569" s="232" t="str">
        <f>_xlfn.IFNA(VLOOKUP($M569,[1]Buff.CM!$A:$O,14,FALSE),"")</f>
        <v>info.shale.buff.bookmark</v>
      </c>
      <c r="P569" s="232" t="str">
        <f>_xlfn.IFNA(VLOOKUP($M569,[1]Buff.CM!$A:$O,15,FALSE),"")</f>
        <v>Desc.info.shale.buff.bookmark</v>
      </c>
      <c r="Q569" s="232" t="b">
        <v>0</v>
      </c>
      <c r="R569" s="232" t="b">
        <v>0</v>
      </c>
    </row>
    <row r="570" spans="1:18" ht="33" x14ac:dyDescent="0.3">
      <c r="A570" s="232" t="s">
        <v>2903</v>
      </c>
      <c r="B570" s="232"/>
      <c r="C570" s="232"/>
      <c r="D570" s="232">
        <v>0</v>
      </c>
      <c r="E570" s="232">
        <v>5</v>
      </c>
      <c r="F570" s="232">
        <v>1</v>
      </c>
      <c r="G570" s="238" t="s">
        <v>2904</v>
      </c>
      <c r="H570" s="232"/>
      <c r="I570" s="233" t="b">
        <v>0</v>
      </c>
      <c r="J570" s="233" t="b">
        <v>0</v>
      </c>
      <c r="K570" s="232" t="b">
        <v>1</v>
      </c>
      <c r="L570" s="232"/>
      <c r="M570" s="232" t="s">
        <v>3369</v>
      </c>
      <c r="N570" s="232" t="str">
        <f>_xlfn.IFNA(VLOOKUP($M570,[1]Buff.CM!$A:$O,13,FALSE),"")</f>
        <v>icon_battle_shale_buff_01</v>
      </c>
      <c r="O570" s="232" t="str">
        <f>_xlfn.IFNA(VLOOKUP($M570,[1]Buff.CM!$A:$O,14,FALSE),"")</f>
        <v>info.shale.buff.bookmark</v>
      </c>
      <c r="P570" s="232" t="str">
        <f>_xlfn.IFNA(VLOOKUP($M570,[1]Buff.CM!$A:$O,15,FALSE),"")</f>
        <v>Desc.info.shale.buff.bookmark</v>
      </c>
      <c r="Q570" s="232" t="b">
        <v>0</v>
      </c>
      <c r="R570" s="232" t="b">
        <v>0</v>
      </c>
    </row>
    <row r="571" spans="1:18" x14ac:dyDescent="0.3">
      <c r="A571" s="233" t="s">
        <v>2905</v>
      </c>
      <c r="B571" s="233"/>
      <c r="C571" s="233"/>
      <c r="D571" s="233">
        <v>0</v>
      </c>
      <c r="E571" s="233">
        <v>0</v>
      </c>
      <c r="F571" s="233">
        <v>0</v>
      </c>
      <c r="G571" s="237" t="s">
        <v>3492</v>
      </c>
      <c r="H571" s="233"/>
      <c r="I571" s="233" t="b">
        <v>0</v>
      </c>
      <c r="J571" s="233" t="b">
        <v>0</v>
      </c>
      <c r="K571" s="233" t="b">
        <v>1</v>
      </c>
      <c r="L571" s="233"/>
      <c r="M571" s="233"/>
      <c r="N571" s="233" t="str">
        <f>_xlfn.IFNA(VLOOKUP($M571,[1]Buff.CM!$A:$O,13,FALSE),"")</f>
        <v/>
      </c>
      <c r="O571" s="233" t="str">
        <f>_xlfn.IFNA(VLOOKUP($M571,[1]Buff.CM!$A:$O,14,FALSE),"")</f>
        <v/>
      </c>
      <c r="P571" s="233" t="str">
        <f>_xlfn.IFNA(VLOOKUP($M571,[1]Buff.CM!$A:$O,15,FALSE),"")</f>
        <v/>
      </c>
      <c r="Q571" s="233" t="b">
        <v>0</v>
      </c>
      <c r="R571" s="233" t="b">
        <v>0</v>
      </c>
    </row>
    <row r="572" spans="1:18" x14ac:dyDescent="0.3">
      <c r="A572" s="233" t="s">
        <v>2907</v>
      </c>
      <c r="B572" s="233"/>
      <c r="C572" s="233"/>
      <c r="D572" s="233">
        <v>0</v>
      </c>
      <c r="E572" s="233">
        <v>0</v>
      </c>
      <c r="F572" s="233">
        <v>0</v>
      </c>
      <c r="G572" s="237" t="s">
        <v>2908</v>
      </c>
      <c r="H572" s="233"/>
      <c r="I572" s="233" t="b">
        <v>0</v>
      </c>
      <c r="J572" s="233" t="b">
        <v>0</v>
      </c>
      <c r="K572" s="233" t="b">
        <v>1</v>
      </c>
      <c r="L572" s="233"/>
      <c r="M572" s="233"/>
      <c r="N572" s="233" t="str">
        <f>_xlfn.IFNA(VLOOKUP($M572,[1]Buff.CM!$A:$O,13,FALSE),"")</f>
        <v/>
      </c>
      <c r="O572" s="233" t="str">
        <f>_xlfn.IFNA(VLOOKUP($M572,[1]Buff.CM!$A:$O,14,FALSE),"")</f>
        <v/>
      </c>
      <c r="P572" s="233" t="str">
        <f>_xlfn.IFNA(VLOOKUP($M572,[1]Buff.CM!$A:$O,15,FALSE),"")</f>
        <v/>
      </c>
      <c r="Q572" s="233" t="b">
        <v>0</v>
      </c>
      <c r="R572" s="233" t="b">
        <v>0</v>
      </c>
    </row>
    <row r="573" spans="1:18" x14ac:dyDescent="0.3">
      <c r="A573" s="233" t="s">
        <v>2909</v>
      </c>
      <c r="B573" s="233"/>
      <c r="C573" s="233"/>
      <c r="D573" s="233">
        <v>0</v>
      </c>
      <c r="E573" s="233">
        <v>0</v>
      </c>
      <c r="F573" s="233">
        <v>0</v>
      </c>
      <c r="G573" s="237" t="s">
        <v>2910</v>
      </c>
      <c r="H573" s="233"/>
      <c r="I573" s="233" t="b">
        <v>0</v>
      </c>
      <c r="J573" s="233" t="b">
        <v>0</v>
      </c>
      <c r="K573" s="233" t="b">
        <v>1</v>
      </c>
      <c r="L573" s="233"/>
      <c r="M573" s="233"/>
      <c r="N573" s="233" t="str">
        <f>_xlfn.IFNA(VLOOKUP($M573,[1]Buff.CM!$A:$O,13,FALSE),"")</f>
        <v/>
      </c>
      <c r="O573" s="233" t="str">
        <f>_xlfn.IFNA(VLOOKUP($M573,[1]Buff.CM!$A:$O,14,FALSE),"")</f>
        <v/>
      </c>
      <c r="P573" s="233" t="str">
        <f>_xlfn.IFNA(VLOOKUP($M573,[1]Buff.CM!$A:$O,15,FALSE),"")</f>
        <v/>
      </c>
      <c r="Q573" s="233" t="b">
        <v>0</v>
      </c>
      <c r="R573" s="233" t="b">
        <v>0</v>
      </c>
    </row>
    <row r="574" spans="1:18" x14ac:dyDescent="0.3">
      <c r="A574" s="232" t="s">
        <v>2911</v>
      </c>
      <c r="B574" s="232"/>
      <c r="C574" s="232"/>
      <c r="D574" s="232">
        <v>0</v>
      </c>
      <c r="E574" s="232">
        <v>0</v>
      </c>
      <c r="F574" s="232">
        <v>0</v>
      </c>
      <c r="G574" s="238" t="s">
        <v>2912</v>
      </c>
      <c r="H574" s="232"/>
      <c r="I574" s="233" t="b">
        <v>0</v>
      </c>
      <c r="J574" s="233" t="b">
        <v>0</v>
      </c>
      <c r="K574" s="232" t="b">
        <v>1</v>
      </c>
      <c r="L574" s="232"/>
      <c r="M574" s="232"/>
      <c r="N574" s="232" t="str">
        <f>_xlfn.IFNA(VLOOKUP($M574,[1]Buff.CM!$A:$O,13,FALSE),"")</f>
        <v/>
      </c>
      <c r="O574" s="232" t="str">
        <f>_xlfn.IFNA(VLOOKUP($M574,[1]Buff.CM!$A:$O,14,FALSE),"")</f>
        <v/>
      </c>
      <c r="P574" s="232" t="str">
        <f>_xlfn.IFNA(VLOOKUP($M574,[1]Buff.CM!$A:$O,15,FALSE),"")</f>
        <v/>
      </c>
      <c r="Q574" s="232" t="b">
        <v>0</v>
      </c>
      <c r="R574" s="232" t="b">
        <v>0</v>
      </c>
    </row>
    <row r="575" spans="1:18" x14ac:dyDescent="0.3">
      <c r="A575" s="232" t="s">
        <v>2913</v>
      </c>
      <c r="B575" s="232"/>
      <c r="C575" s="232"/>
      <c r="D575" s="232">
        <v>0</v>
      </c>
      <c r="E575" s="232">
        <v>0</v>
      </c>
      <c r="F575" s="232">
        <v>0</v>
      </c>
      <c r="G575" s="238" t="s">
        <v>2914</v>
      </c>
      <c r="H575" s="232"/>
      <c r="I575" s="233" t="b">
        <v>0</v>
      </c>
      <c r="J575" s="233" t="b">
        <v>0</v>
      </c>
      <c r="K575" s="232" t="b">
        <v>1</v>
      </c>
      <c r="L575" s="232"/>
      <c r="M575" s="232"/>
      <c r="N575" s="232" t="str">
        <f>_xlfn.IFNA(VLOOKUP($M575,[1]Buff.CM!$A:$O,13,FALSE),"")</f>
        <v/>
      </c>
      <c r="O575" s="232" t="str">
        <f>_xlfn.IFNA(VLOOKUP($M575,[1]Buff.CM!$A:$O,14,FALSE),"")</f>
        <v/>
      </c>
      <c r="P575" s="232" t="str">
        <f>_xlfn.IFNA(VLOOKUP($M575,[1]Buff.CM!$A:$O,15,FALSE),"")</f>
        <v/>
      </c>
      <c r="Q575" s="232" t="b">
        <v>0</v>
      </c>
      <c r="R575" s="232" t="b">
        <v>0</v>
      </c>
    </row>
    <row r="576" spans="1:18" x14ac:dyDescent="0.3">
      <c r="A576" s="232" t="s">
        <v>2915</v>
      </c>
      <c r="B576" s="232"/>
      <c r="C576" s="232"/>
      <c r="D576" s="232">
        <v>0</v>
      </c>
      <c r="E576" s="232">
        <v>0</v>
      </c>
      <c r="F576" s="232">
        <v>0</v>
      </c>
      <c r="G576" s="238" t="s">
        <v>2916</v>
      </c>
      <c r="H576" s="232"/>
      <c r="I576" s="233" t="b">
        <v>0</v>
      </c>
      <c r="J576" s="233" t="b">
        <v>0</v>
      </c>
      <c r="K576" s="232" t="b">
        <v>1</v>
      </c>
      <c r="L576" s="232"/>
      <c r="M576" s="232"/>
      <c r="N576" s="232" t="str">
        <f>_xlfn.IFNA(VLOOKUP($M576,[1]Buff.CM!$A:$O,13,FALSE),"")</f>
        <v/>
      </c>
      <c r="O576" s="232" t="str">
        <f>_xlfn.IFNA(VLOOKUP($M576,[1]Buff.CM!$A:$O,14,FALSE),"")</f>
        <v/>
      </c>
      <c r="P576" s="232" t="str">
        <f>_xlfn.IFNA(VLOOKUP($M576,[1]Buff.CM!$A:$O,15,FALSE),"")</f>
        <v/>
      </c>
      <c r="Q576" s="232" t="b">
        <v>0</v>
      </c>
      <c r="R576" s="232" t="b">
        <v>0</v>
      </c>
    </row>
    <row r="577" spans="1:18" x14ac:dyDescent="0.3">
      <c r="A577" s="233" t="s">
        <v>2917</v>
      </c>
      <c r="B577" s="233"/>
      <c r="C577" s="233"/>
      <c r="D577" s="233">
        <v>0</v>
      </c>
      <c r="E577" s="233">
        <v>0</v>
      </c>
      <c r="F577" s="233">
        <v>0</v>
      </c>
      <c r="G577" s="237" t="s">
        <v>2918</v>
      </c>
      <c r="H577" s="233"/>
      <c r="I577" s="233" t="b">
        <v>0</v>
      </c>
      <c r="J577" s="233" t="b">
        <v>0</v>
      </c>
      <c r="K577" s="233" t="b">
        <v>1</v>
      </c>
      <c r="L577" s="233"/>
      <c r="M577" s="233"/>
      <c r="N577" s="233" t="str">
        <f>_xlfn.IFNA(VLOOKUP($M577,[1]Buff.CM!$A:$O,13,FALSE),"")</f>
        <v/>
      </c>
      <c r="O577" s="233" t="str">
        <f>_xlfn.IFNA(VLOOKUP($M577,[1]Buff.CM!$A:$O,14,FALSE),"")</f>
        <v/>
      </c>
      <c r="P577" s="233" t="str">
        <f>_xlfn.IFNA(VLOOKUP($M577,[1]Buff.CM!$A:$O,15,FALSE),"")</f>
        <v/>
      </c>
      <c r="Q577" s="233" t="b">
        <v>0</v>
      </c>
      <c r="R577" s="233" t="b">
        <v>0</v>
      </c>
    </row>
    <row r="578" spans="1:18" x14ac:dyDescent="0.3">
      <c r="A578" s="233" t="s">
        <v>2919</v>
      </c>
      <c r="B578" s="233"/>
      <c r="C578" s="233"/>
      <c r="D578" s="233">
        <v>0</v>
      </c>
      <c r="E578" s="233">
        <v>0</v>
      </c>
      <c r="F578" s="233">
        <v>0</v>
      </c>
      <c r="G578" s="237" t="s">
        <v>2920</v>
      </c>
      <c r="H578" s="233"/>
      <c r="I578" s="233" t="b">
        <v>0</v>
      </c>
      <c r="J578" s="233" t="b">
        <v>0</v>
      </c>
      <c r="K578" s="233" t="b">
        <v>1</v>
      </c>
      <c r="L578" s="233"/>
      <c r="M578" s="233"/>
      <c r="N578" s="233" t="str">
        <f>_xlfn.IFNA(VLOOKUP($M578,[1]Buff.CM!$A:$O,13,FALSE),"")</f>
        <v/>
      </c>
      <c r="O578" s="233" t="str">
        <f>_xlfn.IFNA(VLOOKUP($M578,[1]Buff.CM!$A:$O,14,FALSE),"")</f>
        <v/>
      </c>
      <c r="P578" s="233" t="str">
        <f>_xlfn.IFNA(VLOOKUP($M578,[1]Buff.CM!$A:$O,15,FALSE),"")</f>
        <v/>
      </c>
      <c r="Q578" s="233" t="b">
        <v>0</v>
      </c>
      <c r="R578" s="233" t="b">
        <v>0</v>
      </c>
    </row>
    <row r="579" spans="1:18" x14ac:dyDescent="0.3">
      <c r="A579" s="233" t="s">
        <v>2921</v>
      </c>
      <c r="B579" s="233"/>
      <c r="C579" s="233"/>
      <c r="D579" s="233">
        <v>0</v>
      </c>
      <c r="E579" s="233">
        <v>0</v>
      </c>
      <c r="F579" s="233">
        <v>0</v>
      </c>
      <c r="G579" s="237" t="s">
        <v>2922</v>
      </c>
      <c r="H579" s="233"/>
      <c r="I579" s="233" t="b">
        <v>0</v>
      </c>
      <c r="J579" s="233" t="b">
        <v>0</v>
      </c>
      <c r="K579" s="233" t="b">
        <v>1</v>
      </c>
      <c r="L579" s="233"/>
      <c r="M579" s="233"/>
      <c r="N579" s="233" t="str">
        <f>_xlfn.IFNA(VLOOKUP($M579,[1]Buff.CM!$A:$O,13,FALSE),"")</f>
        <v/>
      </c>
      <c r="O579" s="233" t="str">
        <f>_xlfn.IFNA(VLOOKUP($M579,[1]Buff.CM!$A:$O,14,FALSE),"")</f>
        <v/>
      </c>
      <c r="P579" s="233" t="str">
        <f>_xlfn.IFNA(VLOOKUP($M579,[1]Buff.CM!$A:$O,15,FALSE),"")</f>
        <v/>
      </c>
      <c r="Q579" s="233" t="b">
        <v>0</v>
      </c>
      <c r="R579" s="233" t="b">
        <v>0</v>
      </c>
    </row>
    <row r="580" spans="1:18" x14ac:dyDescent="0.3">
      <c r="A580" s="232" t="s">
        <v>2923</v>
      </c>
      <c r="B580" s="232"/>
      <c r="C580" s="232"/>
      <c r="D580" s="232">
        <v>0</v>
      </c>
      <c r="E580" s="232">
        <v>0</v>
      </c>
      <c r="F580" s="232">
        <v>0</v>
      </c>
      <c r="G580" s="238" t="s">
        <v>2924</v>
      </c>
      <c r="H580" s="232"/>
      <c r="I580" s="233" t="b">
        <v>0</v>
      </c>
      <c r="J580" s="233" t="b">
        <v>0</v>
      </c>
      <c r="K580" s="232" t="b">
        <v>1</v>
      </c>
      <c r="L580" s="232"/>
      <c r="M580" s="232"/>
      <c r="N580" s="232" t="str">
        <f>_xlfn.IFNA(VLOOKUP($M580,[1]Buff.CM!$A:$O,13,FALSE),"")</f>
        <v/>
      </c>
      <c r="O580" s="232" t="str">
        <f>_xlfn.IFNA(VLOOKUP($M580,[1]Buff.CM!$A:$O,14,FALSE),"")</f>
        <v/>
      </c>
      <c r="P580" s="232" t="str">
        <f>_xlfn.IFNA(VLOOKUP($M580,[1]Buff.CM!$A:$O,15,FALSE),"")</f>
        <v/>
      </c>
      <c r="Q580" s="232" t="b">
        <v>0</v>
      </c>
      <c r="R580" s="232" t="b">
        <v>0</v>
      </c>
    </row>
    <row r="581" spans="1:18" x14ac:dyDescent="0.3">
      <c r="A581" s="232" t="s">
        <v>2925</v>
      </c>
      <c r="B581" s="232"/>
      <c r="C581" s="232"/>
      <c r="D581" s="232">
        <v>0</v>
      </c>
      <c r="E581" s="232">
        <v>0</v>
      </c>
      <c r="F581" s="232">
        <v>0</v>
      </c>
      <c r="G581" s="238" t="s">
        <v>2926</v>
      </c>
      <c r="H581" s="232"/>
      <c r="I581" s="233" t="b">
        <v>0</v>
      </c>
      <c r="J581" s="233" t="b">
        <v>0</v>
      </c>
      <c r="K581" s="232" t="b">
        <v>1</v>
      </c>
      <c r="L581" s="232"/>
      <c r="M581" s="232"/>
      <c r="N581" s="232" t="str">
        <f>_xlfn.IFNA(VLOOKUP($M581,[1]Buff.CM!$A:$O,13,FALSE),"")</f>
        <v/>
      </c>
      <c r="O581" s="232" t="str">
        <f>_xlfn.IFNA(VLOOKUP($M581,[1]Buff.CM!$A:$O,14,FALSE),"")</f>
        <v/>
      </c>
      <c r="P581" s="232" t="str">
        <f>_xlfn.IFNA(VLOOKUP($M581,[1]Buff.CM!$A:$O,15,FALSE),"")</f>
        <v/>
      </c>
      <c r="Q581" s="232" t="b">
        <v>0</v>
      </c>
      <c r="R581" s="232" t="b">
        <v>0</v>
      </c>
    </row>
    <row r="582" spans="1:18" x14ac:dyDescent="0.3">
      <c r="A582" s="232" t="s">
        <v>2927</v>
      </c>
      <c r="B582" s="232"/>
      <c r="C582" s="232"/>
      <c r="D582" s="232">
        <v>0</v>
      </c>
      <c r="E582" s="232">
        <v>0</v>
      </c>
      <c r="F582" s="232">
        <v>0</v>
      </c>
      <c r="G582" s="238" t="s">
        <v>2928</v>
      </c>
      <c r="H582" s="232"/>
      <c r="I582" s="233" t="b">
        <v>0</v>
      </c>
      <c r="J582" s="233" t="b">
        <v>0</v>
      </c>
      <c r="K582" s="232" t="b">
        <v>1</v>
      </c>
      <c r="L582" s="232"/>
      <c r="M582" s="232"/>
      <c r="N582" s="232" t="str">
        <f>_xlfn.IFNA(VLOOKUP($M582,[1]Buff.CM!$A:$O,13,FALSE),"")</f>
        <v/>
      </c>
      <c r="O582" s="232" t="str">
        <f>_xlfn.IFNA(VLOOKUP($M582,[1]Buff.CM!$A:$O,14,FALSE),"")</f>
        <v/>
      </c>
      <c r="P582" s="232" t="str">
        <f>_xlfn.IFNA(VLOOKUP($M582,[1]Buff.CM!$A:$O,15,FALSE),"")</f>
        <v/>
      </c>
      <c r="Q582" s="232" t="b">
        <v>0</v>
      </c>
      <c r="R582" s="232" t="b">
        <v>0</v>
      </c>
    </row>
    <row r="583" spans="1:18" x14ac:dyDescent="0.3">
      <c r="A583" s="231" t="s">
        <v>3046</v>
      </c>
      <c r="B583" s="231"/>
      <c r="C583" s="231"/>
      <c r="D583" s="231">
        <v>4000</v>
      </c>
      <c r="E583" s="231">
        <v>0</v>
      </c>
      <c r="F583" s="231">
        <v>0</v>
      </c>
      <c r="G583" s="231" t="s">
        <v>2958</v>
      </c>
      <c r="H583" s="231"/>
      <c r="I583" s="231" t="b">
        <v>0</v>
      </c>
      <c r="J583" s="231" t="b">
        <v>0</v>
      </c>
      <c r="K583" s="231" t="b">
        <v>1</v>
      </c>
      <c r="L583" s="231" t="s">
        <v>247</v>
      </c>
      <c r="M583" s="231"/>
      <c r="N583" s="231" t="str">
        <f>_xlfn.IFNA(VLOOKUP($M583,[1]Buff.CM!$A:$O,13,FALSE),"")</f>
        <v/>
      </c>
      <c r="O583" s="231" t="str">
        <f>_xlfn.IFNA(VLOOKUP($M583,[1]Buff.CM!$A:$O,14,FALSE),"")</f>
        <v/>
      </c>
      <c r="P583" s="231" t="str">
        <f>_xlfn.IFNA(VLOOKUP($M583,[1]Buff.CM!$A:$O,15,FALSE),"")</f>
        <v/>
      </c>
      <c r="Q583" s="231" t="b">
        <v>0</v>
      </c>
      <c r="R583" s="231" t="b">
        <v>0</v>
      </c>
    </row>
    <row r="584" spans="1:18" x14ac:dyDescent="0.3">
      <c r="A584" s="231" t="s">
        <v>3047</v>
      </c>
      <c r="B584" s="231"/>
      <c r="C584" s="231"/>
      <c r="D584" s="231">
        <v>4000</v>
      </c>
      <c r="E584" s="231">
        <v>0</v>
      </c>
      <c r="F584" s="231">
        <v>0</v>
      </c>
      <c r="G584" s="231" t="s">
        <v>2959</v>
      </c>
      <c r="H584" s="231"/>
      <c r="I584" s="231" t="b">
        <v>0</v>
      </c>
      <c r="J584" s="231" t="b">
        <v>0</v>
      </c>
      <c r="K584" s="231" t="b">
        <v>1</v>
      </c>
      <c r="L584" s="231" t="s">
        <v>247</v>
      </c>
      <c r="M584" s="231"/>
      <c r="N584" s="231" t="str">
        <f>_xlfn.IFNA(VLOOKUP($M584,[1]Buff.CM!$A:$O,13,FALSE),"")</f>
        <v/>
      </c>
      <c r="O584" s="231" t="str">
        <f>_xlfn.IFNA(VLOOKUP($M584,[1]Buff.CM!$A:$O,14,FALSE),"")</f>
        <v/>
      </c>
      <c r="P584" s="231" t="str">
        <f>_xlfn.IFNA(VLOOKUP($M584,[1]Buff.CM!$A:$O,15,FALSE),"")</f>
        <v/>
      </c>
      <c r="Q584" s="231" t="b">
        <v>0</v>
      </c>
      <c r="R584" s="231" t="b">
        <v>0</v>
      </c>
    </row>
    <row r="585" spans="1:18" x14ac:dyDescent="0.3">
      <c r="A585" s="231" t="s">
        <v>3048</v>
      </c>
      <c r="B585" s="231"/>
      <c r="C585" s="231"/>
      <c r="D585" s="231">
        <v>4000</v>
      </c>
      <c r="E585" s="231">
        <v>0</v>
      </c>
      <c r="F585" s="231">
        <v>0</v>
      </c>
      <c r="G585" s="231" t="s">
        <v>2960</v>
      </c>
      <c r="H585" s="231"/>
      <c r="I585" s="231" t="b">
        <v>0</v>
      </c>
      <c r="J585" s="231" t="b">
        <v>0</v>
      </c>
      <c r="K585" s="231" t="b">
        <v>1</v>
      </c>
      <c r="L585" s="231" t="s">
        <v>247</v>
      </c>
      <c r="M585" s="231"/>
      <c r="N585" s="231" t="str">
        <f>_xlfn.IFNA(VLOOKUP($M585,[1]Buff.CM!$A:$O,13,FALSE),"")</f>
        <v/>
      </c>
      <c r="O585" s="231" t="str">
        <f>_xlfn.IFNA(VLOOKUP($M585,[1]Buff.CM!$A:$O,14,FALSE),"")</f>
        <v/>
      </c>
      <c r="P585" s="231" t="str">
        <f>_xlfn.IFNA(VLOOKUP($M585,[1]Buff.CM!$A:$O,15,FALSE),"")</f>
        <v/>
      </c>
      <c r="Q585" s="231" t="b">
        <v>0</v>
      </c>
      <c r="R585" s="231" t="b">
        <v>0</v>
      </c>
    </row>
    <row r="586" spans="1:18" x14ac:dyDescent="0.3">
      <c r="A586" s="231" t="s">
        <v>3049</v>
      </c>
      <c r="B586" s="231"/>
      <c r="C586" s="231"/>
      <c r="D586" s="231">
        <v>4000</v>
      </c>
      <c r="E586" s="231">
        <v>0</v>
      </c>
      <c r="F586" s="231">
        <v>0</v>
      </c>
      <c r="G586" s="231" t="s">
        <v>2961</v>
      </c>
      <c r="H586" s="231"/>
      <c r="I586" s="231" t="b">
        <v>0</v>
      </c>
      <c r="J586" s="231" t="b">
        <v>0</v>
      </c>
      <c r="K586" s="231" t="b">
        <v>1</v>
      </c>
      <c r="L586" s="231" t="s">
        <v>247</v>
      </c>
      <c r="M586" s="231"/>
      <c r="N586" s="231" t="str">
        <f>_xlfn.IFNA(VLOOKUP($M586,[1]Buff.CM!$A:$O,13,FALSE),"")</f>
        <v/>
      </c>
      <c r="O586" s="231" t="str">
        <f>_xlfn.IFNA(VLOOKUP($M586,[1]Buff.CM!$A:$O,14,FALSE),"")</f>
        <v/>
      </c>
      <c r="P586" s="231" t="str">
        <f>_xlfn.IFNA(VLOOKUP($M586,[1]Buff.CM!$A:$O,15,FALSE),"")</f>
        <v/>
      </c>
      <c r="Q586" s="231" t="b">
        <v>0</v>
      </c>
      <c r="R586" s="231" t="b">
        <v>0</v>
      </c>
    </row>
    <row r="587" spans="1:18" x14ac:dyDescent="0.3">
      <c r="A587" s="231" t="s">
        <v>3050</v>
      </c>
      <c r="B587" s="231"/>
      <c r="C587" s="231"/>
      <c r="D587" s="231">
        <v>4000</v>
      </c>
      <c r="E587" s="231">
        <v>0</v>
      </c>
      <c r="F587" s="231">
        <v>0</v>
      </c>
      <c r="G587" s="231" t="s">
        <v>2962</v>
      </c>
      <c r="H587" s="231"/>
      <c r="I587" s="231" t="b">
        <v>0</v>
      </c>
      <c r="J587" s="231" t="b">
        <v>0</v>
      </c>
      <c r="K587" s="231" t="b">
        <v>1</v>
      </c>
      <c r="L587" s="231" t="s">
        <v>247</v>
      </c>
      <c r="M587" s="231"/>
      <c r="N587" s="231" t="str">
        <f>_xlfn.IFNA(VLOOKUP($M587,[1]Buff.CM!$A:$O,13,FALSE),"")</f>
        <v/>
      </c>
      <c r="O587" s="231" t="str">
        <f>_xlfn.IFNA(VLOOKUP($M587,[1]Buff.CM!$A:$O,14,FALSE),"")</f>
        <v/>
      </c>
      <c r="P587" s="231" t="str">
        <f>_xlfn.IFNA(VLOOKUP($M587,[1]Buff.CM!$A:$O,15,FALSE),"")</f>
        <v/>
      </c>
      <c r="Q587" s="231" t="b">
        <v>0</v>
      </c>
      <c r="R587" s="231" t="b">
        <v>0</v>
      </c>
    </row>
    <row r="588" spans="1:18" x14ac:dyDescent="0.3">
      <c r="A588" s="232" t="s">
        <v>3051</v>
      </c>
      <c r="B588" s="232"/>
      <c r="C588" s="232"/>
      <c r="D588" s="232">
        <v>4000</v>
      </c>
      <c r="E588" s="232">
        <v>0</v>
      </c>
      <c r="F588" s="232">
        <v>0</v>
      </c>
      <c r="G588" s="232" t="s">
        <v>2963</v>
      </c>
      <c r="H588" s="232"/>
      <c r="I588" s="232" t="b">
        <v>0</v>
      </c>
      <c r="J588" s="232" t="b">
        <v>0</v>
      </c>
      <c r="K588" s="232" t="b">
        <v>1</v>
      </c>
      <c r="L588" s="232" t="s">
        <v>247</v>
      </c>
      <c r="M588" s="232"/>
      <c r="N588" s="232" t="str">
        <f>_xlfn.IFNA(VLOOKUP($M588,[1]Buff.CM!$A:$O,13,FALSE),"")</f>
        <v/>
      </c>
      <c r="O588" s="232" t="str">
        <f>_xlfn.IFNA(VLOOKUP($M588,[1]Buff.CM!$A:$O,14,FALSE),"")</f>
        <v/>
      </c>
      <c r="P588" s="232" t="str">
        <f>_xlfn.IFNA(VLOOKUP($M588,[1]Buff.CM!$A:$O,15,FALSE),"")</f>
        <v/>
      </c>
      <c r="Q588" s="232" t="b">
        <v>0</v>
      </c>
      <c r="R588" s="232" t="b">
        <v>0</v>
      </c>
    </row>
    <row r="589" spans="1:18" x14ac:dyDescent="0.3">
      <c r="A589" s="232" t="s">
        <v>3052</v>
      </c>
      <c r="B589" s="232"/>
      <c r="C589" s="232"/>
      <c r="D589" s="232">
        <v>4000</v>
      </c>
      <c r="E589" s="232">
        <v>0</v>
      </c>
      <c r="F589" s="232">
        <v>0</v>
      </c>
      <c r="G589" s="232" t="s">
        <v>2964</v>
      </c>
      <c r="H589" s="232"/>
      <c r="I589" s="232" t="b">
        <v>0</v>
      </c>
      <c r="J589" s="232" t="b">
        <v>0</v>
      </c>
      <c r="K589" s="232" t="b">
        <v>1</v>
      </c>
      <c r="L589" s="232" t="s">
        <v>247</v>
      </c>
      <c r="M589" s="232"/>
      <c r="N589" s="232" t="str">
        <f>_xlfn.IFNA(VLOOKUP($M589,[1]Buff.CM!$A:$O,13,FALSE),"")</f>
        <v/>
      </c>
      <c r="O589" s="232" t="str">
        <f>_xlfn.IFNA(VLOOKUP($M589,[1]Buff.CM!$A:$O,14,FALSE),"")</f>
        <v/>
      </c>
      <c r="P589" s="232" t="str">
        <f>_xlfn.IFNA(VLOOKUP($M589,[1]Buff.CM!$A:$O,15,FALSE),"")</f>
        <v/>
      </c>
      <c r="Q589" s="232" t="b">
        <v>0</v>
      </c>
      <c r="R589" s="232" t="b">
        <v>0</v>
      </c>
    </row>
    <row r="590" spans="1:18" x14ac:dyDescent="0.3">
      <c r="A590" s="231" t="s">
        <v>3053</v>
      </c>
      <c r="B590" s="231"/>
      <c r="C590" s="231"/>
      <c r="D590" s="231">
        <v>4000</v>
      </c>
      <c r="E590" s="231">
        <v>0</v>
      </c>
      <c r="F590" s="231">
        <v>0</v>
      </c>
      <c r="G590" s="231" t="s">
        <v>2965</v>
      </c>
      <c r="H590" s="231"/>
      <c r="I590" s="231" t="b">
        <v>0</v>
      </c>
      <c r="J590" s="231" t="b">
        <v>0</v>
      </c>
      <c r="K590" s="231" t="b">
        <v>1</v>
      </c>
      <c r="L590" s="231" t="s">
        <v>247</v>
      </c>
      <c r="M590" s="231"/>
      <c r="N590" s="231" t="str">
        <f>_xlfn.IFNA(VLOOKUP($M590,[1]Buff.CM!$A:$O,13,FALSE),"")</f>
        <v/>
      </c>
      <c r="O590" s="231" t="str">
        <f>_xlfn.IFNA(VLOOKUP($M590,[1]Buff.CM!$A:$O,14,FALSE),"")</f>
        <v/>
      </c>
      <c r="P590" s="231" t="str">
        <f>_xlfn.IFNA(VLOOKUP($M590,[1]Buff.CM!$A:$O,15,FALSE),"")</f>
        <v/>
      </c>
      <c r="Q590" s="231" t="b">
        <v>0</v>
      </c>
      <c r="R590" s="231" t="b">
        <v>0</v>
      </c>
    </row>
    <row r="591" spans="1:18" x14ac:dyDescent="0.3">
      <c r="A591" s="231" t="s">
        <v>3054</v>
      </c>
      <c r="B591" s="231"/>
      <c r="C591" s="231"/>
      <c r="D591" s="231">
        <v>4000</v>
      </c>
      <c r="E591" s="231">
        <v>0</v>
      </c>
      <c r="F591" s="231">
        <v>0</v>
      </c>
      <c r="G591" s="231" t="s">
        <v>2966</v>
      </c>
      <c r="H591" s="231"/>
      <c r="I591" s="231" t="b">
        <v>0</v>
      </c>
      <c r="J591" s="231" t="b">
        <v>0</v>
      </c>
      <c r="K591" s="231" t="b">
        <v>1</v>
      </c>
      <c r="L591" s="231" t="s">
        <v>247</v>
      </c>
      <c r="M591" s="231"/>
      <c r="N591" s="231" t="str">
        <f>_xlfn.IFNA(VLOOKUP($M591,[1]Buff.CM!$A:$O,13,FALSE),"")</f>
        <v/>
      </c>
      <c r="O591" s="231" t="str">
        <f>_xlfn.IFNA(VLOOKUP($M591,[1]Buff.CM!$A:$O,14,FALSE),"")</f>
        <v/>
      </c>
      <c r="P591" s="231" t="str">
        <f>_xlfn.IFNA(VLOOKUP($M591,[1]Buff.CM!$A:$O,15,FALSE),"")</f>
        <v/>
      </c>
      <c r="Q591" s="231" t="b">
        <v>0</v>
      </c>
      <c r="R591" s="231" t="b">
        <v>0</v>
      </c>
    </row>
    <row r="592" spans="1:18" x14ac:dyDescent="0.3">
      <c r="A592" s="231" t="s">
        <v>3055</v>
      </c>
      <c r="B592" s="231"/>
      <c r="C592" s="231"/>
      <c r="D592" s="231">
        <v>4000</v>
      </c>
      <c r="E592" s="231">
        <v>0</v>
      </c>
      <c r="F592" s="231">
        <v>0</v>
      </c>
      <c r="G592" s="231" t="s">
        <v>2967</v>
      </c>
      <c r="H592" s="231"/>
      <c r="I592" s="231" t="b">
        <v>0</v>
      </c>
      <c r="J592" s="231" t="b">
        <v>0</v>
      </c>
      <c r="K592" s="231" t="b">
        <v>1</v>
      </c>
      <c r="L592" s="231" t="s">
        <v>247</v>
      </c>
      <c r="M592" s="231"/>
      <c r="N592" s="231" t="str">
        <f>_xlfn.IFNA(VLOOKUP($M592,[1]Buff.CM!$A:$O,13,FALSE),"")</f>
        <v/>
      </c>
      <c r="O592" s="231" t="str">
        <f>_xlfn.IFNA(VLOOKUP($M592,[1]Buff.CM!$A:$O,14,FALSE),"")</f>
        <v/>
      </c>
      <c r="P592" s="231" t="str">
        <f>_xlfn.IFNA(VLOOKUP($M592,[1]Buff.CM!$A:$O,15,FALSE),"")</f>
        <v/>
      </c>
      <c r="Q592" s="231" t="b">
        <v>0</v>
      </c>
      <c r="R592" s="231" t="b">
        <v>0</v>
      </c>
    </row>
    <row r="593" spans="1:18" x14ac:dyDescent="0.3">
      <c r="A593" s="231" t="s">
        <v>3056</v>
      </c>
      <c r="B593" s="231"/>
      <c r="C593" s="231"/>
      <c r="D593" s="231">
        <v>4000</v>
      </c>
      <c r="E593" s="231">
        <v>0</v>
      </c>
      <c r="F593" s="231">
        <v>0</v>
      </c>
      <c r="G593" s="231" t="s">
        <v>2968</v>
      </c>
      <c r="H593" s="231"/>
      <c r="I593" s="231" t="b">
        <v>0</v>
      </c>
      <c r="J593" s="231" t="b">
        <v>0</v>
      </c>
      <c r="K593" s="231" t="b">
        <v>1</v>
      </c>
      <c r="L593" s="231" t="s">
        <v>247</v>
      </c>
      <c r="M593" s="231"/>
      <c r="N593" s="231" t="str">
        <f>_xlfn.IFNA(VLOOKUP($M593,[1]Buff.CM!$A:$O,13,FALSE),"")</f>
        <v/>
      </c>
      <c r="O593" s="231" t="str">
        <f>_xlfn.IFNA(VLOOKUP($M593,[1]Buff.CM!$A:$O,14,FALSE),"")</f>
        <v/>
      </c>
      <c r="P593" s="231" t="str">
        <f>_xlfn.IFNA(VLOOKUP($M593,[1]Buff.CM!$A:$O,15,FALSE),"")</f>
        <v/>
      </c>
      <c r="Q593" s="231" t="b">
        <v>0</v>
      </c>
      <c r="R593" s="231" t="b">
        <v>0</v>
      </c>
    </row>
    <row r="594" spans="1:18" x14ac:dyDescent="0.3">
      <c r="A594" s="231" t="s">
        <v>3057</v>
      </c>
      <c r="B594" s="231"/>
      <c r="C594" s="231"/>
      <c r="D594" s="231">
        <v>4000</v>
      </c>
      <c r="E594" s="231">
        <v>0</v>
      </c>
      <c r="F594" s="231">
        <v>0</v>
      </c>
      <c r="G594" s="231" t="s">
        <v>2969</v>
      </c>
      <c r="H594" s="231"/>
      <c r="I594" s="231" t="b">
        <v>0</v>
      </c>
      <c r="J594" s="231" t="b">
        <v>0</v>
      </c>
      <c r="K594" s="231" t="b">
        <v>1</v>
      </c>
      <c r="L594" s="231" t="s">
        <v>247</v>
      </c>
      <c r="M594" s="231"/>
      <c r="N594" s="231" t="str">
        <f>_xlfn.IFNA(VLOOKUP($M594,[1]Buff.CM!$A:$O,13,FALSE),"")</f>
        <v/>
      </c>
      <c r="O594" s="231" t="str">
        <f>_xlfn.IFNA(VLOOKUP($M594,[1]Buff.CM!$A:$O,14,FALSE),"")</f>
        <v/>
      </c>
      <c r="P594" s="231" t="str">
        <f>_xlfn.IFNA(VLOOKUP($M594,[1]Buff.CM!$A:$O,15,FALSE),"")</f>
        <v/>
      </c>
      <c r="Q594" s="231" t="b">
        <v>0</v>
      </c>
      <c r="R594" s="231" t="b">
        <v>0</v>
      </c>
    </row>
    <row r="595" spans="1:18" x14ac:dyDescent="0.3">
      <c r="A595" s="232" t="s">
        <v>3058</v>
      </c>
      <c r="B595" s="232"/>
      <c r="C595" s="232"/>
      <c r="D595" s="232">
        <v>4000</v>
      </c>
      <c r="E595" s="232">
        <v>0</v>
      </c>
      <c r="F595" s="232">
        <v>0</v>
      </c>
      <c r="G595" s="232" t="s">
        <v>2970</v>
      </c>
      <c r="H595" s="232"/>
      <c r="I595" s="232" t="b">
        <v>0</v>
      </c>
      <c r="J595" s="232" t="b">
        <v>0</v>
      </c>
      <c r="K595" s="232" t="b">
        <v>1</v>
      </c>
      <c r="L595" s="232" t="s">
        <v>247</v>
      </c>
      <c r="M595" s="232"/>
      <c r="N595" s="232" t="str">
        <f>_xlfn.IFNA(VLOOKUP($M595,[1]Buff.CM!$A:$O,13,FALSE),"")</f>
        <v/>
      </c>
      <c r="O595" s="232" t="str">
        <f>_xlfn.IFNA(VLOOKUP($M595,[1]Buff.CM!$A:$O,14,FALSE),"")</f>
        <v/>
      </c>
      <c r="P595" s="232" t="str">
        <f>_xlfn.IFNA(VLOOKUP($M595,[1]Buff.CM!$A:$O,15,FALSE),"")</f>
        <v/>
      </c>
      <c r="Q595" s="232" t="b">
        <v>0</v>
      </c>
      <c r="R595" s="232" t="b">
        <v>0</v>
      </c>
    </row>
    <row r="596" spans="1:18" x14ac:dyDescent="0.3">
      <c r="A596" s="232" t="s">
        <v>3059</v>
      </c>
      <c r="B596" s="232"/>
      <c r="C596" s="232"/>
      <c r="D596" s="232">
        <v>4000</v>
      </c>
      <c r="E596" s="232">
        <v>0</v>
      </c>
      <c r="F596" s="232">
        <v>0</v>
      </c>
      <c r="G596" s="232" t="s">
        <v>2971</v>
      </c>
      <c r="H596" s="232"/>
      <c r="I596" s="232" t="b">
        <v>0</v>
      </c>
      <c r="J596" s="232" t="b">
        <v>0</v>
      </c>
      <c r="K596" s="232" t="b">
        <v>1</v>
      </c>
      <c r="L596" s="232" t="s">
        <v>247</v>
      </c>
      <c r="M596" s="232"/>
      <c r="N596" s="232" t="str">
        <f>_xlfn.IFNA(VLOOKUP($M596,[1]Buff.CM!$A:$O,13,FALSE),"")</f>
        <v/>
      </c>
      <c r="O596" s="232" t="str">
        <f>_xlfn.IFNA(VLOOKUP($M596,[1]Buff.CM!$A:$O,14,FALSE),"")</f>
        <v/>
      </c>
      <c r="P596" s="232" t="str">
        <f>_xlfn.IFNA(VLOOKUP($M596,[1]Buff.CM!$A:$O,15,FALSE),"")</f>
        <v/>
      </c>
      <c r="Q596" s="232" t="b">
        <v>0</v>
      </c>
      <c r="R596" s="232" t="b">
        <v>0</v>
      </c>
    </row>
    <row r="597" spans="1:18" x14ac:dyDescent="0.3">
      <c r="A597" s="231" t="s">
        <v>3060</v>
      </c>
      <c r="B597" s="231"/>
      <c r="C597" s="231"/>
      <c r="D597" s="231">
        <v>1500</v>
      </c>
      <c r="E597" s="231">
        <v>0</v>
      </c>
      <c r="F597" s="231">
        <v>0</v>
      </c>
      <c r="G597" s="231" t="s">
        <v>2972</v>
      </c>
      <c r="H597" s="231"/>
      <c r="I597" s="231" t="b">
        <v>0</v>
      </c>
      <c r="J597" s="231" t="b">
        <v>0</v>
      </c>
      <c r="K597" s="231" t="b">
        <v>1</v>
      </c>
      <c r="L597" s="231" t="s">
        <v>1048</v>
      </c>
      <c r="M597" s="231"/>
      <c r="N597" s="231" t="str">
        <f>_xlfn.IFNA(VLOOKUP($M597,[1]Buff.CM!$A:$O,13,FALSE),"")</f>
        <v/>
      </c>
      <c r="O597" s="231" t="str">
        <f>_xlfn.IFNA(VLOOKUP($M597,[1]Buff.CM!$A:$O,14,FALSE),"")</f>
        <v/>
      </c>
      <c r="P597" s="231" t="str">
        <f>_xlfn.IFNA(VLOOKUP($M597,[1]Buff.CM!$A:$O,15,FALSE),"")</f>
        <v/>
      </c>
      <c r="Q597" s="231" t="b">
        <v>0</v>
      </c>
      <c r="R597" s="231" t="b">
        <v>0</v>
      </c>
    </row>
    <row r="598" spans="1:18" x14ac:dyDescent="0.3">
      <c r="A598" s="231" t="s">
        <v>3061</v>
      </c>
      <c r="B598" s="231"/>
      <c r="C598" s="231"/>
      <c r="D598" s="231">
        <v>2000</v>
      </c>
      <c r="E598" s="231">
        <v>0</v>
      </c>
      <c r="F598" s="231">
        <v>0</v>
      </c>
      <c r="G598" s="231" t="s">
        <v>2973</v>
      </c>
      <c r="H598" s="231"/>
      <c r="I598" s="231" t="b">
        <v>0</v>
      </c>
      <c r="J598" s="231" t="b">
        <v>0</v>
      </c>
      <c r="K598" s="231" t="b">
        <v>1</v>
      </c>
      <c r="L598" s="231" t="s">
        <v>1048</v>
      </c>
      <c r="M598" s="231"/>
      <c r="N598" s="231" t="str">
        <f>_xlfn.IFNA(VLOOKUP($M598,[1]Buff.CM!$A:$O,13,FALSE),"")</f>
        <v/>
      </c>
      <c r="O598" s="231" t="str">
        <f>_xlfn.IFNA(VLOOKUP($M598,[1]Buff.CM!$A:$O,14,FALSE),"")</f>
        <v/>
      </c>
      <c r="P598" s="231" t="str">
        <f>_xlfn.IFNA(VLOOKUP($M598,[1]Buff.CM!$A:$O,15,FALSE),"")</f>
        <v/>
      </c>
      <c r="Q598" s="231" t="b">
        <v>0</v>
      </c>
      <c r="R598" s="231" t="b">
        <v>0</v>
      </c>
    </row>
    <row r="599" spans="1:18" x14ac:dyDescent="0.3">
      <c r="A599" s="231" t="s">
        <v>3062</v>
      </c>
      <c r="B599" s="231"/>
      <c r="C599" s="231"/>
      <c r="D599" s="231">
        <v>2000</v>
      </c>
      <c r="E599" s="231">
        <v>0</v>
      </c>
      <c r="F599" s="231">
        <v>0</v>
      </c>
      <c r="G599" s="231" t="s">
        <v>2974</v>
      </c>
      <c r="H599" s="231"/>
      <c r="I599" s="231" t="b">
        <v>0</v>
      </c>
      <c r="J599" s="231" t="b">
        <v>0</v>
      </c>
      <c r="K599" s="231" t="b">
        <v>1</v>
      </c>
      <c r="L599" s="231" t="s">
        <v>1048</v>
      </c>
      <c r="M599" s="231"/>
      <c r="N599" s="231" t="str">
        <f>_xlfn.IFNA(VLOOKUP($M599,[1]Buff.CM!$A:$O,13,FALSE),"")</f>
        <v/>
      </c>
      <c r="O599" s="231" t="str">
        <f>_xlfn.IFNA(VLOOKUP($M599,[1]Buff.CM!$A:$O,14,FALSE),"")</f>
        <v/>
      </c>
      <c r="P599" s="231" t="str">
        <f>_xlfn.IFNA(VLOOKUP($M599,[1]Buff.CM!$A:$O,15,FALSE),"")</f>
        <v/>
      </c>
      <c r="Q599" s="231" t="b">
        <v>0</v>
      </c>
      <c r="R599" s="231" t="b">
        <v>0</v>
      </c>
    </row>
    <row r="600" spans="1:18" x14ac:dyDescent="0.3">
      <c r="A600" s="231" t="s">
        <v>3063</v>
      </c>
      <c r="B600" s="231"/>
      <c r="C600" s="231"/>
      <c r="D600" s="231">
        <v>2500</v>
      </c>
      <c r="E600" s="231">
        <v>0</v>
      </c>
      <c r="F600" s="231">
        <v>0</v>
      </c>
      <c r="G600" s="231" t="s">
        <v>2975</v>
      </c>
      <c r="H600" s="231"/>
      <c r="I600" s="231" t="b">
        <v>0</v>
      </c>
      <c r="J600" s="231" t="b">
        <v>0</v>
      </c>
      <c r="K600" s="231" t="b">
        <v>1</v>
      </c>
      <c r="L600" s="231" t="s">
        <v>1048</v>
      </c>
      <c r="M600" s="231"/>
      <c r="N600" s="231" t="str">
        <f>_xlfn.IFNA(VLOOKUP($M600,[1]Buff.CM!$A:$O,13,FALSE),"")</f>
        <v/>
      </c>
      <c r="O600" s="231" t="str">
        <f>_xlfn.IFNA(VLOOKUP($M600,[1]Buff.CM!$A:$O,14,FALSE),"")</f>
        <v/>
      </c>
      <c r="P600" s="231" t="str">
        <f>_xlfn.IFNA(VLOOKUP($M600,[1]Buff.CM!$A:$O,15,FALSE),"")</f>
        <v/>
      </c>
      <c r="Q600" s="231" t="b">
        <v>0</v>
      </c>
      <c r="R600" s="231" t="b">
        <v>0</v>
      </c>
    </row>
    <row r="601" spans="1:18" x14ac:dyDescent="0.3">
      <c r="A601" s="231" t="s">
        <v>3064</v>
      </c>
      <c r="B601" s="231"/>
      <c r="C601" s="231"/>
      <c r="D601" s="231">
        <v>3000</v>
      </c>
      <c r="E601" s="231">
        <v>0</v>
      </c>
      <c r="F601" s="231">
        <v>0</v>
      </c>
      <c r="G601" s="231" t="s">
        <v>2976</v>
      </c>
      <c r="H601" s="231"/>
      <c r="I601" s="231" t="b">
        <v>0</v>
      </c>
      <c r="J601" s="231" t="b">
        <v>0</v>
      </c>
      <c r="K601" s="231" t="b">
        <v>1</v>
      </c>
      <c r="L601" s="231" t="s">
        <v>1048</v>
      </c>
      <c r="M601" s="231"/>
      <c r="N601" s="231" t="str">
        <f>_xlfn.IFNA(VLOOKUP($M601,[1]Buff.CM!$A:$O,13,FALSE),"")</f>
        <v/>
      </c>
      <c r="O601" s="231" t="str">
        <f>_xlfn.IFNA(VLOOKUP($M601,[1]Buff.CM!$A:$O,14,FALSE),"")</f>
        <v/>
      </c>
      <c r="P601" s="231" t="str">
        <f>_xlfn.IFNA(VLOOKUP($M601,[1]Buff.CM!$A:$O,15,FALSE),"")</f>
        <v/>
      </c>
      <c r="Q601" s="231" t="b">
        <v>0</v>
      </c>
      <c r="R601" s="231" t="b">
        <v>0</v>
      </c>
    </row>
    <row r="602" spans="1:18" x14ac:dyDescent="0.3">
      <c r="A602" s="232" t="s">
        <v>3065</v>
      </c>
      <c r="B602" s="232"/>
      <c r="C602" s="232"/>
      <c r="D602" s="232">
        <v>3250</v>
      </c>
      <c r="E602" s="232">
        <v>0</v>
      </c>
      <c r="F602" s="232">
        <v>0</v>
      </c>
      <c r="G602" s="232" t="s">
        <v>2977</v>
      </c>
      <c r="H602" s="232"/>
      <c r="I602" s="232" t="b">
        <v>0</v>
      </c>
      <c r="J602" s="232" t="b">
        <v>0</v>
      </c>
      <c r="K602" s="232" t="b">
        <v>1</v>
      </c>
      <c r="L602" s="232" t="s">
        <v>1048</v>
      </c>
      <c r="M602" s="232"/>
      <c r="N602" s="232" t="str">
        <f>_xlfn.IFNA(VLOOKUP($M602,[1]Buff.CM!$A:$O,13,FALSE),"")</f>
        <v/>
      </c>
      <c r="O602" s="232" t="str">
        <f>_xlfn.IFNA(VLOOKUP($M602,[1]Buff.CM!$A:$O,14,FALSE),"")</f>
        <v/>
      </c>
      <c r="P602" s="232" t="str">
        <f>_xlfn.IFNA(VLOOKUP($M602,[1]Buff.CM!$A:$O,15,FALSE),"")</f>
        <v/>
      </c>
      <c r="Q602" s="232" t="b">
        <v>0</v>
      </c>
      <c r="R602" s="232" t="b">
        <v>0</v>
      </c>
    </row>
    <row r="603" spans="1:18" x14ac:dyDescent="0.3">
      <c r="A603" s="232" t="s">
        <v>3066</v>
      </c>
      <c r="B603" s="232"/>
      <c r="C603" s="232"/>
      <c r="D603" s="232">
        <v>3600</v>
      </c>
      <c r="E603" s="232">
        <v>0</v>
      </c>
      <c r="F603" s="232">
        <v>0</v>
      </c>
      <c r="G603" s="232" t="s">
        <v>2978</v>
      </c>
      <c r="H603" s="232"/>
      <c r="I603" s="232" t="b">
        <v>0</v>
      </c>
      <c r="J603" s="232" t="b">
        <v>0</v>
      </c>
      <c r="K603" s="232" t="b">
        <v>1</v>
      </c>
      <c r="L603" s="232" t="s">
        <v>1048</v>
      </c>
      <c r="M603" s="232"/>
      <c r="N603" s="232" t="str">
        <f>_xlfn.IFNA(VLOOKUP($M603,[1]Buff.CM!$A:$O,13,FALSE),"")</f>
        <v/>
      </c>
      <c r="O603" s="232" t="str">
        <f>_xlfn.IFNA(VLOOKUP($M603,[1]Buff.CM!$A:$O,14,FALSE),"")</f>
        <v/>
      </c>
      <c r="P603" s="232" t="str">
        <f>_xlfn.IFNA(VLOOKUP($M603,[1]Buff.CM!$A:$O,15,FALSE),"")</f>
        <v/>
      </c>
      <c r="Q603" s="232" t="b">
        <v>0</v>
      </c>
      <c r="R603" s="232" t="b">
        <v>0</v>
      </c>
    </row>
    <row r="604" spans="1:18" x14ac:dyDescent="0.3">
      <c r="A604" s="157" t="s">
        <v>3067</v>
      </c>
      <c r="B604" s="157"/>
      <c r="C604" s="157"/>
      <c r="D604" s="157">
        <v>6000</v>
      </c>
      <c r="E604" s="157">
        <v>0</v>
      </c>
      <c r="F604" s="157">
        <v>0</v>
      </c>
      <c r="G604" s="157" t="s">
        <v>2258</v>
      </c>
      <c r="H604" s="157"/>
      <c r="I604" s="157" t="b">
        <v>0</v>
      </c>
      <c r="J604" s="157" t="b">
        <v>0</v>
      </c>
      <c r="K604" s="157" t="b">
        <v>0</v>
      </c>
      <c r="L604" s="157" t="s">
        <v>55</v>
      </c>
      <c r="M604" s="157" t="s">
        <v>2258</v>
      </c>
      <c r="N604" s="157" t="str">
        <f>_xlfn.IFNA(VLOOKUP($M604,[1]Buff.CM!$A:$O,13,FALSE),"")</f>
        <v>icon_battle_attack</v>
      </c>
      <c r="O604" s="157" t="str">
        <f>_xlfn.IFNA(VLOOKUP($M604,[1]Buff.CM!$A:$O,14,FALSE),"")</f>
        <v>Buff.Name.Atk.Down.03</v>
      </c>
      <c r="P604" s="157" t="str">
        <f>_xlfn.IFNA(VLOOKUP($M604,[1]Buff.CM!$A:$O,15,FALSE),"")</f>
        <v>Buff.Desc.Atk.Down.03</v>
      </c>
      <c r="Q604" s="157" t="b">
        <v>0</v>
      </c>
      <c r="R604" s="157" t="b">
        <v>0</v>
      </c>
    </row>
    <row r="605" spans="1:18" x14ac:dyDescent="0.3">
      <c r="A605" s="157" t="s">
        <v>3068</v>
      </c>
      <c r="B605" s="157"/>
      <c r="C605" s="157"/>
      <c r="D605" s="157">
        <v>6000</v>
      </c>
      <c r="E605" s="157">
        <v>0</v>
      </c>
      <c r="F605" s="157">
        <v>0</v>
      </c>
      <c r="G605" s="157" t="s">
        <v>2259</v>
      </c>
      <c r="H605" s="157"/>
      <c r="I605" s="157" t="b">
        <v>0</v>
      </c>
      <c r="J605" s="157" t="b">
        <v>0</v>
      </c>
      <c r="K605" s="157" t="b">
        <v>0</v>
      </c>
      <c r="L605" s="157" t="s">
        <v>55</v>
      </c>
      <c r="M605" s="157" t="s">
        <v>2259</v>
      </c>
      <c r="N605" s="157" t="str">
        <f>_xlfn.IFNA(VLOOKUP($M605,[1]Buff.CM!$A:$O,13,FALSE),"")</f>
        <v>icon_battle_attack</v>
      </c>
      <c r="O605" s="157" t="str">
        <f>_xlfn.IFNA(VLOOKUP($M605,[1]Buff.CM!$A:$O,14,FALSE),"")</f>
        <v>Buff.Name.Atk.Down.04</v>
      </c>
      <c r="P605" s="157" t="str">
        <f>_xlfn.IFNA(VLOOKUP($M605,[1]Buff.CM!$A:$O,15,FALSE),"")</f>
        <v>Buff.Desc.Atk.Down.04</v>
      </c>
      <c r="Q605" s="157" t="b">
        <v>0</v>
      </c>
      <c r="R605" s="157" t="b">
        <v>0</v>
      </c>
    </row>
    <row r="606" spans="1:18" x14ac:dyDescent="0.3">
      <c r="A606" s="157" t="s">
        <v>3069</v>
      </c>
      <c r="B606" s="157"/>
      <c r="C606" s="157"/>
      <c r="D606" s="157">
        <v>7000</v>
      </c>
      <c r="E606" s="157">
        <v>0</v>
      </c>
      <c r="F606" s="157">
        <v>0</v>
      </c>
      <c r="G606" s="157" t="s">
        <v>2259</v>
      </c>
      <c r="H606" s="157"/>
      <c r="I606" s="157" t="b">
        <v>0</v>
      </c>
      <c r="J606" s="157" t="b">
        <v>0</v>
      </c>
      <c r="K606" s="157" t="b">
        <v>0</v>
      </c>
      <c r="L606" s="157" t="s">
        <v>55</v>
      </c>
      <c r="M606" s="157" t="s">
        <v>2259</v>
      </c>
      <c r="N606" s="157" t="str">
        <f>_xlfn.IFNA(VLOOKUP($M606,[1]Buff.CM!$A:$O,13,FALSE),"")</f>
        <v>icon_battle_attack</v>
      </c>
      <c r="O606" s="157" t="str">
        <f>_xlfn.IFNA(VLOOKUP($M606,[1]Buff.CM!$A:$O,14,FALSE),"")</f>
        <v>Buff.Name.Atk.Down.04</v>
      </c>
      <c r="P606" s="157" t="str">
        <f>_xlfn.IFNA(VLOOKUP($M606,[1]Buff.CM!$A:$O,15,FALSE),"")</f>
        <v>Buff.Desc.Atk.Down.04</v>
      </c>
      <c r="Q606" s="157" t="b">
        <v>0</v>
      </c>
      <c r="R606" s="157" t="b">
        <v>0</v>
      </c>
    </row>
    <row r="607" spans="1:18" x14ac:dyDescent="0.3">
      <c r="A607" s="232" t="s">
        <v>3070</v>
      </c>
      <c r="B607" s="232"/>
      <c r="C607" s="232"/>
      <c r="D607" s="232">
        <v>7000</v>
      </c>
      <c r="E607" s="232">
        <v>0</v>
      </c>
      <c r="F607" s="232">
        <v>0</v>
      </c>
      <c r="G607" s="232" t="s">
        <v>2260</v>
      </c>
      <c r="H607" s="232"/>
      <c r="I607" s="232" t="b">
        <v>0</v>
      </c>
      <c r="J607" s="232" t="b">
        <v>0</v>
      </c>
      <c r="K607" s="232" t="b">
        <v>0</v>
      </c>
      <c r="L607" s="232" t="s">
        <v>55</v>
      </c>
      <c r="M607" s="232" t="s">
        <v>2260</v>
      </c>
      <c r="N607" s="232" t="str">
        <f>_xlfn.IFNA(VLOOKUP($M607,[1]Buff.CM!$A:$O,13,FALSE),"")</f>
        <v>icon_battle_attack</v>
      </c>
      <c r="O607" s="232" t="str">
        <f>_xlfn.IFNA(VLOOKUP($M607,[1]Buff.CM!$A:$O,14,FALSE),"")</f>
        <v>Buff.Name.Atk.Down.05</v>
      </c>
      <c r="P607" s="232" t="str">
        <f>_xlfn.IFNA(VLOOKUP($M607,[1]Buff.CM!$A:$O,15,FALSE),"")</f>
        <v>Buff.Desc.Atk.Down.05</v>
      </c>
      <c r="Q607" s="232" t="b">
        <v>0</v>
      </c>
      <c r="R607" s="232" t="b">
        <v>0</v>
      </c>
    </row>
    <row r="608" spans="1:18" x14ac:dyDescent="0.3">
      <c r="A608" s="232" t="s">
        <v>3071</v>
      </c>
      <c r="B608" s="232"/>
      <c r="C608" s="232"/>
      <c r="D608" s="232">
        <v>7000</v>
      </c>
      <c r="E608" s="232">
        <v>0</v>
      </c>
      <c r="F608" s="232">
        <v>0</v>
      </c>
      <c r="G608" s="232" t="s">
        <v>2260</v>
      </c>
      <c r="H608" s="232"/>
      <c r="I608" s="232" t="b">
        <v>0</v>
      </c>
      <c r="J608" s="232" t="b">
        <v>0</v>
      </c>
      <c r="K608" s="232" t="b">
        <v>0</v>
      </c>
      <c r="L608" s="232" t="s">
        <v>55</v>
      </c>
      <c r="M608" s="232" t="s">
        <v>2260</v>
      </c>
      <c r="N608" s="232" t="str">
        <f>_xlfn.IFNA(VLOOKUP($M608,[1]Buff.CM!$A:$O,13,FALSE),"")</f>
        <v>icon_battle_attack</v>
      </c>
      <c r="O608" s="232" t="str">
        <f>_xlfn.IFNA(VLOOKUP($M608,[1]Buff.CM!$A:$O,14,FALSE),"")</f>
        <v>Buff.Name.Atk.Down.05</v>
      </c>
      <c r="P608" s="232" t="str">
        <f>_xlfn.IFNA(VLOOKUP($M608,[1]Buff.CM!$A:$O,15,FALSE),"")</f>
        <v>Buff.Desc.Atk.Down.05</v>
      </c>
      <c r="Q608" s="232" t="b">
        <v>0</v>
      </c>
      <c r="R608" s="232" t="b">
        <v>0</v>
      </c>
    </row>
    <row r="609" spans="1:18" x14ac:dyDescent="0.3">
      <c r="A609" s="232" t="s">
        <v>3072</v>
      </c>
      <c r="B609" s="232"/>
      <c r="C609" s="232"/>
      <c r="D609" s="232">
        <v>7000</v>
      </c>
      <c r="E609" s="232">
        <v>0</v>
      </c>
      <c r="F609" s="232">
        <v>0</v>
      </c>
      <c r="G609" s="232" t="s">
        <v>2260</v>
      </c>
      <c r="H609" s="232"/>
      <c r="I609" s="232" t="b">
        <v>0</v>
      </c>
      <c r="J609" s="232" t="b">
        <v>0</v>
      </c>
      <c r="K609" s="232" t="b">
        <v>0</v>
      </c>
      <c r="L609" s="232" t="s">
        <v>55</v>
      </c>
      <c r="M609" s="232" t="s">
        <v>2260</v>
      </c>
      <c r="N609" s="232" t="str">
        <f>_xlfn.IFNA(VLOOKUP($M609,[1]Buff.CM!$A:$O,13,FALSE),"")</f>
        <v>icon_battle_attack</v>
      </c>
      <c r="O609" s="232" t="str">
        <f>_xlfn.IFNA(VLOOKUP($M609,[1]Buff.CM!$A:$O,14,FALSE),"")</f>
        <v>Buff.Name.Atk.Down.05</v>
      </c>
      <c r="P609" s="232" t="str">
        <f>_xlfn.IFNA(VLOOKUP($M609,[1]Buff.CM!$A:$O,15,FALSE),"")</f>
        <v>Buff.Desc.Atk.Down.05</v>
      </c>
      <c r="Q609" s="232" t="b">
        <v>0</v>
      </c>
      <c r="R609" s="232" t="b">
        <v>0</v>
      </c>
    </row>
    <row r="610" spans="1:18" x14ac:dyDescent="0.3">
      <c r="A610" s="159" t="s">
        <v>3073</v>
      </c>
      <c r="B610" s="159"/>
      <c r="C610" s="159"/>
      <c r="D610" s="159">
        <v>500</v>
      </c>
      <c r="E610" s="159">
        <v>0</v>
      </c>
      <c r="F610" s="159">
        <v>0</v>
      </c>
      <c r="G610" s="159" t="s">
        <v>2261</v>
      </c>
      <c r="H610" s="159"/>
      <c r="I610" s="159" t="b">
        <v>0</v>
      </c>
      <c r="J610" s="159" t="b">
        <v>0</v>
      </c>
      <c r="K610" s="159" t="b">
        <v>0</v>
      </c>
      <c r="L610" s="159" t="s">
        <v>67</v>
      </c>
      <c r="M610" s="159" t="s">
        <v>2262</v>
      </c>
      <c r="N610" s="159" t="str">
        <f>_xlfn.IFNA(VLOOKUP($M610,[1]Buff.CM!$A:$O,13,FALSE),"")</f>
        <v>icon_cha_skill_backstep_u</v>
      </c>
      <c r="O610" s="159" t="str">
        <f>_xlfn.IFNA(VLOOKUP($M610,[1]Buff.CM!$A:$O,14,FALSE),"")</f>
        <v>Buff.Name.Airborne</v>
      </c>
      <c r="P610" s="159" t="str">
        <f>_xlfn.IFNA(VLOOKUP($M610,[1]Buff.CM!$A:$O,15,FALSE),"")</f>
        <v>Buff.Desc.Airborne</v>
      </c>
      <c r="Q610" s="159" t="b">
        <v>0</v>
      </c>
      <c r="R610" s="159" t="b">
        <v>0</v>
      </c>
    </row>
    <row r="611" spans="1:18" x14ac:dyDescent="0.3">
      <c r="A611" s="231" t="s">
        <v>3074</v>
      </c>
      <c r="B611" s="231"/>
      <c r="C611" s="231"/>
      <c r="D611" s="231">
        <v>5000</v>
      </c>
      <c r="E611" s="231">
        <v>0</v>
      </c>
      <c r="F611" s="231">
        <v>0</v>
      </c>
      <c r="G611" s="231" t="s">
        <v>2979</v>
      </c>
      <c r="H611" s="231"/>
      <c r="I611" s="231" t="b">
        <v>0</v>
      </c>
      <c r="J611" s="231" t="b">
        <v>0</v>
      </c>
      <c r="K611" s="231" t="b">
        <v>1</v>
      </c>
      <c r="L611" s="231" t="s">
        <v>60</v>
      </c>
      <c r="M611" s="231" t="s">
        <v>2263</v>
      </c>
      <c r="N611" s="231" t="str">
        <f>_xlfn.IFNA(VLOOKUP($M611,[1]Buff.CM!$A:$O,13,FALSE),"")</f>
        <v>icon_battle_shield</v>
      </c>
      <c r="O611" s="231" t="str">
        <f>_xlfn.IFNA(VLOOKUP($M611,[1]Buff.CM!$A:$O,14,FALSE),"")</f>
        <v>Buff.Name.Shield</v>
      </c>
      <c r="P611" s="231" t="str">
        <f>_xlfn.IFNA(VLOOKUP($M611,[1]Buff.CM!$A:$O,15,FALSE),"")</f>
        <v>Buff.Desc.Shield</v>
      </c>
      <c r="Q611" s="231" t="b">
        <v>0</v>
      </c>
      <c r="R611" s="231" t="b">
        <v>0</v>
      </c>
    </row>
    <row r="612" spans="1:18" x14ac:dyDescent="0.3">
      <c r="A612" s="231" t="s">
        <v>3075</v>
      </c>
      <c r="B612" s="231"/>
      <c r="C612" s="231"/>
      <c r="D612" s="231">
        <v>5000</v>
      </c>
      <c r="E612" s="231">
        <v>0</v>
      </c>
      <c r="F612" s="231">
        <v>0</v>
      </c>
      <c r="G612" s="231" t="s">
        <v>2980</v>
      </c>
      <c r="H612" s="231"/>
      <c r="I612" s="231" t="b">
        <v>0</v>
      </c>
      <c r="J612" s="231" t="b">
        <v>0</v>
      </c>
      <c r="K612" s="231" t="b">
        <v>1</v>
      </c>
      <c r="L612" s="231" t="s">
        <v>60</v>
      </c>
      <c r="M612" s="231" t="s">
        <v>2263</v>
      </c>
      <c r="N612" s="231" t="str">
        <f>_xlfn.IFNA(VLOOKUP($M612,[1]Buff.CM!$A:$O,13,FALSE),"")</f>
        <v>icon_battle_shield</v>
      </c>
      <c r="O612" s="231" t="str">
        <f>_xlfn.IFNA(VLOOKUP($M612,[1]Buff.CM!$A:$O,14,FALSE),"")</f>
        <v>Buff.Name.Shield</v>
      </c>
      <c r="P612" s="231" t="str">
        <f>_xlfn.IFNA(VLOOKUP($M612,[1]Buff.CM!$A:$O,15,FALSE),"")</f>
        <v>Buff.Desc.Shield</v>
      </c>
      <c r="Q612" s="231" t="b">
        <v>0</v>
      </c>
      <c r="R612" s="231" t="b">
        <v>0</v>
      </c>
    </row>
    <row r="613" spans="1:18" x14ac:dyDescent="0.3">
      <c r="A613" s="231" t="s">
        <v>3076</v>
      </c>
      <c r="B613" s="231"/>
      <c r="C613" s="231"/>
      <c r="D613" s="231">
        <v>5000</v>
      </c>
      <c r="E613" s="231">
        <v>0</v>
      </c>
      <c r="F613" s="231">
        <v>0</v>
      </c>
      <c r="G613" s="231" t="s">
        <v>2981</v>
      </c>
      <c r="H613" s="231"/>
      <c r="I613" s="231" t="b">
        <v>0</v>
      </c>
      <c r="J613" s="231" t="b">
        <v>0</v>
      </c>
      <c r="K613" s="231" t="b">
        <v>1</v>
      </c>
      <c r="L613" s="231" t="s">
        <v>60</v>
      </c>
      <c r="M613" s="231" t="s">
        <v>2263</v>
      </c>
      <c r="N613" s="231" t="str">
        <f>_xlfn.IFNA(VLOOKUP($M613,[1]Buff.CM!$A:$O,13,FALSE),"")</f>
        <v>icon_battle_shield</v>
      </c>
      <c r="O613" s="231" t="str">
        <f>_xlfn.IFNA(VLOOKUP($M613,[1]Buff.CM!$A:$O,14,FALSE),"")</f>
        <v>Buff.Name.Shield</v>
      </c>
      <c r="P613" s="231" t="str">
        <f>_xlfn.IFNA(VLOOKUP($M613,[1]Buff.CM!$A:$O,15,FALSE),"")</f>
        <v>Buff.Desc.Shield</v>
      </c>
      <c r="Q613" s="231" t="b">
        <v>0</v>
      </c>
      <c r="R613" s="231" t="b">
        <v>0</v>
      </c>
    </row>
    <row r="614" spans="1:18" x14ac:dyDescent="0.3">
      <c r="A614" s="232" t="s">
        <v>3077</v>
      </c>
      <c r="B614" s="232"/>
      <c r="C614" s="232"/>
      <c r="D614" s="232">
        <v>5000</v>
      </c>
      <c r="E614" s="232">
        <v>0</v>
      </c>
      <c r="F614" s="232">
        <v>0</v>
      </c>
      <c r="G614" s="232" t="s">
        <v>2982</v>
      </c>
      <c r="H614" s="232"/>
      <c r="I614" s="232" t="b">
        <v>0</v>
      </c>
      <c r="J614" s="232" t="b">
        <v>0</v>
      </c>
      <c r="K614" s="232" t="b">
        <v>1</v>
      </c>
      <c r="L614" s="232" t="s">
        <v>60</v>
      </c>
      <c r="M614" s="232" t="s">
        <v>2263</v>
      </c>
      <c r="N614" s="232" t="str">
        <f>_xlfn.IFNA(VLOOKUP($M614,[1]Buff.CM!$A:$O,13,FALSE),"")</f>
        <v>icon_battle_shield</v>
      </c>
      <c r="O614" s="232" t="str">
        <f>_xlfn.IFNA(VLOOKUP($M614,[1]Buff.CM!$A:$O,14,FALSE),"")</f>
        <v>Buff.Name.Shield</v>
      </c>
      <c r="P614" s="232" t="str">
        <f>_xlfn.IFNA(VLOOKUP($M614,[1]Buff.CM!$A:$O,15,FALSE),"")</f>
        <v>Buff.Desc.Shield</v>
      </c>
      <c r="Q614" s="232" t="b">
        <v>0</v>
      </c>
      <c r="R614" s="232" t="b">
        <v>0</v>
      </c>
    </row>
    <row r="615" spans="1:18" x14ac:dyDescent="0.3">
      <c r="A615" s="232" t="s">
        <v>3078</v>
      </c>
      <c r="B615" s="232"/>
      <c r="C615" s="232"/>
      <c r="D615" s="232">
        <v>5000</v>
      </c>
      <c r="E615" s="232">
        <v>0</v>
      </c>
      <c r="F615" s="232">
        <v>0</v>
      </c>
      <c r="G615" s="232" t="s">
        <v>2983</v>
      </c>
      <c r="H615" s="232"/>
      <c r="I615" s="232" t="b">
        <v>0</v>
      </c>
      <c r="J615" s="232" t="b">
        <v>0</v>
      </c>
      <c r="K615" s="232" t="b">
        <v>1</v>
      </c>
      <c r="L615" s="232" t="s">
        <v>60</v>
      </c>
      <c r="M615" s="232" t="s">
        <v>2263</v>
      </c>
      <c r="N615" s="232" t="str">
        <f>_xlfn.IFNA(VLOOKUP($M615,[1]Buff.CM!$A:$O,13,FALSE),"")</f>
        <v>icon_battle_shield</v>
      </c>
      <c r="O615" s="232" t="str">
        <f>_xlfn.IFNA(VLOOKUP($M615,[1]Buff.CM!$A:$O,14,FALSE),"")</f>
        <v>Buff.Name.Shield</v>
      </c>
      <c r="P615" s="232" t="str">
        <f>_xlfn.IFNA(VLOOKUP($M615,[1]Buff.CM!$A:$O,15,FALSE),"")</f>
        <v>Buff.Desc.Shield</v>
      </c>
      <c r="Q615" s="232" t="b">
        <v>0</v>
      </c>
      <c r="R615" s="232" t="b">
        <v>0</v>
      </c>
    </row>
    <row r="616" spans="1:18" x14ac:dyDescent="0.3">
      <c r="A616" s="232" t="s">
        <v>3079</v>
      </c>
      <c r="B616" s="232"/>
      <c r="C616" s="232"/>
      <c r="D616" s="232">
        <v>5000</v>
      </c>
      <c r="E616" s="232">
        <v>0</v>
      </c>
      <c r="F616" s="232">
        <v>0</v>
      </c>
      <c r="G616" s="232" t="s">
        <v>2984</v>
      </c>
      <c r="H616" s="232"/>
      <c r="I616" s="232" t="b">
        <v>0</v>
      </c>
      <c r="J616" s="232" t="b">
        <v>0</v>
      </c>
      <c r="K616" s="232" t="b">
        <v>1</v>
      </c>
      <c r="L616" s="232" t="s">
        <v>60</v>
      </c>
      <c r="M616" s="232" t="s">
        <v>2263</v>
      </c>
      <c r="N616" s="232" t="str">
        <f>_xlfn.IFNA(VLOOKUP($M616,[1]Buff.CM!$A:$O,13,FALSE),"")</f>
        <v>icon_battle_shield</v>
      </c>
      <c r="O616" s="232" t="str">
        <f>_xlfn.IFNA(VLOOKUP($M616,[1]Buff.CM!$A:$O,14,FALSE),"")</f>
        <v>Buff.Name.Shield</v>
      </c>
      <c r="P616" s="232" t="str">
        <f>_xlfn.IFNA(VLOOKUP($M616,[1]Buff.CM!$A:$O,15,FALSE),"")</f>
        <v>Buff.Desc.Shield</v>
      </c>
      <c r="Q616" s="232" t="b">
        <v>0</v>
      </c>
      <c r="R616" s="232" t="b">
        <v>0</v>
      </c>
    </row>
    <row r="617" spans="1:18" x14ac:dyDescent="0.3">
      <c r="A617" s="157" t="s">
        <v>3080</v>
      </c>
      <c r="B617" s="157"/>
      <c r="C617" s="157"/>
      <c r="D617" s="157">
        <v>0</v>
      </c>
      <c r="E617" s="157">
        <v>0</v>
      </c>
      <c r="F617" s="157">
        <v>0</v>
      </c>
      <c r="G617" s="157" t="s">
        <v>2985</v>
      </c>
      <c r="H617" s="157"/>
      <c r="I617" s="157" t="b">
        <v>0</v>
      </c>
      <c r="J617" s="157" t="b">
        <v>1</v>
      </c>
      <c r="K617" s="157" t="b">
        <v>1</v>
      </c>
      <c r="L617" s="157"/>
      <c r="M617" s="157"/>
      <c r="N617" s="157" t="str">
        <f>_xlfn.IFNA(VLOOKUP($M617,[1]Buff.CM!$A:$O,13,FALSE),"")</f>
        <v/>
      </c>
      <c r="O617" s="157" t="str">
        <f>_xlfn.IFNA(VLOOKUP($M617,[1]Buff.CM!$A:$O,14,FALSE),"")</f>
        <v/>
      </c>
      <c r="P617" s="157" t="str">
        <f>_xlfn.IFNA(VLOOKUP($M617,[1]Buff.CM!$A:$O,15,FALSE),"")</f>
        <v/>
      </c>
      <c r="Q617" s="157" t="b">
        <v>0</v>
      </c>
      <c r="R617" s="157" t="b">
        <v>0</v>
      </c>
    </row>
    <row r="618" spans="1:18" x14ac:dyDescent="0.3">
      <c r="A618" s="157" t="s">
        <v>3081</v>
      </c>
      <c r="B618" s="157"/>
      <c r="C618" s="157"/>
      <c r="D618" s="157">
        <v>0</v>
      </c>
      <c r="E618" s="157">
        <v>0</v>
      </c>
      <c r="F618" s="157">
        <v>0</v>
      </c>
      <c r="G618" s="157" t="s">
        <v>2987</v>
      </c>
      <c r="H618" s="157"/>
      <c r="I618" s="157" t="b">
        <v>0</v>
      </c>
      <c r="J618" s="157" t="b">
        <v>1</v>
      </c>
      <c r="K618" s="157" t="b">
        <v>1</v>
      </c>
      <c r="L618" s="157"/>
      <c r="M618" s="157"/>
      <c r="N618" s="157" t="str">
        <f>_xlfn.IFNA(VLOOKUP($M618,[1]Buff.CM!$A:$O,13,FALSE),"")</f>
        <v/>
      </c>
      <c r="O618" s="157" t="str">
        <f>_xlfn.IFNA(VLOOKUP($M618,[1]Buff.CM!$A:$O,14,FALSE),"")</f>
        <v/>
      </c>
      <c r="P618" s="157" t="str">
        <f>_xlfn.IFNA(VLOOKUP($M618,[1]Buff.CM!$A:$O,15,FALSE),"")</f>
        <v/>
      </c>
      <c r="Q618" s="157" t="b">
        <v>0</v>
      </c>
      <c r="R618" s="157" t="b">
        <v>0</v>
      </c>
    </row>
    <row r="619" spans="1:18" x14ac:dyDescent="0.3">
      <c r="A619" s="157" t="s">
        <v>3082</v>
      </c>
      <c r="B619" s="157"/>
      <c r="C619" s="157"/>
      <c r="D619" s="157">
        <v>0</v>
      </c>
      <c r="E619" s="157">
        <v>0</v>
      </c>
      <c r="F619" s="157">
        <v>0</v>
      </c>
      <c r="G619" s="157" t="s">
        <v>2989</v>
      </c>
      <c r="H619" s="157"/>
      <c r="I619" s="157" t="b">
        <v>0</v>
      </c>
      <c r="J619" s="157" t="b">
        <v>1</v>
      </c>
      <c r="K619" s="157" t="b">
        <v>1</v>
      </c>
      <c r="L619" s="157"/>
      <c r="M619" s="157"/>
      <c r="N619" s="157" t="str">
        <f>_xlfn.IFNA(VLOOKUP($M619,[1]Buff.CM!$A:$O,13,FALSE),"")</f>
        <v/>
      </c>
      <c r="O619" s="157" t="str">
        <f>_xlfn.IFNA(VLOOKUP($M619,[1]Buff.CM!$A:$O,14,FALSE),"")</f>
        <v/>
      </c>
      <c r="P619" s="157" t="str">
        <f>_xlfn.IFNA(VLOOKUP($M619,[1]Buff.CM!$A:$O,15,FALSE),"")</f>
        <v/>
      </c>
      <c r="Q619" s="157" t="b">
        <v>0</v>
      </c>
      <c r="R619" s="157" t="b">
        <v>0</v>
      </c>
    </row>
    <row r="620" spans="1:18" x14ac:dyDescent="0.3">
      <c r="A620" s="232" t="s">
        <v>3083</v>
      </c>
      <c r="B620" s="232"/>
      <c r="C620" s="232"/>
      <c r="D620" s="232">
        <v>0</v>
      </c>
      <c r="E620" s="232">
        <v>0</v>
      </c>
      <c r="F620" s="232">
        <v>0</v>
      </c>
      <c r="G620" s="232" t="s">
        <v>2991</v>
      </c>
      <c r="H620" s="232"/>
      <c r="I620" s="232" t="b">
        <v>0</v>
      </c>
      <c r="J620" s="157" t="b">
        <v>1</v>
      </c>
      <c r="K620" s="232" t="b">
        <v>1</v>
      </c>
      <c r="L620" s="232"/>
      <c r="M620" s="232"/>
      <c r="N620" s="232" t="str">
        <f>_xlfn.IFNA(VLOOKUP($M620,[1]Buff.CM!$A:$O,13,FALSE),"")</f>
        <v/>
      </c>
      <c r="O620" s="232" t="str">
        <f>_xlfn.IFNA(VLOOKUP($M620,[1]Buff.CM!$A:$O,14,FALSE),"")</f>
        <v/>
      </c>
      <c r="P620" s="232" t="str">
        <f>_xlfn.IFNA(VLOOKUP($M620,[1]Buff.CM!$A:$O,15,FALSE),"")</f>
        <v/>
      </c>
      <c r="Q620" s="232" t="b">
        <v>0</v>
      </c>
      <c r="R620" s="232" t="b">
        <v>0</v>
      </c>
    </row>
    <row r="621" spans="1:18" x14ac:dyDescent="0.3">
      <c r="A621" s="232" t="s">
        <v>3084</v>
      </c>
      <c r="B621" s="232"/>
      <c r="C621" s="232"/>
      <c r="D621" s="232">
        <v>0</v>
      </c>
      <c r="E621" s="232">
        <v>0</v>
      </c>
      <c r="F621" s="232">
        <v>0</v>
      </c>
      <c r="G621" s="232" t="s">
        <v>2993</v>
      </c>
      <c r="H621" s="232"/>
      <c r="I621" s="232" t="b">
        <v>0</v>
      </c>
      <c r="J621" s="157" t="b">
        <v>1</v>
      </c>
      <c r="K621" s="232" t="b">
        <v>1</v>
      </c>
      <c r="L621" s="232"/>
      <c r="M621" s="232"/>
      <c r="N621" s="232" t="str">
        <f>_xlfn.IFNA(VLOOKUP($M621,[1]Buff.CM!$A:$O,13,FALSE),"")</f>
        <v/>
      </c>
      <c r="O621" s="232" t="str">
        <f>_xlfn.IFNA(VLOOKUP($M621,[1]Buff.CM!$A:$O,14,FALSE),"")</f>
        <v/>
      </c>
      <c r="P621" s="232" t="str">
        <f>_xlfn.IFNA(VLOOKUP($M621,[1]Buff.CM!$A:$O,15,FALSE),"")</f>
        <v/>
      </c>
      <c r="Q621" s="232" t="b">
        <v>0</v>
      </c>
      <c r="R621" s="232" t="b">
        <v>0</v>
      </c>
    </row>
    <row r="622" spans="1:18" x14ac:dyDescent="0.3">
      <c r="A622" s="232" t="s">
        <v>3085</v>
      </c>
      <c r="B622" s="232"/>
      <c r="C622" s="232"/>
      <c r="D622" s="232">
        <v>0</v>
      </c>
      <c r="E622" s="232">
        <v>0</v>
      </c>
      <c r="F622" s="232">
        <v>0</v>
      </c>
      <c r="G622" s="232" t="s">
        <v>2995</v>
      </c>
      <c r="H622" s="232"/>
      <c r="I622" s="232" t="b">
        <v>0</v>
      </c>
      <c r="J622" s="157" t="b">
        <v>1</v>
      </c>
      <c r="K622" s="232" t="b">
        <v>1</v>
      </c>
      <c r="L622" s="232"/>
      <c r="M622" s="232"/>
      <c r="N622" s="232" t="str">
        <f>_xlfn.IFNA(VLOOKUP($M622,[1]Buff.CM!$A:$O,13,FALSE),"")</f>
        <v/>
      </c>
      <c r="O622" s="232" t="str">
        <f>_xlfn.IFNA(VLOOKUP($M622,[1]Buff.CM!$A:$O,14,FALSE),"")</f>
        <v/>
      </c>
      <c r="P622" s="232" t="str">
        <f>_xlfn.IFNA(VLOOKUP($M622,[1]Buff.CM!$A:$O,15,FALSE),"")</f>
        <v/>
      </c>
      <c r="Q622" s="232" t="b">
        <v>0</v>
      </c>
      <c r="R622" s="232" t="b">
        <v>0</v>
      </c>
    </row>
    <row r="623" spans="1:18" x14ac:dyDescent="0.3">
      <c r="A623" s="231" t="s">
        <v>2986</v>
      </c>
      <c r="B623" s="231"/>
      <c r="C623" s="231"/>
      <c r="D623" s="231">
        <v>0</v>
      </c>
      <c r="E623" s="231">
        <v>0</v>
      </c>
      <c r="F623" s="231">
        <v>0</v>
      </c>
      <c r="G623" s="231" t="s">
        <v>2997</v>
      </c>
      <c r="H623" s="231"/>
      <c r="I623" s="231" t="b">
        <v>0</v>
      </c>
      <c r="J623" s="157" t="b">
        <v>1</v>
      </c>
      <c r="K623" s="231" t="b">
        <v>1</v>
      </c>
      <c r="L623" s="231"/>
      <c r="M623" s="231"/>
      <c r="N623" s="231" t="str">
        <f>_xlfn.IFNA(VLOOKUP($M623,[1]Buff.CM!$A:$O,13,FALSE),"")</f>
        <v/>
      </c>
      <c r="O623" s="231" t="str">
        <f>_xlfn.IFNA(VLOOKUP($M623,[1]Buff.CM!$A:$O,14,FALSE),"")</f>
        <v/>
      </c>
      <c r="P623" s="231" t="str">
        <f>_xlfn.IFNA(VLOOKUP($M623,[1]Buff.CM!$A:$O,15,FALSE),"")</f>
        <v/>
      </c>
      <c r="Q623" s="231" t="b">
        <v>0</v>
      </c>
      <c r="R623" s="231" t="b">
        <v>0</v>
      </c>
    </row>
    <row r="624" spans="1:18" x14ac:dyDescent="0.3">
      <c r="A624" s="231" t="s">
        <v>2988</v>
      </c>
      <c r="B624" s="231"/>
      <c r="C624" s="231"/>
      <c r="D624" s="231">
        <v>0</v>
      </c>
      <c r="E624" s="231">
        <v>0</v>
      </c>
      <c r="F624" s="231">
        <v>0</v>
      </c>
      <c r="G624" s="231" t="s">
        <v>2998</v>
      </c>
      <c r="H624" s="231"/>
      <c r="I624" s="231" t="b">
        <v>0</v>
      </c>
      <c r="J624" s="157" t="b">
        <v>1</v>
      </c>
      <c r="K624" s="231" t="b">
        <v>1</v>
      </c>
      <c r="L624" s="231"/>
      <c r="M624" s="231"/>
      <c r="N624" s="231" t="str">
        <f>_xlfn.IFNA(VLOOKUP($M624,[1]Buff.CM!$A:$O,13,FALSE),"")</f>
        <v/>
      </c>
      <c r="O624" s="231" t="str">
        <f>_xlfn.IFNA(VLOOKUP($M624,[1]Buff.CM!$A:$O,14,FALSE),"")</f>
        <v/>
      </c>
      <c r="P624" s="231" t="str">
        <f>_xlfn.IFNA(VLOOKUP($M624,[1]Buff.CM!$A:$O,15,FALSE),"")</f>
        <v/>
      </c>
      <c r="Q624" s="231" t="b">
        <v>0</v>
      </c>
      <c r="R624" s="231" t="b">
        <v>0</v>
      </c>
    </row>
    <row r="625" spans="1:18" x14ac:dyDescent="0.3">
      <c r="A625" s="231" t="s">
        <v>2990</v>
      </c>
      <c r="B625" s="231"/>
      <c r="C625" s="231"/>
      <c r="D625" s="231">
        <v>0</v>
      </c>
      <c r="E625" s="231">
        <v>0</v>
      </c>
      <c r="F625" s="231">
        <v>0</v>
      </c>
      <c r="G625" s="231" t="s">
        <v>2999</v>
      </c>
      <c r="H625" s="231"/>
      <c r="I625" s="231" t="b">
        <v>0</v>
      </c>
      <c r="J625" s="157" t="b">
        <v>1</v>
      </c>
      <c r="K625" s="231" t="b">
        <v>1</v>
      </c>
      <c r="L625" s="231"/>
      <c r="M625" s="231"/>
      <c r="N625" s="231" t="str">
        <f>_xlfn.IFNA(VLOOKUP($M625,[1]Buff.CM!$A:$O,13,FALSE),"")</f>
        <v/>
      </c>
      <c r="O625" s="231" t="str">
        <f>_xlfn.IFNA(VLOOKUP($M625,[1]Buff.CM!$A:$O,14,FALSE),"")</f>
        <v/>
      </c>
      <c r="P625" s="231" t="str">
        <f>_xlfn.IFNA(VLOOKUP($M625,[1]Buff.CM!$A:$O,15,FALSE),"")</f>
        <v/>
      </c>
      <c r="Q625" s="231" t="b">
        <v>0</v>
      </c>
      <c r="R625" s="231" t="b">
        <v>0</v>
      </c>
    </row>
    <row r="626" spans="1:18" x14ac:dyDescent="0.3">
      <c r="A626" s="232" t="s">
        <v>2992</v>
      </c>
      <c r="B626" s="232"/>
      <c r="C626" s="232"/>
      <c r="D626" s="232">
        <v>0</v>
      </c>
      <c r="E626" s="232">
        <v>0</v>
      </c>
      <c r="F626" s="232">
        <v>0</v>
      </c>
      <c r="G626" s="232" t="s">
        <v>3000</v>
      </c>
      <c r="H626" s="232"/>
      <c r="I626" s="232" t="b">
        <v>0</v>
      </c>
      <c r="J626" s="157" t="b">
        <v>1</v>
      </c>
      <c r="K626" s="232" t="b">
        <v>1</v>
      </c>
      <c r="L626" s="232"/>
      <c r="M626" s="232"/>
      <c r="N626" s="232" t="str">
        <f>_xlfn.IFNA(VLOOKUP($M626,[1]Buff.CM!$A:$O,13,FALSE),"")</f>
        <v/>
      </c>
      <c r="O626" s="232" t="str">
        <f>_xlfn.IFNA(VLOOKUP($M626,[1]Buff.CM!$A:$O,14,FALSE),"")</f>
        <v/>
      </c>
      <c r="P626" s="232" t="str">
        <f>_xlfn.IFNA(VLOOKUP($M626,[1]Buff.CM!$A:$O,15,FALSE),"")</f>
        <v/>
      </c>
      <c r="Q626" s="232" t="b">
        <v>0</v>
      </c>
      <c r="R626" s="232" t="b">
        <v>0</v>
      </c>
    </row>
    <row r="627" spans="1:18" x14ac:dyDescent="0.3">
      <c r="A627" s="232" t="s">
        <v>2994</v>
      </c>
      <c r="B627" s="232"/>
      <c r="C627" s="232"/>
      <c r="D627" s="232">
        <v>0</v>
      </c>
      <c r="E627" s="232">
        <v>0</v>
      </c>
      <c r="F627" s="232">
        <v>0</v>
      </c>
      <c r="G627" s="232" t="s">
        <v>3001</v>
      </c>
      <c r="H627" s="232"/>
      <c r="I627" s="232" t="b">
        <v>0</v>
      </c>
      <c r="J627" s="157" t="b">
        <v>1</v>
      </c>
      <c r="K627" s="232" t="b">
        <v>1</v>
      </c>
      <c r="L627" s="232"/>
      <c r="M627" s="232"/>
      <c r="N627" s="232" t="str">
        <f>_xlfn.IFNA(VLOOKUP($M627,[1]Buff.CM!$A:$O,13,FALSE),"")</f>
        <v/>
      </c>
      <c r="O627" s="232" t="str">
        <f>_xlfn.IFNA(VLOOKUP($M627,[1]Buff.CM!$A:$O,14,FALSE),"")</f>
        <v/>
      </c>
      <c r="P627" s="232" t="str">
        <f>_xlfn.IFNA(VLOOKUP($M627,[1]Buff.CM!$A:$O,15,FALSE),"")</f>
        <v/>
      </c>
      <c r="Q627" s="232" t="b">
        <v>0</v>
      </c>
      <c r="R627" s="232" t="b">
        <v>0</v>
      </c>
    </row>
    <row r="628" spans="1:18" x14ac:dyDescent="0.3">
      <c r="A628" s="232" t="s">
        <v>2996</v>
      </c>
      <c r="B628" s="232"/>
      <c r="C628" s="232"/>
      <c r="D628" s="232">
        <v>0</v>
      </c>
      <c r="E628" s="232">
        <v>0</v>
      </c>
      <c r="F628" s="232">
        <v>0</v>
      </c>
      <c r="G628" s="232" t="s">
        <v>3002</v>
      </c>
      <c r="H628" s="232"/>
      <c r="I628" s="232" t="b">
        <v>0</v>
      </c>
      <c r="J628" s="157" t="b">
        <v>1</v>
      </c>
      <c r="K628" s="232" t="b">
        <v>1</v>
      </c>
      <c r="L628" s="232"/>
      <c r="M628" s="232"/>
      <c r="N628" s="232" t="str">
        <f>_xlfn.IFNA(VLOOKUP($M628,[1]Buff.CM!$A:$O,13,FALSE),"")</f>
        <v/>
      </c>
      <c r="O628" s="232" t="str">
        <f>_xlfn.IFNA(VLOOKUP($M628,[1]Buff.CM!$A:$O,14,FALSE),"")</f>
        <v/>
      </c>
      <c r="P628" s="232" t="str">
        <f>_xlfn.IFNA(VLOOKUP($M628,[1]Buff.CM!$A:$O,15,FALSE),"")</f>
        <v/>
      </c>
      <c r="Q628" s="232" t="b">
        <v>0</v>
      </c>
      <c r="R628" s="232" t="b">
        <v>0</v>
      </c>
    </row>
    <row r="629" spans="1:18" x14ac:dyDescent="0.3">
      <c r="A629" s="157" t="s">
        <v>3086</v>
      </c>
      <c r="B629" s="157"/>
      <c r="C629" s="157"/>
      <c r="D629" s="157">
        <v>0</v>
      </c>
      <c r="E629" s="157">
        <v>0</v>
      </c>
      <c r="F629" s="157">
        <v>0</v>
      </c>
      <c r="G629" s="157" t="s">
        <v>3003</v>
      </c>
      <c r="H629" s="157"/>
      <c r="I629" s="157" t="b">
        <v>0</v>
      </c>
      <c r="J629" s="157" t="b">
        <v>1</v>
      </c>
      <c r="K629" s="157" t="b">
        <v>1</v>
      </c>
      <c r="L629" s="157"/>
      <c r="M629" s="157"/>
      <c r="N629" s="157" t="str">
        <f>_xlfn.IFNA(VLOOKUP($M629,[1]Buff.CM!$A:$O,13,FALSE),"")</f>
        <v/>
      </c>
      <c r="O629" s="157" t="str">
        <f>_xlfn.IFNA(VLOOKUP($M629,[1]Buff.CM!$A:$O,14,FALSE),"")</f>
        <v/>
      </c>
      <c r="P629" s="157" t="str">
        <f>_xlfn.IFNA(VLOOKUP($M629,[1]Buff.CM!$A:$O,15,FALSE),"")</f>
        <v/>
      </c>
      <c r="Q629" s="157" t="b">
        <v>0</v>
      </c>
      <c r="R629" s="157" t="b">
        <v>0</v>
      </c>
    </row>
    <row r="630" spans="1:18" x14ac:dyDescent="0.3">
      <c r="A630" s="157" t="s">
        <v>3087</v>
      </c>
      <c r="B630" s="157"/>
      <c r="C630" s="157"/>
      <c r="D630" s="157">
        <v>0</v>
      </c>
      <c r="E630" s="157">
        <v>0</v>
      </c>
      <c r="F630" s="157">
        <v>0</v>
      </c>
      <c r="G630" s="157" t="s">
        <v>3005</v>
      </c>
      <c r="H630" s="157"/>
      <c r="I630" s="157" t="b">
        <v>0</v>
      </c>
      <c r="J630" s="157" t="b">
        <v>1</v>
      </c>
      <c r="K630" s="157" t="b">
        <v>1</v>
      </c>
      <c r="L630" s="157"/>
      <c r="M630" s="157"/>
      <c r="N630" s="157" t="str">
        <f>_xlfn.IFNA(VLOOKUP($M630,[1]Buff.CM!$A:$O,13,FALSE),"")</f>
        <v/>
      </c>
      <c r="O630" s="157" t="str">
        <f>_xlfn.IFNA(VLOOKUP($M630,[1]Buff.CM!$A:$O,14,FALSE),"")</f>
        <v/>
      </c>
      <c r="P630" s="157" t="str">
        <f>_xlfn.IFNA(VLOOKUP($M630,[1]Buff.CM!$A:$O,15,FALSE),"")</f>
        <v/>
      </c>
      <c r="Q630" s="157" t="b">
        <v>0</v>
      </c>
      <c r="R630" s="157" t="b">
        <v>0</v>
      </c>
    </row>
    <row r="631" spans="1:18" x14ac:dyDescent="0.3">
      <c r="A631" s="157" t="s">
        <v>3088</v>
      </c>
      <c r="B631" s="157"/>
      <c r="C631" s="157"/>
      <c r="D631" s="157">
        <v>0</v>
      </c>
      <c r="E631" s="157">
        <v>0</v>
      </c>
      <c r="F631" s="157">
        <v>0</v>
      </c>
      <c r="G631" s="157" t="s">
        <v>3007</v>
      </c>
      <c r="H631" s="157"/>
      <c r="I631" s="157" t="b">
        <v>0</v>
      </c>
      <c r="J631" s="157" t="b">
        <v>1</v>
      </c>
      <c r="K631" s="157" t="b">
        <v>1</v>
      </c>
      <c r="L631" s="157"/>
      <c r="M631" s="157"/>
      <c r="N631" s="157" t="str">
        <f>_xlfn.IFNA(VLOOKUP($M631,[1]Buff.CM!$A:$O,13,FALSE),"")</f>
        <v/>
      </c>
      <c r="O631" s="157" t="str">
        <f>_xlfn.IFNA(VLOOKUP($M631,[1]Buff.CM!$A:$O,14,FALSE),"")</f>
        <v/>
      </c>
      <c r="P631" s="157" t="str">
        <f>_xlfn.IFNA(VLOOKUP($M631,[1]Buff.CM!$A:$O,15,FALSE),"")</f>
        <v/>
      </c>
      <c r="Q631" s="157" t="b">
        <v>0</v>
      </c>
      <c r="R631" s="157" t="b">
        <v>0</v>
      </c>
    </row>
    <row r="632" spans="1:18" x14ac:dyDescent="0.3">
      <c r="A632" s="232" t="s">
        <v>3089</v>
      </c>
      <c r="B632" s="232"/>
      <c r="C632" s="232"/>
      <c r="D632" s="232">
        <v>0</v>
      </c>
      <c r="E632" s="232">
        <v>0</v>
      </c>
      <c r="F632" s="232">
        <v>0</v>
      </c>
      <c r="G632" s="232" t="s">
        <v>3009</v>
      </c>
      <c r="H632" s="232"/>
      <c r="I632" s="232" t="b">
        <v>0</v>
      </c>
      <c r="J632" s="157" t="b">
        <v>1</v>
      </c>
      <c r="K632" s="232" t="b">
        <v>1</v>
      </c>
      <c r="L632" s="232"/>
      <c r="M632" s="232"/>
      <c r="N632" s="232" t="str">
        <f>_xlfn.IFNA(VLOOKUP($M632,[1]Buff.CM!$A:$O,13,FALSE),"")</f>
        <v/>
      </c>
      <c r="O632" s="232" t="str">
        <f>_xlfn.IFNA(VLOOKUP($M632,[1]Buff.CM!$A:$O,14,FALSE),"")</f>
        <v/>
      </c>
      <c r="P632" s="232" t="str">
        <f>_xlfn.IFNA(VLOOKUP($M632,[1]Buff.CM!$A:$O,15,FALSE),"")</f>
        <v/>
      </c>
      <c r="Q632" s="232" t="b">
        <v>0</v>
      </c>
      <c r="R632" s="232" t="b">
        <v>0</v>
      </c>
    </row>
    <row r="633" spans="1:18" x14ac:dyDescent="0.3">
      <c r="A633" s="232" t="s">
        <v>3090</v>
      </c>
      <c r="B633" s="232"/>
      <c r="C633" s="232"/>
      <c r="D633" s="232">
        <v>0</v>
      </c>
      <c r="E633" s="232">
        <v>0</v>
      </c>
      <c r="F633" s="232">
        <v>0</v>
      </c>
      <c r="G633" s="232" t="s">
        <v>3011</v>
      </c>
      <c r="H633" s="232"/>
      <c r="I633" s="232" t="b">
        <v>0</v>
      </c>
      <c r="J633" s="157" t="b">
        <v>1</v>
      </c>
      <c r="K633" s="232" t="b">
        <v>1</v>
      </c>
      <c r="L633" s="232"/>
      <c r="M633" s="232"/>
      <c r="N633" s="232" t="str">
        <f>_xlfn.IFNA(VLOOKUP($M633,[1]Buff.CM!$A:$O,13,FALSE),"")</f>
        <v/>
      </c>
      <c r="O633" s="232" t="str">
        <f>_xlfn.IFNA(VLOOKUP($M633,[1]Buff.CM!$A:$O,14,FALSE),"")</f>
        <v/>
      </c>
      <c r="P633" s="232" t="str">
        <f>_xlfn.IFNA(VLOOKUP($M633,[1]Buff.CM!$A:$O,15,FALSE),"")</f>
        <v/>
      </c>
      <c r="Q633" s="232" t="b">
        <v>0</v>
      </c>
      <c r="R633" s="232" t="b">
        <v>0</v>
      </c>
    </row>
    <row r="634" spans="1:18" x14ac:dyDescent="0.3">
      <c r="A634" s="232" t="s">
        <v>3091</v>
      </c>
      <c r="B634" s="232"/>
      <c r="C634" s="232"/>
      <c r="D634" s="232">
        <v>0</v>
      </c>
      <c r="E634" s="232">
        <v>0</v>
      </c>
      <c r="F634" s="232">
        <v>0</v>
      </c>
      <c r="G634" s="232" t="s">
        <v>3013</v>
      </c>
      <c r="H634" s="232"/>
      <c r="I634" s="232" t="b">
        <v>0</v>
      </c>
      <c r="J634" s="157" t="b">
        <v>1</v>
      </c>
      <c r="K634" s="232" t="b">
        <v>1</v>
      </c>
      <c r="L634" s="232"/>
      <c r="M634" s="232"/>
      <c r="N634" s="232" t="str">
        <f>_xlfn.IFNA(VLOOKUP($M634,[1]Buff.CM!$A:$O,13,FALSE),"")</f>
        <v/>
      </c>
      <c r="O634" s="232" t="str">
        <f>_xlfn.IFNA(VLOOKUP($M634,[1]Buff.CM!$A:$O,14,FALSE),"")</f>
        <v/>
      </c>
      <c r="P634" s="232" t="str">
        <f>_xlfn.IFNA(VLOOKUP($M634,[1]Buff.CM!$A:$O,15,FALSE),"")</f>
        <v/>
      </c>
      <c r="Q634" s="232" t="b">
        <v>0</v>
      </c>
      <c r="R634" s="232" t="b">
        <v>0</v>
      </c>
    </row>
    <row r="635" spans="1:18" x14ac:dyDescent="0.3">
      <c r="A635" s="231" t="s">
        <v>3092</v>
      </c>
      <c r="B635" s="231"/>
      <c r="C635" s="231"/>
      <c r="D635" s="231">
        <v>0</v>
      </c>
      <c r="E635" s="231">
        <v>0</v>
      </c>
      <c r="F635" s="231">
        <v>0</v>
      </c>
      <c r="G635" s="231" t="s">
        <v>3015</v>
      </c>
      <c r="H635" s="231"/>
      <c r="I635" s="232" t="b">
        <v>1</v>
      </c>
      <c r="J635" s="157" t="b">
        <v>1</v>
      </c>
      <c r="K635" s="231" t="b">
        <v>1</v>
      </c>
      <c r="L635" s="231"/>
      <c r="M635" s="231"/>
      <c r="N635" s="231" t="str">
        <f>_xlfn.IFNA(VLOOKUP($M635,[1]Buff.CM!$A:$O,13,FALSE),"")</f>
        <v/>
      </c>
      <c r="O635" s="231" t="str">
        <f>_xlfn.IFNA(VLOOKUP($M635,[1]Buff.CM!$A:$O,14,FALSE),"")</f>
        <v/>
      </c>
      <c r="P635" s="231" t="str">
        <f>_xlfn.IFNA(VLOOKUP($M635,[1]Buff.CM!$A:$O,15,FALSE),"")</f>
        <v/>
      </c>
      <c r="Q635" s="231" t="b">
        <v>0</v>
      </c>
      <c r="R635" s="231" t="b">
        <v>0</v>
      </c>
    </row>
    <row r="636" spans="1:18" x14ac:dyDescent="0.3">
      <c r="A636" s="231" t="s">
        <v>3093</v>
      </c>
      <c r="B636" s="231"/>
      <c r="C636" s="231"/>
      <c r="D636" s="231">
        <v>0</v>
      </c>
      <c r="E636" s="231">
        <v>0</v>
      </c>
      <c r="F636" s="231">
        <v>0</v>
      </c>
      <c r="G636" s="231" t="s">
        <v>3017</v>
      </c>
      <c r="H636" s="231"/>
      <c r="I636" s="232" t="b">
        <v>1</v>
      </c>
      <c r="J636" s="157" t="b">
        <v>1</v>
      </c>
      <c r="K636" s="231" t="b">
        <v>1</v>
      </c>
      <c r="L636" s="231"/>
      <c r="M636" s="231"/>
      <c r="N636" s="231" t="str">
        <f>_xlfn.IFNA(VLOOKUP($M636,[1]Buff.CM!$A:$O,13,FALSE),"")</f>
        <v/>
      </c>
      <c r="O636" s="231" t="str">
        <f>_xlfn.IFNA(VLOOKUP($M636,[1]Buff.CM!$A:$O,14,FALSE),"")</f>
        <v/>
      </c>
      <c r="P636" s="231" t="str">
        <f>_xlfn.IFNA(VLOOKUP($M636,[1]Buff.CM!$A:$O,15,FALSE),"")</f>
        <v/>
      </c>
      <c r="Q636" s="231" t="b">
        <v>0</v>
      </c>
      <c r="R636" s="231" t="b">
        <v>0</v>
      </c>
    </row>
    <row r="637" spans="1:18" x14ac:dyDescent="0.3">
      <c r="A637" s="231" t="s">
        <v>3094</v>
      </c>
      <c r="B637" s="231"/>
      <c r="C637" s="231"/>
      <c r="D637" s="231">
        <v>0</v>
      </c>
      <c r="E637" s="231">
        <v>0</v>
      </c>
      <c r="F637" s="231">
        <v>0</v>
      </c>
      <c r="G637" s="231" t="s">
        <v>3019</v>
      </c>
      <c r="H637" s="231"/>
      <c r="I637" s="232" t="b">
        <v>1</v>
      </c>
      <c r="J637" s="157" t="b">
        <v>1</v>
      </c>
      <c r="K637" s="231" t="b">
        <v>1</v>
      </c>
      <c r="L637" s="231"/>
      <c r="M637" s="231"/>
      <c r="N637" s="231" t="str">
        <f>_xlfn.IFNA(VLOOKUP($M637,[1]Buff.CM!$A:$O,13,FALSE),"")</f>
        <v/>
      </c>
      <c r="O637" s="231" t="str">
        <f>_xlfn.IFNA(VLOOKUP($M637,[1]Buff.CM!$A:$O,14,FALSE),"")</f>
        <v/>
      </c>
      <c r="P637" s="231" t="str">
        <f>_xlfn.IFNA(VLOOKUP($M637,[1]Buff.CM!$A:$O,15,FALSE),"")</f>
        <v/>
      </c>
      <c r="Q637" s="231" t="b">
        <v>0</v>
      </c>
      <c r="R637" s="231" t="b">
        <v>0</v>
      </c>
    </row>
    <row r="638" spans="1:18" x14ac:dyDescent="0.3">
      <c r="A638" s="232" t="s">
        <v>3095</v>
      </c>
      <c r="B638" s="232"/>
      <c r="C638" s="232"/>
      <c r="D638" s="232">
        <v>0</v>
      </c>
      <c r="E638" s="232">
        <v>0</v>
      </c>
      <c r="F638" s="232">
        <v>0</v>
      </c>
      <c r="G638" s="232" t="s">
        <v>3021</v>
      </c>
      <c r="H638" s="232"/>
      <c r="I638" s="232" t="b">
        <v>1</v>
      </c>
      <c r="J638" s="157" t="b">
        <v>1</v>
      </c>
      <c r="K638" s="232" t="b">
        <v>1</v>
      </c>
      <c r="L638" s="232"/>
      <c r="M638" s="232"/>
      <c r="N638" s="232" t="str">
        <f>_xlfn.IFNA(VLOOKUP($M638,[1]Buff.CM!$A:$O,13,FALSE),"")</f>
        <v/>
      </c>
      <c r="O638" s="232" t="str">
        <f>_xlfn.IFNA(VLOOKUP($M638,[1]Buff.CM!$A:$O,14,FALSE),"")</f>
        <v/>
      </c>
      <c r="P638" s="232" t="str">
        <f>_xlfn.IFNA(VLOOKUP($M638,[1]Buff.CM!$A:$O,15,FALSE),"")</f>
        <v/>
      </c>
      <c r="Q638" s="232" t="b">
        <v>0</v>
      </c>
      <c r="R638" s="232" t="b">
        <v>0</v>
      </c>
    </row>
    <row r="639" spans="1:18" x14ac:dyDescent="0.3">
      <c r="A639" s="232" t="s">
        <v>3096</v>
      </c>
      <c r="B639" s="232"/>
      <c r="C639" s="232"/>
      <c r="D639" s="232">
        <v>0</v>
      </c>
      <c r="E639" s="232">
        <v>0</v>
      </c>
      <c r="F639" s="232">
        <v>0</v>
      </c>
      <c r="G639" s="232" t="s">
        <v>3023</v>
      </c>
      <c r="H639" s="232"/>
      <c r="I639" s="232" t="b">
        <v>1</v>
      </c>
      <c r="J639" s="157" t="b">
        <v>1</v>
      </c>
      <c r="K639" s="232" t="b">
        <v>1</v>
      </c>
      <c r="L639" s="232"/>
      <c r="M639" s="232"/>
      <c r="N639" s="232" t="str">
        <f>_xlfn.IFNA(VLOOKUP($M639,[1]Buff.CM!$A:$O,13,FALSE),"")</f>
        <v/>
      </c>
      <c r="O639" s="232" t="str">
        <f>_xlfn.IFNA(VLOOKUP($M639,[1]Buff.CM!$A:$O,14,FALSE),"")</f>
        <v/>
      </c>
      <c r="P639" s="232" t="str">
        <f>_xlfn.IFNA(VLOOKUP($M639,[1]Buff.CM!$A:$O,15,FALSE),"")</f>
        <v/>
      </c>
      <c r="Q639" s="232" t="b">
        <v>0</v>
      </c>
      <c r="R639" s="232" t="b">
        <v>0</v>
      </c>
    </row>
    <row r="640" spans="1:18" x14ac:dyDescent="0.3">
      <c r="A640" s="232" t="s">
        <v>3097</v>
      </c>
      <c r="B640" s="232"/>
      <c r="C640" s="232"/>
      <c r="D640" s="232">
        <v>0</v>
      </c>
      <c r="E640" s="232">
        <v>0</v>
      </c>
      <c r="F640" s="232">
        <v>0</v>
      </c>
      <c r="G640" s="232" t="s">
        <v>3025</v>
      </c>
      <c r="H640" s="232"/>
      <c r="I640" s="232" t="b">
        <v>1</v>
      </c>
      <c r="J640" s="157" t="b">
        <v>1</v>
      </c>
      <c r="K640" s="232" t="b">
        <v>1</v>
      </c>
      <c r="L640" s="232"/>
      <c r="M640" s="232"/>
      <c r="N640" s="232" t="str">
        <f>_xlfn.IFNA(VLOOKUP($M640,[1]Buff.CM!$A:$O,13,FALSE),"")</f>
        <v/>
      </c>
      <c r="O640" s="232" t="str">
        <f>_xlfn.IFNA(VLOOKUP($M640,[1]Buff.CM!$A:$O,14,FALSE),"")</f>
        <v/>
      </c>
      <c r="P640" s="232" t="str">
        <f>_xlfn.IFNA(VLOOKUP($M640,[1]Buff.CM!$A:$O,15,FALSE),"")</f>
        <v/>
      </c>
      <c r="Q640" s="232" t="b">
        <v>0</v>
      </c>
      <c r="R640" s="232" t="b">
        <v>0</v>
      </c>
    </row>
    <row r="641" spans="1:18" x14ac:dyDescent="0.3">
      <c r="A641" s="157" t="s">
        <v>3098</v>
      </c>
      <c r="B641" s="157"/>
      <c r="C641" s="157"/>
      <c r="D641" s="157">
        <v>4000</v>
      </c>
      <c r="E641" s="157">
        <v>0</v>
      </c>
      <c r="F641" s="157">
        <v>0</v>
      </c>
      <c r="G641" s="157" t="s">
        <v>3027</v>
      </c>
      <c r="H641" s="157"/>
      <c r="I641" s="157" t="b">
        <v>0</v>
      </c>
      <c r="J641" s="157" t="b">
        <v>0</v>
      </c>
      <c r="K641" s="157" t="b">
        <v>1</v>
      </c>
      <c r="L641" s="157" t="s">
        <v>60</v>
      </c>
      <c r="M641" s="157" t="s">
        <v>2263</v>
      </c>
      <c r="N641" s="157" t="str">
        <f>_xlfn.IFNA(VLOOKUP($M641,[1]Buff.CM!$A:$O,13,FALSE),"")</f>
        <v>icon_battle_shield</v>
      </c>
      <c r="O641" s="157" t="str">
        <f>_xlfn.IFNA(VLOOKUP($M641,[1]Buff.CM!$A:$O,14,FALSE),"")</f>
        <v>Buff.Name.Shield</v>
      </c>
      <c r="P641" s="157" t="str">
        <f>_xlfn.IFNA(VLOOKUP($M641,[1]Buff.CM!$A:$O,15,FALSE),"")</f>
        <v>Buff.Desc.Shield</v>
      </c>
      <c r="Q641" s="157" t="b">
        <v>0</v>
      </c>
      <c r="R641" s="157" t="b">
        <v>0</v>
      </c>
    </row>
    <row r="642" spans="1:18" x14ac:dyDescent="0.3">
      <c r="A642" s="157" t="s">
        <v>3099</v>
      </c>
      <c r="B642" s="157"/>
      <c r="C642" s="157"/>
      <c r="D642" s="157">
        <v>5000</v>
      </c>
      <c r="E642" s="157">
        <v>0</v>
      </c>
      <c r="F642" s="157">
        <v>0</v>
      </c>
      <c r="G642" s="157" t="s">
        <v>3028</v>
      </c>
      <c r="H642" s="157"/>
      <c r="I642" s="157" t="b">
        <v>0</v>
      </c>
      <c r="J642" s="157" t="b">
        <v>0</v>
      </c>
      <c r="K642" s="157" t="b">
        <v>1</v>
      </c>
      <c r="L642" s="157" t="s">
        <v>60</v>
      </c>
      <c r="M642" s="157" t="s">
        <v>2263</v>
      </c>
      <c r="N642" s="157" t="str">
        <f>_xlfn.IFNA(VLOOKUP($M642,[1]Buff.CM!$A:$O,13,FALSE),"")</f>
        <v>icon_battle_shield</v>
      </c>
      <c r="O642" s="157" t="str">
        <f>_xlfn.IFNA(VLOOKUP($M642,[1]Buff.CM!$A:$O,14,FALSE),"")</f>
        <v>Buff.Name.Shield</v>
      </c>
      <c r="P642" s="157" t="str">
        <f>_xlfn.IFNA(VLOOKUP($M642,[1]Buff.CM!$A:$O,15,FALSE),"")</f>
        <v>Buff.Desc.Shield</v>
      </c>
      <c r="Q642" s="157" t="b">
        <v>0</v>
      </c>
      <c r="R642" s="157" t="b">
        <v>0</v>
      </c>
    </row>
    <row r="643" spans="1:18" x14ac:dyDescent="0.3">
      <c r="A643" s="157" t="s">
        <v>3100</v>
      </c>
      <c r="B643" s="157"/>
      <c r="C643" s="157"/>
      <c r="D643" s="157">
        <v>5000</v>
      </c>
      <c r="E643" s="157">
        <v>0</v>
      </c>
      <c r="F643" s="157">
        <v>0</v>
      </c>
      <c r="G643" s="157" t="s">
        <v>3029</v>
      </c>
      <c r="H643" s="157"/>
      <c r="I643" s="157" t="b">
        <v>0</v>
      </c>
      <c r="J643" s="157" t="b">
        <v>0</v>
      </c>
      <c r="K643" s="157" t="b">
        <v>1</v>
      </c>
      <c r="L643" s="157" t="s">
        <v>60</v>
      </c>
      <c r="M643" s="157" t="s">
        <v>2263</v>
      </c>
      <c r="N643" s="157" t="str">
        <f>_xlfn.IFNA(VLOOKUP($M643,[1]Buff.CM!$A:$O,13,FALSE),"")</f>
        <v>icon_battle_shield</v>
      </c>
      <c r="O643" s="157" t="str">
        <f>_xlfn.IFNA(VLOOKUP($M643,[1]Buff.CM!$A:$O,14,FALSE),"")</f>
        <v>Buff.Name.Shield</v>
      </c>
      <c r="P643" s="157" t="str">
        <f>_xlfn.IFNA(VLOOKUP($M643,[1]Buff.CM!$A:$O,15,FALSE),"")</f>
        <v>Buff.Desc.Shield</v>
      </c>
      <c r="Q643" s="157" t="b">
        <v>0</v>
      </c>
      <c r="R643" s="157" t="b">
        <v>0</v>
      </c>
    </row>
    <row r="644" spans="1:18" x14ac:dyDescent="0.3">
      <c r="A644" s="232" t="s">
        <v>3101</v>
      </c>
      <c r="B644" s="232"/>
      <c r="C644" s="232"/>
      <c r="D644" s="232">
        <v>6000</v>
      </c>
      <c r="E644" s="232">
        <v>0</v>
      </c>
      <c r="F644" s="232">
        <v>0</v>
      </c>
      <c r="G644" s="232" t="s">
        <v>3030</v>
      </c>
      <c r="H644" s="232"/>
      <c r="I644" s="232" t="b">
        <v>0</v>
      </c>
      <c r="J644" s="232" t="b">
        <v>0</v>
      </c>
      <c r="K644" s="232" t="b">
        <v>1</v>
      </c>
      <c r="L644" s="232" t="s">
        <v>60</v>
      </c>
      <c r="M644" s="232" t="s">
        <v>2263</v>
      </c>
      <c r="N644" s="232" t="str">
        <f>_xlfn.IFNA(VLOOKUP($M644,[1]Buff.CM!$A:$O,13,FALSE),"")</f>
        <v>icon_battle_shield</v>
      </c>
      <c r="O644" s="232" t="str">
        <f>_xlfn.IFNA(VLOOKUP($M644,[1]Buff.CM!$A:$O,14,FALSE),"")</f>
        <v>Buff.Name.Shield</v>
      </c>
      <c r="P644" s="232" t="str">
        <f>_xlfn.IFNA(VLOOKUP($M644,[1]Buff.CM!$A:$O,15,FALSE),"")</f>
        <v>Buff.Desc.Shield</v>
      </c>
      <c r="Q644" s="232" t="b">
        <v>0</v>
      </c>
      <c r="R644" s="232" t="b">
        <v>0</v>
      </c>
    </row>
    <row r="645" spans="1:18" x14ac:dyDescent="0.3">
      <c r="A645" s="232" t="s">
        <v>3102</v>
      </c>
      <c r="B645" s="232"/>
      <c r="C645" s="232"/>
      <c r="D645" s="232">
        <v>6000</v>
      </c>
      <c r="E645" s="232">
        <v>0</v>
      </c>
      <c r="F645" s="232">
        <v>0</v>
      </c>
      <c r="G645" s="232" t="s">
        <v>3031</v>
      </c>
      <c r="H645" s="232"/>
      <c r="I645" s="232" t="b">
        <v>0</v>
      </c>
      <c r="J645" s="232" t="b">
        <v>0</v>
      </c>
      <c r="K645" s="232" t="b">
        <v>1</v>
      </c>
      <c r="L645" s="232" t="s">
        <v>60</v>
      </c>
      <c r="M645" s="232" t="s">
        <v>2263</v>
      </c>
      <c r="N645" s="232" t="str">
        <f>_xlfn.IFNA(VLOOKUP($M645,[1]Buff.CM!$A:$O,13,FALSE),"")</f>
        <v>icon_battle_shield</v>
      </c>
      <c r="O645" s="232" t="str">
        <f>_xlfn.IFNA(VLOOKUP($M645,[1]Buff.CM!$A:$O,14,FALSE),"")</f>
        <v>Buff.Name.Shield</v>
      </c>
      <c r="P645" s="232" t="str">
        <f>_xlfn.IFNA(VLOOKUP($M645,[1]Buff.CM!$A:$O,15,FALSE),"")</f>
        <v>Buff.Desc.Shield</v>
      </c>
      <c r="Q645" s="232" t="b">
        <v>0</v>
      </c>
      <c r="R645" s="232" t="b">
        <v>0</v>
      </c>
    </row>
    <row r="646" spans="1:18" x14ac:dyDescent="0.3">
      <c r="A646" s="232" t="s">
        <v>3103</v>
      </c>
      <c r="B646" s="232"/>
      <c r="C646" s="232"/>
      <c r="D646" s="232">
        <v>6000</v>
      </c>
      <c r="E646" s="232">
        <v>0</v>
      </c>
      <c r="F646" s="232">
        <v>0</v>
      </c>
      <c r="G646" s="232" t="s">
        <v>3032</v>
      </c>
      <c r="H646" s="232"/>
      <c r="I646" s="232" t="b">
        <v>0</v>
      </c>
      <c r="J646" s="232" t="b">
        <v>0</v>
      </c>
      <c r="K646" s="232" t="b">
        <v>1</v>
      </c>
      <c r="L646" s="232" t="s">
        <v>60</v>
      </c>
      <c r="M646" s="232" t="s">
        <v>2263</v>
      </c>
      <c r="N646" s="232" t="str">
        <f>_xlfn.IFNA(VLOOKUP($M646,[1]Buff.CM!$A:$O,13,FALSE),"")</f>
        <v>icon_battle_shield</v>
      </c>
      <c r="O646" s="232" t="str">
        <f>_xlfn.IFNA(VLOOKUP($M646,[1]Buff.CM!$A:$O,14,FALSE),"")</f>
        <v>Buff.Name.Shield</v>
      </c>
      <c r="P646" s="232" t="str">
        <f>_xlfn.IFNA(VLOOKUP($M646,[1]Buff.CM!$A:$O,15,FALSE),"")</f>
        <v>Buff.Desc.Shield</v>
      </c>
      <c r="Q646" s="232" t="b">
        <v>0</v>
      </c>
      <c r="R646" s="232" t="b">
        <v>0</v>
      </c>
    </row>
    <row r="647" spans="1:18" x14ac:dyDescent="0.3">
      <c r="A647" s="231" t="s">
        <v>3104</v>
      </c>
      <c r="B647" s="231"/>
      <c r="C647" s="231"/>
      <c r="D647" s="231">
        <v>0</v>
      </c>
      <c r="E647" s="231">
        <v>0</v>
      </c>
      <c r="F647" s="231">
        <v>0</v>
      </c>
      <c r="G647" s="242" t="s">
        <v>3033</v>
      </c>
      <c r="H647" s="231"/>
      <c r="I647" s="231" t="b">
        <v>0</v>
      </c>
      <c r="J647" s="157" t="b">
        <v>1</v>
      </c>
      <c r="K647" s="231" t="b">
        <v>1</v>
      </c>
      <c r="L647" s="231"/>
      <c r="M647" s="231"/>
      <c r="N647" s="231" t="str">
        <f>_xlfn.IFNA(VLOOKUP($M647,[1]Buff.CM!$A:$O,13,FALSE),"")</f>
        <v/>
      </c>
      <c r="O647" s="231" t="str">
        <f>_xlfn.IFNA(VLOOKUP($M647,[1]Buff.CM!$A:$O,14,FALSE),"")</f>
        <v/>
      </c>
      <c r="P647" s="231" t="str">
        <f>_xlfn.IFNA(VLOOKUP($M647,[1]Buff.CM!$A:$O,15,FALSE),"")</f>
        <v/>
      </c>
      <c r="Q647" s="231" t="b">
        <v>0</v>
      </c>
      <c r="R647" s="231" t="b">
        <v>0</v>
      </c>
    </row>
    <row r="648" spans="1:18" x14ac:dyDescent="0.3">
      <c r="A648" s="231" t="s">
        <v>3105</v>
      </c>
      <c r="B648" s="231"/>
      <c r="C648" s="231"/>
      <c r="D648" s="231">
        <v>0</v>
      </c>
      <c r="E648" s="231">
        <v>0</v>
      </c>
      <c r="F648" s="231">
        <v>0</v>
      </c>
      <c r="G648" s="242" t="s">
        <v>3036</v>
      </c>
      <c r="H648" s="231"/>
      <c r="I648" s="231" t="b">
        <v>0</v>
      </c>
      <c r="J648" s="157" t="b">
        <v>1</v>
      </c>
      <c r="K648" s="231" t="b">
        <v>1</v>
      </c>
      <c r="L648" s="231"/>
      <c r="M648" s="231"/>
      <c r="N648" s="231" t="str">
        <f>_xlfn.IFNA(VLOOKUP($M648,[1]Buff.CM!$A:$O,13,FALSE),"")</f>
        <v/>
      </c>
      <c r="O648" s="231" t="str">
        <f>_xlfn.IFNA(VLOOKUP($M648,[1]Buff.CM!$A:$O,14,FALSE),"")</f>
        <v/>
      </c>
      <c r="P648" s="231" t="str">
        <f>_xlfn.IFNA(VLOOKUP($M648,[1]Buff.CM!$A:$O,15,FALSE),"")</f>
        <v/>
      </c>
      <c r="Q648" s="231" t="b">
        <v>0</v>
      </c>
      <c r="R648" s="231" t="b">
        <v>0</v>
      </c>
    </row>
    <row r="649" spans="1:18" x14ac:dyDescent="0.3">
      <c r="A649" s="231" t="s">
        <v>3106</v>
      </c>
      <c r="B649" s="231"/>
      <c r="C649" s="231"/>
      <c r="D649" s="231">
        <v>0</v>
      </c>
      <c r="E649" s="231">
        <v>0</v>
      </c>
      <c r="F649" s="231">
        <v>0</v>
      </c>
      <c r="G649" s="242" t="s">
        <v>3038</v>
      </c>
      <c r="H649" s="231"/>
      <c r="I649" s="231" t="b">
        <v>0</v>
      </c>
      <c r="J649" s="157" t="b">
        <v>1</v>
      </c>
      <c r="K649" s="231" t="b">
        <v>1</v>
      </c>
      <c r="L649" s="231"/>
      <c r="M649" s="231"/>
      <c r="N649" s="231" t="str">
        <f>_xlfn.IFNA(VLOOKUP($M649,[1]Buff.CM!$A:$O,13,FALSE),"")</f>
        <v/>
      </c>
      <c r="O649" s="231" t="str">
        <f>_xlfn.IFNA(VLOOKUP($M649,[1]Buff.CM!$A:$O,14,FALSE),"")</f>
        <v/>
      </c>
      <c r="P649" s="231" t="str">
        <f>_xlfn.IFNA(VLOOKUP($M649,[1]Buff.CM!$A:$O,15,FALSE),"")</f>
        <v/>
      </c>
      <c r="Q649" s="231" t="b">
        <v>0</v>
      </c>
      <c r="R649" s="231" t="b">
        <v>0</v>
      </c>
    </row>
    <row r="650" spans="1:18" x14ac:dyDescent="0.3">
      <c r="A650" s="232" t="s">
        <v>3107</v>
      </c>
      <c r="B650" s="231"/>
      <c r="C650" s="231"/>
      <c r="D650" s="232">
        <v>0</v>
      </c>
      <c r="E650" s="232">
        <v>0</v>
      </c>
      <c r="F650" s="232">
        <v>0</v>
      </c>
      <c r="G650" s="242" t="s">
        <v>3040</v>
      </c>
      <c r="H650" s="232"/>
      <c r="I650" s="232" t="b">
        <v>0</v>
      </c>
      <c r="J650" s="157" t="b">
        <v>1</v>
      </c>
      <c r="K650" s="232" t="b">
        <v>1</v>
      </c>
      <c r="L650" s="232"/>
      <c r="M650" s="232"/>
      <c r="N650" s="232" t="str">
        <f>_xlfn.IFNA(VLOOKUP($M650,[1]Buff.CM!$A:$O,13,FALSE),"")</f>
        <v/>
      </c>
      <c r="O650" s="232" t="str">
        <f>_xlfn.IFNA(VLOOKUP($M650,[1]Buff.CM!$A:$O,14,FALSE),"")</f>
        <v/>
      </c>
      <c r="P650" s="232" t="str">
        <f>_xlfn.IFNA(VLOOKUP($M650,[1]Buff.CM!$A:$O,15,FALSE),"")</f>
        <v/>
      </c>
      <c r="Q650" s="232" t="b">
        <v>0</v>
      </c>
      <c r="R650" s="232" t="b">
        <v>0</v>
      </c>
    </row>
    <row r="651" spans="1:18" x14ac:dyDescent="0.3">
      <c r="A651" s="232" t="s">
        <v>3108</v>
      </c>
      <c r="B651" s="231"/>
      <c r="C651" s="231"/>
      <c r="D651" s="232">
        <v>0</v>
      </c>
      <c r="E651" s="232">
        <v>0</v>
      </c>
      <c r="F651" s="232">
        <v>0</v>
      </c>
      <c r="G651" s="242" t="s">
        <v>3042</v>
      </c>
      <c r="H651" s="232"/>
      <c r="I651" s="232" t="b">
        <v>0</v>
      </c>
      <c r="J651" s="157" t="b">
        <v>1</v>
      </c>
      <c r="K651" s="232" t="b">
        <v>1</v>
      </c>
      <c r="L651" s="232"/>
      <c r="M651" s="232"/>
      <c r="N651" s="232" t="str">
        <f>_xlfn.IFNA(VLOOKUP($M651,[1]Buff.CM!$A:$O,13,FALSE),"")</f>
        <v/>
      </c>
      <c r="O651" s="232" t="str">
        <f>_xlfn.IFNA(VLOOKUP($M651,[1]Buff.CM!$A:$O,14,FALSE),"")</f>
        <v/>
      </c>
      <c r="P651" s="232" t="str">
        <f>_xlfn.IFNA(VLOOKUP($M651,[1]Buff.CM!$A:$O,15,FALSE),"")</f>
        <v/>
      </c>
      <c r="Q651" s="232" t="b">
        <v>0</v>
      </c>
      <c r="R651" s="232" t="b">
        <v>0</v>
      </c>
    </row>
    <row r="652" spans="1:18" x14ac:dyDescent="0.3">
      <c r="A652" s="232" t="s">
        <v>3109</v>
      </c>
      <c r="B652" s="231"/>
      <c r="C652" s="231"/>
      <c r="D652" s="232">
        <v>0</v>
      </c>
      <c r="E652" s="232">
        <v>0</v>
      </c>
      <c r="F652" s="232">
        <v>0</v>
      </c>
      <c r="G652" s="242" t="s">
        <v>3044</v>
      </c>
      <c r="H652" s="232"/>
      <c r="I652" s="232" t="b">
        <v>0</v>
      </c>
      <c r="J652" s="157" t="b">
        <v>1</v>
      </c>
      <c r="K652" s="232" t="b">
        <v>1</v>
      </c>
      <c r="L652" s="232"/>
      <c r="M652" s="232"/>
      <c r="N652" s="232" t="str">
        <f>_xlfn.IFNA(VLOOKUP($M652,[1]Buff.CM!$A:$O,13,FALSE),"")</f>
        <v/>
      </c>
      <c r="O652" s="232" t="str">
        <f>_xlfn.IFNA(VLOOKUP($M652,[1]Buff.CM!$A:$O,14,FALSE),"")</f>
        <v/>
      </c>
      <c r="P652" s="232" t="str">
        <f>_xlfn.IFNA(VLOOKUP($M652,[1]Buff.CM!$A:$O,15,FALSE),"")</f>
        <v/>
      </c>
      <c r="Q652" s="232" t="b">
        <v>0</v>
      </c>
      <c r="R652" s="232" t="b">
        <v>0</v>
      </c>
    </row>
    <row r="653" spans="1:18" x14ac:dyDescent="0.3">
      <c r="A653" s="231" t="s">
        <v>3110</v>
      </c>
      <c r="B653" s="231"/>
      <c r="C653" s="231"/>
      <c r="D653" s="231">
        <v>0</v>
      </c>
      <c r="E653" s="231">
        <v>0</v>
      </c>
      <c r="F653" s="231">
        <v>0</v>
      </c>
      <c r="G653" s="242" t="s">
        <v>173</v>
      </c>
      <c r="H653" s="231"/>
      <c r="I653" s="232" t="b">
        <v>1</v>
      </c>
      <c r="J653" s="157" t="b">
        <v>1</v>
      </c>
      <c r="K653" s="231" t="b">
        <v>1</v>
      </c>
      <c r="L653" s="231"/>
      <c r="M653" s="231"/>
      <c r="N653" s="231" t="str">
        <f>_xlfn.IFNA(VLOOKUP($M653,[1]Buff.CM!$A:$O,13,FALSE),"")</f>
        <v/>
      </c>
      <c r="O653" s="231" t="str">
        <f>_xlfn.IFNA(VLOOKUP($M653,[1]Buff.CM!$A:$O,14,FALSE),"")</f>
        <v/>
      </c>
      <c r="P653" s="231" t="str">
        <f>_xlfn.IFNA(VLOOKUP($M653,[1]Buff.CM!$A:$O,15,FALSE),"")</f>
        <v/>
      </c>
      <c r="Q653" s="231" t="b">
        <v>0</v>
      </c>
      <c r="R653" s="231" t="b">
        <v>0</v>
      </c>
    </row>
    <row r="654" spans="1:18" x14ac:dyDescent="0.3">
      <c r="A654" s="157" t="s">
        <v>3111</v>
      </c>
      <c r="B654" s="157"/>
      <c r="C654" s="157"/>
      <c r="D654" s="157">
        <v>3000</v>
      </c>
      <c r="E654" s="157">
        <v>0</v>
      </c>
      <c r="F654" s="157">
        <v>0</v>
      </c>
      <c r="G654" s="157" t="s">
        <v>173</v>
      </c>
      <c r="H654" s="157"/>
      <c r="I654" s="157" t="b">
        <v>0</v>
      </c>
      <c r="J654" s="157" t="b">
        <v>0</v>
      </c>
      <c r="K654" s="157" t="b">
        <v>1</v>
      </c>
      <c r="L654" s="157" t="s">
        <v>2264</v>
      </c>
      <c r="M654" s="157"/>
      <c r="N654" s="157" t="str">
        <f>_xlfn.IFNA(VLOOKUP($M654,[1]Buff.CM!$A:$O,13,FALSE),"")</f>
        <v/>
      </c>
      <c r="O654" s="157" t="str">
        <f>_xlfn.IFNA(VLOOKUP($M654,[1]Buff.CM!$A:$O,14,FALSE),"")</f>
        <v/>
      </c>
      <c r="P654" s="157" t="str">
        <f>_xlfn.IFNA(VLOOKUP($M654,[1]Buff.CM!$A:$O,15,FALSE),"")</f>
        <v/>
      </c>
      <c r="Q654" s="157" t="b">
        <v>0</v>
      </c>
      <c r="R654" s="157" t="b">
        <v>0</v>
      </c>
    </row>
    <row r="655" spans="1:18" ht="49.5" x14ac:dyDescent="0.3">
      <c r="A655" s="235" t="s">
        <v>3112</v>
      </c>
      <c r="B655" s="235"/>
      <c r="C655" s="235"/>
      <c r="D655" s="235">
        <v>0</v>
      </c>
      <c r="E655" s="235">
        <v>0</v>
      </c>
      <c r="F655" s="235">
        <v>0</v>
      </c>
      <c r="G655" s="244" t="s">
        <v>3113</v>
      </c>
      <c r="H655" s="235"/>
      <c r="I655" s="235" t="b">
        <v>1</v>
      </c>
      <c r="J655" s="235" t="b">
        <v>0</v>
      </c>
      <c r="K655" s="235" t="b">
        <v>1</v>
      </c>
      <c r="L655" s="235"/>
      <c r="M655" s="235" t="s">
        <v>3370</v>
      </c>
      <c r="N655" s="235" t="str">
        <f>_xlfn.IFNA(VLOOKUP($M655,[1]Buff.CM!$A:$O,13,FALSE),"")</f>
        <v>icon_battle_hellen_buff_01</v>
      </c>
      <c r="O655" s="235" t="str">
        <f>_xlfn.IFNA(VLOOKUP($M655,[1]Buff.CM!$A:$O,14,FALSE),"")</f>
        <v>info.hellen.buff.therapy</v>
      </c>
      <c r="P655" s="235" t="str">
        <f>_xlfn.IFNA(VLOOKUP($M655,[1]Buff.CM!$A:$O,15,FALSE),"")</f>
        <v>Desc.info.hellen.buff.therapy</v>
      </c>
      <c r="Q655" s="235" t="b">
        <v>0</v>
      </c>
      <c r="R655" s="235" t="b">
        <v>0</v>
      </c>
    </row>
    <row r="656" spans="1:18" ht="41.25" customHeight="1" x14ac:dyDescent="0.3">
      <c r="A656" s="235" t="s">
        <v>3114</v>
      </c>
      <c r="B656" s="235"/>
      <c r="C656" s="235"/>
      <c r="D656" s="235">
        <v>0</v>
      </c>
      <c r="E656" s="235">
        <v>0</v>
      </c>
      <c r="F656" s="235">
        <v>0</v>
      </c>
      <c r="G656" s="244" t="s">
        <v>3115</v>
      </c>
      <c r="H656" s="235"/>
      <c r="I656" s="235" t="b">
        <v>1</v>
      </c>
      <c r="J656" s="235" t="b">
        <v>0</v>
      </c>
      <c r="K656" s="235" t="b">
        <v>1</v>
      </c>
      <c r="L656" s="235"/>
      <c r="M656" s="235" t="s">
        <v>3370</v>
      </c>
      <c r="N656" s="235" t="str">
        <f>_xlfn.IFNA(VLOOKUP($M656,[1]Buff.CM!$A:$O,13,FALSE),"")</f>
        <v>icon_battle_hellen_buff_01</v>
      </c>
      <c r="O656" s="235" t="str">
        <f>_xlfn.IFNA(VLOOKUP($M656,[1]Buff.CM!$A:$O,14,FALSE),"")</f>
        <v>info.hellen.buff.therapy</v>
      </c>
      <c r="P656" s="235" t="str">
        <f>_xlfn.IFNA(VLOOKUP($M656,[1]Buff.CM!$A:$O,15,FALSE),"")</f>
        <v>Desc.info.hellen.buff.therapy</v>
      </c>
      <c r="Q656" s="235" t="b">
        <v>0</v>
      </c>
      <c r="R656" s="235" t="b">
        <v>0</v>
      </c>
    </row>
    <row r="657" spans="1:18" ht="49.5" x14ac:dyDescent="0.3">
      <c r="A657" s="235" t="s">
        <v>3116</v>
      </c>
      <c r="B657" s="235"/>
      <c r="C657" s="235"/>
      <c r="D657" s="235">
        <v>0</v>
      </c>
      <c r="E657" s="235">
        <v>0</v>
      </c>
      <c r="F657" s="235">
        <v>0</v>
      </c>
      <c r="G657" s="244" t="s">
        <v>3117</v>
      </c>
      <c r="H657" s="235"/>
      <c r="I657" s="235" t="b">
        <v>1</v>
      </c>
      <c r="J657" s="235" t="b">
        <v>0</v>
      </c>
      <c r="K657" s="235" t="b">
        <v>1</v>
      </c>
      <c r="L657" s="235"/>
      <c r="M657" s="235" t="s">
        <v>3370</v>
      </c>
      <c r="N657" s="235" t="str">
        <f>_xlfn.IFNA(VLOOKUP($M657,[1]Buff.CM!$A:$O,13,FALSE),"")</f>
        <v>icon_battle_hellen_buff_01</v>
      </c>
      <c r="O657" s="235" t="str">
        <f>_xlfn.IFNA(VLOOKUP($M657,[1]Buff.CM!$A:$O,14,FALSE),"")</f>
        <v>info.hellen.buff.therapy</v>
      </c>
      <c r="P657" s="235" t="str">
        <f>_xlfn.IFNA(VLOOKUP($M657,[1]Buff.CM!$A:$O,15,FALSE),"")</f>
        <v>Desc.info.hellen.buff.therapy</v>
      </c>
      <c r="Q657" s="235" t="b">
        <v>0</v>
      </c>
      <c r="R657" s="235" t="b">
        <v>0</v>
      </c>
    </row>
    <row r="658" spans="1:18" ht="49.5" x14ac:dyDescent="0.3">
      <c r="A658" s="235" t="s">
        <v>3118</v>
      </c>
      <c r="B658" s="235"/>
      <c r="C658" s="235"/>
      <c r="D658" s="235">
        <v>0</v>
      </c>
      <c r="E658" s="235">
        <v>0</v>
      </c>
      <c r="F658" s="235">
        <v>0</v>
      </c>
      <c r="G658" s="244" t="s">
        <v>3119</v>
      </c>
      <c r="H658" s="235"/>
      <c r="I658" s="235" t="b">
        <v>1</v>
      </c>
      <c r="J658" s="235" t="b">
        <v>0</v>
      </c>
      <c r="K658" s="235" t="b">
        <v>1</v>
      </c>
      <c r="L658" s="235"/>
      <c r="M658" s="235" t="s">
        <v>3370</v>
      </c>
      <c r="N658" s="235" t="str">
        <f>_xlfn.IFNA(VLOOKUP($M658,[1]Buff.CM!$A:$O,13,FALSE),"")</f>
        <v>icon_battle_hellen_buff_01</v>
      </c>
      <c r="O658" s="235" t="str">
        <f>_xlfn.IFNA(VLOOKUP($M658,[1]Buff.CM!$A:$O,14,FALSE),"")</f>
        <v>info.hellen.buff.therapy</v>
      </c>
      <c r="P658" s="235" t="str">
        <f>_xlfn.IFNA(VLOOKUP($M658,[1]Buff.CM!$A:$O,15,FALSE),"")</f>
        <v>Desc.info.hellen.buff.therapy</v>
      </c>
      <c r="Q658" s="235" t="b">
        <v>0</v>
      </c>
      <c r="R658" s="235" t="b">
        <v>0</v>
      </c>
    </row>
    <row r="659" spans="1:18" ht="49.5" x14ac:dyDescent="0.3">
      <c r="A659" s="235" t="s">
        <v>3120</v>
      </c>
      <c r="B659" s="235"/>
      <c r="C659" s="235"/>
      <c r="D659" s="235">
        <v>0</v>
      </c>
      <c r="E659" s="235">
        <v>0</v>
      </c>
      <c r="F659" s="235">
        <v>0</v>
      </c>
      <c r="G659" s="244" t="s">
        <v>3121</v>
      </c>
      <c r="H659" s="235"/>
      <c r="I659" s="235" t="b">
        <v>1</v>
      </c>
      <c r="J659" s="235" t="b">
        <v>0</v>
      </c>
      <c r="K659" s="235" t="b">
        <v>1</v>
      </c>
      <c r="L659" s="235"/>
      <c r="M659" s="235" t="s">
        <v>3370</v>
      </c>
      <c r="N659" s="235" t="str">
        <f>_xlfn.IFNA(VLOOKUP($M659,[1]Buff.CM!$A:$O,13,FALSE),"")</f>
        <v>icon_battle_hellen_buff_01</v>
      </c>
      <c r="O659" s="235" t="str">
        <f>_xlfn.IFNA(VLOOKUP($M659,[1]Buff.CM!$A:$O,14,FALSE),"")</f>
        <v>info.hellen.buff.therapy</v>
      </c>
      <c r="P659" s="235" t="str">
        <f>_xlfn.IFNA(VLOOKUP($M659,[1]Buff.CM!$A:$O,15,FALSE),"")</f>
        <v>Desc.info.hellen.buff.therapy</v>
      </c>
      <c r="Q659" s="235" t="b">
        <v>0</v>
      </c>
      <c r="R659" s="235" t="b">
        <v>0</v>
      </c>
    </row>
    <row r="660" spans="1:18" ht="41.25" customHeight="1" x14ac:dyDescent="0.3">
      <c r="A660" s="235" t="s">
        <v>3122</v>
      </c>
      <c r="B660" s="235"/>
      <c r="C660" s="235"/>
      <c r="D660" s="235">
        <v>0</v>
      </c>
      <c r="E660" s="235">
        <v>0</v>
      </c>
      <c r="F660" s="235">
        <v>0</v>
      </c>
      <c r="G660" s="244" t="s">
        <v>3123</v>
      </c>
      <c r="H660" s="235"/>
      <c r="I660" s="235" t="b">
        <v>1</v>
      </c>
      <c r="J660" s="235" t="b">
        <v>0</v>
      </c>
      <c r="K660" s="235" t="b">
        <v>1</v>
      </c>
      <c r="L660" s="235"/>
      <c r="M660" s="235" t="s">
        <v>3370</v>
      </c>
      <c r="N660" s="235" t="str">
        <f>_xlfn.IFNA(VLOOKUP($M660,[1]Buff.CM!$A:$O,13,FALSE),"")</f>
        <v>icon_battle_hellen_buff_01</v>
      </c>
      <c r="O660" s="235" t="str">
        <f>_xlfn.IFNA(VLOOKUP($M660,[1]Buff.CM!$A:$O,14,FALSE),"")</f>
        <v>info.hellen.buff.therapy</v>
      </c>
      <c r="P660" s="235" t="str">
        <f>_xlfn.IFNA(VLOOKUP($M660,[1]Buff.CM!$A:$O,15,FALSE),"")</f>
        <v>Desc.info.hellen.buff.therapy</v>
      </c>
      <c r="Q660" s="235" t="b">
        <v>0</v>
      </c>
      <c r="R660" s="235" t="b">
        <v>0</v>
      </c>
    </row>
    <row r="661" spans="1:18" ht="49.5" x14ac:dyDescent="0.3">
      <c r="A661" s="235" t="s">
        <v>3124</v>
      </c>
      <c r="B661" s="235"/>
      <c r="C661" s="235"/>
      <c r="D661" s="235">
        <v>0</v>
      </c>
      <c r="E661" s="235">
        <v>0</v>
      </c>
      <c r="F661" s="235">
        <v>0</v>
      </c>
      <c r="G661" s="244" t="s">
        <v>3125</v>
      </c>
      <c r="H661" s="235"/>
      <c r="I661" s="235" t="b">
        <v>1</v>
      </c>
      <c r="J661" s="235" t="b">
        <v>0</v>
      </c>
      <c r="K661" s="235" t="b">
        <v>1</v>
      </c>
      <c r="L661" s="235"/>
      <c r="M661" s="235" t="s">
        <v>3370</v>
      </c>
      <c r="N661" s="235" t="str">
        <f>_xlfn.IFNA(VLOOKUP($M661,[1]Buff.CM!$A:$O,13,FALSE),"")</f>
        <v>icon_battle_hellen_buff_01</v>
      </c>
      <c r="O661" s="235" t="str">
        <f>_xlfn.IFNA(VLOOKUP($M661,[1]Buff.CM!$A:$O,14,FALSE),"")</f>
        <v>info.hellen.buff.therapy</v>
      </c>
      <c r="P661" s="235" t="str">
        <f>_xlfn.IFNA(VLOOKUP($M661,[1]Buff.CM!$A:$O,15,FALSE),"")</f>
        <v>Desc.info.hellen.buff.therapy</v>
      </c>
      <c r="Q661" s="235" t="b">
        <v>0</v>
      </c>
      <c r="R661" s="235" t="b">
        <v>0</v>
      </c>
    </row>
    <row r="662" spans="1:18" x14ac:dyDescent="0.3">
      <c r="A662" s="234" t="s">
        <v>3126</v>
      </c>
      <c r="B662" s="234"/>
      <c r="C662" s="234"/>
      <c r="D662" s="234">
        <v>5000</v>
      </c>
      <c r="E662" s="234">
        <v>0</v>
      </c>
      <c r="F662" s="234">
        <v>0</v>
      </c>
      <c r="G662" s="234" t="s">
        <v>3127</v>
      </c>
      <c r="H662" s="234"/>
      <c r="I662" s="234" t="b">
        <v>0</v>
      </c>
      <c r="J662" s="234" t="b">
        <v>0</v>
      </c>
      <c r="K662" s="234" t="b">
        <v>1</v>
      </c>
      <c r="L662" s="234" t="s">
        <v>60</v>
      </c>
      <c r="M662" s="234" t="s">
        <v>2263</v>
      </c>
      <c r="N662" s="234" t="str">
        <f>_xlfn.IFNA(VLOOKUP($M662,[1]Buff.CM!$A:$O,13,FALSE),"")</f>
        <v>icon_battle_shield</v>
      </c>
      <c r="O662" s="234" t="str">
        <f>_xlfn.IFNA(VLOOKUP($M662,[1]Buff.CM!$A:$O,14,FALSE),"")</f>
        <v>Buff.Name.Shield</v>
      </c>
      <c r="P662" s="234" t="str">
        <f>_xlfn.IFNA(VLOOKUP($M662,[1]Buff.CM!$A:$O,15,FALSE),"")</f>
        <v>Buff.Desc.Shield</v>
      </c>
      <c r="Q662" s="234" t="b">
        <v>0</v>
      </c>
      <c r="R662" s="234" t="b">
        <v>0</v>
      </c>
    </row>
    <row r="663" spans="1:18" x14ac:dyDescent="0.3">
      <c r="A663" s="234" t="s">
        <v>3128</v>
      </c>
      <c r="B663" s="234"/>
      <c r="C663" s="234"/>
      <c r="D663" s="234">
        <v>5000</v>
      </c>
      <c r="E663" s="234">
        <v>0</v>
      </c>
      <c r="F663" s="234">
        <v>0</v>
      </c>
      <c r="G663" s="234" t="s">
        <v>3129</v>
      </c>
      <c r="H663" s="234"/>
      <c r="I663" s="234" t="b">
        <v>0</v>
      </c>
      <c r="J663" s="234" t="b">
        <v>0</v>
      </c>
      <c r="K663" s="234" t="b">
        <v>1</v>
      </c>
      <c r="L663" s="234" t="s">
        <v>60</v>
      </c>
      <c r="M663" s="234" t="s">
        <v>2263</v>
      </c>
      <c r="N663" s="234" t="str">
        <f>_xlfn.IFNA(VLOOKUP($M663,[1]Buff.CM!$A:$O,13,FALSE),"")</f>
        <v>icon_battle_shield</v>
      </c>
      <c r="O663" s="234" t="str">
        <f>_xlfn.IFNA(VLOOKUP($M663,[1]Buff.CM!$A:$O,14,FALSE),"")</f>
        <v>Buff.Name.Shield</v>
      </c>
      <c r="P663" s="234" t="str">
        <f>_xlfn.IFNA(VLOOKUP($M663,[1]Buff.CM!$A:$O,15,FALSE),"")</f>
        <v>Buff.Desc.Shield</v>
      </c>
      <c r="Q663" s="234" t="b">
        <v>0</v>
      </c>
      <c r="R663" s="234" t="b">
        <v>0</v>
      </c>
    </row>
    <row r="664" spans="1:18" x14ac:dyDescent="0.3">
      <c r="A664" s="234" t="s">
        <v>3130</v>
      </c>
      <c r="B664" s="234"/>
      <c r="C664" s="234"/>
      <c r="D664" s="234">
        <v>5000</v>
      </c>
      <c r="E664" s="234">
        <v>0</v>
      </c>
      <c r="F664" s="234">
        <v>0</v>
      </c>
      <c r="G664" s="234" t="s">
        <v>3131</v>
      </c>
      <c r="H664" s="234"/>
      <c r="I664" s="234" t="b">
        <v>0</v>
      </c>
      <c r="J664" s="234" t="b">
        <v>0</v>
      </c>
      <c r="K664" s="234" t="b">
        <v>1</v>
      </c>
      <c r="L664" s="234" t="s">
        <v>60</v>
      </c>
      <c r="M664" s="234" t="s">
        <v>2263</v>
      </c>
      <c r="N664" s="234" t="str">
        <f>_xlfn.IFNA(VLOOKUP($M664,[1]Buff.CM!$A:$O,13,FALSE),"")</f>
        <v>icon_battle_shield</v>
      </c>
      <c r="O664" s="234" t="str">
        <f>_xlfn.IFNA(VLOOKUP($M664,[1]Buff.CM!$A:$O,14,FALSE),"")</f>
        <v>Buff.Name.Shield</v>
      </c>
      <c r="P664" s="234" t="str">
        <f>_xlfn.IFNA(VLOOKUP($M664,[1]Buff.CM!$A:$O,15,FALSE),"")</f>
        <v>Buff.Desc.Shield</v>
      </c>
      <c r="Q664" s="234" t="b">
        <v>0</v>
      </c>
      <c r="R664" s="234" t="b">
        <v>0</v>
      </c>
    </row>
    <row r="665" spans="1:18" x14ac:dyDescent="0.3">
      <c r="A665" s="232" t="s">
        <v>3132</v>
      </c>
      <c r="B665" s="232"/>
      <c r="C665" s="232"/>
      <c r="D665" s="232">
        <v>5000</v>
      </c>
      <c r="E665" s="232">
        <v>0</v>
      </c>
      <c r="F665" s="232">
        <v>0</v>
      </c>
      <c r="G665" s="232" t="s">
        <v>3133</v>
      </c>
      <c r="H665" s="232"/>
      <c r="I665" s="232" t="b">
        <v>0</v>
      </c>
      <c r="J665" s="232" t="b">
        <v>0</v>
      </c>
      <c r="K665" s="232" t="b">
        <v>1</v>
      </c>
      <c r="L665" s="232" t="s">
        <v>60</v>
      </c>
      <c r="M665" s="232" t="s">
        <v>2263</v>
      </c>
      <c r="N665" s="232" t="str">
        <f>_xlfn.IFNA(VLOOKUP($M665,[1]Buff.CM!$A:$O,13,FALSE),"")</f>
        <v>icon_battle_shield</v>
      </c>
      <c r="O665" s="232" t="str">
        <f>_xlfn.IFNA(VLOOKUP($M665,[1]Buff.CM!$A:$O,14,FALSE),"")</f>
        <v>Buff.Name.Shield</v>
      </c>
      <c r="P665" s="232" t="str">
        <f>_xlfn.IFNA(VLOOKUP($M665,[1]Buff.CM!$A:$O,15,FALSE),"")</f>
        <v>Buff.Desc.Shield</v>
      </c>
      <c r="Q665" s="232" t="b">
        <v>0</v>
      </c>
      <c r="R665" s="232" t="b">
        <v>0</v>
      </c>
    </row>
    <row r="666" spans="1:18" x14ac:dyDescent="0.3">
      <c r="A666" s="232" t="s">
        <v>3134</v>
      </c>
      <c r="B666" s="232"/>
      <c r="C666" s="232"/>
      <c r="D666" s="232">
        <v>5000</v>
      </c>
      <c r="E666" s="232">
        <v>0</v>
      </c>
      <c r="F666" s="232">
        <v>0</v>
      </c>
      <c r="G666" s="232" t="s">
        <v>3135</v>
      </c>
      <c r="H666" s="232"/>
      <c r="I666" s="232" t="b">
        <v>0</v>
      </c>
      <c r="J666" s="232" t="b">
        <v>0</v>
      </c>
      <c r="K666" s="232" t="b">
        <v>1</v>
      </c>
      <c r="L666" s="232" t="s">
        <v>60</v>
      </c>
      <c r="M666" s="232" t="s">
        <v>2263</v>
      </c>
      <c r="N666" s="232" t="str">
        <f>_xlfn.IFNA(VLOOKUP($M666,[1]Buff.CM!$A:$O,13,FALSE),"")</f>
        <v>icon_battle_shield</v>
      </c>
      <c r="O666" s="232" t="str">
        <f>_xlfn.IFNA(VLOOKUP($M666,[1]Buff.CM!$A:$O,14,FALSE),"")</f>
        <v>Buff.Name.Shield</v>
      </c>
      <c r="P666" s="232" t="str">
        <f>_xlfn.IFNA(VLOOKUP($M666,[1]Buff.CM!$A:$O,15,FALSE),"")</f>
        <v>Buff.Desc.Shield</v>
      </c>
      <c r="Q666" s="232" t="b">
        <v>0</v>
      </c>
      <c r="R666" s="232" t="b">
        <v>0</v>
      </c>
    </row>
    <row r="667" spans="1:18" x14ac:dyDescent="0.3">
      <c r="A667" s="232" t="s">
        <v>3136</v>
      </c>
      <c r="B667" s="232"/>
      <c r="C667" s="232"/>
      <c r="D667" s="232">
        <v>5000</v>
      </c>
      <c r="E667" s="232">
        <v>0</v>
      </c>
      <c r="F667" s="232">
        <v>0</v>
      </c>
      <c r="G667" s="232" t="s">
        <v>3137</v>
      </c>
      <c r="H667" s="232"/>
      <c r="I667" s="232" t="b">
        <v>0</v>
      </c>
      <c r="J667" s="232" t="b">
        <v>0</v>
      </c>
      <c r="K667" s="232" t="b">
        <v>1</v>
      </c>
      <c r="L667" s="232" t="s">
        <v>60</v>
      </c>
      <c r="M667" s="232" t="s">
        <v>2263</v>
      </c>
      <c r="N667" s="232" t="str">
        <f>_xlfn.IFNA(VLOOKUP($M667,[1]Buff.CM!$A:$O,13,FALSE),"")</f>
        <v>icon_battle_shield</v>
      </c>
      <c r="O667" s="232" t="str">
        <f>_xlfn.IFNA(VLOOKUP($M667,[1]Buff.CM!$A:$O,14,FALSE),"")</f>
        <v>Buff.Name.Shield</v>
      </c>
      <c r="P667" s="232" t="str">
        <f>_xlfn.IFNA(VLOOKUP($M667,[1]Buff.CM!$A:$O,15,FALSE),"")</f>
        <v>Buff.Desc.Shield</v>
      </c>
      <c r="Q667" s="232" t="b">
        <v>0</v>
      </c>
      <c r="R667" s="232" t="b">
        <v>0</v>
      </c>
    </row>
    <row r="668" spans="1:18" x14ac:dyDescent="0.3">
      <c r="A668" s="233" t="s">
        <v>3138</v>
      </c>
      <c r="B668" s="233"/>
      <c r="C668" s="233"/>
      <c r="D668" s="233">
        <v>6000</v>
      </c>
      <c r="E668" s="233">
        <v>0</v>
      </c>
      <c r="F668" s="233">
        <v>0</v>
      </c>
      <c r="G668" s="233" t="s">
        <v>2258</v>
      </c>
      <c r="H668" s="233"/>
      <c r="I668" s="233" t="b">
        <v>0</v>
      </c>
      <c r="J668" s="233" t="b">
        <v>0</v>
      </c>
      <c r="K668" s="233" t="b">
        <v>0</v>
      </c>
      <c r="L668" s="233" t="s">
        <v>55</v>
      </c>
      <c r="M668" s="233" t="s">
        <v>2258</v>
      </c>
      <c r="N668" s="233" t="str">
        <f>_xlfn.IFNA(VLOOKUP($M668,[1]Buff.CM!$A:$O,13,FALSE),"")</f>
        <v>icon_battle_attack</v>
      </c>
      <c r="O668" s="233" t="str">
        <f>_xlfn.IFNA(VLOOKUP($M668,[1]Buff.CM!$A:$O,14,FALSE),"")</f>
        <v>Buff.Name.Atk.Down.03</v>
      </c>
      <c r="P668" s="233" t="str">
        <f>_xlfn.IFNA(VLOOKUP($M668,[1]Buff.CM!$A:$O,15,FALSE),"")</f>
        <v>Buff.Desc.Atk.Down.03</v>
      </c>
      <c r="Q668" s="233" t="b">
        <v>0</v>
      </c>
      <c r="R668" s="233" t="b">
        <v>0</v>
      </c>
    </row>
    <row r="669" spans="1:18" x14ac:dyDescent="0.3">
      <c r="A669" s="233" t="s">
        <v>3139</v>
      </c>
      <c r="B669" s="233"/>
      <c r="C669" s="233"/>
      <c r="D669" s="233">
        <v>7000</v>
      </c>
      <c r="E669" s="233">
        <v>0</v>
      </c>
      <c r="F669" s="233">
        <v>0</v>
      </c>
      <c r="G669" s="233" t="s">
        <v>2258</v>
      </c>
      <c r="H669" s="233"/>
      <c r="I669" s="233" t="b">
        <v>0</v>
      </c>
      <c r="J669" s="233" t="b">
        <v>0</v>
      </c>
      <c r="K669" s="233" t="b">
        <v>0</v>
      </c>
      <c r="L669" s="233" t="s">
        <v>55</v>
      </c>
      <c r="M669" s="233" t="s">
        <v>2258</v>
      </c>
      <c r="N669" s="233" t="str">
        <f>_xlfn.IFNA(VLOOKUP($M669,[1]Buff.CM!$A:$O,13,FALSE),"")</f>
        <v>icon_battle_attack</v>
      </c>
      <c r="O669" s="233" t="str">
        <f>_xlfn.IFNA(VLOOKUP($M669,[1]Buff.CM!$A:$O,14,FALSE),"")</f>
        <v>Buff.Name.Atk.Down.03</v>
      </c>
      <c r="P669" s="233" t="str">
        <f>_xlfn.IFNA(VLOOKUP($M669,[1]Buff.CM!$A:$O,15,FALSE),"")</f>
        <v>Buff.Desc.Atk.Down.03</v>
      </c>
      <c r="Q669" s="233" t="b">
        <v>0</v>
      </c>
      <c r="R669" s="233" t="b">
        <v>0</v>
      </c>
    </row>
    <row r="670" spans="1:18" x14ac:dyDescent="0.3">
      <c r="A670" s="233" t="s">
        <v>3140</v>
      </c>
      <c r="B670" s="233"/>
      <c r="C670" s="233"/>
      <c r="D670" s="233">
        <v>7000</v>
      </c>
      <c r="E670" s="233">
        <v>0</v>
      </c>
      <c r="F670" s="233">
        <v>0</v>
      </c>
      <c r="G670" s="233" t="s">
        <v>2259</v>
      </c>
      <c r="H670" s="233"/>
      <c r="I670" s="233" t="b">
        <v>0</v>
      </c>
      <c r="J670" s="233" t="b">
        <v>0</v>
      </c>
      <c r="K670" s="233" t="b">
        <v>0</v>
      </c>
      <c r="L670" s="233" t="s">
        <v>55</v>
      </c>
      <c r="M670" s="233" t="s">
        <v>2259</v>
      </c>
      <c r="N670" s="233" t="str">
        <f>_xlfn.IFNA(VLOOKUP($M670,[1]Buff.CM!$A:$O,13,FALSE),"")</f>
        <v>icon_battle_attack</v>
      </c>
      <c r="O670" s="233" t="str">
        <f>_xlfn.IFNA(VLOOKUP($M670,[1]Buff.CM!$A:$O,14,FALSE),"")</f>
        <v>Buff.Name.Atk.Down.04</v>
      </c>
      <c r="P670" s="233" t="str">
        <f>_xlfn.IFNA(VLOOKUP($M670,[1]Buff.CM!$A:$O,15,FALSE),"")</f>
        <v>Buff.Desc.Atk.Down.04</v>
      </c>
      <c r="Q670" s="233" t="b">
        <v>0</v>
      </c>
      <c r="R670" s="233" t="b">
        <v>0</v>
      </c>
    </row>
    <row r="671" spans="1:18" x14ac:dyDescent="0.3">
      <c r="A671" s="232" t="s">
        <v>3141</v>
      </c>
      <c r="B671" s="232"/>
      <c r="C671" s="232"/>
      <c r="D671" s="232">
        <v>8000</v>
      </c>
      <c r="E671" s="232">
        <v>0</v>
      </c>
      <c r="F671" s="232">
        <v>0</v>
      </c>
      <c r="G671" s="232" t="s">
        <v>2259</v>
      </c>
      <c r="H671" s="232"/>
      <c r="I671" s="232" t="b">
        <v>0</v>
      </c>
      <c r="J671" s="232" t="b">
        <v>0</v>
      </c>
      <c r="K671" s="232" t="b">
        <v>0</v>
      </c>
      <c r="L671" s="232" t="s">
        <v>55</v>
      </c>
      <c r="M671" s="232" t="s">
        <v>2259</v>
      </c>
      <c r="N671" s="232" t="str">
        <f>_xlfn.IFNA(VLOOKUP($M671,[1]Buff.CM!$A:$O,13,FALSE),"")</f>
        <v>icon_battle_attack</v>
      </c>
      <c r="O671" s="232" t="str">
        <f>_xlfn.IFNA(VLOOKUP($M671,[1]Buff.CM!$A:$O,14,FALSE),"")</f>
        <v>Buff.Name.Atk.Down.04</v>
      </c>
      <c r="P671" s="232" t="str">
        <f>_xlfn.IFNA(VLOOKUP($M671,[1]Buff.CM!$A:$O,15,FALSE),"")</f>
        <v>Buff.Desc.Atk.Down.04</v>
      </c>
      <c r="Q671" s="232" t="b">
        <v>0</v>
      </c>
      <c r="R671" s="232" t="b">
        <v>0</v>
      </c>
    </row>
    <row r="672" spans="1:18" x14ac:dyDescent="0.3">
      <c r="A672" s="232" t="s">
        <v>3142</v>
      </c>
      <c r="B672" s="232"/>
      <c r="C672" s="232"/>
      <c r="D672" s="232">
        <v>6000</v>
      </c>
      <c r="E672" s="232">
        <v>0</v>
      </c>
      <c r="F672" s="232">
        <v>0</v>
      </c>
      <c r="G672" s="232" t="s">
        <v>2260</v>
      </c>
      <c r="H672" s="232"/>
      <c r="I672" s="232" t="b">
        <v>0</v>
      </c>
      <c r="J672" s="232" t="b">
        <v>0</v>
      </c>
      <c r="K672" s="232" t="b">
        <v>0</v>
      </c>
      <c r="L672" s="232" t="s">
        <v>55</v>
      </c>
      <c r="M672" s="232" t="s">
        <v>2260</v>
      </c>
      <c r="N672" s="232" t="str">
        <f>_xlfn.IFNA(VLOOKUP($M672,[1]Buff.CM!$A:$O,13,FALSE),"")</f>
        <v>icon_battle_attack</v>
      </c>
      <c r="O672" s="232" t="str">
        <f>_xlfn.IFNA(VLOOKUP($M672,[1]Buff.CM!$A:$O,14,FALSE),"")</f>
        <v>Buff.Name.Atk.Down.05</v>
      </c>
      <c r="P672" s="232" t="str">
        <f>_xlfn.IFNA(VLOOKUP($M672,[1]Buff.CM!$A:$O,15,FALSE),"")</f>
        <v>Buff.Desc.Atk.Down.05</v>
      </c>
      <c r="Q672" s="232" t="b">
        <v>0</v>
      </c>
      <c r="R672" s="232" t="b">
        <v>0</v>
      </c>
    </row>
    <row r="673" spans="1:18" x14ac:dyDescent="0.3">
      <c r="A673" s="232" t="s">
        <v>3143</v>
      </c>
      <c r="B673" s="232"/>
      <c r="C673" s="232"/>
      <c r="D673" s="232">
        <v>6000</v>
      </c>
      <c r="E673" s="232">
        <v>0</v>
      </c>
      <c r="F673" s="232">
        <v>0</v>
      </c>
      <c r="G673" s="232" t="s">
        <v>2260</v>
      </c>
      <c r="H673" s="232"/>
      <c r="I673" s="232" t="b">
        <v>0</v>
      </c>
      <c r="J673" s="232" t="b">
        <v>0</v>
      </c>
      <c r="K673" s="232" t="b">
        <v>0</v>
      </c>
      <c r="L673" s="232" t="s">
        <v>55</v>
      </c>
      <c r="M673" s="232" t="s">
        <v>2260</v>
      </c>
      <c r="N673" s="232" t="str">
        <f>_xlfn.IFNA(VLOOKUP($M673,[1]Buff.CM!$A:$O,13,FALSE),"")</f>
        <v>icon_battle_attack</v>
      </c>
      <c r="O673" s="232" t="str">
        <f>_xlfn.IFNA(VLOOKUP($M673,[1]Buff.CM!$A:$O,14,FALSE),"")</f>
        <v>Buff.Name.Atk.Down.05</v>
      </c>
      <c r="P673" s="232" t="str">
        <f>_xlfn.IFNA(VLOOKUP($M673,[1]Buff.CM!$A:$O,15,FALSE),"")</f>
        <v>Buff.Desc.Atk.Down.05</v>
      </c>
      <c r="Q673" s="232" t="b">
        <v>0</v>
      </c>
      <c r="R673" s="232" t="b">
        <v>0</v>
      </c>
    </row>
    <row r="674" spans="1:18" x14ac:dyDescent="0.3">
      <c r="A674" s="234" t="s">
        <v>3144</v>
      </c>
      <c r="B674" s="234" t="s">
        <v>487</v>
      </c>
      <c r="C674" s="234" t="s">
        <v>3145</v>
      </c>
      <c r="D674" s="234">
        <v>0</v>
      </c>
      <c r="E674" s="234">
        <v>0</v>
      </c>
      <c r="F674" s="234">
        <v>0</v>
      </c>
      <c r="G674" s="234" t="s">
        <v>3146</v>
      </c>
      <c r="H674" s="234"/>
      <c r="I674" s="234" t="b">
        <v>0</v>
      </c>
      <c r="J674" s="157" t="b">
        <v>1</v>
      </c>
      <c r="K674" s="234" t="b">
        <v>1</v>
      </c>
      <c r="L674" s="234"/>
      <c r="M674" s="234"/>
      <c r="N674" s="234" t="str">
        <f>_xlfn.IFNA(VLOOKUP($M674,[1]Buff.CM!$A:$O,13,FALSE),"")</f>
        <v/>
      </c>
      <c r="O674" s="234" t="str">
        <f>_xlfn.IFNA(VLOOKUP($M674,[1]Buff.CM!$A:$O,14,FALSE),"")</f>
        <v/>
      </c>
      <c r="P674" s="234" t="str">
        <f>_xlfn.IFNA(VLOOKUP($M674,[1]Buff.CM!$A:$O,15,FALSE),"")</f>
        <v/>
      </c>
      <c r="Q674" s="234" t="b">
        <v>0</v>
      </c>
      <c r="R674" s="234" t="b">
        <v>0</v>
      </c>
    </row>
    <row r="675" spans="1:18" x14ac:dyDescent="0.3">
      <c r="A675" s="234" t="s">
        <v>3147</v>
      </c>
      <c r="B675" s="234" t="s">
        <v>487</v>
      </c>
      <c r="C675" s="234" t="s">
        <v>3145</v>
      </c>
      <c r="D675" s="234">
        <v>0</v>
      </c>
      <c r="E675" s="234">
        <v>0</v>
      </c>
      <c r="F675" s="234">
        <v>0</v>
      </c>
      <c r="G675" s="234" t="s">
        <v>3148</v>
      </c>
      <c r="H675" s="234"/>
      <c r="I675" s="234" t="b">
        <v>0</v>
      </c>
      <c r="J675" s="157" t="b">
        <v>1</v>
      </c>
      <c r="K675" s="234" t="b">
        <v>1</v>
      </c>
      <c r="L675" s="234"/>
      <c r="M675" s="234"/>
      <c r="N675" s="234" t="str">
        <f>_xlfn.IFNA(VLOOKUP($M675,[1]Buff.CM!$A:$O,13,FALSE),"")</f>
        <v/>
      </c>
      <c r="O675" s="234" t="str">
        <f>_xlfn.IFNA(VLOOKUP($M675,[1]Buff.CM!$A:$O,14,FALSE),"")</f>
        <v/>
      </c>
      <c r="P675" s="234" t="str">
        <f>_xlfn.IFNA(VLOOKUP($M675,[1]Buff.CM!$A:$O,15,FALSE),"")</f>
        <v/>
      </c>
      <c r="Q675" s="234" t="b">
        <v>0</v>
      </c>
      <c r="R675" s="234" t="b">
        <v>0</v>
      </c>
    </row>
    <row r="676" spans="1:18" x14ac:dyDescent="0.3">
      <c r="A676" s="234" t="s">
        <v>3149</v>
      </c>
      <c r="B676" s="234" t="s">
        <v>487</v>
      </c>
      <c r="C676" s="234" t="s">
        <v>3145</v>
      </c>
      <c r="D676" s="234">
        <v>0</v>
      </c>
      <c r="E676" s="234">
        <v>0</v>
      </c>
      <c r="F676" s="234">
        <v>0</v>
      </c>
      <c r="G676" s="234" t="s">
        <v>3150</v>
      </c>
      <c r="H676" s="234"/>
      <c r="I676" s="234" t="b">
        <v>0</v>
      </c>
      <c r="J676" s="157" t="b">
        <v>1</v>
      </c>
      <c r="K676" s="234" t="b">
        <v>1</v>
      </c>
      <c r="L676" s="234"/>
      <c r="M676" s="234"/>
      <c r="N676" s="234" t="str">
        <f>_xlfn.IFNA(VLOOKUP($M676,[1]Buff.CM!$A:$O,13,FALSE),"")</f>
        <v/>
      </c>
      <c r="O676" s="234" t="str">
        <f>_xlfn.IFNA(VLOOKUP($M676,[1]Buff.CM!$A:$O,14,FALSE),"")</f>
        <v/>
      </c>
      <c r="P676" s="234" t="str">
        <f>_xlfn.IFNA(VLOOKUP($M676,[1]Buff.CM!$A:$O,15,FALSE),"")</f>
        <v/>
      </c>
      <c r="Q676" s="234" t="b">
        <v>0</v>
      </c>
      <c r="R676" s="234" t="b">
        <v>0</v>
      </c>
    </row>
    <row r="677" spans="1:18" x14ac:dyDescent="0.3">
      <c r="A677" s="232" t="s">
        <v>3151</v>
      </c>
      <c r="B677" s="232" t="s">
        <v>487</v>
      </c>
      <c r="C677" s="232" t="s">
        <v>3145</v>
      </c>
      <c r="D677" s="232">
        <v>0</v>
      </c>
      <c r="E677" s="232">
        <v>0</v>
      </c>
      <c r="F677" s="232">
        <v>0</v>
      </c>
      <c r="G677" s="232" t="s">
        <v>3152</v>
      </c>
      <c r="H677" s="232"/>
      <c r="I677" s="232" t="b">
        <v>0</v>
      </c>
      <c r="J677" s="157" t="b">
        <v>1</v>
      </c>
      <c r="K677" s="232" t="b">
        <v>1</v>
      </c>
      <c r="L677" s="232"/>
      <c r="M677" s="232"/>
      <c r="N677" s="232" t="str">
        <f>_xlfn.IFNA(VLOOKUP($M677,[1]Buff.CM!$A:$O,13,FALSE),"")</f>
        <v/>
      </c>
      <c r="O677" s="232" t="str">
        <f>_xlfn.IFNA(VLOOKUP($M677,[1]Buff.CM!$A:$O,14,FALSE),"")</f>
        <v/>
      </c>
      <c r="P677" s="232" t="str">
        <f>_xlfn.IFNA(VLOOKUP($M677,[1]Buff.CM!$A:$O,15,FALSE),"")</f>
        <v/>
      </c>
      <c r="Q677" s="232" t="b">
        <v>0</v>
      </c>
      <c r="R677" s="232" t="b">
        <v>0</v>
      </c>
    </row>
    <row r="678" spans="1:18" x14ac:dyDescent="0.3">
      <c r="A678" s="232" t="s">
        <v>3153</v>
      </c>
      <c r="B678" s="232" t="s">
        <v>487</v>
      </c>
      <c r="C678" s="232" t="s">
        <v>3145</v>
      </c>
      <c r="D678" s="232">
        <v>0</v>
      </c>
      <c r="E678" s="232">
        <v>0</v>
      </c>
      <c r="F678" s="232">
        <v>0</v>
      </c>
      <c r="G678" s="232" t="s">
        <v>3154</v>
      </c>
      <c r="H678" s="232"/>
      <c r="I678" s="232" t="b">
        <v>0</v>
      </c>
      <c r="J678" s="157" t="b">
        <v>1</v>
      </c>
      <c r="K678" s="232" t="b">
        <v>1</v>
      </c>
      <c r="L678" s="232"/>
      <c r="M678" s="232"/>
      <c r="N678" s="232" t="str">
        <f>_xlfn.IFNA(VLOOKUP($M678,[1]Buff.CM!$A:$O,13,FALSE),"")</f>
        <v/>
      </c>
      <c r="O678" s="232" t="str">
        <f>_xlfn.IFNA(VLOOKUP($M678,[1]Buff.CM!$A:$O,14,FALSE),"")</f>
        <v/>
      </c>
      <c r="P678" s="232" t="str">
        <f>_xlfn.IFNA(VLOOKUP($M678,[1]Buff.CM!$A:$O,15,FALSE),"")</f>
        <v/>
      </c>
      <c r="Q678" s="232" t="b">
        <v>0</v>
      </c>
      <c r="R678" s="232" t="b">
        <v>0</v>
      </c>
    </row>
    <row r="679" spans="1:18" x14ac:dyDescent="0.3">
      <c r="A679" s="232" t="s">
        <v>3155</v>
      </c>
      <c r="B679" s="232" t="s">
        <v>487</v>
      </c>
      <c r="C679" s="232" t="s">
        <v>3145</v>
      </c>
      <c r="D679" s="232">
        <v>0</v>
      </c>
      <c r="E679" s="232">
        <v>0</v>
      </c>
      <c r="F679" s="232">
        <v>0</v>
      </c>
      <c r="G679" s="232" t="s">
        <v>3156</v>
      </c>
      <c r="H679" s="232"/>
      <c r="I679" s="232" t="b">
        <v>0</v>
      </c>
      <c r="J679" s="157" t="b">
        <v>1</v>
      </c>
      <c r="K679" s="232" t="b">
        <v>1</v>
      </c>
      <c r="L679" s="232"/>
      <c r="M679" s="232"/>
      <c r="N679" s="232" t="str">
        <f>_xlfn.IFNA(VLOOKUP($M679,[1]Buff.CM!$A:$O,13,FALSE),"")</f>
        <v/>
      </c>
      <c r="O679" s="232" t="str">
        <f>_xlfn.IFNA(VLOOKUP($M679,[1]Buff.CM!$A:$O,14,FALSE),"")</f>
        <v/>
      </c>
      <c r="P679" s="232" t="str">
        <f>_xlfn.IFNA(VLOOKUP($M679,[1]Buff.CM!$A:$O,15,FALSE),"")</f>
        <v/>
      </c>
      <c r="Q679" s="232" t="b">
        <v>0</v>
      </c>
      <c r="R679" s="232" t="b">
        <v>0</v>
      </c>
    </row>
    <row r="680" spans="1:18" ht="33" x14ac:dyDescent="0.3">
      <c r="A680" s="233" t="s">
        <v>3157</v>
      </c>
      <c r="B680" s="233"/>
      <c r="C680" s="233"/>
      <c r="D680" s="233">
        <v>5000</v>
      </c>
      <c r="E680" s="233">
        <v>0</v>
      </c>
      <c r="F680" s="233">
        <v>0</v>
      </c>
      <c r="G680" s="237" t="s">
        <v>3158</v>
      </c>
      <c r="H680" s="233"/>
      <c r="I680" s="233" t="b">
        <v>0</v>
      </c>
      <c r="J680" s="233" t="b">
        <v>0</v>
      </c>
      <c r="K680" s="233" t="b">
        <v>1</v>
      </c>
      <c r="L680" s="233" t="s">
        <v>247</v>
      </c>
      <c r="M680" s="233" t="s">
        <v>3371</v>
      </c>
      <c r="N680" s="233" t="str">
        <f>_xlfn.IFNA(VLOOKUP($M680,[1]Buff.CM!$A:$O,13,FALSE),"")</f>
        <v>icon_battle_hellen_buff_01</v>
      </c>
      <c r="O680" s="233" t="str">
        <f>_xlfn.IFNA(VLOOKUP($M680,[1]Buff.CM!$A:$O,14,FALSE),"")</f>
        <v>info.hellen.buff.perfume</v>
      </c>
      <c r="P680" s="233" t="str">
        <f>_xlfn.IFNA(VLOOKUP($M680,[1]Buff.CM!$A:$O,15,FALSE),"")</f>
        <v>Desc.info.hellen.buff.perfume</v>
      </c>
      <c r="Q680" s="233" t="b">
        <v>0</v>
      </c>
      <c r="R680" s="233" t="b">
        <v>0</v>
      </c>
    </row>
    <row r="681" spans="1:18" ht="33" x14ac:dyDescent="0.3">
      <c r="A681" s="233" t="s">
        <v>3159</v>
      </c>
      <c r="B681" s="233"/>
      <c r="C681" s="233"/>
      <c r="D681" s="233">
        <v>5000</v>
      </c>
      <c r="E681" s="233">
        <v>0</v>
      </c>
      <c r="F681" s="233">
        <v>0</v>
      </c>
      <c r="G681" s="237" t="s">
        <v>3160</v>
      </c>
      <c r="H681" s="233"/>
      <c r="I681" s="233" t="b">
        <v>0</v>
      </c>
      <c r="J681" s="233" t="b">
        <v>0</v>
      </c>
      <c r="K681" s="233" t="b">
        <v>1</v>
      </c>
      <c r="L681" s="233" t="s">
        <v>247</v>
      </c>
      <c r="M681" s="233" t="s">
        <v>3371</v>
      </c>
      <c r="N681" s="233" t="str">
        <f>_xlfn.IFNA(VLOOKUP($M681,[1]Buff.CM!$A:$O,13,FALSE),"")</f>
        <v>icon_battle_hellen_buff_01</v>
      </c>
      <c r="O681" s="233" t="str">
        <f>_xlfn.IFNA(VLOOKUP($M681,[1]Buff.CM!$A:$O,14,FALSE),"")</f>
        <v>info.hellen.buff.perfume</v>
      </c>
      <c r="P681" s="233" t="str">
        <f>_xlfn.IFNA(VLOOKUP($M681,[1]Buff.CM!$A:$O,15,FALSE),"")</f>
        <v>Desc.info.hellen.buff.perfume</v>
      </c>
      <c r="Q681" s="233" t="b">
        <v>0</v>
      </c>
      <c r="R681" s="233" t="b">
        <v>0</v>
      </c>
    </row>
    <row r="682" spans="1:18" ht="33" x14ac:dyDescent="0.3">
      <c r="A682" s="233" t="s">
        <v>3161</v>
      </c>
      <c r="B682" s="233"/>
      <c r="C682" s="233"/>
      <c r="D682" s="233">
        <v>5000</v>
      </c>
      <c r="E682" s="233">
        <v>0</v>
      </c>
      <c r="F682" s="233">
        <v>0</v>
      </c>
      <c r="G682" s="237" t="s">
        <v>3162</v>
      </c>
      <c r="H682" s="233"/>
      <c r="I682" s="233" t="b">
        <v>0</v>
      </c>
      <c r="J682" s="233" t="b">
        <v>0</v>
      </c>
      <c r="K682" s="233" t="b">
        <v>1</v>
      </c>
      <c r="L682" s="233" t="s">
        <v>247</v>
      </c>
      <c r="M682" s="233" t="s">
        <v>3371</v>
      </c>
      <c r="N682" s="233" t="str">
        <f>_xlfn.IFNA(VLOOKUP($M682,[1]Buff.CM!$A:$O,13,FALSE),"")</f>
        <v>icon_battle_hellen_buff_01</v>
      </c>
      <c r="O682" s="233" t="str">
        <f>_xlfn.IFNA(VLOOKUP($M682,[1]Buff.CM!$A:$O,14,FALSE),"")</f>
        <v>info.hellen.buff.perfume</v>
      </c>
      <c r="P682" s="233" t="str">
        <f>_xlfn.IFNA(VLOOKUP($M682,[1]Buff.CM!$A:$O,15,FALSE),"")</f>
        <v>Desc.info.hellen.buff.perfume</v>
      </c>
      <c r="Q682" s="233" t="b">
        <v>0</v>
      </c>
      <c r="R682" s="233" t="b">
        <v>0</v>
      </c>
    </row>
    <row r="683" spans="1:18" ht="33" x14ac:dyDescent="0.3">
      <c r="A683" s="232" t="s">
        <v>3163</v>
      </c>
      <c r="B683" s="232"/>
      <c r="C683" s="232"/>
      <c r="D683" s="232">
        <v>5000</v>
      </c>
      <c r="E683" s="232">
        <v>0</v>
      </c>
      <c r="F683" s="232">
        <v>0</v>
      </c>
      <c r="G683" s="238" t="s">
        <v>3164</v>
      </c>
      <c r="H683" s="232"/>
      <c r="I683" s="232" t="b">
        <v>0</v>
      </c>
      <c r="J683" s="232" t="b">
        <v>0</v>
      </c>
      <c r="K683" s="232" t="b">
        <v>1</v>
      </c>
      <c r="L683" s="232" t="s">
        <v>247</v>
      </c>
      <c r="M683" s="232" t="s">
        <v>3371</v>
      </c>
      <c r="N683" s="232" t="str">
        <f>_xlfn.IFNA(VLOOKUP($M683,[1]Buff.CM!$A:$O,13,FALSE),"")</f>
        <v>icon_battle_hellen_buff_01</v>
      </c>
      <c r="O683" s="232" t="str">
        <f>_xlfn.IFNA(VLOOKUP($M683,[1]Buff.CM!$A:$O,14,FALSE),"")</f>
        <v>info.hellen.buff.perfume</v>
      </c>
      <c r="P683" s="232" t="str">
        <f>_xlfn.IFNA(VLOOKUP($M683,[1]Buff.CM!$A:$O,15,FALSE),"")</f>
        <v>Desc.info.hellen.buff.perfume</v>
      </c>
      <c r="Q683" s="232" t="b">
        <v>0</v>
      </c>
      <c r="R683" s="232" t="b">
        <v>0</v>
      </c>
    </row>
    <row r="684" spans="1:18" ht="33" x14ac:dyDescent="0.3">
      <c r="A684" s="232" t="s">
        <v>3165</v>
      </c>
      <c r="B684" s="232"/>
      <c r="C684" s="232"/>
      <c r="D684" s="232">
        <v>5000</v>
      </c>
      <c r="E684" s="232">
        <v>0</v>
      </c>
      <c r="F684" s="232">
        <v>0</v>
      </c>
      <c r="G684" s="238" t="s">
        <v>3166</v>
      </c>
      <c r="H684" s="232"/>
      <c r="I684" s="232" t="b">
        <v>0</v>
      </c>
      <c r="J684" s="232" t="b">
        <v>0</v>
      </c>
      <c r="K684" s="232" t="b">
        <v>1</v>
      </c>
      <c r="L684" s="232" t="s">
        <v>247</v>
      </c>
      <c r="M684" s="232" t="s">
        <v>3371</v>
      </c>
      <c r="N684" s="232" t="str">
        <f>_xlfn.IFNA(VLOOKUP($M684,[1]Buff.CM!$A:$O,13,FALSE),"")</f>
        <v>icon_battle_hellen_buff_01</v>
      </c>
      <c r="O684" s="232" t="str">
        <f>_xlfn.IFNA(VLOOKUP($M684,[1]Buff.CM!$A:$O,14,FALSE),"")</f>
        <v>info.hellen.buff.perfume</v>
      </c>
      <c r="P684" s="232" t="str">
        <f>_xlfn.IFNA(VLOOKUP($M684,[1]Buff.CM!$A:$O,15,FALSE),"")</f>
        <v>Desc.info.hellen.buff.perfume</v>
      </c>
      <c r="Q684" s="232" t="b">
        <v>0</v>
      </c>
      <c r="R684" s="232" t="b">
        <v>0</v>
      </c>
    </row>
    <row r="685" spans="1:18" ht="33" x14ac:dyDescent="0.3">
      <c r="A685" s="232" t="s">
        <v>3167</v>
      </c>
      <c r="B685" s="232"/>
      <c r="C685" s="232"/>
      <c r="D685" s="232">
        <v>5000</v>
      </c>
      <c r="E685" s="232">
        <v>0</v>
      </c>
      <c r="F685" s="232">
        <v>0</v>
      </c>
      <c r="G685" s="238" t="s">
        <v>3168</v>
      </c>
      <c r="H685" s="232"/>
      <c r="I685" s="232" t="b">
        <v>0</v>
      </c>
      <c r="J685" s="232" t="b">
        <v>0</v>
      </c>
      <c r="K685" s="232" t="b">
        <v>1</v>
      </c>
      <c r="L685" s="232" t="s">
        <v>247</v>
      </c>
      <c r="M685" s="232" t="s">
        <v>3371</v>
      </c>
      <c r="N685" s="232" t="str">
        <f>_xlfn.IFNA(VLOOKUP($M685,[1]Buff.CM!$A:$O,13,FALSE),"")</f>
        <v>icon_battle_hellen_buff_01</v>
      </c>
      <c r="O685" s="232" t="str">
        <f>_xlfn.IFNA(VLOOKUP($M685,[1]Buff.CM!$A:$O,14,FALSE),"")</f>
        <v>info.hellen.buff.perfume</v>
      </c>
      <c r="P685" s="232" t="str">
        <f>_xlfn.IFNA(VLOOKUP($M685,[1]Buff.CM!$A:$O,15,FALSE),"")</f>
        <v>Desc.info.hellen.buff.perfume</v>
      </c>
      <c r="Q685" s="232" t="b">
        <v>0</v>
      </c>
      <c r="R685" s="232" t="b">
        <v>0</v>
      </c>
    </row>
    <row r="686" spans="1:18" x14ac:dyDescent="0.3">
      <c r="A686" s="232" t="s">
        <v>3145</v>
      </c>
      <c r="B686" s="232"/>
      <c r="C686" s="232"/>
      <c r="D686" s="232">
        <v>0</v>
      </c>
      <c r="E686" s="232">
        <v>0</v>
      </c>
      <c r="F686" s="232">
        <v>0</v>
      </c>
      <c r="G686" s="232" t="s">
        <v>173</v>
      </c>
      <c r="H686" s="232"/>
      <c r="I686" s="232" t="b">
        <v>0</v>
      </c>
      <c r="J686" s="157" t="b">
        <v>1</v>
      </c>
      <c r="K686" s="232" t="b">
        <v>1</v>
      </c>
      <c r="L686" s="232"/>
      <c r="M686" s="232"/>
      <c r="N686" s="232" t="str">
        <f>_xlfn.IFNA(VLOOKUP($M686,[1]Buff.CM!$A:$O,13,FALSE),"")</f>
        <v/>
      </c>
      <c r="O686" s="232" t="str">
        <f>_xlfn.IFNA(VLOOKUP($M686,[1]Buff.CM!$A:$O,14,FALSE),"")</f>
        <v/>
      </c>
      <c r="P686" s="232" t="str">
        <f>_xlfn.IFNA(VLOOKUP($M686,[1]Buff.CM!$A:$O,15,FALSE),"")</f>
        <v/>
      </c>
      <c r="Q686" s="232" t="b">
        <v>0</v>
      </c>
      <c r="R686" s="232" t="b">
        <v>0</v>
      </c>
    </row>
    <row r="687" spans="1:18" x14ac:dyDescent="0.3">
      <c r="A687" s="233" t="s">
        <v>3169</v>
      </c>
      <c r="B687" s="233"/>
      <c r="C687" s="233"/>
      <c r="D687" s="233">
        <v>0</v>
      </c>
      <c r="E687" s="233">
        <v>0</v>
      </c>
      <c r="F687" s="233">
        <v>0</v>
      </c>
      <c r="G687" s="237" t="s">
        <v>173</v>
      </c>
      <c r="H687" s="233"/>
      <c r="I687" s="233" t="b">
        <v>0</v>
      </c>
      <c r="J687" s="157" t="b">
        <v>1</v>
      </c>
      <c r="K687" s="233" t="b">
        <v>1</v>
      </c>
      <c r="L687" s="233"/>
      <c r="M687" s="233"/>
      <c r="N687" s="233" t="str">
        <f>_xlfn.IFNA(VLOOKUP($M687,[1]Buff.CM!$A:$O,13,FALSE),"")</f>
        <v/>
      </c>
      <c r="O687" s="233" t="str">
        <f>_xlfn.IFNA(VLOOKUP($M687,[1]Buff.CM!$A:$O,14,FALSE),"")</f>
        <v/>
      </c>
      <c r="P687" s="233" t="str">
        <f>_xlfn.IFNA(VLOOKUP($M687,[1]Buff.CM!$A:$O,15,FALSE),"")</f>
        <v/>
      </c>
      <c r="Q687" s="233" t="b">
        <v>0</v>
      </c>
      <c r="R687" s="233" t="b">
        <v>0</v>
      </c>
    </row>
    <row r="688" spans="1:18" x14ac:dyDescent="0.3">
      <c r="A688" s="233" t="s">
        <v>3170</v>
      </c>
      <c r="B688" s="233"/>
      <c r="C688" s="233"/>
      <c r="D688" s="233">
        <v>0</v>
      </c>
      <c r="E688" s="233">
        <v>0</v>
      </c>
      <c r="F688" s="233">
        <v>0</v>
      </c>
      <c r="G688" s="237" t="s">
        <v>173</v>
      </c>
      <c r="H688" s="233"/>
      <c r="I688" s="233" t="b">
        <v>0</v>
      </c>
      <c r="J688" s="157" t="b">
        <v>1</v>
      </c>
      <c r="K688" s="233" t="b">
        <v>1</v>
      </c>
      <c r="L688" s="233"/>
      <c r="M688" s="233"/>
      <c r="N688" s="233" t="str">
        <f>_xlfn.IFNA(VLOOKUP($M688,[1]Buff.CM!$A:$O,13,FALSE),"")</f>
        <v/>
      </c>
      <c r="O688" s="233" t="str">
        <f>_xlfn.IFNA(VLOOKUP($M688,[1]Buff.CM!$A:$O,14,FALSE),"")</f>
        <v/>
      </c>
      <c r="P688" s="233" t="str">
        <f>_xlfn.IFNA(VLOOKUP($M688,[1]Buff.CM!$A:$O,15,FALSE),"")</f>
        <v/>
      </c>
      <c r="Q688" s="233" t="b">
        <v>0</v>
      </c>
      <c r="R688" s="233" t="b">
        <v>0</v>
      </c>
    </row>
    <row r="689" spans="1:18" x14ac:dyDescent="0.3">
      <c r="A689" s="233" t="s">
        <v>3171</v>
      </c>
      <c r="B689" s="233"/>
      <c r="C689" s="233"/>
      <c r="D689" s="233">
        <v>0</v>
      </c>
      <c r="E689" s="233">
        <v>0</v>
      </c>
      <c r="F689" s="233">
        <v>0</v>
      </c>
      <c r="G689" s="237" t="s">
        <v>173</v>
      </c>
      <c r="H689" s="233"/>
      <c r="I689" s="233" t="b">
        <v>0</v>
      </c>
      <c r="J689" s="157" t="b">
        <v>1</v>
      </c>
      <c r="K689" s="233" t="b">
        <v>1</v>
      </c>
      <c r="L689" s="233"/>
      <c r="M689" s="233"/>
      <c r="N689" s="233" t="str">
        <f>_xlfn.IFNA(VLOOKUP($M689,[1]Buff.CM!$A:$O,13,FALSE),"")</f>
        <v/>
      </c>
      <c r="O689" s="233" t="str">
        <f>_xlfn.IFNA(VLOOKUP($M689,[1]Buff.CM!$A:$O,14,FALSE),"")</f>
        <v/>
      </c>
      <c r="P689" s="233" t="str">
        <f>_xlfn.IFNA(VLOOKUP($M689,[1]Buff.CM!$A:$O,15,FALSE),"")</f>
        <v/>
      </c>
      <c r="Q689" s="233" t="b">
        <v>0</v>
      </c>
      <c r="R689" s="233" t="b">
        <v>0</v>
      </c>
    </row>
    <row r="690" spans="1:18" x14ac:dyDescent="0.3">
      <c r="A690" s="232" t="s">
        <v>3172</v>
      </c>
      <c r="B690" s="232"/>
      <c r="C690" s="232"/>
      <c r="D690" s="232">
        <v>0</v>
      </c>
      <c r="E690" s="232">
        <v>0</v>
      </c>
      <c r="F690" s="232">
        <v>0</v>
      </c>
      <c r="G690" s="238" t="s">
        <v>173</v>
      </c>
      <c r="H690" s="232"/>
      <c r="I690" s="232" t="b">
        <v>0</v>
      </c>
      <c r="J690" s="157" t="b">
        <v>1</v>
      </c>
      <c r="K690" s="232" t="b">
        <v>1</v>
      </c>
      <c r="L690" s="232"/>
      <c r="M690" s="232"/>
      <c r="N690" s="232" t="str">
        <f>_xlfn.IFNA(VLOOKUP($M690,[1]Buff.CM!$A:$O,13,FALSE),"")</f>
        <v/>
      </c>
      <c r="O690" s="232" t="str">
        <f>_xlfn.IFNA(VLOOKUP($M690,[1]Buff.CM!$A:$O,14,FALSE),"")</f>
        <v/>
      </c>
      <c r="P690" s="232" t="str">
        <f>_xlfn.IFNA(VLOOKUP($M690,[1]Buff.CM!$A:$O,15,FALSE),"")</f>
        <v/>
      </c>
      <c r="Q690" s="232" t="b">
        <v>0</v>
      </c>
      <c r="R690" s="232" t="b">
        <v>0</v>
      </c>
    </row>
    <row r="691" spans="1:18" x14ac:dyDescent="0.3">
      <c r="A691" s="232" t="s">
        <v>3173</v>
      </c>
      <c r="B691" s="232"/>
      <c r="C691" s="232"/>
      <c r="D691" s="232">
        <v>0</v>
      </c>
      <c r="E691" s="232">
        <v>0</v>
      </c>
      <c r="F691" s="232">
        <v>0</v>
      </c>
      <c r="G691" s="238" t="s">
        <v>173</v>
      </c>
      <c r="H691" s="232"/>
      <c r="I691" s="232" t="b">
        <v>0</v>
      </c>
      <c r="J691" s="157" t="b">
        <v>1</v>
      </c>
      <c r="K691" s="232" t="b">
        <v>1</v>
      </c>
      <c r="L691" s="232"/>
      <c r="M691" s="232"/>
      <c r="N691" s="232" t="str">
        <f>_xlfn.IFNA(VLOOKUP($M691,[1]Buff.CM!$A:$O,13,FALSE),"")</f>
        <v/>
      </c>
      <c r="O691" s="232" t="str">
        <f>_xlfn.IFNA(VLOOKUP($M691,[1]Buff.CM!$A:$O,14,FALSE),"")</f>
        <v/>
      </c>
      <c r="P691" s="232" t="str">
        <f>_xlfn.IFNA(VLOOKUP($M691,[1]Buff.CM!$A:$O,15,FALSE),"")</f>
        <v/>
      </c>
      <c r="Q691" s="232" t="b">
        <v>0</v>
      </c>
      <c r="R691" s="232" t="b">
        <v>0</v>
      </c>
    </row>
    <row r="692" spans="1:18" x14ac:dyDescent="0.3">
      <c r="A692" s="232" t="s">
        <v>3174</v>
      </c>
      <c r="B692" s="232"/>
      <c r="C692" s="232"/>
      <c r="D692" s="232">
        <v>0</v>
      </c>
      <c r="E692" s="232">
        <v>0</v>
      </c>
      <c r="F692" s="232">
        <v>0</v>
      </c>
      <c r="G692" s="238" t="s">
        <v>173</v>
      </c>
      <c r="H692" s="232"/>
      <c r="I692" s="232" t="b">
        <v>0</v>
      </c>
      <c r="J692" s="157" t="b">
        <v>1</v>
      </c>
      <c r="K692" s="232" t="b">
        <v>1</v>
      </c>
      <c r="L692" s="232"/>
      <c r="M692" s="232"/>
      <c r="N692" s="232" t="str">
        <f>_xlfn.IFNA(VLOOKUP($M692,[1]Buff.CM!$A:$O,13,FALSE),"")</f>
        <v/>
      </c>
      <c r="O692" s="232" t="str">
        <f>_xlfn.IFNA(VLOOKUP($M692,[1]Buff.CM!$A:$O,14,FALSE),"")</f>
        <v/>
      </c>
      <c r="P692" s="232" t="str">
        <f>_xlfn.IFNA(VLOOKUP($M692,[1]Buff.CM!$A:$O,15,FALSE),"")</f>
        <v/>
      </c>
      <c r="Q692" s="232" t="b">
        <v>0</v>
      </c>
      <c r="R692" s="232" t="b">
        <v>0</v>
      </c>
    </row>
    <row r="693" spans="1:18" ht="99" x14ac:dyDescent="0.3">
      <c r="A693" s="233" t="s">
        <v>3175</v>
      </c>
      <c r="B693" s="233"/>
      <c r="C693" s="233"/>
      <c r="D693" s="233">
        <v>0</v>
      </c>
      <c r="E693" s="233">
        <v>0</v>
      </c>
      <c r="F693" s="233">
        <v>0</v>
      </c>
      <c r="G693" s="237" t="s">
        <v>3176</v>
      </c>
      <c r="H693" s="233"/>
      <c r="I693" s="233" t="b">
        <v>0</v>
      </c>
      <c r="J693" s="157" t="b">
        <v>1</v>
      </c>
      <c r="K693" s="233" t="b">
        <v>1</v>
      </c>
      <c r="L693" s="233"/>
      <c r="M693" s="233"/>
      <c r="N693" s="233" t="str">
        <f>_xlfn.IFNA(VLOOKUP($M693,[1]Buff.CM!$A:$O,13,FALSE),"")</f>
        <v/>
      </c>
      <c r="O693" s="233" t="str">
        <f>_xlfn.IFNA(VLOOKUP($M693,[1]Buff.CM!$A:$O,14,FALSE),"")</f>
        <v/>
      </c>
      <c r="P693" s="233" t="str">
        <f>_xlfn.IFNA(VLOOKUP($M693,[1]Buff.CM!$A:$O,15,FALSE),"")</f>
        <v/>
      </c>
      <c r="Q693" s="233" t="b">
        <v>0</v>
      </c>
      <c r="R693" s="233" t="b">
        <v>0</v>
      </c>
    </row>
    <row r="694" spans="1:18" x14ac:dyDescent="0.3">
      <c r="A694" s="233" t="s">
        <v>3177</v>
      </c>
      <c r="B694" s="233" t="s">
        <v>487</v>
      </c>
      <c r="C694" s="233" t="s">
        <v>3169</v>
      </c>
      <c r="D694" s="233">
        <v>0</v>
      </c>
      <c r="E694" s="233">
        <v>0</v>
      </c>
      <c r="F694" s="233">
        <v>0</v>
      </c>
      <c r="G694" s="237" t="s">
        <v>3178</v>
      </c>
      <c r="H694" s="233"/>
      <c r="I694" s="233" t="b">
        <v>0</v>
      </c>
      <c r="J694" s="157" t="b">
        <v>0</v>
      </c>
      <c r="K694" s="233" t="b">
        <v>1</v>
      </c>
      <c r="L694" s="233"/>
      <c r="M694" s="233"/>
      <c r="N694" s="233" t="str">
        <f>_xlfn.IFNA(VLOOKUP($M694,[1]Buff.CM!$A:$O,13,FALSE),"")</f>
        <v/>
      </c>
      <c r="O694" s="233" t="str">
        <f>_xlfn.IFNA(VLOOKUP($M694,[1]Buff.CM!$A:$O,14,FALSE),"")</f>
        <v/>
      </c>
      <c r="P694" s="233" t="str">
        <f>_xlfn.IFNA(VLOOKUP($M694,[1]Buff.CM!$A:$O,15,FALSE),"")</f>
        <v/>
      </c>
      <c r="Q694" s="233" t="b">
        <v>0</v>
      </c>
      <c r="R694" s="233" t="b">
        <v>0</v>
      </c>
    </row>
    <row r="695" spans="1:18" x14ac:dyDescent="0.3">
      <c r="A695" s="233" t="s">
        <v>3179</v>
      </c>
      <c r="B695" s="233" t="s">
        <v>487</v>
      </c>
      <c r="C695" s="233" t="s">
        <v>3170</v>
      </c>
      <c r="D695" s="233">
        <v>0</v>
      </c>
      <c r="E695" s="233">
        <v>0</v>
      </c>
      <c r="F695" s="233">
        <v>0</v>
      </c>
      <c r="G695" s="237" t="s">
        <v>3180</v>
      </c>
      <c r="H695" s="233"/>
      <c r="I695" s="233" t="b">
        <v>0</v>
      </c>
      <c r="J695" s="157" t="b">
        <v>0</v>
      </c>
      <c r="K695" s="233" t="b">
        <v>1</v>
      </c>
      <c r="L695" s="233"/>
      <c r="M695" s="233"/>
      <c r="N695" s="233" t="str">
        <f>_xlfn.IFNA(VLOOKUP($M695,[1]Buff.CM!$A:$O,13,FALSE),"")</f>
        <v/>
      </c>
      <c r="O695" s="233" t="str">
        <f>_xlfn.IFNA(VLOOKUP($M695,[1]Buff.CM!$A:$O,14,FALSE),"")</f>
        <v/>
      </c>
      <c r="P695" s="233" t="str">
        <f>_xlfn.IFNA(VLOOKUP($M695,[1]Buff.CM!$A:$O,15,FALSE),"")</f>
        <v/>
      </c>
      <c r="Q695" s="233" t="b">
        <v>0</v>
      </c>
      <c r="R695" s="233" t="b">
        <v>0</v>
      </c>
    </row>
    <row r="696" spans="1:18" x14ac:dyDescent="0.3">
      <c r="A696" s="232" t="s">
        <v>3181</v>
      </c>
      <c r="B696" s="232" t="s">
        <v>487</v>
      </c>
      <c r="C696" s="232" t="s">
        <v>3171</v>
      </c>
      <c r="D696" s="232">
        <v>0</v>
      </c>
      <c r="E696" s="232">
        <v>0</v>
      </c>
      <c r="F696" s="232">
        <v>0</v>
      </c>
      <c r="G696" s="238" t="s">
        <v>3182</v>
      </c>
      <c r="H696" s="232"/>
      <c r="I696" s="232" t="b">
        <v>0</v>
      </c>
      <c r="J696" s="157" t="b">
        <v>0</v>
      </c>
      <c r="K696" s="232" t="b">
        <v>1</v>
      </c>
      <c r="L696" s="232"/>
      <c r="M696" s="232"/>
      <c r="N696" s="232" t="str">
        <f>_xlfn.IFNA(VLOOKUP($M696,[1]Buff.CM!$A:$O,13,FALSE),"")</f>
        <v/>
      </c>
      <c r="O696" s="232" t="str">
        <f>_xlfn.IFNA(VLOOKUP($M696,[1]Buff.CM!$A:$O,14,FALSE),"")</f>
        <v/>
      </c>
      <c r="P696" s="232" t="str">
        <f>_xlfn.IFNA(VLOOKUP($M696,[1]Buff.CM!$A:$O,15,FALSE),"")</f>
        <v/>
      </c>
      <c r="Q696" s="232" t="b">
        <v>0</v>
      </c>
      <c r="R696" s="232" t="b">
        <v>0</v>
      </c>
    </row>
    <row r="697" spans="1:18" x14ac:dyDescent="0.3">
      <c r="A697" s="232" t="s">
        <v>3183</v>
      </c>
      <c r="B697" s="232" t="s">
        <v>487</v>
      </c>
      <c r="C697" s="232" t="s">
        <v>3172</v>
      </c>
      <c r="D697" s="232">
        <v>0</v>
      </c>
      <c r="E697" s="232">
        <v>0</v>
      </c>
      <c r="F697" s="232">
        <v>0</v>
      </c>
      <c r="G697" s="238" t="s">
        <v>3184</v>
      </c>
      <c r="H697" s="232"/>
      <c r="I697" s="232" t="b">
        <v>0</v>
      </c>
      <c r="J697" s="157" t="b">
        <v>0</v>
      </c>
      <c r="K697" s="232" t="b">
        <v>1</v>
      </c>
      <c r="L697" s="232"/>
      <c r="M697" s="232"/>
      <c r="N697" s="232" t="str">
        <f>_xlfn.IFNA(VLOOKUP($M697,[1]Buff.CM!$A:$O,13,FALSE),"")</f>
        <v/>
      </c>
      <c r="O697" s="232" t="str">
        <f>_xlfn.IFNA(VLOOKUP($M697,[1]Buff.CM!$A:$O,14,FALSE),"")</f>
        <v/>
      </c>
      <c r="P697" s="232" t="str">
        <f>_xlfn.IFNA(VLOOKUP($M697,[1]Buff.CM!$A:$O,15,FALSE),"")</f>
        <v/>
      </c>
      <c r="Q697" s="232" t="b">
        <v>0</v>
      </c>
      <c r="R697" s="232" t="b">
        <v>0</v>
      </c>
    </row>
    <row r="698" spans="1:18" x14ac:dyDescent="0.3">
      <c r="A698" s="232" t="s">
        <v>3185</v>
      </c>
      <c r="B698" s="232" t="s">
        <v>487</v>
      </c>
      <c r="C698" s="232" t="s">
        <v>3173</v>
      </c>
      <c r="D698" s="232">
        <v>0</v>
      </c>
      <c r="E698" s="232">
        <v>0</v>
      </c>
      <c r="F698" s="232">
        <v>0</v>
      </c>
      <c r="G698" s="238" t="s">
        <v>3186</v>
      </c>
      <c r="H698" s="232"/>
      <c r="I698" s="232" t="b">
        <v>0</v>
      </c>
      <c r="J698" s="157" t="b">
        <v>0</v>
      </c>
      <c r="K698" s="232" t="b">
        <v>1</v>
      </c>
      <c r="L698" s="232"/>
      <c r="M698" s="232"/>
      <c r="N698" s="232" t="str">
        <f>_xlfn.IFNA(VLOOKUP($M698,[1]Buff.CM!$A:$O,13,FALSE),"")</f>
        <v/>
      </c>
      <c r="O698" s="232" t="str">
        <f>_xlfn.IFNA(VLOOKUP($M698,[1]Buff.CM!$A:$O,14,FALSE),"")</f>
        <v/>
      </c>
      <c r="P698" s="232" t="str">
        <f>_xlfn.IFNA(VLOOKUP($M698,[1]Buff.CM!$A:$O,15,FALSE),"")</f>
        <v/>
      </c>
      <c r="Q698" s="232" t="b">
        <v>0</v>
      </c>
      <c r="R698" s="232" t="b">
        <v>0</v>
      </c>
    </row>
    <row r="699" spans="1:18" x14ac:dyDescent="0.3">
      <c r="A699" s="232" t="s">
        <v>3187</v>
      </c>
      <c r="B699" s="232" t="s">
        <v>487</v>
      </c>
      <c r="C699" s="232" t="s">
        <v>3174</v>
      </c>
      <c r="D699" s="232">
        <v>0</v>
      </c>
      <c r="E699" s="232">
        <v>0</v>
      </c>
      <c r="F699" s="232">
        <v>0</v>
      </c>
      <c r="G699" s="232" t="s">
        <v>3188</v>
      </c>
      <c r="H699" s="232"/>
      <c r="I699" s="232" t="b">
        <v>0</v>
      </c>
      <c r="J699" s="232" t="b">
        <v>0</v>
      </c>
      <c r="K699" s="232" t="b">
        <v>1</v>
      </c>
      <c r="L699" s="232"/>
      <c r="M699" s="232"/>
      <c r="N699" s="232" t="str">
        <f>_xlfn.IFNA(VLOOKUP($M699,[1]Buff.CM!$A:$O,13,FALSE),"")</f>
        <v/>
      </c>
      <c r="O699" s="232" t="str">
        <f>_xlfn.IFNA(VLOOKUP($M699,[1]Buff.CM!$A:$O,14,FALSE),"")</f>
        <v/>
      </c>
      <c r="P699" s="232" t="str">
        <f>_xlfn.IFNA(VLOOKUP($M699,[1]Buff.CM!$A:$O,15,FALSE),"")</f>
        <v/>
      </c>
      <c r="Q699" s="232" t="b">
        <v>0</v>
      </c>
      <c r="R699" s="232" t="b">
        <v>0</v>
      </c>
    </row>
    <row r="700" spans="1:18" x14ac:dyDescent="0.3">
      <c r="A700" s="241" t="s">
        <v>3269</v>
      </c>
      <c r="B700" s="241"/>
      <c r="C700" s="241"/>
      <c r="D700" s="241">
        <v>0</v>
      </c>
      <c r="E700" s="241">
        <v>0</v>
      </c>
      <c r="F700" s="241">
        <v>0</v>
      </c>
      <c r="G700" s="241" t="s">
        <v>173</v>
      </c>
      <c r="H700" s="241"/>
      <c r="I700" s="241" t="b">
        <v>1</v>
      </c>
      <c r="J700" s="241" t="b">
        <v>0</v>
      </c>
      <c r="K700" s="241" t="b">
        <v>1</v>
      </c>
      <c r="L700" s="241"/>
      <c r="M700" s="241"/>
      <c r="N700" s="241" t="str">
        <f>_xlfn.IFNA(VLOOKUP($M700,[1]Buff.CM!$A:$O,13,FALSE),"")</f>
        <v/>
      </c>
      <c r="O700" s="241" t="str">
        <f>_xlfn.IFNA(VLOOKUP($M700,[1]Buff.CM!$A:$O,14,FALSE),"")</f>
        <v/>
      </c>
      <c r="P700" s="241" t="str">
        <f>_xlfn.IFNA(VLOOKUP($M700,[1]Buff.CM!$A:$O,15,FALSE),"")</f>
        <v/>
      </c>
      <c r="Q700" s="241" t="b">
        <v>0</v>
      </c>
      <c r="R700" s="241" t="b">
        <v>0</v>
      </c>
    </row>
    <row r="701" spans="1:18" x14ac:dyDescent="0.3">
      <c r="A701" s="236" t="s">
        <v>3270</v>
      </c>
      <c r="B701" s="236"/>
      <c r="C701" s="236"/>
      <c r="D701" s="236">
        <v>1500</v>
      </c>
      <c r="E701" s="236">
        <v>0</v>
      </c>
      <c r="F701" s="236">
        <v>0</v>
      </c>
      <c r="G701" s="236" t="s">
        <v>2253</v>
      </c>
      <c r="H701" s="236"/>
      <c r="I701" s="236" t="b">
        <v>0</v>
      </c>
      <c r="J701" s="236" t="b">
        <v>0</v>
      </c>
      <c r="K701" s="236" t="b">
        <v>1</v>
      </c>
      <c r="L701" s="236" t="s">
        <v>63</v>
      </c>
      <c r="M701" s="236" t="s">
        <v>2253</v>
      </c>
      <c r="N701" s="236" t="str">
        <f>_xlfn.IFNA(VLOOKUP($M701,[1]Buff.CM!$A:$O,13,FALSE),"")</f>
        <v>icon_battle_attack</v>
      </c>
      <c r="O701" s="236" t="str">
        <f>_xlfn.IFNA(VLOOKUP($M701,[1]Buff.CM!$A:$O,14,FALSE),"")</f>
        <v>Buff.Name.Atk.Up.02</v>
      </c>
      <c r="P701" s="236" t="str">
        <f>_xlfn.IFNA(VLOOKUP($M701,[1]Buff.CM!$A:$O,15,FALSE),"")</f>
        <v>Buff.Desc.Atk.Up.02</v>
      </c>
      <c r="Q701" s="236" t="b">
        <v>0</v>
      </c>
      <c r="R701" s="236" t="b">
        <v>0</v>
      </c>
    </row>
    <row r="702" spans="1:18" x14ac:dyDescent="0.3">
      <c r="A702" s="236" t="s">
        <v>3271</v>
      </c>
      <c r="B702" s="236"/>
      <c r="C702" s="236"/>
      <c r="D702" s="236">
        <v>1500</v>
      </c>
      <c r="E702" s="236">
        <v>0</v>
      </c>
      <c r="F702" s="236">
        <v>0</v>
      </c>
      <c r="G702" s="236" t="s">
        <v>2253</v>
      </c>
      <c r="H702" s="236"/>
      <c r="I702" s="236" t="b">
        <v>0</v>
      </c>
      <c r="J702" s="236" t="b">
        <v>0</v>
      </c>
      <c r="K702" s="236" t="b">
        <v>1</v>
      </c>
      <c r="L702" s="236" t="s">
        <v>63</v>
      </c>
      <c r="M702" s="236" t="s">
        <v>2253</v>
      </c>
      <c r="N702" s="236" t="str">
        <f>_xlfn.IFNA(VLOOKUP($M702,[1]Buff.CM!$A:$O,13,FALSE),"")</f>
        <v>icon_battle_attack</v>
      </c>
      <c r="O702" s="236" t="str">
        <f>_xlfn.IFNA(VLOOKUP($M702,[1]Buff.CM!$A:$O,14,FALSE),"")</f>
        <v>Buff.Name.Atk.Up.02</v>
      </c>
      <c r="P702" s="236" t="str">
        <f>_xlfn.IFNA(VLOOKUP($M702,[1]Buff.CM!$A:$O,15,FALSE),"")</f>
        <v>Buff.Desc.Atk.Up.02</v>
      </c>
      <c r="Q702" s="236" t="b">
        <v>0</v>
      </c>
      <c r="R702" s="236" t="b">
        <v>0</v>
      </c>
    </row>
    <row r="703" spans="1:18" x14ac:dyDescent="0.3">
      <c r="A703" s="236" t="s">
        <v>3272</v>
      </c>
      <c r="B703" s="236"/>
      <c r="C703" s="236"/>
      <c r="D703" s="236">
        <v>1500</v>
      </c>
      <c r="E703" s="236">
        <v>0</v>
      </c>
      <c r="F703" s="236">
        <v>0</v>
      </c>
      <c r="G703" s="236" t="s">
        <v>2254</v>
      </c>
      <c r="H703" s="236"/>
      <c r="I703" s="236" t="b">
        <v>0</v>
      </c>
      <c r="J703" s="236" t="b">
        <v>0</v>
      </c>
      <c r="K703" s="236" t="b">
        <v>1</v>
      </c>
      <c r="L703" s="236" t="s">
        <v>63</v>
      </c>
      <c r="M703" s="236" t="s">
        <v>2254</v>
      </c>
      <c r="N703" s="236" t="str">
        <f>_xlfn.IFNA(VLOOKUP($M703,[1]Buff.CM!$A:$O,13,FALSE),"")</f>
        <v>icon_battle_attack</v>
      </c>
      <c r="O703" s="236" t="str">
        <f>_xlfn.IFNA(VLOOKUP($M703,[1]Buff.CM!$A:$O,14,FALSE),"")</f>
        <v>Buff.Name.Atk.Up.03</v>
      </c>
      <c r="P703" s="236" t="str">
        <f>_xlfn.IFNA(VLOOKUP($M703,[1]Buff.CM!$A:$O,15,FALSE),"")</f>
        <v>Buff.Desc.Atk.Up.03</v>
      </c>
      <c r="Q703" s="236" t="b">
        <v>0</v>
      </c>
      <c r="R703" s="236" t="b">
        <v>0</v>
      </c>
    </row>
    <row r="704" spans="1:18" x14ac:dyDescent="0.3">
      <c r="A704" s="236" t="s">
        <v>3273</v>
      </c>
      <c r="B704" s="236"/>
      <c r="C704" s="236"/>
      <c r="D704" s="236">
        <v>1500</v>
      </c>
      <c r="E704" s="236">
        <v>0</v>
      </c>
      <c r="F704" s="236">
        <v>0</v>
      </c>
      <c r="G704" s="236" t="s">
        <v>2254</v>
      </c>
      <c r="H704" s="236"/>
      <c r="I704" s="236" t="b">
        <v>0</v>
      </c>
      <c r="J704" s="236" t="b">
        <v>0</v>
      </c>
      <c r="K704" s="236" t="b">
        <v>1</v>
      </c>
      <c r="L704" s="236" t="s">
        <v>63</v>
      </c>
      <c r="M704" s="236" t="s">
        <v>2254</v>
      </c>
      <c r="N704" s="236" t="str">
        <f>_xlfn.IFNA(VLOOKUP($M704,[1]Buff.CM!$A:$O,13,FALSE),"")</f>
        <v>icon_battle_attack</v>
      </c>
      <c r="O704" s="236" t="str">
        <f>_xlfn.IFNA(VLOOKUP($M704,[1]Buff.CM!$A:$O,14,FALSE),"")</f>
        <v>Buff.Name.Atk.Up.03</v>
      </c>
      <c r="P704" s="236" t="str">
        <f>_xlfn.IFNA(VLOOKUP($M704,[1]Buff.CM!$A:$O,15,FALSE),"")</f>
        <v>Buff.Desc.Atk.Up.03</v>
      </c>
      <c r="Q704" s="236" t="b">
        <v>0</v>
      </c>
      <c r="R704" s="236" t="b">
        <v>0</v>
      </c>
    </row>
    <row r="705" spans="1:18" x14ac:dyDescent="0.3">
      <c r="A705" s="236" t="s">
        <v>3274</v>
      </c>
      <c r="B705" s="236"/>
      <c r="C705" s="236"/>
      <c r="D705" s="236">
        <v>1500</v>
      </c>
      <c r="E705" s="236">
        <v>0</v>
      </c>
      <c r="F705" s="236">
        <v>0</v>
      </c>
      <c r="G705" s="236" t="s">
        <v>2265</v>
      </c>
      <c r="H705" s="236"/>
      <c r="I705" s="236" t="b">
        <v>0</v>
      </c>
      <c r="J705" s="236" t="b">
        <v>0</v>
      </c>
      <c r="K705" s="236" t="b">
        <v>1</v>
      </c>
      <c r="L705" s="236" t="s">
        <v>63</v>
      </c>
      <c r="M705" s="236" t="s">
        <v>2265</v>
      </c>
      <c r="N705" s="236" t="str">
        <f>_xlfn.IFNA(VLOOKUP($M705,[1]Buff.CM!$A:$O,13,FALSE),"")</f>
        <v>icon_battle_attack</v>
      </c>
      <c r="O705" s="236" t="str">
        <f>_xlfn.IFNA(VLOOKUP($M705,[1]Buff.CM!$A:$O,14,FALSE),"")</f>
        <v>Buff.Name.Atk.Up.04</v>
      </c>
      <c r="P705" s="236" t="str">
        <f>_xlfn.IFNA(VLOOKUP($M705,[1]Buff.CM!$A:$O,15,FALSE),"")</f>
        <v>Buff.Desc.Atk.Up.04</v>
      </c>
      <c r="Q705" s="236" t="b">
        <v>0</v>
      </c>
      <c r="R705" s="236" t="b">
        <v>0</v>
      </c>
    </row>
    <row r="706" spans="1:18" x14ac:dyDescent="0.3">
      <c r="A706" s="232" t="s">
        <v>3275</v>
      </c>
      <c r="B706" s="232"/>
      <c r="C706" s="232"/>
      <c r="D706" s="232">
        <v>1500</v>
      </c>
      <c r="E706" s="232">
        <v>0</v>
      </c>
      <c r="F706" s="232">
        <v>0</v>
      </c>
      <c r="G706" s="232" t="s">
        <v>2265</v>
      </c>
      <c r="H706" s="232"/>
      <c r="I706" s="232" t="b">
        <v>0</v>
      </c>
      <c r="J706" s="232" t="b">
        <v>0</v>
      </c>
      <c r="K706" s="232" t="b">
        <v>1</v>
      </c>
      <c r="L706" s="232" t="s">
        <v>63</v>
      </c>
      <c r="M706" s="232" t="s">
        <v>2265</v>
      </c>
      <c r="N706" s="232" t="str">
        <f>_xlfn.IFNA(VLOOKUP($M706,[1]Buff.CM!$A:$O,13,FALSE),"")</f>
        <v>icon_battle_attack</v>
      </c>
      <c r="O706" s="232" t="str">
        <f>_xlfn.IFNA(VLOOKUP($M706,[1]Buff.CM!$A:$O,14,FALSE),"")</f>
        <v>Buff.Name.Atk.Up.04</v>
      </c>
      <c r="P706" s="232" t="str">
        <f>_xlfn.IFNA(VLOOKUP($M706,[1]Buff.CM!$A:$O,15,FALSE),"")</f>
        <v>Buff.Desc.Atk.Up.04</v>
      </c>
      <c r="Q706" s="232" t="b">
        <v>0</v>
      </c>
      <c r="R706" s="232" t="b">
        <v>0</v>
      </c>
    </row>
    <row r="707" spans="1:18" x14ac:dyDescent="0.3">
      <c r="A707" s="232" t="s">
        <v>3276</v>
      </c>
      <c r="B707" s="232"/>
      <c r="C707" s="232"/>
      <c r="D707" s="232">
        <v>1500</v>
      </c>
      <c r="E707" s="232">
        <v>0</v>
      </c>
      <c r="F707" s="232">
        <v>0</v>
      </c>
      <c r="G707" s="232" t="s">
        <v>2265</v>
      </c>
      <c r="H707" s="232"/>
      <c r="I707" s="232" t="b">
        <v>0</v>
      </c>
      <c r="J707" s="232" t="b">
        <v>0</v>
      </c>
      <c r="K707" s="232" t="b">
        <v>1</v>
      </c>
      <c r="L707" s="232" t="s">
        <v>63</v>
      </c>
      <c r="M707" s="232" t="s">
        <v>2265</v>
      </c>
      <c r="N707" s="232" t="str">
        <f>_xlfn.IFNA(VLOOKUP($M707,[1]Buff.CM!$A:$O,13,FALSE),"")</f>
        <v>icon_battle_attack</v>
      </c>
      <c r="O707" s="232" t="str">
        <f>_xlfn.IFNA(VLOOKUP($M707,[1]Buff.CM!$A:$O,14,FALSE),"")</f>
        <v>Buff.Name.Atk.Up.04</v>
      </c>
      <c r="P707" s="232" t="str">
        <f>_xlfn.IFNA(VLOOKUP($M707,[1]Buff.CM!$A:$O,15,FALSE),"")</f>
        <v>Buff.Desc.Atk.Up.04</v>
      </c>
      <c r="Q707" s="232" t="b">
        <v>0</v>
      </c>
      <c r="R707" s="232" t="b">
        <v>0</v>
      </c>
    </row>
    <row r="708" spans="1:18" x14ac:dyDescent="0.3">
      <c r="A708" s="239" t="s">
        <v>3277</v>
      </c>
      <c r="B708" s="239"/>
      <c r="C708" s="239"/>
      <c r="D708" s="239">
        <v>1500</v>
      </c>
      <c r="E708" s="239">
        <v>0</v>
      </c>
      <c r="F708" s="239">
        <v>0</v>
      </c>
      <c r="G708" s="239" t="s">
        <v>2258</v>
      </c>
      <c r="H708" s="239"/>
      <c r="I708" s="239" t="b">
        <v>0</v>
      </c>
      <c r="J708" s="239" t="b">
        <v>0</v>
      </c>
      <c r="K708" s="239" t="b">
        <v>0</v>
      </c>
      <c r="L708" s="239" t="s">
        <v>55</v>
      </c>
      <c r="M708" s="239" t="s">
        <v>2258</v>
      </c>
      <c r="N708" s="239" t="str">
        <f>_xlfn.IFNA(VLOOKUP($M708,[1]Buff.CM!$A:$O,13,FALSE),"")</f>
        <v>icon_battle_attack</v>
      </c>
      <c r="O708" s="239" t="str">
        <f>_xlfn.IFNA(VLOOKUP($M708,[1]Buff.CM!$A:$O,14,FALSE),"")</f>
        <v>Buff.Name.Atk.Down.03</v>
      </c>
      <c r="P708" s="239" t="str">
        <f>_xlfn.IFNA(VLOOKUP($M708,[1]Buff.CM!$A:$O,15,FALSE),"")</f>
        <v>Buff.Desc.Atk.Down.03</v>
      </c>
      <c r="Q708" s="239" t="b">
        <v>0</v>
      </c>
      <c r="R708" s="239" t="b">
        <v>0</v>
      </c>
    </row>
    <row r="709" spans="1:18" x14ac:dyDescent="0.3">
      <c r="A709" s="239" t="s">
        <v>3278</v>
      </c>
      <c r="B709" s="239"/>
      <c r="C709" s="239"/>
      <c r="D709" s="239">
        <v>1500</v>
      </c>
      <c r="E709" s="239">
        <v>0</v>
      </c>
      <c r="F709" s="239">
        <v>0</v>
      </c>
      <c r="G709" s="239" t="s">
        <v>2258</v>
      </c>
      <c r="H709" s="239"/>
      <c r="I709" s="239" t="b">
        <v>0</v>
      </c>
      <c r="J709" s="239" t="b">
        <v>0</v>
      </c>
      <c r="K709" s="239" t="b">
        <v>0</v>
      </c>
      <c r="L709" s="239" t="s">
        <v>55</v>
      </c>
      <c r="M709" s="239" t="s">
        <v>2258</v>
      </c>
      <c r="N709" s="239" t="str">
        <f>_xlfn.IFNA(VLOOKUP($M709,[1]Buff.CM!$A:$O,13,FALSE),"")</f>
        <v>icon_battle_attack</v>
      </c>
      <c r="O709" s="239" t="str">
        <f>_xlfn.IFNA(VLOOKUP($M709,[1]Buff.CM!$A:$O,14,FALSE),"")</f>
        <v>Buff.Name.Atk.Down.03</v>
      </c>
      <c r="P709" s="239" t="str">
        <f>_xlfn.IFNA(VLOOKUP($M709,[1]Buff.CM!$A:$O,15,FALSE),"")</f>
        <v>Buff.Desc.Atk.Down.03</v>
      </c>
      <c r="Q709" s="239" t="b">
        <v>0</v>
      </c>
      <c r="R709" s="239" t="b">
        <v>0</v>
      </c>
    </row>
    <row r="710" spans="1:18" x14ac:dyDescent="0.3">
      <c r="A710" s="239" t="s">
        <v>3279</v>
      </c>
      <c r="B710" s="239"/>
      <c r="C710" s="239"/>
      <c r="D710" s="239">
        <v>1500</v>
      </c>
      <c r="E710" s="239">
        <v>0</v>
      </c>
      <c r="F710" s="239">
        <v>0</v>
      </c>
      <c r="G710" s="239" t="s">
        <v>2259</v>
      </c>
      <c r="H710" s="239"/>
      <c r="I710" s="239" t="b">
        <v>0</v>
      </c>
      <c r="J710" s="239" t="b">
        <v>0</v>
      </c>
      <c r="K710" s="239" t="b">
        <v>0</v>
      </c>
      <c r="L710" s="239" t="s">
        <v>55</v>
      </c>
      <c r="M710" s="239" t="s">
        <v>2259</v>
      </c>
      <c r="N710" s="239" t="str">
        <f>_xlfn.IFNA(VLOOKUP($M710,[1]Buff.CM!$A:$O,13,FALSE),"")</f>
        <v>icon_battle_attack</v>
      </c>
      <c r="O710" s="239" t="str">
        <f>_xlfn.IFNA(VLOOKUP($M710,[1]Buff.CM!$A:$O,14,FALSE),"")</f>
        <v>Buff.Name.Atk.Down.04</v>
      </c>
      <c r="P710" s="239" t="str">
        <f>_xlfn.IFNA(VLOOKUP($M710,[1]Buff.CM!$A:$O,15,FALSE),"")</f>
        <v>Buff.Desc.Atk.Down.04</v>
      </c>
      <c r="Q710" s="239" t="b">
        <v>0</v>
      </c>
      <c r="R710" s="239" t="b">
        <v>0</v>
      </c>
    </row>
    <row r="711" spans="1:18" x14ac:dyDescent="0.3">
      <c r="A711" s="239" t="s">
        <v>3280</v>
      </c>
      <c r="B711" s="239"/>
      <c r="C711" s="239"/>
      <c r="D711" s="239">
        <v>1500</v>
      </c>
      <c r="E711" s="239">
        <v>0</v>
      </c>
      <c r="F711" s="239">
        <v>0</v>
      </c>
      <c r="G711" s="239" t="s">
        <v>2259</v>
      </c>
      <c r="H711" s="239"/>
      <c r="I711" s="239" t="b">
        <v>0</v>
      </c>
      <c r="J711" s="239" t="b">
        <v>0</v>
      </c>
      <c r="K711" s="239" t="b">
        <v>0</v>
      </c>
      <c r="L711" s="239" t="s">
        <v>55</v>
      </c>
      <c r="M711" s="239" t="s">
        <v>2259</v>
      </c>
      <c r="N711" s="239" t="str">
        <f>_xlfn.IFNA(VLOOKUP($M711,[1]Buff.CM!$A:$O,13,FALSE),"")</f>
        <v>icon_battle_attack</v>
      </c>
      <c r="O711" s="239" t="str">
        <f>_xlfn.IFNA(VLOOKUP($M711,[1]Buff.CM!$A:$O,14,FALSE),"")</f>
        <v>Buff.Name.Atk.Down.04</v>
      </c>
      <c r="P711" s="239" t="str">
        <f>_xlfn.IFNA(VLOOKUP($M711,[1]Buff.CM!$A:$O,15,FALSE),"")</f>
        <v>Buff.Desc.Atk.Down.04</v>
      </c>
      <c r="Q711" s="239" t="b">
        <v>0</v>
      </c>
      <c r="R711" s="239" t="b">
        <v>0</v>
      </c>
    </row>
    <row r="712" spans="1:18" x14ac:dyDescent="0.3">
      <c r="A712" s="239" t="s">
        <v>3281</v>
      </c>
      <c r="B712" s="239"/>
      <c r="C712" s="239"/>
      <c r="D712" s="239">
        <v>1500</v>
      </c>
      <c r="E712" s="239">
        <v>0</v>
      </c>
      <c r="F712" s="239">
        <v>0</v>
      </c>
      <c r="G712" s="239" t="s">
        <v>2259</v>
      </c>
      <c r="H712" s="239"/>
      <c r="I712" s="239" t="b">
        <v>0</v>
      </c>
      <c r="J712" s="239" t="b">
        <v>0</v>
      </c>
      <c r="K712" s="239" t="b">
        <v>0</v>
      </c>
      <c r="L712" s="239" t="s">
        <v>55</v>
      </c>
      <c r="M712" s="239" t="s">
        <v>2259</v>
      </c>
      <c r="N712" s="239" t="str">
        <f>_xlfn.IFNA(VLOOKUP($M712,[1]Buff.CM!$A:$O,13,FALSE),"")</f>
        <v>icon_battle_attack</v>
      </c>
      <c r="O712" s="239" t="str">
        <f>_xlfn.IFNA(VLOOKUP($M712,[1]Buff.CM!$A:$O,14,FALSE),"")</f>
        <v>Buff.Name.Atk.Down.04</v>
      </c>
      <c r="P712" s="239" t="str">
        <f>_xlfn.IFNA(VLOOKUP($M712,[1]Buff.CM!$A:$O,15,FALSE),"")</f>
        <v>Buff.Desc.Atk.Down.04</v>
      </c>
      <c r="Q712" s="239" t="b">
        <v>0</v>
      </c>
      <c r="R712" s="239" t="b">
        <v>0</v>
      </c>
    </row>
    <row r="713" spans="1:18" x14ac:dyDescent="0.3">
      <c r="A713" s="232" t="s">
        <v>3282</v>
      </c>
      <c r="B713" s="232"/>
      <c r="C713" s="232"/>
      <c r="D713" s="232">
        <v>1500</v>
      </c>
      <c r="E713" s="232">
        <v>0</v>
      </c>
      <c r="F713" s="232">
        <v>0</v>
      </c>
      <c r="G713" s="238" t="s">
        <v>2259</v>
      </c>
      <c r="H713" s="232"/>
      <c r="I713" s="232" t="b">
        <v>0</v>
      </c>
      <c r="J713" s="232" t="b">
        <v>0</v>
      </c>
      <c r="K713" s="232" t="b">
        <v>0</v>
      </c>
      <c r="L713" s="232" t="s">
        <v>55</v>
      </c>
      <c r="M713" s="238" t="s">
        <v>2259</v>
      </c>
      <c r="N713" s="232" t="str">
        <f>_xlfn.IFNA(VLOOKUP($M713,[1]Buff.CM!$A:$O,13,FALSE),"")</f>
        <v>icon_battle_attack</v>
      </c>
      <c r="O713" s="232" t="str">
        <f>_xlfn.IFNA(VLOOKUP($M713,[1]Buff.CM!$A:$O,14,FALSE),"")</f>
        <v>Buff.Name.Atk.Down.04</v>
      </c>
      <c r="P713" s="232" t="str">
        <f>_xlfn.IFNA(VLOOKUP($M713,[1]Buff.CM!$A:$O,15,FALSE),"")</f>
        <v>Buff.Desc.Atk.Down.04</v>
      </c>
      <c r="Q713" s="232" t="b">
        <v>0</v>
      </c>
      <c r="R713" s="232" t="b">
        <v>0</v>
      </c>
    </row>
    <row r="714" spans="1:18" x14ac:dyDescent="0.3">
      <c r="A714" s="254" t="s">
        <v>3283</v>
      </c>
      <c r="B714" s="232"/>
      <c r="C714" s="232"/>
      <c r="D714" s="232">
        <v>1500</v>
      </c>
      <c r="E714" s="232">
        <v>0</v>
      </c>
      <c r="F714" s="232">
        <v>0</v>
      </c>
      <c r="G714" s="238" t="s">
        <v>2259</v>
      </c>
      <c r="H714" s="232"/>
      <c r="I714" s="232" t="b">
        <v>0</v>
      </c>
      <c r="J714" s="232" t="b">
        <v>0</v>
      </c>
      <c r="K714" s="232" t="b">
        <v>0</v>
      </c>
      <c r="L714" s="232" t="s">
        <v>55</v>
      </c>
      <c r="M714" s="238" t="s">
        <v>2259</v>
      </c>
      <c r="N714" s="232" t="str">
        <f>_xlfn.IFNA(VLOOKUP($M714,[1]Buff.CM!$A:$O,13,FALSE),"")</f>
        <v>icon_battle_attack</v>
      </c>
      <c r="O714" s="232" t="str">
        <f>_xlfn.IFNA(VLOOKUP($M714,[1]Buff.CM!$A:$O,14,FALSE),"")</f>
        <v>Buff.Name.Atk.Down.04</v>
      </c>
      <c r="P714" s="232" t="str">
        <f>_xlfn.IFNA(VLOOKUP($M714,[1]Buff.CM!$A:$O,15,FALSE),"")</f>
        <v>Buff.Desc.Atk.Down.04</v>
      </c>
      <c r="Q714" s="232" t="b">
        <v>0</v>
      </c>
      <c r="R714" s="232" t="b">
        <v>0</v>
      </c>
    </row>
    <row r="715" spans="1:18" x14ac:dyDescent="0.3">
      <c r="A715" s="236" t="s">
        <v>3284</v>
      </c>
      <c r="B715" s="236"/>
      <c r="C715" s="236"/>
      <c r="D715" s="236">
        <v>1500</v>
      </c>
      <c r="E715" s="236">
        <v>0</v>
      </c>
      <c r="F715" s="236">
        <v>0</v>
      </c>
      <c r="G715" s="245" t="s">
        <v>2266</v>
      </c>
      <c r="H715" s="236"/>
      <c r="I715" s="236" t="b">
        <v>0</v>
      </c>
      <c r="J715" s="236" t="b">
        <v>0</v>
      </c>
      <c r="K715" s="236" t="b">
        <v>0</v>
      </c>
      <c r="L715" s="236" t="s">
        <v>463</v>
      </c>
      <c r="M715" s="245" t="s">
        <v>2266</v>
      </c>
      <c r="N715" s="236" t="str">
        <f>_xlfn.IFNA(VLOOKUP($M715,[1]Buff.CM!$A:$O,13,FALSE),"")</f>
        <v>icon_battle_defense</v>
      </c>
      <c r="O715" s="236" t="str">
        <f>_xlfn.IFNA(VLOOKUP($M715,[1]Buff.CM!$A:$O,14,FALSE),"")</f>
        <v>Buff.Name.Def.Down.03</v>
      </c>
      <c r="P715" s="236" t="str">
        <f>_xlfn.IFNA(VLOOKUP($M715,[1]Buff.CM!$A:$O,15,FALSE),"")</f>
        <v>Buff.Desc.Def.Down.03</v>
      </c>
      <c r="Q715" s="236" t="b">
        <v>0</v>
      </c>
      <c r="R715" s="236" t="b">
        <v>0</v>
      </c>
    </row>
    <row r="716" spans="1:18" x14ac:dyDescent="0.3">
      <c r="A716" s="236" t="s">
        <v>3285</v>
      </c>
      <c r="B716" s="236"/>
      <c r="C716" s="236"/>
      <c r="D716" s="236">
        <v>1500</v>
      </c>
      <c r="E716" s="236">
        <v>0</v>
      </c>
      <c r="F716" s="236">
        <v>0</v>
      </c>
      <c r="G716" s="245" t="s">
        <v>2266</v>
      </c>
      <c r="H716" s="236"/>
      <c r="I716" s="236" t="b">
        <v>0</v>
      </c>
      <c r="J716" s="236" t="b">
        <v>0</v>
      </c>
      <c r="K716" s="236" t="b">
        <v>0</v>
      </c>
      <c r="L716" s="236" t="s">
        <v>463</v>
      </c>
      <c r="M716" s="245" t="s">
        <v>2266</v>
      </c>
      <c r="N716" s="236" t="str">
        <f>_xlfn.IFNA(VLOOKUP($M716,[1]Buff.CM!$A:$O,13,FALSE),"")</f>
        <v>icon_battle_defense</v>
      </c>
      <c r="O716" s="236" t="str">
        <f>_xlfn.IFNA(VLOOKUP($M716,[1]Buff.CM!$A:$O,14,FALSE),"")</f>
        <v>Buff.Name.Def.Down.03</v>
      </c>
      <c r="P716" s="236" t="str">
        <f>_xlfn.IFNA(VLOOKUP($M716,[1]Buff.CM!$A:$O,15,FALSE),"")</f>
        <v>Buff.Desc.Def.Down.03</v>
      </c>
      <c r="Q716" s="236" t="b">
        <v>0</v>
      </c>
      <c r="R716" s="236" t="b">
        <v>0</v>
      </c>
    </row>
    <row r="717" spans="1:18" x14ac:dyDescent="0.3">
      <c r="A717" s="236" t="s">
        <v>3286</v>
      </c>
      <c r="B717" s="236"/>
      <c r="C717" s="236"/>
      <c r="D717" s="236">
        <v>1500</v>
      </c>
      <c r="E717" s="236">
        <v>0</v>
      </c>
      <c r="F717" s="236">
        <v>0</v>
      </c>
      <c r="G717" s="245" t="s">
        <v>2256</v>
      </c>
      <c r="H717" s="236"/>
      <c r="I717" s="236" t="b">
        <v>0</v>
      </c>
      <c r="J717" s="236" t="b">
        <v>0</v>
      </c>
      <c r="K717" s="236" t="b">
        <v>0</v>
      </c>
      <c r="L717" s="236" t="s">
        <v>463</v>
      </c>
      <c r="M717" s="245" t="s">
        <v>2256</v>
      </c>
      <c r="N717" s="236" t="str">
        <f>_xlfn.IFNA(VLOOKUP($M717,[1]Buff.CM!$A:$O,13,FALSE),"")</f>
        <v>icon_battle_defense</v>
      </c>
      <c r="O717" s="236" t="str">
        <f>_xlfn.IFNA(VLOOKUP($M717,[1]Buff.CM!$A:$O,14,FALSE),"")</f>
        <v>Buff.Name.Def.Down.04</v>
      </c>
      <c r="P717" s="236" t="str">
        <f>_xlfn.IFNA(VLOOKUP($M717,[1]Buff.CM!$A:$O,15,FALSE),"")</f>
        <v>Buff.Desc.Def.Down.04</v>
      </c>
      <c r="Q717" s="236" t="b">
        <v>0</v>
      </c>
      <c r="R717" s="236" t="b">
        <v>0</v>
      </c>
    </row>
    <row r="718" spans="1:18" x14ac:dyDescent="0.3">
      <c r="A718" s="236" t="s">
        <v>3287</v>
      </c>
      <c r="B718" s="236"/>
      <c r="C718" s="236"/>
      <c r="D718" s="236">
        <v>1500</v>
      </c>
      <c r="E718" s="236">
        <v>0</v>
      </c>
      <c r="F718" s="236">
        <v>0</v>
      </c>
      <c r="G718" s="245" t="s">
        <v>2256</v>
      </c>
      <c r="H718" s="236"/>
      <c r="I718" s="236" t="b">
        <v>0</v>
      </c>
      <c r="J718" s="236" t="b">
        <v>0</v>
      </c>
      <c r="K718" s="236" t="b">
        <v>0</v>
      </c>
      <c r="L718" s="236" t="s">
        <v>463</v>
      </c>
      <c r="M718" s="245" t="s">
        <v>2256</v>
      </c>
      <c r="N718" s="236" t="str">
        <f>_xlfn.IFNA(VLOOKUP($M718,[1]Buff.CM!$A:$O,13,FALSE),"")</f>
        <v>icon_battle_defense</v>
      </c>
      <c r="O718" s="236" t="str">
        <f>_xlfn.IFNA(VLOOKUP($M718,[1]Buff.CM!$A:$O,14,FALSE),"")</f>
        <v>Buff.Name.Def.Down.04</v>
      </c>
      <c r="P718" s="236" t="str">
        <f>_xlfn.IFNA(VLOOKUP($M718,[1]Buff.CM!$A:$O,15,FALSE),"")</f>
        <v>Buff.Desc.Def.Down.04</v>
      </c>
      <c r="Q718" s="236" t="b">
        <v>0</v>
      </c>
      <c r="R718" s="236" t="b">
        <v>0</v>
      </c>
    </row>
    <row r="719" spans="1:18" x14ac:dyDescent="0.3">
      <c r="A719" s="236" t="s">
        <v>3288</v>
      </c>
      <c r="B719" s="236"/>
      <c r="C719" s="236"/>
      <c r="D719" s="236">
        <v>1500</v>
      </c>
      <c r="E719" s="236">
        <v>0</v>
      </c>
      <c r="F719" s="236">
        <v>0</v>
      </c>
      <c r="G719" s="245" t="s">
        <v>2256</v>
      </c>
      <c r="H719" s="236"/>
      <c r="I719" s="236" t="b">
        <v>0</v>
      </c>
      <c r="J719" s="236" t="b">
        <v>0</v>
      </c>
      <c r="K719" s="236" t="b">
        <v>0</v>
      </c>
      <c r="L719" s="236" t="s">
        <v>463</v>
      </c>
      <c r="M719" s="245" t="s">
        <v>2256</v>
      </c>
      <c r="N719" s="236" t="str">
        <f>_xlfn.IFNA(VLOOKUP($M719,[1]Buff.CM!$A:$O,13,FALSE),"")</f>
        <v>icon_battle_defense</v>
      </c>
      <c r="O719" s="236" t="str">
        <f>_xlfn.IFNA(VLOOKUP($M719,[1]Buff.CM!$A:$O,14,FALSE),"")</f>
        <v>Buff.Name.Def.Down.04</v>
      </c>
      <c r="P719" s="236" t="str">
        <f>_xlfn.IFNA(VLOOKUP($M719,[1]Buff.CM!$A:$O,15,FALSE),"")</f>
        <v>Buff.Desc.Def.Down.04</v>
      </c>
      <c r="Q719" s="236" t="b">
        <v>0</v>
      </c>
      <c r="R719" s="236" t="b">
        <v>0</v>
      </c>
    </row>
    <row r="720" spans="1:18" x14ac:dyDescent="0.3">
      <c r="A720" s="232" t="s">
        <v>3289</v>
      </c>
      <c r="B720" s="232"/>
      <c r="C720" s="232"/>
      <c r="D720" s="232">
        <v>1500</v>
      </c>
      <c r="E720" s="232">
        <v>0</v>
      </c>
      <c r="F720" s="232">
        <v>0</v>
      </c>
      <c r="G720" s="238" t="s">
        <v>2256</v>
      </c>
      <c r="H720" s="232"/>
      <c r="I720" s="232" t="b">
        <v>0</v>
      </c>
      <c r="J720" s="232" t="b">
        <v>0</v>
      </c>
      <c r="K720" s="232" t="b">
        <v>0</v>
      </c>
      <c r="L720" s="232" t="s">
        <v>463</v>
      </c>
      <c r="M720" s="238" t="s">
        <v>2256</v>
      </c>
      <c r="N720" s="232" t="str">
        <f>_xlfn.IFNA(VLOOKUP($M720,[1]Buff.CM!$A:$O,13,FALSE),"")</f>
        <v>icon_battle_defense</v>
      </c>
      <c r="O720" s="232" t="str">
        <f>_xlfn.IFNA(VLOOKUP($M720,[1]Buff.CM!$A:$O,14,FALSE),"")</f>
        <v>Buff.Name.Def.Down.04</v>
      </c>
      <c r="P720" s="232" t="str">
        <f>_xlfn.IFNA(VLOOKUP($M720,[1]Buff.CM!$A:$O,15,FALSE),"")</f>
        <v>Buff.Desc.Def.Down.04</v>
      </c>
      <c r="Q720" s="232" t="b">
        <v>0</v>
      </c>
      <c r="R720" s="232" t="b">
        <v>0</v>
      </c>
    </row>
    <row r="721" spans="1:18" x14ac:dyDescent="0.3">
      <c r="A721" s="232" t="s">
        <v>3290</v>
      </c>
      <c r="B721" s="232"/>
      <c r="C721" s="232"/>
      <c r="D721" s="232">
        <v>1500</v>
      </c>
      <c r="E721" s="232">
        <v>0</v>
      </c>
      <c r="F721" s="232">
        <v>0</v>
      </c>
      <c r="G721" s="238" t="s">
        <v>2256</v>
      </c>
      <c r="H721" s="232"/>
      <c r="I721" s="232" t="b">
        <v>0</v>
      </c>
      <c r="J721" s="232" t="b">
        <v>0</v>
      </c>
      <c r="K721" s="232" t="b">
        <v>0</v>
      </c>
      <c r="L721" s="232" t="s">
        <v>463</v>
      </c>
      <c r="M721" s="238" t="s">
        <v>2256</v>
      </c>
      <c r="N721" s="232" t="str">
        <f>_xlfn.IFNA(VLOOKUP($M721,[1]Buff.CM!$A:$O,13,FALSE),"")</f>
        <v>icon_battle_defense</v>
      </c>
      <c r="O721" s="232" t="str">
        <f>_xlfn.IFNA(VLOOKUP($M721,[1]Buff.CM!$A:$O,14,FALSE),"")</f>
        <v>Buff.Name.Def.Down.04</v>
      </c>
      <c r="P721" s="232" t="str">
        <f>_xlfn.IFNA(VLOOKUP($M721,[1]Buff.CM!$A:$O,15,FALSE),"")</f>
        <v>Buff.Desc.Def.Down.04</v>
      </c>
      <c r="Q721" s="232" t="b">
        <v>0</v>
      </c>
      <c r="R721" s="232" t="b">
        <v>0</v>
      </c>
    </row>
    <row r="722" spans="1:18" x14ac:dyDescent="0.3">
      <c r="A722" s="239" t="s">
        <v>3291</v>
      </c>
      <c r="B722" s="239"/>
      <c r="C722" s="239"/>
      <c r="D722" s="239">
        <v>7000</v>
      </c>
      <c r="E722" s="239">
        <v>0</v>
      </c>
      <c r="F722" s="239">
        <v>0</v>
      </c>
      <c r="G722" s="255" t="s">
        <v>2267</v>
      </c>
      <c r="H722" s="239"/>
      <c r="I722" s="239" t="b">
        <v>0</v>
      </c>
      <c r="J722" s="239" t="b">
        <v>0</v>
      </c>
      <c r="K722" s="239" t="b">
        <v>0</v>
      </c>
      <c r="L722" s="239" t="s">
        <v>463</v>
      </c>
      <c r="M722" s="255" t="s">
        <v>2267</v>
      </c>
      <c r="N722" s="239" t="str">
        <f>_xlfn.IFNA(VLOOKUP($M722,[1]Buff.CM!$A:$O,13,FALSE),"")</f>
        <v>icon_battle_defense</v>
      </c>
      <c r="O722" s="239" t="str">
        <f>_xlfn.IFNA(VLOOKUP($M722,[1]Buff.CM!$A:$O,14,FALSE),"")</f>
        <v>Buff.Name.Def.Down.02</v>
      </c>
      <c r="P722" s="239" t="str">
        <f>_xlfn.IFNA(VLOOKUP($M722,[1]Buff.CM!$A:$O,15,FALSE),"")</f>
        <v>Buff.Desc.Def.Down.02</v>
      </c>
      <c r="Q722" s="239" t="b">
        <v>0</v>
      </c>
      <c r="R722" s="239" t="b">
        <v>0</v>
      </c>
    </row>
    <row r="723" spans="1:18" x14ac:dyDescent="0.3">
      <c r="A723" s="239" t="s">
        <v>3292</v>
      </c>
      <c r="B723" s="239"/>
      <c r="C723" s="239"/>
      <c r="D723" s="239">
        <v>7000</v>
      </c>
      <c r="E723" s="239">
        <v>0</v>
      </c>
      <c r="F723" s="239">
        <v>0</v>
      </c>
      <c r="G723" s="255" t="s">
        <v>2266</v>
      </c>
      <c r="H723" s="239"/>
      <c r="I723" s="239" t="b">
        <v>0</v>
      </c>
      <c r="J723" s="239" t="b">
        <v>0</v>
      </c>
      <c r="K723" s="239" t="b">
        <v>0</v>
      </c>
      <c r="L723" s="239" t="s">
        <v>463</v>
      </c>
      <c r="M723" s="255" t="s">
        <v>2266</v>
      </c>
      <c r="N723" s="239" t="str">
        <f>_xlfn.IFNA(VLOOKUP($M723,[1]Buff.CM!$A:$O,13,FALSE),"")</f>
        <v>icon_battle_defense</v>
      </c>
      <c r="O723" s="239" t="str">
        <f>_xlfn.IFNA(VLOOKUP($M723,[1]Buff.CM!$A:$O,14,FALSE),"")</f>
        <v>Buff.Name.Def.Down.03</v>
      </c>
      <c r="P723" s="239" t="str">
        <f>_xlfn.IFNA(VLOOKUP($M723,[1]Buff.CM!$A:$O,15,FALSE),"")</f>
        <v>Buff.Desc.Def.Down.03</v>
      </c>
      <c r="Q723" s="239" t="b">
        <v>0</v>
      </c>
      <c r="R723" s="239" t="b">
        <v>0</v>
      </c>
    </row>
    <row r="724" spans="1:18" x14ac:dyDescent="0.3">
      <c r="A724" s="239" t="s">
        <v>3293</v>
      </c>
      <c r="B724" s="239"/>
      <c r="C724" s="239"/>
      <c r="D724" s="239">
        <v>8000</v>
      </c>
      <c r="E724" s="239">
        <v>0</v>
      </c>
      <c r="F724" s="239">
        <v>0</v>
      </c>
      <c r="G724" s="255" t="s">
        <v>2266</v>
      </c>
      <c r="H724" s="239"/>
      <c r="I724" s="239" t="b">
        <v>0</v>
      </c>
      <c r="J724" s="239" t="b">
        <v>0</v>
      </c>
      <c r="K724" s="239" t="b">
        <v>0</v>
      </c>
      <c r="L724" s="239" t="s">
        <v>463</v>
      </c>
      <c r="M724" s="255" t="s">
        <v>2266</v>
      </c>
      <c r="N724" s="239" t="str">
        <f>_xlfn.IFNA(VLOOKUP($M724,[1]Buff.CM!$A:$O,13,FALSE),"")</f>
        <v>icon_battle_defense</v>
      </c>
      <c r="O724" s="239" t="str">
        <f>_xlfn.IFNA(VLOOKUP($M724,[1]Buff.CM!$A:$O,14,FALSE),"")</f>
        <v>Buff.Name.Def.Down.03</v>
      </c>
      <c r="P724" s="239" t="str">
        <f>_xlfn.IFNA(VLOOKUP($M724,[1]Buff.CM!$A:$O,15,FALSE),"")</f>
        <v>Buff.Desc.Def.Down.03</v>
      </c>
      <c r="Q724" s="239" t="b">
        <v>0</v>
      </c>
      <c r="R724" s="239" t="b">
        <v>0</v>
      </c>
    </row>
    <row r="725" spans="1:18" x14ac:dyDescent="0.3">
      <c r="A725" s="239" t="s">
        <v>3294</v>
      </c>
      <c r="B725" s="239"/>
      <c r="C725" s="239"/>
      <c r="D725" s="239">
        <v>8000</v>
      </c>
      <c r="E725" s="239">
        <v>0</v>
      </c>
      <c r="F725" s="239">
        <v>0</v>
      </c>
      <c r="G725" s="255" t="s">
        <v>2256</v>
      </c>
      <c r="H725" s="239"/>
      <c r="I725" s="239" t="b">
        <v>0</v>
      </c>
      <c r="J725" s="239" t="b">
        <v>0</v>
      </c>
      <c r="K725" s="239" t="b">
        <v>0</v>
      </c>
      <c r="L725" s="239" t="s">
        <v>463</v>
      </c>
      <c r="M725" s="255" t="s">
        <v>2256</v>
      </c>
      <c r="N725" s="239" t="str">
        <f>_xlfn.IFNA(VLOOKUP($M725,[1]Buff.CM!$A:$O,13,FALSE),"")</f>
        <v>icon_battle_defense</v>
      </c>
      <c r="O725" s="239" t="str">
        <f>_xlfn.IFNA(VLOOKUP($M725,[1]Buff.CM!$A:$O,14,FALSE),"")</f>
        <v>Buff.Name.Def.Down.04</v>
      </c>
      <c r="P725" s="239" t="str">
        <f>_xlfn.IFNA(VLOOKUP($M725,[1]Buff.CM!$A:$O,15,FALSE),"")</f>
        <v>Buff.Desc.Def.Down.04</v>
      </c>
      <c r="Q725" s="239" t="b">
        <v>0</v>
      </c>
      <c r="R725" s="239" t="b">
        <v>0</v>
      </c>
    </row>
    <row r="726" spans="1:18" x14ac:dyDescent="0.3">
      <c r="A726" s="232" t="s">
        <v>3295</v>
      </c>
      <c r="B726" s="232"/>
      <c r="C726" s="232"/>
      <c r="D726" s="232">
        <v>6000</v>
      </c>
      <c r="E726" s="232">
        <v>0</v>
      </c>
      <c r="F726" s="232">
        <v>0</v>
      </c>
      <c r="G726" s="238" t="s">
        <v>2256</v>
      </c>
      <c r="H726" s="232"/>
      <c r="I726" s="232" t="b">
        <v>0</v>
      </c>
      <c r="J726" s="232" t="b">
        <v>0</v>
      </c>
      <c r="K726" s="232" t="b">
        <v>0</v>
      </c>
      <c r="L726" s="232" t="s">
        <v>463</v>
      </c>
      <c r="M726" s="238" t="s">
        <v>2256</v>
      </c>
      <c r="N726" s="232" t="str">
        <f>_xlfn.IFNA(VLOOKUP($M726,[1]Buff.CM!$A:$O,13,FALSE),"")</f>
        <v>icon_battle_defense</v>
      </c>
      <c r="O726" s="232" t="str">
        <f>_xlfn.IFNA(VLOOKUP($M726,[1]Buff.CM!$A:$O,14,FALSE),"")</f>
        <v>Buff.Name.Def.Down.04</v>
      </c>
      <c r="P726" s="232" t="str">
        <f>_xlfn.IFNA(VLOOKUP($M726,[1]Buff.CM!$A:$O,15,FALSE),"")</f>
        <v>Buff.Desc.Def.Down.04</v>
      </c>
      <c r="Q726" s="232" t="b">
        <v>0</v>
      </c>
      <c r="R726" s="232" t="b">
        <v>0</v>
      </c>
    </row>
    <row r="727" spans="1:18" x14ac:dyDescent="0.3">
      <c r="A727" s="232" t="s">
        <v>3296</v>
      </c>
      <c r="B727" s="232"/>
      <c r="C727" s="232"/>
      <c r="D727" s="232">
        <v>6000</v>
      </c>
      <c r="E727" s="232">
        <v>0</v>
      </c>
      <c r="F727" s="232">
        <v>0</v>
      </c>
      <c r="G727" s="232" t="s">
        <v>2256</v>
      </c>
      <c r="H727" s="232"/>
      <c r="I727" s="232" t="b">
        <v>0</v>
      </c>
      <c r="J727" s="232" t="b">
        <v>0</v>
      </c>
      <c r="K727" s="232" t="b">
        <v>0</v>
      </c>
      <c r="L727" s="232" t="s">
        <v>463</v>
      </c>
      <c r="M727" s="232" t="s">
        <v>2256</v>
      </c>
      <c r="N727" s="232" t="str">
        <f>_xlfn.IFNA(VLOOKUP($M727,[1]Buff.CM!$A:$O,13,FALSE),"")</f>
        <v>icon_battle_defense</v>
      </c>
      <c r="O727" s="232" t="str">
        <f>_xlfn.IFNA(VLOOKUP($M727,[1]Buff.CM!$A:$O,14,FALSE),"")</f>
        <v>Buff.Name.Def.Down.04</v>
      </c>
      <c r="P727" s="232" t="str">
        <f>_xlfn.IFNA(VLOOKUP($M727,[1]Buff.CM!$A:$O,15,FALSE),"")</f>
        <v>Buff.Desc.Def.Down.04</v>
      </c>
      <c r="Q727" s="232" t="b">
        <v>0</v>
      </c>
      <c r="R727" s="232" t="b">
        <v>0</v>
      </c>
    </row>
    <row r="728" spans="1:18" x14ac:dyDescent="0.3">
      <c r="A728" s="236" t="s">
        <v>3297</v>
      </c>
      <c r="B728" s="236"/>
      <c r="C728" s="236"/>
      <c r="D728" s="236">
        <v>0</v>
      </c>
      <c r="E728" s="236">
        <v>0</v>
      </c>
      <c r="F728" s="236">
        <v>0</v>
      </c>
      <c r="G728" s="236" t="s">
        <v>3237</v>
      </c>
      <c r="H728" s="236"/>
      <c r="I728" s="236" t="b">
        <v>0</v>
      </c>
      <c r="J728" s="236" t="b">
        <v>1</v>
      </c>
      <c r="K728" s="236" t="b">
        <v>1</v>
      </c>
      <c r="L728" s="236"/>
      <c r="M728" s="236"/>
      <c r="N728" s="236" t="str">
        <f>_xlfn.IFNA(VLOOKUP($M728,[1]Buff.CM!$A:$O,13,FALSE),"")</f>
        <v/>
      </c>
      <c r="O728" s="236" t="str">
        <f>_xlfn.IFNA(VLOOKUP($M728,[1]Buff.CM!$A:$O,14,FALSE),"")</f>
        <v/>
      </c>
      <c r="P728" s="236" t="str">
        <f>_xlfn.IFNA(VLOOKUP($M728,[1]Buff.CM!$A:$O,15,FALSE),"")</f>
        <v/>
      </c>
      <c r="Q728" s="236" t="b">
        <v>0</v>
      </c>
      <c r="R728" s="236" t="b">
        <v>0</v>
      </c>
    </row>
    <row r="729" spans="1:18" x14ac:dyDescent="0.3">
      <c r="A729" s="236" t="s">
        <v>3298</v>
      </c>
      <c r="B729" s="236"/>
      <c r="C729" s="236"/>
      <c r="D729" s="236">
        <v>0</v>
      </c>
      <c r="E729" s="236">
        <v>0</v>
      </c>
      <c r="F729" s="236">
        <v>0</v>
      </c>
      <c r="G729" s="236" t="s">
        <v>3239</v>
      </c>
      <c r="H729" s="236"/>
      <c r="I729" s="236" t="b">
        <v>0</v>
      </c>
      <c r="J729" s="236" t="b">
        <v>1</v>
      </c>
      <c r="K729" s="236" t="b">
        <v>1</v>
      </c>
      <c r="L729" s="236"/>
      <c r="M729" s="236"/>
      <c r="N729" s="236" t="str">
        <f>_xlfn.IFNA(VLOOKUP($M729,[1]Buff.CM!$A:$O,13,FALSE),"")</f>
        <v/>
      </c>
      <c r="O729" s="236" t="str">
        <f>_xlfn.IFNA(VLOOKUP($M729,[1]Buff.CM!$A:$O,14,FALSE),"")</f>
        <v/>
      </c>
      <c r="P729" s="236" t="str">
        <f>_xlfn.IFNA(VLOOKUP($M729,[1]Buff.CM!$A:$O,15,FALSE),"")</f>
        <v/>
      </c>
      <c r="Q729" s="236" t="b">
        <v>0</v>
      </c>
      <c r="R729" s="236" t="b">
        <v>0</v>
      </c>
    </row>
    <row r="730" spans="1:18" x14ac:dyDescent="0.3">
      <c r="A730" s="236" t="s">
        <v>3299</v>
      </c>
      <c r="B730" s="236"/>
      <c r="C730" s="236"/>
      <c r="D730" s="236">
        <v>0</v>
      </c>
      <c r="E730" s="236">
        <v>0</v>
      </c>
      <c r="F730" s="236">
        <v>0</v>
      </c>
      <c r="G730" s="236" t="s">
        <v>3241</v>
      </c>
      <c r="H730" s="236"/>
      <c r="I730" s="236" t="b">
        <v>0</v>
      </c>
      <c r="J730" s="236" t="b">
        <v>1</v>
      </c>
      <c r="K730" s="236" t="b">
        <v>1</v>
      </c>
      <c r="L730" s="236"/>
      <c r="M730" s="236"/>
      <c r="N730" s="236" t="str">
        <f>_xlfn.IFNA(VLOOKUP($M730,[1]Buff.CM!$A:$O,13,FALSE),"")</f>
        <v/>
      </c>
      <c r="O730" s="236" t="str">
        <f>_xlfn.IFNA(VLOOKUP($M730,[1]Buff.CM!$A:$O,14,FALSE),"")</f>
        <v/>
      </c>
      <c r="P730" s="236" t="str">
        <f>_xlfn.IFNA(VLOOKUP($M730,[1]Buff.CM!$A:$O,15,FALSE),"")</f>
        <v/>
      </c>
      <c r="Q730" s="236" t="b">
        <v>0</v>
      </c>
      <c r="R730" s="236" t="b">
        <v>0</v>
      </c>
    </row>
    <row r="731" spans="1:18" x14ac:dyDescent="0.3">
      <c r="A731" s="236" t="s">
        <v>3300</v>
      </c>
      <c r="B731" s="236"/>
      <c r="C731" s="236"/>
      <c r="D731" s="236">
        <v>0</v>
      </c>
      <c r="E731" s="236">
        <v>0</v>
      </c>
      <c r="F731" s="236">
        <v>0</v>
      </c>
      <c r="G731" s="236" t="s">
        <v>3243</v>
      </c>
      <c r="H731" s="236"/>
      <c r="I731" s="236" t="b">
        <v>0</v>
      </c>
      <c r="J731" s="236" t="b">
        <v>1</v>
      </c>
      <c r="K731" s="236" t="b">
        <v>1</v>
      </c>
      <c r="L731" s="236"/>
      <c r="M731" s="236"/>
      <c r="N731" s="236" t="str">
        <f>_xlfn.IFNA(VLOOKUP($M731,[1]Buff.CM!$A:$O,13,FALSE),"")</f>
        <v/>
      </c>
      <c r="O731" s="236" t="str">
        <f>_xlfn.IFNA(VLOOKUP($M731,[1]Buff.CM!$A:$O,14,FALSE),"")</f>
        <v/>
      </c>
      <c r="P731" s="236" t="str">
        <f>_xlfn.IFNA(VLOOKUP($M731,[1]Buff.CM!$A:$O,15,FALSE),"")</f>
        <v/>
      </c>
      <c r="Q731" s="236" t="b">
        <v>0</v>
      </c>
      <c r="R731" s="236" t="b">
        <v>0</v>
      </c>
    </row>
    <row r="732" spans="1:18" x14ac:dyDescent="0.3">
      <c r="A732" s="236" t="s">
        <v>3301</v>
      </c>
      <c r="B732" s="236"/>
      <c r="C732" s="236"/>
      <c r="D732" s="236">
        <v>0</v>
      </c>
      <c r="E732" s="236">
        <v>0</v>
      </c>
      <c r="F732" s="236">
        <v>0</v>
      </c>
      <c r="G732" s="236" t="s">
        <v>3245</v>
      </c>
      <c r="H732" s="236"/>
      <c r="I732" s="236" t="b">
        <v>0</v>
      </c>
      <c r="J732" s="236" t="b">
        <v>1</v>
      </c>
      <c r="K732" s="236" t="b">
        <v>1</v>
      </c>
      <c r="L732" s="236"/>
      <c r="M732" s="236"/>
      <c r="N732" s="236" t="str">
        <f>_xlfn.IFNA(VLOOKUP($M732,[1]Buff.CM!$A:$O,13,FALSE),"")</f>
        <v/>
      </c>
      <c r="O732" s="236" t="str">
        <f>_xlfn.IFNA(VLOOKUP($M732,[1]Buff.CM!$A:$O,14,FALSE),"")</f>
        <v/>
      </c>
      <c r="P732" s="236" t="str">
        <f>_xlfn.IFNA(VLOOKUP($M732,[1]Buff.CM!$A:$O,15,FALSE),"")</f>
        <v/>
      </c>
      <c r="Q732" s="236" t="b">
        <v>0</v>
      </c>
      <c r="R732" s="236" t="b">
        <v>0</v>
      </c>
    </row>
    <row r="733" spans="1:18" x14ac:dyDescent="0.3">
      <c r="A733" s="232" t="s">
        <v>3302</v>
      </c>
      <c r="B733" s="232"/>
      <c r="C733" s="232"/>
      <c r="D733" s="232">
        <v>0</v>
      </c>
      <c r="E733" s="232">
        <v>0</v>
      </c>
      <c r="F733" s="232">
        <v>0</v>
      </c>
      <c r="G733" s="232" t="s">
        <v>3247</v>
      </c>
      <c r="H733" s="232"/>
      <c r="I733" s="232" t="b">
        <v>0</v>
      </c>
      <c r="J733" s="232" t="b">
        <v>1</v>
      </c>
      <c r="K733" s="232" t="b">
        <v>1</v>
      </c>
      <c r="L733" s="232"/>
      <c r="M733" s="232"/>
      <c r="N733" s="232" t="str">
        <f>_xlfn.IFNA(VLOOKUP($M733,[1]Buff.CM!$A:$O,13,FALSE),"")</f>
        <v/>
      </c>
      <c r="O733" s="232" t="str">
        <f>_xlfn.IFNA(VLOOKUP($M733,[1]Buff.CM!$A:$O,14,FALSE),"")</f>
        <v/>
      </c>
      <c r="P733" s="232" t="str">
        <f>_xlfn.IFNA(VLOOKUP($M733,[1]Buff.CM!$A:$O,15,FALSE),"")</f>
        <v/>
      </c>
      <c r="Q733" s="232" t="b">
        <v>0</v>
      </c>
      <c r="R733" s="232" t="b">
        <v>0</v>
      </c>
    </row>
    <row r="734" spans="1:18" x14ac:dyDescent="0.3">
      <c r="A734" s="239" t="s">
        <v>3238</v>
      </c>
      <c r="B734" s="239"/>
      <c r="C734" s="239"/>
      <c r="D734" s="239">
        <v>0</v>
      </c>
      <c r="E734" s="239">
        <v>0</v>
      </c>
      <c r="F734" s="239">
        <v>0</v>
      </c>
      <c r="G734" s="239" t="s">
        <v>3249</v>
      </c>
      <c r="H734" s="239"/>
      <c r="I734" s="239" t="b">
        <v>0</v>
      </c>
      <c r="J734" s="239" t="b">
        <v>1</v>
      </c>
      <c r="K734" s="239" t="b">
        <v>1</v>
      </c>
      <c r="L734" s="239"/>
      <c r="M734" s="239"/>
      <c r="N734" s="239" t="str">
        <f>_xlfn.IFNA(VLOOKUP($M734,[1]Buff.CM!$A:$O,13,FALSE),"")</f>
        <v/>
      </c>
      <c r="O734" s="239" t="str">
        <f>_xlfn.IFNA(VLOOKUP($M734,[1]Buff.CM!$A:$O,14,FALSE),"")</f>
        <v/>
      </c>
      <c r="P734" s="239" t="str">
        <f>_xlfn.IFNA(VLOOKUP($M734,[1]Buff.CM!$A:$O,15,FALSE),"")</f>
        <v/>
      </c>
      <c r="Q734" s="239" t="b">
        <v>0</v>
      </c>
      <c r="R734" s="239" t="b">
        <v>0</v>
      </c>
    </row>
    <row r="735" spans="1:18" x14ac:dyDescent="0.3">
      <c r="A735" s="239" t="s">
        <v>3240</v>
      </c>
      <c r="B735" s="239"/>
      <c r="C735" s="239"/>
      <c r="D735" s="239">
        <v>0</v>
      </c>
      <c r="E735" s="239">
        <v>0</v>
      </c>
      <c r="F735" s="239">
        <v>0</v>
      </c>
      <c r="G735" s="239" t="s">
        <v>3250</v>
      </c>
      <c r="H735" s="239"/>
      <c r="I735" s="239" t="b">
        <v>0</v>
      </c>
      <c r="J735" s="239" t="b">
        <v>1</v>
      </c>
      <c r="K735" s="239" t="b">
        <v>1</v>
      </c>
      <c r="L735" s="239"/>
      <c r="M735" s="239"/>
      <c r="N735" s="239" t="str">
        <f>_xlfn.IFNA(VLOOKUP($M735,[1]Buff.CM!$A:$O,13,FALSE),"")</f>
        <v/>
      </c>
      <c r="O735" s="239" t="str">
        <f>_xlfn.IFNA(VLOOKUP($M735,[1]Buff.CM!$A:$O,14,FALSE),"")</f>
        <v/>
      </c>
      <c r="P735" s="239" t="str">
        <f>_xlfn.IFNA(VLOOKUP($M735,[1]Buff.CM!$A:$O,15,FALSE),"")</f>
        <v/>
      </c>
      <c r="Q735" s="239" t="b">
        <v>0</v>
      </c>
      <c r="R735" s="239" t="b">
        <v>0</v>
      </c>
    </row>
    <row r="736" spans="1:18" x14ac:dyDescent="0.3">
      <c r="A736" s="239" t="s">
        <v>3242</v>
      </c>
      <c r="B736" s="239"/>
      <c r="C736" s="239"/>
      <c r="D736" s="239">
        <v>0</v>
      </c>
      <c r="E736" s="239">
        <v>0</v>
      </c>
      <c r="F736" s="239">
        <v>0</v>
      </c>
      <c r="G736" s="239" t="s">
        <v>3251</v>
      </c>
      <c r="H736" s="239"/>
      <c r="I736" s="239" t="b">
        <v>0</v>
      </c>
      <c r="J736" s="239" t="b">
        <v>1</v>
      </c>
      <c r="K736" s="239" t="b">
        <v>1</v>
      </c>
      <c r="L736" s="239"/>
      <c r="M736" s="239"/>
      <c r="N736" s="239" t="str">
        <f>_xlfn.IFNA(VLOOKUP($M736,[1]Buff.CM!$A:$O,13,FALSE),"")</f>
        <v/>
      </c>
      <c r="O736" s="239" t="str">
        <f>_xlfn.IFNA(VLOOKUP($M736,[1]Buff.CM!$A:$O,14,FALSE),"")</f>
        <v/>
      </c>
      <c r="P736" s="239" t="str">
        <f>_xlfn.IFNA(VLOOKUP($M736,[1]Buff.CM!$A:$O,15,FALSE),"")</f>
        <v/>
      </c>
      <c r="Q736" s="239" t="b">
        <v>0</v>
      </c>
      <c r="R736" s="239" t="b">
        <v>0</v>
      </c>
    </row>
    <row r="737" spans="1:18" x14ac:dyDescent="0.3">
      <c r="A737" s="239" t="s">
        <v>3244</v>
      </c>
      <c r="B737" s="239"/>
      <c r="C737" s="239"/>
      <c r="D737" s="239">
        <v>0</v>
      </c>
      <c r="E737" s="239">
        <v>0</v>
      </c>
      <c r="F737" s="239">
        <v>0</v>
      </c>
      <c r="G737" s="239" t="s">
        <v>3252</v>
      </c>
      <c r="H737" s="239"/>
      <c r="I737" s="239" t="b">
        <v>0</v>
      </c>
      <c r="J737" s="239" t="b">
        <v>1</v>
      </c>
      <c r="K737" s="239" t="b">
        <v>1</v>
      </c>
      <c r="L737" s="239"/>
      <c r="M737" s="239"/>
      <c r="N737" s="239" t="str">
        <f>_xlfn.IFNA(VLOOKUP($M737,[1]Buff.CM!$A:$O,13,FALSE),"")</f>
        <v/>
      </c>
      <c r="O737" s="239" t="str">
        <f>_xlfn.IFNA(VLOOKUP($M737,[1]Buff.CM!$A:$O,14,FALSE),"")</f>
        <v/>
      </c>
      <c r="P737" s="239" t="str">
        <f>_xlfn.IFNA(VLOOKUP($M737,[1]Buff.CM!$A:$O,15,FALSE),"")</f>
        <v/>
      </c>
      <c r="Q737" s="239" t="b">
        <v>0</v>
      </c>
      <c r="R737" s="239" t="b">
        <v>0</v>
      </c>
    </row>
    <row r="738" spans="1:18" x14ac:dyDescent="0.3">
      <c r="A738" s="232" t="s">
        <v>3246</v>
      </c>
      <c r="B738" s="232"/>
      <c r="C738" s="232"/>
      <c r="D738" s="232">
        <v>0</v>
      </c>
      <c r="E738" s="232">
        <v>0</v>
      </c>
      <c r="F738" s="232">
        <v>0</v>
      </c>
      <c r="G738" s="232" t="s">
        <v>3253</v>
      </c>
      <c r="H738" s="232"/>
      <c r="I738" s="232" t="b">
        <v>0</v>
      </c>
      <c r="J738" s="232" t="b">
        <v>1</v>
      </c>
      <c r="K738" s="232" t="b">
        <v>1</v>
      </c>
      <c r="L738" s="232"/>
      <c r="M738" s="232"/>
      <c r="N738" s="232" t="str">
        <f>_xlfn.IFNA(VLOOKUP($M738,[1]Buff.CM!$A:$O,13,FALSE),"")</f>
        <v/>
      </c>
      <c r="O738" s="232" t="str">
        <f>_xlfn.IFNA(VLOOKUP($M738,[1]Buff.CM!$A:$O,14,FALSE),"")</f>
        <v/>
      </c>
      <c r="P738" s="232" t="str">
        <f>_xlfn.IFNA(VLOOKUP($M738,[1]Buff.CM!$A:$O,15,FALSE),"")</f>
        <v/>
      </c>
      <c r="Q738" s="232" t="b">
        <v>0</v>
      </c>
      <c r="R738" s="232" t="b">
        <v>0</v>
      </c>
    </row>
    <row r="739" spans="1:18" x14ac:dyDescent="0.3">
      <c r="A739" s="232" t="s">
        <v>3248</v>
      </c>
      <c r="B739" s="232"/>
      <c r="C739" s="232"/>
      <c r="D739" s="232">
        <v>0</v>
      </c>
      <c r="E739" s="232">
        <v>0</v>
      </c>
      <c r="F739" s="232">
        <v>0</v>
      </c>
      <c r="G739" s="232" t="s">
        <v>3254</v>
      </c>
      <c r="H739" s="232"/>
      <c r="I739" s="232" t="b">
        <v>0</v>
      </c>
      <c r="J739" s="232" t="b">
        <v>1</v>
      </c>
      <c r="K739" s="232" t="b">
        <v>1</v>
      </c>
      <c r="L739" s="232"/>
      <c r="M739" s="232"/>
      <c r="N739" s="232" t="str">
        <f>_xlfn.IFNA(VLOOKUP($M739,[1]Buff.CM!$A:$O,13,FALSE),"")</f>
        <v/>
      </c>
      <c r="O739" s="232" t="str">
        <f>_xlfn.IFNA(VLOOKUP($M739,[1]Buff.CM!$A:$O,14,FALSE),"")</f>
        <v/>
      </c>
      <c r="P739" s="232" t="str">
        <f>_xlfn.IFNA(VLOOKUP($M739,[1]Buff.CM!$A:$O,15,FALSE),"")</f>
        <v/>
      </c>
      <c r="Q739" s="232" t="b">
        <v>0</v>
      </c>
      <c r="R739" s="232" t="b">
        <v>0</v>
      </c>
    </row>
    <row r="740" spans="1:18" x14ac:dyDescent="0.3">
      <c r="A740" s="236" t="s">
        <v>3303</v>
      </c>
      <c r="B740" s="236"/>
      <c r="C740" s="236"/>
      <c r="D740" s="236">
        <v>0</v>
      </c>
      <c r="E740" s="236">
        <v>0</v>
      </c>
      <c r="F740" s="236">
        <v>0</v>
      </c>
      <c r="G740" s="236" t="s">
        <v>3255</v>
      </c>
      <c r="H740" s="236"/>
      <c r="I740" s="236" t="b">
        <v>0</v>
      </c>
      <c r="J740" s="236" t="b">
        <v>1</v>
      </c>
      <c r="K740" s="236" t="b">
        <v>1</v>
      </c>
      <c r="L740" s="236"/>
      <c r="M740" s="236"/>
      <c r="N740" s="236" t="str">
        <f>_xlfn.IFNA(VLOOKUP($M740,[1]Buff.CM!$A:$O,13,FALSE),"")</f>
        <v/>
      </c>
      <c r="O740" s="236" t="str">
        <f>_xlfn.IFNA(VLOOKUP($M740,[1]Buff.CM!$A:$O,14,FALSE),"")</f>
        <v/>
      </c>
      <c r="P740" s="236" t="str">
        <f>_xlfn.IFNA(VLOOKUP($M740,[1]Buff.CM!$A:$O,15,FALSE),"")</f>
        <v/>
      </c>
      <c r="Q740" s="236" t="b">
        <v>0</v>
      </c>
      <c r="R740" s="236" t="b">
        <v>0</v>
      </c>
    </row>
    <row r="741" spans="1:18" x14ac:dyDescent="0.3">
      <c r="A741" s="236" t="s">
        <v>3304</v>
      </c>
      <c r="B741" s="236"/>
      <c r="C741" s="236"/>
      <c r="D741" s="236">
        <v>0</v>
      </c>
      <c r="E741" s="236">
        <v>0</v>
      </c>
      <c r="F741" s="236">
        <v>0</v>
      </c>
      <c r="G741" s="236" t="s">
        <v>3257</v>
      </c>
      <c r="H741" s="236"/>
      <c r="I741" s="236" t="b">
        <v>0</v>
      </c>
      <c r="J741" s="236" t="b">
        <v>1</v>
      </c>
      <c r="K741" s="236" t="b">
        <v>1</v>
      </c>
      <c r="L741" s="236"/>
      <c r="M741" s="236"/>
      <c r="N741" s="236" t="str">
        <f>_xlfn.IFNA(VLOOKUP($M741,[1]Buff.CM!$A:$O,13,FALSE),"")</f>
        <v/>
      </c>
      <c r="O741" s="236" t="str">
        <f>_xlfn.IFNA(VLOOKUP($M741,[1]Buff.CM!$A:$O,14,FALSE),"")</f>
        <v/>
      </c>
      <c r="P741" s="236" t="str">
        <f>_xlfn.IFNA(VLOOKUP($M741,[1]Buff.CM!$A:$O,15,FALSE),"")</f>
        <v/>
      </c>
      <c r="Q741" s="236" t="b">
        <v>0</v>
      </c>
      <c r="R741" s="236" t="b">
        <v>0</v>
      </c>
    </row>
    <row r="742" spans="1:18" x14ac:dyDescent="0.3">
      <c r="A742" s="236" t="s">
        <v>3305</v>
      </c>
      <c r="B742" s="236"/>
      <c r="C742" s="236"/>
      <c r="D742" s="236">
        <v>0</v>
      </c>
      <c r="E742" s="236">
        <v>0</v>
      </c>
      <c r="F742" s="236">
        <v>0</v>
      </c>
      <c r="G742" s="236" t="s">
        <v>3259</v>
      </c>
      <c r="H742" s="236"/>
      <c r="I742" s="236" t="b">
        <v>0</v>
      </c>
      <c r="J742" s="236" t="b">
        <v>1</v>
      </c>
      <c r="K742" s="236" t="b">
        <v>1</v>
      </c>
      <c r="L742" s="236"/>
      <c r="M742" s="236"/>
      <c r="N742" s="236" t="str">
        <f>_xlfn.IFNA(VLOOKUP($M742,[1]Buff.CM!$A:$O,13,FALSE),"")</f>
        <v/>
      </c>
      <c r="O742" s="236" t="str">
        <f>_xlfn.IFNA(VLOOKUP($M742,[1]Buff.CM!$A:$O,14,FALSE),"")</f>
        <v/>
      </c>
      <c r="P742" s="236" t="str">
        <f>_xlfn.IFNA(VLOOKUP($M742,[1]Buff.CM!$A:$O,15,FALSE),"")</f>
        <v/>
      </c>
      <c r="Q742" s="236" t="b">
        <v>0</v>
      </c>
      <c r="R742" s="236" t="b">
        <v>0</v>
      </c>
    </row>
    <row r="743" spans="1:18" x14ac:dyDescent="0.3">
      <c r="A743" s="236" t="s">
        <v>3306</v>
      </c>
      <c r="B743" s="236"/>
      <c r="C743" s="236"/>
      <c r="D743" s="236">
        <v>0</v>
      </c>
      <c r="E743" s="236">
        <v>0</v>
      </c>
      <c r="F743" s="236">
        <v>0</v>
      </c>
      <c r="G743" s="236" t="s">
        <v>3261</v>
      </c>
      <c r="H743" s="236"/>
      <c r="I743" s="236" t="b">
        <v>0</v>
      </c>
      <c r="J743" s="236" t="b">
        <v>1</v>
      </c>
      <c r="K743" s="236" t="b">
        <v>1</v>
      </c>
      <c r="L743" s="236"/>
      <c r="M743" s="236"/>
      <c r="N743" s="236" t="str">
        <f>_xlfn.IFNA(VLOOKUP($M743,[1]Buff.CM!$A:$O,13,FALSE),"")</f>
        <v/>
      </c>
      <c r="O743" s="236" t="str">
        <f>_xlfn.IFNA(VLOOKUP($M743,[1]Buff.CM!$A:$O,14,FALSE),"")</f>
        <v/>
      </c>
      <c r="P743" s="236" t="str">
        <f>_xlfn.IFNA(VLOOKUP($M743,[1]Buff.CM!$A:$O,15,FALSE),"")</f>
        <v/>
      </c>
      <c r="Q743" s="236" t="b">
        <v>0</v>
      </c>
      <c r="R743" s="236" t="b">
        <v>0</v>
      </c>
    </row>
    <row r="744" spans="1:18" x14ac:dyDescent="0.3">
      <c r="A744" s="232" t="s">
        <v>3307</v>
      </c>
      <c r="B744" s="232"/>
      <c r="C744" s="232"/>
      <c r="D744" s="232">
        <v>0</v>
      </c>
      <c r="E744" s="232">
        <v>0</v>
      </c>
      <c r="F744" s="232">
        <v>0</v>
      </c>
      <c r="G744" s="232" t="s">
        <v>3263</v>
      </c>
      <c r="H744" s="232"/>
      <c r="I744" s="232" t="b">
        <v>0</v>
      </c>
      <c r="J744" s="232" t="b">
        <v>1</v>
      </c>
      <c r="K744" s="232" t="b">
        <v>1</v>
      </c>
      <c r="L744" s="232"/>
      <c r="M744" s="232"/>
      <c r="N744" s="232" t="str">
        <f>_xlfn.IFNA(VLOOKUP($M744,[1]Buff.CM!$A:$O,13,FALSE),"")</f>
        <v/>
      </c>
      <c r="O744" s="232" t="str">
        <f>_xlfn.IFNA(VLOOKUP($M744,[1]Buff.CM!$A:$O,14,FALSE),"")</f>
        <v/>
      </c>
      <c r="P744" s="232" t="str">
        <f>_xlfn.IFNA(VLOOKUP($M744,[1]Buff.CM!$A:$O,15,FALSE),"")</f>
        <v/>
      </c>
      <c r="Q744" s="232" t="b">
        <v>0</v>
      </c>
      <c r="R744" s="232" t="b">
        <v>0</v>
      </c>
    </row>
    <row r="745" spans="1:18" x14ac:dyDescent="0.3">
      <c r="A745" s="232" t="s">
        <v>3308</v>
      </c>
      <c r="B745" s="232"/>
      <c r="C745" s="232"/>
      <c r="D745" s="232">
        <v>0</v>
      </c>
      <c r="E745" s="232">
        <v>0</v>
      </c>
      <c r="F745" s="232">
        <v>0</v>
      </c>
      <c r="G745" s="232" t="s">
        <v>3265</v>
      </c>
      <c r="H745" s="232"/>
      <c r="I745" s="232" t="b">
        <v>0</v>
      </c>
      <c r="J745" s="232" t="b">
        <v>1</v>
      </c>
      <c r="K745" s="232" t="b">
        <v>1</v>
      </c>
      <c r="L745" s="232"/>
      <c r="M745" s="232"/>
      <c r="N745" s="232" t="str">
        <f>_xlfn.IFNA(VLOOKUP($M745,[1]Buff.CM!$A:$O,13,FALSE),"")</f>
        <v/>
      </c>
      <c r="O745" s="232" t="str">
        <f>_xlfn.IFNA(VLOOKUP($M745,[1]Buff.CM!$A:$O,14,FALSE),"")</f>
        <v/>
      </c>
      <c r="P745" s="232" t="str">
        <f>_xlfn.IFNA(VLOOKUP($M745,[1]Buff.CM!$A:$O,15,FALSE),"")</f>
        <v/>
      </c>
      <c r="Q745" s="232" t="b">
        <v>0</v>
      </c>
      <c r="R745" s="232" t="b">
        <v>0</v>
      </c>
    </row>
    <row r="746" spans="1:18" x14ac:dyDescent="0.3">
      <c r="A746" s="239" t="s">
        <v>3309</v>
      </c>
      <c r="B746" s="239"/>
      <c r="C746" s="239"/>
      <c r="D746" s="239">
        <v>0</v>
      </c>
      <c r="E746" s="239">
        <v>0</v>
      </c>
      <c r="F746" s="239">
        <v>0</v>
      </c>
      <c r="G746" s="239" t="s">
        <v>3267</v>
      </c>
      <c r="H746" s="239"/>
      <c r="I746" s="239" t="b">
        <v>1</v>
      </c>
      <c r="J746" s="239" t="b">
        <v>1</v>
      </c>
      <c r="K746" s="239" t="b">
        <v>1</v>
      </c>
      <c r="L746" s="239"/>
      <c r="M746" s="239"/>
      <c r="N746" s="239" t="str">
        <f>_xlfn.IFNA(VLOOKUP($M746,[1]Buff.CM!$A:$O,13,FALSE),"")</f>
        <v/>
      </c>
      <c r="O746" s="239" t="str">
        <f>_xlfn.IFNA(VLOOKUP($M746,[1]Buff.CM!$A:$O,14,FALSE),"")</f>
        <v/>
      </c>
      <c r="P746" s="239" t="str">
        <f>_xlfn.IFNA(VLOOKUP($M746,[1]Buff.CM!$A:$O,15,FALSE),"")</f>
        <v/>
      </c>
      <c r="Q746" s="239" t="b">
        <v>0</v>
      </c>
      <c r="R746" s="239" t="b">
        <v>0</v>
      </c>
    </row>
    <row r="747" spans="1:18" x14ac:dyDescent="0.3">
      <c r="A747" s="239" t="s">
        <v>3310</v>
      </c>
      <c r="B747" s="239"/>
      <c r="C747" s="239"/>
      <c r="D747" s="239">
        <v>300000</v>
      </c>
      <c r="E747" s="239">
        <v>0</v>
      </c>
      <c r="F747" s="239">
        <v>0</v>
      </c>
      <c r="G747" s="239" t="s">
        <v>173</v>
      </c>
      <c r="H747" s="239"/>
      <c r="I747" s="239" t="b">
        <v>1</v>
      </c>
      <c r="J747" s="239" t="b">
        <v>1</v>
      </c>
      <c r="K747" s="239" t="b">
        <v>1</v>
      </c>
      <c r="L747" s="239" t="s">
        <v>2268</v>
      </c>
      <c r="M747" s="239"/>
      <c r="N747" s="239" t="str">
        <f>_xlfn.IFNA(VLOOKUP($M747,[1]Buff.CM!$A:$O,13,FALSE),"")</f>
        <v/>
      </c>
      <c r="O747" s="239" t="str">
        <f>_xlfn.IFNA(VLOOKUP($M747,[1]Buff.CM!$A:$O,14,FALSE),"")</f>
        <v/>
      </c>
      <c r="P747" s="239" t="str">
        <f>_xlfn.IFNA(VLOOKUP($M747,[1]Buff.CM!$A:$O,15,FALSE),"")</f>
        <v/>
      </c>
      <c r="Q747" s="239" t="b">
        <v>0</v>
      </c>
      <c r="R747" s="239" t="b">
        <v>0</v>
      </c>
    </row>
    <row r="748" spans="1:18" x14ac:dyDescent="0.3">
      <c r="A748" s="232" t="s">
        <v>3338</v>
      </c>
      <c r="B748" s="232"/>
      <c r="C748" s="232"/>
      <c r="D748" s="232">
        <v>0</v>
      </c>
      <c r="E748" s="232">
        <v>0</v>
      </c>
      <c r="F748" s="232">
        <v>0</v>
      </c>
      <c r="G748" s="232" t="s">
        <v>3311</v>
      </c>
      <c r="H748" s="232"/>
      <c r="I748" s="232" t="b">
        <v>0</v>
      </c>
      <c r="J748" s="157" t="b">
        <v>0</v>
      </c>
      <c r="K748" s="232" t="b">
        <v>1</v>
      </c>
      <c r="L748" s="232"/>
      <c r="M748" s="232"/>
      <c r="N748" s="232" t="str">
        <f>_xlfn.IFNA(VLOOKUP($M748,[1]Buff.CM!$A:$O,13,FALSE),"")</f>
        <v/>
      </c>
      <c r="O748" s="232" t="str">
        <f>_xlfn.IFNA(VLOOKUP($M748,[1]Buff.CM!$A:$O,14,FALSE),"")</f>
        <v/>
      </c>
      <c r="P748" s="232" t="str">
        <f>_xlfn.IFNA(VLOOKUP($M748,[1]Buff.CM!$A:$O,15,FALSE),"")</f>
        <v/>
      </c>
      <c r="Q748" s="232" t="b">
        <v>0</v>
      </c>
      <c r="R748" s="232" t="b">
        <v>0</v>
      </c>
    </row>
    <row r="749" spans="1:18" x14ac:dyDescent="0.3">
      <c r="A749" s="232" t="s">
        <v>3339</v>
      </c>
      <c r="B749" s="232"/>
      <c r="C749" s="232"/>
      <c r="D749" s="232">
        <v>0</v>
      </c>
      <c r="E749" s="232">
        <v>0</v>
      </c>
      <c r="F749" s="232">
        <v>0</v>
      </c>
      <c r="G749" s="232" t="s">
        <v>3313</v>
      </c>
      <c r="H749" s="232"/>
      <c r="I749" s="232" t="b">
        <v>0</v>
      </c>
      <c r="J749" s="157" t="b">
        <v>0</v>
      </c>
      <c r="K749" s="232" t="b">
        <v>1</v>
      </c>
      <c r="L749" s="232"/>
      <c r="M749" s="232"/>
      <c r="N749" s="232" t="str">
        <f>_xlfn.IFNA(VLOOKUP($M749,[1]Buff.CM!$A:$O,13,FALSE),"")</f>
        <v/>
      </c>
      <c r="O749" s="232" t="str">
        <f>_xlfn.IFNA(VLOOKUP($M749,[1]Buff.CM!$A:$O,14,FALSE),"")</f>
        <v/>
      </c>
      <c r="P749" s="232" t="str">
        <f>_xlfn.IFNA(VLOOKUP($M749,[1]Buff.CM!$A:$O,15,FALSE),"")</f>
        <v/>
      </c>
      <c r="Q749" s="232" t="b">
        <v>0</v>
      </c>
      <c r="R749" s="232" t="b">
        <v>0</v>
      </c>
    </row>
    <row r="750" spans="1:18" x14ac:dyDescent="0.3">
      <c r="A750" s="232" t="s">
        <v>3340</v>
      </c>
      <c r="B750" s="232"/>
      <c r="C750" s="232"/>
      <c r="D750" s="232">
        <v>0</v>
      </c>
      <c r="E750" s="232">
        <v>0</v>
      </c>
      <c r="F750" s="232">
        <v>0</v>
      </c>
      <c r="G750" s="232" t="s">
        <v>3315</v>
      </c>
      <c r="H750" s="232"/>
      <c r="I750" s="232" t="b">
        <v>0</v>
      </c>
      <c r="J750" s="157" t="b">
        <v>0</v>
      </c>
      <c r="K750" s="232" t="b">
        <v>1</v>
      </c>
      <c r="L750" s="232"/>
      <c r="M750" s="232"/>
      <c r="N750" s="232" t="str">
        <f>_xlfn.IFNA(VLOOKUP($M750,[1]Buff.CM!$A:$O,13,FALSE),"")</f>
        <v/>
      </c>
      <c r="O750" s="232" t="str">
        <f>_xlfn.IFNA(VLOOKUP($M750,[1]Buff.CM!$A:$O,14,FALSE),"")</f>
        <v/>
      </c>
      <c r="P750" s="232" t="str">
        <f>_xlfn.IFNA(VLOOKUP($M750,[1]Buff.CM!$A:$O,15,FALSE),"")</f>
        <v/>
      </c>
      <c r="Q750" s="232" t="b">
        <v>0</v>
      </c>
      <c r="R750" s="232" t="b">
        <v>0</v>
      </c>
    </row>
    <row r="751" spans="1:18" x14ac:dyDescent="0.3">
      <c r="A751" s="241" t="s">
        <v>3341</v>
      </c>
      <c r="B751" s="241"/>
      <c r="C751" s="241"/>
      <c r="D751" s="241">
        <v>0</v>
      </c>
      <c r="E751" s="241">
        <v>0</v>
      </c>
      <c r="F751" s="241">
        <v>0</v>
      </c>
      <c r="G751" s="241" t="s">
        <v>3317</v>
      </c>
      <c r="H751" s="241"/>
      <c r="I751" s="241" t="b">
        <v>0</v>
      </c>
      <c r="J751" s="157" t="b">
        <v>0</v>
      </c>
      <c r="K751" s="241" t="b">
        <v>1</v>
      </c>
      <c r="L751" s="241"/>
      <c r="M751" s="241"/>
      <c r="N751" s="241" t="str">
        <f>_xlfn.IFNA(VLOOKUP($M751,[1]Buff.CM!$A:$O,13,FALSE),"")</f>
        <v/>
      </c>
      <c r="O751" s="241" t="str">
        <f>_xlfn.IFNA(VLOOKUP($M751,[1]Buff.CM!$A:$O,14,FALSE),"")</f>
        <v/>
      </c>
      <c r="P751" s="241" t="str">
        <f>_xlfn.IFNA(VLOOKUP($M751,[1]Buff.CM!$A:$O,15,FALSE),"")</f>
        <v/>
      </c>
      <c r="Q751" s="241" t="b">
        <v>0</v>
      </c>
      <c r="R751" s="241" t="b">
        <v>0</v>
      </c>
    </row>
    <row r="752" spans="1:18" x14ac:dyDescent="0.3">
      <c r="A752" s="241" t="s">
        <v>3342</v>
      </c>
      <c r="B752" s="241"/>
      <c r="C752" s="241"/>
      <c r="D752" s="241">
        <v>0</v>
      </c>
      <c r="E752" s="241">
        <v>0</v>
      </c>
      <c r="F752" s="241">
        <v>0</v>
      </c>
      <c r="G752" s="241" t="s">
        <v>3319</v>
      </c>
      <c r="H752" s="241"/>
      <c r="I752" s="241" t="b">
        <v>0</v>
      </c>
      <c r="J752" s="157" t="b">
        <v>0</v>
      </c>
      <c r="K752" s="241" t="b">
        <v>1</v>
      </c>
      <c r="L752" s="241"/>
      <c r="M752" s="241"/>
      <c r="N752" s="241" t="str">
        <f>_xlfn.IFNA(VLOOKUP($M752,[1]Buff.CM!$A:$O,13,FALSE),"")</f>
        <v/>
      </c>
      <c r="O752" s="241" t="str">
        <f>_xlfn.IFNA(VLOOKUP($M752,[1]Buff.CM!$A:$O,14,FALSE),"")</f>
        <v/>
      </c>
      <c r="P752" s="241" t="str">
        <f>_xlfn.IFNA(VLOOKUP($M752,[1]Buff.CM!$A:$O,15,FALSE),"")</f>
        <v/>
      </c>
      <c r="Q752" s="241" t="b">
        <v>0</v>
      </c>
      <c r="R752" s="241" t="b">
        <v>0</v>
      </c>
    </row>
    <row r="753" spans="1:18" x14ac:dyDescent="0.3">
      <c r="A753" s="157" t="s">
        <v>3343</v>
      </c>
      <c r="B753" s="157"/>
      <c r="C753" s="157"/>
      <c r="D753" s="157">
        <v>0</v>
      </c>
      <c r="E753" s="157">
        <v>0</v>
      </c>
      <c r="F753" s="157">
        <v>0</v>
      </c>
      <c r="G753" s="157" t="s">
        <v>3321</v>
      </c>
      <c r="H753" s="157"/>
      <c r="I753" s="157" t="b">
        <v>0</v>
      </c>
      <c r="J753" s="157" t="b">
        <v>0</v>
      </c>
      <c r="K753" s="157" t="b">
        <v>1</v>
      </c>
      <c r="L753" s="157"/>
      <c r="M753" s="157"/>
      <c r="N753" s="157" t="str">
        <f>_xlfn.IFNA(VLOOKUP($M753,[1]Buff.CM!$A:$O,13,FALSE),"")</f>
        <v/>
      </c>
      <c r="O753" s="157" t="str">
        <f>_xlfn.IFNA(VLOOKUP($M753,[1]Buff.CM!$A:$O,14,FALSE),"")</f>
        <v/>
      </c>
      <c r="P753" s="157" t="str">
        <f>_xlfn.IFNA(VLOOKUP($M753,[1]Buff.CM!$A:$O,15,FALSE),"")</f>
        <v/>
      </c>
      <c r="Q753" s="157" t="b">
        <v>0</v>
      </c>
      <c r="R753" s="157" t="b">
        <v>0</v>
      </c>
    </row>
    <row r="754" spans="1:18" x14ac:dyDescent="0.3">
      <c r="A754" s="157" t="s">
        <v>3344</v>
      </c>
      <c r="B754" s="157"/>
      <c r="C754" s="157"/>
      <c r="D754" s="157">
        <v>0</v>
      </c>
      <c r="E754" s="157">
        <v>0</v>
      </c>
      <c r="F754" s="157">
        <v>0</v>
      </c>
      <c r="G754" s="157" t="s">
        <v>3323</v>
      </c>
      <c r="H754" s="157"/>
      <c r="I754" s="157" t="b">
        <v>0</v>
      </c>
      <c r="J754" s="157" t="b">
        <v>0</v>
      </c>
      <c r="K754" s="157" t="b">
        <v>1</v>
      </c>
      <c r="L754" s="157"/>
      <c r="M754" s="157"/>
      <c r="N754" s="157" t="str">
        <f>_xlfn.IFNA(VLOOKUP($M754,[1]Buff.CM!$A:$O,13,FALSE),"")</f>
        <v/>
      </c>
      <c r="O754" s="157" t="str">
        <f>_xlfn.IFNA(VLOOKUP($M754,[1]Buff.CM!$A:$O,14,FALSE),"")</f>
        <v/>
      </c>
      <c r="P754" s="157" t="str">
        <f>_xlfn.IFNA(VLOOKUP($M754,[1]Buff.CM!$A:$O,15,FALSE),"")</f>
        <v/>
      </c>
      <c r="Q754" s="157" t="b">
        <v>0</v>
      </c>
      <c r="R754" s="157" t="b">
        <v>0</v>
      </c>
    </row>
    <row r="755" spans="1:18" x14ac:dyDescent="0.3">
      <c r="A755" s="157" t="s">
        <v>3345</v>
      </c>
      <c r="B755" s="157"/>
      <c r="C755" s="157"/>
      <c r="D755" s="157">
        <v>3000</v>
      </c>
      <c r="E755" s="157">
        <v>0</v>
      </c>
      <c r="F755" s="157">
        <v>0</v>
      </c>
      <c r="G755" s="157" t="s">
        <v>3325</v>
      </c>
      <c r="H755" s="157"/>
      <c r="I755" s="157" t="b">
        <v>0</v>
      </c>
      <c r="J755" s="157" t="b">
        <v>0</v>
      </c>
      <c r="K755" s="157" t="b">
        <v>1</v>
      </c>
      <c r="L755" s="157"/>
      <c r="M755" s="157"/>
      <c r="N755" s="157" t="str">
        <f>_xlfn.IFNA(VLOOKUP($M755,[1]Buff.CM!$A:$O,13,FALSE),"")</f>
        <v/>
      </c>
      <c r="O755" s="157" t="str">
        <f>_xlfn.IFNA(VLOOKUP($M755,[1]Buff.CM!$A:$O,14,FALSE),"")</f>
        <v/>
      </c>
      <c r="P755" s="157" t="str">
        <f>_xlfn.IFNA(VLOOKUP($M755,[1]Buff.CM!$A:$O,15,FALSE),"")</f>
        <v/>
      </c>
      <c r="Q755" s="157" t="b">
        <v>0</v>
      </c>
      <c r="R755" s="157" t="b">
        <v>0</v>
      </c>
    </row>
    <row r="756" spans="1:18" x14ac:dyDescent="0.3">
      <c r="A756" s="232" t="s">
        <v>3346</v>
      </c>
      <c r="B756" s="232"/>
      <c r="C756" s="232"/>
      <c r="D756" s="232">
        <v>4000</v>
      </c>
      <c r="E756" s="232">
        <v>0</v>
      </c>
      <c r="F756" s="232">
        <v>0</v>
      </c>
      <c r="G756" s="232" t="s">
        <v>3326</v>
      </c>
      <c r="H756" s="232"/>
      <c r="I756" s="232" t="b">
        <v>0</v>
      </c>
      <c r="J756" s="232" t="b">
        <v>0</v>
      </c>
      <c r="K756" s="232" t="b">
        <v>1</v>
      </c>
      <c r="L756" s="232"/>
      <c r="M756" s="232"/>
      <c r="N756" s="232" t="str">
        <f>_xlfn.IFNA(VLOOKUP($M756,[1]Buff.CM!$A:$O,13,FALSE),"")</f>
        <v/>
      </c>
      <c r="O756" s="232" t="str">
        <f>_xlfn.IFNA(VLOOKUP($M756,[1]Buff.CM!$A:$O,14,FALSE),"")</f>
        <v/>
      </c>
      <c r="P756" s="232" t="str">
        <f>_xlfn.IFNA(VLOOKUP($M756,[1]Buff.CM!$A:$O,15,FALSE),"")</f>
        <v/>
      </c>
      <c r="Q756" s="232" t="b">
        <v>0</v>
      </c>
      <c r="R756" s="232" t="b">
        <v>0</v>
      </c>
    </row>
    <row r="757" spans="1:18" x14ac:dyDescent="0.3">
      <c r="A757" s="232" t="s">
        <v>3347</v>
      </c>
      <c r="B757" s="232"/>
      <c r="C757" s="232"/>
      <c r="D757" s="232">
        <v>4000</v>
      </c>
      <c r="E757" s="232">
        <v>0</v>
      </c>
      <c r="F757" s="232">
        <v>0</v>
      </c>
      <c r="G757" s="232" t="s">
        <v>3327</v>
      </c>
      <c r="H757" s="232"/>
      <c r="I757" s="232" t="b">
        <v>0</v>
      </c>
      <c r="J757" s="232" t="b">
        <v>0</v>
      </c>
      <c r="K757" s="232" t="b">
        <v>1</v>
      </c>
      <c r="L757" s="232"/>
      <c r="M757" s="232"/>
      <c r="N757" s="232" t="str">
        <f>_xlfn.IFNA(VLOOKUP($M757,[1]Buff.CM!$A:$O,13,FALSE),"")</f>
        <v/>
      </c>
      <c r="O757" s="232" t="str">
        <f>_xlfn.IFNA(VLOOKUP($M757,[1]Buff.CM!$A:$O,14,FALSE),"")</f>
        <v/>
      </c>
      <c r="P757" s="232" t="str">
        <f>_xlfn.IFNA(VLOOKUP($M757,[1]Buff.CM!$A:$O,15,FALSE),"")</f>
        <v/>
      </c>
      <c r="Q757" s="232" t="b">
        <v>0</v>
      </c>
      <c r="R757" s="232" t="b">
        <v>0</v>
      </c>
    </row>
    <row r="758" spans="1:18" x14ac:dyDescent="0.3">
      <c r="A758" s="232" t="s">
        <v>3348</v>
      </c>
      <c r="B758" s="232"/>
      <c r="C758" s="232"/>
      <c r="D758" s="232">
        <v>5000</v>
      </c>
      <c r="E758" s="232">
        <v>0</v>
      </c>
      <c r="F758" s="232">
        <v>0</v>
      </c>
      <c r="G758" s="232" t="s">
        <v>3328</v>
      </c>
      <c r="H758" s="232"/>
      <c r="I758" s="232" t="b">
        <v>0</v>
      </c>
      <c r="J758" s="232" t="b">
        <v>0</v>
      </c>
      <c r="K758" s="232" t="b">
        <v>1</v>
      </c>
      <c r="L758" s="232"/>
      <c r="M758" s="232"/>
      <c r="N758" s="232" t="str">
        <f>_xlfn.IFNA(VLOOKUP($M758,[1]Buff.CM!$A:$O,13,FALSE),"")</f>
        <v/>
      </c>
      <c r="O758" s="232" t="str">
        <f>_xlfn.IFNA(VLOOKUP($M758,[1]Buff.CM!$A:$O,14,FALSE),"")</f>
        <v/>
      </c>
      <c r="P758" s="232" t="str">
        <f>_xlfn.IFNA(VLOOKUP($M758,[1]Buff.CM!$A:$O,15,FALSE),"")</f>
        <v/>
      </c>
      <c r="Q758" s="232" t="b">
        <v>0</v>
      </c>
      <c r="R758" s="232" t="b">
        <v>0</v>
      </c>
    </row>
    <row r="759" spans="1:18" x14ac:dyDescent="0.3">
      <c r="A759" s="232" t="s">
        <v>3349</v>
      </c>
      <c r="B759" s="232"/>
      <c r="C759" s="232"/>
      <c r="D759" s="232">
        <v>5000</v>
      </c>
      <c r="E759" s="232">
        <v>0</v>
      </c>
      <c r="F759" s="232">
        <v>0</v>
      </c>
      <c r="G759" s="232" t="s">
        <v>3329</v>
      </c>
      <c r="H759" s="232"/>
      <c r="I759" s="232" t="b">
        <v>0</v>
      </c>
      <c r="J759" s="232" t="b">
        <v>0</v>
      </c>
      <c r="K759" s="232" t="b">
        <v>1</v>
      </c>
      <c r="L759" s="232"/>
      <c r="M759" s="232"/>
      <c r="N759" s="232" t="str">
        <f>_xlfn.IFNA(VLOOKUP($M759,[1]Buff.CM!$A:$O,13,FALSE),"")</f>
        <v/>
      </c>
      <c r="O759" s="232" t="str">
        <f>_xlfn.IFNA(VLOOKUP($M759,[1]Buff.CM!$A:$O,14,FALSE),"")</f>
        <v/>
      </c>
      <c r="P759" s="232" t="str">
        <f>_xlfn.IFNA(VLOOKUP($M759,[1]Buff.CM!$A:$O,15,FALSE),"")</f>
        <v/>
      </c>
      <c r="Q759" s="232" t="b">
        <v>0</v>
      </c>
      <c r="R759" s="232" t="b">
        <v>0</v>
      </c>
    </row>
    <row r="760" spans="1:18" x14ac:dyDescent="0.3">
      <c r="A760" s="157" t="s">
        <v>3350</v>
      </c>
      <c r="B760" s="157"/>
      <c r="C760" s="157"/>
      <c r="D760" s="157">
        <v>5000</v>
      </c>
      <c r="E760" s="157">
        <v>0</v>
      </c>
      <c r="F760" s="157">
        <v>0</v>
      </c>
      <c r="G760" s="157" t="s">
        <v>3330</v>
      </c>
      <c r="H760" s="157"/>
      <c r="I760" s="157" t="b">
        <v>0</v>
      </c>
      <c r="J760" s="157" t="b">
        <v>0</v>
      </c>
      <c r="K760" s="157" t="b">
        <v>1</v>
      </c>
      <c r="L760" s="157"/>
      <c r="M760" s="157"/>
      <c r="N760" s="157" t="str">
        <f>_xlfn.IFNA(VLOOKUP($M760,[1]Buff.CM!$A:$O,13,FALSE),"")</f>
        <v/>
      </c>
      <c r="O760" s="157" t="str">
        <f>_xlfn.IFNA(VLOOKUP($M760,[1]Buff.CM!$A:$O,14,FALSE),"")</f>
        <v/>
      </c>
      <c r="P760" s="157" t="str">
        <f>_xlfn.IFNA(VLOOKUP($M760,[1]Buff.CM!$A:$O,15,FALSE),"")</f>
        <v/>
      </c>
      <c r="Q760" s="157" t="b">
        <v>0</v>
      </c>
      <c r="R760" s="157" t="b">
        <v>0</v>
      </c>
    </row>
    <row r="761" spans="1:18" x14ac:dyDescent="0.3">
      <c r="A761" s="157" t="s">
        <v>3351</v>
      </c>
      <c r="B761" s="157"/>
      <c r="C761" s="157"/>
      <c r="D761" s="157">
        <v>5000</v>
      </c>
      <c r="E761" s="157">
        <v>0</v>
      </c>
      <c r="F761" s="157">
        <v>0</v>
      </c>
      <c r="G761" s="157" t="s">
        <v>3331</v>
      </c>
      <c r="H761" s="157"/>
      <c r="I761" s="157" t="b">
        <v>0</v>
      </c>
      <c r="J761" s="157" t="b">
        <v>0</v>
      </c>
      <c r="K761" s="157" t="b">
        <v>1</v>
      </c>
      <c r="L761" s="157"/>
      <c r="M761" s="157"/>
      <c r="N761" s="157" t="str">
        <f>_xlfn.IFNA(VLOOKUP($M761,[1]Buff.CM!$A:$O,13,FALSE),"")</f>
        <v/>
      </c>
      <c r="O761" s="157" t="str">
        <f>_xlfn.IFNA(VLOOKUP($M761,[1]Buff.CM!$A:$O,14,FALSE),"")</f>
        <v/>
      </c>
      <c r="P761" s="157" t="str">
        <f>_xlfn.IFNA(VLOOKUP($M761,[1]Buff.CM!$A:$O,15,FALSE),"")</f>
        <v/>
      </c>
      <c r="Q761" s="157" t="b">
        <v>0</v>
      </c>
      <c r="R761" s="157" t="b">
        <v>0</v>
      </c>
    </row>
    <row r="762" spans="1:18" x14ac:dyDescent="0.3">
      <c r="A762" s="157" t="s">
        <v>3352</v>
      </c>
      <c r="B762" s="157"/>
      <c r="C762" s="157"/>
      <c r="D762" s="157">
        <v>5000</v>
      </c>
      <c r="E762" s="157">
        <v>0</v>
      </c>
      <c r="F762" s="157">
        <v>0</v>
      </c>
      <c r="G762" s="157" t="s">
        <v>2269</v>
      </c>
      <c r="H762" s="157"/>
      <c r="I762" s="157" t="b">
        <v>0</v>
      </c>
      <c r="J762" s="157" t="b">
        <v>0</v>
      </c>
      <c r="K762" s="157" t="b">
        <v>0</v>
      </c>
      <c r="L762" s="157" t="s">
        <v>55</v>
      </c>
      <c r="M762" s="157" t="s">
        <v>2269</v>
      </c>
      <c r="N762" s="157" t="str">
        <f>_xlfn.IFNA(VLOOKUP($M762,[1]Buff.CM!$A:$O,13,FALSE),"")</f>
        <v>icon_battle_attack</v>
      </c>
      <c r="O762" s="157" t="str">
        <f>_xlfn.IFNA(VLOOKUP($M762,[1]Buff.CM!$A:$O,14,FALSE),"")</f>
        <v>Buff.Name.Atk.Down.01</v>
      </c>
      <c r="P762" s="157" t="str">
        <f>_xlfn.IFNA(VLOOKUP($M762,[1]Buff.CM!$A:$O,15,FALSE),"")</f>
        <v>Buff.Desc.Atk.Down.01</v>
      </c>
      <c r="Q762" s="157" t="b">
        <v>0</v>
      </c>
      <c r="R762" s="157" t="b">
        <v>0</v>
      </c>
    </row>
    <row r="763" spans="1:18" x14ac:dyDescent="0.3">
      <c r="A763" s="232" t="s">
        <v>3353</v>
      </c>
      <c r="B763" s="232"/>
      <c r="C763" s="232"/>
      <c r="D763" s="232">
        <v>6000</v>
      </c>
      <c r="E763" s="232">
        <v>0</v>
      </c>
      <c r="F763" s="232">
        <v>0</v>
      </c>
      <c r="G763" s="232" t="s">
        <v>2269</v>
      </c>
      <c r="H763" s="232"/>
      <c r="I763" s="232" t="b">
        <v>0</v>
      </c>
      <c r="J763" s="232" t="b">
        <v>0</v>
      </c>
      <c r="K763" s="232" t="b">
        <v>0</v>
      </c>
      <c r="L763" s="232" t="s">
        <v>55</v>
      </c>
      <c r="M763" s="232" t="s">
        <v>2269</v>
      </c>
      <c r="N763" s="232" t="str">
        <f>_xlfn.IFNA(VLOOKUP($M763,[1]Buff.CM!$A:$O,13,FALSE),"")</f>
        <v>icon_battle_attack</v>
      </c>
      <c r="O763" s="232" t="str">
        <f>_xlfn.IFNA(VLOOKUP($M763,[1]Buff.CM!$A:$O,14,FALSE),"")</f>
        <v>Buff.Name.Atk.Down.01</v>
      </c>
      <c r="P763" s="232" t="str">
        <f>_xlfn.IFNA(VLOOKUP($M763,[1]Buff.CM!$A:$O,15,FALSE),"")</f>
        <v>Buff.Desc.Atk.Down.01</v>
      </c>
      <c r="Q763" s="232" t="b">
        <v>0</v>
      </c>
      <c r="R763" s="232" t="b">
        <v>0</v>
      </c>
    </row>
    <row r="764" spans="1:18" x14ac:dyDescent="0.3">
      <c r="A764" s="232" t="s">
        <v>3354</v>
      </c>
      <c r="B764" s="232"/>
      <c r="C764" s="232"/>
      <c r="D764" s="232">
        <v>6000</v>
      </c>
      <c r="E764" s="232">
        <v>0</v>
      </c>
      <c r="F764" s="232">
        <v>0</v>
      </c>
      <c r="G764" s="232" t="s">
        <v>2270</v>
      </c>
      <c r="H764" s="232"/>
      <c r="I764" s="232" t="b">
        <v>0</v>
      </c>
      <c r="J764" s="232" t="b">
        <v>0</v>
      </c>
      <c r="K764" s="232" t="b">
        <v>0</v>
      </c>
      <c r="L764" s="232" t="s">
        <v>55</v>
      </c>
      <c r="M764" s="232" t="s">
        <v>2270</v>
      </c>
      <c r="N764" s="232" t="str">
        <f>_xlfn.IFNA(VLOOKUP($M764,[1]Buff.CM!$A:$O,13,FALSE),"")</f>
        <v>icon_battle_attack</v>
      </c>
      <c r="O764" s="232" t="str">
        <f>_xlfn.IFNA(VLOOKUP($M764,[1]Buff.CM!$A:$O,14,FALSE),"")</f>
        <v>Buff.Name.Atk.Down.02</v>
      </c>
      <c r="P764" s="232" t="str">
        <f>_xlfn.IFNA(VLOOKUP($M764,[1]Buff.CM!$A:$O,15,FALSE),"")</f>
        <v>Buff.Desc.Atk.Down.02</v>
      </c>
      <c r="Q764" s="232" t="b">
        <v>0</v>
      </c>
      <c r="R764" s="232" t="b">
        <v>0</v>
      </c>
    </row>
    <row r="765" spans="1:18" x14ac:dyDescent="0.3">
      <c r="A765" s="232" t="s">
        <v>3355</v>
      </c>
      <c r="B765" s="232"/>
      <c r="C765" s="232"/>
      <c r="D765" s="232">
        <v>7000</v>
      </c>
      <c r="E765" s="232">
        <v>0</v>
      </c>
      <c r="F765" s="232">
        <v>0</v>
      </c>
      <c r="G765" s="232" t="s">
        <v>2270</v>
      </c>
      <c r="H765" s="232"/>
      <c r="I765" s="232" t="b">
        <v>0</v>
      </c>
      <c r="J765" s="232" t="b">
        <v>0</v>
      </c>
      <c r="K765" s="232" t="b">
        <v>0</v>
      </c>
      <c r="L765" s="232" t="s">
        <v>55</v>
      </c>
      <c r="M765" s="232" t="s">
        <v>2270</v>
      </c>
      <c r="N765" s="232" t="str">
        <f>_xlfn.IFNA(VLOOKUP($M765,[1]Buff.CM!$A:$O,13,FALSE),"")</f>
        <v>icon_battle_attack</v>
      </c>
      <c r="O765" s="232" t="str">
        <f>_xlfn.IFNA(VLOOKUP($M765,[1]Buff.CM!$A:$O,14,FALSE),"")</f>
        <v>Buff.Name.Atk.Down.02</v>
      </c>
      <c r="P765" s="232" t="str">
        <f>_xlfn.IFNA(VLOOKUP($M765,[1]Buff.CM!$A:$O,15,FALSE),"")</f>
        <v>Buff.Desc.Atk.Down.02</v>
      </c>
      <c r="Q765" s="232" t="b">
        <v>0</v>
      </c>
      <c r="R765" s="232" t="b">
        <v>0</v>
      </c>
    </row>
    <row r="766" spans="1:18" x14ac:dyDescent="0.3">
      <c r="A766" s="232" t="s">
        <v>3356</v>
      </c>
      <c r="B766" s="232"/>
      <c r="C766" s="232"/>
      <c r="D766" s="232">
        <v>0</v>
      </c>
      <c r="E766" s="232">
        <v>0</v>
      </c>
      <c r="F766" s="232">
        <v>0</v>
      </c>
      <c r="G766" s="232" t="s">
        <v>3332</v>
      </c>
      <c r="H766" s="232"/>
      <c r="I766" s="232" t="b">
        <v>0</v>
      </c>
      <c r="J766" s="232" t="b">
        <v>1</v>
      </c>
      <c r="K766" s="232" t="b">
        <v>1</v>
      </c>
      <c r="L766" s="232"/>
      <c r="M766" s="232"/>
      <c r="N766" s="232" t="str">
        <f>_xlfn.IFNA(VLOOKUP($M766,[1]Buff.CM!$A:$O,13,FALSE),"")</f>
        <v/>
      </c>
      <c r="O766" s="232" t="str">
        <f>_xlfn.IFNA(VLOOKUP($M766,[1]Buff.CM!$A:$O,14,FALSE),"")</f>
        <v/>
      </c>
      <c r="P766" s="232" t="str">
        <f>_xlfn.IFNA(VLOOKUP($M766,[1]Buff.CM!$A:$O,15,FALSE),"")</f>
        <v/>
      </c>
      <c r="Q766" s="232" t="b">
        <v>0</v>
      </c>
      <c r="R766" s="232" t="b">
        <v>0</v>
      </c>
    </row>
    <row r="767" spans="1:18" x14ac:dyDescent="0.3">
      <c r="A767" s="231" t="s">
        <v>3357</v>
      </c>
      <c r="B767" s="231"/>
      <c r="C767" s="231"/>
      <c r="D767" s="231">
        <v>0</v>
      </c>
      <c r="E767" s="231">
        <v>0</v>
      </c>
      <c r="F767" s="231">
        <v>0</v>
      </c>
      <c r="G767" s="231" t="s">
        <v>3333</v>
      </c>
      <c r="H767" s="231"/>
      <c r="I767" s="231" t="b">
        <v>0</v>
      </c>
      <c r="J767" s="231" t="b">
        <v>1</v>
      </c>
      <c r="K767" s="231" t="b">
        <v>1</v>
      </c>
      <c r="L767" s="231"/>
      <c r="M767" s="231"/>
      <c r="N767" s="231" t="str">
        <f>_xlfn.IFNA(VLOOKUP($M767,[1]Buff.CM!$A:$O,13,FALSE),"")</f>
        <v/>
      </c>
      <c r="O767" s="231" t="str">
        <f>_xlfn.IFNA(VLOOKUP($M767,[1]Buff.CM!$A:$O,14,FALSE),"")</f>
        <v/>
      </c>
      <c r="P767" s="231" t="str">
        <f>_xlfn.IFNA(VLOOKUP($M767,[1]Buff.CM!$A:$O,15,FALSE),"")</f>
        <v/>
      </c>
      <c r="Q767" s="231" t="b">
        <v>0</v>
      </c>
      <c r="R767" s="231" t="b">
        <v>0</v>
      </c>
    </row>
    <row r="768" spans="1:18" x14ac:dyDescent="0.3">
      <c r="A768" s="231" t="s">
        <v>3358</v>
      </c>
      <c r="B768" s="231"/>
      <c r="C768" s="231"/>
      <c r="D768" s="231">
        <v>0</v>
      </c>
      <c r="E768" s="231">
        <v>0</v>
      </c>
      <c r="F768" s="231">
        <v>0</v>
      </c>
      <c r="G768" s="231" t="s">
        <v>3334</v>
      </c>
      <c r="H768" s="231"/>
      <c r="I768" s="231" t="b">
        <v>0</v>
      </c>
      <c r="J768" s="231" t="b">
        <v>1</v>
      </c>
      <c r="K768" s="231" t="b">
        <v>1</v>
      </c>
      <c r="L768" s="231"/>
      <c r="M768" s="231"/>
      <c r="N768" s="231" t="str">
        <f>_xlfn.IFNA(VLOOKUP($M768,[1]Buff.CM!$A:$O,13,FALSE),"")</f>
        <v/>
      </c>
      <c r="O768" s="231" t="str">
        <f>_xlfn.IFNA(VLOOKUP($M768,[1]Buff.CM!$A:$O,14,FALSE),"")</f>
        <v/>
      </c>
      <c r="P768" s="231" t="str">
        <f>_xlfn.IFNA(VLOOKUP($M768,[1]Buff.CM!$A:$O,15,FALSE),"")</f>
        <v/>
      </c>
      <c r="Q768" s="231" t="b">
        <v>0</v>
      </c>
      <c r="R768" s="231" t="b">
        <v>0</v>
      </c>
    </row>
    <row r="769" spans="1:18" x14ac:dyDescent="0.3">
      <c r="A769" s="231" t="s">
        <v>3359</v>
      </c>
      <c r="B769" s="231"/>
      <c r="C769" s="231"/>
      <c r="D769" s="231">
        <v>0</v>
      </c>
      <c r="E769" s="231">
        <v>0</v>
      </c>
      <c r="F769" s="231">
        <v>0</v>
      </c>
      <c r="G769" s="231" t="s">
        <v>3335</v>
      </c>
      <c r="H769" s="231"/>
      <c r="I769" s="231" t="b">
        <v>0</v>
      </c>
      <c r="J769" s="231" t="b">
        <v>1</v>
      </c>
      <c r="K769" s="231" t="b">
        <v>1</v>
      </c>
      <c r="L769" s="231"/>
      <c r="M769" s="231"/>
      <c r="N769" s="231" t="str">
        <f>_xlfn.IFNA(VLOOKUP($M769,[1]Buff.CM!$A:$O,13,FALSE),"")</f>
        <v/>
      </c>
      <c r="O769" s="231" t="str">
        <f>_xlfn.IFNA(VLOOKUP($M769,[1]Buff.CM!$A:$O,14,FALSE),"")</f>
        <v/>
      </c>
      <c r="P769" s="231" t="str">
        <f>_xlfn.IFNA(VLOOKUP($M769,[1]Buff.CM!$A:$O,15,FALSE),"")</f>
        <v/>
      </c>
      <c r="Q769" s="231" t="b">
        <v>0</v>
      </c>
      <c r="R769" s="231" t="b">
        <v>0</v>
      </c>
    </row>
    <row r="770" spans="1:18" x14ac:dyDescent="0.3">
      <c r="A770" s="231" t="s">
        <v>3360</v>
      </c>
      <c r="B770" s="231"/>
      <c r="C770" s="231"/>
      <c r="D770" s="231">
        <v>0</v>
      </c>
      <c r="E770" s="231">
        <v>0</v>
      </c>
      <c r="F770" s="231">
        <v>0</v>
      </c>
      <c r="G770" s="231" t="s">
        <v>3336</v>
      </c>
      <c r="H770" s="231"/>
      <c r="I770" s="231" t="b">
        <v>0</v>
      </c>
      <c r="J770" s="231" t="b">
        <v>1</v>
      </c>
      <c r="K770" s="231" t="b">
        <v>1</v>
      </c>
      <c r="L770" s="231"/>
      <c r="M770" s="231"/>
      <c r="N770" s="231" t="str">
        <f>_xlfn.IFNA(VLOOKUP($M770,[1]Buff.CM!$A:$O,13,FALSE),"")</f>
        <v/>
      </c>
      <c r="O770" s="231" t="str">
        <f>_xlfn.IFNA(VLOOKUP($M770,[1]Buff.CM!$A:$O,14,FALSE),"")</f>
        <v/>
      </c>
      <c r="P770" s="231" t="str">
        <f>_xlfn.IFNA(VLOOKUP($M770,[1]Buff.CM!$A:$O,15,FALSE),"")</f>
        <v/>
      </c>
      <c r="Q770" s="231" t="b">
        <v>0</v>
      </c>
      <c r="R770" s="231" t="b">
        <v>0</v>
      </c>
    </row>
    <row r="771" spans="1:18" x14ac:dyDescent="0.3">
      <c r="A771" s="157" t="s">
        <v>3361</v>
      </c>
      <c r="B771" s="157"/>
      <c r="C771" s="157"/>
      <c r="D771" s="157">
        <v>0</v>
      </c>
      <c r="E771" s="157">
        <v>0</v>
      </c>
      <c r="F771" s="157">
        <v>0</v>
      </c>
      <c r="G771" s="157" t="s">
        <v>3337</v>
      </c>
      <c r="H771" s="157"/>
      <c r="I771" s="157" t="b">
        <v>0</v>
      </c>
      <c r="J771" s="157" t="b">
        <v>1</v>
      </c>
      <c r="K771" s="157" t="b">
        <v>1</v>
      </c>
      <c r="L771" s="157"/>
      <c r="M771" s="157"/>
      <c r="N771" s="157" t="str">
        <f>_xlfn.IFNA(VLOOKUP($M771,[1]Buff.CM!$A:$O,13,FALSE),"")</f>
        <v/>
      </c>
      <c r="O771" s="157" t="str">
        <f>_xlfn.IFNA(VLOOKUP($M771,[1]Buff.CM!$A:$O,14,FALSE),"")</f>
        <v/>
      </c>
      <c r="P771" s="157" t="str">
        <f>_xlfn.IFNA(VLOOKUP($M771,[1]Buff.CM!$A:$O,15,FALSE),"")</f>
        <v/>
      </c>
      <c r="Q771" s="157" t="b">
        <v>0</v>
      </c>
      <c r="R771" s="157" t="b">
        <v>0</v>
      </c>
    </row>
    <row r="772" spans="1:18" x14ac:dyDescent="0.3">
      <c r="A772" s="115"/>
      <c r="B772" s="116"/>
      <c r="C772" s="116"/>
      <c r="D772" s="117"/>
      <c r="E772" s="117"/>
      <c r="F772" s="117"/>
      <c r="G772" s="118"/>
      <c r="H772" s="117"/>
      <c r="I772" s="117"/>
      <c r="J772" s="119"/>
      <c r="K772" s="119"/>
      <c r="L772" s="117"/>
      <c r="M772" s="117"/>
      <c r="N772" s="117"/>
      <c r="O772" s="117"/>
      <c r="P772" s="116"/>
      <c r="Q772" s="116"/>
      <c r="R772" s="119"/>
    </row>
    <row r="773" spans="1:18" x14ac:dyDescent="0.3">
      <c r="A773" s="115"/>
      <c r="B773" s="116"/>
      <c r="C773" s="116"/>
      <c r="D773" s="117"/>
      <c r="E773" s="117"/>
      <c r="F773" s="117"/>
      <c r="G773" s="118"/>
      <c r="H773" s="117"/>
      <c r="I773" s="117"/>
      <c r="J773" s="119"/>
      <c r="K773" s="119"/>
      <c r="L773" s="117"/>
      <c r="M773" s="117"/>
      <c r="N773" s="117"/>
      <c r="O773" s="117"/>
      <c r="P773" s="116"/>
      <c r="Q773" s="116"/>
      <c r="R773" s="119"/>
    </row>
    <row r="774" spans="1:18" x14ac:dyDescent="0.3">
      <c r="A774" s="115"/>
      <c r="B774" s="116"/>
      <c r="C774" s="116"/>
      <c r="D774" s="117"/>
      <c r="E774" s="117"/>
      <c r="F774" s="117"/>
      <c r="G774" s="118"/>
      <c r="H774" s="117"/>
      <c r="I774" s="117"/>
      <c r="J774" s="119"/>
      <c r="K774" s="119"/>
      <c r="L774" s="117"/>
      <c r="M774" s="117"/>
      <c r="N774" s="117"/>
      <c r="O774" s="117"/>
      <c r="P774" s="116"/>
      <c r="Q774" s="116"/>
      <c r="R774" s="119"/>
    </row>
    <row r="775" spans="1:18" x14ac:dyDescent="0.3">
      <c r="A775" s="115"/>
      <c r="B775" s="116"/>
      <c r="C775" s="116"/>
      <c r="D775" s="117"/>
      <c r="E775" s="117"/>
      <c r="F775" s="117"/>
      <c r="G775" s="118"/>
      <c r="H775" s="117"/>
      <c r="I775" s="117"/>
      <c r="J775" s="119"/>
      <c r="K775" s="119"/>
      <c r="L775" s="117"/>
      <c r="M775" s="117"/>
      <c r="N775" s="117"/>
      <c r="O775" s="117"/>
      <c r="P775" s="116"/>
      <c r="Q775" s="116"/>
      <c r="R775" s="119"/>
    </row>
    <row r="776" spans="1:18" x14ac:dyDescent="0.3">
      <c r="A776" s="125"/>
      <c r="B776" s="126"/>
      <c r="C776" s="126"/>
      <c r="D776" s="127"/>
      <c r="E776" s="127"/>
      <c r="F776" s="127"/>
      <c r="G776" s="128"/>
      <c r="H776" s="127"/>
      <c r="I776" s="127"/>
      <c r="J776" s="129"/>
      <c r="K776" s="129"/>
      <c r="L776" s="127"/>
      <c r="M776" s="127"/>
      <c r="N776" s="127"/>
      <c r="O776" s="127"/>
      <c r="P776" s="126"/>
      <c r="Q776" s="126"/>
      <c r="R776" s="129"/>
    </row>
    <row r="777" spans="1:18" x14ac:dyDescent="0.3">
      <c r="A777" s="125"/>
      <c r="B777" s="126"/>
      <c r="C777" s="126"/>
      <c r="D777" s="127"/>
      <c r="E777" s="127"/>
      <c r="F777" s="127"/>
      <c r="G777" s="128"/>
      <c r="H777" s="127"/>
      <c r="I777" s="127"/>
      <c r="J777" s="129"/>
      <c r="K777" s="129"/>
      <c r="L777" s="127"/>
      <c r="M777" s="127"/>
      <c r="N777" s="127"/>
      <c r="O777" s="127"/>
      <c r="P777" s="126"/>
      <c r="Q777" s="126"/>
      <c r="R777" s="129"/>
    </row>
    <row r="778" spans="1:18" x14ac:dyDescent="0.3">
      <c r="A778" s="125"/>
      <c r="B778" s="126"/>
      <c r="C778" s="126"/>
      <c r="D778" s="127"/>
      <c r="E778" s="127"/>
      <c r="F778" s="127"/>
      <c r="G778" s="128"/>
      <c r="H778" s="127"/>
      <c r="I778" s="127"/>
      <c r="J778" s="129"/>
      <c r="K778" s="129"/>
      <c r="L778" s="127"/>
      <c r="M778" s="127"/>
      <c r="N778" s="127"/>
      <c r="O778" s="127"/>
      <c r="P778" s="126"/>
      <c r="Q778" s="126"/>
      <c r="R778" s="129"/>
    </row>
    <row r="779" spans="1:18" x14ac:dyDescent="0.3">
      <c r="A779" s="125"/>
      <c r="B779" s="126"/>
      <c r="C779" s="126"/>
      <c r="D779" s="127"/>
      <c r="E779" s="127"/>
      <c r="F779" s="127"/>
      <c r="G779" s="128"/>
      <c r="H779" s="127"/>
      <c r="I779" s="127"/>
      <c r="J779" s="129"/>
      <c r="K779" s="129"/>
      <c r="L779" s="127"/>
      <c r="M779" s="127"/>
      <c r="N779" s="127"/>
      <c r="O779" s="127"/>
      <c r="P779" s="126"/>
      <c r="Q779" s="126"/>
      <c r="R779" s="129"/>
    </row>
    <row r="780" spans="1:18" x14ac:dyDescent="0.3">
      <c r="A780" s="109"/>
      <c r="B780" s="42"/>
      <c r="C780" s="42"/>
      <c r="D780" s="110"/>
      <c r="E780" s="110"/>
      <c r="F780" s="110"/>
      <c r="G780" s="111"/>
      <c r="H780" s="110"/>
      <c r="I780" s="110"/>
      <c r="J780" s="99"/>
      <c r="K780" s="99"/>
      <c r="L780" s="110"/>
      <c r="M780" s="110"/>
      <c r="N780" s="110"/>
      <c r="O780" s="110"/>
      <c r="P780" s="42"/>
      <c r="Q780" s="42"/>
      <c r="R780" s="99"/>
    </row>
    <row r="781" spans="1:18" x14ac:dyDescent="0.3">
      <c r="A781" s="109"/>
      <c r="B781" s="42"/>
      <c r="C781" s="42"/>
      <c r="D781" s="110"/>
      <c r="E781" s="110"/>
      <c r="F781" s="110"/>
      <c r="G781" s="111"/>
      <c r="H781" s="110"/>
      <c r="I781" s="110"/>
      <c r="J781" s="99"/>
      <c r="K781" s="99"/>
      <c r="L781" s="110"/>
      <c r="M781" s="110"/>
      <c r="N781" s="110"/>
      <c r="O781" s="110"/>
      <c r="P781" s="42"/>
      <c r="Q781" s="42"/>
      <c r="R781" s="99"/>
    </row>
    <row r="782" spans="1:18" x14ac:dyDescent="0.3">
      <c r="A782" s="109"/>
      <c r="B782" s="42"/>
      <c r="C782" s="42"/>
      <c r="D782" s="110"/>
      <c r="E782" s="110"/>
      <c r="F782" s="110"/>
      <c r="G782" s="111"/>
      <c r="H782" s="110"/>
      <c r="I782" s="110"/>
      <c r="J782" s="99"/>
      <c r="K782" s="99"/>
      <c r="L782" s="110"/>
      <c r="M782" s="110"/>
      <c r="N782" s="110"/>
      <c r="O782" s="110"/>
      <c r="P782" s="42"/>
      <c r="Q782" s="42"/>
      <c r="R782" s="99"/>
    </row>
    <row r="783" spans="1:18" x14ac:dyDescent="0.3">
      <c r="A783" s="109"/>
      <c r="B783" s="42"/>
      <c r="C783" s="42"/>
      <c r="D783" s="110"/>
      <c r="E783" s="110"/>
      <c r="F783" s="110"/>
      <c r="G783" s="111"/>
      <c r="H783" s="110"/>
      <c r="I783" s="110"/>
      <c r="J783" s="99"/>
      <c r="K783" s="99"/>
      <c r="L783" s="110"/>
      <c r="M783" s="110"/>
      <c r="N783" s="110"/>
      <c r="O783" s="110"/>
      <c r="P783" s="42"/>
      <c r="Q783" s="42"/>
      <c r="R783" s="99"/>
    </row>
    <row r="784" spans="1:18" x14ac:dyDescent="0.3">
      <c r="A784" s="109"/>
      <c r="B784" s="42"/>
      <c r="C784" s="42"/>
      <c r="D784" s="110"/>
      <c r="E784" s="110"/>
      <c r="F784" s="110"/>
      <c r="G784" s="111"/>
      <c r="H784" s="110"/>
      <c r="I784" s="110"/>
      <c r="J784" s="99"/>
      <c r="K784" s="99"/>
      <c r="L784" s="110"/>
      <c r="M784" s="110"/>
      <c r="N784" s="110"/>
      <c r="O784" s="110"/>
      <c r="P784" s="42"/>
      <c r="Q784" s="42"/>
      <c r="R784" s="99"/>
    </row>
    <row r="785" spans="1:18" x14ac:dyDescent="0.3">
      <c r="A785" s="161"/>
      <c r="B785" s="41"/>
      <c r="C785" s="41"/>
      <c r="D785" s="107"/>
      <c r="E785" s="107"/>
      <c r="F785" s="107"/>
      <c r="G785" s="178"/>
      <c r="H785" s="107"/>
      <c r="I785" s="98"/>
      <c r="J785" s="98"/>
      <c r="K785" s="98"/>
      <c r="L785" s="107"/>
      <c r="M785" s="107"/>
      <c r="N785" s="107"/>
      <c r="O785" s="107"/>
      <c r="P785" s="114"/>
      <c r="Q785" s="41"/>
      <c r="R785" s="98"/>
    </row>
    <row r="786" spans="1:18" x14ac:dyDescent="0.3">
      <c r="A786" s="173"/>
      <c r="B786" s="38"/>
      <c r="C786" s="38"/>
      <c r="D786" s="93"/>
      <c r="E786" s="93"/>
      <c r="F786" s="93"/>
      <c r="G786" s="190"/>
      <c r="H786" s="93"/>
      <c r="I786" s="97"/>
      <c r="J786" s="97"/>
      <c r="K786" s="97"/>
      <c r="L786" s="93"/>
      <c r="M786" s="93"/>
      <c r="N786" s="93"/>
      <c r="O786" s="93"/>
      <c r="P786" s="38"/>
      <c r="Q786" s="38"/>
      <c r="R786" s="38"/>
    </row>
    <row r="787" spans="1:18" x14ac:dyDescent="0.3">
      <c r="A787" s="173"/>
      <c r="B787" s="38"/>
      <c r="C787" s="38"/>
      <c r="D787" s="93"/>
      <c r="E787" s="93"/>
      <c r="F787" s="93"/>
      <c r="G787" s="190"/>
      <c r="H787" s="93"/>
      <c r="I787" s="97"/>
      <c r="J787" s="97"/>
      <c r="K787" s="97"/>
      <c r="L787" s="93"/>
      <c r="M787" s="93"/>
      <c r="N787" s="93"/>
      <c r="O787" s="93"/>
      <c r="P787" s="38"/>
      <c r="Q787" s="38"/>
      <c r="R787" s="38"/>
    </row>
    <row r="788" spans="1:18" x14ac:dyDescent="0.3">
      <c r="A788" s="164"/>
      <c r="B788" s="10"/>
      <c r="C788" s="10"/>
      <c r="D788" s="87"/>
      <c r="E788" s="87"/>
      <c r="F788" s="87"/>
      <c r="G788" s="181"/>
      <c r="H788" s="87"/>
      <c r="I788" s="96"/>
      <c r="J788" s="96"/>
      <c r="K788" s="96"/>
      <c r="L788" s="87"/>
      <c r="M788" s="87"/>
      <c r="N788" s="87"/>
      <c r="O788" s="87"/>
      <c r="P788" s="10"/>
      <c r="Q788" s="10"/>
      <c r="R788" s="10"/>
    </row>
    <row r="789" spans="1:18" x14ac:dyDescent="0.3">
      <c r="A789" s="173"/>
      <c r="B789" s="38"/>
      <c r="C789" s="38"/>
      <c r="D789" s="93"/>
      <c r="E789" s="93"/>
      <c r="F789" s="93"/>
      <c r="G789" s="190"/>
      <c r="H789" s="93"/>
      <c r="I789" s="97"/>
      <c r="J789" s="97"/>
      <c r="K789" s="97"/>
      <c r="L789" s="93"/>
      <c r="M789" s="93"/>
      <c r="N789" s="93"/>
      <c r="O789" s="93"/>
      <c r="P789" s="38"/>
      <c r="Q789" s="38"/>
      <c r="R789" s="38"/>
    </row>
    <row r="790" spans="1:18" x14ac:dyDescent="0.3">
      <c r="A790" s="173"/>
      <c r="B790" s="38"/>
      <c r="C790" s="38"/>
      <c r="D790" s="93"/>
      <c r="E790" s="93"/>
      <c r="F790" s="93"/>
      <c r="G790" s="190"/>
      <c r="H790" s="93"/>
      <c r="I790" s="97"/>
      <c r="J790" s="97"/>
      <c r="K790" s="97"/>
      <c r="L790" s="93"/>
      <c r="M790" s="93"/>
      <c r="N790" s="93"/>
      <c r="O790" s="93"/>
      <c r="P790" s="38"/>
      <c r="Q790" s="38"/>
      <c r="R790" s="38"/>
    </row>
    <row r="791" spans="1:18" x14ac:dyDescent="0.3">
      <c r="A791" s="173"/>
      <c r="B791" s="38"/>
      <c r="C791" s="38"/>
      <c r="D791" s="93"/>
      <c r="E791" s="93"/>
      <c r="F791" s="93"/>
      <c r="G791" s="190"/>
      <c r="H791" s="93"/>
      <c r="I791" s="97"/>
      <c r="J791" s="97"/>
      <c r="K791" s="97"/>
      <c r="L791" s="93"/>
      <c r="M791" s="93"/>
      <c r="N791" s="93"/>
      <c r="O791" s="93"/>
      <c r="P791" s="38"/>
      <c r="Q791" s="38"/>
      <c r="R791" s="38"/>
    </row>
    <row r="792" spans="1:18" x14ac:dyDescent="0.3">
      <c r="A792" s="173"/>
      <c r="B792" s="38"/>
      <c r="C792" s="38"/>
      <c r="D792" s="93"/>
      <c r="E792" s="93"/>
      <c r="F792" s="93"/>
      <c r="G792" s="190"/>
      <c r="H792" s="93"/>
      <c r="I792" s="97"/>
      <c r="J792" s="97"/>
      <c r="K792" s="97"/>
      <c r="L792" s="93"/>
      <c r="M792" s="93"/>
      <c r="N792" s="93"/>
      <c r="O792" s="93"/>
      <c r="P792" s="38"/>
      <c r="Q792" s="38"/>
      <c r="R792" s="38"/>
    </row>
    <row r="793" spans="1:18" x14ac:dyDescent="0.3">
      <c r="A793" s="173"/>
      <c r="B793" s="38"/>
      <c r="C793" s="38"/>
      <c r="D793" s="93"/>
      <c r="E793" s="93"/>
      <c r="F793" s="93"/>
      <c r="G793" s="190"/>
      <c r="H793" s="93"/>
      <c r="I793" s="97"/>
      <c r="J793" s="97"/>
      <c r="K793" s="97"/>
      <c r="L793" s="93"/>
      <c r="M793" s="93"/>
      <c r="N793" s="93"/>
      <c r="O793" s="93"/>
      <c r="P793" s="38"/>
      <c r="Q793" s="38"/>
      <c r="R793" s="38"/>
    </row>
    <row r="794" spans="1:18" x14ac:dyDescent="0.3">
      <c r="A794" s="164"/>
      <c r="B794" s="10"/>
      <c r="C794" s="10"/>
      <c r="D794" s="87"/>
      <c r="E794" s="87"/>
      <c r="F794" s="87"/>
      <c r="G794" s="181"/>
      <c r="H794" s="87"/>
      <c r="I794" s="96"/>
      <c r="J794" s="96"/>
      <c r="K794" s="96"/>
      <c r="L794" s="87"/>
      <c r="M794" s="87"/>
      <c r="N794" s="87"/>
      <c r="O794" s="87"/>
      <c r="P794" s="10"/>
      <c r="Q794" s="10"/>
      <c r="R794" s="10"/>
    </row>
    <row r="795" spans="1:18" x14ac:dyDescent="0.3">
      <c r="A795" s="164"/>
      <c r="B795" s="10"/>
      <c r="C795" s="10"/>
      <c r="D795" s="87"/>
      <c r="E795" s="87"/>
      <c r="F795" s="87"/>
      <c r="G795" s="181"/>
      <c r="H795" s="87"/>
      <c r="I795" s="96"/>
      <c r="J795" s="96"/>
      <c r="K795" s="96"/>
      <c r="L795" s="87"/>
      <c r="M795" s="87"/>
      <c r="N795" s="87"/>
      <c r="O795" s="87"/>
      <c r="P795" s="10"/>
      <c r="Q795" s="10"/>
      <c r="R795" s="10"/>
    </row>
    <row r="796" spans="1:18" x14ac:dyDescent="0.3">
      <c r="A796" s="164"/>
      <c r="B796" s="10"/>
      <c r="C796" s="10"/>
      <c r="D796" s="87"/>
      <c r="E796" s="87"/>
      <c r="F796" s="87"/>
      <c r="G796" s="181"/>
      <c r="H796" s="87"/>
      <c r="I796" s="96"/>
      <c r="J796" s="96"/>
      <c r="K796" s="96"/>
      <c r="L796" s="87"/>
      <c r="M796" s="87"/>
      <c r="N796" s="87"/>
      <c r="O796" s="87"/>
      <c r="P796" s="10"/>
      <c r="Q796" s="10"/>
      <c r="R796" s="10"/>
    </row>
    <row r="797" spans="1:18" x14ac:dyDescent="0.3">
      <c r="A797" s="173"/>
      <c r="B797" s="38"/>
      <c r="C797" s="38"/>
      <c r="D797" s="93"/>
      <c r="E797" s="93"/>
      <c r="F797" s="93"/>
      <c r="G797" s="190"/>
      <c r="H797" s="93"/>
      <c r="I797" s="97"/>
      <c r="J797" s="97"/>
      <c r="K797" s="97"/>
      <c r="L797" s="93"/>
      <c r="M797" s="93"/>
      <c r="N797" s="93"/>
      <c r="O797" s="93"/>
      <c r="P797" s="38"/>
      <c r="Q797" s="38"/>
      <c r="R797" s="38"/>
    </row>
    <row r="798" spans="1:18" x14ac:dyDescent="0.3">
      <c r="A798" s="173"/>
      <c r="B798" s="38"/>
      <c r="C798" s="38"/>
      <c r="D798" s="93"/>
      <c r="E798" s="93"/>
      <c r="F798" s="93"/>
      <c r="G798" s="190"/>
      <c r="H798" s="93"/>
      <c r="I798" s="97"/>
      <c r="J798" s="97"/>
      <c r="K798" s="97"/>
      <c r="L798" s="93"/>
      <c r="M798" s="93"/>
      <c r="N798" s="93"/>
      <c r="O798" s="93"/>
      <c r="P798" s="38"/>
      <c r="Q798" s="38"/>
      <c r="R798" s="38"/>
    </row>
    <row r="799" spans="1:18" x14ac:dyDescent="0.3">
      <c r="A799" s="173"/>
      <c r="B799" s="38"/>
      <c r="C799" s="38"/>
      <c r="D799" s="93"/>
      <c r="E799" s="93"/>
      <c r="F799" s="93"/>
      <c r="G799" s="190"/>
      <c r="H799" s="93"/>
      <c r="I799" s="97"/>
      <c r="J799" s="97"/>
      <c r="K799" s="97"/>
      <c r="L799" s="93"/>
      <c r="M799" s="93"/>
      <c r="N799" s="93"/>
      <c r="O799" s="93"/>
      <c r="P799" s="38"/>
      <c r="Q799" s="38"/>
      <c r="R799" s="38"/>
    </row>
    <row r="800" spans="1:18" x14ac:dyDescent="0.3">
      <c r="A800" s="173"/>
      <c r="B800" s="38"/>
      <c r="C800" s="38"/>
      <c r="D800" s="93"/>
      <c r="E800" s="93"/>
      <c r="F800" s="93"/>
      <c r="G800" s="190"/>
      <c r="H800" s="93"/>
      <c r="I800" s="97"/>
      <c r="J800" s="97"/>
      <c r="K800" s="97"/>
      <c r="L800" s="93"/>
      <c r="M800" s="93"/>
      <c r="N800" s="93"/>
      <c r="O800" s="93"/>
      <c r="P800" s="38"/>
      <c r="Q800" s="38"/>
      <c r="R800" s="38"/>
    </row>
    <row r="801" spans="1:18" x14ac:dyDescent="0.3">
      <c r="A801" s="165"/>
      <c r="B801" s="48"/>
      <c r="C801" s="48"/>
      <c r="D801" s="90"/>
      <c r="E801" s="90"/>
      <c r="F801" s="90"/>
      <c r="G801" s="182"/>
      <c r="H801" s="90"/>
      <c r="I801" s="95"/>
      <c r="J801" s="95"/>
      <c r="K801" s="95"/>
      <c r="L801" s="90"/>
      <c r="M801" s="90"/>
      <c r="N801" s="90"/>
      <c r="O801" s="90"/>
      <c r="P801" s="48"/>
      <c r="Q801" s="48"/>
      <c r="R801" s="48"/>
    </row>
    <row r="802" spans="1:18" x14ac:dyDescent="0.3">
      <c r="A802" s="165"/>
      <c r="B802" s="48"/>
      <c r="C802" s="48"/>
      <c r="D802" s="90"/>
      <c r="E802" s="90"/>
      <c r="F802" s="90"/>
      <c r="G802" s="182"/>
      <c r="H802" s="90"/>
      <c r="I802" s="95"/>
      <c r="J802" s="95"/>
      <c r="K802" s="95"/>
      <c r="L802" s="90"/>
      <c r="M802" s="90"/>
      <c r="N802" s="90"/>
      <c r="O802" s="90"/>
      <c r="P802" s="48"/>
      <c r="Q802" s="48"/>
      <c r="R802" s="48"/>
    </row>
    <row r="803" spans="1:18" x14ac:dyDescent="0.3">
      <c r="A803" s="162"/>
      <c r="B803" s="101"/>
      <c r="C803" s="101"/>
      <c r="D803" s="100"/>
      <c r="E803" s="100"/>
      <c r="F803" s="100"/>
      <c r="G803" s="179"/>
      <c r="H803" s="100"/>
      <c r="I803" s="102"/>
      <c r="J803" s="102"/>
      <c r="K803" s="102"/>
      <c r="L803" s="100"/>
      <c r="M803" s="100"/>
      <c r="N803" s="100"/>
      <c r="O803" s="100"/>
      <c r="P803" s="101"/>
      <c r="Q803" s="101"/>
      <c r="R803" s="101"/>
    </row>
    <row r="804" spans="1:18" x14ac:dyDescent="0.3">
      <c r="A804" s="162"/>
      <c r="B804" s="101"/>
      <c r="C804" s="101"/>
      <c r="D804" s="100"/>
      <c r="E804" s="100"/>
      <c r="F804" s="100"/>
      <c r="G804" s="179"/>
      <c r="H804" s="100"/>
      <c r="I804" s="102"/>
      <c r="J804" s="102"/>
      <c r="K804" s="102"/>
      <c r="L804" s="100"/>
      <c r="M804" s="100"/>
      <c r="N804" s="100"/>
      <c r="O804" s="100"/>
      <c r="P804" s="101"/>
      <c r="Q804" s="101"/>
      <c r="R804" s="101"/>
    </row>
    <row r="805" spans="1:18" x14ac:dyDescent="0.3">
      <c r="A805" s="162"/>
      <c r="B805" s="101"/>
      <c r="C805" s="101"/>
      <c r="D805" s="100"/>
      <c r="E805" s="100"/>
      <c r="F805" s="100"/>
      <c r="G805" s="179"/>
      <c r="H805" s="100"/>
      <c r="I805" s="102"/>
      <c r="J805" s="102"/>
      <c r="K805" s="102"/>
      <c r="L805" s="100"/>
      <c r="M805" s="100"/>
      <c r="N805" s="100"/>
      <c r="O805" s="100"/>
      <c r="P805" s="101"/>
      <c r="Q805" s="101"/>
      <c r="R805" s="101"/>
    </row>
    <row r="806" spans="1:18" x14ac:dyDescent="0.3">
      <c r="A806" s="168"/>
      <c r="B806" s="146"/>
      <c r="C806" s="146"/>
      <c r="D806" s="147"/>
      <c r="E806" s="147"/>
      <c r="F806" s="147"/>
      <c r="G806" s="185"/>
      <c r="H806" s="147"/>
      <c r="I806" s="148"/>
      <c r="J806" s="148"/>
      <c r="K806" s="148"/>
      <c r="L806" s="147"/>
      <c r="M806" s="147"/>
      <c r="N806" s="147"/>
      <c r="O806" s="147"/>
      <c r="P806" s="146"/>
      <c r="Q806" s="146"/>
      <c r="R806" s="146"/>
    </row>
    <row r="807" spans="1:18" x14ac:dyDescent="0.3">
      <c r="A807" s="168"/>
      <c r="B807" s="146"/>
      <c r="C807" s="146"/>
      <c r="D807" s="147"/>
      <c r="E807" s="147"/>
      <c r="F807" s="147"/>
      <c r="G807" s="185"/>
      <c r="H807" s="147"/>
      <c r="I807" s="148"/>
      <c r="J807" s="148"/>
      <c r="K807" s="148"/>
      <c r="L807" s="147"/>
      <c r="M807" s="147"/>
      <c r="N807" s="147"/>
      <c r="O807" s="147"/>
      <c r="P807" s="146"/>
      <c r="Q807" s="146"/>
      <c r="R807" s="146"/>
    </row>
    <row r="808" spans="1:18" x14ac:dyDescent="0.3">
      <c r="A808" s="168"/>
      <c r="B808" s="146"/>
      <c r="C808" s="146"/>
      <c r="D808" s="147"/>
      <c r="E808" s="147"/>
      <c r="F808" s="147"/>
      <c r="G808" s="185"/>
      <c r="H808" s="147"/>
      <c r="I808" s="148"/>
      <c r="J808" s="148"/>
      <c r="K808" s="148"/>
      <c r="L808" s="147"/>
      <c r="M808" s="147"/>
      <c r="N808" s="147"/>
      <c r="O808" s="147"/>
      <c r="P808" s="146"/>
      <c r="Q808" s="146"/>
      <c r="R808" s="146"/>
    </row>
    <row r="809" spans="1:18" x14ac:dyDescent="0.3">
      <c r="A809" s="162"/>
      <c r="B809" s="101"/>
      <c r="C809" s="101"/>
      <c r="D809" s="100"/>
      <c r="E809" s="100"/>
      <c r="F809" s="100"/>
      <c r="G809" s="179"/>
      <c r="H809" s="100"/>
      <c r="I809" s="102"/>
      <c r="J809" s="102"/>
      <c r="K809" s="102"/>
      <c r="L809" s="100"/>
      <c r="M809" s="100"/>
      <c r="N809" s="100"/>
      <c r="O809" s="100"/>
      <c r="P809" s="101"/>
      <c r="Q809" s="101"/>
      <c r="R809" s="101"/>
    </row>
    <row r="810" spans="1:18" x14ac:dyDescent="0.3">
      <c r="A810" s="162"/>
      <c r="B810" s="101"/>
      <c r="C810" s="101"/>
      <c r="D810" s="100"/>
      <c r="E810" s="100"/>
      <c r="F810" s="100"/>
      <c r="G810" s="179"/>
      <c r="H810" s="100"/>
      <c r="I810" s="102"/>
      <c r="J810" s="102"/>
      <c r="K810" s="102"/>
      <c r="L810" s="100"/>
      <c r="M810" s="100"/>
      <c r="N810" s="100"/>
      <c r="O810" s="100"/>
      <c r="P810" s="101"/>
      <c r="Q810" s="101"/>
      <c r="R810" s="101"/>
    </row>
    <row r="811" spans="1:18" x14ac:dyDescent="0.3">
      <c r="A811" s="162"/>
      <c r="B811" s="101"/>
      <c r="C811" s="101"/>
      <c r="D811" s="100"/>
      <c r="E811" s="100"/>
      <c r="F811" s="100"/>
      <c r="G811" s="179"/>
      <c r="H811" s="100"/>
      <c r="I811" s="102"/>
      <c r="J811" s="102"/>
      <c r="K811" s="102"/>
      <c r="L811" s="100"/>
      <c r="M811" s="100"/>
      <c r="N811" s="100"/>
      <c r="O811" s="100"/>
      <c r="P811" s="101"/>
      <c r="Q811" s="101"/>
      <c r="R811" s="101"/>
    </row>
    <row r="812" spans="1:18" x14ac:dyDescent="0.3">
      <c r="A812" s="168"/>
      <c r="B812" s="146"/>
      <c r="C812" s="146"/>
      <c r="D812" s="147"/>
      <c r="E812" s="147"/>
      <c r="F812" s="147"/>
      <c r="G812" s="185"/>
      <c r="H812" s="147"/>
      <c r="I812" s="148"/>
      <c r="J812" s="148"/>
      <c r="K812" s="148"/>
      <c r="L812" s="147"/>
      <c r="M812" s="147"/>
      <c r="N812" s="147"/>
      <c r="O812" s="147"/>
      <c r="P812" s="146"/>
      <c r="Q812" s="146"/>
      <c r="R812" s="146"/>
    </row>
    <row r="813" spans="1:18" x14ac:dyDescent="0.3">
      <c r="A813" s="168"/>
      <c r="B813" s="146"/>
      <c r="C813" s="146"/>
      <c r="D813" s="147"/>
      <c r="E813" s="147"/>
      <c r="F813" s="147"/>
      <c r="G813" s="185"/>
      <c r="H813" s="147"/>
      <c r="I813" s="148"/>
      <c r="J813" s="148"/>
      <c r="K813" s="148"/>
      <c r="L813" s="147"/>
      <c r="M813" s="147"/>
      <c r="N813" s="147"/>
      <c r="O813" s="147"/>
      <c r="P813" s="146"/>
      <c r="Q813" s="146"/>
      <c r="R813" s="146"/>
    </row>
    <row r="814" spans="1:18" x14ac:dyDescent="0.3">
      <c r="A814" s="168"/>
      <c r="B814" s="146"/>
      <c r="C814" s="146"/>
      <c r="D814" s="147"/>
      <c r="E814" s="147"/>
      <c r="F814" s="147"/>
      <c r="G814" s="185"/>
      <c r="H814" s="147"/>
      <c r="I814" s="148"/>
      <c r="J814" s="148"/>
      <c r="K814" s="148"/>
      <c r="L814" s="147"/>
      <c r="M814" s="147"/>
      <c r="N814" s="147"/>
      <c r="O814" s="147"/>
      <c r="P814" s="146"/>
      <c r="Q814" s="146"/>
      <c r="R814" s="146"/>
    </row>
    <row r="815" spans="1:18" x14ac:dyDescent="0.3">
      <c r="A815" s="165"/>
      <c r="B815" s="48"/>
      <c r="C815" s="48"/>
      <c r="D815" s="90"/>
      <c r="E815" s="90"/>
      <c r="F815" s="90"/>
      <c r="G815" s="182"/>
      <c r="H815" s="90"/>
      <c r="I815" s="95"/>
      <c r="J815" s="95"/>
      <c r="K815" s="95"/>
      <c r="L815" s="90"/>
      <c r="M815" s="90"/>
      <c r="N815" s="90"/>
      <c r="O815" s="90"/>
      <c r="P815" s="48"/>
      <c r="Q815" s="48"/>
      <c r="R815" s="48"/>
    </row>
    <row r="816" spans="1:18" x14ac:dyDescent="0.3">
      <c r="A816" s="172"/>
      <c r="B816" s="7"/>
      <c r="C816" s="7"/>
      <c r="D816" s="64"/>
      <c r="E816" s="64"/>
      <c r="F816" s="64"/>
      <c r="G816" s="189"/>
      <c r="H816" s="64"/>
      <c r="I816" s="85"/>
      <c r="J816" s="14"/>
      <c r="K816" s="85"/>
      <c r="L816" s="64"/>
      <c r="M816" s="64"/>
      <c r="N816" s="64"/>
      <c r="O816" s="64"/>
      <c r="P816" s="7"/>
      <c r="Q816" s="15"/>
      <c r="R816" s="14"/>
    </row>
    <row r="817" spans="1:18" x14ac:dyDescent="0.3">
      <c r="A817" s="172"/>
      <c r="B817" s="7"/>
      <c r="C817" s="7"/>
      <c r="D817" s="64"/>
      <c r="E817" s="64"/>
      <c r="F817" s="64"/>
      <c r="G817" s="189"/>
      <c r="H817" s="64"/>
      <c r="I817" s="85"/>
      <c r="J817" s="14"/>
      <c r="K817" s="85"/>
      <c r="L817" s="64"/>
      <c r="M817" s="64"/>
      <c r="N817" s="64"/>
      <c r="O817" s="64"/>
      <c r="P817" s="7"/>
      <c r="Q817" s="15"/>
      <c r="R817" s="14"/>
    </row>
    <row r="818" spans="1:18" x14ac:dyDescent="0.3">
      <c r="A818" s="172"/>
      <c r="B818" s="7"/>
      <c r="C818" s="7"/>
      <c r="D818" s="64"/>
      <c r="E818" s="64"/>
      <c r="F818" s="64"/>
      <c r="G818" s="189"/>
      <c r="H818" s="64"/>
      <c r="I818" s="85"/>
      <c r="J818" s="14"/>
      <c r="K818" s="85"/>
      <c r="L818" s="64"/>
      <c r="M818" s="64"/>
      <c r="N818" s="64"/>
      <c r="O818" s="64"/>
      <c r="P818" s="7"/>
      <c r="Q818" s="15"/>
      <c r="R818" s="14"/>
    </row>
    <row r="819" spans="1:18" ht="27.75" customHeight="1" x14ac:dyDescent="0.3">
      <c r="A819" s="172"/>
      <c r="B819" s="7"/>
      <c r="C819" s="7"/>
      <c r="D819" s="64"/>
      <c r="E819" s="64"/>
      <c r="F819" s="64"/>
      <c r="G819" s="189"/>
      <c r="H819" s="64"/>
      <c r="I819" s="85"/>
      <c r="J819" s="14"/>
      <c r="K819" s="85"/>
      <c r="L819" s="64"/>
      <c r="M819" s="64"/>
      <c r="N819" s="64"/>
      <c r="O819" s="64"/>
      <c r="P819" s="7"/>
      <c r="Q819" s="15"/>
      <c r="R819" s="15"/>
    </row>
    <row r="820" spans="1:18" ht="27.75" customHeight="1" x14ac:dyDescent="0.3">
      <c r="A820" s="172"/>
      <c r="B820" s="7"/>
      <c r="C820" s="7"/>
      <c r="D820" s="64"/>
      <c r="E820" s="64"/>
      <c r="F820" s="64"/>
      <c r="G820" s="189"/>
      <c r="H820" s="64"/>
      <c r="I820" s="85"/>
      <c r="J820" s="14"/>
      <c r="K820" s="85"/>
      <c r="L820" s="64"/>
      <c r="M820" s="64"/>
      <c r="N820" s="64"/>
      <c r="O820" s="64"/>
      <c r="P820" s="7"/>
      <c r="Q820" s="15"/>
      <c r="R820" s="15"/>
    </row>
    <row r="821" spans="1:18" ht="41.25" customHeight="1" x14ac:dyDescent="0.3">
      <c r="A821" s="172"/>
      <c r="B821" s="7"/>
      <c r="C821" s="7"/>
      <c r="D821" s="64"/>
      <c r="E821" s="64"/>
      <c r="F821" s="64"/>
      <c r="G821" s="189"/>
      <c r="H821" s="64"/>
      <c r="I821" s="85"/>
      <c r="J821" s="14"/>
      <c r="K821" s="85"/>
      <c r="L821" s="64"/>
      <c r="M821" s="64"/>
      <c r="N821" s="64"/>
      <c r="O821" s="64"/>
      <c r="P821" s="7"/>
      <c r="Q821" s="15"/>
      <c r="R821" s="15"/>
    </row>
    <row r="822" spans="1:18" x14ac:dyDescent="0.3">
      <c r="A822" s="172"/>
      <c r="B822" s="7"/>
      <c r="C822" s="7"/>
      <c r="D822" s="64"/>
      <c r="E822" s="64"/>
      <c r="F822" s="64"/>
      <c r="G822" s="189"/>
      <c r="H822" s="64"/>
      <c r="I822" s="85"/>
      <c r="J822" s="14"/>
      <c r="K822" s="85"/>
      <c r="L822" s="64"/>
      <c r="M822" s="64"/>
      <c r="N822" s="64"/>
      <c r="O822" s="64"/>
      <c r="P822" s="7"/>
      <c r="Q822" s="15"/>
      <c r="R822" s="15"/>
    </row>
    <row r="823" spans="1:18" x14ac:dyDescent="0.3">
      <c r="A823" s="172"/>
      <c r="B823" s="7"/>
      <c r="C823" s="7"/>
      <c r="D823" s="64"/>
      <c r="E823" s="64"/>
      <c r="F823" s="64"/>
      <c r="G823" s="189"/>
      <c r="H823" s="64"/>
      <c r="I823" s="85"/>
      <c r="J823" s="14"/>
      <c r="K823" s="85"/>
      <c r="L823" s="64"/>
      <c r="M823" s="64"/>
      <c r="N823" s="64"/>
      <c r="O823" s="64"/>
      <c r="P823" s="7"/>
      <c r="Q823" s="15"/>
      <c r="R823" s="15"/>
    </row>
    <row r="824" spans="1:18" x14ac:dyDescent="0.3">
      <c r="A824" s="172"/>
      <c r="B824" s="7"/>
      <c r="C824" s="7"/>
      <c r="D824" s="64"/>
      <c r="E824" s="64"/>
      <c r="F824" s="64"/>
      <c r="G824" s="189"/>
      <c r="H824" s="64"/>
      <c r="I824" s="85"/>
      <c r="J824" s="14"/>
      <c r="K824" s="85"/>
      <c r="L824" s="64"/>
      <c r="M824" s="64"/>
      <c r="N824" s="64"/>
      <c r="O824" s="64"/>
      <c r="P824" s="7"/>
      <c r="Q824" s="15"/>
      <c r="R824" s="15"/>
    </row>
    <row r="825" spans="1:18" x14ac:dyDescent="0.3">
      <c r="A825" s="173"/>
      <c r="B825" s="38"/>
      <c r="C825" s="38"/>
      <c r="D825" s="93"/>
      <c r="E825" s="93"/>
      <c r="F825" s="93"/>
      <c r="G825" s="190"/>
      <c r="H825" s="93"/>
      <c r="I825" s="97"/>
      <c r="J825" s="97"/>
      <c r="K825" s="97"/>
      <c r="L825" s="93"/>
      <c r="M825" s="93"/>
      <c r="N825" s="93"/>
      <c r="O825" s="93"/>
      <c r="P825" s="38"/>
      <c r="Q825" s="38"/>
      <c r="R825" s="38"/>
    </row>
    <row r="826" spans="1:18" x14ac:dyDescent="0.3">
      <c r="A826" s="172"/>
      <c r="B826" s="7"/>
      <c r="C826" s="7"/>
      <c r="D826" s="64"/>
      <c r="E826" s="64"/>
      <c r="F826" s="64"/>
      <c r="G826" s="189"/>
      <c r="H826" s="64"/>
      <c r="I826" s="85"/>
      <c r="J826" s="14"/>
      <c r="K826" s="85"/>
      <c r="L826" s="64"/>
      <c r="M826" s="64"/>
      <c r="N826" s="64"/>
      <c r="O826" s="64"/>
      <c r="P826" s="7"/>
      <c r="Q826" s="15"/>
      <c r="R826" s="15"/>
    </row>
    <row r="827" spans="1:18" x14ac:dyDescent="0.3">
      <c r="A827" s="172"/>
      <c r="B827" s="7"/>
      <c r="C827" s="7"/>
      <c r="D827" s="64"/>
      <c r="E827" s="64"/>
      <c r="F827" s="64"/>
      <c r="G827" s="189"/>
      <c r="H827" s="64"/>
      <c r="I827" s="85"/>
      <c r="J827" s="14"/>
      <c r="K827" s="85"/>
      <c r="L827" s="64"/>
      <c r="M827" s="64"/>
      <c r="N827" s="64"/>
      <c r="O827" s="64"/>
      <c r="P827" s="7"/>
      <c r="Q827" s="15"/>
      <c r="R827" s="15"/>
    </row>
    <row r="828" spans="1:18" x14ac:dyDescent="0.3">
      <c r="A828" s="172"/>
      <c r="B828" s="7"/>
      <c r="C828" s="7"/>
      <c r="D828" s="64"/>
      <c r="E828" s="64"/>
      <c r="F828" s="64"/>
      <c r="G828" s="189"/>
      <c r="H828" s="64"/>
      <c r="I828" s="85"/>
      <c r="J828" s="14"/>
      <c r="K828" s="85"/>
      <c r="L828" s="64"/>
      <c r="M828" s="64"/>
      <c r="N828" s="64"/>
      <c r="O828" s="64"/>
      <c r="P828" s="7"/>
      <c r="Q828" s="15"/>
      <c r="R828" s="15"/>
    </row>
    <row r="829" spans="1:18" x14ac:dyDescent="0.3">
      <c r="A829" s="172"/>
      <c r="B829" s="7"/>
      <c r="C829" s="7"/>
      <c r="D829" s="64"/>
      <c r="E829" s="64"/>
      <c r="F829" s="64"/>
      <c r="G829" s="189"/>
      <c r="H829" s="64"/>
      <c r="I829" s="85"/>
      <c r="J829" s="14"/>
      <c r="K829" s="85"/>
      <c r="L829" s="64"/>
      <c r="M829" s="64"/>
      <c r="N829" s="64"/>
      <c r="O829" s="64"/>
      <c r="P829" s="7"/>
      <c r="Q829" s="15"/>
      <c r="R829" s="15"/>
    </row>
    <row r="830" spans="1:18" x14ac:dyDescent="0.3">
      <c r="A830" s="172"/>
      <c r="B830" s="7"/>
      <c r="C830" s="7"/>
      <c r="D830" s="64"/>
      <c r="E830" s="64"/>
      <c r="F830" s="64"/>
      <c r="G830" s="189"/>
      <c r="H830" s="64"/>
      <c r="I830" s="85"/>
      <c r="J830" s="14"/>
      <c r="K830" s="85"/>
      <c r="L830" s="64"/>
      <c r="M830" s="64"/>
      <c r="N830" s="64"/>
      <c r="O830" s="64"/>
      <c r="P830" s="7"/>
      <c r="Q830" s="15"/>
      <c r="R830" s="15"/>
    </row>
    <row r="831" spans="1:18" x14ac:dyDescent="0.3">
      <c r="A831" s="172"/>
      <c r="B831" s="7"/>
      <c r="C831" s="7"/>
      <c r="D831" s="64"/>
      <c r="E831" s="64"/>
      <c r="F831" s="64"/>
      <c r="G831" s="189"/>
      <c r="H831" s="64"/>
      <c r="I831" s="85"/>
      <c r="J831" s="14"/>
      <c r="K831" s="85"/>
      <c r="L831" s="64"/>
      <c r="M831" s="64"/>
      <c r="N831" s="64"/>
      <c r="O831" s="64"/>
      <c r="P831" s="7"/>
      <c r="Q831" s="15"/>
      <c r="R831" s="15"/>
    </row>
    <row r="832" spans="1:18" x14ac:dyDescent="0.3">
      <c r="A832" s="172"/>
      <c r="B832" s="7"/>
      <c r="C832" s="7"/>
      <c r="D832" s="64"/>
      <c r="E832" s="64"/>
      <c r="F832" s="64"/>
      <c r="G832" s="189"/>
      <c r="H832" s="64"/>
      <c r="I832" s="85"/>
      <c r="J832" s="14"/>
      <c r="K832" s="85"/>
      <c r="L832" s="64"/>
      <c r="M832" s="64"/>
      <c r="N832" s="64"/>
      <c r="O832" s="64"/>
      <c r="P832" s="7"/>
      <c r="Q832" s="15"/>
      <c r="R832" s="15"/>
    </row>
    <row r="833" spans="1:18" x14ac:dyDescent="0.3">
      <c r="A833" s="172"/>
      <c r="B833" s="7"/>
      <c r="C833" s="7"/>
      <c r="D833" s="64"/>
      <c r="E833" s="64"/>
      <c r="F833" s="64"/>
      <c r="G833" s="189"/>
      <c r="H833" s="64"/>
      <c r="I833" s="85"/>
      <c r="J833" s="14"/>
      <c r="K833" s="85"/>
      <c r="L833" s="64"/>
      <c r="M833" s="64"/>
      <c r="N833" s="64"/>
      <c r="O833" s="64"/>
      <c r="P833" s="7"/>
      <c r="Q833" s="15"/>
      <c r="R833" s="15"/>
    </row>
  </sheetData>
  <phoneticPr fontId="2" type="noConversion"/>
  <conditionalFormatting sqref="A1:A1048576">
    <cfRule type="duplicateValues" dxfId="10" priority="508"/>
  </conditionalFormatting>
  <conditionalFormatting sqref="A1:R833">
    <cfRule type="containsBlanks" dxfId="9" priority="293">
      <formula>LEN(TRIM(A1))=0</formula>
    </cfRule>
    <cfRule type="cellIs" dxfId="8" priority="294" operator="equal">
      <formula>0</formula>
    </cfRule>
    <cfRule type="cellIs" dxfId="7" priority="295" operator="equal">
      <formula>FALSE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28"/>
  <sheetViews>
    <sheetView zoomScale="85" zoomScaleNormal="85" workbookViewId="0">
      <pane xSplit="1" ySplit="4" topLeftCell="K97" activePane="bottomRight" state="frozen"/>
      <selection pane="topRight" activeCell="B1" sqref="B1"/>
      <selection pane="bottomLeft" activeCell="A5" sqref="A5"/>
      <selection pane="bottomRight" activeCell="A114" sqref="A114"/>
    </sheetView>
  </sheetViews>
  <sheetFormatPr defaultRowHeight="16.5" x14ac:dyDescent="0.3"/>
  <cols>
    <col min="1" max="1" width="61.25" bestFit="1" customWidth="1"/>
    <col min="2" max="2" width="17.125" customWidth="1"/>
    <col min="3" max="4" width="16.75" customWidth="1"/>
    <col min="5" max="5" width="16.125" bestFit="1" customWidth="1"/>
    <col min="6" max="6" width="15.75" customWidth="1"/>
    <col min="7" max="7" width="9.875" bestFit="1" customWidth="1"/>
    <col min="8" max="8" width="9.25" bestFit="1" customWidth="1"/>
    <col min="9" max="9" width="11" bestFit="1" customWidth="1"/>
    <col min="10" max="10" width="16.625" customWidth="1"/>
    <col min="11" max="11" width="43" customWidth="1"/>
    <col min="12" max="13" width="16.625" customWidth="1"/>
    <col min="14" max="14" width="79.75" customWidth="1"/>
    <col min="15" max="15" width="9.875" bestFit="1" customWidth="1"/>
    <col min="16" max="16" width="8.375" bestFit="1" customWidth="1"/>
    <col min="17" max="17" width="11.625" bestFit="1" customWidth="1"/>
    <col min="20" max="20" width="11.375" bestFit="1" customWidth="1"/>
    <col min="21" max="21" width="14.25" bestFit="1" customWidth="1"/>
  </cols>
  <sheetData>
    <row r="1" spans="1:18" ht="27" x14ac:dyDescent="0.3">
      <c r="A1" s="5" t="s">
        <v>0</v>
      </c>
      <c r="B1" s="1" t="s">
        <v>1</v>
      </c>
      <c r="C1" s="1" t="s">
        <v>2</v>
      </c>
      <c r="D1" s="1" t="s">
        <v>1364</v>
      </c>
      <c r="E1" s="1" t="s">
        <v>1376</v>
      </c>
      <c r="F1" s="2" t="s">
        <v>790</v>
      </c>
      <c r="G1" s="2" t="s">
        <v>791</v>
      </c>
      <c r="H1" s="2" t="s">
        <v>792</v>
      </c>
      <c r="I1" s="2" t="s">
        <v>793</v>
      </c>
      <c r="J1" s="152" t="s">
        <v>915</v>
      </c>
      <c r="K1" s="152" t="s">
        <v>916</v>
      </c>
      <c r="L1" s="152" t="s">
        <v>916</v>
      </c>
      <c r="M1" s="152" t="s">
        <v>916</v>
      </c>
      <c r="N1" s="6" t="s">
        <v>794</v>
      </c>
      <c r="O1" s="5" t="s">
        <v>795</v>
      </c>
      <c r="P1" s="5" t="s">
        <v>796</v>
      </c>
      <c r="Q1" s="5" t="s">
        <v>797</v>
      </c>
      <c r="R1" s="5" t="s">
        <v>798</v>
      </c>
    </row>
    <row r="2" spans="1:18" x14ac:dyDescent="0.3">
      <c r="A2" s="5" t="s">
        <v>17</v>
      </c>
      <c r="B2" s="1" t="s">
        <v>18</v>
      </c>
      <c r="C2" s="1" t="s">
        <v>19</v>
      </c>
      <c r="D2" s="1" t="s">
        <v>1373</v>
      </c>
      <c r="E2" s="1" t="s">
        <v>1374</v>
      </c>
      <c r="F2" s="2" t="s">
        <v>466</v>
      </c>
      <c r="G2" s="2" t="s">
        <v>467</v>
      </c>
      <c r="H2" s="2" t="s">
        <v>468</v>
      </c>
      <c r="I2" s="2" t="s">
        <v>469</v>
      </c>
      <c r="J2" s="152" t="s">
        <v>907</v>
      </c>
      <c r="K2" s="152" t="s">
        <v>911</v>
      </c>
      <c r="L2" s="152" t="s">
        <v>913</v>
      </c>
      <c r="M2" s="152" t="s">
        <v>914</v>
      </c>
      <c r="N2" s="6" t="s">
        <v>470</v>
      </c>
      <c r="O2" s="5" t="s">
        <v>471</v>
      </c>
      <c r="P2" s="5" t="s">
        <v>472</v>
      </c>
      <c r="Q2" s="5" t="s">
        <v>30</v>
      </c>
      <c r="R2" s="205" t="s">
        <v>473</v>
      </c>
    </row>
    <row r="3" spans="1:18" x14ac:dyDescent="0.3">
      <c r="A3" s="5" t="s">
        <v>34</v>
      </c>
      <c r="B3" s="1" t="s">
        <v>35</v>
      </c>
      <c r="C3" s="1" t="s">
        <v>36</v>
      </c>
      <c r="D3" s="1" t="s">
        <v>37</v>
      </c>
      <c r="E3" s="1" t="s">
        <v>1401</v>
      </c>
      <c r="F3" s="2" t="s">
        <v>466</v>
      </c>
      <c r="G3" s="2" t="s">
        <v>467</v>
      </c>
      <c r="H3" s="2" t="s">
        <v>474</v>
      </c>
      <c r="I3" s="2" t="s">
        <v>37</v>
      </c>
      <c r="J3" s="152" t="s">
        <v>908</v>
      </c>
      <c r="K3" s="152" t="s">
        <v>912</v>
      </c>
      <c r="L3" s="152" t="s">
        <v>912</v>
      </c>
      <c r="M3" s="152" t="s">
        <v>912</v>
      </c>
      <c r="N3" s="6" t="s">
        <v>475</v>
      </c>
      <c r="O3" s="5" t="s">
        <v>37</v>
      </c>
      <c r="P3" s="5" t="s">
        <v>37</v>
      </c>
      <c r="Q3" s="5" t="s">
        <v>36</v>
      </c>
      <c r="R3" s="205" t="s">
        <v>40</v>
      </c>
    </row>
    <row r="4" spans="1:18" x14ac:dyDescent="0.3">
      <c r="A4" s="5" t="s">
        <v>42</v>
      </c>
      <c r="B4" s="1" t="s">
        <v>42</v>
      </c>
      <c r="C4" s="1" t="s">
        <v>42</v>
      </c>
      <c r="D4" s="1" t="s">
        <v>42</v>
      </c>
      <c r="E4" s="1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152" t="s">
        <v>910</v>
      </c>
      <c r="K4" s="152" t="s">
        <v>909</v>
      </c>
      <c r="L4" s="152" t="s">
        <v>909</v>
      </c>
      <c r="M4" s="152" t="s">
        <v>909</v>
      </c>
      <c r="N4" s="6" t="s">
        <v>42</v>
      </c>
      <c r="O4" s="5" t="s">
        <v>42</v>
      </c>
      <c r="P4" s="5" t="s">
        <v>42</v>
      </c>
      <c r="Q4" s="5" t="s">
        <v>43</v>
      </c>
      <c r="R4" s="205" t="s">
        <v>42</v>
      </c>
    </row>
    <row r="5" spans="1:18" x14ac:dyDescent="0.3">
      <c r="A5" s="19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3">
      <c r="A6" s="233" t="s">
        <v>2313</v>
      </c>
      <c r="B6" s="233"/>
      <c r="C6" s="233"/>
      <c r="D6" s="233">
        <v>0</v>
      </c>
      <c r="E6" s="233">
        <v>1</v>
      </c>
      <c r="F6" s="233" t="s">
        <v>476</v>
      </c>
      <c r="G6" s="233" t="s">
        <v>477</v>
      </c>
      <c r="H6" s="233"/>
      <c r="I6" s="233">
        <v>0</v>
      </c>
      <c r="J6" s="233" t="s">
        <v>2284</v>
      </c>
      <c r="K6" s="233" t="s">
        <v>2285</v>
      </c>
      <c r="L6" s="233" t="s">
        <v>2314</v>
      </c>
      <c r="M6" s="233"/>
      <c r="N6" s="233" t="str">
        <f t="shared" ref="N6:N185" si="0">J6&amp;"("&amp;IF(K6="","",K6)&amp;IF(L6="","",", "&amp;L6)&amp;IF(M6="","",", "&amp;M6)&amp;")"</f>
        <v>SkillEffectModifier(Op, m.serapulsar.ult.buff.buffeffect.modifier.01)</v>
      </c>
      <c r="O6" s="233">
        <v>0</v>
      </c>
      <c r="P6" s="233">
        <v>0</v>
      </c>
      <c r="Q6" s="233"/>
      <c r="R6" s="233" t="b">
        <v>1</v>
      </c>
    </row>
    <row r="7" spans="1:18" x14ac:dyDescent="0.3">
      <c r="A7" s="233" t="s">
        <v>2315</v>
      </c>
      <c r="B7" s="233"/>
      <c r="C7" s="233"/>
      <c r="D7" s="233">
        <v>0</v>
      </c>
      <c r="E7" s="233">
        <v>1</v>
      </c>
      <c r="F7" s="233" t="s">
        <v>476</v>
      </c>
      <c r="G7" s="233" t="s">
        <v>477</v>
      </c>
      <c r="H7" s="233"/>
      <c r="I7" s="233">
        <v>0</v>
      </c>
      <c r="J7" s="233" t="s">
        <v>2284</v>
      </c>
      <c r="K7" s="233" t="s">
        <v>2285</v>
      </c>
      <c r="L7" s="233" t="s">
        <v>2316</v>
      </c>
      <c r="M7" s="233"/>
      <c r="N7" s="233" t="str">
        <f t="shared" si="0"/>
        <v>SkillEffectModifier(Op, m.serapulsar.ult.buff.buffeffect.modifier.02)</v>
      </c>
      <c r="O7" s="233">
        <v>0</v>
      </c>
      <c r="P7" s="233">
        <v>0</v>
      </c>
      <c r="Q7" s="233"/>
      <c r="R7" s="233" t="b">
        <v>1</v>
      </c>
    </row>
    <row r="8" spans="1:18" x14ac:dyDescent="0.3">
      <c r="A8" s="233" t="s">
        <v>2317</v>
      </c>
      <c r="B8" s="233"/>
      <c r="C8" s="233"/>
      <c r="D8" s="233">
        <v>0</v>
      </c>
      <c r="E8" s="233">
        <v>1</v>
      </c>
      <c r="F8" s="233" t="s">
        <v>476</v>
      </c>
      <c r="G8" s="233" t="s">
        <v>477</v>
      </c>
      <c r="H8" s="233"/>
      <c r="I8" s="233">
        <v>0</v>
      </c>
      <c r="J8" s="233" t="s">
        <v>2284</v>
      </c>
      <c r="K8" s="233" t="s">
        <v>2285</v>
      </c>
      <c r="L8" s="233" t="s">
        <v>2318</v>
      </c>
      <c r="M8" s="233"/>
      <c r="N8" s="233" t="str">
        <f t="shared" si="0"/>
        <v>SkillEffectModifier(Op, m.serapulsar.ult.buff.buffeffect.modifier.03)</v>
      </c>
      <c r="O8" s="233">
        <v>0</v>
      </c>
      <c r="P8" s="233">
        <v>0</v>
      </c>
      <c r="Q8" s="233"/>
      <c r="R8" s="233" t="b">
        <v>1</v>
      </c>
    </row>
    <row r="9" spans="1:18" x14ac:dyDescent="0.3">
      <c r="A9" s="233" t="s">
        <v>2319</v>
      </c>
      <c r="B9" s="233"/>
      <c r="C9" s="233"/>
      <c r="D9" s="233">
        <v>0</v>
      </c>
      <c r="E9" s="233">
        <v>1</v>
      </c>
      <c r="F9" s="233" t="s">
        <v>476</v>
      </c>
      <c r="G9" s="233" t="s">
        <v>477</v>
      </c>
      <c r="H9" s="233"/>
      <c r="I9" s="233">
        <v>0</v>
      </c>
      <c r="J9" s="233" t="s">
        <v>2284</v>
      </c>
      <c r="K9" s="233" t="s">
        <v>2285</v>
      </c>
      <c r="L9" s="233" t="s">
        <v>2320</v>
      </c>
      <c r="M9" s="233"/>
      <c r="N9" s="233" t="str">
        <f t="shared" si="0"/>
        <v>SkillEffectModifier(Op, m.serapulsar.ult.buff.buffeffect.modifier.04)</v>
      </c>
      <c r="O9" s="233">
        <v>0</v>
      </c>
      <c r="P9" s="233">
        <v>0</v>
      </c>
      <c r="Q9" s="233"/>
      <c r="R9" s="233" t="b">
        <v>1</v>
      </c>
    </row>
    <row r="10" spans="1:18" x14ac:dyDescent="0.3">
      <c r="A10" s="233" t="s">
        <v>2321</v>
      </c>
      <c r="B10" s="233"/>
      <c r="C10" s="233"/>
      <c r="D10" s="233">
        <v>0</v>
      </c>
      <c r="E10" s="233">
        <v>1</v>
      </c>
      <c r="F10" s="233" t="s">
        <v>476</v>
      </c>
      <c r="G10" s="233" t="s">
        <v>477</v>
      </c>
      <c r="H10" s="233"/>
      <c r="I10" s="233">
        <v>0</v>
      </c>
      <c r="J10" s="233" t="s">
        <v>2284</v>
      </c>
      <c r="K10" s="233" t="s">
        <v>2285</v>
      </c>
      <c r="L10" s="233" t="s">
        <v>2322</v>
      </c>
      <c r="M10" s="233"/>
      <c r="N10" s="233" t="str">
        <f t="shared" si="0"/>
        <v>SkillEffectModifier(Op, m.serapulsar.ult.buff.buffeffect.modifier.05)</v>
      </c>
      <c r="O10" s="233">
        <v>0</v>
      </c>
      <c r="P10" s="233">
        <v>0</v>
      </c>
      <c r="Q10" s="233"/>
      <c r="R10" s="233" t="b">
        <v>1</v>
      </c>
    </row>
    <row r="11" spans="1:18" x14ac:dyDescent="0.3">
      <c r="A11" s="232" t="s">
        <v>2323</v>
      </c>
      <c r="B11" s="232"/>
      <c r="C11" s="232"/>
      <c r="D11" s="232">
        <v>0</v>
      </c>
      <c r="E11" s="232">
        <v>1</v>
      </c>
      <c r="F11" s="232" t="s">
        <v>476</v>
      </c>
      <c r="G11" s="232" t="s">
        <v>477</v>
      </c>
      <c r="H11" s="232"/>
      <c r="I11" s="232">
        <v>0</v>
      </c>
      <c r="J11" s="232" t="s">
        <v>2284</v>
      </c>
      <c r="K11" s="232" t="s">
        <v>2285</v>
      </c>
      <c r="L11" s="232" t="s">
        <v>2324</v>
      </c>
      <c r="M11" s="232"/>
      <c r="N11" s="232" t="str">
        <f t="shared" si="0"/>
        <v>SkillEffectModifier(Op, m.serapulsar.ult.buff.buffeffect.modifier.06)</v>
      </c>
      <c r="O11" s="232">
        <v>0</v>
      </c>
      <c r="P11" s="232">
        <v>0</v>
      </c>
      <c r="Q11" s="232"/>
      <c r="R11" s="232" t="b">
        <v>1</v>
      </c>
    </row>
    <row r="12" spans="1:18" x14ac:dyDescent="0.3">
      <c r="A12" s="232" t="s">
        <v>2325</v>
      </c>
      <c r="B12" s="232"/>
      <c r="C12" s="232"/>
      <c r="D12" s="232">
        <v>0</v>
      </c>
      <c r="E12" s="232">
        <v>1</v>
      </c>
      <c r="F12" s="232" t="s">
        <v>476</v>
      </c>
      <c r="G12" s="232" t="s">
        <v>477</v>
      </c>
      <c r="H12" s="232"/>
      <c r="I12" s="232">
        <v>0</v>
      </c>
      <c r="J12" s="232" t="s">
        <v>2284</v>
      </c>
      <c r="K12" s="232" t="s">
        <v>2285</v>
      </c>
      <c r="L12" s="232" t="s">
        <v>2326</v>
      </c>
      <c r="M12" s="232"/>
      <c r="N12" s="232" t="str">
        <f t="shared" si="0"/>
        <v>SkillEffectModifier(Op, m.serapulsar.ult.buff.buffeffect.modifier.07)</v>
      </c>
      <c r="O12" s="232">
        <v>0</v>
      </c>
      <c r="P12" s="232">
        <v>0</v>
      </c>
      <c r="Q12" s="232"/>
      <c r="R12" s="232" t="b">
        <v>1</v>
      </c>
    </row>
    <row r="13" spans="1:18" x14ac:dyDescent="0.3">
      <c r="A13" s="233" t="s">
        <v>2327</v>
      </c>
      <c r="B13" s="233"/>
      <c r="C13" s="233"/>
      <c r="D13" s="233">
        <v>0</v>
      </c>
      <c r="E13" s="233">
        <v>1</v>
      </c>
      <c r="F13" s="233" t="s">
        <v>476</v>
      </c>
      <c r="G13" s="233" t="s">
        <v>477</v>
      </c>
      <c r="H13" s="233"/>
      <c r="I13" s="233">
        <v>0</v>
      </c>
      <c r="J13" s="233" t="s">
        <v>2284</v>
      </c>
      <c r="K13" s="233" t="s">
        <v>2285</v>
      </c>
      <c r="L13" s="233" t="s">
        <v>2328</v>
      </c>
      <c r="M13" s="233"/>
      <c r="N13" s="233" t="str">
        <f t="shared" si="0"/>
        <v>SkillEffectModifier(Op, m.serapulsar.ult.act2.buff.buffeffect.modifier.01)</v>
      </c>
      <c r="O13" s="233">
        <v>0</v>
      </c>
      <c r="P13" s="233">
        <v>0</v>
      </c>
      <c r="Q13" s="233"/>
      <c r="R13" s="233" t="b">
        <v>1</v>
      </c>
    </row>
    <row r="14" spans="1:18" x14ac:dyDescent="0.3">
      <c r="A14" s="233" t="s">
        <v>2329</v>
      </c>
      <c r="B14" s="233"/>
      <c r="C14" s="233"/>
      <c r="D14" s="233">
        <v>0</v>
      </c>
      <c r="E14" s="233">
        <v>1</v>
      </c>
      <c r="F14" s="233" t="s">
        <v>476</v>
      </c>
      <c r="G14" s="233" t="s">
        <v>477</v>
      </c>
      <c r="H14" s="233"/>
      <c r="I14" s="233">
        <v>0</v>
      </c>
      <c r="J14" s="233" t="s">
        <v>2284</v>
      </c>
      <c r="K14" s="233" t="s">
        <v>2285</v>
      </c>
      <c r="L14" s="233" t="s">
        <v>2330</v>
      </c>
      <c r="M14" s="233"/>
      <c r="N14" s="233" t="str">
        <f t="shared" si="0"/>
        <v>SkillEffectModifier(Op, m.serapulsar.ult.act2.buff.buffeffect.modifier.02)</v>
      </c>
      <c r="O14" s="233">
        <v>0</v>
      </c>
      <c r="P14" s="233">
        <v>0</v>
      </c>
      <c r="Q14" s="233"/>
      <c r="R14" s="233" t="b">
        <v>1</v>
      </c>
    </row>
    <row r="15" spans="1:18" x14ac:dyDescent="0.3">
      <c r="A15" s="233" t="s">
        <v>2331</v>
      </c>
      <c r="B15" s="233"/>
      <c r="C15" s="233"/>
      <c r="D15" s="233">
        <v>0</v>
      </c>
      <c r="E15" s="233">
        <v>1</v>
      </c>
      <c r="F15" s="233" t="s">
        <v>476</v>
      </c>
      <c r="G15" s="233" t="s">
        <v>477</v>
      </c>
      <c r="H15" s="233"/>
      <c r="I15" s="233">
        <v>0</v>
      </c>
      <c r="J15" s="233" t="s">
        <v>2284</v>
      </c>
      <c r="K15" s="233" t="s">
        <v>2285</v>
      </c>
      <c r="L15" s="233" t="s">
        <v>2332</v>
      </c>
      <c r="M15" s="233"/>
      <c r="N15" s="233" t="str">
        <f t="shared" si="0"/>
        <v>SkillEffectModifier(Op, m.serapulsar.ult.act2.buff.buffeffect.modifier.03)</v>
      </c>
      <c r="O15" s="233">
        <v>0</v>
      </c>
      <c r="P15" s="233">
        <v>0</v>
      </c>
      <c r="Q15" s="233"/>
      <c r="R15" s="233" t="b">
        <v>1</v>
      </c>
    </row>
    <row r="16" spans="1:18" x14ac:dyDescent="0.3">
      <c r="A16" s="233" t="s">
        <v>2333</v>
      </c>
      <c r="B16" s="233"/>
      <c r="C16" s="233"/>
      <c r="D16" s="233">
        <v>0</v>
      </c>
      <c r="E16" s="233">
        <v>1</v>
      </c>
      <c r="F16" s="233" t="s">
        <v>476</v>
      </c>
      <c r="G16" s="233" t="s">
        <v>477</v>
      </c>
      <c r="H16" s="233"/>
      <c r="I16" s="233">
        <v>0</v>
      </c>
      <c r="J16" s="233" t="s">
        <v>2284</v>
      </c>
      <c r="K16" s="233" t="s">
        <v>2285</v>
      </c>
      <c r="L16" s="233" t="s">
        <v>2334</v>
      </c>
      <c r="M16" s="233"/>
      <c r="N16" s="233" t="str">
        <f t="shared" si="0"/>
        <v>SkillEffectModifier(Op, m.serapulsar.ult.act2.buff.buffeffect.modifier.04)</v>
      </c>
      <c r="O16" s="233">
        <v>0</v>
      </c>
      <c r="P16" s="233">
        <v>0</v>
      </c>
      <c r="Q16" s="233"/>
      <c r="R16" s="233" t="b">
        <v>1</v>
      </c>
    </row>
    <row r="17" spans="1:18" x14ac:dyDescent="0.3">
      <c r="A17" s="233" t="s">
        <v>2335</v>
      </c>
      <c r="B17" s="233"/>
      <c r="C17" s="233"/>
      <c r="D17" s="233">
        <v>0</v>
      </c>
      <c r="E17" s="233">
        <v>1</v>
      </c>
      <c r="F17" s="233" t="s">
        <v>476</v>
      </c>
      <c r="G17" s="233" t="s">
        <v>477</v>
      </c>
      <c r="H17" s="233"/>
      <c r="I17" s="233">
        <v>0</v>
      </c>
      <c r="J17" s="233" t="s">
        <v>2284</v>
      </c>
      <c r="K17" s="233" t="s">
        <v>2285</v>
      </c>
      <c r="L17" s="233" t="s">
        <v>2336</v>
      </c>
      <c r="M17" s="233"/>
      <c r="N17" s="233" t="str">
        <f t="shared" si="0"/>
        <v>SkillEffectModifier(Op, m.serapulsar.ult.act2.buff.buffeffect.modifier.05)</v>
      </c>
      <c r="O17" s="233">
        <v>0</v>
      </c>
      <c r="P17" s="233">
        <v>0</v>
      </c>
      <c r="Q17" s="233"/>
      <c r="R17" s="233" t="b">
        <v>1</v>
      </c>
    </row>
    <row r="18" spans="1:18" x14ac:dyDescent="0.3">
      <c r="A18" s="232" t="s">
        <v>2337</v>
      </c>
      <c r="B18" s="232"/>
      <c r="C18" s="232"/>
      <c r="D18" s="232">
        <v>0</v>
      </c>
      <c r="E18" s="232">
        <v>1</v>
      </c>
      <c r="F18" s="232" t="s">
        <v>476</v>
      </c>
      <c r="G18" s="232" t="s">
        <v>477</v>
      </c>
      <c r="H18" s="232"/>
      <c r="I18" s="232">
        <v>0</v>
      </c>
      <c r="J18" s="232" t="s">
        <v>2284</v>
      </c>
      <c r="K18" s="232" t="s">
        <v>2285</v>
      </c>
      <c r="L18" s="232" t="s">
        <v>2338</v>
      </c>
      <c r="M18" s="232"/>
      <c r="N18" s="232" t="str">
        <f t="shared" si="0"/>
        <v>SkillEffectModifier(Op, m.serapulsar.ult.act2.buff.buffeffect.modifier.06)</v>
      </c>
      <c r="O18" s="232">
        <v>0</v>
      </c>
      <c r="P18" s="232">
        <v>0</v>
      </c>
      <c r="Q18" s="232"/>
      <c r="R18" s="232" t="b">
        <v>1</v>
      </c>
    </row>
    <row r="19" spans="1:18" x14ac:dyDescent="0.3">
      <c r="A19" s="235" t="s">
        <v>2339</v>
      </c>
      <c r="B19" s="235"/>
      <c r="C19" s="235"/>
      <c r="D19" s="235">
        <v>0</v>
      </c>
      <c r="E19" s="235">
        <v>1</v>
      </c>
      <c r="F19" s="235" t="s">
        <v>476</v>
      </c>
      <c r="G19" s="235" t="s">
        <v>477</v>
      </c>
      <c r="H19" s="235"/>
      <c r="I19" s="235">
        <v>0</v>
      </c>
      <c r="J19" s="235" t="s">
        <v>877</v>
      </c>
      <c r="K19" s="235" t="s">
        <v>878</v>
      </c>
      <c r="L19" s="235"/>
      <c r="M19" s="235"/>
      <c r="N19" s="235" t="str">
        <f t="shared" si="0"/>
        <v>ChangeSkill(Normal)</v>
      </c>
      <c r="O19" s="235">
        <v>0</v>
      </c>
      <c r="P19" s="235">
        <v>0</v>
      </c>
      <c r="Q19" s="235"/>
      <c r="R19" s="235" t="b">
        <v>1</v>
      </c>
    </row>
    <row r="20" spans="1:18" x14ac:dyDescent="0.3">
      <c r="A20" s="234" t="s">
        <v>2340</v>
      </c>
      <c r="B20" s="234"/>
      <c r="C20" s="234"/>
      <c r="D20" s="234">
        <v>0</v>
      </c>
      <c r="E20" s="234">
        <v>1</v>
      </c>
      <c r="F20" s="234" t="s">
        <v>476</v>
      </c>
      <c r="G20" s="234" t="s">
        <v>477</v>
      </c>
      <c r="H20" s="234"/>
      <c r="I20" s="234">
        <v>0</v>
      </c>
      <c r="J20" s="234" t="s">
        <v>877</v>
      </c>
      <c r="K20" s="234" t="s">
        <v>949</v>
      </c>
      <c r="L20" s="234"/>
      <c r="M20" s="234"/>
      <c r="N20" s="249" t="str">
        <f t="shared" si="0"/>
        <v>ChangeSkill(Skill1)</v>
      </c>
      <c r="O20" s="234">
        <v>0</v>
      </c>
      <c r="P20" s="235">
        <v>0</v>
      </c>
      <c r="Q20" s="234"/>
      <c r="R20" s="234" t="b">
        <v>1</v>
      </c>
    </row>
    <row r="21" spans="1:18" x14ac:dyDescent="0.3">
      <c r="A21" s="234" t="s">
        <v>2341</v>
      </c>
      <c r="B21" s="234"/>
      <c r="C21" s="234"/>
      <c r="D21" s="234">
        <v>0</v>
      </c>
      <c r="E21" s="234">
        <v>1</v>
      </c>
      <c r="F21" s="234" t="s">
        <v>476</v>
      </c>
      <c r="G21" s="234" t="s">
        <v>477</v>
      </c>
      <c r="H21" s="234"/>
      <c r="I21" s="234">
        <v>0</v>
      </c>
      <c r="J21" s="234" t="s">
        <v>877</v>
      </c>
      <c r="K21" s="234" t="s">
        <v>982</v>
      </c>
      <c r="L21" s="234"/>
      <c r="M21" s="234"/>
      <c r="N21" s="249" t="str">
        <f t="shared" si="0"/>
        <v>ChangeSkill(Skill2)</v>
      </c>
      <c r="O21" s="234">
        <v>0</v>
      </c>
      <c r="P21" s="235">
        <v>0</v>
      </c>
      <c r="Q21" s="234"/>
      <c r="R21" s="234" t="b">
        <v>1</v>
      </c>
    </row>
    <row r="22" spans="1:18" x14ac:dyDescent="0.3">
      <c r="A22" s="235" t="s">
        <v>2342</v>
      </c>
      <c r="B22" s="235"/>
      <c r="C22" s="235"/>
      <c r="D22" s="235">
        <v>0</v>
      </c>
      <c r="E22" s="235">
        <v>1</v>
      </c>
      <c r="F22" s="235" t="s">
        <v>476</v>
      </c>
      <c r="G22" s="235" t="s">
        <v>477</v>
      </c>
      <c r="H22" s="235"/>
      <c r="I22" s="235">
        <v>0</v>
      </c>
      <c r="J22" s="235" t="s">
        <v>860</v>
      </c>
      <c r="K22" s="235" t="s">
        <v>2343</v>
      </c>
      <c r="L22" s="235"/>
      <c r="M22" s="235"/>
      <c r="N22" s="235" t="str">
        <f t="shared" si="0"/>
        <v>Active(m.serapulsar.ult.changeskill.cost.skilleffect.01)</v>
      </c>
      <c r="O22" s="235">
        <v>0</v>
      </c>
      <c r="P22" s="235">
        <v>500</v>
      </c>
      <c r="Q22" s="235"/>
      <c r="R22" s="235" t="b">
        <v>1</v>
      </c>
    </row>
    <row r="23" spans="1:18" x14ac:dyDescent="0.3">
      <c r="A23" s="235" t="s">
        <v>2344</v>
      </c>
      <c r="B23" s="235"/>
      <c r="C23" s="235"/>
      <c r="D23" s="235">
        <v>0</v>
      </c>
      <c r="E23" s="235">
        <v>1</v>
      </c>
      <c r="F23" s="235" t="s">
        <v>476</v>
      </c>
      <c r="G23" s="235" t="s">
        <v>477</v>
      </c>
      <c r="H23" s="235"/>
      <c r="I23" s="235">
        <v>0</v>
      </c>
      <c r="J23" s="235" t="s">
        <v>860</v>
      </c>
      <c r="K23" s="235" t="s">
        <v>2345</v>
      </c>
      <c r="L23" s="235"/>
      <c r="M23" s="235"/>
      <c r="N23" s="235" t="str">
        <f t="shared" si="0"/>
        <v>Active(m.serapulsar.ult.changeskill.cost.skilleffect.02)</v>
      </c>
      <c r="O23" s="235">
        <v>0</v>
      </c>
      <c r="P23" s="235">
        <v>500</v>
      </c>
      <c r="Q23" s="235"/>
      <c r="R23" s="235" t="b">
        <v>1</v>
      </c>
    </row>
    <row r="24" spans="1:18" x14ac:dyDescent="0.3">
      <c r="A24" s="235" t="s">
        <v>2346</v>
      </c>
      <c r="B24" s="235"/>
      <c r="C24" s="235"/>
      <c r="D24" s="235">
        <v>0</v>
      </c>
      <c r="E24" s="235">
        <v>1</v>
      </c>
      <c r="F24" s="235" t="s">
        <v>476</v>
      </c>
      <c r="G24" s="235" t="s">
        <v>477</v>
      </c>
      <c r="H24" s="235"/>
      <c r="I24" s="235">
        <v>0</v>
      </c>
      <c r="J24" s="235" t="s">
        <v>860</v>
      </c>
      <c r="K24" s="235" t="s">
        <v>2347</v>
      </c>
      <c r="L24" s="235"/>
      <c r="M24" s="235"/>
      <c r="N24" s="235" t="str">
        <f t="shared" si="0"/>
        <v>Active(m.serapulsar.ult.changeskill.cost.skilleffect.03)</v>
      </c>
      <c r="O24" s="235">
        <v>0</v>
      </c>
      <c r="P24" s="235">
        <v>500</v>
      </c>
      <c r="Q24" s="235"/>
      <c r="R24" s="235" t="b">
        <v>1</v>
      </c>
    </row>
    <row r="25" spans="1:18" x14ac:dyDescent="0.3">
      <c r="A25" s="235" t="s">
        <v>2348</v>
      </c>
      <c r="B25" s="235"/>
      <c r="C25" s="235"/>
      <c r="D25" s="235">
        <v>0</v>
      </c>
      <c r="E25" s="235">
        <v>1</v>
      </c>
      <c r="F25" s="235" t="s">
        <v>476</v>
      </c>
      <c r="G25" s="235" t="s">
        <v>477</v>
      </c>
      <c r="H25" s="235"/>
      <c r="I25" s="235">
        <v>0</v>
      </c>
      <c r="J25" s="235" t="s">
        <v>860</v>
      </c>
      <c r="K25" s="235" t="s">
        <v>2349</v>
      </c>
      <c r="L25" s="235"/>
      <c r="M25" s="235"/>
      <c r="N25" s="235" t="str">
        <f t="shared" si="0"/>
        <v>Active(m.serapulsar.ult.changeskill.cost.skilleffect.04)</v>
      </c>
      <c r="O25" s="235">
        <v>0</v>
      </c>
      <c r="P25" s="235">
        <v>500</v>
      </c>
      <c r="Q25" s="235"/>
      <c r="R25" s="235" t="b">
        <v>1</v>
      </c>
    </row>
    <row r="26" spans="1:18" x14ac:dyDescent="0.3">
      <c r="A26" s="235" t="s">
        <v>2350</v>
      </c>
      <c r="B26" s="235"/>
      <c r="C26" s="235"/>
      <c r="D26" s="235">
        <v>0</v>
      </c>
      <c r="E26" s="235">
        <v>1</v>
      </c>
      <c r="F26" s="235" t="s">
        <v>476</v>
      </c>
      <c r="G26" s="235" t="s">
        <v>477</v>
      </c>
      <c r="H26" s="235"/>
      <c r="I26" s="235">
        <v>0</v>
      </c>
      <c r="J26" s="235" t="s">
        <v>860</v>
      </c>
      <c r="K26" s="235" t="s">
        <v>2351</v>
      </c>
      <c r="L26" s="235"/>
      <c r="M26" s="235"/>
      <c r="N26" s="235" t="str">
        <f t="shared" si="0"/>
        <v>Active(m.serapulsar.ult.changeskill.cost.skilleffect.05)</v>
      </c>
      <c r="O26" s="235">
        <v>0</v>
      </c>
      <c r="P26" s="235">
        <v>500</v>
      </c>
      <c r="Q26" s="235"/>
      <c r="R26" s="235" t="b">
        <v>1</v>
      </c>
    </row>
    <row r="27" spans="1:18" x14ac:dyDescent="0.3">
      <c r="A27" s="235" t="s">
        <v>2352</v>
      </c>
      <c r="B27" s="235"/>
      <c r="C27" s="235"/>
      <c r="D27" s="235">
        <v>0</v>
      </c>
      <c r="E27" s="235">
        <v>1</v>
      </c>
      <c r="F27" s="235" t="s">
        <v>476</v>
      </c>
      <c r="G27" s="235" t="s">
        <v>477</v>
      </c>
      <c r="H27" s="235"/>
      <c r="I27" s="235">
        <v>0</v>
      </c>
      <c r="J27" s="235" t="s">
        <v>860</v>
      </c>
      <c r="K27" s="235" t="s">
        <v>2353</v>
      </c>
      <c r="L27" s="235"/>
      <c r="M27" s="235"/>
      <c r="N27" s="235" t="str">
        <f t="shared" si="0"/>
        <v>Active(m.serapulsar.ult.changeskill.cost.skilleffect.06)</v>
      </c>
      <c r="O27" s="235">
        <v>0</v>
      </c>
      <c r="P27" s="235">
        <v>500</v>
      </c>
      <c r="Q27" s="235"/>
      <c r="R27" s="235" t="b">
        <v>1</v>
      </c>
    </row>
    <row r="28" spans="1:18" x14ac:dyDescent="0.3">
      <c r="A28" s="235" t="s">
        <v>2354</v>
      </c>
      <c r="B28" s="235"/>
      <c r="C28" s="235"/>
      <c r="D28" s="235">
        <v>0</v>
      </c>
      <c r="E28" s="235">
        <v>1</v>
      </c>
      <c r="F28" s="235" t="s">
        <v>476</v>
      </c>
      <c r="G28" s="235" t="s">
        <v>477</v>
      </c>
      <c r="H28" s="235"/>
      <c r="I28" s="235">
        <v>0</v>
      </c>
      <c r="J28" s="235" t="s">
        <v>860</v>
      </c>
      <c r="K28" s="235" t="s">
        <v>2355</v>
      </c>
      <c r="L28" s="235"/>
      <c r="M28" s="235"/>
      <c r="N28" s="235" t="str">
        <f t="shared" si="0"/>
        <v>Active(m.serapulsar.ult.changeskill.cost.skilleffect.07)</v>
      </c>
      <c r="O28" s="235">
        <v>0</v>
      </c>
      <c r="P28" s="235">
        <v>500</v>
      </c>
      <c r="Q28" s="235"/>
      <c r="R28" s="235" t="b">
        <v>1</v>
      </c>
    </row>
    <row r="29" spans="1:18" x14ac:dyDescent="0.3">
      <c r="A29" s="234" t="s">
        <v>2356</v>
      </c>
      <c r="B29" s="234"/>
      <c r="C29" s="234"/>
      <c r="D29" s="234">
        <v>0</v>
      </c>
      <c r="E29" s="234">
        <v>1</v>
      </c>
      <c r="F29" s="234" t="s">
        <v>476</v>
      </c>
      <c r="G29" s="234" t="s">
        <v>477</v>
      </c>
      <c r="H29" s="234"/>
      <c r="I29" s="234">
        <v>0</v>
      </c>
      <c r="J29" s="234" t="s">
        <v>860</v>
      </c>
      <c r="K29" s="234" t="s">
        <v>2357</v>
      </c>
      <c r="L29" s="234"/>
      <c r="M29" s="234"/>
      <c r="N29" s="249" t="str">
        <f t="shared" si="0"/>
        <v>Active(m.serapulsar.ult.atk.buff.repeat.skilleffect.01)</v>
      </c>
      <c r="O29" s="234">
        <v>0</v>
      </c>
      <c r="P29" s="234">
        <v>1000</v>
      </c>
      <c r="Q29" s="234"/>
      <c r="R29" s="234" t="b">
        <v>1</v>
      </c>
    </row>
    <row r="30" spans="1:18" x14ac:dyDescent="0.3">
      <c r="A30" s="234" t="s">
        <v>2358</v>
      </c>
      <c r="B30" s="234"/>
      <c r="C30" s="234"/>
      <c r="D30" s="234">
        <v>0</v>
      </c>
      <c r="E30" s="234">
        <v>1</v>
      </c>
      <c r="F30" s="234" t="s">
        <v>476</v>
      </c>
      <c r="G30" s="234" t="s">
        <v>477</v>
      </c>
      <c r="H30" s="234"/>
      <c r="I30" s="234">
        <v>0</v>
      </c>
      <c r="J30" s="234" t="s">
        <v>860</v>
      </c>
      <c r="K30" s="234" t="s">
        <v>2359</v>
      </c>
      <c r="L30" s="234"/>
      <c r="M30" s="234"/>
      <c r="N30" s="249" t="str">
        <f t="shared" si="0"/>
        <v>Active(m.serapulsar.ult.atk.buff.repeat.skilleffect.02)</v>
      </c>
      <c r="O30" s="234">
        <v>0</v>
      </c>
      <c r="P30" s="234">
        <v>1000</v>
      </c>
      <c r="Q30" s="234"/>
      <c r="R30" s="234" t="b">
        <v>1</v>
      </c>
    </row>
    <row r="31" spans="1:18" x14ac:dyDescent="0.3">
      <c r="A31" s="234" t="s">
        <v>2360</v>
      </c>
      <c r="B31" s="234"/>
      <c r="C31" s="234"/>
      <c r="D31" s="234">
        <v>0</v>
      </c>
      <c r="E31" s="234">
        <v>1</v>
      </c>
      <c r="F31" s="234" t="s">
        <v>476</v>
      </c>
      <c r="G31" s="234" t="s">
        <v>477</v>
      </c>
      <c r="H31" s="234"/>
      <c r="I31" s="234">
        <v>0</v>
      </c>
      <c r="J31" s="234" t="s">
        <v>860</v>
      </c>
      <c r="K31" s="234" t="s">
        <v>2361</v>
      </c>
      <c r="L31" s="234"/>
      <c r="M31" s="234"/>
      <c r="N31" s="249" t="str">
        <f t="shared" si="0"/>
        <v>Active(m.serapulsar.ult.atk.buff.repeat.skilleffect.03)</v>
      </c>
      <c r="O31" s="234">
        <v>0</v>
      </c>
      <c r="P31" s="234">
        <v>1000</v>
      </c>
      <c r="Q31" s="234"/>
      <c r="R31" s="234" t="b">
        <v>1</v>
      </c>
    </row>
    <row r="32" spans="1:18" x14ac:dyDescent="0.3">
      <c r="A32" s="234" t="s">
        <v>2362</v>
      </c>
      <c r="B32" s="234"/>
      <c r="C32" s="234"/>
      <c r="D32" s="234">
        <v>0</v>
      </c>
      <c r="E32" s="234">
        <v>1</v>
      </c>
      <c r="F32" s="234" t="s">
        <v>476</v>
      </c>
      <c r="G32" s="234" t="s">
        <v>477</v>
      </c>
      <c r="H32" s="234"/>
      <c r="I32" s="234">
        <v>0</v>
      </c>
      <c r="J32" s="234" t="s">
        <v>860</v>
      </c>
      <c r="K32" s="234" t="s">
        <v>2363</v>
      </c>
      <c r="L32" s="234"/>
      <c r="M32" s="234"/>
      <c r="N32" s="249" t="str">
        <f t="shared" si="0"/>
        <v>Active(m.serapulsar.ult.atk.buff.repeat.skilleffect.04)</v>
      </c>
      <c r="O32" s="234">
        <v>0</v>
      </c>
      <c r="P32" s="234">
        <v>1000</v>
      </c>
      <c r="Q32" s="234"/>
      <c r="R32" s="234" t="b">
        <v>1</v>
      </c>
    </row>
    <row r="33" spans="1:18" x14ac:dyDescent="0.3">
      <c r="A33" s="234" t="s">
        <v>2364</v>
      </c>
      <c r="B33" s="234"/>
      <c r="C33" s="234"/>
      <c r="D33" s="234">
        <v>0</v>
      </c>
      <c r="E33" s="234">
        <v>1</v>
      </c>
      <c r="F33" s="234" t="s">
        <v>476</v>
      </c>
      <c r="G33" s="234" t="s">
        <v>477</v>
      </c>
      <c r="H33" s="234"/>
      <c r="I33" s="234">
        <v>0</v>
      </c>
      <c r="J33" s="234" t="s">
        <v>860</v>
      </c>
      <c r="K33" s="234" t="s">
        <v>2365</v>
      </c>
      <c r="L33" s="234"/>
      <c r="M33" s="234"/>
      <c r="N33" s="249" t="str">
        <f t="shared" si="0"/>
        <v>Active(m.serapulsar.ult.atk.buff.repeat.skilleffect.05)</v>
      </c>
      <c r="O33" s="234">
        <v>0</v>
      </c>
      <c r="P33" s="234">
        <v>1000</v>
      </c>
      <c r="Q33" s="234"/>
      <c r="R33" s="234" t="b">
        <v>1</v>
      </c>
    </row>
    <row r="34" spans="1:18" x14ac:dyDescent="0.3">
      <c r="A34" s="232" t="s">
        <v>2366</v>
      </c>
      <c r="B34" s="232"/>
      <c r="C34" s="232"/>
      <c r="D34" s="232">
        <v>0</v>
      </c>
      <c r="E34" s="232">
        <v>1</v>
      </c>
      <c r="F34" s="232" t="s">
        <v>476</v>
      </c>
      <c r="G34" s="232" t="s">
        <v>477</v>
      </c>
      <c r="H34" s="232"/>
      <c r="I34" s="232">
        <v>0</v>
      </c>
      <c r="J34" s="232" t="s">
        <v>860</v>
      </c>
      <c r="K34" s="232" t="s">
        <v>2367</v>
      </c>
      <c r="L34" s="232"/>
      <c r="M34" s="232"/>
      <c r="N34" s="250" t="str">
        <f t="shared" si="0"/>
        <v>Active(m.serapulsar.ult.atk.buff.repeat.skilleffect.06)</v>
      </c>
      <c r="O34" s="232">
        <v>0</v>
      </c>
      <c r="P34" s="232">
        <v>1000</v>
      </c>
      <c r="Q34" s="232"/>
      <c r="R34" s="232" t="b">
        <v>1</v>
      </c>
    </row>
    <row r="35" spans="1:18" x14ac:dyDescent="0.3">
      <c r="A35" s="233" t="s">
        <v>2368</v>
      </c>
      <c r="B35" s="233"/>
      <c r="C35" s="233"/>
      <c r="D35" s="233">
        <v>0</v>
      </c>
      <c r="E35" s="233">
        <v>1</v>
      </c>
      <c r="F35" s="233" t="s">
        <v>476</v>
      </c>
      <c r="G35" s="233" t="s">
        <v>477</v>
      </c>
      <c r="H35" s="233"/>
      <c r="I35" s="233">
        <v>0</v>
      </c>
      <c r="J35" s="233" t="s">
        <v>846</v>
      </c>
      <c r="K35" s="233" t="s">
        <v>852</v>
      </c>
      <c r="L35" s="233">
        <v>60</v>
      </c>
      <c r="M35" s="233"/>
      <c r="N35" s="251" t="str">
        <f t="shared" si="0"/>
        <v>Status(AttackRatio, 60)</v>
      </c>
      <c r="O35" s="233">
        <v>0</v>
      </c>
      <c r="P35" s="233">
        <v>0</v>
      </c>
      <c r="Q35" s="233"/>
      <c r="R35" s="233" t="b">
        <v>1</v>
      </c>
    </row>
    <row r="36" spans="1:18" x14ac:dyDescent="0.3">
      <c r="A36" s="233" t="s">
        <v>2369</v>
      </c>
      <c r="B36" s="233"/>
      <c r="C36" s="233"/>
      <c r="D36" s="233">
        <v>0</v>
      </c>
      <c r="E36" s="233">
        <v>1</v>
      </c>
      <c r="F36" s="233" t="s">
        <v>476</v>
      </c>
      <c r="G36" s="233" t="s">
        <v>477</v>
      </c>
      <c r="H36" s="233"/>
      <c r="I36" s="233">
        <v>0</v>
      </c>
      <c r="J36" s="233" t="s">
        <v>846</v>
      </c>
      <c r="K36" s="233" t="s">
        <v>852</v>
      </c>
      <c r="L36" s="233">
        <v>70</v>
      </c>
      <c r="M36" s="233"/>
      <c r="N36" s="251" t="str">
        <f t="shared" si="0"/>
        <v>Status(AttackRatio, 70)</v>
      </c>
      <c r="O36" s="233">
        <v>0</v>
      </c>
      <c r="P36" s="233">
        <v>0</v>
      </c>
      <c r="Q36" s="233"/>
      <c r="R36" s="233" t="b">
        <v>1</v>
      </c>
    </row>
    <row r="37" spans="1:18" x14ac:dyDescent="0.3">
      <c r="A37" s="233" t="s">
        <v>2370</v>
      </c>
      <c r="B37" s="233"/>
      <c r="C37" s="233"/>
      <c r="D37" s="233">
        <v>0</v>
      </c>
      <c r="E37" s="233">
        <v>1</v>
      </c>
      <c r="F37" s="233" t="s">
        <v>476</v>
      </c>
      <c r="G37" s="233" t="s">
        <v>477</v>
      </c>
      <c r="H37" s="233"/>
      <c r="I37" s="233">
        <v>0</v>
      </c>
      <c r="J37" s="233" t="s">
        <v>846</v>
      </c>
      <c r="K37" s="233" t="s">
        <v>852</v>
      </c>
      <c r="L37" s="233">
        <v>80</v>
      </c>
      <c r="M37" s="233"/>
      <c r="N37" s="251" t="str">
        <f t="shared" si="0"/>
        <v>Status(AttackRatio, 80)</v>
      </c>
      <c r="O37" s="233">
        <v>0</v>
      </c>
      <c r="P37" s="233">
        <v>0</v>
      </c>
      <c r="Q37" s="233"/>
      <c r="R37" s="233" t="b">
        <v>1</v>
      </c>
    </row>
    <row r="38" spans="1:18" x14ac:dyDescent="0.3">
      <c r="A38" s="233" t="s">
        <v>2371</v>
      </c>
      <c r="B38" s="233"/>
      <c r="C38" s="233"/>
      <c r="D38" s="233">
        <v>0</v>
      </c>
      <c r="E38" s="233">
        <v>1</v>
      </c>
      <c r="F38" s="233" t="s">
        <v>476</v>
      </c>
      <c r="G38" s="233" t="s">
        <v>477</v>
      </c>
      <c r="H38" s="233"/>
      <c r="I38" s="233">
        <v>0</v>
      </c>
      <c r="J38" s="233" t="s">
        <v>846</v>
      </c>
      <c r="K38" s="233" t="s">
        <v>852</v>
      </c>
      <c r="L38" s="233">
        <v>100</v>
      </c>
      <c r="M38" s="233"/>
      <c r="N38" s="251" t="str">
        <f t="shared" si="0"/>
        <v>Status(AttackRatio, 100)</v>
      </c>
      <c r="O38" s="233">
        <v>0</v>
      </c>
      <c r="P38" s="233">
        <v>0</v>
      </c>
      <c r="Q38" s="233"/>
      <c r="R38" s="233" t="b">
        <v>1</v>
      </c>
    </row>
    <row r="39" spans="1:18" x14ac:dyDescent="0.3">
      <c r="A39" s="233" t="s">
        <v>2372</v>
      </c>
      <c r="B39" s="233"/>
      <c r="C39" s="233"/>
      <c r="D39" s="233">
        <v>0</v>
      </c>
      <c r="E39" s="233">
        <v>1</v>
      </c>
      <c r="F39" s="233" t="s">
        <v>476</v>
      </c>
      <c r="G39" s="233" t="s">
        <v>477</v>
      </c>
      <c r="H39" s="233"/>
      <c r="I39" s="233">
        <v>0</v>
      </c>
      <c r="J39" s="233" t="s">
        <v>846</v>
      </c>
      <c r="K39" s="233" t="s">
        <v>852</v>
      </c>
      <c r="L39" s="233">
        <v>80</v>
      </c>
      <c r="M39" s="233"/>
      <c r="N39" s="251" t="str">
        <f t="shared" si="0"/>
        <v>Status(AttackRatio, 80)</v>
      </c>
      <c r="O39" s="233">
        <v>0</v>
      </c>
      <c r="P39" s="233">
        <v>0</v>
      </c>
      <c r="Q39" s="233"/>
      <c r="R39" s="233" t="b">
        <v>1</v>
      </c>
    </row>
    <row r="40" spans="1:18" x14ac:dyDescent="0.3">
      <c r="A40" s="232" t="s">
        <v>2373</v>
      </c>
      <c r="B40" s="232"/>
      <c r="C40" s="232"/>
      <c r="D40" s="232">
        <v>0</v>
      </c>
      <c r="E40" s="232">
        <v>1</v>
      </c>
      <c r="F40" s="232" t="s">
        <v>476</v>
      </c>
      <c r="G40" s="232" t="s">
        <v>477</v>
      </c>
      <c r="H40" s="232"/>
      <c r="I40" s="232">
        <v>0</v>
      </c>
      <c r="J40" s="232" t="s">
        <v>846</v>
      </c>
      <c r="K40" s="232" t="s">
        <v>852</v>
      </c>
      <c r="L40" s="232">
        <v>86</v>
      </c>
      <c r="M40" s="232"/>
      <c r="N40" s="250" t="str">
        <f t="shared" si="0"/>
        <v>Status(AttackRatio, 86)</v>
      </c>
      <c r="O40" s="232">
        <v>0</v>
      </c>
      <c r="P40" s="232">
        <v>0</v>
      </c>
      <c r="Q40" s="232"/>
      <c r="R40" s="232" t="b">
        <v>1</v>
      </c>
    </row>
    <row r="41" spans="1:18" x14ac:dyDescent="0.3">
      <c r="A41" s="233" t="s">
        <v>2374</v>
      </c>
      <c r="B41" s="233"/>
      <c r="C41" s="233"/>
      <c r="D41" s="233">
        <v>0</v>
      </c>
      <c r="E41" s="233">
        <v>1</v>
      </c>
      <c r="F41" s="233" t="s">
        <v>476</v>
      </c>
      <c r="G41" s="233" t="s">
        <v>477</v>
      </c>
      <c r="H41" s="233"/>
      <c r="I41" s="233">
        <v>0</v>
      </c>
      <c r="J41" s="233" t="s">
        <v>2284</v>
      </c>
      <c r="K41" s="233" t="s">
        <v>2285</v>
      </c>
      <c r="L41" s="233" t="s">
        <v>2375</v>
      </c>
      <c r="M41" s="233"/>
      <c r="N41" s="233" t="str">
        <f t="shared" si="0"/>
        <v>SkillEffectModifier(Op, m.serapulsar.ult.B.buff.buffeffect.modifier.01)</v>
      </c>
      <c r="O41" s="233">
        <v>0</v>
      </c>
      <c r="P41" s="233">
        <v>0</v>
      </c>
      <c r="Q41" s="233"/>
      <c r="R41" s="233" t="b">
        <v>1</v>
      </c>
    </row>
    <row r="42" spans="1:18" x14ac:dyDescent="0.3">
      <c r="A42" s="233" t="s">
        <v>2376</v>
      </c>
      <c r="B42" s="233"/>
      <c r="C42" s="233"/>
      <c r="D42" s="233">
        <v>0</v>
      </c>
      <c r="E42" s="233">
        <v>1</v>
      </c>
      <c r="F42" s="233" t="s">
        <v>476</v>
      </c>
      <c r="G42" s="233" t="s">
        <v>477</v>
      </c>
      <c r="H42" s="233"/>
      <c r="I42" s="233">
        <v>0</v>
      </c>
      <c r="J42" s="233" t="s">
        <v>2284</v>
      </c>
      <c r="K42" s="233" t="s">
        <v>2285</v>
      </c>
      <c r="L42" s="233" t="s">
        <v>2377</v>
      </c>
      <c r="M42" s="233"/>
      <c r="N42" s="233" t="str">
        <f t="shared" si="0"/>
        <v>SkillEffectModifier(Op, m.serapulsar.ult.B.buff.buffeffect.modifier.02)</v>
      </c>
      <c r="O42" s="233">
        <v>0</v>
      </c>
      <c r="P42" s="233">
        <v>0</v>
      </c>
      <c r="Q42" s="233"/>
      <c r="R42" s="233" t="b">
        <v>1</v>
      </c>
    </row>
    <row r="43" spans="1:18" x14ac:dyDescent="0.3">
      <c r="A43" s="233" t="s">
        <v>2378</v>
      </c>
      <c r="B43" s="233"/>
      <c r="C43" s="233"/>
      <c r="D43" s="233">
        <v>0</v>
      </c>
      <c r="E43" s="233">
        <v>1</v>
      </c>
      <c r="F43" s="233" t="s">
        <v>476</v>
      </c>
      <c r="G43" s="233" t="s">
        <v>477</v>
      </c>
      <c r="H43" s="233"/>
      <c r="I43" s="233">
        <v>0</v>
      </c>
      <c r="J43" s="233" t="s">
        <v>2284</v>
      </c>
      <c r="K43" s="233" t="s">
        <v>2285</v>
      </c>
      <c r="L43" s="233" t="s">
        <v>2379</v>
      </c>
      <c r="M43" s="233"/>
      <c r="N43" s="233" t="str">
        <f t="shared" si="0"/>
        <v>SkillEffectModifier(Op, m.serapulsar.ult.B.buff.buffeffect.modifier.03)</v>
      </c>
      <c r="O43" s="233">
        <v>0</v>
      </c>
      <c r="P43" s="233">
        <v>0</v>
      </c>
      <c r="Q43" s="233"/>
      <c r="R43" s="233" t="b">
        <v>1</v>
      </c>
    </row>
    <row r="44" spans="1:18" x14ac:dyDescent="0.3">
      <c r="A44" s="233" t="s">
        <v>2380</v>
      </c>
      <c r="B44" s="233"/>
      <c r="C44" s="233"/>
      <c r="D44" s="233">
        <v>0</v>
      </c>
      <c r="E44" s="233">
        <v>1</v>
      </c>
      <c r="F44" s="233" t="s">
        <v>476</v>
      </c>
      <c r="G44" s="233" t="s">
        <v>477</v>
      </c>
      <c r="H44" s="233"/>
      <c r="I44" s="233">
        <v>0</v>
      </c>
      <c r="J44" s="233" t="s">
        <v>2284</v>
      </c>
      <c r="K44" s="233" t="s">
        <v>2285</v>
      </c>
      <c r="L44" s="233" t="s">
        <v>2381</v>
      </c>
      <c r="M44" s="233"/>
      <c r="N44" s="233" t="str">
        <f t="shared" si="0"/>
        <v>SkillEffectModifier(Op, m.serapulsar.ult.B.buff.buffeffect.modifier.04)</v>
      </c>
      <c r="O44" s="233">
        <v>0</v>
      </c>
      <c r="P44" s="233">
        <v>0</v>
      </c>
      <c r="Q44" s="233"/>
      <c r="R44" s="233" t="b">
        <v>1</v>
      </c>
    </row>
    <row r="45" spans="1:18" x14ac:dyDescent="0.3">
      <c r="A45" s="233" t="s">
        <v>2382</v>
      </c>
      <c r="B45" s="233"/>
      <c r="C45" s="233"/>
      <c r="D45" s="233">
        <v>0</v>
      </c>
      <c r="E45" s="233">
        <v>1</v>
      </c>
      <c r="F45" s="233" t="s">
        <v>476</v>
      </c>
      <c r="G45" s="233" t="s">
        <v>477</v>
      </c>
      <c r="H45" s="233"/>
      <c r="I45" s="233">
        <v>0</v>
      </c>
      <c r="J45" s="233" t="s">
        <v>2284</v>
      </c>
      <c r="K45" s="233" t="s">
        <v>2285</v>
      </c>
      <c r="L45" s="233" t="s">
        <v>2383</v>
      </c>
      <c r="M45" s="233"/>
      <c r="N45" s="233" t="str">
        <f t="shared" si="0"/>
        <v>SkillEffectModifier(Op, m.serapulsar.ult.B.buff.buffeffect.modifier.05)</v>
      </c>
      <c r="O45" s="233">
        <v>0</v>
      </c>
      <c r="P45" s="233">
        <v>0</v>
      </c>
      <c r="Q45" s="233"/>
      <c r="R45" s="233" t="b">
        <v>1</v>
      </c>
    </row>
    <row r="46" spans="1:18" x14ac:dyDescent="0.3">
      <c r="A46" s="232" t="s">
        <v>2384</v>
      </c>
      <c r="B46" s="232"/>
      <c r="C46" s="232"/>
      <c r="D46" s="232">
        <v>0</v>
      </c>
      <c r="E46" s="232">
        <v>1</v>
      </c>
      <c r="F46" s="232" t="s">
        <v>476</v>
      </c>
      <c r="G46" s="232" t="s">
        <v>477</v>
      </c>
      <c r="H46" s="232"/>
      <c r="I46" s="232">
        <v>0</v>
      </c>
      <c r="J46" s="232" t="s">
        <v>2284</v>
      </c>
      <c r="K46" s="232" t="s">
        <v>2285</v>
      </c>
      <c r="L46" s="232" t="s">
        <v>2385</v>
      </c>
      <c r="M46" s="232"/>
      <c r="N46" s="232" t="str">
        <f t="shared" si="0"/>
        <v>SkillEffectModifier(Op, m.serapulsar.ult.B.buff.buffeffect.modifier.06)</v>
      </c>
      <c r="O46" s="232">
        <v>0</v>
      </c>
      <c r="P46" s="232">
        <v>0</v>
      </c>
      <c r="Q46" s="232"/>
      <c r="R46" s="232" t="b">
        <v>1</v>
      </c>
    </row>
    <row r="47" spans="1:18" x14ac:dyDescent="0.3">
      <c r="A47" s="232" t="s">
        <v>2386</v>
      </c>
      <c r="B47" s="232"/>
      <c r="C47" s="232"/>
      <c r="D47" s="232">
        <v>0</v>
      </c>
      <c r="E47" s="232">
        <v>1</v>
      </c>
      <c r="F47" s="232" t="s">
        <v>476</v>
      </c>
      <c r="G47" s="232" t="s">
        <v>477</v>
      </c>
      <c r="H47" s="232"/>
      <c r="I47" s="232">
        <v>0</v>
      </c>
      <c r="J47" s="232" t="s">
        <v>2284</v>
      </c>
      <c r="K47" s="232" t="s">
        <v>2285</v>
      </c>
      <c r="L47" s="232" t="s">
        <v>2387</v>
      </c>
      <c r="M47" s="232"/>
      <c r="N47" s="232" t="str">
        <f t="shared" si="0"/>
        <v>SkillEffectModifier(Op, m.serapulsar.ult.B.buff.buffeffect.modifier.07)</v>
      </c>
      <c r="O47" s="232">
        <v>0</v>
      </c>
      <c r="P47" s="232">
        <v>0</v>
      </c>
      <c r="Q47" s="232"/>
      <c r="R47" s="232" t="b">
        <v>1</v>
      </c>
    </row>
    <row r="48" spans="1:18" x14ac:dyDescent="0.3">
      <c r="A48" s="235" t="s">
        <v>2388</v>
      </c>
      <c r="B48" s="235"/>
      <c r="C48" s="235"/>
      <c r="D48" s="235">
        <v>0</v>
      </c>
      <c r="E48" s="235">
        <v>1</v>
      </c>
      <c r="F48" s="235" t="s">
        <v>476</v>
      </c>
      <c r="G48" s="235" t="s">
        <v>477</v>
      </c>
      <c r="H48" s="235"/>
      <c r="I48" s="235">
        <v>0</v>
      </c>
      <c r="J48" s="235" t="s">
        <v>846</v>
      </c>
      <c r="K48" s="235" t="s">
        <v>875</v>
      </c>
      <c r="L48" s="235">
        <v>300</v>
      </c>
      <c r="M48" s="235"/>
      <c r="N48" s="235" t="str">
        <f t="shared" si="0"/>
        <v>Status(MoveSpeedRate, 300)</v>
      </c>
      <c r="O48" s="235">
        <v>0</v>
      </c>
      <c r="P48" s="235">
        <v>0</v>
      </c>
      <c r="Q48" s="235"/>
      <c r="R48" s="235" t="b">
        <v>1</v>
      </c>
    </row>
    <row r="49" spans="1:18" x14ac:dyDescent="0.3">
      <c r="A49" s="235" t="s">
        <v>2389</v>
      </c>
      <c r="B49" s="235"/>
      <c r="C49" s="235"/>
      <c r="D49" s="235">
        <v>0</v>
      </c>
      <c r="E49" s="235">
        <v>1</v>
      </c>
      <c r="F49" s="235" t="s">
        <v>476</v>
      </c>
      <c r="G49" s="235" t="s">
        <v>477</v>
      </c>
      <c r="H49" s="235"/>
      <c r="I49" s="235">
        <v>0</v>
      </c>
      <c r="J49" s="235" t="s">
        <v>871</v>
      </c>
      <c r="K49" s="235"/>
      <c r="L49" s="235"/>
      <c r="M49" s="235"/>
      <c r="N49" s="235" t="str">
        <f t="shared" si="0"/>
        <v>None()</v>
      </c>
      <c r="O49" s="235">
        <v>0</v>
      </c>
      <c r="P49" s="235">
        <v>0</v>
      </c>
      <c r="Q49" s="235"/>
      <c r="R49" s="235" t="b">
        <v>1</v>
      </c>
    </row>
    <row r="50" spans="1:18" x14ac:dyDescent="0.3">
      <c r="A50" s="235" t="s">
        <v>2390</v>
      </c>
      <c r="B50" s="235"/>
      <c r="C50" s="235"/>
      <c r="D50" s="235">
        <v>0</v>
      </c>
      <c r="E50" s="235">
        <v>1</v>
      </c>
      <c r="F50" s="235" t="s">
        <v>476</v>
      </c>
      <c r="G50" s="235" t="s">
        <v>477</v>
      </c>
      <c r="H50" s="235"/>
      <c r="I50" s="235">
        <v>0</v>
      </c>
      <c r="J50" s="235" t="s">
        <v>860</v>
      </c>
      <c r="K50" s="235" t="s">
        <v>2391</v>
      </c>
      <c r="L50" s="235"/>
      <c r="M50" s="235"/>
      <c r="N50" s="235" t="str">
        <f t="shared" si="0"/>
        <v>Active(m.serapulsar.ult.B.changeskill.cost.skilleffect)</v>
      </c>
      <c r="O50" s="235">
        <v>0</v>
      </c>
      <c r="P50" s="235">
        <v>500</v>
      </c>
      <c r="Q50" s="235"/>
      <c r="R50" s="235" t="b">
        <v>1</v>
      </c>
    </row>
    <row r="51" spans="1:18" x14ac:dyDescent="0.3">
      <c r="A51" s="233" t="s">
        <v>2392</v>
      </c>
      <c r="B51" s="233"/>
      <c r="C51" s="233"/>
      <c r="D51" s="233">
        <v>0</v>
      </c>
      <c r="E51" s="233">
        <v>1</v>
      </c>
      <c r="F51" s="233" t="s">
        <v>476</v>
      </c>
      <c r="G51" s="233" t="s">
        <v>477</v>
      </c>
      <c r="H51" s="233"/>
      <c r="I51" s="233">
        <v>0</v>
      </c>
      <c r="J51" s="233" t="s">
        <v>846</v>
      </c>
      <c r="K51" s="233" t="s">
        <v>853</v>
      </c>
      <c r="L51" s="233">
        <v>120</v>
      </c>
      <c r="M51" s="233"/>
      <c r="N51" s="251" t="str">
        <f t="shared" si="0"/>
        <v>Status(AttackSpeedRate, 120)</v>
      </c>
      <c r="O51" s="233">
        <v>0</v>
      </c>
      <c r="P51" s="233">
        <v>0</v>
      </c>
      <c r="Q51" s="233"/>
      <c r="R51" s="233" t="b">
        <v>1</v>
      </c>
    </row>
    <row r="52" spans="1:18" x14ac:dyDescent="0.3">
      <c r="A52" s="233" t="s">
        <v>2393</v>
      </c>
      <c r="B52" s="233"/>
      <c r="C52" s="233"/>
      <c r="D52" s="233">
        <v>0</v>
      </c>
      <c r="E52" s="233">
        <v>1</v>
      </c>
      <c r="F52" s="233" t="s">
        <v>476</v>
      </c>
      <c r="G52" s="233" t="s">
        <v>477</v>
      </c>
      <c r="H52" s="233"/>
      <c r="I52" s="233">
        <v>0</v>
      </c>
      <c r="J52" s="233" t="s">
        <v>846</v>
      </c>
      <c r="K52" s="233" t="s">
        <v>853</v>
      </c>
      <c r="L52" s="233">
        <v>140</v>
      </c>
      <c r="M52" s="233"/>
      <c r="N52" s="251" t="str">
        <f t="shared" si="0"/>
        <v>Status(AttackSpeedRate, 140)</v>
      </c>
      <c r="O52" s="233">
        <v>0</v>
      </c>
      <c r="P52" s="233">
        <v>0</v>
      </c>
      <c r="Q52" s="233"/>
      <c r="R52" s="233" t="b">
        <v>1</v>
      </c>
    </row>
    <row r="53" spans="1:18" x14ac:dyDescent="0.3">
      <c r="A53" s="233" t="s">
        <v>2394</v>
      </c>
      <c r="B53" s="233"/>
      <c r="C53" s="233"/>
      <c r="D53" s="233">
        <v>0</v>
      </c>
      <c r="E53" s="233">
        <v>1</v>
      </c>
      <c r="F53" s="233" t="s">
        <v>476</v>
      </c>
      <c r="G53" s="233" t="s">
        <v>477</v>
      </c>
      <c r="H53" s="233"/>
      <c r="I53" s="233">
        <v>0</v>
      </c>
      <c r="J53" s="233" t="s">
        <v>846</v>
      </c>
      <c r="K53" s="233" t="s">
        <v>853</v>
      </c>
      <c r="L53" s="233">
        <v>160</v>
      </c>
      <c r="M53" s="233"/>
      <c r="N53" s="251" t="str">
        <f t="shared" si="0"/>
        <v>Status(AttackSpeedRate, 160)</v>
      </c>
      <c r="O53" s="233">
        <v>0</v>
      </c>
      <c r="P53" s="233">
        <v>0</v>
      </c>
      <c r="Q53" s="233"/>
      <c r="R53" s="233" t="b">
        <v>1</v>
      </c>
    </row>
    <row r="54" spans="1:18" x14ac:dyDescent="0.3">
      <c r="A54" s="233" t="s">
        <v>2395</v>
      </c>
      <c r="B54" s="233"/>
      <c r="C54" s="233"/>
      <c r="D54" s="233">
        <v>0</v>
      </c>
      <c r="E54" s="233">
        <v>1</v>
      </c>
      <c r="F54" s="233" t="s">
        <v>476</v>
      </c>
      <c r="G54" s="233" t="s">
        <v>477</v>
      </c>
      <c r="H54" s="233"/>
      <c r="I54" s="233">
        <v>0</v>
      </c>
      <c r="J54" s="233" t="s">
        <v>846</v>
      </c>
      <c r="K54" s="233" t="s">
        <v>853</v>
      </c>
      <c r="L54" s="233">
        <v>200</v>
      </c>
      <c r="M54" s="233"/>
      <c r="N54" s="251" t="str">
        <f t="shared" si="0"/>
        <v>Status(AttackSpeedRate, 200)</v>
      </c>
      <c r="O54" s="233">
        <v>0</v>
      </c>
      <c r="P54" s="233">
        <v>0</v>
      </c>
      <c r="Q54" s="233"/>
      <c r="R54" s="233" t="b">
        <v>1</v>
      </c>
    </row>
    <row r="55" spans="1:18" x14ac:dyDescent="0.3">
      <c r="A55" s="233" t="s">
        <v>2396</v>
      </c>
      <c r="B55" s="233"/>
      <c r="C55" s="233"/>
      <c r="D55" s="233">
        <v>0</v>
      </c>
      <c r="E55" s="233">
        <v>1</v>
      </c>
      <c r="F55" s="233" t="s">
        <v>476</v>
      </c>
      <c r="G55" s="233" t="s">
        <v>477</v>
      </c>
      <c r="H55" s="233"/>
      <c r="I55" s="233">
        <v>0</v>
      </c>
      <c r="J55" s="233" t="s">
        <v>846</v>
      </c>
      <c r="K55" s="233" t="s">
        <v>853</v>
      </c>
      <c r="L55" s="233">
        <v>190</v>
      </c>
      <c r="M55" s="233"/>
      <c r="N55" s="251" t="str">
        <f t="shared" si="0"/>
        <v>Status(AttackSpeedRate, 190)</v>
      </c>
      <c r="O55" s="233">
        <v>0</v>
      </c>
      <c r="P55" s="233">
        <v>0</v>
      </c>
      <c r="Q55" s="233"/>
      <c r="R55" s="233" t="b">
        <v>1</v>
      </c>
    </row>
    <row r="56" spans="1:18" x14ac:dyDescent="0.3">
      <c r="A56" s="232" t="s">
        <v>2397</v>
      </c>
      <c r="B56" s="232"/>
      <c r="C56" s="232"/>
      <c r="D56" s="232">
        <v>0</v>
      </c>
      <c r="E56" s="232">
        <v>1</v>
      </c>
      <c r="F56" s="232" t="s">
        <v>476</v>
      </c>
      <c r="G56" s="232" t="s">
        <v>477</v>
      </c>
      <c r="H56" s="232"/>
      <c r="I56" s="232">
        <v>0</v>
      </c>
      <c r="J56" s="232" t="s">
        <v>846</v>
      </c>
      <c r="K56" s="232" t="s">
        <v>853</v>
      </c>
      <c r="L56" s="232">
        <v>200</v>
      </c>
      <c r="M56" s="232"/>
      <c r="N56" s="250" t="str">
        <f t="shared" si="0"/>
        <v>Status(AttackSpeedRate, 200)</v>
      </c>
      <c r="O56" s="232">
        <v>0</v>
      </c>
      <c r="P56" s="232">
        <v>0</v>
      </c>
      <c r="Q56" s="232"/>
      <c r="R56" s="232" t="b">
        <v>1</v>
      </c>
    </row>
    <row r="57" spans="1:18" x14ac:dyDescent="0.3">
      <c r="A57" s="234" t="s">
        <v>2398</v>
      </c>
      <c r="B57" s="234"/>
      <c r="C57" s="234"/>
      <c r="D57" s="234">
        <v>0</v>
      </c>
      <c r="E57" s="234">
        <v>1</v>
      </c>
      <c r="F57" s="234" t="s">
        <v>476</v>
      </c>
      <c r="G57" s="234" t="s">
        <v>477</v>
      </c>
      <c r="H57" s="234"/>
      <c r="I57" s="234">
        <v>0</v>
      </c>
      <c r="J57" s="234" t="s">
        <v>470</v>
      </c>
      <c r="K57" s="234" t="s">
        <v>885</v>
      </c>
      <c r="L57" s="234" t="s">
        <v>2399</v>
      </c>
      <c r="M57" s="234"/>
      <c r="N57" s="234" t="str">
        <f t="shared" si="0"/>
        <v>Effect(OnHit, m.serapulsar.passive.buff.buffeffect.skilleffect.01)</v>
      </c>
      <c r="O57" s="234">
        <v>0</v>
      </c>
      <c r="P57" s="234">
        <v>0</v>
      </c>
      <c r="Q57" s="234"/>
      <c r="R57" s="234" t="b">
        <v>1</v>
      </c>
    </row>
    <row r="58" spans="1:18" x14ac:dyDescent="0.3">
      <c r="A58" s="234" t="s">
        <v>2400</v>
      </c>
      <c r="B58" s="234"/>
      <c r="C58" s="234"/>
      <c r="D58" s="234">
        <v>0</v>
      </c>
      <c r="E58" s="234">
        <v>1</v>
      </c>
      <c r="F58" s="234" t="s">
        <v>476</v>
      </c>
      <c r="G58" s="234" t="s">
        <v>477</v>
      </c>
      <c r="H58" s="234"/>
      <c r="I58" s="234">
        <v>0</v>
      </c>
      <c r="J58" s="234" t="s">
        <v>470</v>
      </c>
      <c r="K58" s="234" t="s">
        <v>885</v>
      </c>
      <c r="L58" s="234" t="s">
        <v>2401</v>
      </c>
      <c r="M58" s="234"/>
      <c r="N58" s="234" t="str">
        <f t="shared" si="0"/>
        <v>Effect(OnHit, m.serapulsar.passive.buff.buffeffect.skilleffect.02)</v>
      </c>
      <c r="O58" s="234">
        <v>0</v>
      </c>
      <c r="P58" s="234">
        <v>0</v>
      </c>
      <c r="Q58" s="234"/>
      <c r="R58" s="234" t="b">
        <v>1</v>
      </c>
    </row>
    <row r="59" spans="1:18" x14ac:dyDescent="0.3">
      <c r="A59" s="234" t="s">
        <v>2402</v>
      </c>
      <c r="B59" s="234"/>
      <c r="C59" s="234"/>
      <c r="D59" s="234">
        <v>0</v>
      </c>
      <c r="E59" s="234">
        <v>1</v>
      </c>
      <c r="F59" s="234" t="s">
        <v>476</v>
      </c>
      <c r="G59" s="234" t="s">
        <v>477</v>
      </c>
      <c r="H59" s="234"/>
      <c r="I59" s="234">
        <v>0</v>
      </c>
      <c r="J59" s="234" t="s">
        <v>470</v>
      </c>
      <c r="K59" s="234" t="s">
        <v>885</v>
      </c>
      <c r="L59" s="234" t="s">
        <v>2403</v>
      </c>
      <c r="M59" s="234"/>
      <c r="N59" s="234" t="str">
        <f t="shared" si="0"/>
        <v>Effect(OnHit, m.serapulsar.passive.buff.buffeffect.skilleffect.03)</v>
      </c>
      <c r="O59" s="234">
        <v>0</v>
      </c>
      <c r="P59" s="234">
        <v>0</v>
      </c>
      <c r="Q59" s="234"/>
      <c r="R59" s="234" t="b">
        <v>1</v>
      </c>
    </row>
    <row r="60" spans="1:18" x14ac:dyDescent="0.3">
      <c r="A60" s="234" t="s">
        <v>2404</v>
      </c>
      <c r="B60" s="234"/>
      <c r="C60" s="234"/>
      <c r="D60" s="234">
        <v>0</v>
      </c>
      <c r="E60" s="234">
        <v>1</v>
      </c>
      <c r="F60" s="234" t="s">
        <v>476</v>
      </c>
      <c r="G60" s="234" t="s">
        <v>477</v>
      </c>
      <c r="H60" s="234"/>
      <c r="I60" s="234">
        <v>0</v>
      </c>
      <c r="J60" s="234" t="s">
        <v>470</v>
      </c>
      <c r="K60" s="234" t="s">
        <v>885</v>
      </c>
      <c r="L60" s="234" t="s">
        <v>2405</v>
      </c>
      <c r="M60" s="234"/>
      <c r="N60" s="234" t="str">
        <f t="shared" si="0"/>
        <v>Effect(OnHit, m.serapulsar.passive.buff.buffeffect.skilleffect.04)</v>
      </c>
      <c r="O60" s="234">
        <v>0</v>
      </c>
      <c r="P60" s="234">
        <v>0</v>
      </c>
      <c r="Q60" s="234"/>
      <c r="R60" s="234" t="b">
        <v>1</v>
      </c>
    </row>
    <row r="61" spans="1:18" x14ac:dyDescent="0.3">
      <c r="A61" s="232" t="s">
        <v>2406</v>
      </c>
      <c r="B61" s="232"/>
      <c r="C61" s="232"/>
      <c r="D61" s="232">
        <v>0</v>
      </c>
      <c r="E61" s="232">
        <v>1</v>
      </c>
      <c r="F61" s="232" t="s">
        <v>476</v>
      </c>
      <c r="G61" s="232" t="s">
        <v>477</v>
      </c>
      <c r="H61" s="232"/>
      <c r="I61" s="232">
        <v>0</v>
      </c>
      <c r="J61" s="232" t="s">
        <v>470</v>
      </c>
      <c r="K61" s="232" t="s">
        <v>885</v>
      </c>
      <c r="L61" s="232" t="s">
        <v>2407</v>
      </c>
      <c r="M61" s="232"/>
      <c r="N61" s="232" t="str">
        <f t="shared" si="0"/>
        <v>Effect(OnHit, m.serapulsar.passive.buff.buffeffect.skilleffect.05)</v>
      </c>
      <c r="O61" s="232">
        <v>0</v>
      </c>
      <c r="P61" s="232">
        <v>0</v>
      </c>
      <c r="Q61" s="232"/>
      <c r="R61" s="232" t="b">
        <v>1</v>
      </c>
    </row>
    <row r="62" spans="1:18" x14ac:dyDescent="0.3">
      <c r="A62" s="232" t="s">
        <v>2408</v>
      </c>
      <c r="B62" s="232"/>
      <c r="C62" s="232"/>
      <c r="D62" s="232">
        <v>0</v>
      </c>
      <c r="E62" s="232">
        <v>1</v>
      </c>
      <c r="F62" s="232" t="s">
        <v>476</v>
      </c>
      <c r="G62" s="232" t="s">
        <v>477</v>
      </c>
      <c r="H62" s="232"/>
      <c r="I62" s="232">
        <v>0</v>
      </c>
      <c r="J62" s="232" t="s">
        <v>470</v>
      </c>
      <c r="K62" s="232" t="s">
        <v>885</v>
      </c>
      <c r="L62" s="232" t="s">
        <v>2409</v>
      </c>
      <c r="M62" s="232"/>
      <c r="N62" s="232" t="str">
        <f t="shared" si="0"/>
        <v>Effect(OnHit, m.serapulsar.passive.buff.buffeffect.skilleffect.06)</v>
      </c>
      <c r="O62" s="232">
        <v>0</v>
      </c>
      <c r="P62" s="232">
        <v>0</v>
      </c>
      <c r="Q62" s="232"/>
      <c r="R62" s="232" t="b">
        <v>1</v>
      </c>
    </row>
    <row r="63" spans="1:18" x14ac:dyDescent="0.3">
      <c r="A63" s="234" t="s">
        <v>2410</v>
      </c>
      <c r="B63" s="234"/>
      <c r="C63" s="234"/>
      <c r="D63" s="234">
        <v>0</v>
      </c>
      <c r="E63" s="234">
        <v>1</v>
      </c>
      <c r="F63" s="234" t="s">
        <v>476</v>
      </c>
      <c r="G63" s="234" t="s">
        <v>477</v>
      </c>
      <c r="H63" s="234"/>
      <c r="I63" s="234">
        <v>0</v>
      </c>
      <c r="J63" s="234" t="s">
        <v>860</v>
      </c>
      <c r="K63" s="234" t="s">
        <v>2411</v>
      </c>
      <c r="L63" s="234"/>
      <c r="M63" s="234"/>
      <c r="N63" s="234" t="str">
        <f t="shared" si="0"/>
        <v>Active(m.serapulsar.passive.ex.buff.buffeffect.skilleffect.01)</v>
      </c>
      <c r="O63" s="234">
        <v>0</v>
      </c>
      <c r="P63" s="234">
        <v>1000</v>
      </c>
      <c r="Q63" s="234"/>
      <c r="R63" s="159" t="b">
        <v>0</v>
      </c>
    </row>
    <row r="64" spans="1:18" x14ac:dyDescent="0.3">
      <c r="A64" s="234" t="s">
        <v>2412</v>
      </c>
      <c r="B64" s="234"/>
      <c r="C64" s="234"/>
      <c r="D64" s="234">
        <v>0</v>
      </c>
      <c r="E64" s="234">
        <v>1</v>
      </c>
      <c r="F64" s="234" t="s">
        <v>476</v>
      </c>
      <c r="G64" s="234" t="s">
        <v>477</v>
      </c>
      <c r="H64" s="234"/>
      <c r="I64" s="234">
        <v>0</v>
      </c>
      <c r="J64" s="234" t="s">
        <v>860</v>
      </c>
      <c r="K64" s="234" t="s">
        <v>2413</v>
      </c>
      <c r="L64" s="234"/>
      <c r="M64" s="234"/>
      <c r="N64" s="234" t="str">
        <f t="shared" si="0"/>
        <v>Active(m.serapulsar.passive.ex.buff.buffeffect.skilleffect.02)</v>
      </c>
      <c r="O64" s="234">
        <v>0</v>
      </c>
      <c r="P64" s="234">
        <v>1000</v>
      </c>
      <c r="Q64" s="234"/>
      <c r="R64" s="234" t="b">
        <v>0</v>
      </c>
    </row>
    <row r="65" spans="1:18" x14ac:dyDescent="0.3">
      <c r="A65" s="234" t="s">
        <v>2414</v>
      </c>
      <c r="B65" s="234"/>
      <c r="C65" s="234"/>
      <c r="D65" s="234">
        <v>0</v>
      </c>
      <c r="E65" s="234">
        <v>1</v>
      </c>
      <c r="F65" s="234" t="s">
        <v>476</v>
      </c>
      <c r="G65" s="234" t="s">
        <v>477</v>
      </c>
      <c r="H65" s="234"/>
      <c r="I65" s="234">
        <v>0</v>
      </c>
      <c r="J65" s="234" t="s">
        <v>860</v>
      </c>
      <c r="K65" s="234" t="s">
        <v>2415</v>
      </c>
      <c r="L65" s="234"/>
      <c r="M65" s="234"/>
      <c r="N65" s="234" t="str">
        <f t="shared" si="0"/>
        <v>Active(m.serapulsar.passive.ex.buff.buffeffect.skilleffect.03)</v>
      </c>
      <c r="O65" s="234">
        <v>0</v>
      </c>
      <c r="P65" s="234">
        <v>1000</v>
      </c>
      <c r="Q65" s="234"/>
      <c r="R65" s="234" t="b">
        <v>0</v>
      </c>
    </row>
    <row r="66" spans="1:18" x14ac:dyDescent="0.3">
      <c r="A66" s="234" t="s">
        <v>2416</v>
      </c>
      <c r="B66" s="234"/>
      <c r="C66" s="234"/>
      <c r="D66" s="234">
        <v>0</v>
      </c>
      <c r="E66" s="234">
        <v>1</v>
      </c>
      <c r="F66" s="234" t="s">
        <v>476</v>
      </c>
      <c r="G66" s="234" t="s">
        <v>477</v>
      </c>
      <c r="H66" s="234"/>
      <c r="I66" s="234">
        <v>0</v>
      </c>
      <c r="J66" s="234" t="s">
        <v>860</v>
      </c>
      <c r="K66" s="234" t="s">
        <v>2417</v>
      </c>
      <c r="L66" s="234"/>
      <c r="M66" s="234"/>
      <c r="N66" s="234" t="str">
        <f t="shared" si="0"/>
        <v>Active(m.serapulsar.passive.ex.buff.buffeffect.skilleffect.04)</v>
      </c>
      <c r="O66" s="234">
        <v>0</v>
      </c>
      <c r="P66" s="234">
        <v>1000</v>
      </c>
      <c r="Q66" s="234"/>
      <c r="R66" s="234" t="b">
        <v>0</v>
      </c>
    </row>
    <row r="67" spans="1:18" x14ac:dyDescent="0.3">
      <c r="A67" s="232" t="s">
        <v>2418</v>
      </c>
      <c r="B67" s="232"/>
      <c r="C67" s="232"/>
      <c r="D67" s="232">
        <v>0</v>
      </c>
      <c r="E67" s="232">
        <v>1</v>
      </c>
      <c r="F67" s="232" t="s">
        <v>476</v>
      </c>
      <c r="G67" s="232" t="s">
        <v>477</v>
      </c>
      <c r="H67" s="232"/>
      <c r="I67" s="232">
        <v>0</v>
      </c>
      <c r="J67" s="232" t="s">
        <v>860</v>
      </c>
      <c r="K67" s="232" t="s">
        <v>2419</v>
      </c>
      <c r="L67" s="232"/>
      <c r="M67" s="232"/>
      <c r="N67" s="232" t="str">
        <f t="shared" si="0"/>
        <v>Active(m.serapulsar.passive.ex.buff.buffeffect.skilleffect.05)</v>
      </c>
      <c r="O67" s="232">
        <v>0</v>
      </c>
      <c r="P67" s="232">
        <v>1000</v>
      </c>
      <c r="Q67" s="232"/>
      <c r="R67" s="232" t="b">
        <v>0</v>
      </c>
    </row>
    <row r="68" spans="1:18" x14ac:dyDescent="0.3">
      <c r="A68" s="232" t="s">
        <v>2420</v>
      </c>
      <c r="B68" s="232"/>
      <c r="C68" s="232"/>
      <c r="D68" s="232">
        <v>0</v>
      </c>
      <c r="E68" s="232">
        <v>1</v>
      </c>
      <c r="F68" s="232" t="s">
        <v>476</v>
      </c>
      <c r="G68" s="232" t="s">
        <v>477</v>
      </c>
      <c r="H68" s="232"/>
      <c r="I68" s="232">
        <v>0</v>
      </c>
      <c r="J68" s="232" t="s">
        <v>860</v>
      </c>
      <c r="K68" s="232" t="s">
        <v>2421</v>
      </c>
      <c r="L68" s="232"/>
      <c r="M68" s="232"/>
      <c r="N68" s="232" t="str">
        <f t="shared" si="0"/>
        <v>Active(m.serapulsar.passive.ex.buff.buffeffect.skilleffect.06)</v>
      </c>
      <c r="O68" s="232">
        <v>0</v>
      </c>
      <c r="P68" s="232">
        <v>1000</v>
      </c>
      <c r="Q68" s="232"/>
      <c r="R68" s="232" t="b">
        <v>0</v>
      </c>
    </row>
    <row r="69" spans="1:18" x14ac:dyDescent="0.3">
      <c r="A69" s="233" t="s">
        <v>3994</v>
      </c>
      <c r="B69" s="233"/>
      <c r="C69" s="233"/>
      <c r="D69" s="233">
        <v>0</v>
      </c>
      <c r="E69" s="233">
        <v>1</v>
      </c>
      <c r="F69" s="233" t="s">
        <v>476</v>
      </c>
      <c r="G69" s="233" t="s">
        <v>477</v>
      </c>
      <c r="H69" s="233"/>
      <c r="I69" s="233">
        <v>0</v>
      </c>
      <c r="J69" s="233" t="s">
        <v>860</v>
      </c>
      <c r="K69" s="233" t="s">
        <v>3995</v>
      </c>
      <c r="L69" s="233"/>
      <c r="M69" s="233"/>
      <c r="N69" s="233" t="str">
        <f t="shared" si="0"/>
        <v>Active(m.isabella.passive.killswitch.buffeffect.skilleffect.01)</v>
      </c>
      <c r="O69" s="233">
        <v>0</v>
      </c>
      <c r="P69" s="233">
        <v>0</v>
      </c>
      <c r="Q69" s="233"/>
      <c r="R69" s="233" t="b">
        <v>1</v>
      </c>
    </row>
    <row r="70" spans="1:18" x14ac:dyDescent="0.3">
      <c r="A70" s="233" t="s">
        <v>3996</v>
      </c>
      <c r="B70" s="233"/>
      <c r="C70" s="233"/>
      <c r="D70" s="233">
        <v>0</v>
      </c>
      <c r="E70" s="233">
        <v>1</v>
      </c>
      <c r="F70" s="233" t="s">
        <v>476</v>
      </c>
      <c r="G70" s="233" t="s">
        <v>477</v>
      </c>
      <c r="H70" s="233"/>
      <c r="I70" s="233">
        <v>0</v>
      </c>
      <c r="J70" s="233" t="s">
        <v>470</v>
      </c>
      <c r="K70" s="233" t="s">
        <v>950</v>
      </c>
      <c r="L70" s="233" t="s">
        <v>3997</v>
      </c>
      <c r="M70" s="233"/>
      <c r="N70" s="233" t="str">
        <f t="shared" si="0"/>
        <v>Effect(OnDie, m.isabella.passive.killswitch.buffeffect.skilleffect.02)</v>
      </c>
      <c r="O70" s="233">
        <v>0</v>
      </c>
      <c r="P70" s="233">
        <v>900</v>
      </c>
      <c r="Q70" s="233"/>
      <c r="R70" s="233" t="b">
        <v>1</v>
      </c>
    </row>
    <row r="71" spans="1:18" x14ac:dyDescent="0.3">
      <c r="A71" s="157" t="s">
        <v>3998</v>
      </c>
      <c r="B71" s="157"/>
      <c r="C71" s="157"/>
      <c r="D71" s="157">
        <v>0</v>
      </c>
      <c r="E71" s="157">
        <v>1</v>
      </c>
      <c r="F71" s="157" t="s">
        <v>476</v>
      </c>
      <c r="G71" s="157" t="s">
        <v>477</v>
      </c>
      <c r="H71" s="157"/>
      <c r="I71" s="157">
        <v>0</v>
      </c>
      <c r="J71" s="157" t="s">
        <v>846</v>
      </c>
      <c r="K71" s="157" t="s">
        <v>858</v>
      </c>
      <c r="L71" s="157">
        <v>150</v>
      </c>
      <c r="M71" s="157"/>
      <c r="N71" s="157" t="str">
        <f t="shared" si="0"/>
        <v>Status(CriticalRate, 150)</v>
      </c>
      <c r="O71" s="157">
        <v>0</v>
      </c>
      <c r="P71" s="157">
        <v>0</v>
      </c>
      <c r="Q71" s="157"/>
      <c r="R71" s="157" t="b">
        <v>1</v>
      </c>
    </row>
    <row r="72" spans="1:18" x14ac:dyDescent="0.3">
      <c r="A72" s="157" t="s">
        <v>3999</v>
      </c>
      <c r="B72" s="157"/>
      <c r="C72" s="157"/>
      <c r="D72" s="157">
        <v>0</v>
      </c>
      <c r="E72" s="157">
        <v>1</v>
      </c>
      <c r="F72" s="157" t="s">
        <v>476</v>
      </c>
      <c r="G72" s="157" t="s">
        <v>477</v>
      </c>
      <c r="H72" s="157"/>
      <c r="I72" s="157">
        <v>0</v>
      </c>
      <c r="J72" s="157" t="s">
        <v>846</v>
      </c>
      <c r="K72" s="157" t="s">
        <v>858</v>
      </c>
      <c r="L72" s="157">
        <v>200</v>
      </c>
      <c r="M72" s="157"/>
      <c r="N72" s="157" t="str">
        <f t="shared" si="0"/>
        <v>Status(CriticalRate, 200)</v>
      </c>
      <c r="O72" s="157">
        <v>0</v>
      </c>
      <c r="P72" s="157">
        <v>0</v>
      </c>
      <c r="Q72" s="157"/>
      <c r="R72" s="157" t="b">
        <v>1</v>
      </c>
    </row>
    <row r="73" spans="1:18" x14ac:dyDescent="0.3">
      <c r="A73" s="157" t="s">
        <v>4000</v>
      </c>
      <c r="B73" s="157"/>
      <c r="C73" s="157"/>
      <c r="D73" s="157">
        <v>0</v>
      </c>
      <c r="E73" s="157">
        <v>1</v>
      </c>
      <c r="F73" s="157" t="s">
        <v>476</v>
      </c>
      <c r="G73" s="157" t="s">
        <v>477</v>
      </c>
      <c r="H73" s="157"/>
      <c r="I73" s="157">
        <v>0</v>
      </c>
      <c r="J73" s="157" t="s">
        <v>846</v>
      </c>
      <c r="K73" s="157" t="s">
        <v>858</v>
      </c>
      <c r="L73" s="157">
        <v>250</v>
      </c>
      <c r="M73" s="157"/>
      <c r="N73" s="157" t="str">
        <f t="shared" si="0"/>
        <v>Status(CriticalRate, 250)</v>
      </c>
      <c r="O73" s="157">
        <v>0</v>
      </c>
      <c r="P73" s="157">
        <v>0</v>
      </c>
      <c r="Q73" s="157"/>
      <c r="R73" s="157" t="b">
        <v>1</v>
      </c>
    </row>
    <row r="74" spans="1:18" x14ac:dyDescent="0.3">
      <c r="A74" s="232" t="s">
        <v>4001</v>
      </c>
      <c r="B74" s="232"/>
      <c r="C74" s="232"/>
      <c r="D74" s="232">
        <v>0</v>
      </c>
      <c r="E74" s="232">
        <v>1</v>
      </c>
      <c r="F74" s="232" t="s">
        <v>476</v>
      </c>
      <c r="G74" s="232" t="s">
        <v>477</v>
      </c>
      <c r="H74" s="232"/>
      <c r="I74" s="232">
        <v>0</v>
      </c>
      <c r="J74" s="232" t="s">
        <v>846</v>
      </c>
      <c r="K74" s="232" t="s">
        <v>858</v>
      </c>
      <c r="L74" s="232">
        <v>300</v>
      </c>
      <c r="M74" s="232"/>
      <c r="N74" s="232" t="str">
        <f t="shared" si="0"/>
        <v>Status(CriticalRate, 300)</v>
      </c>
      <c r="O74" s="232">
        <v>0</v>
      </c>
      <c r="P74" s="232">
        <v>0</v>
      </c>
      <c r="Q74" s="232"/>
      <c r="R74" s="232" t="b">
        <v>1</v>
      </c>
    </row>
    <row r="75" spans="1:18" x14ac:dyDescent="0.3">
      <c r="A75" s="232" t="s">
        <v>4002</v>
      </c>
      <c r="B75" s="232"/>
      <c r="C75" s="232"/>
      <c r="D75" s="232">
        <v>0</v>
      </c>
      <c r="E75" s="232">
        <v>1</v>
      </c>
      <c r="F75" s="232" t="s">
        <v>476</v>
      </c>
      <c r="G75" s="232" t="s">
        <v>477</v>
      </c>
      <c r="H75" s="232"/>
      <c r="I75" s="232">
        <v>0</v>
      </c>
      <c r="J75" s="232" t="s">
        <v>846</v>
      </c>
      <c r="K75" s="232" t="s">
        <v>858</v>
      </c>
      <c r="L75" s="232">
        <v>200</v>
      </c>
      <c r="M75" s="232"/>
      <c r="N75" s="232" t="str">
        <f t="shared" si="0"/>
        <v>Status(CriticalRate, 200)</v>
      </c>
      <c r="O75" s="232">
        <v>0</v>
      </c>
      <c r="P75" s="232">
        <v>0</v>
      </c>
      <c r="Q75" s="232"/>
      <c r="R75" s="232" t="b">
        <v>1</v>
      </c>
    </row>
    <row r="76" spans="1:18" x14ac:dyDescent="0.3">
      <c r="A76" s="232" t="s">
        <v>4003</v>
      </c>
      <c r="B76" s="232"/>
      <c r="C76" s="232"/>
      <c r="D76" s="232">
        <v>0</v>
      </c>
      <c r="E76" s="232">
        <v>1</v>
      </c>
      <c r="F76" s="232" t="s">
        <v>476</v>
      </c>
      <c r="G76" s="232" t="s">
        <v>477</v>
      </c>
      <c r="H76" s="232"/>
      <c r="I76" s="232">
        <v>0</v>
      </c>
      <c r="J76" s="232" t="s">
        <v>846</v>
      </c>
      <c r="K76" s="232" t="s">
        <v>858</v>
      </c>
      <c r="L76" s="232">
        <v>200</v>
      </c>
      <c r="M76" s="232"/>
      <c r="N76" s="232" t="str">
        <f t="shared" si="0"/>
        <v>Status(CriticalRate, 200)</v>
      </c>
      <c r="O76" s="232">
        <v>0</v>
      </c>
      <c r="P76" s="232">
        <v>0</v>
      </c>
      <c r="Q76" s="232"/>
      <c r="R76" s="232" t="b">
        <v>1</v>
      </c>
    </row>
    <row r="77" spans="1:18" x14ac:dyDescent="0.3">
      <c r="A77" s="157" t="s">
        <v>4004</v>
      </c>
      <c r="B77" s="157"/>
      <c r="C77" s="157"/>
      <c r="D77" s="157">
        <v>0</v>
      </c>
      <c r="E77" s="157">
        <v>1</v>
      </c>
      <c r="F77" s="157" t="s">
        <v>476</v>
      </c>
      <c r="G77" s="157" t="s">
        <v>477</v>
      </c>
      <c r="H77" s="157"/>
      <c r="I77" s="157">
        <v>0</v>
      </c>
      <c r="J77" s="157" t="s">
        <v>846</v>
      </c>
      <c r="K77" s="157" t="s">
        <v>847</v>
      </c>
      <c r="L77" s="157">
        <v>-200</v>
      </c>
      <c r="M77" s="157"/>
      <c r="N77" s="157" t="str">
        <f t="shared" si="0"/>
        <v>Status(DefenseRatio, -200)</v>
      </c>
      <c r="O77" s="157">
        <v>0</v>
      </c>
      <c r="P77" s="157">
        <v>0</v>
      </c>
      <c r="Q77" s="157"/>
      <c r="R77" s="157" t="b">
        <v>1</v>
      </c>
    </row>
    <row r="78" spans="1:18" x14ac:dyDescent="0.3">
      <c r="A78" s="157" t="s">
        <v>4005</v>
      </c>
      <c r="B78" s="157"/>
      <c r="C78" s="157"/>
      <c r="D78" s="157">
        <v>0</v>
      </c>
      <c r="E78" s="157">
        <v>1</v>
      </c>
      <c r="F78" s="157" t="s">
        <v>476</v>
      </c>
      <c r="G78" s="157" t="s">
        <v>477</v>
      </c>
      <c r="H78" s="157"/>
      <c r="I78" s="157">
        <v>0</v>
      </c>
      <c r="J78" s="157" t="s">
        <v>846</v>
      </c>
      <c r="K78" s="157" t="s">
        <v>847</v>
      </c>
      <c r="L78" s="157">
        <v>-250</v>
      </c>
      <c r="M78" s="157"/>
      <c r="N78" s="157" t="str">
        <f t="shared" si="0"/>
        <v>Status(DefenseRatio, -250)</v>
      </c>
      <c r="O78" s="157">
        <v>0</v>
      </c>
      <c r="P78" s="157">
        <v>0</v>
      </c>
      <c r="Q78" s="157"/>
      <c r="R78" s="157" t="b">
        <v>1</v>
      </c>
    </row>
    <row r="79" spans="1:18" x14ac:dyDescent="0.3">
      <c r="A79" s="157" t="s">
        <v>4006</v>
      </c>
      <c r="B79" s="157"/>
      <c r="C79" s="157"/>
      <c r="D79" s="157">
        <v>0</v>
      </c>
      <c r="E79" s="157">
        <v>1</v>
      </c>
      <c r="F79" s="157" t="s">
        <v>476</v>
      </c>
      <c r="G79" s="157" t="s">
        <v>477</v>
      </c>
      <c r="H79" s="157"/>
      <c r="I79" s="157">
        <v>0</v>
      </c>
      <c r="J79" s="157" t="s">
        <v>846</v>
      </c>
      <c r="K79" s="157" t="s">
        <v>847</v>
      </c>
      <c r="L79" s="157">
        <v>-300</v>
      </c>
      <c r="M79" s="157"/>
      <c r="N79" s="157" t="str">
        <f t="shared" si="0"/>
        <v>Status(DefenseRatio, -300)</v>
      </c>
      <c r="O79" s="157">
        <v>0</v>
      </c>
      <c r="P79" s="157">
        <v>0</v>
      </c>
      <c r="Q79" s="157"/>
      <c r="R79" s="157" t="b">
        <v>1</v>
      </c>
    </row>
    <row r="80" spans="1:18" x14ac:dyDescent="0.3">
      <c r="A80" s="232" t="s">
        <v>4007</v>
      </c>
      <c r="B80" s="232"/>
      <c r="C80" s="232"/>
      <c r="D80" s="232">
        <v>0</v>
      </c>
      <c r="E80" s="232">
        <v>1</v>
      </c>
      <c r="F80" s="232" t="s">
        <v>476</v>
      </c>
      <c r="G80" s="232" t="s">
        <v>477</v>
      </c>
      <c r="H80" s="232"/>
      <c r="I80" s="232">
        <v>0</v>
      </c>
      <c r="J80" s="232" t="s">
        <v>846</v>
      </c>
      <c r="K80" s="232" t="s">
        <v>847</v>
      </c>
      <c r="L80" s="232">
        <v>-350</v>
      </c>
      <c r="M80" s="232"/>
      <c r="N80" s="232" t="str">
        <f t="shared" si="0"/>
        <v>Status(DefenseRatio, -350)</v>
      </c>
      <c r="O80" s="232">
        <v>0</v>
      </c>
      <c r="P80" s="232">
        <v>0</v>
      </c>
      <c r="Q80" s="232"/>
      <c r="R80" s="232" t="b">
        <v>1</v>
      </c>
    </row>
    <row r="81" spans="1:18" x14ac:dyDescent="0.3">
      <c r="A81" s="232" t="s">
        <v>4008</v>
      </c>
      <c r="B81" s="232"/>
      <c r="C81" s="232"/>
      <c r="D81" s="232">
        <v>0</v>
      </c>
      <c r="E81" s="232">
        <v>1</v>
      </c>
      <c r="F81" s="232" t="s">
        <v>476</v>
      </c>
      <c r="G81" s="232" t="s">
        <v>477</v>
      </c>
      <c r="H81" s="232"/>
      <c r="I81" s="232">
        <v>0</v>
      </c>
      <c r="J81" s="232" t="s">
        <v>846</v>
      </c>
      <c r="K81" s="232" t="s">
        <v>847</v>
      </c>
      <c r="L81" s="232">
        <v>-150</v>
      </c>
      <c r="M81" s="232"/>
      <c r="N81" s="232" t="str">
        <f t="shared" si="0"/>
        <v>Status(DefenseRatio, -150)</v>
      </c>
      <c r="O81" s="232">
        <v>0</v>
      </c>
      <c r="P81" s="232">
        <v>0</v>
      </c>
      <c r="Q81" s="232"/>
      <c r="R81" s="232" t="b">
        <v>1</v>
      </c>
    </row>
    <row r="82" spans="1:18" x14ac:dyDescent="0.3">
      <c r="A82" s="232" t="s">
        <v>4009</v>
      </c>
      <c r="B82" s="232"/>
      <c r="C82" s="232"/>
      <c r="D82" s="232">
        <v>0</v>
      </c>
      <c r="E82" s="232">
        <v>1</v>
      </c>
      <c r="F82" s="232" t="s">
        <v>476</v>
      </c>
      <c r="G82" s="232" t="s">
        <v>477</v>
      </c>
      <c r="H82" s="232"/>
      <c r="I82" s="232">
        <v>0</v>
      </c>
      <c r="J82" s="232" t="s">
        <v>846</v>
      </c>
      <c r="K82" s="232" t="s">
        <v>847</v>
      </c>
      <c r="L82" s="232">
        <v>-150</v>
      </c>
      <c r="M82" s="232"/>
      <c r="N82" s="232" t="str">
        <f t="shared" si="0"/>
        <v>Status(DefenseRatio, -150)</v>
      </c>
      <c r="O82" s="232">
        <v>0</v>
      </c>
      <c r="P82" s="232">
        <v>0</v>
      </c>
      <c r="Q82" s="232"/>
      <c r="R82" s="232" t="b">
        <v>1</v>
      </c>
    </row>
    <row r="83" spans="1:18" x14ac:dyDescent="0.3">
      <c r="A83" s="231" t="s">
        <v>4010</v>
      </c>
      <c r="B83" s="231"/>
      <c r="C83" s="231"/>
      <c r="D83" s="231">
        <v>0</v>
      </c>
      <c r="E83" s="231">
        <v>1</v>
      </c>
      <c r="F83" s="231" t="s">
        <v>476</v>
      </c>
      <c r="G83" s="231" t="s">
        <v>477</v>
      </c>
      <c r="H83" s="231"/>
      <c r="I83" s="231">
        <v>0</v>
      </c>
      <c r="J83" s="231" t="s">
        <v>846</v>
      </c>
      <c r="K83" s="231" t="s">
        <v>2286</v>
      </c>
      <c r="L83" s="231">
        <v>200</v>
      </c>
      <c r="M83" s="231"/>
      <c r="N83" s="231" t="str">
        <f t="shared" si="0"/>
        <v>Status(CriticalDamageRate, 200)</v>
      </c>
      <c r="O83" s="231">
        <v>0</v>
      </c>
      <c r="P83" s="231">
        <v>0</v>
      </c>
      <c r="Q83" s="231"/>
      <c r="R83" s="231" t="b">
        <v>1</v>
      </c>
    </row>
    <row r="84" spans="1:18" x14ac:dyDescent="0.3">
      <c r="A84" s="231" t="s">
        <v>4011</v>
      </c>
      <c r="B84" s="231"/>
      <c r="C84" s="231"/>
      <c r="D84" s="231">
        <v>0</v>
      </c>
      <c r="E84" s="231">
        <v>1</v>
      </c>
      <c r="F84" s="231" t="s">
        <v>476</v>
      </c>
      <c r="G84" s="231" t="s">
        <v>477</v>
      </c>
      <c r="H84" s="231"/>
      <c r="I84" s="231">
        <v>0</v>
      </c>
      <c r="J84" s="231" t="s">
        <v>846</v>
      </c>
      <c r="K84" s="231" t="s">
        <v>2286</v>
      </c>
      <c r="L84" s="231">
        <v>250</v>
      </c>
      <c r="M84" s="231"/>
      <c r="N84" s="231" t="str">
        <f t="shared" si="0"/>
        <v>Status(CriticalDamageRate, 250)</v>
      </c>
      <c r="O84" s="231">
        <v>0</v>
      </c>
      <c r="P84" s="231">
        <v>0</v>
      </c>
      <c r="Q84" s="231"/>
      <c r="R84" s="231" t="b">
        <v>1</v>
      </c>
    </row>
    <row r="85" spans="1:18" x14ac:dyDescent="0.3">
      <c r="A85" s="231" t="s">
        <v>4012</v>
      </c>
      <c r="B85" s="231"/>
      <c r="C85" s="231"/>
      <c r="D85" s="231">
        <v>0</v>
      </c>
      <c r="E85" s="231">
        <v>1</v>
      </c>
      <c r="F85" s="231" t="s">
        <v>476</v>
      </c>
      <c r="G85" s="231" t="s">
        <v>477</v>
      </c>
      <c r="H85" s="231"/>
      <c r="I85" s="231">
        <v>0</v>
      </c>
      <c r="J85" s="231" t="s">
        <v>846</v>
      </c>
      <c r="K85" s="231" t="s">
        <v>2286</v>
      </c>
      <c r="L85" s="231">
        <v>300</v>
      </c>
      <c r="M85" s="231"/>
      <c r="N85" s="231" t="str">
        <f t="shared" si="0"/>
        <v>Status(CriticalDamageRate, 300)</v>
      </c>
      <c r="O85" s="231">
        <v>0</v>
      </c>
      <c r="P85" s="231">
        <v>0</v>
      </c>
      <c r="Q85" s="231"/>
      <c r="R85" s="231" t="b">
        <v>1</v>
      </c>
    </row>
    <row r="86" spans="1:18" x14ac:dyDescent="0.3">
      <c r="A86" s="232" t="s">
        <v>4013</v>
      </c>
      <c r="B86" s="232"/>
      <c r="C86" s="232"/>
      <c r="D86" s="232">
        <v>0</v>
      </c>
      <c r="E86" s="232">
        <v>1</v>
      </c>
      <c r="F86" s="232" t="s">
        <v>476</v>
      </c>
      <c r="G86" s="232" t="s">
        <v>477</v>
      </c>
      <c r="H86" s="232"/>
      <c r="I86" s="232">
        <v>0</v>
      </c>
      <c r="J86" s="232" t="s">
        <v>846</v>
      </c>
      <c r="K86" s="232" t="s">
        <v>2286</v>
      </c>
      <c r="L86" s="232">
        <v>350</v>
      </c>
      <c r="M86" s="232"/>
      <c r="N86" s="232" t="str">
        <f t="shared" si="0"/>
        <v>Status(CriticalDamageRate, 350)</v>
      </c>
      <c r="O86" s="232">
        <v>0</v>
      </c>
      <c r="P86" s="232">
        <v>0</v>
      </c>
      <c r="Q86" s="232"/>
      <c r="R86" s="232" t="b">
        <v>1</v>
      </c>
    </row>
    <row r="87" spans="1:18" x14ac:dyDescent="0.3">
      <c r="A87" s="232" t="s">
        <v>4014</v>
      </c>
      <c r="B87" s="232"/>
      <c r="C87" s="232"/>
      <c r="D87" s="232">
        <v>0</v>
      </c>
      <c r="E87" s="232">
        <v>1</v>
      </c>
      <c r="F87" s="232" t="s">
        <v>476</v>
      </c>
      <c r="G87" s="232" t="s">
        <v>477</v>
      </c>
      <c r="H87" s="232"/>
      <c r="I87" s="232">
        <v>0</v>
      </c>
      <c r="J87" s="232" t="s">
        <v>846</v>
      </c>
      <c r="K87" s="232" t="s">
        <v>2286</v>
      </c>
      <c r="L87" s="232">
        <v>400</v>
      </c>
      <c r="M87" s="232"/>
      <c r="N87" s="232" t="str">
        <f t="shared" si="0"/>
        <v>Status(CriticalDamageRate, 400)</v>
      </c>
      <c r="O87" s="232">
        <v>0</v>
      </c>
      <c r="P87" s="232">
        <v>0</v>
      </c>
      <c r="Q87" s="232"/>
      <c r="R87" s="232" t="b">
        <v>1</v>
      </c>
    </row>
    <row r="88" spans="1:18" x14ac:dyDescent="0.3">
      <c r="A88" s="232" t="s">
        <v>4015</v>
      </c>
      <c r="B88" s="232"/>
      <c r="C88" s="232"/>
      <c r="D88" s="232">
        <v>0</v>
      </c>
      <c r="E88" s="232">
        <v>1</v>
      </c>
      <c r="F88" s="232" t="s">
        <v>476</v>
      </c>
      <c r="G88" s="232" t="s">
        <v>477</v>
      </c>
      <c r="H88" s="232"/>
      <c r="I88" s="232">
        <v>0</v>
      </c>
      <c r="J88" s="232" t="s">
        <v>846</v>
      </c>
      <c r="K88" s="232" t="s">
        <v>2286</v>
      </c>
      <c r="L88" s="232">
        <v>350</v>
      </c>
      <c r="M88" s="232"/>
      <c r="N88" s="232" t="str">
        <f t="shared" si="0"/>
        <v>Status(CriticalDamageRate, 350)</v>
      </c>
      <c r="O88" s="232">
        <v>0</v>
      </c>
      <c r="P88" s="232">
        <v>0</v>
      </c>
      <c r="Q88" s="232"/>
      <c r="R88" s="232" t="b">
        <v>1</v>
      </c>
    </row>
    <row r="89" spans="1:18" x14ac:dyDescent="0.3">
      <c r="A89" s="157" t="s">
        <v>4016</v>
      </c>
      <c r="B89" s="157"/>
      <c r="C89" s="157"/>
      <c r="D89" s="157">
        <v>0</v>
      </c>
      <c r="E89" s="157">
        <v>1</v>
      </c>
      <c r="F89" s="157" t="s">
        <v>476</v>
      </c>
      <c r="G89" s="157" t="s">
        <v>477</v>
      </c>
      <c r="H89" s="157"/>
      <c r="I89" s="157">
        <v>0</v>
      </c>
      <c r="J89" s="157" t="s">
        <v>470</v>
      </c>
      <c r="K89" s="157" t="s">
        <v>3620</v>
      </c>
      <c r="L89" s="157" t="s">
        <v>4017</v>
      </c>
      <c r="M89" s="157"/>
      <c r="N89" s="157" t="str">
        <f t="shared" si="0"/>
        <v>Effect(OnCritical, m.isabella.passive.critical.event.skilleffect.01)</v>
      </c>
      <c r="O89" s="157">
        <v>0</v>
      </c>
      <c r="P89" s="157">
        <v>0</v>
      </c>
      <c r="Q89" s="157"/>
      <c r="R89" s="157" t="b">
        <v>1</v>
      </c>
    </row>
    <row r="90" spans="1:18" x14ac:dyDescent="0.3">
      <c r="A90" s="157" t="s">
        <v>4018</v>
      </c>
      <c r="B90" s="157"/>
      <c r="C90" s="157"/>
      <c r="D90" s="157">
        <v>0</v>
      </c>
      <c r="E90" s="157">
        <v>1</v>
      </c>
      <c r="F90" s="157" t="s">
        <v>476</v>
      </c>
      <c r="G90" s="157" t="s">
        <v>477</v>
      </c>
      <c r="H90" s="157"/>
      <c r="I90" s="157">
        <v>0</v>
      </c>
      <c r="J90" s="157" t="s">
        <v>470</v>
      </c>
      <c r="K90" s="157" t="s">
        <v>3620</v>
      </c>
      <c r="L90" s="157" t="s">
        <v>4019</v>
      </c>
      <c r="M90" s="157"/>
      <c r="N90" s="157" t="str">
        <f t="shared" si="0"/>
        <v>Effect(OnCritical, m.isabella.passive.critical.event.skilleffect.02)</v>
      </c>
      <c r="O90" s="157">
        <v>0</v>
      </c>
      <c r="P90" s="157">
        <v>0</v>
      </c>
      <c r="Q90" s="157"/>
      <c r="R90" s="157" t="b">
        <v>1</v>
      </c>
    </row>
    <row r="91" spans="1:18" x14ac:dyDescent="0.3">
      <c r="A91" s="157" t="s">
        <v>4020</v>
      </c>
      <c r="B91" s="157"/>
      <c r="C91" s="157"/>
      <c r="D91" s="157">
        <v>0</v>
      </c>
      <c r="E91" s="157">
        <v>1</v>
      </c>
      <c r="F91" s="157" t="s">
        <v>476</v>
      </c>
      <c r="G91" s="157" t="s">
        <v>477</v>
      </c>
      <c r="H91" s="157"/>
      <c r="I91" s="157">
        <v>0</v>
      </c>
      <c r="J91" s="157" t="s">
        <v>470</v>
      </c>
      <c r="K91" s="157" t="s">
        <v>3620</v>
      </c>
      <c r="L91" s="157" t="s">
        <v>4021</v>
      </c>
      <c r="M91" s="157"/>
      <c r="N91" s="157" t="str">
        <f t="shared" si="0"/>
        <v>Effect(OnCritical, m.isabella.passive.critical.event.skilleffect.03)</v>
      </c>
      <c r="O91" s="157">
        <v>0</v>
      </c>
      <c r="P91" s="157">
        <v>0</v>
      </c>
      <c r="Q91" s="157"/>
      <c r="R91" s="157" t="b">
        <v>1</v>
      </c>
    </row>
    <row r="92" spans="1:18" x14ac:dyDescent="0.3">
      <c r="A92" s="232" t="s">
        <v>4022</v>
      </c>
      <c r="B92" s="232"/>
      <c r="C92" s="232"/>
      <c r="D92" s="232">
        <v>0</v>
      </c>
      <c r="E92" s="232">
        <v>1</v>
      </c>
      <c r="F92" s="232" t="s">
        <v>476</v>
      </c>
      <c r="G92" s="232" t="s">
        <v>477</v>
      </c>
      <c r="H92" s="232"/>
      <c r="I92" s="232">
        <v>0</v>
      </c>
      <c r="J92" s="232" t="s">
        <v>470</v>
      </c>
      <c r="K92" s="232" t="s">
        <v>3620</v>
      </c>
      <c r="L92" s="232" t="s">
        <v>4023</v>
      </c>
      <c r="M92" s="232"/>
      <c r="N92" s="232" t="str">
        <f t="shared" si="0"/>
        <v>Effect(OnCritical, m.isabella.passive.critical.event.skilleffect.04)</v>
      </c>
      <c r="O92" s="232">
        <v>0</v>
      </c>
      <c r="P92" s="232">
        <v>0</v>
      </c>
      <c r="Q92" s="232"/>
      <c r="R92" s="232" t="b">
        <v>1</v>
      </c>
    </row>
    <row r="93" spans="1:18" x14ac:dyDescent="0.3">
      <c r="A93" s="232" t="s">
        <v>4024</v>
      </c>
      <c r="B93" s="232"/>
      <c r="C93" s="232"/>
      <c r="D93" s="232">
        <v>0</v>
      </c>
      <c r="E93" s="232">
        <v>1</v>
      </c>
      <c r="F93" s="232" t="s">
        <v>476</v>
      </c>
      <c r="G93" s="232" t="s">
        <v>477</v>
      </c>
      <c r="H93" s="232"/>
      <c r="I93" s="232">
        <v>0</v>
      </c>
      <c r="J93" s="232" t="s">
        <v>470</v>
      </c>
      <c r="K93" s="232" t="s">
        <v>3620</v>
      </c>
      <c r="L93" s="232" t="s">
        <v>4025</v>
      </c>
      <c r="M93" s="232"/>
      <c r="N93" s="232" t="str">
        <f t="shared" si="0"/>
        <v>Effect(OnCritical, m.isabella.passive.critical.event.skilleffect.05)</v>
      </c>
      <c r="O93" s="232">
        <v>0</v>
      </c>
      <c r="P93" s="232">
        <v>0</v>
      </c>
      <c r="Q93" s="232"/>
      <c r="R93" s="232" t="b">
        <v>1</v>
      </c>
    </row>
    <row r="94" spans="1:18" x14ac:dyDescent="0.3">
      <c r="A94" s="232" t="s">
        <v>4026</v>
      </c>
      <c r="B94" s="232"/>
      <c r="C94" s="232"/>
      <c r="D94" s="232">
        <v>0</v>
      </c>
      <c r="E94" s="232">
        <v>1</v>
      </c>
      <c r="F94" s="232" t="s">
        <v>476</v>
      </c>
      <c r="G94" s="232" t="s">
        <v>477</v>
      </c>
      <c r="H94" s="232"/>
      <c r="I94" s="232">
        <v>0</v>
      </c>
      <c r="J94" s="232" t="s">
        <v>470</v>
      </c>
      <c r="K94" s="232" t="s">
        <v>3620</v>
      </c>
      <c r="L94" s="232" t="s">
        <v>4027</v>
      </c>
      <c r="M94" s="232"/>
      <c r="N94" s="232" t="str">
        <f t="shared" si="0"/>
        <v>Effect(OnCritical, m.isabella.passive.critical.event.skilleffect.06)</v>
      </c>
      <c r="O94" s="232">
        <v>0</v>
      </c>
      <c r="P94" s="232">
        <v>0</v>
      </c>
      <c r="Q94" s="232"/>
      <c r="R94" s="232" t="b">
        <v>1</v>
      </c>
    </row>
    <row r="95" spans="1:18" x14ac:dyDescent="0.3">
      <c r="A95" s="231" t="s">
        <v>4028</v>
      </c>
      <c r="B95" s="231"/>
      <c r="C95" s="231"/>
      <c r="D95" s="231">
        <v>0</v>
      </c>
      <c r="E95" s="231">
        <v>1</v>
      </c>
      <c r="F95" s="231" t="s">
        <v>476</v>
      </c>
      <c r="G95" s="231" t="s">
        <v>477</v>
      </c>
      <c r="H95" s="231"/>
      <c r="I95" s="231">
        <v>0</v>
      </c>
      <c r="J95" s="231" t="s">
        <v>846</v>
      </c>
      <c r="K95" s="231" t="s">
        <v>857</v>
      </c>
      <c r="L95" s="231">
        <v>100</v>
      </c>
      <c r="M95" s="231"/>
      <c r="N95" s="231" t="str">
        <f t="shared" si="0"/>
        <v>Status(DamageRate, 100)</v>
      </c>
      <c r="O95" s="231">
        <v>0</v>
      </c>
      <c r="P95" s="231">
        <v>0</v>
      </c>
      <c r="Q95" s="231"/>
      <c r="R95" s="231" t="b">
        <v>1</v>
      </c>
    </row>
    <row r="96" spans="1:18" x14ac:dyDescent="0.3">
      <c r="A96" s="231" t="s">
        <v>4029</v>
      </c>
      <c r="B96" s="231"/>
      <c r="C96" s="231"/>
      <c r="D96" s="231">
        <v>0</v>
      </c>
      <c r="E96" s="231">
        <v>1</v>
      </c>
      <c r="F96" s="231" t="s">
        <v>476</v>
      </c>
      <c r="G96" s="231" t="s">
        <v>477</v>
      </c>
      <c r="H96" s="231"/>
      <c r="I96" s="231">
        <v>0</v>
      </c>
      <c r="J96" s="231" t="s">
        <v>846</v>
      </c>
      <c r="K96" s="231" t="s">
        <v>857</v>
      </c>
      <c r="L96" s="231">
        <v>110</v>
      </c>
      <c r="M96" s="231"/>
      <c r="N96" s="231" t="str">
        <f t="shared" si="0"/>
        <v>Status(DamageRate, 110)</v>
      </c>
      <c r="O96" s="231">
        <v>0</v>
      </c>
      <c r="P96" s="231">
        <v>0</v>
      </c>
      <c r="Q96" s="231"/>
      <c r="R96" s="231" t="b">
        <v>1</v>
      </c>
    </row>
    <row r="97" spans="1:18" x14ac:dyDescent="0.3">
      <c r="A97" s="231" t="s">
        <v>4030</v>
      </c>
      <c r="B97" s="231"/>
      <c r="C97" s="231"/>
      <c r="D97" s="231">
        <v>0</v>
      </c>
      <c r="E97" s="231">
        <v>1</v>
      </c>
      <c r="F97" s="231" t="s">
        <v>476</v>
      </c>
      <c r="G97" s="231" t="s">
        <v>477</v>
      </c>
      <c r="H97" s="231"/>
      <c r="I97" s="231">
        <v>0</v>
      </c>
      <c r="J97" s="231" t="s">
        <v>846</v>
      </c>
      <c r="K97" s="231" t="s">
        <v>857</v>
      </c>
      <c r="L97" s="231">
        <v>120</v>
      </c>
      <c r="M97" s="231"/>
      <c r="N97" s="231" t="str">
        <f t="shared" si="0"/>
        <v>Status(DamageRate, 120)</v>
      </c>
      <c r="O97" s="231">
        <v>0</v>
      </c>
      <c r="P97" s="231">
        <v>0</v>
      </c>
      <c r="Q97" s="231"/>
      <c r="R97" s="231" t="b">
        <v>1</v>
      </c>
    </row>
    <row r="98" spans="1:18" x14ac:dyDescent="0.3">
      <c r="A98" s="232" t="s">
        <v>4031</v>
      </c>
      <c r="B98" s="232"/>
      <c r="C98" s="232"/>
      <c r="D98" s="232">
        <v>0</v>
      </c>
      <c r="E98" s="232">
        <v>1</v>
      </c>
      <c r="F98" s="232" t="s">
        <v>476</v>
      </c>
      <c r="G98" s="232" t="s">
        <v>477</v>
      </c>
      <c r="H98" s="232"/>
      <c r="I98" s="232">
        <v>0</v>
      </c>
      <c r="J98" s="232" t="s">
        <v>846</v>
      </c>
      <c r="K98" s="232" t="s">
        <v>857</v>
      </c>
      <c r="L98" s="232">
        <v>130</v>
      </c>
      <c r="M98" s="232"/>
      <c r="N98" s="232" t="str">
        <f t="shared" si="0"/>
        <v>Status(DamageRate, 130)</v>
      </c>
      <c r="O98" s="232">
        <v>0</v>
      </c>
      <c r="P98" s="232">
        <v>0</v>
      </c>
      <c r="Q98" s="232"/>
      <c r="R98" s="232" t="b">
        <v>1</v>
      </c>
    </row>
    <row r="99" spans="1:18" x14ac:dyDescent="0.3">
      <c r="A99" s="232" t="s">
        <v>4032</v>
      </c>
      <c r="B99" s="232"/>
      <c r="C99" s="232"/>
      <c r="D99" s="232">
        <v>0</v>
      </c>
      <c r="E99" s="232">
        <v>1</v>
      </c>
      <c r="F99" s="232" t="s">
        <v>476</v>
      </c>
      <c r="G99" s="232" t="s">
        <v>477</v>
      </c>
      <c r="H99" s="232"/>
      <c r="I99" s="232">
        <v>0</v>
      </c>
      <c r="J99" s="232" t="s">
        <v>846</v>
      </c>
      <c r="K99" s="232" t="s">
        <v>857</v>
      </c>
      <c r="L99" s="232">
        <v>150</v>
      </c>
      <c r="M99" s="232"/>
      <c r="N99" s="232" t="str">
        <f t="shared" si="0"/>
        <v>Status(DamageRate, 150)</v>
      </c>
      <c r="O99" s="232">
        <v>0</v>
      </c>
      <c r="P99" s="232">
        <v>0</v>
      </c>
      <c r="Q99" s="232"/>
      <c r="R99" s="232" t="b">
        <v>1</v>
      </c>
    </row>
    <row r="100" spans="1:18" x14ac:dyDescent="0.3">
      <c r="A100" s="232" t="s">
        <v>4033</v>
      </c>
      <c r="B100" s="232"/>
      <c r="C100" s="232"/>
      <c r="D100" s="232">
        <v>0</v>
      </c>
      <c r="E100" s="232">
        <v>1</v>
      </c>
      <c r="F100" s="232" t="s">
        <v>476</v>
      </c>
      <c r="G100" s="232" t="s">
        <v>477</v>
      </c>
      <c r="H100" s="232"/>
      <c r="I100" s="232">
        <v>0</v>
      </c>
      <c r="J100" s="232" t="s">
        <v>846</v>
      </c>
      <c r="K100" s="232" t="s">
        <v>857</v>
      </c>
      <c r="L100" s="232">
        <v>100</v>
      </c>
      <c r="M100" s="232"/>
      <c r="N100" s="232" t="str">
        <f t="shared" si="0"/>
        <v>Status(DamageRate, 100)</v>
      </c>
      <c r="O100" s="232">
        <v>0</v>
      </c>
      <c r="P100" s="232">
        <v>0</v>
      </c>
      <c r="Q100" s="232"/>
      <c r="R100" s="232" t="b">
        <v>1</v>
      </c>
    </row>
    <row r="101" spans="1:18" x14ac:dyDescent="0.3">
      <c r="A101" s="231" t="s">
        <v>4034</v>
      </c>
      <c r="B101" s="231" t="s">
        <v>487</v>
      </c>
      <c r="C101" s="231" t="s">
        <v>4035</v>
      </c>
      <c r="D101" s="231">
        <v>0</v>
      </c>
      <c r="E101" s="231">
        <v>1</v>
      </c>
      <c r="F101" s="231" t="s">
        <v>476</v>
      </c>
      <c r="G101" s="231" t="s">
        <v>477</v>
      </c>
      <c r="H101" s="231"/>
      <c r="I101" s="231">
        <v>0</v>
      </c>
      <c r="J101" s="231" t="s">
        <v>846</v>
      </c>
      <c r="K101" s="231" t="s">
        <v>2272</v>
      </c>
      <c r="L101" s="231">
        <v>400</v>
      </c>
      <c r="M101" s="231"/>
      <c r="N101" s="231" t="str">
        <f t="shared" si="0"/>
        <v>Status(UltimateDamageRate, 400)</v>
      </c>
      <c r="O101" s="231">
        <v>0</v>
      </c>
      <c r="P101" s="231">
        <v>0</v>
      </c>
      <c r="Q101" s="231"/>
      <c r="R101" s="231" t="b">
        <v>1</v>
      </c>
    </row>
    <row r="102" spans="1:18" x14ac:dyDescent="0.3">
      <c r="A102" s="231" t="s">
        <v>4036</v>
      </c>
      <c r="B102" s="231" t="s">
        <v>487</v>
      </c>
      <c r="C102" s="231" t="s">
        <v>4035</v>
      </c>
      <c r="D102" s="231">
        <v>0</v>
      </c>
      <c r="E102" s="231">
        <v>1</v>
      </c>
      <c r="F102" s="231" t="s">
        <v>476</v>
      </c>
      <c r="G102" s="231" t="s">
        <v>477</v>
      </c>
      <c r="H102" s="231"/>
      <c r="I102" s="231">
        <v>0</v>
      </c>
      <c r="J102" s="231" t="s">
        <v>846</v>
      </c>
      <c r="K102" s="231" t="s">
        <v>2272</v>
      </c>
      <c r="L102" s="231">
        <v>450</v>
      </c>
      <c r="M102" s="231"/>
      <c r="N102" s="231" t="str">
        <f t="shared" si="0"/>
        <v>Status(UltimateDamageRate, 450)</v>
      </c>
      <c r="O102" s="231">
        <v>0</v>
      </c>
      <c r="P102" s="231">
        <v>0</v>
      </c>
      <c r="Q102" s="231"/>
      <c r="R102" s="231" t="b">
        <v>1</v>
      </c>
    </row>
    <row r="103" spans="1:18" x14ac:dyDescent="0.3">
      <c r="A103" s="231" t="s">
        <v>4037</v>
      </c>
      <c r="B103" s="231" t="s">
        <v>487</v>
      </c>
      <c r="C103" s="231" t="s">
        <v>4035</v>
      </c>
      <c r="D103" s="231">
        <v>0</v>
      </c>
      <c r="E103" s="231">
        <v>1</v>
      </c>
      <c r="F103" s="231" t="s">
        <v>476</v>
      </c>
      <c r="G103" s="231" t="s">
        <v>477</v>
      </c>
      <c r="H103" s="231"/>
      <c r="I103" s="231">
        <v>0</v>
      </c>
      <c r="J103" s="231" t="s">
        <v>846</v>
      </c>
      <c r="K103" s="231" t="s">
        <v>2272</v>
      </c>
      <c r="L103" s="231">
        <v>500</v>
      </c>
      <c r="M103" s="231"/>
      <c r="N103" s="231" t="str">
        <f t="shared" si="0"/>
        <v>Status(UltimateDamageRate, 500)</v>
      </c>
      <c r="O103" s="231">
        <v>0</v>
      </c>
      <c r="P103" s="231">
        <v>0</v>
      </c>
      <c r="Q103" s="231"/>
      <c r="R103" s="231" t="b">
        <v>1</v>
      </c>
    </row>
    <row r="104" spans="1:18" x14ac:dyDescent="0.3">
      <c r="A104" s="232" t="s">
        <v>4038</v>
      </c>
      <c r="B104" s="232" t="s">
        <v>487</v>
      </c>
      <c r="C104" s="232" t="s">
        <v>4035</v>
      </c>
      <c r="D104" s="232">
        <v>0</v>
      </c>
      <c r="E104" s="232">
        <v>1</v>
      </c>
      <c r="F104" s="232" t="s">
        <v>476</v>
      </c>
      <c r="G104" s="232" t="s">
        <v>477</v>
      </c>
      <c r="H104" s="232"/>
      <c r="I104" s="232">
        <v>0</v>
      </c>
      <c r="J104" s="232" t="s">
        <v>846</v>
      </c>
      <c r="K104" s="232" t="s">
        <v>2272</v>
      </c>
      <c r="L104" s="232">
        <v>550</v>
      </c>
      <c r="M104" s="232"/>
      <c r="N104" s="232" t="str">
        <f t="shared" si="0"/>
        <v>Status(UltimateDamageRate, 550)</v>
      </c>
      <c r="O104" s="232">
        <v>0</v>
      </c>
      <c r="P104" s="232">
        <v>0</v>
      </c>
      <c r="Q104" s="232"/>
      <c r="R104" s="232" t="b">
        <v>1</v>
      </c>
    </row>
    <row r="105" spans="1:18" x14ac:dyDescent="0.3">
      <c r="A105" s="232" t="s">
        <v>4039</v>
      </c>
      <c r="B105" s="232" t="s">
        <v>487</v>
      </c>
      <c r="C105" s="232" t="s">
        <v>4035</v>
      </c>
      <c r="D105" s="232">
        <v>0</v>
      </c>
      <c r="E105" s="232">
        <v>1</v>
      </c>
      <c r="F105" s="232" t="s">
        <v>476</v>
      </c>
      <c r="G105" s="232" t="s">
        <v>477</v>
      </c>
      <c r="H105" s="232"/>
      <c r="I105" s="232">
        <v>0</v>
      </c>
      <c r="J105" s="232" t="s">
        <v>846</v>
      </c>
      <c r="K105" s="232" t="s">
        <v>2272</v>
      </c>
      <c r="L105" s="232">
        <v>900</v>
      </c>
      <c r="M105" s="232"/>
      <c r="N105" s="232" t="str">
        <f t="shared" si="0"/>
        <v>Status(UltimateDamageRate, 900)</v>
      </c>
      <c r="O105" s="232">
        <v>0</v>
      </c>
      <c r="P105" s="232">
        <v>0</v>
      </c>
      <c r="Q105" s="232"/>
      <c r="R105" s="232" t="b">
        <v>1</v>
      </c>
    </row>
    <row r="106" spans="1:18" x14ac:dyDescent="0.3">
      <c r="A106" s="232" t="s">
        <v>4040</v>
      </c>
      <c r="B106" s="232" t="s">
        <v>487</v>
      </c>
      <c r="C106" s="232" t="s">
        <v>4035</v>
      </c>
      <c r="D106" s="232">
        <v>0</v>
      </c>
      <c r="E106" s="232">
        <v>1</v>
      </c>
      <c r="F106" s="232" t="s">
        <v>476</v>
      </c>
      <c r="G106" s="232" t="s">
        <v>477</v>
      </c>
      <c r="H106" s="232"/>
      <c r="I106" s="232">
        <v>0</v>
      </c>
      <c r="J106" s="232" t="s">
        <v>846</v>
      </c>
      <c r="K106" s="232" t="s">
        <v>2272</v>
      </c>
      <c r="L106" s="232">
        <v>1000</v>
      </c>
      <c r="M106" s="232"/>
      <c r="N106" s="232" t="str">
        <f t="shared" si="0"/>
        <v>Status(UltimateDamageRate, 1000)</v>
      </c>
      <c r="O106" s="232">
        <v>0</v>
      </c>
      <c r="P106" s="232">
        <v>0</v>
      </c>
      <c r="Q106" s="232"/>
      <c r="R106" s="232" t="b">
        <v>1</v>
      </c>
    </row>
    <row r="107" spans="1:18" x14ac:dyDescent="0.3">
      <c r="A107" s="231" t="s">
        <v>4041</v>
      </c>
      <c r="B107" s="231" t="s">
        <v>487</v>
      </c>
      <c r="C107" s="231" t="s">
        <v>4035</v>
      </c>
      <c r="D107" s="231">
        <v>0</v>
      </c>
      <c r="E107" s="231">
        <v>1</v>
      </c>
      <c r="F107" s="231" t="s">
        <v>476</v>
      </c>
      <c r="G107" s="231" t="s">
        <v>477</v>
      </c>
      <c r="H107" s="231"/>
      <c r="I107" s="231">
        <v>0</v>
      </c>
      <c r="J107" s="231" t="s">
        <v>846</v>
      </c>
      <c r="K107" s="231" t="s">
        <v>869</v>
      </c>
      <c r="L107" s="231">
        <v>200</v>
      </c>
      <c r="M107" s="231"/>
      <c r="N107" s="231" t="str">
        <f t="shared" si="0"/>
        <v>Status(AddEnergyRate, 200)</v>
      </c>
      <c r="O107" s="231">
        <v>0</v>
      </c>
      <c r="P107" s="231">
        <v>0</v>
      </c>
      <c r="Q107" s="231"/>
      <c r="R107" s="231" t="b">
        <v>1</v>
      </c>
    </row>
    <row r="108" spans="1:18" x14ac:dyDescent="0.3">
      <c r="A108" s="231" t="s">
        <v>4042</v>
      </c>
      <c r="B108" s="231" t="s">
        <v>487</v>
      </c>
      <c r="C108" s="231" t="s">
        <v>4035</v>
      </c>
      <c r="D108" s="231">
        <v>0</v>
      </c>
      <c r="E108" s="231">
        <v>1</v>
      </c>
      <c r="F108" s="231" t="s">
        <v>476</v>
      </c>
      <c r="G108" s="231" t="s">
        <v>477</v>
      </c>
      <c r="H108" s="231"/>
      <c r="I108" s="231">
        <v>0</v>
      </c>
      <c r="J108" s="231" t="s">
        <v>846</v>
      </c>
      <c r="K108" s="231" t="s">
        <v>869</v>
      </c>
      <c r="L108" s="231">
        <v>250</v>
      </c>
      <c r="M108" s="231"/>
      <c r="N108" s="231" t="str">
        <f t="shared" si="0"/>
        <v>Status(AddEnergyRate, 250)</v>
      </c>
      <c r="O108" s="231">
        <v>0</v>
      </c>
      <c r="P108" s="231">
        <v>0</v>
      </c>
      <c r="Q108" s="231"/>
      <c r="R108" s="231" t="b">
        <v>1</v>
      </c>
    </row>
    <row r="109" spans="1:18" x14ac:dyDescent="0.3">
      <c r="A109" s="231" t="s">
        <v>4043</v>
      </c>
      <c r="B109" s="231" t="s">
        <v>487</v>
      </c>
      <c r="C109" s="231" t="s">
        <v>4035</v>
      </c>
      <c r="D109" s="231">
        <v>0</v>
      </c>
      <c r="E109" s="231">
        <v>1</v>
      </c>
      <c r="F109" s="231" t="s">
        <v>476</v>
      </c>
      <c r="G109" s="231" t="s">
        <v>477</v>
      </c>
      <c r="H109" s="231"/>
      <c r="I109" s="231">
        <v>0</v>
      </c>
      <c r="J109" s="231" t="s">
        <v>846</v>
      </c>
      <c r="K109" s="231" t="s">
        <v>869</v>
      </c>
      <c r="L109" s="231">
        <v>300</v>
      </c>
      <c r="M109" s="231"/>
      <c r="N109" s="231" t="str">
        <f t="shared" si="0"/>
        <v>Status(AddEnergyRate, 300)</v>
      </c>
      <c r="O109" s="231">
        <v>0</v>
      </c>
      <c r="P109" s="231">
        <v>0</v>
      </c>
      <c r="Q109" s="231"/>
      <c r="R109" s="231" t="b">
        <v>1</v>
      </c>
    </row>
    <row r="110" spans="1:18" x14ac:dyDescent="0.3">
      <c r="A110" s="232" t="s">
        <v>4044</v>
      </c>
      <c r="B110" s="232" t="s">
        <v>487</v>
      </c>
      <c r="C110" s="232" t="s">
        <v>4035</v>
      </c>
      <c r="D110" s="232">
        <v>0</v>
      </c>
      <c r="E110" s="232">
        <v>1</v>
      </c>
      <c r="F110" s="232" t="s">
        <v>476</v>
      </c>
      <c r="G110" s="232" t="s">
        <v>477</v>
      </c>
      <c r="H110" s="232"/>
      <c r="I110" s="232">
        <v>0</v>
      </c>
      <c r="J110" s="232" t="s">
        <v>846</v>
      </c>
      <c r="K110" s="232" t="s">
        <v>869</v>
      </c>
      <c r="L110" s="232">
        <v>350</v>
      </c>
      <c r="M110" s="232"/>
      <c r="N110" s="232" t="str">
        <f t="shared" si="0"/>
        <v>Status(AddEnergyRate, 350)</v>
      </c>
      <c r="O110" s="232">
        <v>0</v>
      </c>
      <c r="P110" s="232">
        <v>0</v>
      </c>
      <c r="Q110" s="232"/>
      <c r="R110" s="232" t="b">
        <v>1</v>
      </c>
    </row>
    <row r="111" spans="1:18" x14ac:dyDescent="0.3">
      <c r="A111" s="232" t="s">
        <v>4045</v>
      </c>
      <c r="B111" s="232" t="s">
        <v>487</v>
      </c>
      <c r="C111" s="232" t="s">
        <v>4035</v>
      </c>
      <c r="D111" s="232">
        <v>0</v>
      </c>
      <c r="E111" s="232">
        <v>1</v>
      </c>
      <c r="F111" s="232" t="s">
        <v>476</v>
      </c>
      <c r="G111" s="232" t="s">
        <v>477</v>
      </c>
      <c r="H111" s="232"/>
      <c r="I111" s="232">
        <v>0</v>
      </c>
      <c r="J111" s="232" t="s">
        <v>846</v>
      </c>
      <c r="K111" s="232" t="s">
        <v>869</v>
      </c>
      <c r="L111" s="232">
        <v>400</v>
      </c>
      <c r="M111" s="232"/>
      <c r="N111" s="232" t="str">
        <f t="shared" si="0"/>
        <v>Status(AddEnergyRate, 400)</v>
      </c>
      <c r="O111" s="232">
        <v>0</v>
      </c>
      <c r="P111" s="232">
        <v>0</v>
      </c>
      <c r="Q111" s="232"/>
      <c r="R111" s="232" t="b">
        <v>1</v>
      </c>
    </row>
    <row r="112" spans="1:18" x14ac:dyDescent="0.3">
      <c r="A112" s="232" t="s">
        <v>4046</v>
      </c>
      <c r="B112" s="232" t="s">
        <v>487</v>
      </c>
      <c r="C112" s="232" t="s">
        <v>4035</v>
      </c>
      <c r="D112" s="232">
        <v>0</v>
      </c>
      <c r="E112" s="232">
        <v>1</v>
      </c>
      <c r="F112" s="232" t="s">
        <v>476</v>
      </c>
      <c r="G112" s="232" t="s">
        <v>477</v>
      </c>
      <c r="H112" s="232"/>
      <c r="I112" s="232">
        <v>0</v>
      </c>
      <c r="J112" s="232" t="s">
        <v>846</v>
      </c>
      <c r="K112" s="232" t="s">
        <v>869</v>
      </c>
      <c r="L112" s="232">
        <v>450</v>
      </c>
      <c r="M112" s="232"/>
      <c r="N112" s="232" t="str">
        <f t="shared" si="0"/>
        <v>Status(AddEnergyRate, 450)</v>
      </c>
      <c r="O112" s="232">
        <v>0</v>
      </c>
      <c r="P112" s="232">
        <v>0</v>
      </c>
      <c r="Q112" s="232"/>
      <c r="R112" s="232" t="b">
        <v>1</v>
      </c>
    </row>
    <row r="113" spans="1:18" x14ac:dyDescent="0.3">
      <c r="A113" s="157" t="s">
        <v>4047</v>
      </c>
      <c r="B113" s="157"/>
      <c r="C113" s="157"/>
      <c r="D113" s="157">
        <v>0</v>
      </c>
      <c r="E113" s="157">
        <v>1</v>
      </c>
      <c r="F113" s="157" t="s">
        <v>476</v>
      </c>
      <c r="G113" s="157" t="s">
        <v>477</v>
      </c>
      <c r="H113" s="157"/>
      <c r="I113" s="157">
        <v>0</v>
      </c>
      <c r="J113" s="157" t="s">
        <v>860</v>
      </c>
      <c r="K113" s="157" t="s">
        <v>4048</v>
      </c>
      <c r="L113" s="157"/>
      <c r="M113" s="157"/>
      <c r="N113" s="157" t="str">
        <f t="shared" si="0"/>
        <v>Active(m.isabella.passive.ex.token.buff.skilleffect)</v>
      </c>
      <c r="O113" s="157">
        <v>0</v>
      </c>
      <c r="P113" s="157">
        <v>0</v>
      </c>
      <c r="Q113" s="157"/>
      <c r="R113" s="157" t="b">
        <v>1</v>
      </c>
    </row>
    <row r="114" spans="1:18" x14ac:dyDescent="0.3">
      <c r="A114" s="157" t="s">
        <v>4049</v>
      </c>
      <c r="B114" s="157"/>
      <c r="C114" s="157"/>
      <c r="D114" s="157">
        <v>0</v>
      </c>
      <c r="E114" s="157">
        <v>1</v>
      </c>
      <c r="F114" s="157" t="s">
        <v>476</v>
      </c>
      <c r="G114" s="157" t="s">
        <v>477</v>
      </c>
      <c r="H114" s="157"/>
      <c r="I114" s="157">
        <v>0</v>
      </c>
      <c r="J114" s="157" t="s">
        <v>846</v>
      </c>
      <c r="K114" s="157" t="s">
        <v>858</v>
      </c>
      <c r="L114" s="157">
        <v>75</v>
      </c>
      <c r="M114" s="157"/>
      <c r="N114" s="157" t="str">
        <f t="shared" si="0"/>
        <v>Status(CriticalRate, 75)</v>
      </c>
      <c r="O114" s="157">
        <v>0</v>
      </c>
      <c r="P114" s="157">
        <v>0</v>
      </c>
      <c r="Q114" s="157"/>
      <c r="R114" s="157" t="b">
        <v>1</v>
      </c>
    </row>
    <row r="115" spans="1:18" x14ac:dyDescent="0.3">
      <c r="A115" s="157" t="s">
        <v>4050</v>
      </c>
      <c r="B115" s="157"/>
      <c r="C115" s="157"/>
      <c r="D115" s="157">
        <v>0</v>
      </c>
      <c r="E115" s="157">
        <v>1</v>
      </c>
      <c r="F115" s="157" t="s">
        <v>476</v>
      </c>
      <c r="G115" s="157" t="s">
        <v>477</v>
      </c>
      <c r="H115" s="157"/>
      <c r="I115" s="157">
        <v>0</v>
      </c>
      <c r="J115" s="157" t="s">
        <v>846</v>
      </c>
      <c r="K115" s="157" t="s">
        <v>858</v>
      </c>
      <c r="L115" s="157">
        <v>100</v>
      </c>
      <c r="M115" s="157"/>
      <c r="N115" s="157" t="str">
        <f t="shared" si="0"/>
        <v>Status(CriticalRate, 100)</v>
      </c>
      <c r="O115" s="157">
        <v>0</v>
      </c>
      <c r="P115" s="157">
        <v>0</v>
      </c>
      <c r="Q115" s="157"/>
      <c r="R115" s="157" t="b">
        <v>1</v>
      </c>
    </row>
    <row r="116" spans="1:18" x14ac:dyDescent="0.3">
      <c r="A116" s="157" t="s">
        <v>4051</v>
      </c>
      <c r="B116" s="157"/>
      <c r="C116" s="157"/>
      <c r="D116" s="157">
        <v>0</v>
      </c>
      <c r="E116" s="157">
        <v>1</v>
      </c>
      <c r="F116" s="157" t="s">
        <v>476</v>
      </c>
      <c r="G116" s="157" t="s">
        <v>477</v>
      </c>
      <c r="H116" s="157"/>
      <c r="I116" s="157">
        <v>0</v>
      </c>
      <c r="J116" s="157" t="s">
        <v>846</v>
      </c>
      <c r="K116" s="157" t="s">
        <v>858</v>
      </c>
      <c r="L116" s="157">
        <v>125</v>
      </c>
      <c r="M116" s="157"/>
      <c r="N116" s="157" t="str">
        <f t="shared" si="0"/>
        <v>Status(CriticalRate, 125)</v>
      </c>
      <c r="O116" s="157">
        <v>0</v>
      </c>
      <c r="P116" s="157">
        <v>0</v>
      </c>
      <c r="Q116" s="157"/>
      <c r="R116" s="157" t="b">
        <v>1</v>
      </c>
    </row>
    <row r="117" spans="1:18" x14ac:dyDescent="0.3">
      <c r="A117" s="232" t="s">
        <v>4052</v>
      </c>
      <c r="B117" s="232"/>
      <c r="C117" s="232"/>
      <c r="D117" s="232">
        <v>0</v>
      </c>
      <c r="E117" s="232">
        <v>1</v>
      </c>
      <c r="F117" s="232" t="s">
        <v>476</v>
      </c>
      <c r="G117" s="232" t="s">
        <v>477</v>
      </c>
      <c r="H117" s="232"/>
      <c r="I117" s="232">
        <v>0</v>
      </c>
      <c r="J117" s="232" t="s">
        <v>846</v>
      </c>
      <c r="K117" s="232" t="s">
        <v>858</v>
      </c>
      <c r="L117" s="232">
        <v>150</v>
      </c>
      <c r="M117" s="232"/>
      <c r="N117" s="232" t="str">
        <f t="shared" si="0"/>
        <v>Status(CriticalRate, 150)</v>
      </c>
      <c r="O117" s="232">
        <v>0</v>
      </c>
      <c r="P117" s="232">
        <v>0</v>
      </c>
      <c r="Q117" s="232"/>
      <c r="R117" s="232" t="b">
        <v>1</v>
      </c>
    </row>
    <row r="118" spans="1:18" x14ac:dyDescent="0.3">
      <c r="A118" s="232" t="s">
        <v>4053</v>
      </c>
      <c r="B118" s="232"/>
      <c r="C118" s="232"/>
      <c r="D118" s="232">
        <v>0</v>
      </c>
      <c r="E118" s="232">
        <v>1</v>
      </c>
      <c r="F118" s="232" t="s">
        <v>476</v>
      </c>
      <c r="G118" s="232" t="s">
        <v>477</v>
      </c>
      <c r="H118" s="232"/>
      <c r="I118" s="232">
        <v>0</v>
      </c>
      <c r="J118" s="232" t="s">
        <v>846</v>
      </c>
      <c r="K118" s="232" t="s">
        <v>858</v>
      </c>
      <c r="L118" s="232">
        <v>175</v>
      </c>
      <c r="M118" s="232"/>
      <c r="N118" s="232" t="str">
        <f t="shared" si="0"/>
        <v>Status(CriticalRate, 175)</v>
      </c>
      <c r="O118" s="232">
        <v>0</v>
      </c>
      <c r="P118" s="232">
        <v>0</v>
      </c>
      <c r="Q118" s="232"/>
      <c r="R118" s="232" t="b">
        <v>1</v>
      </c>
    </row>
    <row r="119" spans="1:18" x14ac:dyDescent="0.3">
      <c r="A119" s="232" t="s">
        <v>4054</v>
      </c>
      <c r="B119" s="232"/>
      <c r="C119" s="232"/>
      <c r="D119" s="232">
        <v>0</v>
      </c>
      <c r="E119" s="232">
        <v>1</v>
      </c>
      <c r="F119" s="232" t="s">
        <v>476</v>
      </c>
      <c r="G119" s="232" t="s">
        <v>477</v>
      </c>
      <c r="H119" s="232"/>
      <c r="I119" s="232">
        <v>0</v>
      </c>
      <c r="J119" s="232" t="s">
        <v>846</v>
      </c>
      <c r="K119" s="232" t="s">
        <v>858</v>
      </c>
      <c r="L119" s="232">
        <v>200</v>
      </c>
      <c r="M119" s="232"/>
      <c r="N119" s="232" t="str">
        <f t="shared" si="0"/>
        <v>Status(CriticalRate, 200)</v>
      </c>
      <c r="O119" s="232">
        <v>0</v>
      </c>
      <c r="P119" s="232">
        <v>0</v>
      </c>
      <c r="Q119" s="232"/>
      <c r="R119" s="232" t="b">
        <v>1</v>
      </c>
    </row>
    <row r="120" spans="1:18" x14ac:dyDescent="0.3">
      <c r="A120" s="157" t="s">
        <v>4055</v>
      </c>
      <c r="B120" s="157"/>
      <c r="C120" s="157"/>
      <c r="D120" s="157">
        <v>0</v>
      </c>
      <c r="E120" s="157">
        <v>1</v>
      </c>
      <c r="F120" s="157" t="s">
        <v>476</v>
      </c>
      <c r="G120" s="157" t="s">
        <v>477</v>
      </c>
      <c r="H120" s="157"/>
      <c r="I120" s="157">
        <v>0</v>
      </c>
      <c r="J120" s="157" t="s">
        <v>846</v>
      </c>
      <c r="K120" s="157" t="s">
        <v>847</v>
      </c>
      <c r="L120" s="157">
        <v>-100</v>
      </c>
      <c r="M120" s="157"/>
      <c r="N120" s="157" t="str">
        <f t="shared" si="0"/>
        <v>Status(DefenseRatio, -100)</v>
      </c>
      <c r="O120" s="157">
        <v>0</v>
      </c>
      <c r="P120" s="157">
        <v>0</v>
      </c>
      <c r="Q120" s="157"/>
      <c r="R120" s="157" t="b">
        <v>1</v>
      </c>
    </row>
    <row r="121" spans="1:18" x14ac:dyDescent="0.3">
      <c r="A121" s="157" t="s">
        <v>4056</v>
      </c>
      <c r="B121" s="157"/>
      <c r="C121" s="157"/>
      <c r="D121" s="157">
        <v>0</v>
      </c>
      <c r="E121" s="157">
        <v>1</v>
      </c>
      <c r="F121" s="157" t="s">
        <v>476</v>
      </c>
      <c r="G121" s="157" t="s">
        <v>477</v>
      </c>
      <c r="H121" s="157"/>
      <c r="I121" s="157">
        <v>0</v>
      </c>
      <c r="J121" s="157" t="s">
        <v>846</v>
      </c>
      <c r="K121" s="157" t="s">
        <v>847</v>
      </c>
      <c r="L121" s="157">
        <v>-125</v>
      </c>
      <c r="M121" s="157"/>
      <c r="N121" s="157" t="str">
        <f t="shared" si="0"/>
        <v>Status(DefenseRatio, -125)</v>
      </c>
      <c r="O121" s="157">
        <v>0</v>
      </c>
      <c r="P121" s="157">
        <v>0</v>
      </c>
      <c r="Q121" s="157"/>
      <c r="R121" s="157" t="b">
        <v>1</v>
      </c>
    </row>
    <row r="122" spans="1:18" x14ac:dyDescent="0.3">
      <c r="A122" s="157" t="s">
        <v>4057</v>
      </c>
      <c r="B122" s="157"/>
      <c r="C122" s="157"/>
      <c r="D122" s="157">
        <v>0</v>
      </c>
      <c r="E122" s="157">
        <v>1</v>
      </c>
      <c r="F122" s="157" t="s">
        <v>476</v>
      </c>
      <c r="G122" s="157" t="s">
        <v>477</v>
      </c>
      <c r="H122" s="157"/>
      <c r="I122" s="157">
        <v>0</v>
      </c>
      <c r="J122" s="157" t="s">
        <v>846</v>
      </c>
      <c r="K122" s="157" t="s">
        <v>847</v>
      </c>
      <c r="L122" s="157">
        <v>-150</v>
      </c>
      <c r="M122" s="157"/>
      <c r="N122" s="157" t="str">
        <f t="shared" si="0"/>
        <v>Status(DefenseRatio, -150)</v>
      </c>
      <c r="O122" s="157">
        <v>0</v>
      </c>
      <c r="P122" s="157">
        <v>0</v>
      </c>
      <c r="Q122" s="157"/>
      <c r="R122" s="157" t="b">
        <v>1</v>
      </c>
    </row>
    <row r="123" spans="1:18" x14ac:dyDescent="0.3">
      <c r="A123" s="232" t="s">
        <v>4058</v>
      </c>
      <c r="B123" s="232"/>
      <c r="C123" s="232"/>
      <c r="D123" s="232">
        <v>0</v>
      </c>
      <c r="E123" s="232">
        <v>1</v>
      </c>
      <c r="F123" s="232" t="s">
        <v>476</v>
      </c>
      <c r="G123" s="232" t="s">
        <v>477</v>
      </c>
      <c r="H123" s="232"/>
      <c r="I123" s="232">
        <v>0</v>
      </c>
      <c r="J123" s="232" t="s">
        <v>846</v>
      </c>
      <c r="K123" s="232" t="s">
        <v>847</v>
      </c>
      <c r="L123" s="232">
        <v>-175</v>
      </c>
      <c r="M123" s="232"/>
      <c r="N123" s="232" t="str">
        <f t="shared" si="0"/>
        <v>Status(DefenseRatio, -175)</v>
      </c>
      <c r="O123" s="232">
        <v>0</v>
      </c>
      <c r="P123" s="232">
        <v>0</v>
      </c>
      <c r="Q123" s="232"/>
      <c r="R123" s="232" t="b">
        <v>1</v>
      </c>
    </row>
    <row r="124" spans="1:18" x14ac:dyDescent="0.3">
      <c r="A124" s="232" t="s">
        <v>4059</v>
      </c>
      <c r="B124" s="232"/>
      <c r="C124" s="232"/>
      <c r="D124" s="232">
        <v>0</v>
      </c>
      <c r="E124" s="232">
        <v>1</v>
      </c>
      <c r="F124" s="232" t="s">
        <v>476</v>
      </c>
      <c r="G124" s="232" t="s">
        <v>477</v>
      </c>
      <c r="H124" s="232"/>
      <c r="I124" s="232">
        <v>0</v>
      </c>
      <c r="J124" s="232" t="s">
        <v>846</v>
      </c>
      <c r="K124" s="232" t="s">
        <v>847</v>
      </c>
      <c r="L124" s="232">
        <v>-200</v>
      </c>
      <c r="M124" s="232"/>
      <c r="N124" s="232" t="str">
        <f t="shared" si="0"/>
        <v>Status(DefenseRatio, -200)</v>
      </c>
      <c r="O124" s="232">
        <v>0</v>
      </c>
      <c r="P124" s="232">
        <v>0</v>
      </c>
      <c r="Q124" s="232"/>
      <c r="R124" s="232" t="b">
        <v>1</v>
      </c>
    </row>
    <row r="125" spans="1:18" x14ac:dyDescent="0.3">
      <c r="A125" s="232" t="s">
        <v>4060</v>
      </c>
      <c r="B125" s="232"/>
      <c r="C125" s="232"/>
      <c r="D125" s="232">
        <v>0</v>
      </c>
      <c r="E125" s="232">
        <v>1</v>
      </c>
      <c r="F125" s="232" t="s">
        <v>476</v>
      </c>
      <c r="G125" s="232" t="s">
        <v>477</v>
      </c>
      <c r="H125" s="232"/>
      <c r="I125" s="232">
        <v>0</v>
      </c>
      <c r="J125" s="232" t="s">
        <v>846</v>
      </c>
      <c r="K125" s="232" t="s">
        <v>847</v>
      </c>
      <c r="L125" s="232">
        <v>-250</v>
      </c>
      <c r="M125" s="232"/>
      <c r="N125" s="232" t="str">
        <f t="shared" si="0"/>
        <v>Status(DefenseRatio, -250)</v>
      </c>
      <c r="O125" s="232">
        <v>0</v>
      </c>
      <c r="P125" s="232">
        <v>0</v>
      </c>
      <c r="Q125" s="232"/>
      <c r="R125" s="232" t="b">
        <v>1</v>
      </c>
    </row>
    <row r="126" spans="1:18" x14ac:dyDescent="0.3">
      <c r="A126" s="233" t="s">
        <v>4061</v>
      </c>
      <c r="B126" s="233" t="s">
        <v>487</v>
      </c>
      <c r="C126" s="233" t="s">
        <v>4062</v>
      </c>
      <c r="D126" s="233">
        <v>0</v>
      </c>
      <c r="E126" s="233">
        <v>1</v>
      </c>
      <c r="F126" s="233" t="s">
        <v>476</v>
      </c>
      <c r="G126" s="233" t="s">
        <v>477</v>
      </c>
      <c r="H126" s="233"/>
      <c r="I126" s="233">
        <v>0</v>
      </c>
      <c r="J126" s="233" t="s">
        <v>860</v>
      </c>
      <c r="K126" s="233" t="s">
        <v>4147</v>
      </c>
      <c r="L126" s="233"/>
      <c r="M126" s="233"/>
      <c r="N126" s="233" t="str">
        <f t="shared" si="0"/>
        <v>Active(m.isabella.passive.summon.killswitch.skilleffect)</v>
      </c>
      <c r="O126" s="233">
        <v>0</v>
      </c>
      <c r="P126" s="233">
        <v>0</v>
      </c>
      <c r="Q126" s="233"/>
      <c r="R126" s="233" t="b">
        <v>1</v>
      </c>
    </row>
    <row r="127" spans="1:18" x14ac:dyDescent="0.3">
      <c r="A127" s="233" t="s">
        <v>4063</v>
      </c>
      <c r="B127" s="233" t="s">
        <v>487</v>
      </c>
      <c r="C127" s="233" t="s">
        <v>4064</v>
      </c>
      <c r="D127" s="233">
        <v>0</v>
      </c>
      <c r="E127" s="233">
        <v>1</v>
      </c>
      <c r="F127" s="233" t="s">
        <v>476</v>
      </c>
      <c r="G127" s="233" t="s">
        <v>477</v>
      </c>
      <c r="H127" s="233"/>
      <c r="I127" s="233">
        <v>0</v>
      </c>
      <c r="J127" s="233" t="s">
        <v>860</v>
      </c>
      <c r="K127" s="233" t="s">
        <v>4147</v>
      </c>
      <c r="L127" s="233"/>
      <c r="M127" s="233"/>
      <c r="N127" s="233" t="str">
        <f t="shared" si="0"/>
        <v>Active(m.isabella.passive.summon.killswitch.skilleffect)</v>
      </c>
      <c r="O127" s="233">
        <v>0</v>
      </c>
      <c r="P127" s="233">
        <v>0</v>
      </c>
      <c r="Q127" s="233"/>
      <c r="R127" s="233" t="b">
        <v>1</v>
      </c>
    </row>
    <row r="128" spans="1:18" x14ac:dyDescent="0.3">
      <c r="A128" s="231" t="s">
        <v>4065</v>
      </c>
      <c r="B128" s="231"/>
      <c r="C128" s="231"/>
      <c r="D128" s="231">
        <v>0</v>
      </c>
      <c r="E128" s="231">
        <v>1</v>
      </c>
      <c r="F128" s="231" t="s">
        <v>476</v>
      </c>
      <c r="G128" s="231" t="s">
        <v>477</v>
      </c>
      <c r="H128" s="231"/>
      <c r="I128" s="231">
        <v>0</v>
      </c>
      <c r="J128" s="231" t="s">
        <v>846</v>
      </c>
      <c r="K128" s="231" t="s">
        <v>852</v>
      </c>
      <c r="L128" s="231">
        <v>-700</v>
      </c>
      <c r="M128" s="231"/>
      <c r="N128" s="231" t="str">
        <f t="shared" si="0"/>
        <v>Status(AttackRatio, -700)</v>
      </c>
      <c r="O128" s="231">
        <v>0</v>
      </c>
      <c r="P128" s="231">
        <v>0</v>
      </c>
      <c r="Q128" s="231"/>
      <c r="R128" s="231" t="b">
        <v>1</v>
      </c>
    </row>
    <row r="129" spans="1:18" x14ac:dyDescent="0.3">
      <c r="A129" s="231" t="s">
        <v>4066</v>
      </c>
      <c r="B129" s="231"/>
      <c r="C129" s="231"/>
      <c r="D129" s="231">
        <v>0</v>
      </c>
      <c r="E129" s="231">
        <v>1</v>
      </c>
      <c r="F129" s="231" t="s">
        <v>476</v>
      </c>
      <c r="G129" s="231" t="s">
        <v>477</v>
      </c>
      <c r="H129" s="231"/>
      <c r="I129" s="231">
        <v>0</v>
      </c>
      <c r="J129" s="231" t="s">
        <v>846</v>
      </c>
      <c r="K129" s="231" t="s">
        <v>852</v>
      </c>
      <c r="L129" s="231">
        <v>-650</v>
      </c>
      <c r="M129" s="231"/>
      <c r="N129" s="231" t="str">
        <f t="shared" si="0"/>
        <v>Status(AttackRatio, -650)</v>
      </c>
      <c r="O129" s="231">
        <v>0</v>
      </c>
      <c r="P129" s="231">
        <v>0</v>
      </c>
      <c r="Q129" s="231"/>
      <c r="R129" s="231" t="b">
        <v>1</v>
      </c>
    </row>
    <row r="130" spans="1:18" x14ac:dyDescent="0.3">
      <c r="A130" s="231" t="s">
        <v>4067</v>
      </c>
      <c r="B130" s="231"/>
      <c r="C130" s="231"/>
      <c r="D130" s="231">
        <v>0</v>
      </c>
      <c r="E130" s="231">
        <v>1</v>
      </c>
      <c r="F130" s="231" t="s">
        <v>476</v>
      </c>
      <c r="G130" s="231" t="s">
        <v>477</v>
      </c>
      <c r="H130" s="231"/>
      <c r="I130" s="231">
        <v>0</v>
      </c>
      <c r="J130" s="231" t="s">
        <v>846</v>
      </c>
      <c r="K130" s="231" t="s">
        <v>852</v>
      </c>
      <c r="L130" s="231">
        <v>-600</v>
      </c>
      <c r="M130" s="231"/>
      <c r="N130" s="231" t="str">
        <f t="shared" si="0"/>
        <v>Status(AttackRatio, -600)</v>
      </c>
      <c r="O130" s="231">
        <v>0</v>
      </c>
      <c r="P130" s="231">
        <v>0</v>
      </c>
      <c r="Q130" s="231"/>
      <c r="R130" s="231" t="b">
        <v>1</v>
      </c>
    </row>
    <row r="131" spans="1:18" x14ac:dyDescent="0.3">
      <c r="A131" s="232" t="s">
        <v>4068</v>
      </c>
      <c r="B131" s="232"/>
      <c r="C131" s="232"/>
      <c r="D131" s="232">
        <v>0</v>
      </c>
      <c r="E131" s="232">
        <v>1</v>
      </c>
      <c r="F131" s="232" t="s">
        <v>476</v>
      </c>
      <c r="G131" s="232" t="s">
        <v>477</v>
      </c>
      <c r="H131" s="232"/>
      <c r="I131" s="232">
        <v>0</v>
      </c>
      <c r="J131" s="232" t="s">
        <v>846</v>
      </c>
      <c r="K131" s="232" t="s">
        <v>852</v>
      </c>
      <c r="L131" s="232">
        <v>-550</v>
      </c>
      <c r="M131" s="232"/>
      <c r="N131" s="232" t="str">
        <f t="shared" si="0"/>
        <v>Status(AttackRatio, -550)</v>
      </c>
      <c r="O131" s="232">
        <v>0</v>
      </c>
      <c r="P131" s="232">
        <v>0</v>
      </c>
      <c r="Q131" s="232"/>
      <c r="R131" s="232" t="b">
        <v>1</v>
      </c>
    </row>
    <row r="132" spans="1:18" x14ac:dyDescent="0.3">
      <c r="A132" s="232" t="s">
        <v>4069</v>
      </c>
      <c r="B132" s="232"/>
      <c r="C132" s="232"/>
      <c r="D132" s="232">
        <v>0</v>
      </c>
      <c r="E132" s="232">
        <v>1</v>
      </c>
      <c r="F132" s="232" t="s">
        <v>476</v>
      </c>
      <c r="G132" s="232" t="s">
        <v>477</v>
      </c>
      <c r="H132" s="232"/>
      <c r="I132" s="232">
        <v>0</v>
      </c>
      <c r="J132" s="232" t="s">
        <v>846</v>
      </c>
      <c r="K132" s="232" t="s">
        <v>852</v>
      </c>
      <c r="L132" s="232">
        <v>-500</v>
      </c>
      <c r="M132" s="232"/>
      <c r="N132" s="232" t="str">
        <f t="shared" si="0"/>
        <v>Status(AttackRatio, -500)</v>
      </c>
      <c r="O132" s="232">
        <v>0</v>
      </c>
      <c r="P132" s="232">
        <v>0</v>
      </c>
      <c r="Q132" s="232"/>
      <c r="R132" s="232" t="b">
        <v>1</v>
      </c>
    </row>
    <row r="133" spans="1:18" x14ac:dyDescent="0.3">
      <c r="A133" s="232" t="s">
        <v>4070</v>
      </c>
      <c r="B133" s="232"/>
      <c r="C133" s="232"/>
      <c r="D133" s="232">
        <v>0</v>
      </c>
      <c r="E133" s="232">
        <v>1</v>
      </c>
      <c r="F133" s="232" t="s">
        <v>476</v>
      </c>
      <c r="G133" s="232" t="s">
        <v>477</v>
      </c>
      <c r="H133" s="232"/>
      <c r="I133" s="232">
        <v>0</v>
      </c>
      <c r="J133" s="232" t="s">
        <v>846</v>
      </c>
      <c r="K133" s="232" t="s">
        <v>852</v>
      </c>
      <c r="L133" s="232">
        <v>-450</v>
      </c>
      <c r="M133" s="232"/>
      <c r="N133" s="232" t="str">
        <f t="shared" si="0"/>
        <v>Status(AttackRatio, -450)</v>
      </c>
      <c r="O133" s="232">
        <v>0</v>
      </c>
      <c r="P133" s="232">
        <v>0</v>
      </c>
      <c r="Q133" s="232"/>
      <c r="R133" s="232" t="b">
        <v>1</v>
      </c>
    </row>
    <row r="134" spans="1:18" x14ac:dyDescent="0.3">
      <c r="A134" s="231" t="s">
        <v>4071</v>
      </c>
      <c r="B134" s="231"/>
      <c r="C134" s="231"/>
      <c r="D134" s="231">
        <v>0</v>
      </c>
      <c r="E134" s="231">
        <v>1</v>
      </c>
      <c r="F134" s="231" t="s">
        <v>476</v>
      </c>
      <c r="G134" s="231" t="s">
        <v>477</v>
      </c>
      <c r="H134" s="231"/>
      <c r="I134" s="231">
        <v>0</v>
      </c>
      <c r="J134" s="231" t="s">
        <v>846</v>
      </c>
      <c r="K134" s="231" t="s">
        <v>872</v>
      </c>
      <c r="L134" s="231">
        <v>-700</v>
      </c>
      <c r="M134" s="231"/>
      <c r="N134" s="231" t="str">
        <f t="shared" si="0"/>
        <v>Status(DamageDerate, -700)</v>
      </c>
      <c r="O134" s="231">
        <v>0</v>
      </c>
      <c r="P134" s="231">
        <v>0</v>
      </c>
      <c r="Q134" s="231"/>
      <c r="R134" s="231" t="b">
        <v>1</v>
      </c>
    </row>
    <row r="135" spans="1:18" x14ac:dyDescent="0.3">
      <c r="A135" s="231" t="s">
        <v>4072</v>
      </c>
      <c r="B135" s="231"/>
      <c r="C135" s="231"/>
      <c r="D135" s="231">
        <v>0</v>
      </c>
      <c r="E135" s="231">
        <v>1</v>
      </c>
      <c r="F135" s="231" t="s">
        <v>476</v>
      </c>
      <c r="G135" s="231" t="s">
        <v>477</v>
      </c>
      <c r="H135" s="231"/>
      <c r="I135" s="231">
        <v>0</v>
      </c>
      <c r="J135" s="231" t="s">
        <v>846</v>
      </c>
      <c r="K135" s="231" t="s">
        <v>872</v>
      </c>
      <c r="L135" s="231">
        <v>-650</v>
      </c>
      <c r="M135" s="231"/>
      <c r="N135" s="231" t="str">
        <f t="shared" si="0"/>
        <v>Status(DamageDerate, -650)</v>
      </c>
      <c r="O135" s="231">
        <v>0</v>
      </c>
      <c r="P135" s="231">
        <v>0</v>
      </c>
      <c r="Q135" s="231"/>
      <c r="R135" s="231" t="b">
        <v>1</v>
      </c>
    </row>
    <row r="136" spans="1:18" x14ac:dyDescent="0.3">
      <c r="A136" s="231" t="s">
        <v>4073</v>
      </c>
      <c r="B136" s="231"/>
      <c r="C136" s="231"/>
      <c r="D136" s="231">
        <v>0</v>
      </c>
      <c r="E136" s="231">
        <v>1</v>
      </c>
      <c r="F136" s="231" t="s">
        <v>476</v>
      </c>
      <c r="G136" s="231" t="s">
        <v>477</v>
      </c>
      <c r="H136" s="231"/>
      <c r="I136" s="231">
        <v>0</v>
      </c>
      <c r="J136" s="231" t="s">
        <v>846</v>
      </c>
      <c r="K136" s="231" t="s">
        <v>872</v>
      </c>
      <c r="L136" s="231">
        <v>-600</v>
      </c>
      <c r="M136" s="231"/>
      <c r="N136" s="231" t="str">
        <f t="shared" si="0"/>
        <v>Status(DamageDerate, -600)</v>
      </c>
      <c r="O136" s="231">
        <v>0</v>
      </c>
      <c r="P136" s="231">
        <v>0</v>
      </c>
      <c r="Q136" s="231"/>
      <c r="R136" s="231" t="b">
        <v>1</v>
      </c>
    </row>
    <row r="137" spans="1:18" x14ac:dyDescent="0.3">
      <c r="A137" s="232" t="s">
        <v>4074</v>
      </c>
      <c r="B137" s="232"/>
      <c r="C137" s="232"/>
      <c r="D137" s="232">
        <v>0</v>
      </c>
      <c r="E137" s="232">
        <v>1</v>
      </c>
      <c r="F137" s="232" t="s">
        <v>476</v>
      </c>
      <c r="G137" s="232" t="s">
        <v>477</v>
      </c>
      <c r="H137" s="232"/>
      <c r="I137" s="232">
        <v>0</v>
      </c>
      <c r="J137" s="232" t="s">
        <v>846</v>
      </c>
      <c r="K137" s="232" t="s">
        <v>872</v>
      </c>
      <c r="L137" s="232">
        <v>-550</v>
      </c>
      <c r="M137" s="232"/>
      <c r="N137" s="232" t="str">
        <f t="shared" si="0"/>
        <v>Status(DamageDerate, -550)</v>
      </c>
      <c r="O137" s="232">
        <v>0</v>
      </c>
      <c r="P137" s="232">
        <v>0</v>
      </c>
      <c r="Q137" s="232"/>
      <c r="R137" s="232" t="b">
        <v>1</v>
      </c>
    </row>
    <row r="138" spans="1:18" x14ac:dyDescent="0.3">
      <c r="A138" s="232" t="s">
        <v>4075</v>
      </c>
      <c r="B138" s="232"/>
      <c r="C138" s="232"/>
      <c r="D138" s="232">
        <v>0</v>
      </c>
      <c r="E138" s="232">
        <v>1</v>
      </c>
      <c r="F138" s="232" t="s">
        <v>476</v>
      </c>
      <c r="G138" s="232" t="s">
        <v>477</v>
      </c>
      <c r="H138" s="232"/>
      <c r="I138" s="232">
        <v>0</v>
      </c>
      <c r="J138" s="232" t="s">
        <v>846</v>
      </c>
      <c r="K138" s="232" t="s">
        <v>872</v>
      </c>
      <c r="L138" s="232">
        <v>-500</v>
      </c>
      <c r="M138" s="232"/>
      <c r="N138" s="232" t="str">
        <f t="shared" si="0"/>
        <v>Status(DamageDerate, -500)</v>
      </c>
      <c r="O138" s="232">
        <v>0</v>
      </c>
      <c r="P138" s="232">
        <v>0</v>
      </c>
      <c r="Q138" s="232"/>
      <c r="R138" s="232" t="b">
        <v>1</v>
      </c>
    </row>
    <row r="139" spans="1:18" x14ac:dyDescent="0.3">
      <c r="A139" s="232" t="s">
        <v>4076</v>
      </c>
      <c r="B139" s="232"/>
      <c r="C139" s="232"/>
      <c r="D139" s="232">
        <v>0</v>
      </c>
      <c r="E139" s="232">
        <v>1</v>
      </c>
      <c r="F139" s="232" t="s">
        <v>476</v>
      </c>
      <c r="G139" s="232" t="s">
        <v>477</v>
      </c>
      <c r="H139" s="232"/>
      <c r="I139" s="232">
        <v>0</v>
      </c>
      <c r="J139" s="232" t="s">
        <v>846</v>
      </c>
      <c r="K139" s="232" t="s">
        <v>872</v>
      </c>
      <c r="L139" s="232">
        <v>-450</v>
      </c>
      <c r="M139" s="232"/>
      <c r="N139" s="232" t="str">
        <f t="shared" si="0"/>
        <v>Status(DamageDerate, -450)</v>
      </c>
      <c r="O139" s="232">
        <v>0</v>
      </c>
      <c r="P139" s="232">
        <v>0</v>
      </c>
      <c r="Q139" s="232"/>
      <c r="R139" s="232" t="b">
        <v>1</v>
      </c>
    </row>
    <row r="140" spans="1:18" x14ac:dyDescent="0.3">
      <c r="A140" s="236" t="s">
        <v>3635</v>
      </c>
      <c r="B140" s="236"/>
      <c r="C140" s="236"/>
      <c r="D140" s="236">
        <v>0</v>
      </c>
      <c r="E140" s="236">
        <v>1</v>
      </c>
      <c r="F140" s="236" t="s">
        <v>476</v>
      </c>
      <c r="G140" s="236" t="s">
        <v>477</v>
      </c>
      <c r="H140" s="236"/>
      <c r="I140" s="236">
        <v>0</v>
      </c>
      <c r="J140" s="236" t="s">
        <v>3619</v>
      </c>
      <c r="K140" s="236">
        <v>300</v>
      </c>
      <c r="L140" s="236"/>
      <c r="M140" s="236"/>
      <c r="N140" s="236" t="str">
        <f t="shared" si="0"/>
        <v>AccelerationSkillTime(300)</v>
      </c>
      <c r="O140" s="236">
        <v>0</v>
      </c>
      <c r="P140" s="236">
        <v>0</v>
      </c>
      <c r="Q140" s="236"/>
      <c r="R140" s="236" t="b">
        <v>1</v>
      </c>
    </row>
    <row r="141" spans="1:18" x14ac:dyDescent="0.3">
      <c r="A141" s="262" t="s">
        <v>3637</v>
      </c>
      <c r="B141" s="236"/>
      <c r="C141" s="236"/>
      <c r="D141" s="236">
        <v>0</v>
      </c>
      <c r="E141" s="236">
        <v>1</v>
      </c>
      <c r="F141" s="236" t="s">
        <v>476</v>
      </c>
      <c r="G141" s="236" t="s">
        <v>477</v>
      </c>
      <c r="H141" s="236"/>
      <c r="I141" s="236">
        <v>0</v>
      </c>
      <c r="J141" s="236" t="s">
        <v>3619</v>
      </c>
      <c r="K141" s="236">
        <v>300</v>
      </c>
      <c r="L141" s="236"/>
      <c r="M141" s="236"/>
      <c r="N141" s="236" t="str">
        <f t="shared" si="0"/>
        <v>AccelerationSkillTime(300)</v>
      </c>
      <c r="O141" s="236">
        <v>0</v>
      </c>
      <c r="P141" s="236">
        <v>0</v>
      </c>
      <c r="Q141" s="236"/>
      <c r="R141" s="236" t="b">
        <v>1</v>
      </c>
    </row>
    <row r="142" spans="1:18" x14ac:dyDescent="0.3">
      <c r="A142" s="236" t="s">
        <v>3639</v>
      </c>
      <c r="B142" s="236"/>
      <c r="C142" s="236"/>
      <c r="D142" s="236">
        <v>0</v>
      </c>
      <c r="E142" s="236">
        <v>1</v>
      </c>
      <c r="F142" s="236" t="s">
        <v>476</v>
      </c>
      <c r="G142" s="236" t="s">
        <v>477</v>
      </c>
      <c r="H142" s="236"/>
      <c r="I142" s="236">
        <v>0</v>
      </c>
      <c r="J142" s="236" t="s">
        <v>3619</v>
      </c>
      <c r="K142" s="236">
        <v>400</v>
      </c>
      <c r="L142" s="236"/>
      <c r="M142" s="236"/>
      <c r="N142" s="236" t="str">
        <f t="shared" si="0"/>
        <v>AccelerationSkillTime(400)</v>
      </c>
      <c r="O142" s="236">
        <v>0</v>
      </c>
      <c r="P142" s="236">
        <v>0</v>
      </c>
      <c r="Q142" s="236"/>
      <c r="R142" s="236" t="b">
        <v>1</v>
      </c>
    </row>
    <row r="143" spans="1:18" x14ac:dyDescent="0.3">
      <c r="A143" s="236" t="s">
        <v>3641</v>
      </c>
      <c r="B143" s="236"/>
      <c r="C143" s="236"/>
      <c r="D143" s="236">
        <v>0</v>
      </c>
      <c r="E143" s="236">
        <v>1</v>
      </c>
      <c r="F143" s="236" t="s">
        <v>476</v>
      </c>
      <c r="G143" s="236" t="s">
        <v>477</v>
      </c>
      <c r="H143" s="236"/>
      <c r="I143" s="236">
        <v>0</v>
      </c>
      <c r="J143" s="236" t="s">
        <v>3619</v>
      </c>
      <c r="K143" s="236">
        <v>400</v>
      </c>
      <c r="L143" s="236"/>
      <c r="M143" s="236"/>
      <c r="N143" s="236" t="str">
        <f t="shared" si="0"/>
        <v>AccelerationSkillTime(400)</v>
      </c>
      <c r="O143" s="236">
        <v>0</v>
      </c>
      <c r="P143" s="236">
        <v>0</v>
      </c>
      <c r="Q143" s="236"/>
      <c r="R143" s="236" t="b">
        <v>1</v>
      </c>
    </row>
    <row r="144" spans="1:18" x14ac:dyDescent="0.3">
      <c r="A144" s="236" t="s">
        <v>3643</v>
      </c>
      <c r="B144" s="236"/>
      <c r="C144" s="236"/>
      <c r="D144" s="236">
        <v>0</v>
      </c>
      <c r="E144" s="236">
        <v>1</v>
      </c>
      <c r="F144" s="236" t="s">
        <v>476</v>
      </c>
      <c r="G144" s="236" t="s">
        <v>477</v>
      </c>
      <c r="H144" s="236"/>
      <c r="I144" s="236">
        <v>0</v>
      </c>
      <c r="J144" s="236" t="s">
        <v>3619</v>
      </c>
      <c r="K144" s="236">
        <v>400</v>
      </c>
      <c r="L144" s="236"/>
      <c r="M144" s="236"/>
      <c r="N144" s="236" t="str">
        <f t="shared" si="0"/>
        <v>AccelerationSkillTime(400)</v>
      </c>
      <c r="O144" s="236">
        <v>0</v>
      </c>
      <c r="P144" s="236">
        <v>0</v>
      </c>
      <c r="Q144" s="236"/>
      <c r="R144" s="236" t="b">
        <v>1</v>
      </c>
    </row>
    <row r="145" spans="1:18" x14ac:dyDescent="0.3">
      <c r="A145" s="236" t="s">
        <v>3645</v>
      </c>
      <c r="B145" s="236"/>
      <c r="C145" s="236"/>
      <c r="D145" s="236">
        <v>0</v>
      </c>
      <c r="E145" s="236">
        <v>1</v>
      </c>
      <c r="F145" s="236" t="s">
        <v>476</v>
      </c>
      <c r="G145" s="236" t="s">
        <v>477</v>
      </c>
      <c r="H145" s="236"/>
      <c r="I145" s="236">
        <v>0</v>
      </c>
      <c r="J145" s="236" t="s">
        <v>3619</v>
      </c>
      <c r="K145" s="236">
        <v>400</v>
      </c>
      <c r="L145" s="236"/>
      <c r="M145" s="236"/>
      <c r="N145" s="236" t="str">
        <f t="shared" si="0"/>
        <v>AccelerationSkillTime(400)</v>
      </c>
      <c r="O145" s="236">
        <v>0</v>
      </c>
      <c r="P145" s="236">
        <v>0</v>
      </c>
      <c r="Q145" s="236"/>
      <c r="R145" s="236" t="b">
        <v>1</v>
      </c>
    </row>
    <row r="146" spans="1:18" x14ac:dyDescent="0.3">
      <c r="A146" s="236" t="s">
        <v>3647</v>
      </c>
      <c r="B146" s="236"/>
      <c r="C146" s="236"/>
      <c r="D146" s="236">
        <v>0</v>
      </c>
      <c r="E146" s="236">
        <v>1</v>
      </c>
      <c r="F146" s="236" t="s">
        <v>476</v>
      </c>
      <c r="G146" s="236" t="s">
        <v>477</v>
      </c>
      <c r="H146" s="236"/>
      <c r="I146" s="236">
        <v>0</v>
      </c>
      <c r="J146" s="236" t="s">
        <v>3619</v>
      </c>
      <c r="K146" s="236">
        <v>400</v>
      </c>
      <c r="L146" s="236"/>
      <c r="M146" s="236"/>
      <c r="N146" s="236" t="str">
        <f t="shared" si="0"/>
        <v>AccelerationSkillTime(400)</v>
      </c>
      <c r="O146" s="236">
        <v>0</v>
      </c>
      <c r="P146" s="236">
        <v>0</v>
      </c>
      <c r="Q146" s="236"/>
      <c r="R146" s="236" t="b">
        <v>1</v>
      </c>
    </row>
    <row r="147" spans="1:18" x14ac:dyDescent="0.3">
      <c r="A147" s="233" t="s">
        <v>3649</v>
      </c>
      <c r="B147" s="233"/>
      <c r="C147" s="233"/>
      <c r="D147" s="233">
        <v>0</v>
      </c>
      <c r="E147" s="233">
        <v>1</v>
      </c>
      <c r="F147" s="233" t="s">
        <v>476</v>
      </c>
      <c r="G147" s="233" t="s">
        <v>477</v>
      </c>
      <c r="H147" s="233"/>
      <c r="I147" s="233">
        <v>0</v>
      </c>
      <c r="J147" s="233" t="s">
        <v>2284</v>
      </c>
      <c r="K147" s="233" t="s">
        <v>2285</v>
      </c>
      <c r="L147" s="233" t="s">
        <v>3720</v>
      </c>
      <c r="M147" s="233"/>
      <c r="N147" s="233" t="str">
        <f t="shared" si="0"/>
        <v>SkillEffectModifier(Op, m.balencia.ult.attack.skillmodifier.01)</v>
      </c>
      <c r="O147" s="233">
        <v>0</v>
      </c>
      <c r="P147" s="233">
        <v>0</v>
      </c>
      <c r="Q147" s="233"/>
      <c r="R147" s="233" t="b">
        <v>1</v>
      </c>
    </row>
    <row r="148" spans="1:18" x14ac:dyDescent="0.3">
      <c r="A148" s="233" t="s">
        <v>3651</v>
      </c>
      <c r="B148" s="233"/>
      <c r="C148" s="233"/>
      <c r="D148" s="233">
        <v>0</v>
      </c>
      <c r="E148" s="233">
        <v>1</v>
      </c>
      <c r="F148" s="233" t="s">
        <v>476</v>
      </c>
      <c r="G148" s="233" t="s">
        <v>477</v>
      </c>
      <c r="H148" s="233"/>
      <c r="I148" s="233">
        <v>0</v>
      </c>
      <c r="J148" s="233" t="s">
        <v>2284</v>
      </c>
      <c r="K148" s="233" t="s">
        <v>2285</v>
      </c>
      <c r="L148" s="233" t="s">
        <v>3721</v>
      </c>
      <c r="M148" s="233"/>
      <c r="N148" s="233" t="str">
        <f t="shared" si="0"/>
        <v>SkillEffectModifier(Op, m.balencia.ult.attack.skillmodifier.02)</v>
      </c>
      <c r="O148" s="233">
        <v>0</v>
      </c>
      <c r="P148" s="233">
        <v>0</v>
      </c>
      <c r="Q148" s="233"/>
      <c r="R148" s="233" t="b">
        <v>1</v>
      </c>
    </row>
    <row r="149" spans="1:18" x14ac:dyDescent="0.3">
      <c r="A149" s="233" t="s">
        <v>3653</v>
      </c>
      <c r="B149" s="233"/>
      <c r="C149" s="233"/>
      <c r="D149" s="233">
        <v>0</v>
      </c>
      <c r="E149" s="233">
        <v>1</v>
      </c>
      <c r="F149" s="233" t="s">
        <v>476</v>
      </c>
      <c r="G149" s="233" t="s">
        <v>477</v>
      </c>
      <c r="H149" s="233"/>
      <c r="I149" s="233">
        <v>0</v>
      </c>
      <c r="J149" s="233" t="s">
        <v>2284</v>
      </c>
      <c r="K149" s="233" t="s">
        <v>2285</v>
      </c>
      <c r="L149" s="233" t="s">
        <v>3722</v>
      </c>
      <c r="M149" s="233"/>
      <c r="N149" s="233" t="str">
        <f t="shared" si="0"/>
        <v>SkillEffectModifier(Op, m.balencia.ult.attack.skillmodifier.03)</v>
      </c>
      <c r="O149" s="233">
        <v>0</v>
      </c>
      <c r="P149" s="233">
        <v>0</v>
      </c>
      <c r="Q149" s="233"/>
      <c r="R149" s="233" t="b">
        <v>1</v>
      </c>
    </row>
    <row r="150" spans="1:18" x14ac:dyDescent="0.3">
      <c r="A150" s="233" t="s">
        <v>3655</v>
      </c>
      <c r="B150" s="233"/>
      <c r="C150" s="233"/>
      <c r="D150" s="233">
        <v>0</v>
      </c>
      <c r="E150" s="233">
        <v>1</v>
      </c>
      <c r="F150" s="233" t="s">
        <v>476</v>
      </c>
      <c r="G150" s="233" t="s">
        <v>477</v>
      </c>
      <c r="H150" s="233"/>
      <c r="I150" s="233">
        <v>0</v>
      </c>
      <c r="J150" s="233" t="s">
        <v>2284</v>
      </c>
      <c r="K150" s="233" t="s">
        <v>2285</v>
      </c>
      <c r="L150" s="233" t="s">
        <v>3723</v>
      </c>
      <c r="M150" s="233"/>
      <c r="N150" s="233" t="str">
        <f t="shared" si="0"/>
        <v>SkillEffectModifier(Op, m.balencia.ult.attack.skillmodifier.04)</v>
      </c>
      <c r="O150" s="233">
        <v>0</v>
      </c>
      <c r="P150" s="233">
        <v>0</v>
      </c>
      <c r="Q150" s="233"/>
      <c r="R150" s="233" t="b">
        <v>1</v>
      </c>
    </row>
    <row r="151" spans="1:18" x14ac:dyDescent="0.3">
      <c r="A151" s="233" t="s">
        <v>3657</v>
      </c>
      <c r="B151" s="233"/>
      <c r="C151" s="233"/>
      <c r="D151" s="233">
        <v>0</v>
      </c>
      <c r="E151" s="233">
        <v>1</v>
      </c>
      <c r="F151" s="233" t="s">
        <v>476</v>
      </c>
      <c r="G151" s="233" t="s">
        <v>477</v>
      </c>
      <c r="H151" s="233"/>
      <c r="I151" s="233">
        <v>0</v>
      </c>
      <c r="J151" s="233" t="s">
        <v>2284</v>
      </c>
      <c r="K151" s="233" t="s">
        <v>2285</v>
      </c>
      <c r="L151" s="233" t="s">
        <v>3724</v>
      </c>
      <c r="M151" s="233"/>
      <c r="N151" s="233" t="str">
        <f t="shared" si="0"/>
        <v>SkillEffectModifier(Op, m.balencia.ult.attack.skillmodifier.05)</v>
      </c>
      <c r="O151" s="233">
        <v>0</v>
      </c>
      <c r="P151" s="233">
        <v>0</v>
      </c>
      <c r="Q151" s="233"/>
      <c r="R151" s="233" t="b">
        <v>1</v>
      </c>
    </row>
    <row r="152" spans="1:18" x14ac:dyDescent="0.3">
      <c r="A152" s="233" t="s">
        <v>3659</v>
      </c>
      <c r="B152" s="233"/>
      <c r="C152" s="233"/>
      <c r="D152" s="233">
        <v>0</v>
      </c>
      <c r="E152" s="233">
        <v>1</v>
      </c>
      <c r="F152" s="233" t="s">
        <v>476</v>
      </c>
      <c r="G152" s="233" t="s">
        <v>477</v>
      </c>
      <c r="H152" s="233"/>
      <c r="I152" s="233">
        <v>0</v>
      </c>
      <c r="J152" s="233" t="s">
        <v>2284</v>
      </c>
      <c r="K152" s="233" t="s">
        <v>2285</v>
      </c>
      <c r="L152" s="233" t="s">
        <v>3725</v>
      </c>
      <c r="M152" s="233"/>
      <c r="N152" s="233" t="str">
        <f t="shared" si="0"/>
        <v>SkillEffectModifier(Op, m.balencia.ult.attack.skillmodifier.06)</v>
      </c>
      <c r="O152" s="233">
        <v>0</v>
      </c>
      <c r="P152" s="233">
        <v>0</v>
      </c>
      <c r="Q152" s="233"/>
      <c r="R152" s="233" t="b">
        <v>1</v>
      </c>
    </row>
    <row r="153" spans="1:18" x14ac:dyDescent="0.3">
      <c r="A153" s="233" t="s">
        <v>3661</v>
      </c>
      <c r="B153" s="233"/>
      <c r="C153" s="233"/>
      <c r="D153" s="233">
        <v>0</v>
      </c>
      <c r="E153" s="233">
        <v>1</v>
      </c>
      <c r="F153" s="233" t="s">
        <v>476</v>
      </c>
      <c r="G153" s="233" t="s">
        <v>477</v>
      </c>
      <c r="H153" s="233"/>
      <c r="I153" s="233">
        <v>0</v>
      </c>
      <c r="J153" s="233" t="s">
        <v>2284</v>
      </c>
      <c r="K153" s="233" t="s">
        <v>2285</v>
      </c>
      <c r="L153" s="233" t="s">
        <v>3726</v>
      </c>
      <c r="M153" s="233"/>
      <c r="N153" s="233" t="str">
        <f t="shared" si="0"/>
        <v>SkillEffectModifier(Op, m.balencia.ult.attack.skillmodifier.07)</v>
      </c>
      <c r="O153" s="233">
        <v>0</v>
      </c>
      <c r="P153" s="233">
        <v>0</v>
      </c>
      <c r="Q153" s="233"/>
      <c r="R153" s="233" t="b">
        <v>1</v>
      </c>
    </row>
    <row r="154" spans="1:18" x14ac:dyDescent="0.3">
      <c r="A154" s="235" t="s">
        <v>3663</v>
      </c>
      <c r="B154" s="235"/>
      <c r="C154" s="235"/>
      <c r="D154" s="235">
        <v>0</v>
      </c>
      <c r="E154" s="235">
        <v>1</v>
      </c>
      <c r="F154" s="235" t="s">
        <v>476</v>
      </c>
      <c r="G154" s="235" t="s">
        <v>477</v>
      </c>
      <c r="H154" s="235"/>
      <c r="I154" s="235">
        <v>0</v>
      </c>
      <c r="J154" s="235" t="s">
        <v>877</v>
      </c>
      <c r="K154" s="235" t="s">
        <v>878</v>
      </c>
      <c r="L154" s="235"/>
      <c r="M154" s="235"/>
      <c r="N154" s="235" t="str">
        <f t="shared" si="0"/>
        <v>ChangeSkill(Normal)</v>
      </c>
      <c r="O154" s="235">
        <v>0</v>
      </c>
      <c r="P154" s="235">
        <v>0</v>
      </c>
      <c r="Q154" s="235"/>
      <c r="R154" s="235" t="b">
        <v>1</v>
      </c>
    </row>
    <row r="155" spans="1:18" x14ac:dyDescent="0.3">
      <c r="A155" s="235" t="s">
        <v>3667</v>
      </c>
      <c r="B155" s="235"/>
      <c r="C155" s="235"/>
      <c r="D155" s="235">
        <v>0</v>
      </c>
      <c r="E155" s="235">
        <v>1</v>
      </c>
      <c r="F155" s="235" t="s">
        <v>476</v>
      </c>
      <c r="G155" s="235" t="s">
        <v>477</v>
      </c>
      <c r="H155" s="235"/>
      <c r="I155" s="235">
        <v>0</v>
      </c>
      <c r="J155" s="235" t="s">
        <v>860</v>
      </c>
      <c r="K155" s="235" t="s">
        <v>3727</v>
      </c>
      <c r="L155" s="235"/>
      <c r="M155" s="235"/>
      <c r="N155" s="235" t="str">
        <f t="shared" si="0"/>
        <v>Active(m.balencia.ult.B.fist.end)</v>
      </c>
      <c r="O155" s="235">
        <v>0</v>
      </c>
      <c r="P155" s="235">
        <v>0</v>
      </c>
      <c r="Q155" s="235"/>
      <c r="R155" s="235" t="b">
        <v>1</v>
      </c>
    </row>
    <row r="156" spans="1:18" x14ac:dyDescent="0.3">
      <c r="A156" s="233" t="s">
        <v>3675</v>
      </c>
      <c r="B156" s="233"/>
      <c r="C156" s="233"/>
      <c r="D156" s="233">
        <v>0</v>
      </c>
      <c r="E156" s="233">
        <v>1</v>
      </c>
      <c r="F156" s="233" t="s">
        <v>476</v>
      </c>
      <c r="G156" s="233" t="s">
        <v>477</v>
      </c>
      <c r="H156" s="233"/>
      <c r="I156" s="233">
        <v>0</v>
      </c>
      <c r="J156" s="233" t="s">
        <v>835</v>
      </c>
      <c r="K156" s="233" t="s">
        <v>844</v>
      </c>
      <c r="L156" s="233">
        <v>3250</v>
      </c>
      <c r="M156" s="233"/>
      <c r="N156" s="233" t="str">
        <f t="shared" si="0"/>
        <v>Shield(Attack, 3250)</v>
      </c>
      <c r="O156" s="233">
        <v>0</v>
      </c>
      <c r="P156" s="233">
        <v>0</v>
      </c>
      <c r="Q156" s="233"/>
      <c r="R156" s="233" t="b">
        <v>1</v>
      </c>
    </row>
    <row r="157" spans="1:18" x14ac:dyDescent="0.3">
      <c r="A157" s="233" t="s">
        <v>3677</v>
      </c>
      <c r="B157" s="233"/>
      <c r="C157" s="233"/>
      <c r="D157" s="233">
        <v>0</v>
      </c>
      <c r="E157" s="233">
        <v>1</v>
      </c>
      <c r="F157" s="233" t="s">
        <v>476</v>
      </c>
      <c r="G157" s="233" t="s">
        <v>477</v>
      </c>
      <c r="H157" s="233"/>
      <c r="I157" s="233">
        <v>0</v>
      </c>
      <c r="J157" s="233" t="s">
        <v>835</v>
      </c>
      <c r="K157" s="233" t="s">
        <v>844</v>
      </c>
      <c r="L157" s="233">
        <v>3250</v>
      </c>
      <c r="M157" s="233"/>
      <c r="N157" s="233" t="str">
        <f t="shared" si="0"/>
        <v>Shield(Attack, 3250)</v>
      </c>
      <c r="O157" s="233">
        <v>0</v>
      </c>
      <c r="P157" s="233">
        <v>0</v>
      </c>
      <c r="Q157" s="233"/>
      <c r="R157" s="233" t="b">
        <v>1</v>
      </c>
    </row>
    <row r="158" spans="1:18" x14ac:dyDescent="0.3">
      <c r="A158" s="233" t="s">
        <v>3679</v>
      </c>
      <c r="B158" s="233"/>
      <c r="C158" s="233"/>
      <c r="D158" s="233">
        <v>0</v>
      </c>
      <c r="E158" s="233">
        <v>1</v>
      </c>
      <c r="F158" s="233" t="s">
        <v>476</v>
      </c>
      <c r="G158" s="233" t="s">
        <v>477</v>
      </c>
      <c r="H158" s="233"/>
      <c r="I158" s="233">
        <v>0</v>
      </c>
      <c r="J158" s="233" t="s">
        <v>835</v>
      </c>
      <c r="K158" s="233" t="s">
        <v>844</v>
      </c>
      <c r="L158" s="233">
        <v>4000</v>
      </c>
      <c r="M158" s="233"/>
      <c r="N158" s="233" t="str">
        <f t="shared" si="0"/>
        <v>Shield(Attack, 4000)</v>
      </c>
      <c r="O158" s="233">
        <v>0</v>
      </c>
      <c r="P158" s="233">
        <v>0</v>
      </c>
      <c r="Q158" s="233"/>
      <c r="R158" s="233" t="b">
        <v>1</v>
      </c>
    </row>
    <row r="159" spans="1:18" x14ac:dyDescent="0.3">
      <c r="A159" s="233" t="s">
        <v>3681</v>
      </c>
      <c r="B159" s="233"/>
      <c r="C159" s="233"/>
      <c r="D159" s="233">
        <v>0</v>
      </c>
      <c r="E159" s="233">
        <v>1</v>
      </c>
      <c r="F159" s="233" t="s">
        <v>476</v>
      </c>
      <c r="G159" s="233" t="s">
        <v>477</v>
      </c>
      <c r="H159" s="233"/>
      <c r="I159" s="233">
        <v>0</v>
      </c>
      <c r="J159" s="233" t="s">
        <v>835</v>
      </c>
      <c r="K159" s="233" t="s">
        <v>844</v>
      </c>
      <c r="L159" s="233">
        <v>4000</v>
      </c>
      <c r="M159" s="233"/>
      <c r="N159" s="233" t="str">
        <f t="shared" si="0"/>
        <v>Shield(Attack, 4000)</v>
      </c>
      <c r="O159" s="233">
        <v>0</v>
      </c>
      <c r="P159" s="233">
        <v>0</v>
      </c>
      <c r="Q159" s="233"/>
      <c r="R159" s="233" t="b">
        <v>1</v>
      </c>
    </row>
    <row r="160" spans="1:18" x14ac:dyDescent="0.3">
      <c r="A160" s="233" t="s">
        <v>3683</v>
      </c>
      <c r="B160" s="233"/>
      <c r="C160" s="233"/>
      <c r="D160" s="233">
        <v>0</v>
      </c>
      <c r="E160" s="233">
        <v>1</v>
      </c>
      <c r="F160" s="233" t="s">
        <v>476</v>
      </c>
      <c r="G160" s="233" t="s">
        <v>477</v>
      </c>
      <c r="H160" s="233"/>
      <c r="I160" s="233">
        <v>0</v>
      </c>
      <c r="J160" s="233" t="s">
        <v>835</v>
      </c>
      <c r="K160" s="233" t="s">
        <v>844</v>
      </c>
      <c r="L160" s="233">
        <v>4000</v>
      </c>
      <c r="M160" s="233"/>
      <c r="N160" s="233" t="str">
        <f t="shared" si="0"/>
        <v>Shield(Attack, 4000)</v>
      </c>
      <c r="O160" s="233">
        <v>0</v>
      </c>
      <c r="P160" s="233">
        <v>0</v>
      </c>
      <c r="Q160" s="233"/>
      <c r="R160" s="233" t="b">
        <v>1</v>
      </c>
    </row>
    <row r="161" spans="1:18" x14ac:dyDescent="0.3">
      <c r="A161" s="233" t="s">
        <v>3685</v>
      </c>
      <c r="B161" s="233"/>
      <c r="C161" s="233"/>
      <c r="D161" s="233">
        <v>0</v>
      </c>
      <c r="E161" s="233">
        <v>1</v>
      </c>
      <c r="F161" s="233" t="s">
        <v>476</v>
      </c>
      <c r="G161" s="233" t="s">
        <v>477</v>
      </c>
      <c r="H161" s="233"/>
      <c r="I161" s="233">
        <v>0</v>
      </c>
      <c r="J161" s="233" t="s">
        <v>835</v>
      </c>
      <c r="K161" s="233" t="s">
        <v>844</v>
      </c>
      <c r="L161" s="233">
        <v>4000</v>
      </c>
      <c r="M161" s="233"/>
      <c r="N161" s="233" t="str">
        <f t="shared" si="0"/>
        <v>Shield(Attack, 4000)</v>
      </c>
      <c r="O161" s="233">
        <v>0</v>
      </c>
      <c r="P161" s="233">
        <v>0</v>
      </c>
      <c r="Q161" s="233"/>
      <c r="R161" s="233" t="b">
        <v>1</v>
      </c>
    </row>
    <row r="162" spans="1:18" x14ac:dyDescent="0.3">
      <c r="A162" s="234" t="s">
        <v>3687</v>
      </c>
      <c r="B162" s="234"/>
      <c r="C162" s="234"/>
      <c r="D162" s="234">
        <v>0</v>
      </c>
      <c r="E162" s="234">
        <v>1</v>
      </c>
      <c r="F162" s="234" t="s">
        <v>476</v>
      </c>
      <c r="G162" s="234" t="s">
        <v>477</v>
      </c>
      <c r="H162" s="234"/>
      <c r="I162" s="234">
        <v>0</v>
      </c>
      <c r="J162" s="234" t="s">
        <v>470</v>
      </c>
      <c r="K162" s="234" t="s">
        <v>2278</v>
      </c>
      <c r="L162" s="234" t="s">
        <v>3728</v>
      </c>
      <c r="M162" s="234"/>
      <c r="N162" s="234" t="str">
        <f t="shared" si="0"/>
        <v>Effect(OnHitNormal, m.balencia.passive.buff.buffeffect.skilleffect.01)</v>
      </c>
      <c r="O162" s="234">
        <v>0</v>
      </c>
      <c r="P162" s="234">
        <v>0</v>
      </c>
      <c r="Q162" s="234"/>
      <c r="R162" s="234" t="b">
        <v>1</v>
      </c>
    </row>
    <row r="163" spans="1:18" x14ac:dyDescent="0.3">
      <c r="A163" s="234" t="s">
        <v>3689</v>
      </c>
      <c r="B163" s="234"/>
      <c r="C163" s="234"/>
      <c r="D163" s="234">
        <v>0</v>
      </c>
      <c r="E163" s="234">
        <v>1</v>
      </c>
      <c r="F163" s="234" t="s">
        <v>476</v>
      </c>
      <c r="G163" s="234" t="s">
        <v>477</v>
      </c>
      <c r="H163" s="234"/>
      <c r="I163" s="234">
        <v>0</v>
      </c>
      <c r="J163" s="234" t="s">
        <v>470</v>
      </c>
      <c r="K163" s="234" t="s">
        <v>2278</v>
      </c>
      <c r="L163" s="234" t="s">
        <v>3729</v>
      </c>
      <c r="M163" s="234"/>
      <c r="N163" s="234" t="str">
        <f t="shared" si="0"/>
        <v>Effect(OnHitNormal, m.balencia.passive.buff.buffeffect.skilleffect.02)</v>
      </c>
      <c r="O163" s="234">
        <v>0</v>
      </c>
      <c r="P163" s="234">
        <v>0</v>
      </c>
      <c r="Q163" s="234"/>
      <c r="R163" s="234" t="b">
        <v>1</v>
      </c>
    </row>
    <row r="164" spans="1:18" x14ac:dyDescent="0.3">
      <c r="A164" s="234" t="s">
        <v>3691</v>
      </c>
      <c r="B164" s="234"/>
      <c r="C164" s="234"/>
      <c r="D164" s="234">
        <v>0</v>
      </c>
      <c r="E164" s="234">
        <v>1</v>
      </c>
      <c r="F164" s="234" t="s">
        <v>476</v>
      </c>
      <c r="G164" s="234" t="s">
        <v>477</v>
      </c>
      <c r="H164" s="234"/>
      <c r="I164" s="234">
        <v>0</v>
      </c>
      <c r="J164" s="234" t="s">
        <v>470</v>
      </c>
      <c r="K164" s="234" t="s">
        <v>2278</v>
      </c>
      <c r="L164" s="234" t="s">
        <v>3730</v>
      </c>
      <c r="M164" s="234"/>
      <c r="N164" s="234" t="str">
        <f t="shared" si="0"/>
        <v>Effect(OnHitNormal, m.balencia.passive.buff.buffeffect.skilleffect.03)</v>
      </c>
      <c r="O164" s="234">
        <v>0</v>
      </c>
      <c r="P164" s="234">
        <v>0</v>
      </c>
      <c r="Q164" s="234"/>
      <c r="R164" s="234" t="b">
        <v>1</v>
      </c>
    </row>
    <row r="165" spans="1:18" x14ac:dyDescent="0.3">
      <c r="A165" s="234" t="s">
        <v>3693</v>
      </c>
      <c r="B165" s="234"/>
      <c r="C165" s="234"/>
      <c r="D165" s="234">
        <v>0</v>
      </c>
      <c r="E165" s="234">
        <v>1</v>
      </c>
      <c r="F165" s="234" t="s">
        <v>476</v>
      </c>
      <c r="G165" s="234" t="s">
        <v>477</v>
      </c>
      <c r="H165" s="234"/>
      <c r="I165" s="234">
        <v>0</v>
      </c>
      <c r="J165" s="234" t="s">
        <v>470</v>
      </c>
      <c r="K165" s="234" t="s">
        <v>2278</v>
      </c>
      <c r="L165" s="234" t="s">
        <v>3731</v>
      </c>
      <c r="M165" s="234"/>
      <c r="N165" s="234" t="str">
        <f t="shared" si="0"/>
        <v>Effect(OnHitNormal, m.balencia.passive.buff.buffeffect.skilleffect.04)</v>
      </c>
      <c r="O165" s="234">
        <v>0</v>
      </c>
      <c r="P165" s="234">
        <v>0</v>
      </c>
      <c r="Q165" s="234"/>
      <c r="R165" s="234" t="b">
        <v>1</v>
      </c>
    </row>
    <row r="166" spans="1:18" x14ac:dyDescent="0.3">
      <c r="A166" s="234" t="s">
        <v>3695</v>
      </c>
      <c r="B166" s="234"/>
      <c r="C166" s="234"/>
      <c r="D166" s="234">
        <v>0</v>
      </c>
      <c r="E166" s="234">
        <v>1</v>
      </c>
      <c r="F166" s="234" t="s">
        <v>476</v>
      </c>
      <c r="G166" s="234" t="s">
        <v>477</v>
      </c>
      <c r="H166" s="234"/>
      <c r="I166" s="234">
        <v>0</v>
      </c>
      <c r="J166" s="234" t="s">
        <v>470</v>
      </c>
      <c r="K166" s="234" t="s">
        <v>2278</v>
      </c>
      <c r="L166" s="234" t="s">
        <v>3732</v>
      </c>
      <c r="M166" s="234"/>
      <c r="N166" s="234" t="str">
        <f t="shared" si="0"/>
        <v>Effect(OnHitNormal, m.balencia.passive.buff.buffeffect.skilleffect.05)</v>
      </c>
      <c r="O166" s="234">
        <v>0</v>
      </c>
      <c r="P166" s="234">
        <v>0</v>
      </c>
      <c r="Q166" s="234"/>
      <c r="R166" s="234" t="b">
        <v>1</v>
      </c>
    </row>
    <row r="167" spans="1:18" x14ac:dyDescent="0.3">
      <c r="A167" s="233" t="s">
        <v>3697</v>
      </c>
      <c r="B167" s="233"/>
      <c r="C167" s="233"/>
      <c r="D167" s="233">
        <v>0</v>
      </c>
      <c r="E167" s="233">
        <v>1</v>
      </c>
      <c r="F167" s="233" t="s">
        <v>476</v>
      </c>
      <c r="G167" s="233" t="s">
        <v>477</v>
      </c>
      <c r="H167" s="233"/>
      <c r="I167" s="233">
        <v>0</v>
      </c>
      <c r="J167" s="233" t="s">
        <v>470</v>
      </c>
      <c r="K167" s="233" t="s">
        <v>885</v>
      </c>
      <c r="L167" s="233" t="s">
        <v>3733</v>
      </c>
      <c r="M167" s="233"/>
      <c r="N167" s="233" t="str">
        <f t="shared" si="0"/>
        <v>Effect(OnHit, m.balencia.passive.ex.buff.skilleffect.01)</v>
      </c>
      <c r="O167" s="233">
        <v>0</v>
      </c>
      <c r="P167" s="233">
        <v>0</v>
      </c>
      <c r="Q167" s="233"/>
      <c r="R167" s="233" t="b">
        <v>1</v>
      </c>
    </row>
    <row r="168" spans="1:18" x14ac:dyDescent="0.3">
      <c r="A168" s="233" t="s">
        <v>3699</v>
      </c>
      <c r="B168" s="233"/>
      <c r="C168" s="233"/>
      <c r="D168" s="233">
        <v>0</v>
      </c>
      <c r="E168" s="233">
        <v>1</v>
      </c>
      <c r="F168" s="233" t="s">
        <v>476</v>
      </c>
      <c r="G168" s="233" t="s">
        <v>477</v>
      </c>
      <c r="H168" s="233"/>
      <c r="I168" s="233">
        <v>0</v>
      </c>
      <c r="J168" s="233" t="s">
        <v>470</v>
      </c>
      <c r="K168" s="233" t="s">
        <v>885</v>
      </c>
      <c r="L168" s="233" t="s">
        <v>3734</v>
      </c>
      <c r="M168" s="233"/>
      <c r="N168" s="233" t="str">
        <f t="shared" si="0"/>
        <v>Effect(OnHit, m.balencia.passive.ex.buff.skilleffect.02)</v>
      </c>
      <c r="O168" s="233">
        <v>0</v>
      </c>
      <c r="P168" s="233">
        <v>0</v>
      </c>
      <c r="Q168" s="233"/>
      <c r="R168" s="233" t="b">
        <v>1</v>
      </c>
    </row>
    <row r="169" spans="1:18" x14ac:dyDescent="0.3">
      <c r="A169" s="233" t="s">
        <v>3701</v>
      </c>
      <c r="B169" s="233"/>
      <c r="C169" s="233"/>
      <c r="D169" s="233">
        <v>0</v>
      </c>
      <c r="E169" s="233">
        <v>1</v>
      </c>
      <c r="F169" s="233" t="s">
        <v>476</v>
      </c>
      <c r="G169" s="233" t="s">
        <v>477</v>
      </c>
      <c r="H169" s="233"/>
      <c r="I169" s="233">
        <v>0</v>
      </c>
      <c r="J169" s="233" t="s">
        <v>470</v>
      </c>
      <c r="K169" s="233" t="s">
        <v>885</v>
      </c>
      <c r="L169" s="233" t="s">
        <v>3735</v>
      </c>
      <c r="M169" s="233"/>
      <c r="N169" s="233" t="str">
        <f t="shared" si="0"/>
        <v>Effect(OnHit, m.balencia.passive.ex.buff.skilleffect.03)</v>
      </c>
      <c r="O169" s="233">
        <v>0</v>
      </c>
      <c r="P169" s="233">
        <v>0</v>
      </c>
      <c r="Q169" s="233"/>
      <c r="R169" s="233" t="b">
        <v>1</v>
      </c>
    </row>
    <row r="170" spans="1:18" x14ac:dyDescent="0.3">
      <c r="A170" s="233" t="s">
        <v>3703</v>
      </c>
      <c r="B170" s="233"/>
      <c r="C170" s="233"/>
      <c r="D170" s="233">
        <v>0</v>
      </c>
      <c r="E170" s="233">
        <v>1</v>
      </c>
      <c r="F170" s="233" t="s">
        <v>476</v>
      </c>
      <c r="G170" s="233" t="s">
        <v>477</v>
      </c>
      <c r="H170" s="233"/>
      <c r="I170" s="233">
        <v>0</v>
      </c>
      <c r="J170" s="233" t="s">
        <v>470</v>
      </c>
      <c r="K170" s="233" t="s">
        <v>885</v>
      </c>
      <c r="L170" s="233" t="s">
        <v>3736</v>
      </c>
      <c r="M170" s="233"/>
      <c r="N170" s="233" t="str">
        <f t="shared" si="0"/>
        <v>Effect(OnHit, m.balencia.passive.ex.buff.skilleffect.04)</v>
      </c>
      <c r="O170" s="233">
        <v>0</v>
      </c>
      <c r="P170" s="233">
        <v>0</v>
      </c>
      <c r="Q170" s="233"/>
      <c r="R170" s="233" t="b">
        <v>1</v>
      </c>
    </row>
    <row r="171" spans="1:18" x14ac:dyDescent="0.3">
      <c r="A171" s="233" t="s">
        <v>3705</v>
      </c>
      <c r="B171" s="233"/>
      <c r="C171" s="233"/>
      <c r="D171" s="233">
        <v>0</v>
      </c>
      <c r="E171" s="233">
        <v>1</v>
      </c>
      <c r="F171" s="233" t="s">
        <v>476</v>
      </c>
      <c r="G171" s="233" t="s">
        <v>477</v>
      </c>
      <c r="H171" s="233"/>
      <c r="I171" s="233">
        <v>0</v>
      </c>
      <c r="J171" s="233" t="s">
        <v>470</v>
      </c>
      <c r="K171" s="233" t="s">
        <v>885</v>
      </c>
      <c r="L171" s="233" t="s">
        <v>3737</v>
      </c>
      <c r="M171" s="233"/>
      <c r="N171" s="233" t="str">
        <f t="shared" si="0"/>
        <v>Effect(OnHit, m.balencia.passive.ex.buff.skilleffect.05)</v>
      </c>
      <c r="O171" s="233">
        <v>0</v>
      </c>
      <c r="P171" s="233">
        <v>0</v>
      </c>
      <c r="Q171" s="233"/>
      <c r="R171" s="233" t="b">
        <v>1</v>
      </c>
    </row>
    <row r="172" spans="1:18" x14ac:dyDescent="0.3">
      <c r="A172" s="233" t="s">
        <v>3707</v>
      </c>
      <c r="B172" s="233"/>
      <c r="C172" s="233"/>
      <c r="D172" s="233">
        <v>0</v>
      </c>
      <c r="E172" s="233">
        <v>1</v>
      </c>
      <c r="F172" s="233" t="s">
        <v>476</v>
      </c>
      <c r="G172" s="233" t="s">
        <v>477</v>
      </c>
      <c r="H172" s="233"/>
      <c r="I172" s="233">
        <v>0</v>
      </c>
      <c r="J172" s="233" t="s">
        <v>470</v>
      </c>
      <c r="K172" s="233" t="s">
        <v>885</v>
      </c>
      <c r="L172" s="233" t="s">
        <v>3738</v>
      </c>
      <c r="M172" s="233"/>
      <c r="N172" s="233" t="str">
        <f t="shared" si="0"/>
        <v>Effect(OnHit, m.balencia.passive.ex.buff.skilleffect.06)</v>
      </c>
      <c r="O172" s="233">
        <v>0</v>
      </c>
      <c r="P172" s="233">
        <v>0</v>
      </c>
      <c r="Q172" s="233"/>
      <c r="R172" s="233" t="b">
        <v>1</v>
      </c>
    </row>
    <row r="173" spans="1:18" x14ac:dyDescent="0.3">
      <c r="A173" s="235" t="s">
        <v>3739</v>
      </c>
      <c r="B173" s="235"/>
      <c r="C173" s="235"/>
      <c r="D173" s="235">
        <v>0</v>
      </c>
      <c r="E173" s="235">
        <v>1</v>
      </c>
      <c r="F173" s="235" t="s">
        <v>476</v>
      </c>
      <c r="G173" s="235" t="s">
        <v>477</v>
      </c>
      <c r="H173" s="235"/>
      <c r="I173" s="235">
        <v>0</v>
      </c>
      <c r="J173" s="235" t="s">
        <v>846</v>
      </c>
      <c r="K173" s="235" t="s">
        <v>847</v>
      </c>
      <c r="L173" s="235">
        <v>50</v>
      </c>
      <c r="M173" s="235"/>
      <c r="N173" s="235" t="str">
        <f t="shared" si="0"/>
        <v>Status(DefenseRatio, 50)</v>
      </c>
      <c r="O173" s="235">
        <v>0</v>
      </c>
      <c r="P173" s="235">
        <v>0</v>
      </c>
      <c r="Q173" s="235"/>
      <c r="R173" s="235" t="b">
        <v>1</v>
      </c>
    </row>
    <row r="174" spans="1:18" x14ac:dyDescent="0.3">
      <c r="A174" s="235" t="s">
        <v>3740</v>
      </c>
      <c r="B174" s="235"/>
      <c r="C174" s="235"/>
      <c r="D174" s="235">
        <v>0</v>
      </c>
      <c r="E174" s="235">
        <v>1</v>
      </c>
      <c r="F174" s="235" t="s">
        <v>476</v>
      </c>
      <c r="G174" s="235" t="s">
        <v>477</v>
      </c>
      <c r="H174" s="235"/>
      <c r="I174" s="235">
        <v>0</v>
      </c>
      <c r="J174" s="235" t="s">
        <v>846</v>
      </c>
      <c r="K174" s="235" t="s">
        <v>847</v>
      </c>
      <c r="L174" s="235">
        <v>55</v>
      </c>
      <c r="M174" s="235"/>
      <c r="N174" s="235" t="str">
        <f t="shared" si="0"/>
        <v>Status(DefenseRatio, 55)</v>
      </c>
      <c r="O174" s="235">
        <v>0</v>
      </c>
      <c r="P174" s="235">
        <v>0</v>
      </c>
      <c r="Q174" s="235"/>
      <c r="R174" s="235" t="b">
        <v>1</v>
      </c>
    </row>
    <row r="175" spans="1:18" x14ac:dyDescent="0.3">
      <c r="A175" s="235" t="s">
        <v>3741</v>
      </c>
      <c r="B175" s="235"/>
      <c r="C175" s="235"/>
      <c r="D175" s="235">
        <v>0</v>
      </c>
      <c r="E175" s="235">
        <v>1</v>
      </c>
      <c r="F175" s="235" t="s">
        <v>476</v>
      </c>
      <c r="G175" s="235" t="s">
        <v>477</v>
      </c>
      <c r="H175" s="235"/>
      <c r="I175" s="235">
        <v>0</v>
      </c>
      <c r="J175" s="235" t="s">
        <v>846</v>
      </c>
      <c r="K175" s="235" t="s">
        <v>847</v>
      </c>
      <c r="L175" s="235">
        <v>60</v>
      </c>
      <c r="M175" s="235"/>
      <c r="N175" s="235" t="str">
        <f t="shared" si="0"/>
        <v>Status(DefenseRatio, 60)</v>
      </c>
      <c r="O175" s="235">
        <v>0</v>
      </c>
      <c r="P175" s="235">
        <v>0</v>
      </c>
      <c r="Q175" s="235"/>
      <c r="R175" s="235" t="b">
        <v>1</v>
      </c>
    </row>
    <row r="176" spans="1:18" x14ac:dyDescent="0.3">
      <c r="A176" s="235" t="s">
        <v>3742</v>
      </c>
      <c r="B176" s="235"/>
      <c r="C176" s="235"/>
      <c r="D176" s="235">
        <v>0</v>
      </c>
      <c r="E176" s="235">
        <v>1</v>
      </c>
      <c r="F176" s="235" t="s">
        <v>476</v>
      </c>
      <c r="G176" s="235" t="s">
        <v>477</v>
      </c>
      <c r="H176" s="235"/>
      <c r="I176" s="235">
        <v>0</v>
      </c>
      <c r="J176" s="235" t="s">
        <v>846</v>
      </c>
      <c r="K176" s="235" t="s">
        <v>847</v>
      </c>
      <c r="L176" s="235">
        <v>65</v>
      </c>
      <c r="M176" s="235"/>
      <c r="N176" s="235" t="str">
        <f t="shared" si="0"/>
        <v>Status(DefenseRatio, 65)</v>
      </c>
      <c r="O176" s="235">
        <v>0</v>
      </c>
      <c r="P176" s="235">
        <v>0</v>
      </c>
      <c r="Q176" s="235"/>
      <c r="R176" s="235" t="b">
        <v>1</v>
      </c>
    </row>
    <row r="177" spans="1:18" x14ac:dyDescent="0.3">
      <c r="A177" s="235" t="s">
        <v>3743</v>
      </c>
      <c r="B177" s="235"/>
      <c r="C177" s="235"/>
      <c r="D177" s="235">
        <v>0</v>
      </c>
      <c r="E177" s="235">
        <v>1</v>
      </c>
      <c r="F177" s="235" t="s">
        <v>476</v>
      </c>
      <c r="G177" s="235" t="s">
        <v>477</v>
      </c>
      <c r="H177" s="235"/>
      <c r="I177" s="235">
        <v>0</v>
      </c>
      <c r="J177" s="235" t="s">
        <v>846</v>
      </c>
      <c r="K177" s="235" t="s">
        <v>847</v>
      </c>
      <c r="L177" s="235">
        <v>150</v>
      </c>
      <c r="M177" s="235"/>
      <c r="N177" s="235" t="str">
        <f t="shared" si="0"/>
        <v>Status(DefenseRatio, 150)</v>
      </c>
      <c r="O177" s="235">
        <v>0</v>
      </c>
      <c r="P177" s="235">
        <v>0</v>
      </c>
      <c r="Q177" s="235"/>
      <c r="R177" s="235" t="b">
        <v>1</v>
      </c>
    </row>
    <row r="178" spans="1:18" x14ac:dyDescent="0.3">
      <c r="A178" s="235" t="s">
        <v>3744</v>
      </c>
      <c r="B178" s="235"/>
      <c r="C178" s="235"/>
      <c r="D178" s="235">
        <v>0</v>
      </c>
      <c r="E178" s="235">
        <v>1</v>
      </c>
      <c r="F178" s="235" t="s">
        <v>476</v>
      </c>
      <c r="G178" s="235" t="s">
        <v>477</v>
      </c>
      <c r="H178" s="235"/>
      <c r="I178" s="235">
        <v>0</v>
      </c>
      <c r="J178" s="235" t="s">
        <v>846</v>
      </c>
      <c r="K178" s="235" t="s">
        <v>847</v>
      </c>
      <c r="L178" s="235">
        <v>175</v>
      </c>
      <c r="M178" s="235"/>
      <c r="N178" s="235" t="str">
        <f t="shared" si="0"/>
        <v>Status(DefenseRatio, 175)</v>
      </c>
      <c r="O178" s="235">
        <v>0</v>
      </c>
      <c r="P178" s="235">
        <v>0</v>
      </c>
      <c r="Q178" s="235"/>
      <c r="R178" s="235" t="b">
        <v>1</v>
      </c>
    </row>
    <row r="179" spans="1:18" x14ac:dyDescent="0.3">
      <c r="A179" s="233" t="s">
        <v>3745</v>
      </c>
      <c r="B179" s="233"/>
      <c r="C179" s="233"/>
      <c r="D179" s="233">
        <v>0</v>
      </c>
      <c r="E179" s="233">
        <v>1</v>
      </c>
      <c r="F179" s="233" t="s">
        <v>476</v>
      </c>
      <c r="G179" s="233" t="s">
        <v>477</v>
      </c>
      <c r="H179" s="233"/>
      <c r="I179" s="233">
        <v>0</v>
      </c>
      <c r="J179" s="233" t="s">
        <v>846</v>
      </c>
      <c r="K179" s="233" t="s">
        <v>853</v>
      </c>
      <c r="L179" s="233">
        <v>5</v>
      </c>
      <c r="M179" s="233"/>
      <c r="N179" s="233" t="str">
        <f t="shared" si="0"/>
        <v>Status(AttackSpeedRate, 5)</v>
      </c>
      <c r="O179" s="233">
        <v>0</v>
      </c>
      <c r="P179" s="233">
        <v>0</v>
      </c>
      <c r="Q179" s="233"/>
      <c r="R179" s="233" t="b">
        <v>1</v>
      </c>
    </row>
    <row r="180" spans="1:18" x14ac:dyDescent="0.3">
      <c r="A180" s="233" t="s">
        <v>3746</v>
      </c>
      <c r="B180" s="233"/>
      <c r="C180" s="233"/>
      <c r="D180" s="233">
        <v>0</v>
      </c>
      <c r="E180" s="233">
        <v>1</v>
      </c>
      <c r="F180" s="233" t="s">
        <v>476</v>
      </c>
      <c r="G180" s="233" t="s">
        <v>477</v>
      </c>
      <c r="H180" s="233"/>
      <c r="I180" s="233">
        <v>0</v>
      </c>
      <c r="J180" s="233" t="s">
        <v>846</v>
      </c>
      <c r="K180" s="233" t="s">
        <v>853</v>
      </c>
      <c r="L180" s="233">
        <v>10</v>
      </c>
      <c r="M180" s="233"/>
      <c r="N180" s="233" t="str">
        <f t="shared" si="0"/>
        <v>Status(AttackSpeedRate, 10)</v>
      </c>
      <c r="O180" s="233">
        <v>0</v>
      </c>
      <c r="P180" s="233">
        <v>0</v>
      </c>
      <c r="Q180" s="233"/>
      <c r="R180" s="233" t="b">
        <v>1</v>
      </c>
    </row>
    <row r="181" spans="1:18" x14ac:dyDescent="0.3">
      <c r="A181" s="233" t="s">
        <v>3747</v>
      </c>
      <c r="B181" s="233"/>
      <c r="C181" s="233"/>
      <c r="D181" s="233">
        <v>0</v>
      </c>
      <c r="E181" s="233">
        <v>1</v>
      </c>
      <c r="F181" s="233" t="s">
        <v>476</v>
      </c>
      <c r="G181" s="233" t="s">
        <v>477</v>
      </c>
      <c r="H181" s="233"/>
      <c r="I181" s="233">
        <v>0</v>
      </c>
      <c r="J181" s="233" t="s">
        <v>846</v>
      </c>
      <c r="K181" s="233" t="s">
        <v>853</v>
      </c>
      <c r="L181" s="233">
        <v>15</v>
      </c>
      <c r="M181" s="233"/>
      <c r="N181" s="233" t="str">
        <f t="shared" si="0"/>
        <v>Status(AttackSpeedRate, 15)</v>
      </c>
      <c r="O181" s="233">
        <v>0</v>
      </c>
      <c r="P181" s="233">
        <v>0</v>
      </c>
      <c r="Q181" s="233"/>
      <c r="R181" s="233" t="b">
        <v>1</v>
      </c>
    </row>
    <row r="182" spans="1:18" x14ac:dyDescent="0.3">
      <c r="A182" s="233" t="s">
        <v>3748</v>
      </c>
      <c r="B182" s="233"/>
      <c r="C182" s="233"/>
      <c r="D182" s="233">
        <v>0</v>
      </c>
      <c r="E182" s="233">
        <v>1</v>
      </c>
      <c r="F182" s="233" t="s">
        <v>476</v>
      </c>
      <c r="G182" s="233" t="s">
        <v>477</v>
      </c>
      <c r="H182" s="233"/>
      <c r="I182" s="233">
        <v>0</v>
      </c>
      <c r="J182" s="233" t="s">
        <v>846</v>
      </c>
      <c r="K182" s="233" t="s">
        <v>853</v>
      </c>
      <c r="L182" s="233">
        <v>20</v>
      </c>
      <c r="M182" s="233"/>
      <c r="N182" s="233" t="str">
        <f t="shared" si="0"/>
        <v>Status(AttackSpeedRate, 20)</v>
      </c>
      <c r="O182" s="233">
        <v>0</v>
      </c>
      <c r="P182" s="233">
        <v>0</v>
      </c>
      <c r="Q182" s="233"/>
      <c r="R182" s="233" t="b">
        <v>1</v>
      </c>
    </row>
    <row r="183" spans="1:18" x14ac:dyDescent="0.3">
      <c r="A183" s="233" t="s">
        <v>3749</v>
      </c>
      <c r="B183" s="233"/>
      <c r="C183" s="233"/>
      <c r="D183" s="233">
        <v>0</v>
      </c>
      <c r="E183" s="233">
        <v>1</v>
      </c>
      <c r="F183" s="233" t="s">
        <v>476</v>
      </c>
      <c r="G183" s="233" t="s">
        <v>477</v>
      </c>
      <c r="H183" s="233"/>
      <c r="I183" s="233">
        <v>0</v>
      </c>
      <c r="J183" s="233" t="s">
        <v>846</v>
      </c>
      <c r="K183" s="233" t="s">
        <v>853</v>
      </c>
      <c r="L183" s="233">
        <v>35</v>
      </c>
      <c r="M183" s="233"/>
      <c r="N183" s="233" t="str">
        <f t="shared" si="0"/>
        <v>Status(AttackSpeedRate, 35)</v>
      </c>
      <c r="O183" s="233">
        <v>0</v>
      </c>
      <c r="P183" s="233">
        <v>0</v>
      </c>
      <c r="Q183" s="233"/>
      <c r="R183" s="233" t="b">
        <v>1</v>
      </c>
    </row>
    <row r="184" spans="1:18" x14ac:dyDescent="0.3">
      <c r="A184" s="233" t="s">
        <v>3750</v>
      </c>
      <c r="B184" s="233"/>
      <c r="C184" s="233"/>
      <c r="D184" s="233">
        <v>0</v>
      </c>
      <c r="E184" s="233">
        <v>1</v>
      </c>
      <c r="F184" s="233" t="s">
        <v>476</v>
      </c>
      <c r="G184" s="233" t="s">
        <v>477</v>
      </c>
      <c r="H184" s="233"/>
      <c r="I184" s="233">
        <v>0</v>
      </c>
      <c r="J184" s="233" t="s">
        <v>846</v>
      </c>
      <c r="K184" s="233" t="s">
        <v>853</v>
      </c>
      <c r="L184" s="233">
        <v>40</v>
      </c>
      <c r="M184" s="233"/>
      <c r="N184" s="233" t="str">
        <f t="shared" si="0"/>
        <v>Status(AttackSpeedRate, 40)</v>
      </c>
      <c r="O184" s="233">
        <v>0</v>
      </c>
      <c r="P184" s="233">
        <v>0</v>
      </c>
      <c r="Q184" s="233"/>
      <c r="R184" s="233" t="b">
        <v>1</v>
      </c>
    </row>
    <row r="185" spans="1:18" x14ac:dyDescent="0.3">
      <c r="A185" s="234" t="s">
        <v>2489</v>
      </c>
      <c r="B185" s="234"/>
      <c r="C185" s="234"/>
      <c r="D185" s="234">
        <v>0</v>
      </c>
      <c r="E185" s="234">
        <v>1</v>
      </c>
      <c r="F185" s="234" t="s">
        <v>476</v>
      </c>
      <c r="G185" s="234" t="s">
        <v>477</v>
      </c>
      <c r="H185" s="234"/>
      <c r="I185" s="234">
        <v>0</v>
      </c>
      <c r="J185" s="234" t="s">
        <v>860</v>
      </c>
      <c r="K185" s="234" t="s">
        <v>2635</v>
      </c>
      <c r="L185" s="234"/>
      <c r="M185" s="234"/>
      <c r="N185" s="234" t="str">
        <f t="shared" si="0"/>
        <v>Active(m.angelica.ult.pre.buff.buffeffect.skilleffect.01)</v>
      </c>
      <c r="O185" s="234">
        <v>0</v>
      </c>
      <c r="P185" s="234">
        <v>0</v>
      </c>
      <c r="Q185" s="234"/>
      <c r="R185" s="234" t="b">
        <v>1</v>
      </c>
    </row>
    <row r="186" spans="1:18" x14ac:dyDescent="0.3">
      <c r="A186" s="234" t="s">
        <v>2491</v>
      </c>
      <c r="B186" s="234"/>
      <c r="C186" s="234"/>
      <c r="D186" s="234">
        <v>0</v>
      </c>
      <c r="E186" s="234">
        <v>1</v>
      </c>
      <c r="F186" s="234" t="s">
        <v>476</v>
      </c>
      <c r="G186" s="234" t="s">
        <v>477</v>
      </c>
      <c r="H186" s="234"/>
      <c r="I186" s="234">
        <v>0</v>
      </c>
      <c r="J186" s="234" t="s">
        <v>860</v>
      </c>
      <c r="K186" s="234" t="s">
        <v>2636</v>
      </c>
      <c r="L186" s="234"/>
      <c r="M186" s="234"/>
      <c r="N186" s="234" t="str">
        <f t="shared" ref="N186:N249" si="1">J186&amp;"("&amp;IF(K186="","",K186)&amp;IF(L186="","",", "&amp;L186)&amp;IF(M186="","",", "&amp;M186)&amp;")"</f>
        <v>Active(m.angelica.ult.pre.buff.buffeffect.skilleffect.02)</v>
      </c>
      <c r="O186" s="234">
        <v>0</v>
      </c>
      <c r="P186" s="234">
        <v>0</v>
      </c>
      <c r="Q186" s="234"/>
      <c r="R186" s="234" t="b">
        <v>1</v>
      </c>
    </row>
    <row r="187" spans="1:18" x14ac:dyDescent="0.3">
      <c r="A187" s="234" t="s">
        <v>2493</v>
      </c>
      <c r="B187" s="234"/>
      <c r="C187" s="234"/>
      <c r="D187" s="234">
        <v>0</v>
      </c>
      <c r="E187" s="234">
        <v>1</v>
      </c>
      <c r="F187" s="234" t="s">
        <v>476</v>
      </c>
      <c r="G187" s="234" t="s">
        <v>477</v>
      </c>
      <c r="H187" s="234"/>
      <c r="I187" s="234">
        <v>0</v>
      </c>
      <c r="J187" s="234" t="s">
        <v>860</v>
      </c>
      <c r="K187" s="234" t="s">
        <v>2637</v>
      </c>
      <c r="L187" s="234"/>
      <c r="M187" s="234"/>
      <c r="N187" s="234" t="str">
        <f t="shared" si="1"/>
        <v>Active(m.angelica.ult.pre.buff.buffeffect.skilleffect.03)</v>
      </c>
      <c r="O187" s="234">
        <v>0</v>
      </c>
      <c r="P187" s="234">
        <v>0</v>
      </c>
      <c r="Q187" s="234"/>
      <c r="R187" s="234" t="b">
        <v>1</v>
      </c>
    </row>
    <row r="188" spans="1:18" x14ac:dyDescent="0.3">
      <c r="A188" s="234" t="s">
        <v>2495</v>
      </c>
      <c r="B188" s="234"/>
      <c r="C188" s="234"/>
      <c r="D188" s="234">
        <v>0</v>
      </c>
      <c r="E188" s="234">
        <v>1</v>
      </c>
      <c r="F188" s="234" t="s">
        <v>476</v>
      </c>
      <c r="G188" s="234" t="s">
        <v>477</v>
      </c>
      <c r="H188" s="234"/>
      <c r="I188" s="234">
        <v>0</v>
      </c>
      <c r="J188" s="234" t="s">
        <v>860</v>
      </c>
      <c r="K188" s="234" t="s">
        <v>2638</v>
      </c>
      <c r="L188" s="234"/>
      <c r="M188" s="234"/>
      <c r="N188" s="234" t="str">
        <f t="shared" si="1"/>
        <v>Active(m.angelica.ult.pre.buff.buffeffect.skilleffect.04)</v>
      </c>
      <c r="O188" s="234">
        <v>0</v>
      </c>
      <c r="P188" s="234">
        <v>0</v>
      </c>
      <c r="Q188" s="234"/>
      <c r="R188" s="234" t="b">
        <v>1</v>
      </c>
    </row>
    <row r="189" spans="1:18" x14ac:dyDescent="0.3">
      <c r="A189" s="234" t="s">
        <v>2497</v>
      </c>
      <c r="B189" s="234"/>
      <c r="C189" s="234"/>
      <c r="D189" s="234">
        <v>0</v>
      </c>
      <c r="E189" s="234">
        <v>1</v>
      </c>
      <c r="F189" s="234" t="s">
        <v>476</v>
      </c>
      <c r="G189" s="234" t="s">
        <v>477</v>
      </c>
      <c r="H189" s="234"/>
      <c r="I189" s="234">
        <v>0</v>
      </c>
      <c r="J189" s="234" t="s">
        <v>860</v>
      </c>
      <c r="K189" s="234" t="s">
        <v>2639</v>
      </c>
      <c r="L189" s="234"/>
      <c r="M189" s="234"/>
      <c r="N189" s="234" t="str">
        <f t="shared" si="1"/>
        <v>Active(m.angelica.ult.pre.buff.buffeffect.skilleffect.05)</v>
      </c>
      <c r="O189" s="234">
        <v>0</v>
      </c>
      <c r="P189" s="234">
        <v>0</v>
      </c>
      <c r="Q189" s="234"/>
      <c r="R189" s="234" t="b">
        <v>1</v>
      </c>
    </row>
    <row r="190" spans="1:18" x14ac:dyDescent="0.3">
      <c r="A190" s="235" t="s">
        <v>2499</v>
      </c>
      <c r="B190" s="235"/>
      <c r="C190" s="235"/>
      <c r="D190" s="235">
        <v>0</v>
      </c>
      <c r="E190" s="235">
        <v>1</v>
      </c>
      <c r="F190" s="235" t="s">
        <v>476</v>
      </c>
      <c r="G190" s="235" t="s">
        <v>477</v>
      </c>
      <c r="H190" s="235"/>
      <c r="I190" s="235">
        <v>0</v>
      </c>
      <c r="J190" s="235" t="s">
        <v>860</v>
      </c>
      <c r="K190" s="235" t="s">
        <v>2640</v>
      </c>
      <c r="L190" s="235"/>
      <c r="M190" s="235"/>
      <c r="N190" s="235" t="str">
        <f t="shared" si="1"/>
        <v>Active(m.angelica.ult.pre.buff.buffeffect.skilleffect.06)</v>
      </c>
      <c r="O190" s="235">
        <v>0</v>
      </c>
      <c r="P190" s="235">
        <v>0</v>
      </c>
      <c r="Q190" s="235"/>
      <c r="R190" s="235" t="b">
        <v>1</v>
      </c>
    </row>
    <row r="191" spans="1:18" x14ac:dyDescent="0.3">
      <c r="A191" s="235" t="s">
        <v>2501</v>
      </c>
      <c r="B191" s="235"/>
      <c r="C191" s="235"/>
      <c r="D191" s="235">
        <v>0</v>
      </c>
      <c r="E191" s="235">
        <v>1</v>
      </c>
      <c r="F191" s="235" t="s">
        <v>476</v>
      </c>
      <c r="G191" s="235" t="s">
        <v>477</v>
      </c>
      <c r="H191" s="235"/>
      <c r="I191" s="235">
        <v>0</v>
      </c>
      <c r="J191" s="235" t="s">
        <v>860</v>
      </c>
      <c r="K191" s="235" t="s">
        <v>2641</v>
      </c>
      <c r="L191" s="235"/>
      <c r="M191" s="235"/>
      <c r="N191" s="235" t="str">
        <f t="shared" si="1"/>
        <v>Active(m.angelica.ult.pre.buff.buffeffect.skilleffect.07)</v>
      </c>
      <c r="O191" s="235">
        <v>0</v>
      </c>
      <c r="P191" s="235">
        <v>0</v>
      </c>
      <c r="Q191" s="235"/>
      <c r="R191" s="235" t="b">
        <v>1</v>
      </c>
    </row>
    <row r="192" spans="1:18" x14ac:dyDescent="0.3">
      <c r="A192" s="234" t="s">
        <v>2503</v>
      </c>
      <c r="B192" s="234"/>
      <c r="C192" s="234"/>
      <c r="D192" s="234">
        <v>0</v>
      </c>
      <c r="E192" s="234">
        <v>1</v>
      </c>
      <c r="F192" s="234" t="s">
        <v>476</v>
      </c>
      <c r="G192" s="234" t="s">
        <v>477</v>
      </c>
      <c r="H192" s="234"/>
      <c r="I192" s="234">
        <v>0</v>
      </c>
      <c r="J192" s="234" t="s">
        <v>470</v>
      </c>
      <c r="K192" s="234" t="s">
        <v>2278</v>
      </c>
      <c r="L192" s="234" t="s">
        <v>2642</v>
      </c>
      <c r="M192" s="234"/>
      <c r="N192" s="234" t="str">
        <f t="shared" si="1"/>
        <v>Effect(OnHitNormal, m.angelica.ult.normalatt.buff.buffeffect.skilleffect.01)</v>
      </c>
      <c r="O192" s="234">
        <v>0</v>
      </c>
      <c r="P192" s="234">
        <v>0</v>
      </c>
      <c r="Q192" s="234"/>
      <c r="R192" s="234" t="b">
        <v>1</v>
      </c>
    </row>
    <row r="193" spans="1:18" x14ac:dyDescent="0.3">
      <c r="A193" s="234" t="s">
        <v>2505</v>
      </c>
      <c r="B193" s="234"/>
      <c r="C193" s="234"/>
      <c r="D193" s="234">
        <v>0</v>
      </c>
      <c r="E193" s="234">
        <v>1</v>
      </c>
      <c r="F193" s="234" t="s">
        <v>476</v>
      </c>
      <c r="G193" s="234" t="s">
        <v>477</v>
      </c>
      <c r="H193" s="234"/>
      <c r="I193" s="234">
        <v>0</v>
      </c>
      <c r="J193" s="234" t="s">
        <v>470</v>
      </c>
      <c r="K193" s="234" t="s">
        <v>2278</v>
      </c>
      <c r="L193" s="234" t="s">
        <v>2643</v>
      </c>
      <c r="M193" s="234"/>
      <c r="N193" s="234" t="str">
        <f t="shared" si="1"/>
        <v>Effect(OnHitNormal, m.angelica.ult.normalatt.buff.buffeffect.skilleffect.02)</v>
      </c>
      <c r="O193" s="234">
        <v>0</v>
      </c>
      <c r="P193" s="234">
        <v>0</v>
      </c>
      <c r="Q193" s="234"/>
      <c r="R193" s="234" t="b">
        <v>1</v>
      </c>
    </row>
    <row r="194" spans="1:18" x14ac:dyDescent="0.3">
      <c r="A194" s="234" t="s">
        <v>2507</v>
      </c>
      <c r="B194" s="234"/>
      <c r="C194" s="234"/>
      <c r="D194" s="234">
        <v>0</v>
      </c>
      <c r="E194" s="234">
        <v>1</v>
      </c>
      <c r="F194" s="234" t="s">
        <v>476</v>
      </c>
      <c r="G194" s="234" t="s">
        <v>477</v>
      </c>
      <c r="H194" s="234"/>
      <c r="I194" s="234">
        <v>0</v>
      </c>
      <c r="J194" s="234" t="s">
        <v>470</v>
      </c>
      <c r="K194" s="234" t="s">
        <v>2278</v>
      </c>
      <c r="L194" s="234" t="s">
        <v>2644</v>
      </c>
      <c r="M194" s="234"/>
      <c r="N194" s="234" t="str">
        <f t="shared" si="1"/>
        <v>Effect(OnHitNormal, m.angelica.ult.normalatt.buff.buffeffect.skilleffect.03)</v>
      </c>
      <c r="O194" s="234">
        <v>0</v>
      </c>
      <c r="P194" s="234">
        <v>0</v>
      </c>
      <c r="Q194" s="234"/>
      <c r="R194" s="234" t="b">
        <v>1</v>
      </c>
    </row>
    <row r="195" spans="1:18" x14ac:dyDescent="0.3">
      <c r="A195" s="234" t="s">
        <v>2509</v>
      </c>
      <c r="B195" s="234"/>
      <c r="C195" s="234"/>
      <c r="D195" s="234">
        <v>0</v>
      </c>
      <c r="E195" s="234">
        <v>1</v>
      </c>
      <c r="F195" s="234" t="s">
        <v>476</v>
      </c>
      <c r="G195" s="234" t="s">
        <v>477</v>
      </c>
      <c r="H195" s="234"/>
      <c r="I195" s="234">
        <v>0</v>
      </c>
      <c r="J195" s="234" t="s">
        <v>470</v>
      </c>
      <c r="K195" s="234" t="s">
        <v>2278</v>
      </c>
      <c r="L195" s="234" t="s">
        <v>2645</v>
      </c>
      <c r="M195" s="234"/>
      <c r="N195" s="234" t="str">
        <f t="shared" si="1"/>
        <v>Effect(OnHitNormal, m.angelica.ult.normalatt.buff.buffeffect.skilleffect.04)</v>
      </c>
      <c r="O195" s="234">
        <v>0</v>
      </c>
      <c r="P195" s="234">
        <v>0</v>
      </c>
      <c r="Q195" s="234"/>
      <c r="R195" s="234" t="b">
        <v>1</v>
      </c>
    </row>
    <row r="196" spans="1:18" x14ac:dyDescent="0.3">
      <c r="A196" s="234" t="s">
        <v>2511</v>
      </c>
      <c r="B196" s="234"/>
      <c r="C196" s="234"/>
      <c r="D196" s="234">
        <v>0</v>
      </c>
      <c r="E196" s="234">
        <v>1</v>
      </c>
      <c r="F196" s="234" t="s">
        <v>476</v>
      </c>
      <c r="G196" s="234" t="s">
        <v>477</v>
      </c>
      <c r="H196" s="234"/>
      <c r="I196" s="234">
        <v>0</v>
      </c>
      <c r="J196" s="234" t="s">
        <v>470</v>
      </c>
      <c r="K196" s="234" t="s">
        <v>2278</v>
      </c>
      <c r="L196" s="234" t="s">
        <v>2646</v>
      </c>
      <c r="M196" s="234"/>
      <c r="N196" s="234" t="str">
        <f t="shared" si="1"/>
        <v>Effect(OnHitNormal, m.angelica.ult.normalatt.buff.buffeffect.skilleffect.05)</v>
      </c>
      <c r="O196" s="234">
        <v>0</v>
      </c>
      <c r="P196" s="234">
        <v>0</v>
      </c>
      <c r="Q196" s="234"/>
      <c r="R196" s="234" t="b">
        <v>1</v>
      </c>
    </row>
    <row r="197" spans="1:18" x14ac:dyDescent="0.3">
      <c r="A197" s="235" t="s">
        <v>2513</v>
      </c>
      <c r="B197" s="235"/>
      <c r="C197" s="235"/>
      <c r="D197" s="235">
        <v>0</v>
      </c>
      <c r="E197" s="235">
        <v>1</v>
      </c>
      <c r="F197" s="235" t="s">
        <v>476</v>
      </c>
      <c r="G197" s="235" t="s">
        <v>477</v>
      </c>
      <c r="H197" s="235"/>
      <c r="I197" s="235">
        <v>0</v>
      </c>
      <c r="J197" s="235" t="s">
        <v>470</v>
      </c>
      <c r="K197" s="235" t="s">
        <v>2278</v>
      </c>
      <c r="L197" s="235" t="s">
        <v>2647</v>
      </c>
      <c r="M197" s="235"/>
      <c r="N197" s="235" t="str">
        <f t="shared" si="1"/>
        <v>Effect(OnHitNormal, m.angelica.ult.normalatt.buff.buffeffect.skilleffect.06)</v>
      </c>
      <c r="O197" s="235">
        <v>0</v>
      </c>
      <c r="P197" s="235">
        <v>0</v>
      </c>
      <c r="Q197" s="235"/>
      <c r="R197" s="235" t="b">
        <v>1</v>
      </c>
    </row>
    <row r="198" spans="1:18" x14ac:dyDescent="0.3">
      <c r="A198" s="235" t="s">
        <v>2515</v>
      </c>
      <c r="B198" s="235"/>
      <c r="C198" s="235"/>
      <c r="D198" s="235">
        <v>0</v>
      </c>
      <c r="E198" s="235">
        <v>1</v>
      </c>
      <c r="F198" s="235" t="s">
        <v>476</v>
      </c>
      <c r="G198" s="235" t="s">
        <v>477</v>
      </c>
      <c r="H198" s="235"/>
      <c r="I198" s="235">
        <v>0</v>
      </c>
      <c r="J198" s="235" t="s">
        <v>470</v>
      </c>
      <c r="K198" s="235" t="s">
        <v>2278</v>
      </c>
      <c r="L198" s="235" t="s">
        <v>2648</v>
      </c>
      <c r="M198" s="235"/>
      <c r="N198" s="235" t="str">
        <f t="shared" si="1"/>
        <v>Effect(OnHitNormal, m.angelica.ult.normalatt.buff.buffeffect.skilleffect.07)</v>
      </c>
      <c r="O198" s="235">
        <v>0</v>
      </c>
      <c r="P198" s="235">
        <v>0</v>
      </c>
      <c r="Q198" s="235"/>
      <c r="R198" s="235" t="b">
        <v>1</v>
      </c>
    </row>
    <row r="199" spans="1:18" x14ac:dyDescent="0.3">
      <c r="A199" s="234" t="s">
        <v>2518</v>
      </c>
      <c r="B199" s="234"/>
      <c r="C199" s="234"/>
      <c r="D199" s="234">
        <v>0</v>
      </c>
      <c r="E199" s="234">
        <v>1</v>
      </c>
      <c r="F199" s="234" t="s">
        <v>476</v>
      </c>
      <c r="G199" s="234" t="s">
        <v>477</v>
      </c>
      <c r="H199" s="234"/>
      <c r="I199" s="234">
        <v>0</v>
      </c>
      <c r="J199" s="234" t="s">
        <v>860</v>
      </c>
      <c r="K199" s="234" t="s">
        <v>2649</v>
      </c>
      <c r="L199" s="234"/>
      <c r="M199" s="234"/>
      <c r="N199" s="234" t="str">
        <f t="shared" si="1"/>
        <v>Active(m.angelica.ult.B.pre.buff.buffeffect.skilleffect.01)</v>
      </c>
      <c r="O199" s="234">
        <v>0</v>
      </c>
      <c r="P199" s="234">
        <v>0</v>
      </c>
      <c r="Q199" s="234"/>
      <c r="R199" s="234" t="b">
        <v>1</v>
      </c>
    </row>
    <row r="200" spans="1:18" x14ac:dyDescent="0.3">
      <c r="A200" s="234" t="s">
        <v>2520</v>
      </c>
      <c r="B200" s="234"/>
      <c r="C200" s="234"/>
      <c r="D200" s="234">
        <v>0</v>
      </c>
      <c r="E200" s="234">
        <v>1</v>
      </c>
      <c r="F200" s="234" t="s">
        <v>476</v>
      </c>
      <c r="G200" s="234" t="s">
        <v>477</v>
      </c>
      <c r="H200" s="234"/>
      <c r="I200" s="234">
        <v>0</v>
      </c>
      <c r="J200" s="234" t="s">
        <v>860</v>
      </c>
      <c r="K200" s="234" t="s">
        <v>2650</v>
      </c>
      <c r="L200" s="234"/>
      <c r="M200" s="234"/>
      <c r="N200" s="234" t="str">
        <f t="shared" si="1"/>
        <v>Active(m.angelica.ult.B.pre.buff.buffeffect.skilleffect.02)</v>
      </c>
      <c r="O200" s="234">
        <v>0</v>
      </c>
      <c r="P200" s="234">
        <v>0</v>
      </c>
      <c r="Q200" s="234"/>
      <c r="R200" s="234" t="b">
        <v>1</v>
      </c>
    </row>
    <row r="201" spans="1:18" x14ac:dyDescent="0.3">
      <c r="A201" s="234" t="s">
        <v>2522</v>
      </c>
      <c r="B201" s="234"/>
      <c r="C201" s="234"/>
      <c r="D201" s="234">
        <v>0</v>
      </c>
      <c r="E201" s="234">
        <v>1</v>
      </c>
      <c r="F201" s="234" t="s">
        <v>476</v>
      </c>
      <c r="G201" s="234" t="s">
        <v>477</v>
      </c>
      <c r="H201" s="234"/>
      <c r="I201" s="234">
        <v>0</v>
      </c>
      <c r="J201" s="234" t="s">
        <v>860</v>
      </c>
      <c r="K201" s="234" t="s">
        <v>2651</v>
      </c>
      <c r="L201" s="234"/>
      <c r="M201" s="234"/>
      <c r="N201" s="234" t="str">
        <f t="shared" si="1"/>
        <v>Active(m.angelica.ult.B.pre.buff.buffeffect.skilleffect.03)</v>
      </c>
      <c r="O201" s="234">
        <v>0</v>
      </c>
      <c r="P201" s="234">
        <v>0</v>
      </c>
      <c r="Q201" s="234"/>
      <c r="R201" s="234" t="b">
        <v>1</v>
      </c>
    </row>
    <row r="202" spans="1:18" x14ac:dyDescent="0.3">
      <c r="A202" s="234" t="s">
        <v>2524</v>
      </c>
      <c r="B202" s="234"/>
      <c r="C202" s="234"/>
      <c r="D202" s="234">
        <v>0</v>
      </c>
      <c r="E202" s="234">
        <v>1</v>
      </c>
      <c r="F202" s="234" t="s">
        <v>476</v>
      </c>
      <c r="G202" s="234" t="s">
        <v>477</v>
      </c>
      <c r="H202" s="234"/>
      <c r="I202" s="234">
        <v>0</v>
      </c>
      <c r="J202" s="234" t="s">
        <v>860</v>
      </c>
      <c r="K202" s="234" t="s">
        <v>2652</v>
      </c>
      <c r="L202" s="234"/>
      <c r="M202" s="234"/>
      <c r="N202" s="234" t="str">
        <f t="shared" si="1"/>
        <v>Active(m.angelica.ult.B.pre.buff.buffeffect.skilleffect.04)</v>
      </c>
      <c r="O202" s="234">
        <v>0</v>
      </c>
      <c r="P202" s="234">
        <v>0</v>
      </c>
      <c r="Q202" s="234"/>
      <c r="R202" s="234" t="b">
        <v>1</v>
      </c>
    </row>
    <row r="203" spans="1:18" x14ac:dyDescent="0.3">
      <c r="A203" s="234" t="s">
        <v>2526</v>
      </c>
      <c r="B203" s="234"/>
      <c r="C203" s="234"/>
      <c r="D203" s="234">
        <v>0</v>
      </c>
      <c r="E203" s="234">
        <v>1</v>
      </c>
      <c r="F203" s="234" t="s">
        <v>476</v>
      </c>
      <c r="G203" s="234" t="s">
        <v>477</v>
      </c>
      <c r="H203" s="234"/>
      <c r="I203" s="234">
        <v>0</v>
      </c>
      <c r="J203" s="234" t="s">
        <v>860</v>
      </c>
      <c r="K203" s="234" t="s">
        <v>2653</v>
      </c>
      <c r="L203" s="234"/>
      <c r="M203" s="234"/>
      <c r="N203" s="234" t="str">
        <f t="shared" si="1"/>
        <v>Active(m.angelica.ult.B.pre.buff.buffeffect.skilleffect.05)</v>
      </c>
      <c r="O203" s="234">
        <v>0</v>
      </c>
      <c r="P203" s="234">
        <v>0</v>
      </c>
      <c r="Q203" s="234"/>
      <c r="R203" s="234" t="b">
        <v>1</v>
      </c>
    </row>
    <row r="204" spans="1:18" x14ac:dyDescent="0.3">
      <c r="A204" s="235" t="s">
        <v>2528</v>
      </c>
      <c r="B204" s="235"/>
      <c r="C204" s="235"/>
      <c r="D204" s="235">
        <v>0</v>
      </c>
      <c r="E204" s="235">
        <v>1</v>
      </c>
      <c r="F204" s="235" t="s">
        <v>476</v>
      </c>
      <c r="G204" s="235" t="s">
        <v>477</v>
      </c>
      <c r="H204" s="235"/>
      <c r="I204" s="235">
        <v>0</v>
      </c>
      <c r="J204" s="235" t="s">
        <v>860</v>
      </c>
      <c r="K204" s="235" t="s">
        <v>2654</v>
      </c>
      <c r="L204" s="235"/>
      <c r="M204" s="235"/>
      <c r="N204" s="235" t="str">
        <f t="shared" si="1"/>
        <v>Active(m.angelica.ult.B.pre.buff.buffeffect.skilleffect.06)</v>
      </c>
      <c r="O204" s="235">
        <v>0</v>
      </c>
      <c r="P204" s="235">
        <v>0</v>
      </c>
      <c r="Q204" s="235"/>
      <c r="R204" s="235" t="b">
        <v>1</v>
      </c>
    </row>
    <row r="205" spans="1:18" x14ac:dyDescent="0.3">
      <c r="A205" s="235" t="s">
        <v>2530</v>
      </c>
      <c r="B205" s="235"/>
      <c r="C205" s="235"/>
      <c r="D205" s="235">
        <v>0</v>
      </c>
      <c r="E205" s="235">
        <v>1</v>
      </c>
      <c r="F205" s="235" t="s">
        <v>476</v>
      </c>
      <c r="G205" s="235" t="s">
        <v>477</v>
      </c>
      <c r="H205" s="235"/>
      <c r="I205" s="235">
        <v>0</v>
      </c>
      <c r="J205" s="235" t="s">
        <v>860</v>
      </c>
      <c r="K205" s="235" t="s">
        <v>2655</v>
      </c>
      <c r="L205" s="235"/>
      <c r="M205" s="235"/>
      <c r="N205" s="235" t="str">
        <f t="shared" si="1"/>
        <v>Active(m.angelica.ult.B.pre.buff.buffeffect.skilleffect.07)</v>
      </c>
      <c r="O205" s="235">
        <v>0</v>
      </c>
      <c r="P205" s="235">
        <v>0</v>
      </c>
      <c r="Q205" s="235"/>
      <c r="R205" s="235" t="b">
        <v>1</v>
      </c>
    </row>
    <row r="206" spans="1:18" x14ac:dyDescent="0.3">
      <c r="A206" s="233" t="s">
        <v>2656</v>
      </c>
      <c r="B206" s="233" t="s">
        <v>487</v>
      </c>
      <c r="C206" s="233" t="s">
        <v>2307</v>
      </c>
      <c r="D206" s="233">
        <v>0</v>
      </c>
      <c r="E206" s="233">
        <v>1</v>
      </c>
      <c r="F206" s="233" t="s">
        <v>2277</v>
      </c>
      <c r="G206" s="233" t="s">
        <v>485</v>
      </c>
      <c r="H206" s="233"/>
      <c r="I206" s="233">
        <v>0</v>
      </c>
      <c r="J206" s="233" t="s">
        <v>1380</v>
      </c>
      <c r="K206" s="233" t="s">
        <v>2581</v>
      </c>
      <c r="L206" s="233"/>
      <c r="M206" s="233"/>
      <c r="N206" s="233" t="str">
        <f t="shared" si="1"/>
        <v>Passive(m.angelica.passive.areadmgup.buff.01.01)</v>
      </c>
      <c r="O206" s="233">
        <v>0</v>
      </c>
      <c r="P206" s="233">
        <v>0</v>
      </c>
      <c r="Q206" s="233"/>
      <c r="R206" s="233" t="b">
        <v>1</v>
      </c>
    </row>
    <row r="207" spans="1:18" x14ac:dyDescent="0.3">
      <c r="A207" s="233" t="s">
        <v>2657</v>
      </c>
      <c r="B207" s="233" t="s">
        <v>487</v>
      </c>
      <c r="C207" s="233" t="s">
        <v>2307</v>
      </c>
      <c r="D207" s="233">
        <v>0</v>
      </c>
      <c r="E207" s="233">
        <v>1</v>
      </c>
      <c r="F207" s="233" t="s">
        <v>2277</v>
      </c>
      <c r="G207" s="233" t="s">
        <v>485</v>
      </c>
      <c r="H207" s="233"/>
      <c r="I207" s="233">
        <v>0</v>
      </c>
      <c r="J207" s="233" t="s">
        <v>1380</v>
      </c>
      <c r="K207" s="233" t="s">
        <v>2583</v>
      </c>
      <c r="L207" s="233"/>
      <c r="M207" s="233"/>
      <c r="N207" s="233" t="str">
        <f t="shared" si="1"/>
        <v>Passive(m.angelica.passive.areadmgup.buff.01.02)</v>
      </c>
      <c r="O207" s="233">
        <v>0</v>
      </c>
      <c r="P207" s="233">
        <v>0</v>
      </c>
      <c r="Q207" s="233"/>
      <c r="R207" s="233" t="b">
        <v>1</v>
      </c>
    </row>
    <row r="208" spans="1:18" x14ac:dyDescent="0.3">
      <c r="A208" s="233" t="s">
        <v>2658</v>
      </c>
      <c r="B208" s="233" t="s">
        <v>487</v>
      </c>
      <c r="C208" s="233" t="s">
        <v>2307</v>
      </c>
      <c r="D208" s="233">
        <v>0</v>
      </c>
      <c r="E208" s="233">
        <v>1</v>
      </c>
      <c r="F208" s="233" t="s">
        <v>2277</v>
      </c>
      <c r="G208" s="233" t="s">
        <v>485</v>
      </c>
      <c r="H208" s="233"/>
      <c r="I208" s="233">
        <v>0</v>
      </c>
      <c r="J208" s="233" t="s">
        <v>1380</v>
      </c>
      <c r="K208" s="233" t="s">
        <v>2585</v>
      </c>
      <c r="L208" s="233"/>
      <c r="M208" s="233"/>
      <c r="N208" s="233" t="str">
        <f t="shared" si="1"/>
        <v>Passive(m.angelica.passive.areadmgup.buff.01.03)</v>
      </c>
      <c r="O208" s="233">
        <v>0</v>
      </c>
      <c r="P208" s="233">
        <v>0</v>
      </c>
      <c r="Q208" s="233"/>
      <c r="R208" s="233" t="b">
        <v>1</v>
      </c>
    </row>
    <row r="209" spans="1:18" x14ac:dyDescent="0.3">
      <c r="A209" s="232" t="s">
        <v>2659</v>
      </c>
      <c r="B209" s="232" t="s">
        <v>487</v>
      </c>
      <c r="C209" s="232" t="s">
        <v>2307</v>
      </c>
      <c r="D209" s="232">
        <v>0</v>
      </c>
      <c r="E209" s="232">
        <v>1</v>
      </c>
      <c r="F209" s="232" t="s">
        <v>2277</v>
      </c>
      <c r="G209" s="232" t="s">
        <v>485</v>
      </c>
      <c r="H209" s="232"/>
      <c r="I209" s="232">
        <v>0</v>
      </c>
      <c r="J209" s="232" t="s">
        <v>1380</v>
      </c>
      <c r="K209" s="232" t="s">
        <v>2587</v>
      </c>
      <c r="L209" s="232"/>
      <c r="M209" s="232"/>
      <c r="N209" s="232" t="str">
        <f t="shared" si="1"/>
        <v>Passive(m.angelica.passive.areadmgup.buff.01.04)</v>
      </c>
      <c r="O209" s="232">
        <v>0</v>
      </c>
      <c r="P209" s="232">
        <v>0</v>
      </c>
      <c r="Q209" s="232"/>
      <c r="R209" s="232" t="b">
        <v>1</v>
      </c>
    </row>
    <row r="210" spans="1:18" x14ac:dyDescent="0.3">
      <c r="A210" s="232" t="s">
        <v>2660</v>
      </c>
      <c r="B210" s="232" t="s">
        <v>487</v>
      </c>
      <c r="C210" s="232" t="s">
        <v>2307</v>
      </c>
      <c r="D210" s="232">
        <v>0</v>
      </c>
      <c r="E210" s="232">
        <v>1</v>
      </c>
      <c r="F210" s="232" t="s">
        <v>2277</v>
      </c>
      <c r="G210" s="232" t="s">
        <v>485</v>
      </c>
      <c r="H210" s="232"/>
      <c r="I210" s="232">
        <v>0</v>
      </c>
      <c r="J210" s="232" t="s">
        <v>1380</v>
      </c>
      <c r="K210" s="232" t="s">
        <v>2589</v>
      </c>
      <c r="L210" s="232"/>
      <c r="M210" s="232"/>
      <c r="N210" s="232" t="str">
        <f t="shared" si="1"/>
        <v>Passive(m.angelica.passive.areadmgup.buff.01.05)</v>
      </c>
      <c r="O210" s="232">
        <v>0</v>
      </c>
      <c r="P210" s="232">
        <v>0</v>
      </c>
      <c r="Q210" s="232"/>
      <c r="R210" s="232" t="b">
        <v>1</v>
      </c>
    </row>
    <row r="211" spans="1:18" x14ac:dyDescent="0.3">
      <c r="A211" s="232" t="s">
        <v>2661</v>
      </c>
      <c r="B211" s="232" t="s">
        <v>487</v>
      </c>
      <c r="C211" s="232" t="s">
        <v>2307</v>
      </c>
      <c r="D211" s="232">
        <v>0</v>
      </c>
      <c r="E211" s="232">
        <v>1</v>
      </c>
      <c r="F211" s="232" t="s">
        <v>2277</v>
      </c>
      <c r="G211" s="232" t="s">
        <v>485</v>
      </c>
      <c r="H211" s="232"/>
      <c r="I211" s="232">
        <v>0</v>
      </c>
      <c r="J211" s="232" t="s">
        <v>1380</v>
      </c>
      <c r="K211" s="232" t="s">
        <v>2591</v>
      </c>
      <c r="L211" s="232"/>
      <c r="M211" s="232"/>
      <c r="N211" s="232" t="str">
        <f t="shared" si="1"/>
        <v>Passive(m.angelica.passive.areadmgup.buff.01.06)</v>
      </c>
      <c r="O211" s="232">
        <v>0</v>
      </c>
      <c r="P211" s="232">
        <v>0</v>
      </c>
      <c r="Q211" s="232"/>
      <c r="R211" s="232" t="b">
        <v>1</v>
      </c>
    </row>
    <row r="212" spans="1:18" x14ac:dyDescent="0.3">
      <c r="A212" s="234" t="s">
        <v>2662</v>
      </c>
      <c r="B212" s="234" t="s">
        <v>487</v>
      </c>
      <c r="C212" s="234" t="s">
        <v>2308</v>
      </c>
      <c r="D212" s="234">
        <v>0</v>
      </c>
      <c r="E212" s="234">
        <v>1</v>
      </c>
      <c r="F212" s="234" t="s">
        <v>2277</v>
      </c>
      <c r="G212" s="234" t="s">
        <v>485</v>
      </c>
      <c r="H212" s="234"/>
      <c r="I212" s="234">
        <v>0</v>
      </c>
      <c r="J212" s="234" t="s">
        <v>1380</v>
      </c>
      <c r="K212" s="234" t="s">
        <v>2593</v>
      </c>
      <c r="L212" s="234"/>
      <c r="M212" s="234"/>
      <c r="N212" s="234" t="str">
        <f t="shared" si="1"/>
        <v>Passive(m.angelica.passive.areadmgup.buff.02.01)</v>
      </c>
      <c r="O212" s="234">
        <v>0</v>
      </c>
      <c r="P212" s="234">
        <v>0</v>
      </c>
      <c r="Q212" s="234"/>
      <c r="R212" s="234" t="b">
        <v>1</v>
      </c>
    </row>
    <row r="213" spans="1:18" x14ac:dyDescent="0.3">
      <c r="A213" s="234" t="s">
        <v>2663</v>
      </c>
      <c r="B213" s="234" t="s">
        <v>487</v>
      </c>
      <c r="C213" s="234" t="s">
        <v>2308</v>
      </c>
      <c r="D213" s="234">
        <v>0</v>
      </c>
      <c r="E213" s="234">
        <v>1</v>
      </c>
      <c r="F213" s="234" t="s">
        <v>2277</v>
      </c>
      <c r="G213" s="234" t="s">
        <v>485</v>
      </c>
      <c r="H213" s="234"/>
      <c r="I213" s="234">
        <v>0</v>
      </c>
      <c r="J213" s="234" t="s">
        <v>1380</v>
      </c>
      <c r="K213" s="234" t="s">
        <v>2595</v>
      </c>
      <c r="L213" s="234"/>
      <c r="M213" s="234"/>
      <c r="N213" s="234" t="str">
        <f t="shared" si="1"/>
        <v>Passive(m.angelica.passive.areadmgup.buff.02.02)</v>
      </c>
      <c r="O213" s="234">
        <v>0</v>
      </c>
      <c r="P213" s="234">
        <v>0</v>
      </c>
      <c r="Q213" s="234"/>
      <c r="R213" s="234" t="b">
        <v>1</v>
      </c>
    </row>
    <row r="214" spans="1:18" x14ac:dyDescent="0.3">
      <c r="A214" s="234" t="s">
        <v>2664</v>
      </c>
      <c r="B214" s="234" t="s">
        <v>487</v>
      </c>
      <c r="C214" s="234" t="s">
        <v>2308</v>
      </c>
      <c r="D214" s="234">
        <v>0</v>
      </c>
      <c r="E214" s="234">
        <v>1</v>
      </c>
      <c r="F214" s="234" t="s">
        <v>2277</v>
      </c>
      <c r="G214" s="234" t="s">
        <v>485</v>
      </c>
      <c r="H214" s="234"/>
      <c r="I214" s="234">
        <v>0</v>
      </c>
      <c r="J214" s="234" t="s">
        <v>1380</v>
      </c>
      <c r="K214" s="234" t="s">
        <v>2597</v>
      </c>
      <c r="L214" s="234"/>
      <c r="M214" s="234"/>
      <c r="N214" s="234" t="str">
        <f t="shared" si="1"/>
        <v>Passive(m.angelica.passive.areadmgup.buff.02.03)</v>
      </c>
      <c r="O214" s="234">
        <v>0</v>
      </c>
      <c r="P214" s="234">
        <v>0</v>
      </c>
      <c r="Q214" s="234"/>
      <c r="R214" s="234" t="b">
        <v>1</v>
      </c>
    </row>
    <row r="215" spans="1:18" x14ac:dyDescent="0.3">
      <c r="A215" s="232" t="s">
        <v>2665</v>
      </c>
      <c r="B215" s="232" t="s">
        <v>487</v>
      </c>
      <c r="C215" s="232" t="s">
        <v>2308</v>
      </c>
      <c r="D215" s="232">
        <v>0</v>
      </c>
      <c r="E215" s="232">
        <v>1</v>
      </c>
      <c r="F215" s="232" t="s">
        <v>2277</v>
      </c>
      <c r="G215" s="232" t="s">
        <v>485</v>
      </c>
      <c r="H215" s="232"/>
      <c r="I215" s="232">
        <v>0</v>
      </c>
      <c r="J215" s="232" t="s">
        <v>1380</v>
      </c>
      <c r="K215" s="232" t="s">
        <v>2599</v>
      </c>
      <c r="L215" s="232"/>
      <c r="M215" s="232"/>
      <c r="N215" s="232" t="str">
        <f t="shared" si="1"/>
        <v>Passive(m.angelica.passive.areadmgup.buff.02.04)</v>
      </c>
      <c r="O215" s="232">
        <v>0</v>
      </c>
      <c r="P215" s="232">
        <v>0</v>
      </c>
      <c r="Q215" s="232"/>
      <c r="R215" s="232" t="b">
        <v>1</v>
      </c>
    </row>
    <row r="216" spans="1:18" x14ac:dyDescent="0.3">
      <c r="A216" s="232" t="s">
        <v>2666</v>
      </c>
      <c r="B216" s="232" t="s">
        <v>487</v>
      </c>
      <c r="C216" s="232" t="s">
        <v>2308</v>
      </c>
      <c r="D216" s="232">
        <v>0</v>
      </c>
      <c r="E216" s="232">
        <v>1</v>
      </c>
      <c r="F216" s="232" t="s">
        <v>2277</v>
      </c>
      <c r="G216" s="232" t="s">
        <v>485</v>
      </c>
      <c r="H216" s="232"/>
      <c r="I216" s="232">
        <v>0</v>
      </c>
      <c r="J216" s="232" t="s">
        <v>1380</v>
      </c>
      <c r="K216" s="232" t="s">
        <v>2601</v>
      </c>
      <c r="L216" s="232"/>
      <c r="M216" s="232"/>
      <c r="N216" s="232" t="str">
        <f t="shared" si="1"/>
        <v>Passive(m.angelica.passive.areadmgup.buff.02.05)</v>
      </c>
      <c r="O216" s="232">
        <v>0</v>
      </c>
      <c r="P216" s="232">
        <v>0</v>
      </c>
      <c r="Q216" s="232"/>
      <c r="R216" s="232" t="b">
        <v>1</v>
      </c>
    </row>
    <row r="217" spans="1:18" x14ac:dyDescent="0.3">
      <c r="A217" s="232" t="s">
        <v>2667</v>
      </c>
      <c r="B217" s="232" t="s">
        <v>487</v>
      </c>
      <c r="C217" s="232" t="s">
        <v>2308</v>
      </c>
      <c r="D217" s="232">
        <v>0</v>
      </c>
      <c r="E217" s="232">
        <v>1</v>
      </c>
      <c r="F217" s="232" t="s">
        <v>2277</v>
      </c>
      <c r="G217" s="232" t="s">
        <v>485</v>
      </c>
      <c r="H217" s="232"/>
      <c r="I217" s="232">
        <v>0</v>
      </c>
      <c r="J217" s="232" t="s">
        <v>1380</v>
      </c>
      <c r="K217" s="232" t="s">
        <v>2603</v>
      </c>
      <c r="L217" s="232"/>
      <c r="M217" s="232"/>
      <c r="N217" s="232" t="str">
        <f t="shared" si="1"/>
        <v>Passive(m.angelica.passive.areadmgup.buff.02.06)</v>
      </c>
      <c r="O217" s="232">
        <v>0</v>
      </c>
      <c r="P217" s="232">
        <v>0</v>
      </c>
      <c r="Q217" s="232"/>
      <c r="R217" s="232" t="b">
        <v>1</v>
      </c>
    </row>
    <row r="218" spans="1:18" x14ac:dyDescent="0.3">
      <c r="A218" s="233" t="s">
        <v>2668</v>
      </c>
      <c r="B218" s="233"/>
      <c r="C218" s="233"/>
      <c r="D218" s="233">
        <v>0</v>
      </c>
      <c r="E218" s="233">
        <v>1</v>
      </c>
      <c r="F218" s="233" t="s">
        <v>476</v>
      </c>
      <c r="G218" s="233" t="s">
        <v>477</v>
      </c>
      <c r="H218" s="233"/>
      <c r="I218" s="233">
        <v>0</v>
      </c>
      <c r="J218" s="233" t="s">
        <v>860</v>
      </c>
      <c r="K218" s="233" t="s">
        <v>2669</v>
      </c>
      <c r="L218" s="233"/>
      <c r="M218" s="233"/>
      <c r="N218" s="233" t="str">
        <f t="shared" si="1"/>
        <v>Active(m.angelica.trigger.skilleffect)</v>
      </c>
      <c r="O218" s="233">
        <v>0</v>
      </c>
      <c r="P218" s="233">
        <v>0</v>
      </c>
      <c r="Q218" s="233"/>
      <c r="R218" s="233" t="b">
        <v>1</v>
      </c>
    </row>
    <row r="219" spans="1:18" x14ac:dyDescent="0.3">
      <c r="A219" s="234" t="s">
        <v>2582</v>
      </c>
      <c r="B219" s="234" t="s">
        <v>2309</v>
      </c>
      <c r="C219" s="234" t="s">
        <v>2310</v>
      </c>
      <c r="D219" s="234">
        <v>0</v>
      </c>
      <c r="E219" s="234">
        <v>1</v>
      </c>
      <c r="F219" s="234" t="s">
        <v>476</v>
      </c>
      <c r="G219" s="234" t="s">
        <v>477</v>
      </c>
      <c r="H219" s="234"/>
      <c r="I219" s="234">
        <v>0</v>
      </c>
      <c r="J219" s="234" t="s">
        <v>846</v>
      </c>
      <c r="K219" s="234" t="s">
        <v>2311</v>
      </c>
      <c r="L219" s="234">
        <v>300</v>
      </c>
      <c r="M219" s="234"/>
      <c r="N219" s="234" t="str">
        <f t="shared" si="1"/>
        <v>Status(NormalDamageRate, 300)</v>
      </c>
      <c r="O219" s="234">
        <v>0</v>
      </c>
      <c r="P219" s="234">
        <v>0</v>
      </c>
      <c r="Q219" s="234"/>
      <c r="R219" s="234" t="b">
        <v>1</v>
      </c>
    </row>
    <row r="220" spans="1:18" x14ac:dyDescent="0.3">
      <c r="A220" s="234" t="s">
        <v>2584</v>
      </c>
      <c r="B220" s="234" t="s">
        <v>2309</v>
      </c>
      <c r="C220" s="234" t="s">
        <v>2310</v>
      </c>
      <c r="D220" s="234">
        <v>0</v>
      </c>
      <c r="E220" s="234">
        <v>1</v>
      </c>
      <c r="F220" s="234" t="s">
        <v>476</v>
      </c>
      <c r="G220" s="234" t="s">
        <v>477</v>
      </c>
      <c r="H220" s="234"/>
      <c r="I220" s="234">
        <v>0</v>
      </c>
      <c r="J220" s="234" t="s">
        <v>846</v>
      </c>
      <c r="K220" s="234" t="s">
        <v>2311</v>
      </c>
      <c r="L220" s="234">
        <v>350</v>
      </c>
      <c r="M220" s="234"/>
      <c r="N220" s="234" t="str">
        <f t="shared" si="1"/>
        <v>Status(NormalDamageRate, 350)</v>
      </c>
      <c r="O220" s="234">
        <v>0</v>
      </c>
      <c r="P220" s="234">
        <v>0</v>
      </c>
      <c r="Q220" s="234"/>
      <c r="R220" s="234" t="b">
        <v>1</v>
      </c>
    </row>
    <row r="221" spans="1:18" x14ac:dyDescent="0.3">
      <c r="A221" s="234" t="s">
        <v>2586</v>
      </c>
      <c r="B221" s="234" t="s">
        <v>2309</v>
      </c>
      <c r="C221" s="234" t="s">
        <v>2310</v>
      </c>
      <c r="D221" s="234">
        <v>0</v>
      </c>
      <c r="E221" s="234">
        <v>1</v>
      </c>
      <c r="F221" s="234" t="s">
        <v>476</v>
      </c>
      <c r="G221" s="234" t="s">
        <v>477</v>
      </c>
      <c r="H221" s="234"/>
      <c r="I221" s="234">
        <v>0</v>
      </c>
      <c r="J221" s="234" t="s">
        <v>846</v>
      </c>
      <c r="K221" s="234" t="s">
        <v>2311</v>
      </c>
      <c r="L221" s="234">
        <v>400</v>
      </c>
      <c r="M221" s="234"/>
      <c r="N221" s="234" t="str">
        <f t="shared" si="1"/>
        <v>Status(NormalDamageRate, 400)</v>
      </c>
      <c r="O221" s="234">
        <v>0</v>
      </c>
      <c r="P221" s="234">
        <v>0</v>
      </c>
      <c r="Q221" s="234"/>
      <c r="R221" s="234" t="b">
        <v>1</v>
      </c>
    </row>
    <row r="222" spans="1:18" x14ac:dyDescent="0.3">
      <c r="A222" s="233" t="s">
        <v>2588</v>
      </c>
      <c r="B222" s="233" t="s">
        <v>2309</v>
      </c>
      <c r="C222" s="233" t="s">
        <v>2310</v>
      </c>
      <c r="D222" s="233">
        <v>0</v>
      </c>
      <c r="E222" s="233">
        <v>1</v>
      </c>
      <c r="F222" s="233" t="s">
        <v>476</v>
      </c>
      <c r="G222" s="233" t="s">
        <v>477</v>
      </c>
      <c r="H222" s="233"/>
      <c r="I222" s="233">
        <v>0</v>
      </c>
      <c r="J222" s="233" t="s">
        <v>846</v>
      </c>
      <c r="K222" s="233" t="s">
        <v>2311</v>
      </c>
      <c r="L222" s="233">
        <v>450</v>
      </c>
      <c r="M222" s="233"/>
      <c r="N222" s="233" t="str">
        <f t="shared" si="1"/>
        <v>Status(NormalDamageRate, 450)</v>
      </c>
      <c r="O222" s="233">
        <v>0</v>
      </c>
      <c r="P222" s="233">
        <v>0</v>
      </c>
      <c r="Q222" s="233"/>
      <c r="R222" s="233" t="b">
        <v>1</v>
      </c>
    </row>
    <row r="223" spans="1:18" x14ac:dyDescent="0.3">
      <c r="A223" s="233" t="s">
        <v>2590</v>
      </c>
      <c r="B223" s="233" t="s">
        <v>2309</v>
      </c>
      <c r="C223" s="233" t="s">
        <v>2310</v>
      </c>
      <c r="D223" s="233">
        <v>0</v>
      </c>
      <c r="E223" s="233">
        <v>1</v>
      </c>
      <c r="F223" s="233" t="s">
        <v>476</v>
      </c>
      <c r="G223" s="233" t="s">
        <v>477</v>
      </c>
      <c r="H223" s="233"/>
      <c r="I223" s="233">
        <v>0</v>
      </c>
      <c r="J223" s="233" t="s">
        <v>846</v>
      </c>
      <c r="K223" s="233" t="s">
        <v>2311</v>
      </c>
      <c r="L223" s="233">
        <v>500</v>
      </c>
      <c r="M223" s="233"/>
      <c r="N223" s="233" t="str">
        <f t="shared" si="1"/>
        <v>Status(NormalDamageRate, 500)</v>
      </c>
      <c r="O223" s="233">
        <v>0</v>
      </c>
      <c r="P223" s="233">
        <v>0</v>
      </c>
      <c r="Q223" s="233"/>
      <c r="R223" s="233" t="b">
        <v>1</v>
      </c>
    </row>
    <row r="224" spans="1:18" x14ac:dyDescent="0.3">
      <c r="A224" s="233" t="s">
        <v>2592</v>
      </c>
      <c r="B224" s="233" t="s">
        <v>2309</v>
      </c>
      <c r="C224" s="233" t="s">
        <v>2310</v>
      </c>
      <c r="D224" s="233">
        <v>0</v>
      </c>
      <c r="E224" s="233">
        <v>1</v>
      </c>
      <c r="F224" s="233" t="s">
        <v>476</v>
      </c>
      <c r="G224" s="233" t="s">
        <v>477</v>
      </c>
      <c r="H224" s="233"/>
      <c r="I224" s="233">
        <v>0</v>
      </c>
      <c r="J224" s="233" t="s">
        <v>846</v>
      </c>
      <c r="K224" s="233" t="s">
        <v>2311</v>
      </c>
      <c r="L224" s="233">
        <v>500</v>
      </c>
      <c r="M224" s="233"/>
      <c r="N224" s="233" t="str">
        <f t="shared" si="1"/>
        <v>Status(NormalDamageRate, 500)</v>
      </c>
      <c r="O224" s="233">
        <v>0</v>
      </c>
      <c r="P224" s="233">
        <v>0</v>
      </c>
      <c r="Q224" s="233"/>
      <c r="R224" s="233" t="b">
        <v>1</v>
      </c>
    </row>
    <row r="225" spans="1:18" x14ac:dyDescent="0.3">
      <c r="A225" s="234" t="s">
        <v>2594</v>
      </c>
      <c r="B225" s="234" t="s">
        <v>2309</v>
      </c>
      <c r="C225" s="234" t="s">
        <v>2310</v>
      </c>
      <c r="D225" s="234">
        <v>0</v>
      </c>
      <c r="E225" s="234">
        <v>1</v>
      </c>
      <c r="F225" s="234" t="s">
        <v>476</v>
      </c>
      <c r="G225" s="234" t="s">
        <v>477</v>
      </c>
      <c r="H225" s="234"/>
      <c r="I225" s="234">
        <v>0</v>
      </c>
      <c r="J225" s="234" t="s">
        <v>846</v>
      </c>
      <c r="K225" s="234" t="s">
        <v>2311</v>
      </c>
      <c r="L225" s="234">
        <v>600</v>
      </c>
      <c r="M225" s="234"/>
      <c r="N225" s="234" t="str">
        <f t="shared" si="1"/>
        <v>Status(NormalDamageRate, 600)</v>
      </c>
      <c r="O225" s="234">
        <v>0</v>
      </c>
      <c r="P225" s="234">
        <v>0</v>
      </c>
      <c r="Q225" s="234"/>
      <c r="R225" s="234" t="b">
        <v>1</v>
      </c>
    </row>
    <row r="226" spans="1:18" x14ac:dyDescent="0.3">
      <c r="A226" s="234" t="s">
        <v>2596</v>
      </c>
      <c r="B226" s="234" t="s">
        <v>2309</v>
      </c>
      <c r="C226" s="234" t="s">
        <v>2310</v>
      </c>
      <c r="D226" s="234">
        <v>0</v>
      </c>
      <c r="E226" s="234">
        <v>1</v>
      </c>
      <c r="F226" s="234" t="s">
        <v>476</v>
      </c>
      <c r="G226" s="234" t="s">
        <v>477</v>
      </c>
      <c r="H226" s="234"/>
      <c r="I226" s="234">
        <v>0</v>
      </c>
      <c r="J226" s="234" t="s">
        <v>846</v>
      </c>
      <c r="K226" s="234" t="s">
        <v>2311</v>
      </c>
      <c r="L226" s="234">
        <v>700</v>
      </c>
      <c r="M226" s="234"/>
      <c r="N226" s="234" t="str">
        <f t="shared" si="1"/>
        <v>Status(NormalDamageRate, 700)</v>
      </c>
      <c r="O226" s="234">
        <v>0</v>
      </c>
      <c r="P226" s="234">
        <v>0</v>
      </c>
      <c r="Q226" s="234"/>
      <c r="R226" s="234" t="b">
        <v>1</v>
      </c>
    </row>
    <row r="227" spans="1:18" x14ac:dyDescent="0.3">
      <c r="A227" s="234" t="s">
        <v>2598</v>
      </c>
      <c r="B227" s="234" t="s">
        <v>2309</v>
      </c>
      <c r="C227" s="234" t="s">
        <v>2310</v>
      </c>
      <c r="D227" s="234">
        <v>0</v>
      </c>
      <c r="E227" s="234">
        <v>1</v>
      </c>
      <c r="F227" s="234" t="s">
        <v>476</v>
      </c>
      <c r="G227" s="234" t="s">
        <v>477</v>
      </c>
      <c r="H227" s="234"/>
      <c r="I227" s="234">
        <v>0</v>
      </c>
      <c r="J227" s="234" t="s">
        <v>846</v>
      </c>
      <c r="K227" s="234" t="s">
        <v>2311</v>
      </c>
      <c r="L227" s="234">
        <v>800</v>
      </c>
      <c r="M227" s="234"/>
      <c r="N227" s="234" t="str">
        <f t="shared" si="1"/>
        <v>Status(NormalDamageRate, 800)</v>
      </c>
      <c r="O227" s="234">
        <v>0</v>
      </c>
      <c r="P227" s="234">
        <v>0</v>
      </c>
      <c r="Q227" s="234"/>
      <c r="R227" s="234" t="b">
        <v>1</v>
      </c>
    </row>
    <row r="228" spans="1:18" x14ac:dyDescent="0.3">
      <c r="A228" s="233" t="s">
        <v>2600</v>
      </c>
      <c r="B228" s="233" t="s">
        <v>2309</v>
      </c>
      <c r="C228" s="233" t="s">
        <v>2310</v>
      </c>
      <c r="D228" s="233">
        <v>0</v>
      </c>
      <c r="E228" s="233">
        <v>1</v>
      </c>
      <c r="F228" s="233" t="s">
        <v>476</v>
      </c>
      <c r="G228" s="233" t="s">
        <v>477</v>
      </c>
      <c r="H228" s="233"/>
      <c r="I228" s="233">
        <v>0</v>
      </c>
      <c r="J228" s="233" t="s">
        <v>846</v>
      </c>
      <c r="K228" s="233" t="s">
        <v>2311</v>
      </c>
      <c r="L228" s="233">
        <v>900</v>
      </c>
      <c r="M228" s="233"/>
      <c r="N228" s="233" t="str">
        <f t="shared" si="1"/>
        <v>Status(NormalDamageRate, 900)</v>
      </c>
      <c r="O228" s="233">
        <v>0</v>
      </c>
      <c r="P228" s="233">
        <v>0</v>
      </c>
      <c r="Q228" s="233"/>
      <c r="R228" s="233" t="b">
        <v>1</v>
      </c>
    </row>
    <row r="229" spans="1:18" x14ac:dyDescent="0.3">
      <c r="A229" s="233" t="s">
        <v>2602</v>
      </c>
      <c r="B229" s="233" t="s">
        <v>2309</v>
      </c>
      <c r="C229" s="233" t="s">
        <v>2310</v>
      </c>
      <c r="D229" s="233">
        <v>0</v>
      </c>
      <c r="E229" s="233">
        <v>1</v>
      </c>
      <c r="F229" s="233" t="s">
        <v>476</v>
      </c>
      <c r="G229" s="233" t="s">
        <v>477</v>
      </c>
      <c r="H229" s="233"/>
      <c r="I229" s="233">
        <v>0</v>
      </c>
      <c r="J229" s="233" t="s">
        <v>846</v>
      </c>
      <c r="K229" s="233" t="s">
        <v>2311</v>
      </c>
      <c r="L229" s="233">
        <v>1000</v>
      </c>
      <c r="M229" s="233"/>
      <c r="N229" s="233" t="str">
        <f t="shared" si="1"/>
        <v>Status(NormalDamageRate, 1000)</v>
      </c>
      <c r="O229" s="233">
        <v>0</v>
      </c>
      <c r="P229" s="233">
        <v>0</v>
      </c>
      <c r="Q229" s="233"/>
      <c r="R229" s="233" t="b">
        <v>1</v>
      </c>
    </row>
    <row r="230" spans="1:18" x14ac:dyDescent="0.3">
      <c r="A230" s="233" t="s">
        <v>2604</v>
      </c>
      <c r="B230" s="233" t="s">
        <v>2309</v>
      </c>
      <c r="C230" s="233" t="s">
        <v>2310</v>
      </c>
      <c r="D230" s="233">
        <v>0</v>
      </c>
      <c r="E230" s="233">
        <v>1</v>
      </c>
      <c r="F230" s="233" t="s">
        <v>476</v>
      </c>
      <c r="G230" s="233" t="s">
        <v>477</v>
      </c>
      <c r="H230" s="233"/>
      <c r="I230" s="233">
        <v>0</v>
      </c>
      <c r="J230" s="233" t="s">
        <v>846</v>
      </c>
      <c r="K230" s="233" t="s">
        <v>2311</v>
      </c>
      <c r="L230" s="233">
        <v>1000</v>
      </c>
      <c r="M230" s="233"/>
      <c r="N230" s="233" t="str">
        <f t="shared" si="1"/>
        <v>Status(NormalDamageRate, 1000)</v>
      </c>
      <c r="O230" s="233">
        <v>0</v>
      </c>
      <c r="P230" s="233">
        <v>0</v>
      </c>
      <c r="Q230" s="233"/>
      <c r="R230" s="233" t="b">
        <v>1</v>
      </c>
    </row>
    <row r="231" spans="1:18" x14ac:dyDescent="0.3">
      <c r="A231" s="234" t="s">
        <v>2670</v>
      </c>
      <c r="B231" s="234"/>
      <c r="C231" s="234"/>
      <c r="D231" s="234">
        <v>0</v>
      </c>
      <c r="E231" s="234">
        <v>1</v>
      </c>
      <c r="F231" s="234" t="s">
        <v>476</v>
      </c>
      <c r="G231" s="234" t="s">
        <v>477</v>
      </c>
      <c r="H231" s="234"/>
      <c r="I231" s="234">
        <v>0</v>
      </c>
      <c r="J231" s="234" t="s">
        <v>470</v>
      </c>
      <c r="K231" s="234" t="s">
        <v>2278</v>
      </c>
      <c r="L231" s="234" t="s">
        <v>2671</v>
      </c>
      <c r="M231" s="234"/>
      <c r="N231" s="234" t="str">
        <f t="shared" si="1"/>
        <v>Effect(OnHitNormal, m.angelica.passive.ex.buff.01.skilleffect.01)</v>
      </c>
      <c r="O231" s="234">
        <v>0</v>
      </c>
      <c r="P231" s="234">
        <v>0</v>
      </c>
      <c r="Q231" s="234"/>
      <c r="R231" s="234" t="b">
        <v>1</v>
      </c>
    </row>
    <row r="232" spans="1:18" x14ac:dyDescent="0.3">
      <c r="A232" s="234" t="s">
        <v>2672</v>
      </c>
      <c r="B232" s="234"/>
      <c r="C232" s="234"/>
      <c r="D232" s="234">
        <v>0</v>
      </c>
      <c r="E232" s="234">
        <v>1</v>
      </c>
      <c r="F232" s="234" t="s">
        <v>476</v>
      </c>
      <c r="G232" s="234" t="s">
        <v>477</v>
      </c>
      <c r="H232" s="234"/>
      <c r="I232" s="234">
        <v>0</v>
      </c>
      <c r="J232" s="234" t="s">
        <v>470</v>
      </c>
      <c r="K232" s="234" t="s">
        <v>2278</v>
      </c>
      <c r="L232" s="234" t="s">
        <v>2673</v>
      </c>
      <c r="M232" s="234"/>
      <c r="N232" s="234" t="str">
        <f t="shared" si="1"/>
        <v>Effect(OnHitNormal, m.angelica.passive.ex.buff.01.skilleffect.02)</v>
      </c>
      <c r="O232" s="234">
        <v>0</v>
      </c>
      <c r="P232" s="234">
        <v>0</v>
      </c>
      <c r="Q232" s="234"/>
      <c r="R232" s="234" t="b">
        <v>1</v>
      </c>
    </row>
    <row r="233" spans="1:18" x14ac:dyDescent="0.3">
      <c r="A233" s="234" t="s">
        <v>2674</v>
      </c>
      <c r="B233" s="234"/>
      <c r="C233" s="234"/>
      <c r="D233" s="234">
        <v>0</v>
      </c>
      <c r="E233" s="234">
        <v>1</v>
      </c>
      <c r="F233" s="234" t="s">
        <v>476</v>
      </c>
      <c r="G233" s="234" t="s">
        <v>477</v>
      </c>
      <c r="H233" s="234"/>
      <c r="I233" s="234">
        <v>0</v>
      </c>
      <c r="J233" s="234" t="s">
        <v>470</v>
      </c>
      <c r="K233" s="234" t="s">
        <v>2278</v>
      </c>
      <c r="L233" s="234" t="s">
        <v>2675</v>
      </c>
      <c r="M233" s="234"/>
      <c r="N233" s="234" t="str">
        <f t="shared" si="1"/>
        <v>Effect(OnHitNormal, m.angelica.passive.ex.buff.01.skilleffect.03)</v>
      </c>
      <c r="O233" s="234">
        <v>0</v>
      </c>
      <c r="P233" s="234">
        <v>0</v>
      </c>
      <c r="Q233" s="234"/>
      <c r="R233" s="234" t="b">
        <v>1</v>
      </c>
    </row>
    <row r="234" spans="1:18" x14ac:dyDescent="0.3">
      <c r="A234" s="233" t="s">
        <v>2676</v>
      </c>
      <c r="B234" s="233"/>
      <c r="C234" s="233"/>
      <c r="D234" s="233">
        <v>0</v>
      </c>
      <c r="E234" s="233">
        <v>1</v>
      </c>
      <c r="F234" s="233" t="s">
        <v>476</v>
      </c>
      <c r="G234" s="233" t="s">
        <v>477</v>
      </c>
      <c r="H234" s="233"/>
      <c r="I234" s="233">
        <v>0</v>
      </c>
      <c r="J234" s="233" t="s">
        <v>470</v>
      </c>
      <c r="K234" s="233" t="s">
        <v>2278</v>
      </c>
      <c r="L234" s="233" t="s">
        <v>2677</v>
      </c>
      <c r="M234" s="233"/>
      <c r="N234" s="233" t="str">
        <f t="shared" si="1"/>
        <v>Effect(OnHitNormal, m.angelica.passive.ex.buff.01.skilleffect.04)</v>
      </c>
      <c r="O234" s="233">
        <v>0</v>
      </c>
      <c r="P234" s="233">
        <v>0</v>
      </c>
      <c r="Q234" s="233"/>
      <c r="R234" s="233" t="b">
        <v>1</v>
      </c>
    </row>
    <row r="235" spans="1:18" x14ac:dyDescent="0.3">
      <c r="A235" s="233" t="s">
        <v>2678</v>
      </c>
      <c r="B235" s="233"/>
      <c r="C235" s="233"/>
      <c r="D235" s="233">
        <v>0</v>
      </c>
      <c r="E235" s="233">
        <v>1</v>
      </c>
      <c r="F235" s="233" t="s">
        <v>476</v>
      </c>
      <c r="G235" s="233" t="s">
        <v>477</v>
      </c>
      <c r="H235" s="233"/>
      <c r="I235" s="233">
        <v>0</v>
      </c>
      <c r="J235" s="233" t="s">
        <v>470</v>
      </c>
      <c r="K235" s="233" t="s">
        <v>2278</v>
      </c>
      <c r="L235" s="233" t="s">
        <v>2679</v>
      </c>
      <c r="M235" s="233"/>
      <c r="N235" s="233" t="str">
        <f t="shared" si="1"/>
        <v>Effect(OnHitNormal, m.angelica.passive.ex.buff.01.skilleffect.05)</v>
      </c>
      <c r="O235" s="233">
        <v>0</v>
      </c>
      <c r="P235" s="233">
        <v>0</v>
      </c>
      <c r="Q235" s="233"/>
      <c r="R235" s="233" t="b">
        <v>1</v>
      </c>
    </row>
    <row r="236" spans="1:18" x14ac:dyDescent="0.3">
      <c r="A236" s="233" t="s">
        <v>2680</v>
      </c>
      <c r="B236" s="233"/>
      <c r="C236" s="233"/>
      <c r="D236" s="233">
        <v>0</v>
      </c>
      <c r="E236" s="233">
        <v>1</v>
      </c>
      <c r="F236" s="233" t="s">
        <v>476</v>
      </c>
      <c r="G236" s="233" t="s">
        <v>477</v>
      </c>
      <c r="H236" s="233"/>
      <c r="I236" s="233">
        <v>0</v>
      </c>
      <c r="J236" s="233" t="s">
        <v>470</v>
      </c>
      <c r="K236" s="233" t="s">
        <v>2278</v>
      </c>
      <c r="L236" s="233" t="s">
        <v>2681</v>
      </c>
      <c r="M236" s="233"/>
      <c r="N236" s="233" t="str">
        <f t="shared" si="1"/>
        <v>Effect(OnHitNormal, m.angelica.passive.ex.buff.01.skilleffect.06)</v>
      </c>
      <c r="O236" s="233">
        <v>0</v>
      </c>
      <c r="P236" s="233">
        <v>0</v>
      </c>
      <c r="Q236" s="233"/>
      <c r="R236" s="233" t="b">
        <v>1</v>
      </c>
    </row>
    <row r="237" spans="1:18" x14ac:dyDescent="0.3">
      <c r="A237" s="234" t="s">
        <v>2682</v>
      </c>
      <c r="B237" s="234" t="s">
        <v>487</v>
      </c>
      <c r="C237" s="234" t="s">
        <v>3484</v>
      </c>
      <c r="D237" s="234">
        <v>0</v>
      </c>
      <c r="E237" s="234">
        <v>1</v>
      </c>
      <c r="F237" s="234" t="s">
        <v>476</v>
      </c>
      <c r="G237" s="234" t="s">
        <v>477</v>
      </c>
      <c r="H237" s="234"/>
      <c r="I237" s="234">
        <v>0</v>
      </c>
      <c r="J237" s="234" t="s">
        <v>882</v>
      </c>
      <c r="K237" s="234" t="s">
        <v>2312</v>
      </c>
      <c r="L237" s="234" t="s">
        <v>2683</v>
      </c>
      <c r="M237" s="234"/>
      <c r="N237" s="234" t="str">
        <f t="shared" si="1"/>
        <v>Event(UseSkill, m.angelica.passive.ex.buff.02.skilleffect.01)</v>
      </c>
      <c r="O237" s="234">
        <v>0</v>
      </c>
      <c r="P237" s="234">
        <v>0</v>
      </c>
      <c r="Q237" s="234"/>
      <c r="R237" s="234" t="b">
        <v>1</v>
      </c>
    </row>
    <row r="238" spans="1:18" x14ac:dyDescent="0.3">
      <c r="A238" s="234" t="s">
        <v>2684</v>
      </c>
      <c r="B238" s="234" t="s">
        <v>487</v>
      </c>
      <c r="C238" s="234" t="s">
        <v>3485</v>
      </c>
      <c r="D238" s="234">
        <v>0</v>
      </c>
      <c r="E238" s="234">
        <v>1</v>
      </c>
      <c r="F238" s="234" t="s">
        <v>476</v>
      </c>
      <c r="G238" s="234" t="s">
        <v>477</v>
      </c>
      <c r="H238" s="234"/>
      <c r="I238" s="234">
        <v>0</v>
      </c>
      <c r="J238" s="234" t="s">
        <v>882</v>
      </c>
      <c r="K238" s="234" t="s">
        <v>2312</v>
      </c>
      <c r="L238" s="234" t="s">
        <v>2685</v>
      </c>
      <c r="M238" s="234"/>
      <c r="N238" s="234" t="str">
        <f t="shared" si="1"/>
        <v>Event(UseSkill, m.angelica.passive.ex.buff.02.skilleffect.02)</v>
      </c>
      <c r="O238" s="234">
        <v>0</v>
      </c>
      <c r="P238" s="234">
        <v>0</v>
      </c>
      <c r="Q238" s="234"/>
      <c r="R238" s="234" t="b">
        <v>1</v>
      </c>
    </row>
    <row r="239" spans="1:18" x14ac:dyDescent="0.3">
      <c r="A239" s="234" t="s">
        <v>2686</v>
      </c>
      <c r="B239" s="234" t="s">
        <v>487</v>
      </c>
      <c r="C239" s="234" t="s">
        <v>3486</v>
      </c>
      <c r="D239" s="234">
        <v>0</v>
      </c>
      <c r="E239" s="234">
        <v>1</v>
      </c>
      <c r="F239" s="234" t="s">
        <v>476</v>
      </c>
      <c r="G239" s="234" t="s">
        <v>477</v>
      </c>
      <c r="H239" s="234"/>
      <c r="I239" s="234">
        <v>0</v>
      </c>
      <c r="J239" s="234" t="s">
        <v>882</v>
      </c>
      <c r="K239" s="234" t="s">
        <v>2312</v>
      </c>
      <c r="L239" s="234" t="s">
        <v>2687</v>
      </c>
      <c r="M239" s="234"/>
      <c r="N239" s="234" t="str">
        <f t="shared" si="1"/>
        <v>Event(UseSkill, m.angelica.passive.ex.buff.02.skilleffect.03)</v>
      </c>
      <c r="O239" s="234">
        <v>0</v>
      </c>
      <c r="P239" s="234">
        <v>0</v>
      </c>
      <c r="Q239" s="234"/>
      <c r="R239" s="234" t="b">
        <v>1</v>
      </c>
    </row>
    <row r="240" spans="1:18" x14ac:dyDescent="0.3">
      <c r="A240" s="233" t="s">
        <v>2688</v>
      </c>
      <c r="B240" s="233" t="s">
        <v>487</v>
      </c>
      <c r="C240" s="233" t="s">
        <v>3487</v>
      </c>
      <c r="D240" s="233">
        <v>0</v>
      </c>
      <c r="E240" s="233">
        <v>1</v>
      </c>
      <c r="F240" s="233" t="s">
        <v>476</v>
      </c>
      <c r="G240" s="233" t="s">
        <v>477</v>
      </c>
      <c r="H240" s="233"/>
      <c r="I240" s="233">
        <v>0</v>
      </c>
      <c r="J240" s="233" t="s">
        <v>882</v>
      </c>
      <c r="K240" s="233" t="s">
        <v>2312</v>
      </c>
      <c r="L240" s="233" t="s">
        <v>2689</v>
      </c>
      <c r="M240" s="233"/>
      <c r="N240" s="233" t="str">
        <f t="shared" si="1"/>
        <v>Event(UseSkill, m.angelica.passive.ex.buff.02.skilleffect.04)</v>
      </c>
      <c r="O240" s="233">
        <v>0</v>
      </c>
      <c r="P240" s="233">
        <v>0</v>
      </c>
      <c r="Q240" s="233"/>
      <c r="R240" s="233" t="b">
        <v>1</v>
      </c>
    </row>
    <row r="241" spans="1:18" x14ac:dyDescent="0.3">
      <c r="A241" s="233" t="s">
        <v>2690</v>
      </c>
      <c r="B241" s="233" t="s">
        <v>487</v>
      </c>
      <c r="C241" s="233" t="s">
        <v>3488</v>
      </c>
      <c r="D241" s="233">
        <v>0</v>
      </c>
      <c r="E241" s="233">
        <v>1</v>
      </c>
      <c r="F241" s="233" t="s">
        <v>476</v>
      </c>
      <c r="G241" s="233" t="s">
        <v>477</v>
      </c>
      <c r="H241" s="233"/>
      <c r="I241" s="233">
        <v>0</v>
      </c>
      <c r="J241" s="233" t="s">
        <v>882</v>
      </c>
      <c r="K241" s="233" t="s">
        <v>2312</v>
      </c>
      <c r="L241" s="233" t="s">
        <v>2691</v>
      </c>
      <c r="M241" s="233"/>
      <c r="N241" s="233" t="str">
        <f t="shared" si="1"/>
        <v>Event(UseSkill, m.angelica.passive.ex.buff.02.skilleffect.05)</v>
      </c>
      <c r="O241" s="233">
        <v>0</v>
      </c>
      <c r="P241" s="233">
        <v>0</v>
      </c>
      <c r="Q241" s="233"/>
      <c r="R241" s="233" t="b">
        <v>1</v>
      </c>
    </row>
    <row r="242" spans="1:18" x14ac:dyDescent="0.3">
      <c r="A242" s="233" t="s">
        <v>2692</v>
      </c>
      <c r="B242" s="233" t="s">
        <v>487</v>
      </c>
      <c r="C242" s="233" t="s">
        <v>3489</v>
      </c>
      <c r="D242" s="233">
        <v>0</v>
      </c>
      <c r="E242" s="233">
        <v>1</v>
      </c>
      <c r="F242" s="233" t="s">
        <v>476</v>
      </c>
      <c r="G242" s="233" t="s">
        <v>477</v>
      </c>
      <c r="H242" s="233"/>
      <c r="I242" s="233">
        <v>0</v>
      </c>
      <c r="J242" s="233" t="s">
        <v>882</v>
      </c>
      <c r="K242" s="233" t="s">
        <v>2312</v>
      </c>
      <c r="L242" s="233" t="s">
        <v>2693</v>
      </c>
      <c r="M242" s="233"/>
      <c r="N242" s="233" t="str">
        <f t="shared" si="1"/>
        <v>Event(UseSkill, m.angelica.passive.ex.buff.02.skilleffect.06)</v>
      </c>
      <c r="O242" s="233">
        <v>0</v>
      </c>
      <c r="P242" s="233">
        <v>0</v>
      </c>
      <c r="Q242" s="233"/>
      <c r="R242" s="233" t="b">
        <v>1</v>
      </c>
    </row>
    <row r="243" spans="1:18" x14ac:dyDescent="0.3">
      <c r="A243" s="234" t="s">
        <v>2618</v>
      </c>
      <c r="B243" s="234"/>
      <c r="C243" s="234"/>
      <c r="D243" s="234">
        <v>0</v>
      </c>
      <c r="E243" s="234">
        <v>1</v>
      </c>
      <c r="F243" s="234" t="s">
        <v>476</v>
      </c>
      <c r="G243" s="234" t="s">
        <v>477</v>
      </c>
      <c r="H243" s="234"/>
      <c r="I243" s="234">
        <v>0</v>
      </c>
      <c r="J243" s="234" t="s">
        <v>871</v>
      </c>
      <c r="K243" s="234"/>
      <c r="L243" s="234"/>
      <c r="M243" s="234"/>
      <c r="N243" s="234" t="str">
        <f t="shared" si="1"/>
        <v>None()</v>
      </c>
      <c r="O243" s="234">
        <v>0</v>
      </c>
      <c r="P243" s="234">
        <v>0</v>
      </c>
      <c r="Q243" s="234"/>
      <c r="R243" s="234" t="b">
        <v>1</v>
      </c>
    </row>
    <row r="244" spans="1:18" x14ac:dyDescent="0.3">
      <c r="A244" s="234" t="s">
        <v>2620</v>
      </c>
      <c r="B244" s="234"/>
      <c r="C244" s="234"/>
      <c r="D244" s="234">
        <v>0</v>
      </c>
      <c r="E244" s="234">
        <v>1</v>
      </c>
      <c r="F244" s="234" t="s">
        <v>476</v>
      </c>
      <c r="G244" s="234" t="s">
        <v>477</v>
      </c>
      <c r="H244" s="234"/>
      <c r="I244" s="234">
        <v>0</v>
      </c>
      <c r="J244" s="234" t="s">
        <v>871</v>
      </c>
      <c r="K244" s="234"/>
      <c r="L244" s="234"/>
      <c r="M244" s="234"/>
      <c r="N244" s="234" t="str">
        <f t="shared" si="1"/>
        <v>None()</v>
      </c>
      <c r="O244" s="234">
        <v>0</v>
      </c>
      <c r="P244" s="234">
        <v>0</v>
      </c>
      <c r="Q244" s="234"/>
      <c r="R244" s="234" t="b">
        <v>1</v>
      </c>
    </row>
    <row r="245" spans="1:18" x14ac:dyDescent="0.3">
      <c r="A245" s="234" t="s">
        <v>2622</v>
      </c>
      <c r="B245" s="234"/>
      <c r="C245" s="234"/>
      <c r="D245" s="234">
        <v>0</v>
      </c>
      <c r="E245" s="234">
        <v>1</v>
      </c>
      <c r="F245" s="234" t="s">
        <v>476</v>
      </c>
      <c r="G245" s="234" t="s">
        <v>477</v>
      </c>
      <c r="H245" s="234"/>
      <c r="I245" s="234">
        <v>0</v>
      </c>
      <c r="J245" s="234" t="s">
        <v>871</v>
      </c>
      <c r="K245" s="234"/>
      <c r="L245" s="234"/>
      <c r="M245" s="234"/>
      <c r="N245" s="234" t="str">
        <f t="shared" si="1"/>
        <v>None()</v>
      </c>
      <c r="O245" s="234">
        <v>0</v>
      </c>
      <c r="P245" s="234">
        <v>0</v>
      </c>
      <c r="Q245" s="234"/>
      <c r="R245" s="234" t="b">
        <v>1</v>
      </c>
    </row>
    <row r="246" spans="1:18" x14ac:dyDescent="0.3">
      <c r="A246" s="233" t="s">
        <v>2624</v>
      </c>
      <c r="B246" s="233"/>
      <c r="C246" s="233"/>
      <c r="D246" s="233">
        <v>0</v>
      </c>
      <c r="E246" s="233">
        <v>1</v>
      </c>
      <c r="F246" s="233" t="s">
        <v>476</v>
      </c>
      <c r="G246" s="233" t="s">
        <v>477</v>
      </c>
      <c r="H246" s="233"/>
      <c r="I246" s="233">
        <v>0</v>
      </c>
      <c r="J246" s="233" t="s">
        <v>871</v>
      </c>
      <c r="K246" s="233"/>
      <c r="L246" s="233"/>
      <c r="M246" s="233"/>
      <c r="N246" s="233" t="str">
        <f t="shared" si="1"/>
        <v>None()</v>
      </c>
      <c r="O246" s="233">
        <v>0</v>
      </c>
      <c r="P246" s="233">
        <v>0</v>
      </c>
      <c r="Q246" s="233"/>
      <c r="R246" s="233" t="b">
        <v>1</v>
      </c>
    </row>
    <row r="247" spans="1:18" x14ac:dyDescent="0.3">
      <c r="A247" s="233" t="s">
        <v>2626</v>
      </c>
      <c r="B247" s="233"/>
      <c r="C247" s="233"/>
      <c r="D247" s="233">
        <v>0</v>
      </c>
      <c r="E247" s="233">
        <v>1</v>
      </c>
      <c r="F247" s="233" t="s">
        <v>476</v>
      </c>
      <c r="G247" s="233" t="s">
        <v>477</v>
      </c>
      <c r="H247" s="233"/>
      <c r="I247" s="233">
        <v>0</v>
      </c>
      <c r="J247" s="233" t="s">
        <v>871</v>
      </c>
      <c r="K247" s="233"/>
      <c r="L247" s="233"/>
      <c r="M247" s="233"/>
      <c r="N247" s="233" t="str">
        <f t="shared" si="1"/>
        <v>None()</v>
      </c>
      <c r="O247" s="233">
        <v>0</v>
      </c>
      <c r="P247" s="233">
        <v>0</v>
      </c>
      <c r="Q247" s="233"/>
      <c r="R247" s="233" t="b">
        <v>1</v>
      </c>
    </row>
    <row r="248" spans="1:18" x14ac:dyDescent="0.3">
      <c r="A248" s="233" t="s">
        <v>2628</v>
      </c>
      <c r="B248" s="233"/>
      <c r="C248" s="233"/>
      <c r="D248" s="233">
        <v>0</v>
      </c>
      <c r="E248" s="233">
        <v>1</v>
      </c>
      <c r="F248" s="233" t="s">
        <v>476</v>
      </c>
      <c r="G248" s="233" t="s">
        <v>477</v>
      </c>
      <c r="H248" s="233"/>
      <c r="I248" s="233">
        <v>0</v>
      </c>
      <c r="J248" s="233" t="s">
        <v>871</v>
      </c>
      <c r="K248" s="233"/>
      <c r="L248" s="233"/>
      <c r="M248" s="233"/>
      <c r="N248" s="233" t="str">
        <f t="shared" si="1"/>
        <v>None()</v>
      </c>
      <c r="O248" s="233">
        <v>0</v>
      </c>
      <c r="P248" s="233">
        <v>0</v>
      </c>
      <c r="Q248" s="233"/>
      <c r="R248" s="233" t="b">
        <v>1</v>
      </c>
    </row>
    <row r="249" spans="1:18" x14ac:dyDescent="0.3">
      <c r="A249" s="157" t="s">
        <v>3751</v>
      </c>
      <c r="B249" s="157"/>
      <c r="C249" s="157"/>
      <c r="D249" s="157">
        <v>0</v>
      </c>
      <c r="E249" s="157">
        <v>1</v>
      </c>
      <c r="F249" s="157" t="s">
        <v>2277</v>
      </c>
      <c r="G249" s="157" t="s">
        <v>485</v>
      </c>
      <c r="H249" s="157"/>
      <c r="I249" s="157">
        <v>0</v>
      </c>
      <c r="J249" s="157" t="s">
        <v>1380</v>
      </c>
      <c r="K249" s="157" t="s">
        <v>3752</v>
      </c>
      <c r="L249" s="157"/>
      <c r="M249" s="157"/>
      <c r="N249" s="157" t="str">
        <f t="shared" si="1"/>
        <v>Passive(m.gray.passive.critical.event.buff.01)</v>
      </c>
      <c r="O249" s="157">
        <v>0</v>
      </c>
      <c r="P249" s="157">
        <v>0</v>
      </c>
      <c r="Q249" s="157"/>
      <c r="R249" s="157" t="b">
        <v>1</v>
      </c>
    </row>
    <row r="250" spans="1:18" x14ac:dyDescent="0.3">
      <c r="A250" s="157" t="s">
        <v>3753</v>
      </c>
      <c r="B250" s="157"/>
      <c r="C250" s="157"/>
      <c r="D250" s="157">
        <v>0</v>
      </c>
      <c r="E250" s="157">
        <v>1</v>
      </c>
      <c r="F250" s="157" t="s">
        <v>2277</v>
      </c>
      <c r="G250" s="157" t="s">
        <v>485</v>
      </c>
      <c r="H250" s="157"/>
      <c r="I250" s="157">
        <v>0</v>
      </c>
      <c r="J250" s="157" t="s">
        <v>1380</v>
      </c>
      <c r="K250" s="157" t="s">
        <v>3754</v>
      </c>
      <c r="L250" s="157"/>
      <c r="M250" s="157"/>
      <c r="N250" s="157" t="str">
        <f t="shared" ref="N250:N287" si="2">J250&amp;"("&amp;IF(K250="","",K250)&amp;IF(L250="","",", "&amp;L250)&amp;IF(M250="","",", "&amp;M250)&amp;")"</f>
        <v>Passive(m.gray.passive.critical.event.buff.02)</v>
      </c>
      <c r="O250" s="157">
        <v>0</v>
      </c>
      <c r="P250" s="157">
        <v>0</v>
      </c>
      <c r="Q250" s="157"/>
      <c r="R250" s="157" t="b">
        <v>1</v>
      </c>
    </row>
    <row r="251" spans="1:18" x14ac:dyDescent="0.3">
      <c r="A251" s="157" t="s">
        <v>3755</v>
      </c>
      <c r="B251" s="157"/>
      <c r="C251" s="157"/>
      <c r="D251" s="157">
        <v>0</v>
      </c>
      <c r="E251" s="157">
        <v>1</v>
      </c>
      <c r="F251" s="157" t="s">
        <v>2277</v>
      </c>
      <c r="G251" s="157" t="s">
        <v>485</v>
      </c>
      <c r="H251" s="157"/>
      <c r="I251" s="157">
        <v>0</v>
      </c>
      <c r="J251" s="157" t="s">
        <v>1380</v>
      </c>
      <c r="K251" s="157" t="s">
        <v>3756</v>
      </c>
      <c r="L251" s="157"/>
      <c r="M251" s="157"/>
      <c r="N251" s="157" t="str">
        <f t="shared" si="2"/>
        <v>Passive(m.gray.passive.critical.event.buff.03)</v>
      </c>
      <c r="O251" s="157">
        <v>0</v>
      </c>
      <c r="P251" s="157">
        <v>0</v>
      </c>
      <c r="Q251" s="157"/>
      <c r="R251" s="157" t="b">
        <v>1</v>
      </c>
    </row>
    <row r="252" spans="1:18" x14ac:dyDescent="0.3">
      <c r="A252" s="157" t="s">
        <v>3757</v>
      </c>
      <c r="B252" s="157"/>
      <c r="C252" s="157"/>
      <c r="D252" s="157">
        <v>0</v>
      </c>
      <c r="E252" s="157">
        <v>1</v>
      </c>
      <c r="F252" s="157" t="s">
        <v>2277</v>
      </c>
      <c r="G252" s="157" t="s">
        <v>485</v>
      </c>
      <c r="H252" s="157"/>
      <c r="I252" s="157">
        <v>0</v>
      </c>
      <c r="J252" s="157" t="s">
        <v>1380</v>
      </c>
      <c r="K252" s="157" t="s">
        <v>3758</v>
      </c>
      <c r="L252" s="157"/>
      <c r="M252" s="157"/>
      <c r="N252" s="157" t="str">
        <f t="shared" si="2"/>
        <v>Passive(m.gray.passive.critical.event.buff.04)</v>
      </c>
      <c r="O252" s="157">
        <v>0</v>
      </c>
      <c r="P252" s="157">
        <v>0</v>
      </c>
      <c r="Q252" s="157"/>
      <c r="R252" s="157" t="b">
        <v>1</v>
      </c>
    </row>
    <row r="253" spans="1:18" x14ac:dyDescent="0.3">
      <c r="A253" s="157" t="s">
        <v>3759</v>
      </c>
      <c r="B253" s="157"/>
      <c r="C253" s="157"/>
      <c r="D253" s="157">
        <v>0</v>
      </c>
      <c r="E253" s="157">
        <v>1</v>
      </c>
      <c r="F253" s="157" t="s">
        <v>2277</v>
      </c>
      <c r="G253" s="157" t="s">
        <v>485</v>
      </c>
      <c r="H253" s="157"/>
      <c r="I253" s="157">
        <v>0</v>
      </c>
      <c r="J253" s="157" t="s">
        <v>1380</v>
      </c>
      <c r="K253" s="157" t="s">
        <v>3760</v>
      </c>
      <c r="L253" s="157"/>
      <c r="M253" s="157"/>
      <c r="N253" s="157" t="str">
        <f t="shared" si="2"/>
        <v>Passive(m.gray.passive.critical.event.buff.05)</v>
      </c>
      <c r="O253" s="157">
        <v>0</v>
      </c>
      <c r="P253" s="157">
        <v>0</v>
      </c>
      <c r="Q253" s="157"/>
      <c r="R253" s="157" t="b">
        <v>1</v>
      </c>
    </row>
    <row r="254" spans="1:18" x14ac:dyDescent="0.3">
      <c r="A254" s="232" t="s">
        <v>3761</v>
      </c>
      <c r="B254" s="232"/>
      <c r="C254" s="232"/>
      <c r="D254" s="232">
        <v>0</v>
      </c>
      <c r="E254" s="232">
        <v>1</v>
      </c>
      <c r="F254" s="232" t="s">
        <v>476</v>
      </c>
      <c r="G254" s="232" t="s">
        <v>477</v>
      </c>
      <c r="H254" s="232"/>
      <c r="I254" s="232">
        <v>0</v>
      </c>
      <c r="J254" s="232" t="s">
        <v>470</v>
      </c>
      <c r="K254" s="232" t="s">
        <v>3620</v>
      </c>
      <c r="L254" s="232" t="s">
        <v>3762</v>
      </c>
      <c r="M254" s="232"/>
      <c r="N254" s="232" t="str">
        <f t="shared" si="2"/>
        <v>Effect(OnCritical, m.gray.passive.critical.event.skilleffect.01)</v>
      </c>
      <c r="O254" s="232">
        <v>0</v>
      </c>
      <c r="P254" s="232">
        <v>0</v>
      </c>
      <c r="Q254" s="232"/>
      <c r="R254" s="232" t="b">
        <v>1</v>
      </c>
    </row>
    <row r="255" spans="1:18" x14ac:dyDescent="0.3">
      <c r="A255" s="232" t="s">
        <v>3763</v>
      </c>
      <c r="B255" s="232"/>
      <c r="C255" s="232"/>
      <c r="D255" s="232">
        <v>0</v>
      </c>
      <c r="E255" s="232">
        <v>1</v>
      </c>
      <c r="F255" s="232" t="s">
        <v>476</v>
      </c>
      <c r="G255" s="232" t="s">
        <v>477</v>
      </c>
      <c r="H255" s="232"/>
      <c r="I255" s="232">
        <v>0</v>
      </c>
      <c r="J255" s="232" t="s">
        <v>470</v>
      </c>
      <c r="K255" s="232" t="s">
        <v>3620</v>
      </c>
      <c r="L255" s="232" t="s">
        <v>3764</v>
      </c>
      <c r="M255" s="232"/>
      <c r="N255" s="232" t="str">
        <f t="shared" si="2"/>
        <v>Effect(OnCritical, m.gray.passive.critical.event.skilleffect.02)</v>
      </c>
      <c r="O255" s="232">
        <v>0</v>
      </c>
      <c r="P255" s="232">
        <v>0</v>
      </c>
      <c r="Q255" s="232"/>
      <c r="R255" s="232" t="b">
        <v>1</v>
      </c>
    </row>
    <row r="256" spans="1:18" x14ac:dyDescent="0.3">
      <c r="A256" s="232" t="s">
        <v>3765</v>
      </c>
      <c r="B256" s="232"/>
      <c r="C256" s="232"/>
      <c r="D256" s="232">
        <v>0</v>
      </c>
      <c r="E256" s="232">
        <v>1</v>
      </c>
      <c r="F256" s="232" t="s">
        <v>476</v>
      </c>
      <c r="G256" s="232" t="s">
        <v>477</v>
      </c>
      <c r="H256" s="232"/>
      <c r="I256" s="232">
        <v>0</v>
      </c>
      <c r="J256" s="232" t="s">
        <v>470</v>
      </c>
      <c r="K256" s="232" t="s">
        <v>3620</v>
      </c>
      <c r="L256" s="232" t="s">
        <v>3766</v>
      </c>
      <c r="M256" s="232"/>
      <c r="N256" s="232" t="str">
        <f t="shared" si="2"/>
        <v>Effect(OnCritical, m.gray.passive.critical.event.skilleffect.03)</v>
      </c>
      <c r="O256" s="232">
        <v>0</v>
      </c>
      <c r="P256" s="232">
        <v>0</v>
      </c>
      <c r="Q256" s="232"/>
      <c r="R256" s="232" t="b">
        <v>1</v>
      </c>
    </row>
    <row r="257" spans="1:18" x14ac:dyDescent="0.3">
      <c r="A257" s="232" t="s">
        <v>3767</v>
      </c>
      <c r="B257" s="232"/>
      <c r="C257" s="232"/>
      <c r="D257" s="232">
        <v>0</v>
      </c>
      <c r="E257" s="232">
        <v>1</v>
      </c>
      <c r="F257" s="232" t="s">
        <v>476</v>
      </c>
      <c r="G257" s="232" t="s">
        <v>477</v>
      </c>
      <c r="H257" s="232"/>
      <c r="I257" s="232">
        <v>0</v>
      </c>
      <c r="J257" s="232" t="s">
        <v>470</v>
      </c>
      <c r="K257" s="232" t="s">
        <v>3620</v>
      </c>
      <c r="L257" s="232" t="s">
        <v>3768</v>
      </c>
      <c r="M257" s="232"/>
      <c r="N257" s="232" t="str">
        <f t="shared" si="2"/>
        <v>Effect(OnCritical, m.gray.passive.critical.event.skilleffect.04)</v>
      </c>
      <c r="O257" s="232">
        <v>0</v>
      </c>
      <c r="P257" s="232">
        <v>0</v>
      </c>
      <c r="Q257" s="232"/>
      <c r="R257" s="232" t="b">
        <v>1</v>
      </c>
    </row>
    <row r="258" spans="1:18" x14ac:dyDescent="0.3">
      <c r="A258" s="232" t="s">
        <v>3769</v>
      </c>
      <c r="B258" s="232"/>
      <c r="C258" s="232"/>
      <c r="D258" s="232">
        <v>0</v>
      </c>
      <c r="E258" s="232">
        <v>1</v>
      </c>
      <c r="F258" s="232" t="s">
        <v>476</v>
      </c>
      <c r="G258" s="232" t="s">
        <v>477</v>
      </c>
      <c r="H258" s="232"/>
      <c r="I258" s="232">
        <v>0</v>
      </c>
      <c r="J258" s="232" t="s">
        <v>470</v>
      </c>
      <c r="K258" s="232" t="s">
        <v>3620</v>
      </c>
      <c r="L258" s="232" t="s">
        <v>3770</v>
      </c>
      <c r="M258" s="232"/>
      <c r="N258" s="232" t="str">
        <f t="shared" si="2"/>
        <v>Effect(OnCritical, m.gray.passive.critical.event.skilleffect.05)</v>
      </c>
      <c r="O258" s="232">
        <v>0</v>
      </c>
      <c r="P258" s="232">
        <v>0</v>
      </c>
      <c r="Q258" s="232"/>
      <c r="R258" s="232" t="b">
        <v>1</v>
      </c>
    </row>
    <row r="259" spans="1:18" x14ac:dyDescent="0.3">
      <c r="A259" s="231" t="s">
        <v>3771</v>
      </c>
      <c r="B259" s="231" t="s">
        <v>487</v>
      </c>
      <c r="C259" s="231" t="s">
        <v>3772</v>
      </c>
      <c r="D259" s="231">
        <v>0</v>
      </c>
      <c r="E259" s="231">
        <v>1</v>
      </c>
      <c r="F259" s="231" t="s">
        <v>476</v>
      </c>
      <c r="G259" s="231" t="s">
        <v>477</v>
      </c>
      <c r="H259" s="231"/>
      <c r="I259" s="231">
        <v>0</v>
      </c>
      <c r="J259" s="231" t="s">
        <v>860</v>
      </c>
      <c r="K259" s="231" t="s">
        <v>3773</v>
      </c>
      <c r="L259" s="231"/>
      <c r="M259" s="231"/>
      <c r="N259" s="231" t="str">
        <f t="shared" si="2"/>
        <v>Active(m.gray.passive.critical.event.ep.skilleffect.01)</v>
      </c>
      <c r="O259" s="231">
        <v>0</v>
      </c>
      <c r="P259" s="231">
        <v>0</v>
      </c>
      <c r="Q259" s="231"/>
      <c r="R259" s="231" t="b">
        <v>1</v>
      </c>
    </row>
    <row r="260" spans="1:18" x14ac:dyDescent="0.3">
      <c r="A260" s="231" t="s">
        <v>3774</v>
      </c>
      <c r="B260" s="231" t="s">
        <v>487</v>
      </c>
      <c r="C260" s="231" t="s">
        <v>3772</v>
      </c>
      <c r="D260" s="231">
        <v>0</v>
      </c>
      <c r="E260" s="231">
        <v>1</v>
      </c>
      <c r="F260" s="231" t="s">
        <v>476</v>
      </c>
      <c r="G260" s="231" t="s">
        <v>477</v>
      </c>
      <c r="H260" s="231"/>
      <c r="I260" s="231">
        <v>0</v>
      </c>
      <c r="J260" s="231" t="s">
        <v>860</v>
      </c>
      <c r="K260" s="231" t="s">
        <v>3775</v>
      </c>
      <c r="L260" s="231"/>
      <c r="M260" s="231"/>
      <c r="N260" s="231" t="str">
        <f t="shared" si="2"/>
        <v>Active(m.gray.passive.critical.event.ep.skilleffect.02)</v>
      </c>
      <c r="O260" s="231">
        <v>0</v>
      </c>
      <c r="P260" s="231">
        <v>0</v>
      </c>
      <c r="Q260" s="231"/>
      <c r="R260" s="231" t="b">
        <v>1</v>
      </c>
    </row>
    <row r="261" spans="1:18" x14ac:dyDescent="0.3">
      <c r="A261" s="231" t="s">
        <v>3776</v>
      </c>
      <c r="B261" s="231" t="s">
        <v>487</v>
      </c>
      <c r="C261" s="231" t="s">
        <v>3772</v>
      </c>
      <c r="D261" s="231">
        <v>0</v>
      </c>
      <c r="E261" s="231">
        <v>1</v>
      </c>
      <c r="F261" s="231" t="s">
        <v>476</v>
      </c>
      <c r="G261" s="231" t="s">
        <v>477</v>
      </c>
      <c r="H261" s="231"/>
      <c r="I261" s="231">
        <v>0</v>
      </c>
      <c r="J261" s="231" t="s">
        <v>860</v>
      </c>
      <c r="K261" s="231" t="s">
        <v>3777</v>
      </c>
      <c r="L261" s="231"/>
      <c r="M261" s="231"/>
      <c r="N261" s="231" t="str">
        <f t="shared" si="2"/>
        <v>Active(m.gray.passive.critical.event.ep.skilleffect.03)</v>
      </c>
      <c r="O261" s="231">
        <v>0</v>
      </c>
      <c r="P261" s="231">
        <v>0</v>
      </c>
      <c r="Q261" s="231"/>
      <c r="R261" s="231" t="b">
        <v>1</v>
      </c>
    </row>
    <row r="262" spans="1:18" x14ac:dyDescent="0.3">
      <c r="A262" s="231" t="s">
        <v>3778</v>
      </c>
      <c r="B262" s="231" t="s">
        <v>487</v>
      </c>
      <c r="C262" s="231" t="s">
        <v>3772</v>
      </c>
      <c r="D262" s="231">
        <v>0</v>
      </c>
      <c r="E262" s="231">
        <v>1</v>
      </c>
      <c r="F262" s="231" t="s">
        <v>476</v>
      </c>
      <c r="G262" s="231" t="s">
        <v>477</v>
      </c>
      <c r="H262" s="231"/>
      <c r="I262" s="231">
        <v>0</v>
      </c>
      <c r="J262" s="231" t="s">
        <v>860</v>
      </c>
      <c r="K262" s="231" t="s">
        <v>3779</v>
      </c>
      <c r="L262" s="231"/>
      <c r="M262" s="231"/>
      <c r="N262" s="231" t="str">
        <f t="shared" si="2"/>
        <v>Active(m.gray.passive.critical.event.ep.skilleffect.04)</v>
      </c>
      <c r="O262" s="231">
        <v>0</v>
      </c>
      <c r="P262" s="231">
        <v>0</v>
      </c>
      <c r="Q262" s="231"/>
      <c r="R262" s="231" t="b">
        <v>1</v>
      </c>
    </row>
    <row r="263" spans="1:18" x14ac:dyDescent="0.3">
      <c r="A263" s="231" t="s">
        <v>3780</v>
      </c>
      <c r="B263" s="231" t="s">
        <v>487</v>
      </c>
      <c r="C263" s="231" t="s">
        <v>3772</v>
      </c>
      <c r="D263" s="231">
        <v>0</v>
      </c>
      <c r="E263" s="231">
        <v>1</v>
      </c>
      <c r="F263" s="231" t="s">
        <v>476</v>
      </c>
      <c r="G263" s="231" t="s">
        <v>477</v>
      </c>
      <c r="H263" s="231"/>
      <c r="I263" s="231">
        <v>0</v>
      </c>
      <c r="J263" s="231" t="s">
        <v>860</v>
      </c>
      <c r="K263" s="231" t="s">
        <v>3781</v>
      </c>
      <c r="L263" s="231"/>
      <c r="M263" s="231"/>
      <c r="N263" s="231" t="str">
        <f t="shared" si="2"/>
        <v>Active(m.gray.passive.critical.event.ep.skilleffect.05)</v>
      </c>
      <c r="O263" s="231">
        <v>0</v>
      </c>
      <c r="P263" s="231">
        <v>0</v>
      </c>
      <c r="Q263" s="231"/>
      <c r="R263" s="231" t="b">
        <v>1</v>
      </c>
    </row>
    <row r="264" spans="1:18" x14ac:dyDescent="0.3">
      <c r="A264" s="231" t="s">
        <v>3782</v>
      </c>
      <c r="B264" s="231"/>
      <c r="C264" s="231"/>
      <c r="D264" s="231">
        <v>0</v>
      </c>
      <c r="E264" s="231">
        <v>1</v>
      </c>
      <c r="F264" s="231" t="s">
        <v>476</v>
      </c>
      <c r="G264" s="231" t="s">
        <v>477</v>
      </c>
      <c r="H264" s="231"/>
      <c r="I264" s="231">
        <v>0</v>
      </c>
      <c r="J264" s="231" t="s">
        <v>882</v>
      </c>
      <c r="K264" s="231" t="s">
        <v>2279</v>
      </c>
      <c r="L264" s="231" t="s">
        <v>3783</v>
      </c>
      <c r="M264" s="231" t="s">
        <v>2282</v>
      </c>
      <c r="N264" s="231" t="str">
        <f t="shared" si="2"/>
        <v>Event(FireSkill, m.gray.passive.ex.buff.buffeffect.skilleffect.01, FireCondition(Skill2))</v>
      </c>
      <c r="O264" s="231">
        <v>0</v>
      </c>
      <c r="P264" s="231">
        <v>0</v>
      </c>
      <c r="Q264" s="231"/>
      <c r="R264" s="231" t="b">
        <v>1</v>
      </c>
    </row>
    <row r="265" spans="1:18" x14ac:dyDescent="0.3">
      <c r="A265" s="231" t="s">
        <v>3784</v>
      </c>
      <c r="B265" s="231"/>
      <c r="C265" s="231"/>
      <c r="D265" s="231">
        <v>0</v>
      </c>
      <c r="E265" s="231">
        <v>1</v>
      </c>
      <c r="F265" s="231" t="s">
        <v>476</v>
      </c>
      <c r="G265" s="231" t="s">
        <v>477</v>
      </c>
      <c r="H265" s="231"/>
      <c r="I265" s="231">
        <v>0</v>
      </c>
      <c r="J265" s="231" t="s">
        <v>882</v>
      </c>
      <c r="K265" s="231" t="s">
        <v>2279</v>
      </c>
      <c r="L265" s="231" t="s">
        <v>3785</v>
      </c>
      <c r="M265" s="231" t="s">
        <v>2282</v>
      </c>
      <c r="N265" s="231" t="str">
        <f t="shared" si="2"/>
        <v>Event(FireSkill, m.gray.passive.ex.buff.buffeffect.skilleffect.02, FireCondition(Skill2))</v>
      </c>
      <c r="O265" s="231">
        <v>0</v>
      </c>
      <c r="P265" s="231">
        <v>0</v>
      </c>
      <c r="Q265" s="231"/>
      <c r="R265" s="231" t="b">
        <v>1</v>
      </c>
    </row>
    <row r="266" spans="1:18" x14ac:dyDescent="0.3">
      <c r="A266" s="231" t="s">
        <v>3786</v>
      </c>
      <c r="B266" s="231"/>
      <c r="C266" s="231"/>
      <c r="D266" s="231">
        <v>0</v>
      </c>
      <c r="E266" s="231">
        <v>1</v>
      </c>
      <c r="F266" s="231" t="s">
        <v>476</v>
      </c>
      <c r="G266" s="231" t="s">
        <v>477</v>
      </c>
      <c r="H266" s="231"/>
      <c r="I266" s="231">
        <v>0</v>
      </c>
      <c r="J266" s="231" t="s">
        <v>882</v>
      </c>
      <c r="K266" s="231" t="s">
        <v>2279</v>
      </c>
      <c r="L266" s="231" t="s">
        <v>3787</v>
      </c>
      <c r="M266" s="231" t="s">
        <v>2282</v>
      </c>
      <c r="N266" s="231" t="str">
        <f t="shared" si="2"/>
        <v>Event(FireSkill, m.gray.passive.ex.buff.buffeffect.skilleffect.03, FireCondition(Skill2))</v>
      </c>
      <c r="O266" s="231">
        <v>0</v>
      </c>
      <c r="P266" s="231">
        <v>0</v>
      </c>
      <c r="Q266" s="231"/>
      <c r="R266" s="231" t="b">
        <v>1</v>
      </c>
    </row>
    <row r="267" spans="1:18" x14ac:dyDescent="0.3">
      <c r="A267" s="231" t="s">
        <v>3788</v>
      </c>
      <c r="B267" s="231"/>
      <c r="C267" s="231"/>
      <c r="D267" s="231">
        <v>0</v>
      </c>
      <c r="E267" s="231">
        <v>1</v>
      </c>
      <c r="F267" s="231" t="s">
        <v>476</v>
      </c>
      <c r="G267" s="231" t="s">
        <v>477</v>
      </c>
      <c r="H267" s="231"/>
      <c r="I267" s="231">
        <v>0</v>
      </c>
      <c r="J267" s="231" t="s">
        <v>882</v>
      </c>
      <c r="K267" s="231" t="s">
        <v>2279</v>
      </c>
      <c r="L267" s="231" t="s">
        <v>3789</v>
      </c>
      <c r="M267" s="231" t="s">
        <v>2282</v>
      </c>
      <c r="N267" s="231" t="str">
        <f t="shared" si="2"/>
        <v>Event(FireSkill, m.gray.passive.ex.buff.buffeffect.skilleffect.04, FireCondition(Skill2))</v>
      </c>
      <c r="O267" s="231">
        <v>0</v>
      </c>
      <c r="P267" s="231">
        <v>0</v>
      </c>
      <c r="Q267" s="231"/>
      <c r="R267" s="231" t="b">
        <v>1</v>
      </c>
    </row>
    <row r="268" spans="1:18" x14ac:dyDescent="0.3">
      <c r="A268" s="231" t="s">
        <v>3790</v>
      </c>
      <c r="B268" s="231"/>
      <c r="C268" s="231"/>
      <c r="D268" s="231">
        <v>0</v>
      </c>
      <c r="E268" s="231">
        <v>1</v>
      </c>
      <c r="F268" s="231" t="s">
        <v>476</v>
      </c>
      <c r="G268" s="231" t="s">
        <v>477</v>
      </c>
      <c r="H268" s="231"/>
      <c r="I268" s="231">
        <v>0</v>
      </c>
      <c r="J268" s="231" t="s">
        <v>882</v>
      </c>
      <c r="K268" s="231" t="s">
        <v>2279</v>
      </c>
      <c r="L268" s="231" t="s">
        <v>3791</v>
      </c>
      <c r="M268" s="231" t="s">
        <v>2282</v>
      </c>
      <c r="N268" s="231" t="str">
        <f t="shared" si="2"/>
        <v>Event(FireSkill, m.gray.passive.ex.buff.buffeffect.skilleffect.05, FireCondition(Skill2))</v>
      </c>
      <c r="O268" s="231">
        <v>0</v>
      </c>
      <c r="P268" s="231">
        <v>0</v>
      </c>
      <c r="Q268" s="231"/>
      <c r="R268" s="231" t="b">
        <v>1</v>
      </c>
    </row>
    <row r="269" spans="1:18" x14ac:dyDescent="0.3">
      <c r="A269" s="157" t="s">
        <v>3792</v>
      </c>
      <c r="B269" s="157"/>
      <c r="C269" s="157"/>
      <c r="D269" s="157">
        <v>0</v>
      </c>
      <c r="E269" s="157">
        <v>1</v>
      </c>
      <c r="F269" s="157" t="s">
        <v>476</v>
      </c>
      <c r="G269" s="157" t="s">
        <v>477</v>
      </c>
      <c r="H269" s="157"/>
      <c r="I269" s="157">
        <v>0</v>
      </c>
      <c r="J269" s="157" t="s">
        <v>871</v>
      </c>
      <c r="K269" s="157"/>
      <c r="L269" s="252"/>
      <c r="M269" s="157"/>
      <c r="N269" s="157" t="str">
        <f t="shared" si="2"/>
        <v>None()</v>
      </c>
      <c r="O269" s="157">
        <v>0</v>
      </c>
      <c r="P269" s="157">
        <v>0</v>
      </c>
      <c r="Q269" s="157"/>
      <c r="R269" s="157" t="b">
        <v>1</v>
      </c>
    </row>
    <row r="270" spans="1:18" x14ac:dyDescent="0.3">
      <c r="A270" s="234" t="s">
        <v>3946</v>
      </c>
      <c r="B270" s="234"/>
      <c r="C270" s="234"/>
      <c r="D270" s="234">
        <v>0</v>
      </c>
      <c r="E270" s="234">
        <v>1</v>
      </c>
      <c r="F270" s="234" t="s">
        <v>476</v>
      </c>
      <c r="G270" s="234" t="s">
        <v>477</v>
      </c>
      <c r="H270" s="234"/>
      <c r="I270" s="234">
        <v>0</v>
      </c>
      <c r="J270" s="234" t="s">
        <v>470</v>
      </c>
      <c r="K270" s="234" t="s">
        <v>867</v>
      </c>
      <c r="L270" s="234" t="s">
        <v>3986</v>
      </c>
      <c r="M270" s="234"/>
      <c r="N270" s="234" t="str">
        <f t="shared" si="2"/>
        <v>Effect(BeHit, m.klairs.passive.buff.buffeffect.skilleffect.01)</v>
      </c>
      <c r="O270" s="234">
        <v>0</v>
      </c>
      <c r="P270" s="234">
        <v>10000</v>
      </c>
      <c r="Q270" s="234"/>
      <c r="R270" s="234" t="b">
        <v>1</v>
      </c>
    </row>
    <row r="271" spans="1:18" x14ac:dyDescent="0.3">
      <c r="A271" s="234" t="s">
        <v>3948</v>
      </c>
      <c r="B271" s="234"/>
      <c r="C271" s="234"/>
      <c r="D271" s="234">
        <v>0</v>
      </c>
      <c r="E271" s="234">
        <v>1</v>
      </c>
      <c r="F271" s="234" t="s">
        <v>476</v>
      </c>
      <c r="G271" s="234" t="s">
        <v>477</v>
      </c>
      <c r="H271" s="234"/>
      <c r="I271" s="234">
        <v>0</v>
      </c>
      <c r="J271" s="234" t="s">
        <v>470</v>
      </c>
      <c r="K271" s="234" t="s">
        <v>867</v>
      </c>
      <c r="L271" s="234" t="s">
        <v>3987</v>
      </c>
      <c r="M271" s="234"/>
      <c r="N271" s="234" t="str">
        <f t="shared" si="2"/>
        <v>Effect(BeHit, m.klairs.passive.buff.buffeffect.skilleffect.02)</v>
      </c>
      <c r="O271" s="234">
        <v>0</v>
      </c>
      <c r="P271" s="234">
        <v>10000</v>
      </c>
      <c r="Q271" s="234"/>
      <c r="R271" s="234" t="b">
        <v>1</v>
      </c>
    </row>
    <row r="272" spans="1:18" x14ac:dyDescent="0.3">
      <c r="A272" s="234" t="s">
        <v>3950</v>
      </c>
      <c r="B272" s="234"/>
      <c r="C272" s="234"/>
      <c r="D272" s="234">
        <v>0</v>
      </c>
      <c r="E272" s="234">
        <v>1</v>
      </c>
      <c r="F272" s="234" t="s">
        <v>476</v>
      </c>
      <c r="G272" s="234" t="s">
        <v>477</v>
      </c>
      <c r="H272" s="234"/>
      <c r="I272" s="234">
        <v>0</v>
      </c>
      <c r="J272" s="234" t="s">
        <v>470</v>
      </c>
      <c r="K272" s="234" t="s">
        <v>867</v>
      </c>
      <c r="L272" s="234" t="s">
        <v>3988</v>
      </c>
      <c r="M272" s="234"/>
      <c r="N272" s="234" t="str">
        <f t="shared" si="2"/>
        <v>Effect(BeHit, m.klairs.passive.buff.buffeffect.skilleffect.03)</v>
      </c>
      <c r="O272" s="234">
        <v>0</v>
      </c>
      <c r="P272" s="234">
        <v>10000</v>
      </c>
      <c r="Q272" s="234"/>
      <c r="R272" s="234" t="b">
        <v>1</v>
      </c>
    </row>
    <row r="273" spans="1:18" x14ac:dyDescent="0.3">
      <c r="A273" s="232" t="s">
        <v>3952</v>
      </c>
      <c r="B273" s="232"/>
      <c r="C273" s="232"/>
      <c r="D273" s="232">
        <v>0</v>
      </c>
      <c r="E273" s="232">
        <v>1</v>
      </c>
      <c r="F273" s="232" t="s">
        <v>476</v>
      </c>
      <c r="G273" s="232" t="s">
        <v>477</v>
      </c>
      <c r="H273" s="232"/>
      <c r="I273" s="232">
        <v>0</v>
      </c>
      <c r="J273" s="232" t="s">
        <v>470</v>
      </c>
      <c r="K273" s="232" t="s">
        <v>867</v>
      </c>
      <c r="L273" s="232" t="s">
        <v>3989</v>
      </c>
      <c r="M273" s="232"/>
      <c r="N273" s="232" t="str">
        <f t="shared" si="2"/>
        <v>Effect(BeHit, m.klairs.passive.buff.buffeffect.skilleffect.04)</v>
      </c>
      <c r="O273" s="232">
        <v>0</v>
      </c>
      <c r="P273" s="232">
        <v>10000</v>
      </c>
      <c r="Q273" s="232"/>
      <c r="R273" s="232" t="b">
        <v>1</v>
      </c>
    </row>
    <row r="274" spans="1:18" x14ac:dyDescent="0.3">
      <c r="A274" s="232" t="s">
        <v>3954</v>
      </c>
      <c r="B274" s="232"/>
      <c r="C274" s="232"/>
      <c r="D274" s="232">
        <v>0</v>
      </c>
      <c r="E274" s="232">
        <v>1</v>
      </c>
      <c r="F274" s="232" t="s">
        <v>476</v>
      </c>
      <c r="G274" s="232" t="s">
        <v>477</v>
      </c>
      <c r="H274" s="232"/>
      <c r="I274" s="232">
        <v>0</v>
      </c>
      <c r="J274" s="232" t="s">
        <v>470</v>
      </c>
      <c r="K274" s="232" t="s">
        <v>867</v>
      </c>
      <c r="L274" s="232" t="s">
        <v>3990</v>
      </c>
      <c r="M274" s="232"/>
      <c r="N274" s="232" t="str">
        <f t="shared" si="2"/>
        <v>Effect(BeHit, m.klairs.passive.buff.buffeffect.skilleffect.05)</v>
      </c>
      <c r="O274" s="232">
        <v>0</v>
      </c>
      <c r="P274" s="232">
        <v>10000</v>
      </c>
      <c r="Q274" s="232"/>
      <c r="R274" s="232" t="b">
        <v>1</v>
      </c>
    </row>
    <row r="275" spans="1:18" x14ac:dyDescent="0.3">
      <c r="A275" s="232" t="s">
        <v>3956</v>
      </c>
      <c r="B275" s="232"/>
      <c r="C275" s="232"/>
      <c r="D275" s="232">
        <v>0</v>
      </c>
      <c r="E275" s="232">
        <v>1</v>
      </c>
      <c r="F275" s="232" t="s">
        <v>476</v>
      </c>
      <c r="G275" s="232" t="s">
        <v>477</v>
      </c>
      <c r="H275" s="232"/>
      <c r="I275" s="232">
        <v>0</v>
      </c>
      <c r="J275" s="232" t="s">
        <v>470</v>
      </c>
      <c r="K275" s="232" t="s">
        <v>867</v>
      </c>
      <c r="L275" s="232" t="s">
        <v>3991</v>
      </c>
      <c r="M275" s="232"/>
      <c r="N275" s="232" t="str">
        <f t="shared" si="2"/>
        <v>Effect(BeHit, m.klairs.passive.buff.buffeffect.skilleffect.06)</v>
      </c>
      <c r="O275" s="232">
        <v>0</v>
      </c>
      <c r="P275" s="232">
        <v>10000</v>
      </c>
      <c r="Q275" s="232"/>
      <c r="R275" s="232" t="b">
        <v>1</v>
      </c>
    </row>
    <row r="276" spans="1:18" x14ac:dyDescent="0.3">
      <c r="A276" s="231" t="s">
        <v>3963</v>
      </c>
      <c r="B276" s="231"/>
      <c r="C276" s="231"/>
      <c r="D276" s="231">
        <v>0</v>
      </c>
      <c r="E276" s="231">
        <v>1</v>
      </c>
      <c r="F276" s="231" t="s">
        <v>833</v>
      </c>
      <c r="G276" s="231" t="s">
        <v>485</v>
      </c>
      <c r="H276" s="231"/>
      <c r="I276" s="231">
        <v>0</v>
      </c>
      <c r="J276" s="231" t="s">
        <v>1380</v>
      </c>
      <c r="K276" s="231" t="s">
        <v>3974</v>
      </c>
      <c r="L276" s="231"/>
      <c r="M276" s="231"/>
      <c r="N276" s="231" t="str">
        <f t="shared" si="2"/>
        <v>Passive(m.klairs.passive.ex.event.buff.01)</v>
      </c>
      <c r="O276" s="231">
        <v>0</v>
      </c>
      <c r="P276" s="231">
        <v>0</v>
      </c>
      <c r="Q276" s="231"/>
      <c r="R276" s="231" t="b">
        <v>1</v>
      </c>
    </row>
    <row r="277" spans="1:18" x14ac:dyDescent="0.3">
      <c r="A277" s="231" t="s">
        <v>3965</v>
      </c>
      <c r="B277" s="231"/>
      <c r="C277" s="231"/>
      <c r="D277" s="231">
        <v>0</v>
      </c>
      <c r="E277" s="231">
        <v>1</v>
      </c>
      <c r="F277" s="231" t="s">
        <v>833</v>
      </c>
      <c r="G277" s="231" t="s">
        <v>485</v>
      </c>
      <c r="H277" s="231"/>
      <c r="I277" s="231">
        <v>0</v>
      </c>
      <c r="J277" s="231" t="s">
        <v>1380</v>
      </c>
      <c r="K277" s="231" t="s">
        <v>3976</v>
      </c>
      <c r="L277" s="231"/>
      <c r="M277" s="231"/>
      <c r="N277" s="231" t="str">
        <f t="shared" si="2"/>
        <v>Passive(m.klairs.passive.ex.event.buff.02)</v>
      </c>
      <c r="O277" s="231">
        <v>0</v>
      </c>
      <c r="P277" s="231">
        <v>0</v>
      </c>
      <c r="Q277" s="231"/>
      <c r="R277" s="231" t="b">
        <v>1</v>
      </c>
    </row>
    <row r="278" spans="1:18" x14ac:dyDescent="0.3">
      <c r="A278" s="231" t="s">
        <v>3967</v>
      </c>
      <c r="B278" s="231"/>
      <c r="C278" s="231"/>
      <c r="D278" s="231">
        <v>0</v>
      </c>
      <c r="E278" s="231">
        <v>1</v>
      </c>
      <c r="F278" s="231" t="s">
        <v>833</v>
      </c>
      <c r="G278" s="231" t="s">
        <v>485</v>
      </c>
      <c r="H278" s="231"/>
      <c r="I278" s="231">
        <v>0</v>
      </c>
      <c r="J278" s="231" t="s">
        <v>1380</v>
      </c>
      <c r="K278" s="231" t="s">
        <v>3978</v>
      </c>
      <c r="L278" s="231"/>
      <c r="M278" s="231"/>
      <c r="N278" s="231" t="str">
        <f t="shared" si="2"/>
        <v>Passive(m.klairs.passive.ex.event.buff.03)</v>
      </c>
      <c r="O278" s="231">
        <v>0</v>
      </c>
      <c r="P278" s="231">
        <v>0</v>
      </c>
      <c r="Q278" s="231"/>
      <c r="R278" s="231" t="b">
        <v>1</v>
      </c>
    </row>
    <row r="279" spans="1:18" x14ac:dyDescent="0.3">
      <c r="A279" s="231" t="s">
        <v>3969</v>
      </c>
      <c r="B279" s="231"/>
      <c r="C279" s="231"/>
      <c r="D279" s="231">
        <v>0</v>
      </c>
      <c r="E279" s="231">
        <v>1</v>
      </c>
      <c r="F279" s="231" t="s">
        <v>833</v>
      </c>
      <c r="G279" s="231" t="s">
        <v>485</v>
      </c>
      <c r="H279" s="231"/>
      <c r="I279" s="231">
        <v>0</v>
      </c>
      <c r="J279" s="231" t="s">
        <v>1380</v>
      </c>
      <c r="K279" s="231" t="s">
        <v>3980</v>
      </c>
      <c r="L279" s="231"/>
      <c r="M279" s="231"/>
      <c r="N279" s="231" t="str">
        <f t="shared" si="2"/>
        <v>Passive(m.klairs.passive.ex.event.buff.04)</v>
      </c>
      <c r="O279" s="231">
        <v>0</v>
      </c>
      <c r="P279" s="231">
        <v>0</v>
      </c>
      <c r="Q279" s="231"/>
      <c r="R279" s="231" t="b">
        <v>1</v>
      </c>
    </row>
    <row r="280" spans="1:18" x14ac:dyDescent="0.3">
      <c r="A280" s="231" t="s">
        <v>3971</v>
      </c>
      <c r="B280" s="231"/>
      <c r="C280" s="231"/>
      <c r="D280" s="231">
        <v>0</v>
      </c>
      <c r="E280" s="231">
        <v>1</v>
      </c>
      <c r="F280" s="231" t="s">
        <v>833</v>
      </c>
      <c r="G280" s="231" t="s">
        <v>485</v>
      </c>
      <c r="H280" s="231"/>
      <c r="I280" s="231">
        <v>0</v>
      </c>
      <c r="J280" s="231" t="s">
        <v>1380</v>
      </c>
      <c r="K280" s="231" t="s">
        <v>3982</v>
      </c>
      <c r="L280" s="231"/>
      <c r="M280" s="231"/>
      <c r="N280" s="231" t="str">
        <f t="shared" si="2"/>
        <v>Passive(m.klairs.passive.ex.event.buff.05)</v>
      </c>
      <c r="O280" s="231">
        <v>0</v>
      </c>
      <c r="P280" s="231">
        <v>0</v>
      </c>
      <c r="Q280" s="231"/>
      <c r="R280" s="231" t="b">
        <v>1</v>
      </c>
    </row>
    <row r="281" spans="1:18" x14ac:dyDescent="0.3">
      <c r="A281" s="231" t="s">
        <v>3973</v>
      </c>
      <c r="B281" s="231"/>
      <c r="C281" s="231"/>
      <c r="D281" s="231">
        <v>0</v>
      </c>
      <c r="E281" s="231">
        <v>1</v>
      </c>
      <c r="F281" s="231" t="s">
        <v>833</v>
      </c>
      <c r="G281" s="231" t="s">
        <v>485</v>
      </c>
      <c r="H281" s="231"/>
      <c r="I281" s="231">
        <v>0</v>
      </c>
      <c r="J281" s="231" t="s">
        <v>1380</v>
      </c>
      <c r="K281" s="231" t="s">
        <v>3984</v>
      </c>
      <c r="L281" s="231"/>
      <c r="M281" s="231"/>
      <c r="N281" s="231" t="str">
        <f t="shared" si="2"/>
        <v>Passive(m.klairs.passive.ex.event.buff.06)</v>
      </c>
      <c r="O281" s="231">
        <v>0</v>
      </c>
      <c r="P281" s="231">
        <v>0</v>
      </c>
      <c r="Q281" s="231"/>
      <c r="R281" s="231" t="b">
        <v>1</v>
      </c>
    </row>
    <row r="282" spans="1:18" x14ac:dyDescent="0.3">
      <c r="A282" s="239" t="s">
        <v>3975</v>
      </c>
      <c r="B282" s="239" t="s">
        <v>2180</v>
      </c>
      <c r="C282" s="239" t="s">
        <v>2156</v>
      </c>
      <c r="D282" s="239">
        <v>0</v>
      </c>
      <c r="E282" s="239">
        <v>1</v>
      </c>
      <c r="F282" s="239" t="s">
        <v>476</v>
      </c>
      <c r="G282" s="239" t="s">
        <v>477</v>
      </c>
      <c r="H282" s="239"/>
      <c r="I282" s="239">
        <v>0</v>
      </c>
      <c r="J282" s="239" t="s">
        <v>846</v>
      </c>
      <c r="K282" s="263" t="s">
        <v>924</v>
      </c>
      <c r="L282" s="263">
        <v>-150</v>
      </c>
      <c r="M282" s="239"/>
      <c r="N282" s="239" t="str">
        <f t="shared" si="2"/>
        <v>Status(GuardRate, -150)</v>
      </c>
      <c r="O282" s="239">
        <v>0</v>
      </c>
      <c r="P282" s="239">
        <v>0</v>
      </c>
      <c r="Q282" s="239"/>
      <c r="R282" s="239" t="b">
        <v>1</v>
      </c>
    </row>
    <row r="283" spans="1:18" x14ac:dyDescent="0.3">
      <c r="A283" s="239" t="s">
        <v>3977</v>
      </c>
      <c r="B283" s="239" t="s">
        <v>2180</v>
      </c>
      <c r="C283" s="239" t="s">
        <v>2156</v>
      </c>
      <c r="D283" s="239">
        <v>0</v>
      </c>
      <c r="E283" s="239">
        <v>1</v>
      </c>
      <c r="F283" s="239" t="s">
        <v>476</v>
      </c>
      <c r="G283" s="239" t="s">
        <v>477</v>
      </c>
      <c r="H283" s="239"/>
      <c r="I283" s="239">
        <v>0</v>
      </c>
      <c r="J283" s="239" t="s">
        <v>846</v>
      </c>
      <c r="K283" s="263" t="s">
        <v>924</v>
      </c>
      <c r="L283" s="263">
        <v>-170</v>
      </c>
      <c r="M283" s="239"/>
      <c r="N283" s="239" t="str">
        <f t="shared" si="2"/>
        <v>Status(GuardRate, -170)</v>
      </c>
      <c r="O283" s="239">
        <v>0</v>
      </c>
      <c r="P283" s="239">
        <v>0</v>
      </c>
      <c r="Q283" s="239"/>
      <c r="R283" s="239" t="b">
        <v>1</v>
      </c>
    </row>
    <row r="284" spans="1:18" x14ac:dyDescent="0.3">
      <c r="A284" s="239" t="s">
        <v>3979</v>
      </c>
      <c r="B284" s="239" t="s">
        <v>2180</v>
      </c>
      <c r="C284" s="239" t="s">
        <v>2156</v>
      </c>
      <c r="D284" s="239">
        <v>0</v>
      </c>
      <c r="E284" s="239">
        <v>1</v>
      </c>
      <c r="F284" s="239" t="s">
        <v>476</v>
      </c>
      <c r="G284" s="239" t="s">
        <v>477</v>
      </c>
      <c r="H284" s="239"/>
      <c r="I284" s="239">
        <v>0</v>
      </c>
      <c r="J284" s="239" t="s">
        <v>846</v>
      </c>
      <c r="K284" s="263" t="s">
        <v>924</v>
      </c>
      <c r="L284" s="263">
        <v>-190</v>
      </c>
      <c r="M284" s="239"/>
      <c r="N284" s="239" t="str">
        <f t="shared" si="2"/>
        <v>Status(GuardRate, -190)</v>
      </c>
      <c r="O284" s="239">
        <v>0</v>
      </c>
      <c r="P284" s="239">
        <v>0</v>
      </c>
      <c r="Q284" s="239"/>
      <c r="R284" s="239" t="b">
        <v>1</v>
      </c>
    </row>
    <row r="285" spans="1:18" x14ac:dyDescent="0.3">
      <c r="A285" s="239" t="s">
        <v>3981</v>
      </c>
      <c r="B285" s="239" t="s">
        <v>2180</v>
      </c>
      <c r="C285" s="239" t="s">
        <v>2156</v>
      </c>
      <c r="D285" s="239">
        <v>0</v>
      </c>
      <c r="E285" s="239">
        <v>1</v>
      </c>
      <c r="F285" s="239" t="s">
        <v>476</v>
      </c>
      <c r="G285" s="239" t="s">
        <v>477</v>
      </c>
      <c r="H285" s="239"/>
      <c r="I285" s="239">
        <v>0</v>
      </c>
      <c r="J285" s="239" t="s">
        <v>846</v>
      </c>
      <c r="K285" s="263" t="s">
        <v>924</v>
      </c>
      <c r="L285" s="263">
        <v>-220</v>
      </c>
      <c r="M285" s="239"/>
      <c r="N285" s="239" t="str">
        <f t="shared" si="2"/>
        <v>Status(GuardRate, -220)</v>
      </c>
      <c r="O285" s="239">
        <v>0</v>
      </c>
      <c r="P285" s="239">
        <v>0</v>
      </c>
      <c r="Q285" s="239"/>
      <c r="R285" s="239" t="b">
        <v>1</v>
      </c>
    </row>
    <row r="286" spans="1:18" x14ac:dyDescent="0.3">
      <c r="A286" s="239" t="s">
        <v>3983</v>
      </c>
      <c r="B286" s="239" t="s">
        <v>2180</v>
      </c>
      <c r="C286" s="239" t="s">
        <v>2156</v>
      </c>
      <c r="D286" s="239">
        <v>0</v>
      </c>
      <c r="E286" s="239">
        <v>1</v>
      </c>
      <c r="F286" s="239" t="s">
        <v>476</v>
      </c>
      <c r="G286" s="239" t="s">
        <v>477</v>
      </c>
      <c r="H286" s="239"/>
      <c r="I286" s="239">
        <v>0</v>
      </c>
      <c r="J286" s="239" t="s">
        <v>846</v>
      </c>
      <c r="K286" s="263" t="s">
        <v>924</v>
      </c>
      <c r="L286" s="263">
        <v>-100</v>
      </c>
      <c r="M286" s="239"/>
      <c r="N286" s="239" t="str">
        <f t="shared" si="2"/>
        <v>Status(GuardRate, -100)</v>
      </c>
      <c r="O286" s="239">
        <v>0</v>
      </c>
      <c r="P286" s="239">
        <v>0</v>
      </c>
      <c r="Q286" s="239"/>
      <c r="R286" s="239" t="b">
        <v>1</v>
      </c>
    </row>
    <row r="287" spans="1:18" x14ac:dyDescent="0.3">
      <c r="A287" s="239" t="s">
        <v>3985</v>
      </c>
      <c r="B287" s="239" t="s">
        <v>2180</v>
      </c>
      <c r="C287" s="239" t="s">
        <v>2156</v>
      </c>
      <c r="D287" s="239">
        <v>0</v>
      </c>
      <c r="E287" s="239">
        <v>1</v>
      </c>
      <c r="F287" s="239" t="s">
        <v>476</v>
      </c>
      <c r="G287" s="239" t="s">
        <v>477</v>
      </c>
      <c r="H287" s="239"/>
      <c r="I287" s="239">
        <v>0</v>
      </c>
      <c r="J287" s="239" t="s">
        <v>846</v>
      </c>
      <c r="K287" s="263" t="s">
        <v>924</v>
      </c>
      <c r="L287" s="263">
        <v>-100</v>
      </c>
      <c r="M287" s="239"/>
      <c r="N287" s="239" t="str">
        <f t="shared" si="2"/>
        <v>Status(GuardRate, -100)</v>
      </c>
      <c r="O287" s="239">
        <v>0</v>
      </c>
      <c r="P287" s="239">
        <v>0</v>
      </c>
      <c r="Q287" s="239"/>
      <c r="R287" s="239" t="b">
        <v>1</v>
      </c>
    </row>
    <row r="288" spans="1:18" x14ac:dyDescent="0.3">
      <c r="A288" s="19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9"/>
    </row>
    <row r="289" spans="1:18" x14ac:dyDescent="0.3">
      <c r="A289" s="234" t="s">
        <v>3520</v>
      </c>
      <c r="B289" s="234" t="s">
        <v>487</v>
      </c>
      <c r="C289" s="234" t="s">
        <v>3521</v>
      </c>
      <c r="D289" s="234">
        <v>0</v>
      </c>
      <c r="E289" s="234">
        <v>1</v>
      </c>
      <c r="F289" s="234" t="s">
        <v>476</v>
      </c>
      <c r="G289" s="234" t="s">
        <v>477</v>
      </c>
      <c r="H289" s="234"/>
      <c r="I289" s="234">
        <v>0</v>
      </c>
      <c r="J289" s="234" t="s">
        <v>2284</v>
      </c>
      <c r="K289" s="234" t="s">
        <v>2285</v>
      </c>
      <c r="L289" s="234" t="s">
        <v>3522</v>
      </c>
      <c r="M289" s="234"/>
      <c r="N289" s="234" t="str">
        <f t="shared" ref="N289:N307" si="3">J289&amp;"("&amp;IF(K289="","",K289)&amp;IF(L289="","",", "&amp;L289)&amp;IF(M289="","",", "&amp;M289)&amp;")"</f>
        <v>SkillEffectModifier(Op, m.archphase.ult.skilleffect.modifier.01)</v>
      </c>
      <c r="O289" s="234">
        <v>0</v>
      </c>
      <c r="P289" s="234">
        <v>100</v>
      </c>
      <c r="Q289" s="234"/>
      <c r="R289" s="234" t="b">
        <v>0</v>
      </c>
    </row>
    <row r="290" spans="1:18" x14ac:dyDescent="0.3">
      <c r="A290" s="234" t="s">
        <v>3523</v>
      </c>
      <c r="B290" s="234" t="s">
        <v>487</v>
      </c>
      <c r="C290" s="234" t="s">
        <v>3521</v>
      </c>
      <c r="D290" s="234">
        <v>0</v>
      </c>
      <c r="E290" s="234">
        <v>1</v>
      </c>
      <c r="F290" s="234" t="s">
        <v>476</v>
      </c>
      <c r="G290" s="234" t="s">
        <v>477</v>
      </c>
      <c r="H290" s="234"/>
      <c r="I290" s="234">
        <v>0</v>
      </c>
      <c r="J290" s="234" t="s">
        <v>2284</v>
      </c>
      <c r="K290" s="234" t="s">
        <v>2285</v>
      </c>
      <c r="L290" s="234" t="s">
        <v>3524</v>
      </c>
      <c r="M290" s="234"/>
      <c r="N290" s="234" t="str">
        <f t="shared" si="3"/>
        <v>SkillEffectModifier(Op, m.archphase.ult.skilleffect.modifier.02)</v>
      </c>
      <c r="O290" s="234">
        <v>0</v>
      </c>
      <c r="P290" s="234">
        <v>100</v>
      </c>
      <c r="Q290" s="234"/>
      <c r="R290" s="234" t="b">
        <v>0</v>
      </c>
    </row>
    <row r="291" spans="1:18" x14ac:dyDescent="0.3">
      <c r="A291" s="234" t="s">
        <v>3525</v>
      </c>
      <c r="B291" s="234" t="s">
        <v>487</v>
      </c>
      <c r="C291" s="234" t="s">
        <v>3521</v>
      </c>
      <c r="D291" s="234">
        <v>0</v>
      </c>
      <c r="E291" s="234">
        <v>1</v>
      </c>
      <c r="F291" s="234" t="s">
        <v>476</v>
      </c>
      <c r="G291" s="234" t="s">
        <v>477</v>
      </c>
      <c r="H291" s="234"/>
      <c r="I291" s="234">
        <v>0</v>
      </c>
      <c r="J291" s="234" t="s">
        <v>2284</v>
      </c>
      <c r="K291" s="234" t="s">
        <v>2285</v>
      </c>
      <c r="L291" s="234" t="s">
        <v>3526</v>
      </c>
      <c r="M291" s="234"/>
      <c r="N291" s="234" t="str">
        <f t="shared" si="3"/>
        <v>SkillEffectModifier(Op, m.archphase.ult.skilleffect.modifier.03)</v>
      </c>
      <c r="O291" s="234">
        <v>0</v>
      </c>
      <c r="P291" s="234">
        <v>100</v>
      </c>
      <c r="Q291" s="234"/>
      <c r="R291" s="234" t="b">
        <v>0</v>
      </c>
    </row>
    <row r="292" spans="1:18" x14ac:dyDescent="0.3">
      <c r="A292" s="234" t="s">
        <v>3527</v>
      </c>
      <c r="B292" s="234" t="s">
        <v>487</v>
      </c>
      <c r="C292" s="234" t="s">
        <v>3521</v>
      </c>
      <c r="D292" s="234">
        <v>0</v>
      </c>
      <c r="E292" s="234">
        <v>1</v>
      </c>
      <c r="F292" s="234" t="s">
        <v>476</v>
      </c>
      <c r="G292" s="234" t="s">
        <v>477</v>
      </c>
      <c r="H292" s="234"/>
      <c r="I292" s="234">
        <v>0</v>
      </c>
      <c r="J292" s="234" t="s">
        <v>2284</v>
      </c>
      <c r="K292" s="234" t="s">
        <v>2285</v>
      </c>
      <c r="L292" s="234" t="s">
        <v>3528</v>
      </c>
      <c r="M292" s="234"/>
      <c r="N292" s="234" t="str">
        <f t="shared" si="3"/>
        <v>SkillEffectModifier(Op, m.archphase.ult.skilleffect.modifier.04)</v>
      </c>
      <c r="O292" s="234">
        <v>0</v>
      </c>
      <c r="P292" s="234">
        <v>100</v>
      </c>
      <c r="Q292" s="234"/>
      <c r="R292" s="234" t="b">
        <v>0</v>
      </c>
    </row>
    <row r="293" spans="1:18" x14ac:dyDescent="0.3">
      <c r="A293" s="234" t="s">
        <v>3529</v>
      </c>
      <c r="B293" s="234" t="s">
        <v>487</v>
      </c>
      <c r="C293" s="234" t="s">
        <v>3521</v>
      </c>
      <c r="D293" s="234">
        <v>0</v>
      </c>
      <c r="E293" s="234">
        <v>1</v>
      </c>
      <c r="F293" s="234" t="s">
        <v>476</v>
      </c>
      <c r="G293" s="234" t="s">
        <v>477</v>
      </c>
      <c r="H293" s="234"/>
      <c r="I293" s="234">
        <v>0</v>
      </c>
      <c r="J293" s="234" t="s">
        <v>2284</v>
      </c>
      <c r="K293" s="234" t="s">
        <v>2285</v>
      </c>
      <c r="L293" s="234" t="s">
        <v>3530</v>
      </c>
      <c r="M293" s="234"/>
      <c r="N293" s="234" t="str">
        <f t="shared" si="3"/>
        <v>SkillEffectModifier(Op, m.archphase.ult.skilleffect.modifier.05)</v>
      </c>
      <c r="O293" s="234">
        <v>0</v>
      </c>
      <c r="P293" s="234">
        <v>100</v>
      </c>
      <c r="Q293" s="234"/>
      <c r="R293" s="234" t="b">
        <v>0</v>
      </c>
    </row>
    <row r="294" spans="1:18" x14ac:dyDescent="0.3">
      <c r="A294" s="234" t="s">
        <v>3531</v>
      </c>
      <c r="B294" s="234" t="s">
        <v>487</v>
      </c>
      <c r="C294" s="234" t="s">
        <v>3521</v>
      </c>
      <c r="D294" s="234">
        <v>0</v>
      </c>
      <c r="E294" s="234">
        <v>1</v>
      </c>
      <c r="F294" s="234" t="s">
        <v>476</v>
      </c>
      <c r="G294" s="234" t="s">
        <v>477</v>
      </c>
      <c r="H294" s="234"/>
      <c r="I294" s="234">
        <v>0</v>
      </c>
      <c r="J294" s="234" t="s">
        <v>2284</v>
      </c>
      <c r="K294" s="234" t="s">
        <v>2285</v>
      </c>
      <c r="L294" s="234" t="s">
        <v>3532</v>
      </c>
      <c r="M294" s="234"/>
      <c r="N294" s="234" t="str">
        <f t="shared" si="3"/>
        <v>SkillEffectModifier(Op, m.archphase.ult.skilleffect.modifier.06)</v>
      </c>
      <c r="O294" s="234">
        <v>0</v>
      </c>
      <c r="P294" s="234">
        <v>100</v>
      </c>
      <c r="Q294" s="234"/>
      <c r="R294" s="234" t="b">
        <v>0</v>
      </c>
    </row>
    <row r="295" spans="1:18" x14ac:dyDescent="0.3">
      <c r="A295" s="234" t="s">
        <v>3533</v>
      </c>
      <c r="B295" s="234" t="s">
        <v>487</v>
      </c>
      <c r="C295" s="234" t="s">
        <v>3521</v>
      </c>
      <c r="D295" s="234">
        <v>0</v>
      </c>
      <c r="E295" s="234">
        <v>1</v>
      </c>
      <c r="F295" s="234" t="s">
        <v>476</v>
      </c>
      <c r="G295" s="234" t="s">
        <v>477</v>
      </c>
      <c r="H295" s="234"/>
      <c r="I295" s="234">
        <v>0</v>
      </c>
      <c r="J295" s="234" t="s">
        <v>2284</v>
      </c>
      <c r="K295" s="234" t="s">
        <v>2285</v>
      </c>
      <c r="L295" s="234" t="s">
        <v>3534</v>
      </c>
      <c r="M295" s="234"/>
      <c r="N295" s="234" t="str">
        <f t="shared" si="3"/>
        <v>SkillEffectModifier(Op, m.archphase.ult.skilleffect.modifier.07)</v>
      </c>
      <c r="O295" s="234">
        <v>0</v>
      </c>
      <c r="P295" s="234">
        <v>100</v>
      </c>
      <c r="Q295" s="234"/>
      <c r="R295" s="234" t="b">
        <v>0</v>
      </c>
    </row>
    <row r="296" spans="1:18" x14ac:dyDescent="0.3">
      <c r="A296" s="159" t="s">
        <v>3535</v>
      </c>
      <c r="B296" s="159"/>
      <c r="C296" s="159"/>
      <c r="D296" s="159">
        <v>0</v>
      </c>
      <c r="E296" s="159">
        <v>1</v>
      </c>
      <c r="F296" s="159" t="s">
        <v>476</v>
      </c>
      <c r="G296" s="159" t="s">
        <v>477</v>
      </c>
      <c r="H296" s="159"/>
      <c r="I296" s="159">
        <v>0</v>
      </c>
      <c r="J296" s="159" t="s">
        <v>860</v>
      </c>
      <c r="K296" s="159" t="s">
        <v>3536</v>
      </c>
      <c r="L296" s="159"/>
      <c r="M296" s="159"/>
      <c r="N296" s="159" t="str">
        <f t="shared" si="3"/>
        <v>Active(m.archphase.ex.effect)</v>
      </c>
      <c r="O296" s="159">
        <v>0</v>
      </c>
      <c r="P296" s="159">
        <v>2000</v>
      </c>
      <c r="Q296" s="159"/>
      <c r="R296" s="159" t="b">
        <v>0</v>
      </c>
    </row>
    <row r="297" spans="1:18" x14ac:dyDescent="0.3">
      <c r="A297" s="159" t="s">
        <v>3537</v>
      </c>
      <c r="B297" s="159"/>
      <c r="C297" s="159"/>
      <c r="D297" s="159">
        <v>0</v>
      </c>
      <c r="E297" s="159">
        <v>1</v>
      </c>
      <c r="F297" s="159" t="s">
        <v>476</v>
      </c>
      <c r="G297" s="159" t="s">
        <v>477</v>
      </c>
      <c r="H297" s="159"/>
      <c r="I297" s="159">
        <v>0</v>
      </c>
      <c r="J297" s="159" t="s">
        <v>860</v>
      </c>
      <c r="K297" s="159" t="s">
        <v>3538</v>
      </c>
      <c r="L297" s="159"/>
      <c r="M297" s="159"/>
      <c r="N297" s="159" t="str">
        <f t="shared" si="3"/>
        <v>Active(m.archphase.active1.stack.bonus.01)</v>
      </c>
      <c r="O297" s="159">
        <v>0</v>
      </c>
      <c r="P297" s="159">
        <v>2000</v>
      </c>
      <c r="Q297" s="159"/>
      <c r="R297" s="159" t="b">
        <v>0</v>
      </c>
    </row>
    <row r="298" spans="1:18" x14ac:dyDescent="0.3">
      <c r="A298" s="159" t="s">
        <v>3539</v>
      </c>
      <c r="B298" s="159"/>
      <c r="C298" s="159"/>
      <c r="D298" s="159">
        <v>0</v>
      </c>
      <c r="E298" s="159">
        <v>1</v>
      </c>
      <c r="F298" s="159" t="s">
        <v>476</v>
      </c>
      <c r="G298" s="159" t="s">
        <v>477</v>
      </c>
      <c r="H298" s="159"/>
      <c r="I298" s="159">
        <v>0</v>
      </c>
      <c r="J298" s="159" t="s">
        <v>860</v>
      </c>
      <c r="K298" s="159" t="s">
        <v>3540</v>
      </c>
      <c r="L298" s="159"/>
      <c r="M298" s="159"/>
      <c r="N298" s="159" t="str">
        <f t="shared" si="3"/>
        <v>Active(m.archphase.ult.B.buff.buffeffect.skilleffect)</v>
      </c>
      <c r="O298" s="159">
        <v>0</v>
      </c>
      <c r="P298" s="159">
        <v>2000</v>
      </c>
      <c r="Q298" s="159"/>
      <c r="R298" s="159" t="b">
        <v>0</v>
      </c>
    </row>
    <row r="299" spans="1:18" x14ac:dyDescent="0.3">
      <c r="A299" s="234" t="s">
        <v>3541</v>
      </c>
      <c r="B299" s="234" t="s">
        <v>487</v>
      </c>
      <c r="C299" s="234" t="s">
        <v>3542</v>
      </c>
      <c r="D299" s="234">
        <v>0</v>
      </c>
      <c r="E299" s="234">
        <v>1</v>
      </c>
      <c r="F299" s="234" t="s">
        <v>476</v>
      </c>
      <c r="G299" s="234" t="s">
        <v>477</v>
      </c>
      <c r="H299" s="234"/>
      <c r="I299" s="234">
        <v>0</v>
      </c>
      <c r="J299" s="234" t="s">
        <v>846</v>
      </c>
      <c r="K299" s="234" t="s">
        <v>857</v>
      </c>
      <c r="L299" s="234">
        <v>100</v>
      </c>
      <c r="M299" s="234"/>
      <c r="N299" s="234" t="str">
        <f t="shared" si="3"/>
        <v>Status(DamageRate, 100)</v>
      </c>
      <c r="O299" s="234">
        <v>0</v>
      </c>
      <c r="P299" s="234">
        <v>0</v>
      </c>
      <c r="Q299" s="234"/>
      <c r="R299" s="234" t="b">
        <v>0</v>
      </c>
    </row>
    <row r="300" spans="1:18" x14ac:dyDescent="0.3">
      <c r="A300" s="159" t="s">
        <v>3543</v>
      </c>
      <c r="B300" s="159" t="s">
        <v>487</v>
      </c>
      <c r="C300" s="159" t="s">
        <v>3544</v>
      </c>
      <c r="D300" s="159">
        <v>0</v>
      </c>
      <c r="E300" s="159">
        <v>1</v>
      </c>
      <c r="F300" s="159" t="s">
        <v>476</v>
      </c>
      <c r="G300" s="159" t="s">
        <v>477</v>
      </c>
      <c r="H300" s="159"/>
      <c r="I300" s="159">
        <v>0</v>
      </c>
      <c r="J300" s="159" t="s">
        <v>846</v>
      </c>
      <c r="K300" s="159" t="s">
        <v>857</v>
      </c>
      <c r="L300" s="159">
        <v>100</v>
      </c>
      <c r="M300" s="159"/>
      <c r="N300" s="159" t="str">
        <f t="shared" si="3"/>
        <v>Status(DamageRate, 100)</v>
      </c>
      <c r="O300" s="159">
        <v>0</v>
      </c>
      <c r="P300" s="159">
        <v>0</v>
      </c>
      <c r="Q300" s="159"/>
      <c r="R300" s="159" t="b">
        <v>0</v>
      </c>
    </row>
    <row r="301" spans="1:18" x14ac:dyDescent="0.3">
      <c r="A301" s="231" t="s">
        <v>3545</v>
      </c>
      <c r="B301" s="231" t="s">
        <v>487</v>
      </c>
      <c r="C301" s="231" t="s">
        <v>3546</v>
      </c>
      <c r="D301" s="231">
        <v>0</v>
      </c>
      <c r="E301" s="231">
        <v>1</v>
      </c>
      <c r="F301" s="231" t="s">
        <v>476</v>
      </c>
      <c r="G301" s="231" t="s">
        <v>477</v>
      </c>
      <c r="H301" s="231"/>
      <c r="I301" s="231">
        <v>0</v>
      </c>
      <c r="J301" s="231" t="s">
        <v>846</v>
      </c>
      <c r="K301" s="231" t="s">
        <v>876</v>
      </c>
      <c r="L301" s="231">
        <v>16</v>
      </c>
      <c r="M301" s="231"/>
      <c r="N301" s="231" t="str">
        <f t="shared" si="3"/>
        <v>Status(AccuracyRate, 16)</v>
      </c>
      <c r="O301" s="231">
        <v>0</v>
      </c>
      <c r="P301" s="231">
        <v>0</v>
      </c>
      <c r="Q301" s="231"/>
      <c r="R301" s="231" t="b">
        <v>1</v>
      </c>
    </row>
    <row r="302" spans="1:18" x14ac:dyDescent="0.3">
      <c r="A302" s="231" t="s">
        <v>3547</v>
      </c>
      <c r="B302" s="231" t="s">
        <v>487</v>
      </c>
      <c r="C302" s="231" t="s">
        <v>3548</v>
      </c>
      <c r="D302" s="231">
        <v>0</v>
      </c>
      <c r="E302" s="231">
        <v>1</v>
      </c>
      <c r="F302" s="231" t="s">
        <v>476</v>
      </c>
      <c r="G302" s="231" t="s">
        <v>477</v>
      </c>
      <c r="H302" s="231"/>
      <c r="I302" s="231">
        <v>0</v>
      </c>
      <c r="J302" s="231" t="s">
        <v>846</v>
      </c>
      <c r="K302" s="231" t="s">
        <v>876</v>
      </c>
      <c r="L302" s="231">
        <v>20</v>
      </c>
      <c r="M302" s="231"/>
      <c r="N302" s="231" t="str">
        <f t="shared" si="3"/>
        <v>Status(AccuracyRate, 20)</v>
      </c>
      <c r="O302" s="231">
        <v>0</v>
      </c>
      <c r="P302" s="231">
        <v>0</v>
      </c>
      <c r="Q302" s="231"/>
      <c r="R302" s="231" t="b">
        <v>1</v>
      </c>
    </row>
    <row r="303" spans="1:18" x14ac:dyDescent="0.3">
      <c r="A303" s="231" t="s">
        <v>3549</v>
      </c>
      <c r="B303" s="231" t="s">
        <v>487</v>
      </c>
      <c r="C303" s="231" t="s">
        <v>3550</v>
      </c>
      <c r="D303" s="231">
        <v>0</v>
      </c>
      <c r="E303" s="231">
        <v>1</v>
      </c>
      <c r="F303" s="231" t="s">
        <v>476</v>
      </c>
      <c r="G303" s="231" t="s">
        <v>477</v>
      </c>
      <c r="H303" s="231"/>
      <c r="I303" s="231">
        <v>0</v>
      </c>
      <c r="J303" s="231" t="s">
        <v>846</v>
      </c>
      <c r="K303" s="231" t="s">
        <v>876</v>
      </c>
      <c r="L303" s="231">
        <v>24</v>
      </c>
      <c r="M303" s="231"/>
      <c r="N303" s="231" t="str">
        <f t="shared" si="3"/>
        <v>Status(AccuracyRate, 24)</v>
      </c>
      <c r="O303" s="231">
        <v>0</v>
      </c>
      <c r="P303" s="231">
        <v>0</v>
      </c>
      <c r="Q303" s="231"/>
      <c r="R303" s="231" t="b">
        <v>1</v>
      </c>
    </row>
    <row r="304" spans="1:18" x14ac:dyDescent="0.3">
      <c r="A304" s="231" t="s">
        <v>3551</v>
      </c>
      <c r="B304" s="231" t="s">
        <v>487</v>
      </c>
      <c r="C304" s="231" t="s">
        <v>3552</v>
      </c>
      <c r="D304" s="231">
        <v>0</v>
      </c>
      <c r="E304" s="231">
        <v>1</v>
      </c>
      <c r="F304" s="231" t="s">
        <v>476</v>
      </c>
      <c r="G304" s="231" t="s">
        <v>477</v>
      </c>
      <c r="H304" s="231"/>
      <c r="I304" s="231">
        <v>0</v>
      </c>
      <c r="J304" s="231" t="s">
        <v>846</v>
      </c>
      <c r="K304" s="231" t="s">
        <v>876</v>
      </c>
      <c r="L304" s="231">
        <v>28</v>
      </c>
      <c r="M304" s="231"/>
      <c r="N304" s="231" t="str">
        <f t="shared" si="3"/>
        <v>Status(AccuracyRate, 28)</v>
      </c>
      <c r="O304" s="231">
        <v>0</v>
      </c>
      <c r="P304" s="231">
        <v>0</v>
      </c>
      <c r="Q304" s="231"/>
      <c r="R304" s="231" t="b">
        <v>1</v>
      </c>
    </row>
    <row r="305" spans="1:18" x14ac:dyDescent="0.3">
      <c r="A305" s="231" t="s">
        <v>3553</v>
      </c>
      <c r="B305" s="231" t="s">
        <v>487</v>
      </c>
      <c r="C305" s="231" t="s">
        <v>3554</v>
      </c>
      <c r="D305" s="231">
        <v>0</v>
      </c>
      <c r="E305" s="231">
        <v>1</v>
      </c>
      <c r="F305" s="231" t="s">
        <v>476</v>
      </c>
      <c r="G305" s="231" t="s">
        <v>477</v>
      </c>
      <c r="H305" s="231"/>
      <c r="I305" s="231">
        <v>0</v>
      </c>
      <c r="J305" s="231" t="s">
        <v>846</v>
      </c>
      <c r="K305" s="231" t="s">
        <v>876</v>
      </c>
      <c r="L305" s="231">
        <v>32</v>
      </c>
      <c r="M305" s="231"/>
      <c r="N305" s="231" t="str">
        <f t="shared" si="3"/>
        <v>Status(AccuracyRate, 32)</v>
      </c>
      <c r="O305" s="231">
        <v>0</v>
      </c>
      <c r="P305" s="231">
        <v>0</v>
      </c>
      <c r="Q305" s="231"/>
      <c r="R305" s="231" t="b">
        <v>1</v>
      </c>
    </row>
    <row r="306" spans="1:18" x14ac:dyDescent="0.3">
      <c r="A306" s="231" t="s">
        <v>3555</v>
      </c>
      <c r="B306" s="231" t="s">
        <v>487</v>
      </c>
      <c r="C306" s="231" t="s">
        <v>3556</v>
      </c>
      <c r="D306" s="231">
        <v>0</v>
      </c>
      <c r="E306" s="231">
        <v>1</v>
      </c>
      <c r="F306" s="231" t="s">
        <v>476</v>
      </c>
      <c r="G306" s="231" t="s">
        <v>477</v>
      </c>
      <c r="H306" s="231"/>
      <c r="I306" s="231">
        <v>0</v>
      </c>
      <c r="J306" s="231" t="s">
        <v>846</v>
      </c>
      <c r="K306" s="231" t="s">
        <v>876</v>
      </c>
      <c r="L306" s="231">
        <v>100</v>
      </c>
      <c r="M306" s="231"/>
      <c r="N306" s="231" t="str">
        <f t="shared" si="3"/>
        <v>Status(AccuracyRate, 100)</v>
      </c>
      <c r="O306" s="231">
        <v>0</v>
      </c>
      <c r="P306" s="231">
        <v>0</v>
      </c>
      <c r="Q306" s="231"/>
      <c r="R306" s="231" t="b">
        <v>1</v>
      </c>
    </row>
    <row r="307" spans="1:18" x14ac:dyDescent="0.3">
      <c r="A307" s="258" t="s">
        <v>3557</v>
      </c>
      <c r="B307" s="258"/>
      <c r="C307" s="258"/>
      <c r="D307" s="258">
        <v>0</v>
      </c>
      <c r="E307" s="258">
        <v>1</v>
      </c>
      <c r="F307" s="258" t="s">
        <v>476</v>
      </c>
      <c r="G307" s="258" t="s">
        <v>477</v>
      </c>
      <c r="H307" s="258"/>
      <c r="I307" s="258">
        <v>0</v>
      </c>
      <c r="J307" s="258" t="s">
        <v>871</v>
      </c>
      <c r="K307" s="258"/>
      <c r="L307" s="258"/>
      <c r="M307" s="258"/>
      <c r="N307" s="258" t="str">
        <f t="shared" si="3"/>
        <v>None()</v>
      </c>
      <c r="O307" s="258">
        <v>0</v>
      </c>
      <c r="P307" s="258">
        <v>0</v>
      </c>
      <c r="Q307" s="258"/>
      <c r="R307" s="258" t="b">
        <v>0</v>
      </c>
    </row>
    <row r="308" spans="1:18" x14ac:dyDescent="0.3">
      <c r="A308" s="253" t="s">
        <v>3478</v>
      </c>
      <c r="B308" s="253"/>
      <c r="C308" s="253"/>
      <c r="D308" s="253">
        <v>0</v>
      </c>
      <c r="E308" s="253">
        <v>1</v>
      </c>
      <c r="F308" s="253" t="s">
        <v>476</v>
      </c>
      <c r="G308" s="253" t="s">
        <v>477</v>
      </c>
      <c r="H308" s="253"/>
      <c r="I308" s="253">
        <v>0</v>
      </c>
      <c r="J308" s="253" t="s">
        <v>846</v>
      </c>
      <c r="K308" s="253" t="s">
        <v>875</v>
      </c>
      <c r="L308" s="253">
        <v>-400</v>
      </c>
      <c r="M308" s="253"/>
      <c r="N308" s="253" t="str">
        <f t="shared" ref="N308" si="4">J308&amp;"("&amp;IF(K308="","",K308)&amp;IF(L308="","",", "&amp;L308)&amp;IF(M308="","",", "&amp;M308)&amp;")"</f>
        <v>Status(MoveSpeedRate, -400)</v>
      </c>
      <c r="O308" s="253">
        <v>0</v>
      </c>
      <c r="P308" s="253">
        <v>0</v>
      </c>
      <c r="Q308" s="253"/>
      <c r="R308" s="253" t="b">
        <v>1</v>
      </c>
    </row>
    <row r="309" spans="1:18" x14ac:dyDescent="0.3">
      <c r="A309" s="253" t="s">
        <v>3427</v>
      </c>
      <c r="B309" s="253"/>
      <c r="C309" s="253"/>
      <c r="D309" s="253">
        <v>0</v>
      </c>
      <c r="E309" s="253">
        <v>1</v>
      </c>
      <c r="F309" s="253" t="s">
        <v>476</v>
      </c>
      <c r="G309" s="253" t="s">
        <v>477</v>
      </c>
      <c r="H309" s="253"/>
      <c r="I309" s="253">
        <v>0</v>
      </c>
      <c r="J309" s="253" t="s">
        <v>846</v>
      </c>
      <c r="K309" s="253" t="s">
        <v>875</v>
      </c>
      <c r="L309" s="253">
        <v>-300</v>
      </c>
      <c r="M309" s="253"/>
      <c r="N309" s="253" t="str">
        <f t="shared" ref="N309" si="5">J309&amp;"("&amp;IF(K309="","",K309)&amp;IF(L309="","",", "&amp;L309)&amp;IF(M309="","",", "&amp;M309)&amp;")"</f>
        <v>Status(MoveSpeedRate, -300)</v>
      </c>
      <c r="O309" s="253">
        <v>0</v>
      </c>
      <c r="P309" s="253">
        <v>0</v>
      </c>
      <c r="Q309" s="253"/>
      <c r="R309" s="253" t="b">
        <v>1</v>
      </c>
    </row>
    <row r="310" spans="1:18" x14ac:dyDescent="0.3">
      <c r="A310" s="253" t="s">
        <v>3428</v>
      </c>
      <c r="B310" s="253" t="s">
        <v>487</v>
      </c>
      <c r="C310" s="253" t="s">
        <v>3426</v>
      </c>
      <c r="D310" s="253">
        <v>0</v>
      </c>
      <c r="E310" s="253">
        <v>1</v>
      </c>
      <c r="F310" s="253" t="s">
        <v>476</v>
      </c>
      <c r="G310" s="253" t="s">
        <v>477</v>
      </c>
      <c r="H310" s="253"/>
      <c r="I310" s="253">
        <v>0</v>
      </c>
      <c r="J310" s="253" t="s">
        <v>860</v>
      </c>
      <c r="K310" s="253" t="s">
        <v>3429</v>
      </c>
      <c r="L310" s="253"/>
      <c r="M310" s="253"/>
      <c r="N310" s="253" t="str">
        <f t="shared" ref="N310:N358" si="6">J310&amp;"("&amp;IF(K310="","",K310)&amp;IF(L310="","",", "&amp;L310)&amp;IF(M310="","",", "&amp;M310)&amp;")"</f>
        <v>Active(m.leila.passive.buff.buffeffect.skilleffect.01)</v>
      </c>
      <c r="O310" s="253">
        <v>0</v>
      </c>
      <c r="P310" s="253">
        <v>0</v>
      </c>
      <c r="Q310" s="253"/>
      <c r="R310" s="253" t="b">
        <v>1</v>
      </c>
    </row>
    <row r="311" spans="1:18" x14ac:dyDescent="0.3">
      <c r="A311" s="157" t="s">
        <v>3430</v>
      </c>
      <c r="B311" s="157" t="s">
        <v>487</v>
      </c>
      <c r="C311" s="157" t="s">
        <v>3426</v>
      </c>
      <c r="D311" s="157">
        <v>0</v>
      </c>
      <c r="E311" s="157">
        <v>1</v>
      </c>
      <c r="F311" s="157" t="s">
        <v>476</v>
      </c>
      <c r="G311" s="157" t="s">
        <v>477</v>
      </c>
      <c r="H311" s="157"/>
      <c r="I311" s="157">
        <v>0</v>
      </c>
      <c r="J311" s="157" t="s">
        <v>860</v>
      </c>
      <c r="K311" s="157" t="s">
        <v>3431</v>
      </c>
      <c r="L311" s="157"/>
      <c r="M311" s="157"/>
      <c r="N311" s="157" t="str">
        <f t="shared" si="6"/>
        <v>Active(m.leila.passive.buff.buffeffect.skilleffect.02)</v>
      </c>
      <c r="O311" s="157">
        <v>0</v>
      </c>
      <c r="P311" s="157">
        <v>0</v>
      </c>
      <c r="Q311" s="157"/>
      <c r="R311" s="157" t="b">
        <v>1</v>
      </c>
    </row>
    <row r="312" spans="1:18" x14ac:dyDescent="0.3">
      <c r="A312" s="157" t="s">
        <v>3432</v>
      </c>
      <c r="B312" s="157" t="s">
        <v>487</v>
      </c>
      <c r="C312" s="157" t="s">
        <v>3426</v>
      </c>
      <c r="D312" s="157">
        <v>0</v>
      </c>
      <c r="E312" s="157">
        <v>1</v>
      </c>
      <c r="F312" s="157" t="s">
        <v>476</v>
      </c>
      <c r="G312" s="157" t="s">
        <v>477</v>
      </c>
      <c r="H312" s="157"/>
      <c r="I312" s="157">
        <v>0</v>
      </c>
      <c r="J312" s="157" t="s">
        <v>860</v>
      </c>
      <c r="K312" s="157" t="s">
        <v>3433</v>
      </c>
      <c r="L312" s="157"/>
      <c r="M312" s="157"/>
      <c r="N312" s="157" t="str">
        <f t="shared" si="6"/>
        <v>Active(m.leila.passive.buff.buffeffect.skilleffect.03)</v>
      </c>
      <c r="O312" s="157">
        <v>0</v>
      </c>
      <c r="P312" s="157">
        <v>0</v>
      </c>
      <c r="Q312" s="157"/>
      <c r="R312" s="157" t="b">
        <v>1</v>
      </c>
    </row>
    <row r="313" spans="1:18" x14ac:dyDescent="0.3">
      <c r="A313" s="157" t="s">
        <v>3434</v>
      </c>
      <c r="B313" s="157" t="s">
        <v>487</v>
      </c>
      <c r="C313" s="157" t="s">
        <v>3426</v>
      </c>
      <c r="D313" s="157">
        <v>0</v>
      </c>
      <c r="E313" s="157">
        <v>1</v>
      </c>
      <c r="F313" s="157" t="s">
        <v>476</v>
      </c>
      <c r="G313" s="157" t="s">
        <v>477</v>
      </c>
      <c r="H313" s="157"/>
      <c r="I313" s="157">
        <v>0</v>
      </c>
      <c r="J313" s="157" t="s">
        <v>860</v>
      </c>
      <c r="K313" s="157" t="s">
        <v>3435</v>
      </c>
      <c r="L313" s="157"/>
      <c r="M313" s="157"/>
      <c r="N313" s="157" t="str">
        <f t="shared" si="6"/>
        <v>Active(m.leila.passive.buff.buffeffect.skilleffect.04)</v>
      </c>
      <c r="O313" s="157">
        <v>0</v>
      </c>
      <c r="P313" s="157">
        <v>0</v>
      </c>
      <c r="Q313" s="157"/>
      <c r="R313" s="157" t="b">
        <v>1</v>
      </c>
    </row>
    <row r="314" spans="1:18" x14ac:dyDescent="0.3">
      <c r="A314" s="232" t="s">
        <v>3436</v>
      </c>
      <c r="B314" s="232" t="s">
        <v>487</v>
      </c>
      <c r="C314" s="232" t="s">
        <v>3426</v>
      </c>
      <c r="D314" s="232">
        <v>0</v>
      </c>
      <c r="E314" s="232">
        <v>1</v>
      </c>
      <c r="F314" s="232" t="s">
        <v>476</v>
      </c>
      <c r="G314" s="232" t="s">
        <v>477</v>
      </c>
      <c r="H314" s="232"/>
      <c r="I314" s="232">
        <v>0</v>
      </c>
      <c r="J314" s="232" t="s">
        <v>860</v>
      </c>
      <c r="K314" s="232" t="s">
        <v>3437</v>
      </c>
      <c r="L314" s="232"/>
      <c r="M314" s="232"/>
      <c r="N314" s="232" t="str">
        <f t="shared" si="6"/>
        <v>Active(m.leila.passive.buff.buffeffect.skilleffect.05)</v>
      </c>
      <c r="O314" s="232">
        <v>0</v>
      </c>
      <c r="P314" s="232">
        <v>0</v>
      </c>
      <c r="Q314" s="232"/>
      <c r="R314" s="232" t="b">
        <v>1</v>
      </c>
    </row>
    <row r="315" spans="1:18" x14ac:dyDescent="0.3">
      <c r="A315" s="232" t="s">
        <v>3438</v>
      </c>
      <c r="B315" s="232" t="s">
        <v>487</v>
      </c>
      <c r="C315" s="232" t="s">
        <v>3426</v>
      </c>
      <c r="D315" s="232">
        <v>0</v>
      </c>
      <c r="E315" s="232">
        <v>1</v>
      </c>
      <c r="F315" s="232" t="s">
        <v>476</v>
      </c>
      <c r="G315" s="232" t="s">
        <v>477</v>
      </c>
      <c r="H315" s="232"/>
      <c r="I315" s="232">
        <v>0</v>
      </c>
      <c r="J315" s="232" t="s">
        <v>860</v>
      </c>
      <c r="K315" s="232" t="s">
        <v>3439</v>
      </c>
      <c r="L315" s="232"/>
      <c r="M315" s="232"/>
      <c r="N315" s="232" t="str">
        <f t="shared" si="6"/>
        <v>Active(m.leila.passive.buff.buffeffect.skilleffect.06)</v>
      </c>
      <c r="O315" s="232">
        <v>0</v>
      </c>
      <c r="P315" s="232">
        <v>0</v>
      </c>
      <c r="Q315" s="232"/>
      <c r="R315" s="232" t="b">
        <v>1</v>
      </c>
    </row>
    <row r="316" spans="1:18" x14ac:dyDescent="0.3">
      <c r="A316" s="232" t="s">
        <v>3440</v>
      </c>
      <c r="B316" s="232" t="s">
        <v>487</v>
      </c>
      <c r="C316" s="232" t="s">
        <v>2304</v>
      </c>
      <c r="D316" s="232">
        <v>0</v>
      </c>
      <c r="E316" s="232">
        <v>1</v>
      </c>
      <c r="F316" s="232" t="s">
        <v>476</v>
      </c>
      <c r="G316" s="232" t="s">
        <v>477</v>
      </c>
      <c r="H316" s="232"/>
      <c r="I316" s="232">
        <v>0</v>
      </c>
      <c r="J316" s="232" t="s">
        <v>860</v>
      </c>
      <c r="K316" s="232" t="s">
        <v>3441</v>
      </c>
      <c r="L316" s="232"/>
      <c r="M316" s="232"/>
      <c r="N316" s="232" t="str">
        <f t="shared" si="6"/>
        <v>Active(m.leila.passive.buff.recharge.bonus.01)</v>
      </c>
      <c r="O316" s="232">
        <v>0</v>
      </c>
      <c r="P316" s="232">
        <v>0</v>
      </c>
      <c r="Q316" s="232"/>
      <c r="R316" s="232" t="b">
        <v>1</v>
      </c>
    </row>
    <row r="317" spans="1:18" x14ac:dyDescent="0.3">
      <c r="A317" s="231" t="s">
        <v>3442</v>
      </c>
      <c r="B317" s="231" t="s">
        <v>487</v>
      </c>
      <c r="C317" s="231" t="s">
        <v>2304</v>
      </c>
      <c r="D317" s="231">
        <v>0</v>
      </c>
      <c r="E317" s="231">
        <v>1</v>
      </c>
      <c r="F317" s="231" t="s">
        <v>476</v>
      </c>
      <c r="G317" s="231" t="s">
        <v>477</v>
      </c>
      <c r="H317" s="231"/>
      <c r="I317" s="231">
        <v>0</v>
      </c>
      <c r="J317" s="231" t="s">
        <v>860</v>
      </c>
      <c r="K317" s="231" t="s">
        <v>3443</v>
      </c>
      <c r="L317" s="231"/>
      <c r="M317" s="231"/>
      <c r="N317" s="231" t="str">
        <f t="shared" si="6"/>
        <v>Active(m.leila.passive.buff.recharge.bonus.02)</v>
      </c>
      <c r="O317" s="231">
        <v>0</v>
      </c>
      <c r="P317" s="231">
        <v>0</v>
      </c>
      <c r="Q317" s="231"/>
      <c r="R317" s="231" t="b">
        <v>1</v>
      </c>
    </row>
    <row r="318" spans="1:18" x14ac:dyDescent="0.3">
      <c r="A318" s="231" t="s">
        <v>3444</v>
      </c>
      <c r="B318" s="231" t="s">
        <v>487</v>
      </c>
      <c r="C318" s="231" t="s">
        <v>2304</v>
      </c>
      <c r="D318" s="231">
        <v>0</v>
      </c>
      <c r="E318" s="231">
        <v>1</v>
      </c>
      <c r="F318" s="231" t="s">
        <v>476</v>
      </c>
      <c r="G318" s="231" t="s">
        <v>477</v>
      </c>
      <c r="H318" s="231"/>
      <c r="I318" s="231">
        <v>0</v>
      </c>
      <c r="J318" s="231" t="s">
        <v>860</v>
      </c>
      <c r="K318" s="231" t="s">
        <v>3445</v>
      </c>
      <c r="L318" s="231"/>
      <c r="M318" s="231"/>
      <c r="N318" s="231" t="str">
        <f t="shared" si="6"/>
        <v>Active(m.leila.passive.buff.recharge.bonus.03)</v>
      </c>
      <c r="O318" s="231">
        <v>0</v>
      </c>
      <c r="P318" s="231">
        <v>0</v>
      </c>
      <c r="Q318" s="231"/>
      <c r="R318" s="231" t="b">
        <v>1</v>
      </c>
    </row>
    <row r="319" spans="1:18" x14ac:dyDescent="0.3">
      <c r="A319" s="231" t="s">
        <v>3446</v>
      </c>
      <c r="B319" s="231" t="s">
        <v>487</v>
      </c>
      <c r="C319" s="231" t="s">
        <v>2304</v>
      </c>
      <c r="D319" s="231">
        <v>0</v>
      </c>
      <c r="E319" s="231">
        <v>1</v>
      </c>
      <c r="F319" s="231" t="s">
        <v>476</v>
      </c>
      <c r="G319" s="231" t="s">
        <v>477</v>
      </c>
      <c r="H319" s="231"/>
      <c r="I319" s="231">
        <v>0</v>
      </c>
      <c r="J319" s="231" t="s">
        <v>860</v>
      </c>
      <c r="K319" s="231" t="s">
        <v>3447</v>
      </c>
      <c r="L319" s="231"/>
      <c r="M319" s="231"/>
      <c r="N319" s="231" t="str">
        <f t="shared" si="6"/>
        <v>Active(m.leila.passive.buff.recharge.bonus.04)</v>
      </c>
      <c r="O319" s="231">
        <v>0</v>
      </c>
      <c r="P319" s="231">
        <v>0</v>
      </c>
      <c r="Q319" s="231"/>
      <c r="R319" s="231" t="b">
        <v>1</v>
      </c>
    </row>
    <row r="320" spans="1:18" x14ac:dyDescent="0.3">
      <c r="A320" s="232" t="s">
        <v>3448</v>
      </c>
      <c r="B320" s="232" t="s">
        <v>487</v>
      </c>
      <c r="C320" s="232" t="s">
        <v>2304</v>
      </c>
      <c r="D320" s="232">
        <v>0</v>
      </c>
      <c r="E320" s="232">
        <v>1</v>
      </c>
      <c r="F320" s="232" t="s">
        <v>476</v>
      </c>
      <c r="G320" s="232" t="s">
        <v>477</v>
      </c>
      <c r="H320" s="232"/>
      <c r="I320" s="232">
        <v>0</v>
      </c>
      <c r="J320" s="232" t="s">
        <v>860</v>
      </c>
      <c r="K320" s="232" t="s">
        <v>3449</v>
      </c>
      <c r="L320" s="232"/>
      <c r="M320" s="232"/>
      <c r="N320" s="232" t="str">
        <f t="shared" si="6"/>
        <v>Active(m.leila.passive.buff.recharge.bonus.05)</v>
      </c>
      <c r="O320" s="232">
        <v>0</v>
      </c>
      <c r="P320" s="232">
        <v>0</v>
      </c>
      <c r="Q320" s="232"/>
      <c r="R320" s="232" t="b">
        <v>1</v>
      </c>
    </row>
    <row r="321" spans="1:18" x14ac:dyDescent="0.3">
      <c r="A321" s="232" t="s">
        <v>3450</v>
      </c>
      <c r="B321" s="232" t="s">
        <v>487</v>
      </c>
      <c r="C321" s="232" t="s">
        <v>2304</v>
      </c>
      <c r="D321" s="232">
        <v>0</v>
      </c>
      <c r="E321" s="232">
        <v>1</v>
      </c>
      <c r="F321" s="232" t="s">
        <v>476</v>
      </c>
      <c r="G321" s="232" t="s">
        <v>477</v>
      </c>
      <c r="H321" s="232"/>
      <c r="I321" s="232">
        <v>0</v>
      </c>
      <c r="J321" s="232" t="s">
        <v>860</v>
      </c>
      <c r="K321" s="232" t="s">
        <v>3451</v>
      </c>
      <c r="L321" s="232"/>
      <c r="M321" s="232"/>
      <c r="N321" s="232" t="str">
        <f t="shared" si="6"/>
        <v>Active(m.leila.passive.buff.recharge.bonus.06)</v>
      </c>
      <c r="O321" s="232">
        <v>0</v>
      </c>
      <c r="P321" s="232">
        <v>0</v>
      </c>
      <c r="Q321" s="232"/>
      <c r="R321" s="232" t="b">
        <v>1</v>
      </c>
    </row>
    <row r="322" spans="1:18" x14ac:dyDescent="0.3">
      <c r="A322" s="232" t="s">
        <v>3452</v>
      </c>
      <c r="B322" s="232"/>
      <c r="C322" s="232"/>
      <c r="D322" s="232">
        <v>0</v>
      </c>
      <c r="E322" s="232">
        <v>1</v>
      </c>
      <c r="F322" s="232" t="s">
        <v>476</v>
      </c>
      <c r="G322" s="232" t="s">
        <v>477</v>
      </c>
      <c r="H322" s="232"/>
      <c r="I322" s="232">
        <v>0</v>
      </c>
      <c r="J322" s="232" t="s">
        <v>882</v>
      </c>
      <c r="K322" s="232" t="s">
        <v>883</v>
      </c>
      <c r="L322" s="232" t="s">
        <v>3453</v>
      </c>
      <c r="M322" s="232"/>
      <c r="N322" s="232" t="str">
        <f t="shared" si="6"/>
        <v>Event(EnemyDie, m.leila.passive.ex.buff.skilleffect.01.01)</v>
      </c>
      <c r="O322" s="232">
        <v>0</v>
      </c>
      <c r="P322" s="232">
        <v>0</v>
      </c>
      <c r="Q322" s="232"/>
      <c r="R322" s="232" t="b">
        <v>1</v>
      </c>
    </row>
    <row r="323" spans="1:18" x14ac:dyDescent="0.3">
      <c r="A323" s="157" t="s">
        <v>3454</v>
      </c>
      <c r="B323" s="157"/>
      <c r="C323" s="157"/>
      <c r="D323" s="157">
        <v>0</v>
      </c>
      <c r="E323" s="157">
        <v>1</v>
      </c>
      <c r="F323" s="157" t="s">
        <v>476</v>
      </c>
      <c r="G323" s="157" t="s">
        <v>477</v>
      </c>
      <c r="H323" s="157"/>
      <c r="I323" s="157">
        <v>0</v>
      </c>
      <c r="J323" s="157" t="s">
        <v>882</v>
      </c>
      <c r="K323" s="157" t="s">
        <v>883</v>
      </c>
      <c r="L323" s="157" t="s">
        <v>3455</v>
      </c>
      <c r="M323" s="157"/>
      <c r="N323" s="157" t="str">
        <f t="shared" si="6"/>
        <v>Event(EnemyDie, m.leila.passive.ex.buff.skilleffect.01.02)</v>
      </c>
      <c r="O323" s="157">
        <v>0</v>
      </c>
      <c r="P323" s="157">
        <v>0</v>
      </c>
      <c r="Q323" s="157"/>
      <c r="R323" s="157" t="b">
        <v>1</v>
      </c>
    </row>
    <row r="324" spans="1:18" x14ac:dyDescent="0.3">
      <c r="A324" s="157" t="s">
        <v>3456</v>
      </c>
      <c r="B324" s="157"/>
      <c r="C324" s="157"/>
      <c r="D324" s="157">
        <v>0</v>
      </c>
      <c r="E324" s="157">
        <v>1</v>
      </c>
      <c r="F324" s="157" t="s">
        <v>476</v>
      </c>
      <c r="G324" s="157" t="s">
        <v>477</v>
      </c>
      <c r="H324" s="157"/>
      <c r="I324" s="157">
        <v>0</v>
      </c>
      <c r="J324" s="157" t="s">
        <v>882</v>
      </c>
      <c r="K324" s="157" t="s">
        <v>883</v>
      </c>
      <c r="L324" s="157" t="s">
        <v>3457</v>
      </c>
      <c r="M324" s="157"/>
      <c r="N324" s="157" t="str">
        <f t="shared" si="6"/>
        <v>Event(EnemyDie, m.leila.passive.ex.buff.skilleffect.01.03)</v>
      </c>
      <c r="O324" s="157">
        <v>0</v>
      </c>
      <c r="P324" s="157">
        <v>0</v>
      </c>
      <c r="Q324" s="157"/>
      <c r="R324" s="157" t="b">
        <v>1</v>
      </c>
    </row>
    <row r="325" spans="1:18" x14ac:dyDescent="0.3">
      <c r="A325" s="157" t="s">
        <v>3458</v>
      </c>
      <c r="B325" s="157"/>
      <c r="C325" s="157"/>
      <c r="D325" s="157">
        <v>0</v>
      </c>
      <c r="E325" s="157">
        <v>1</v>
      </c>
      <c r="F325" s="157" t="s">
        <v>476</v>
      </c>
      <c r="G325" s="157" t="s">
        <v>477</v>
      </c>
      <c r="H325" s="157"/>
      <c r="I325" s="157">
        <v>0</v>
      </c>
      <c r="J325" s="157" t="s">
        <v>882</v>
      </c>
      <c r="K325" s="157" t="s">
        <v>883</v>
      </c>
      <c r="L325" s="157" t="s">
        <v>3459</v>
      </c>
      <c r="M325" s="157"/>
      <c r="N325" s="157" t="str">
        <f t="shared" si="6"/>
        <v>Event(EnemyDie, m.leila.passive.ex.buff.skilleffect.01.04)</v>
      </c>
      <c r="O325" s="157">
        <v>0</v>
      </c>
      <c r="P325" s="157">
        <v>0</v>
      </c>
      <c r="Q325" s="157"/>
      <c r="R325" s="157" t="b">
        <v>1</v>
      </c>
    </row>
    <row r="326" spans="1:18" x14ac:dyDescent="0.3">
      <c r="A326" s="232" t="s">
        <v>3460</v>
      </c>
      <c r="B326" s="232"/>
      <c r="C326" s="232"/>
      <c r="D326" s="232">
        <v>0</v>
      </c>
      <c r="E326" s="232">
        <v>1</v>
      </c>
      <c r="F326" s="232" t="s">
        <v>476</v>
      </c>
      <c r="G326" s="232" t="s">
        <v>477</v>
      </c>
      <c r="H326" s="232"/>
      <c r="I326" s="232">
        <v>0</v>
      </c>
      <c r="J326" s="232" t="s">
        <v>882</v>
      </c>
      <c r="K326" s="232" t="s">
        <v>883</v>
      </c>
      <c r="L326" s="232" t="s">
        <v>3461</v>
      </c>
      <c r="M326" s="232"/>
      <c r="N326" s="232" t="str">
        <f t="shared" si="6"/>
        <v>Event(EnemyDie, m.leila.passive.ex.buff.skilleffect.01.05)</v>
      </c>
      <c r="O326" s="232">
        <v>0</v>
      </c>
      <c r="P326" s="232">
        <v>0</v>
      </c>
      <c r="Q326" s="232"/>
      <c r="R326" s="232" t="b">
        <v>1</v>
      </c>
    </row>
    <row r="327" spans="1:18" x14ac:dyDescent="0.3">
      <c r="A327" s="232" t="s">
        <v>3462</v>
      </c>
      <c r="B327" s="232"/>
      <c r="C327" s="232"/>
      <c r="D327" s="232">
        <v>0</v>
      </c>
      <c r="E327" s="232">
        <v>1</v>
      </c>
      <c r="F327" s="232" t="s">
        <v>476</v>
      </c>
      <c r="G327" s="232" t="s">
        <v>477</v>
      </c>
      <c r="H327" s="232"/>
      <c r="I327" s="232">
        <v>0</v>
      </c>
      <c r="J327" s="232" t="s">
        <v>882</v>
      </c>
      <c r="K327" s="232" t="s">
        <v>883</v>
      </c>
      <c r="L327" s="232" t="s">
        <v>3463</v>
      </c>
      <c r="M327" s="232"/>
      <c r="N327" s="232" t="str">
        <f t="shared" si="6"/>
        <v>Event(EnemyDie, m.leila.passive.ex.buff.skilleffect.01.06)</v>
      </c>
      <c r="O327" s="232">
        <v>0</v>
      </c>
      <c r="P327" s="232">
        <v>0</v>
      </c>
      <c r="Q327" s="232"/>
      <c r="R327" s="232" t="b">
        <v>1</v>
      </c>
    </row>
    <row r="328" spans="1:18" x14ac:dyDescent="0.3">
      <c r="A328" s="232" t="s">
        <v>3464</v>
      </c>
      <c r="B328" s="232"/>
      <c r="C328" s="232"/>
      <c r="D328" s="232">
        <v>0</v>
      </c>
      <c r="E328" s="232">
        <v>1</v>
      </c>
      <c r="F328" s="232" t="s">
        <v>476</v>
      </c>
      <c r="G328" s="232" t="s">
        <v>477</v>
      </c>
      <c r="H328" s="232"/>
      <c r="I328" s="232">
        <v>0</v>
      </c>
      <c r="J328" s="232" t="s">
        <v>882</v>
      </c>
      <c r="K328" s="232" t="s">
        <v>899</v>
      </c>
      <c r="L328" s="232" t="s">
        <v>3465</v>
      </c>
      <c r="M328" s="232"/>
      <c r="N328" s="232" t="str">
        <f t="shared" si="6"/>
        <v>Event(AllyDie, m.leila.passive.ex.buff.skilleffect.02.01)</v>
      </c>
      <c r="O328" s="232">
        <v>0</v>
      </c>
      <c r="P328" s="232">
        <v>0</v>
      </c>
      <c r="Q328" s="232"/>
      <c r="R328" s="232" t="b">
        <v>1</v>
      </c>
    </row>
    <row r="329" spans="1:18" x14ac:dyDescent="0.3">
      <c r="A329" s="157" t="s">
        <v>3466</v>
      </c>
      <c r="B329" s="157"/>
      <c r="C329" s="157"/>
      <c r="D329" s="157">
        <v>0</v>
      </c>
      <c r="E329" s="157">
        <v>1</v>
      </c>
      <c r="F329" s="157" t="s">
        <v>476</v>
      </c>
      <c r="G329" s="157" t="s">
        <v>477</v>
      </c>
      <c r="H329" s="157"/>
      <c r="I329" s="157">
        <v>0</v>
      </c>
      <c r="J329" s="157" t="s">
        <v>882</v>
      </c>
      <c r="K329" s="157" t="s">
        <v>899</v>
      </c>
      <c r="L329" s="157" t="s">
        <v>3467</v>
      </c>
      <c r="M329" s="157"/>
      <c r="N329" s="157" t="str">
        <f t="shared" si="6"/>
        <v>Event(AllyDie, m.leila.passive.ex.buff.skilleffect.02.02)</v>
      </c>
      <c r="O329" s="157">
        <v>0</v>
      </c>
      <c r="P329" s="157">
        <v>0</v>
      </c>
      <c r="Q329" s="157"/>
      <c r="R329" s="157" t="b">
        <v>1</v>
      </c>
    </row>
    <row r="330" spans="1:18" x14ac:dyDescent="0.3">
      <c r="A330" s="157" t="s">
        <v>3468</v>
      </c>
      <c r="B330" s="157"/>
      <c r="C330" s="157"/>
      <c r="D330" s="157">
        <v>0</v>
      </c>
      <c r="E330" s="157">
        <v>1</v>
      </c>
      <c r="F330" s="157" t="s">
        <v>476</v>
      </c>
      <c r="G330" s="157" t="s">
        <v>477</v>
      </c>
      <c r="H330" s="157"/>
      <c r="I330" s="157">
        <v>0</v>
      </c>
      <c r="J330" s="157" t="s">
        <v>882</v>
      </c>
      <c r="K330" s="157" t="s">
        <v>899</v>
      </c>
      <c r="L330" s="157" t="s">
        <v>3469</v>
      </c>
      <c r="M330" s="157"/>
      <c r="N330" s="157" t="str">
        <f t="shared" si="6"/>
        <v>Event(AllyDie, m.leila.passive.ex.buff.skilleffect.02.03)</v>
      </c>
      <c r="O330" s="157">
        <v>0</v>
      </c>
      <c r="P330" s="157">
        <v>0</v>
      </c>
      <c r="Q330" s="157"/>
      <c r="R330" s="157" t="b">
        <v>1</v>
      </c>
    </row>
    <row r="331" spans="1:18" x14ac:dyDescent="0.3">
      <c r="A331" s="157" t="s">
        <v>3470</v>
      </c>
      <c r="B331" s="157"/>
      <c r="C331" s="157"/>
      <c r="D331" s="157">
        <v>0</v>
      </c>
      <c r="E331" s="157">
        <v>1</v>
      </c>
      <c r="F331" s="157" t="s">
        <v>476</v>
      </c>
      <c r="G331" s="157" t="s">
        <v>477</v>
      </c>
      <c r="H331" s="157"/>
      <c r="I331" s="157">
        <v>0</v>
      </c>
      <c r="J331" s="157" t="s">
        <v>882</v>
      </c>
      <c r="K331" s="157" t="s">
        <v>899</v>
      </c>
      <c r="L331" s="157" t="s">
        <v>3471</v>
      </c>
      <c r="M331" s="157"/>
      <c r="N331" s="157" t="str">
        <f t="shared" si="6"/>
        <v>Event(AllyDie, m.leila.passive.ex.buff.skilleffect.02.04)</v>
      </c>
      <c r="O331" s="157">
        <v>0</v>
      </c>
      <c r="P331" s="157">
        <v>0</v>
      </c>
      <c r="Q331" s="157"/>
      <c r="R331" s="157" t="b">
        <v>1</v>
      </c>
    </row>
    <row r="332" spans="1:18" x14ac:dyDescent="0.3">
      <c r="A332" s="232" t="s">
        <v>3472</v>
      </c>
      <c r="B332" s="232"/>
      <c r="C332" s="232"/>
      <c r="D332" s="232">
        <v>0</v>
      </c>
      <c r="E332" s="232">
        <v>1</v>
      </c>
      <c r="F332" s="232" t="s">
        <v>476</v>
      </c>
      <c r="G332" s="232" t="s">
        <v>477</v>
      </c>
      <c r="H332" s="232"/>
      <c r="I332" s="232">
        <v>0</v>
      </c>
      <c r="J332" s="232" t="s">
        <v>882</v>
      </c>
      <c r="K332" s="232" t="s">
        <v>899</v>
      </c>
      <c r="L332" s="232" t="s">
        <v>3473</v>
      </c>
      <c r="M332" s="232"/>
      <c r="N332" s="232" t="str">
        <f t="shared" si="6"/>
        <v>Event(AllyDie, m.leila.passive.ex.buff.skilleffect.02.05)</v>
      </c>
      <c r="O332" s="232">
        <v>0</v>
      </c>
      <c r="P332" s="232">
        <v>0</v>
      </c>
      <c r="Q332" s="232"/>
      <c r="R332" s="232" t="b">
        <v>1</v>
      </c>
    </row>
    <row r="333" spans="1:18" x14ac:dyDescent="0.3">
      <c r="A333" s="232" t="s">
        <v>3474</v>
      </c>
      <c r="B333" s="232"/>
      <c r="C333" s="232"/>
      <c r="D333" s="232">
        <v>0</v>
      </c>
      <c r="E333" s="232">
        <v>1</v>
      </c>
      <c r="F333" s="232" t="s">
        <v>476</v>
      </c>
      <c r="G333" s="232" t="s">
        <v>477</v>
      </c>
      <c r="H333" s="232"/>
      <c r="I333" s="232">
        <v>0</v>
      </c>
      <c r="J333" s="232" t="s">
        <v>882</v>
      </c>
      <c r="K333" s="232" t="s">
        <v>899</v>
      </c>
      <c r="L333" s="232" t="s">
        <v>3475</v>
      </c>
      <c r="M333" s="232"/>
      <c r="N333" s="232" t="str">
        <f t="shared" si="6"/>
        <v>Event(AllyDie, m.leila.passive.ex.buff.skilleffect.02.06)</v>
      </c>
      <c r="O333" s="232">
        <v>0</v>
      </c>
      <c r="P333" s="232">
        <v>0</v>
      </c>
      <c r="Q333" s="232"/>
      <c r="R333" s="232" t="b">
        <v>1</v>
      </c>
    </row>
    <row r="334" spans="1:18" x14ac:dyDescent="0.3">
      <c r="A334" s="232" t="s">
        <v>3476</v>
      </c>
      <c r="B334" s="232"/>
      <c r="C334" s="232"/>
      <c r="D334" s="232">
        <v>0</v>
      </c>
      <c r="E334" s="232">
        <v>1</v>
      </c>
      <c r="F334" s="232" t="s">
        <v>476</v>
      </c>
      <c r="G334" s="232" t="s">
        <v>477</v>
      </c>
      <c r="H334" s="232"/>
      <c r="I334" s="232">
        <v>0</v>
      </c>
      <c r="J334" s="232" t="s">
        <v>860</v>
      </c>
      <c r="K334" s="232" t="s">
        <v>3477</v>
      </c>
      <c r="L334" s="232"/>
      <c r="M334" s="232"/>
      <c r="N334" s="232" t="str">
        <f t="shared" si="6"/>
        <v>Active(m.leila.trigger.skilleffect)</v>
      </c>
      <c r="O334" s="232">
        <v>0</v>
      </c>
      <c r="P334" s="232">
        <v>0</v>
      </c>
      <c r="Q334" s="232"/>
      <c r="R334" s="232" t="b">
        <v>1</v>
      </c>
    </row>
    <row r="335" spans="1:18" x14ac:dyDescent="0.3">
      <c r="A335" s="265" t="s">
        <v>3873</v>
      </c>
      <c r="B335" s="232"/>
      <c r="C335" s="232"/>
      <c r="D335" s="232">
        <v>0</v>
      </c>
      <c r="E335" s="232">
        <v>1</v>
      </c>
      <c r="F335" s="232" t="s">
        <v>833</v>
      </c>
      <c r="G335" s="232" t="s">
        <v>485</v>
      </c>
      <c r="H335" s="232"/>
      <c r="I335" s="232">
        <v>0</v>
      </c>
      <c r="J335" s="232" t="s">
        <v>1380</v>
      </c>
      <c r="K335" s="232" t="s">
        <v>3884</v>
      </c>
      <c r="L335" s="232"/>
      <c r="M335" s="232"/>
      <c r="N335" s="232" t="str">
        <f t="shared" si="6"/>
        <v>Passive(m.crimson.passive.receivehealdown.buff.01)</v>
      </c>
      <c r="O335" s="232">
        <v>0</v>
      </c>
      <c r="P335" s="232">
        <v>0</v>
      </c>
      <c r="Q335" s="232"/>
      <c r="R335" s="232" t="b">
        <v>1</v>
      </c>
    </row>
    <row r="336" spans="1:18" x14ac:dyDescent="0.3">
      <c r="A336" s="258" t="s">
        <v>3875</v>
      </c>
      <c r="B336" s="258"/>
      <c r="C336" s="258"/>
      <c r="D336" s="258">
        <v>0</v>
      </c>
      <c r="E336" s="258">
        <v>1</v>
      </c>
      <c r="F336" s="258" t="s">
        <v>833</v>
      </c>
      <c r="G336" s="258" t="s">
        <v>485</v>
      </c>
      <c r="H336" s="258"/>
      <c r="I336" s="258">
        <v>0</v>
      </c>
      <c r="J336" s="258" t="s">
        <v>1380</v>
      </c>
      <c r="K336" s="258" t="s">
        <v>3886</v>
      </c>
      <c r="L336" s="258"/>
      <c r="M336" s="258"/>
      <c r="N336" s="258" t="str">
        <f t="shared" si="6"/>
        <v>Passive(m.crimson.passive.receivehealdown.buff.02)</v>
      </c>
      <c r="O336" s="258">
        <v>0</v>
      </c>
      <c r="P336" s="258">
        <v>0</v>
      </c>
      <c r="Q336" s="258"/>
      <c r="R336" s="258" t="b">
        <v>1</v>
      </c>
    </row>
    <row r="337" spans="1:18" x14ac:dyDescent="0.3">
      <c r="A337" s="258" t="s">
        <v>3877</v>
      </c>
      <c r="B337" s="258"/>
      <c r="C337" s="258"/>
      <c r="D337" s="258">
        <v>0</v>
      </c>
      <c r="E337" s="258">
        <v>1</v>
      </c>
      <c r="F337" s="258" t="s">
        <v>833</v>
      </c>
      <c r="G337" s="258" t="s">
        <v>485</v>
      </c>
      <c r="H337" s="258"/>
      <c r="I337" s="258">
        <v>0</v>
      </c>
      <c r="J337" s="258" t="s">
        <v>1380</v>
      </c>
      <c r="K337" s="258" t="s">
        <v>3888</v>
      </c>
      <c r="L337" s="258"/>
      <c r="M337" s="258"/>
      <c r="N337" s="258" t="str">
        <f t="shared" si="6"/>
        <v>Passive(m.crimson.passive.receivehealdown.buff.03)</v>
      </c>
      <c r="O337" s="258">
        <v>0</v>
      </c>
      <c r="P337" s="258">
        <v>0</v>
      </c>
      <c r="Q337" s="258"/>
      <c r="R337" s="258" t="b">
        <v>1</v>
      </c>
    </row>
    <row r="338" spans="1:18" x14ac:dyDescent="0.3">
      <c r="A338" s="258" t="s">
        <v>3879</v>
      </c>
      <c r="B338" s="258"/>
      <c r="C338" s="258"/>
      <c r="D338" s="258">
        <v>0</v>
      </c>
      <c r="E338" s="258">
        <v>1</v>
      </c>
      <c r="F338" s="258" t="s">
        <v>833</v>
      </c>
      <c r="G338" s="258" t="s">
        <v>485</v>
      </c>
      <c r="H338" s="258"/>
      <c r="I338" s="258">
        <v>0</v>
      </c>
      <c r="J338" s="258" t="s">
        <v>1380</v>
      </c>
      <c r="K338" s="258" t="s">
        <v>3890</v>
      </c>
      <c r="L338" s="258"/>
      <c r="M338" s="258"/>
      <c r="N338" s="258" t="str">
        <f t="shared" si="6"/>
        <v>Passive(m.crimson.passive.receivehealdown.buff.04)</v>
      </c>
      <c r="O338" s="258">
        <v>0</v>
      </c>
      <c r="P338" s="258">
        <v>0</v>
      </c>
      <c r="Q338" s="258"/>
      <c r="R338" s="258" t="b">
        <v>1</v>
      </c>
    </row>
    <row r="339" spans="1:18" x14ac:dyDescent="0.3">
      <c r="A339" s="232" t="s">
        <v>3881</v>
      </c>
      <c r="B339" s="232"/>
      <c r="C339" s="232"/>
      <c r="D339" s="232">
        <v>0</v>
      </c>
      <c r="E339" s="232">
        <v>1</v>
      </c>
      <c r="F339" s="232" t="s">
        <v>833</v>
      </c>
      <c r="G339" s="232" t="s">
        <v>485</v>
      </c>
      <c r="H339" s="232"/>
      <c r="I339" s="232">
        <v>0</v>
      </c>
      <c r="J339" s="232" t="s">
        <v>1380</v>
      </c>
      <c r="K339" s="232" t="s">
        <v>3892</v>
      </c>
      <c r="L339" s="232"/>
      <c r="M339" s="232"/>
      <c r="N339" s="232" t="str">
        <f t="shared" si="6"/>
        <v>Passive(m.crimson.passive.receivehealdown.buff.05)</v>
      </c>
      <c r="O339" s="232">
        <v>0</v>
      </c>
      <c r="P339" s="232">
        <v>0</v>
      </c>
      <c r="Q339" s="232"/>
      <c r="R339" s="232" t="b">
        <v>1</v>
      </c>
    </row>
    <row r="340" spans="1:18" x14ac:dyDescent="0.3">
      <c r="A340" s="232" t="s">
        <v>3883</v>
      </c>
      <c r="B340" s="232"/>
      <c r="C340" s="232"/>
      <c r="D340" s="232">
        <v>0</v>
      </c>
      <c r="E340" s="232">
        <v>1</v>
      </c>
      <c r="F340" s="232" t="s">
        <v>833</v>
      </c>
      <c r="G340" s="232" t="s">
        <v>485</v>
      </c>
      <c r="H340" s="232"/>
      <c r="I340" s="232">
        <v>0</v>
      </c>
      <c r="J340" s="232" t="s">
        <v>1380</v>
      </c>
      <c r="K340" s="232" t="s">
        <v>3894</v>
      </c>
      <c r="L340" s="232"/>
      <c r="M340" s="232"/>
      <c r="N340" s="232" t="str">
        <f t="shared" si="6"/>
        <v>Passive(m.crimson.passive.receivehealdown.buff.06)</v>
      </c>
      <c r="O340" s="232">
        <v>0</v>
      </c>
      <c r="P340" s="232">
        <v>0</v>
      </c>
      <c r="Q340" s="232"/>
      <c r="R340" s="232" t="b">
        <v>1</v>
      </c>
    </row>
    <row r="341" spans="1:18" x14ac:dyDescent="0.3">
      <c r="A341" s="232" t="s">
        <v>3885</v>
      </c>
      <c r="B341" s="232" t="s">
        <v>2180</v>
      </c>
      <c r="C341" s="232" t="s">
        <v>505</v>
      </c>
      <c r="D341" s="232">
        <v>0</v>
      </c>
      <c r="E341" s="232">
        <v>1</v>
      </c>
      <c r="F341" s="232" t="s">
        <v>476</v>
      </c>
      <c r="G341" s="232" t="s">
        <v>477</v>
      </c>
      <c r="H341" s="232"/>
      <c r="I341" s="232">
        <v>0</v>
      </c>
      <c r="J341" s="232" t="s">
        <v>846</v>
      </c>
      <c r="K341" s="232" t="s">
        <v>897</v>
      </c>
      <c r="L341" s="232">
        <v>-480</v>
      </c>
      <c r="M341" s="232"/>
      <c r="N341" s="232" t="str">
        <f t="shared" si="6"/>
        <v>Status(ReceiveRecoveryRate, -480)</v>
      </c>
      <c r="O341" s="232">
        <v>0</v>
      </c>
      <c r="P341" s="232">
        <v>0</v>
      </c>
      <c r="Q341" s="232"/>
      <c r="R341" s="232" t="b">
        <v>1</v>
      </c>
    </row>
    <row r="342" spans="1:18" x14ac:dyDescent="0.3">
      <c r="A342" s="266" t="s">
        <v>3887</v>
      </c>
      <c r="B342" s="266" t="s">
        <v>2180</v>
      </c>
      <c r="C342" s="266" t="s">
        <v>505</v>
      </c>
      <c r="D342" s="266">
        <v>0</v>
      </c>
      <c r="E342" s="266">
        <v>1</v>
      </c>
      <c r="F342" s="266" t="s">
        <v>476</v>
      </c>
      <c r="G342" s="266" t="s">
        <v>477</v>
      </c>
      <c r="H342" s="266"/>
      <c r="I342" s="266">
        <v>0</v>
      </c>
      <c r="J342" s="266" t="s">
        <v>846</v>
      </c>
      <c r="K342" s="266" t="s">
        <v>897</v>
      </c>
      <c r="L342" s="266">
        <v>-520</v>
      </c>
      <c r="M342" s="266"/>
      <c r="N342" s="266" t="str">
        <f t="shared" si="6"/>
        <v>Status(ReceiveRecoveryRate, -520)</v>
      </c>
      <c r="O342" s="266">
        <v>0</v>
      </c>
      <c r="P342" s="266">
        <v>0</v>
      </c>
      <c r="Q342" s="266"/>
      <c r="R342" s="266" t="b">
        <v>1</v>
      </c>
    </row>
    <row r="343" spans="1:18" x14ac:dyDescent="0.3">
      <c r="A343" s="266" t="s">
        <v>3889</v>
      </c>
      <c r="B343" s="266" t="s">
        <v>2180</v>
      </c>
      <c r="C343" s="266" t="s">
        <v>505</v>
      </c>
      <c r="D343" s="266">
        <v>0</v>
      </c>
      <c r="E343" s="266">
        <v>1</v>
      </c>
      <c r="F343" s="266" t="s">
        <v>476</v>
      </c>
      <c r="G343" s="266" t="s">
        <v>477</v>
      </c>
      <c r="H343" s="266"/>
      <c r="I343" s="266">
        <v>0</v>
      </c>
      <c r="J343" s="266" t="s">
        <v>846</v>
      </c>
      <c r="K343" s="266" t="s">
        <v>897</v>
      </c>
      <c r="L343" s="266">
        <v>-600</v>
      </c>
      <c r="M343" s="266"/>
      <c r="N343" s="266" t="str">
        <f t="shared" si="6"/>
        <v>Status(ReceiveRecoveryRate, -600)</v>
      </c>
      <c r="O343" s="266">
        <v>0</v>
      </c>
      <c r="P343" s="266">
        <v>0</v>
      </c>
      <c r="Q343" s="266"/>
      <c r="R343" s="266" t="b">
        <v>1</v>
      </c>
    </row>
    <row r="344" spans="1:18" x14ac:dyDescent="0.3">
      <c r="A344" s="266" t="s">
        <v>3891</v>
      </c>
      <c r="B344" s="266" t="s">
        <v>2180</v>
      </c>
      <c r="C344" s="266" t="s">
        <v>505</v>
      </c>
      <c r="D344" s="266">
        <v>0</v>
      </c>
      <c r="E344" s="266">
        <v>1</v>
      </c>
      <c r="F344" s="266" t="s">
        <v>476</v>
      </c>
      <c r="G344" s="266" t="s">
        <v>477</v>
      </c>
      <c r="H344" s="266"/>
      <c r="I344" s="266">
        <v>0</v>
      </c>
      <c r="J344" s="266" t="s">
        <v>846</v>
      </c>
      <c r="K344" s="266" t="s">
        <v>897</v>
      </c>
      <c r="L344" s="266">
        <v>-680</v>
      </c>
      <c r="M344" s="266"/>
      <c r="N344" s="266" t="str">
        <f t="shared" si="6"/>
        <v>Status(ReceiveRecoveryRate, -680)</v>
      </c>
      <c r="O344" s="266">
        <v>0</v>
      </c>
      <c r="P344" s="266">
        <v>0</v>
      </c>
      <c r="Q344" s="266"/>
      <c r="R344" s="266" t="b">
        <v>1</v>
      </c>
    </row>
    <row r="345" spans="1:18" x14ac:dyDescent="0.3">
      <c r="A345" s="232" t="s">
        <v>3893</v>
      </c>
      <c r="B345" s="232" t="s">
        <v>2180</v>
      </c>
      <c r="C345" s="232" t="s">
        <v>505</v>
      </c>
      <c r="D345" s="232">
        <v>0</v>
      </c>
      <c r="E345" s="232">
        <v>1</v>
      </c>
      <c r="F345" s="232" t="s">
        <v>476</v>
      </c>
      <c r="G345" s="232" t="s">
        <v>477</v>
      </c>
      <c r="H345" s="232"/>
      <c r="I345" s="232">
        <v>0</v>
      </c>
      <c r="J345" s="232" t="s">
        <v>846</v>
      </c>
      <c r="K345" s="232" t="s">
        <v>897</v>
      </c>
      <c r="L345" s="232">
        <v>-760</v>
      </c>
      <c r="M345" s="232"/>
      <c r="N345" s="232" t="str">
        <f t="shared" si="6"/>
        <v>Status(ReceiveRecoveryRate, -760)</v>
      </c>
      <c r="O345" s="232">
        <v>0</v>
      </c>
      <c r="P345" s="232">
        <v>0</v>
      </c>
      <c r="Q345" s="232"/>
      <c r="R345" s="232" t="b">
        <v>1</v>
      </c>
    </row>
    <row r="346" spans="1:18" x14ac:dyDescent="0.3">
      <c r="A346" s="232" t="s">
        <v>3895</v>
      </c>
      <c r="B346" s="232" t="s">
        <v>2180</v>
      </c>
      <c r="C346" s="232" t="s">
        <v>505</v>
      </c>
      <c r="D346" s="232">
        <v>0</v>
      </c>
      <c r="E346" s="232">
        <v>1</v>
      </c>
      <c r="F346" s="232" t="s">
        <v>476</v>
      </c>
      <c r="G346" s="232" t="s">
        <v>477</v>
      </c>
      <c r="H346" s="232"/>
      <c r="I346" s="232">
        <v>0</v>
      </c>
      <c r="J346" s="232" t="s">
        <v>846</v>
      </c>
      <c r="K346" s="232" t="s">
        <v>897</v>
      </c>
      <c r="L346" s="232">
        <v>-930</v>
      </c>
      <c r="M346" s="232"/>
      <c r="N346" s="232" t="str">
        <f t="shared" si="6"/>
        <v>Status(ReceiveRecoveryRate, -930)</v>
      </c>
      <c r="O346" s="232">
        <v>0</v>
      </c>
      <c r="P346" s="232">
        <v>0</v>
      </c>
      <c r="Q346" s="232"/>
      <c r="R346" s="232" t="b">
        <v>1</v>
      </c>
    </row>
    <row r="347" spans="1:18" x14ac:dyDescent="0.3">
      <c r="A347" s="232" t="s">
        <v>3897</v>
      </c>
      <c r="B347" s="232"/>
      <c r="C347" s="232"/>
      <c r="D347" s="232">
        <v>0</v>
      </c>
      <c r="E347" s="232">
        <v>1</v>
      </c>
      <c r="F347" s="232" t="s">
        <v>476</v>
      </c>
      <c r="G347" s="232" t="s">
        <v>477</v>
      </c>
      <c r="H347" s="232"/>
      <c r="I347" s="232">
        <v>0</v>
      </c>
      <c r="J347" s="232" t="s">
        <v>882</v>
      </c>
      <c r="K347" s="232" t="s">
        <v>2279</v>
      </c>
      <c r="L347" s="232" t="s">
        <v>3921</v>
      </c>
      <c r="M347" s="232" t="s">
        <v>2280</v>
      </c>
      <c r="N347" s="232" t="str">
        <f t="shared" si="6"/>
        <v>Event(FireSkill, m.crimson.passive.ex.buff.buffeffect.skilleffect.01, FireCondition(Ultimate))</v>
      </c>
      <c r="O347" s="232">
        <v>0</v>
      </c>
      <c r="P347" s="232">
        <v>0</v>
      </c>
      <c r="Q347" s="232"/>
      <c r="R347" s="232" t="b">
        <v>1</v>
      </c>
    </row>
    <row r="348" spans="1:18" x14ac:dyDescent="0.3">
      <c r="A348" s="258" t="s">
        <v>3899</v>
      </c>
      <c r="B348" s="258"/>
      <c r="C348" s="258"/>
      <c r="D348" s="258">
        <v>0</v>
      </c>
      <c r="E348" s="258">
        <v>1</v>
      </c>
      <c r="F348" s="258" t="s">
        <v>476</v>
      </c>
      <c r="G348" s="258" t="s">
        <v>477</v>
      </c>
      <c r="H348" s="258"/>
      <c r="I348" s="258">
        <v>0</v>
      </c>
      <c r="J348" s="258" t="s">
        <v>882</v>
      </c>
      <c r="K348" s="258" t="s">
        <v>2279</v>
      </c>
      <c r="L348" s="258" t="s">
        <v>3922</v>
      </c>
      <c r="M348" s="258" t="s">
        <v>2280</v>
      </c>
      <c r="N348" s="258" t="str">
        <f t="shared" si="6"/>
        <v>Event(FireSkill, m.crimson.passive.ex.buff.buffeffect.skilleffect.02, FireCondition(Ultimate))</v>
      </c>
      <c r="O348" s="258">
        <v>0</v>
      </c>
      <c r="P348" s="258">
        <v>0</v>
      </c>
      <c r="Q348" s="258"/>
      <c r="R348" s="258" t="b">
        <v>1</v>
      </c>
    </row>
    <row r="349" spans="1:18" x14ac:dyDescent="0.3">
      <c r="A349" s="258" t="s">
        <v>3901</v>
      </c>
      <c r="B349" s="258"/>
      <c r="C349" s="258"/>
      <c r="D349" s="258">
        <v>0</v>
      </c>
      <c r="E349" s="258">
        <v>1</v>
      </c>
      <c r="F349" s="258" t="s">
        <v>476</v>
      </c>
      <c r="G349" s="258" t="s">
        <v>477</v>
      </c>
      <c r="H349" s="258"/>
      <c r="I349" s="258">
        <v>0</v>
      </c>
      <c r="J349" s="258" t="s">
        <v>882</v>
      </c>
      <c r="K349" s="258" t="s">
        <v>2279</v>
      </c>
      <c r="L349" s="258" t="s">
        <v>3923</v>
      </c>
      <c r="M349" s="258" t="s">
        <v>2280</v>
      </c>
      <c r="N349" s="258" t="str">
        <f t="shared" si="6"/>
        <v>Event(FireSkill, m.crimson.passive.ex.buff.buffeffect.skilleffect.03, FireCondition(Ultimate))</v>
      </c>
      <c r="O349" s="258">
        <v>0</v>
      </c>
      <c r="P349" s="258">
        <v>0</v>
      </c>
      <c r="Q349" s="258"/>
      <c r="R349" s="258" t="b">
        <v>1</v>
      </c>
    </row>
    <row r="350" spans="1:18" x14ac:dyDescent="0.3">
      <c r="A350" s="258" t="s">
        <v>3903</v>
      </c>
      <c r="B350" s="258"/>
      <c r="C350" s="258"/>
      <c r="D350" s="258">
        <v>0</v>
      </c>
      <c r="E350" s="258">
        <v>1</v>
      </c>
      <c r="F350" s="258" t="s">
        <v>476</v>
      </c>
      <c r="G350" s="258" t="s">
        <v>477</v>
      </c>
      <c r="H350" s="258"/>
      <c r="I350" s="258">
        <v>0</v>
      </c>
      <c r="J350" s="258" t="s">
        <v>882</v>
      </c>
      <c r="K350" s="258" t="s">
        <v>2279</v>
      </c>
      <c r="L350" s="258" t="s">
        <v>3924</v>
      </c>
      <c r="M350" s="258" t="s">
        <v>2280</v>
      </c>
      <c r="N350" s="258" t="str">
        <f t="shared" si="6"/>
        <v>Event(FireSkill, m.crimson.passive.ex.buff.buffeffect.skilleffect.04, FireCondition(Ultimate))</v>
      </c>
      <c r="O350" s="258">
        <v>0</v>
      </c>
      <c r="P350" s="258">
        <v>0</v>
      </c>
      <c r="Q350" s="258"/>
      <c r="R350" s="258" t="b">
        <v>1</v>
      </c>
    </row>
    <row r="351" spans="1:18" x14ac:dyDescent="0.3">
      <c r="A351" s="232" t="s">
        <v>3905</v>
      </c>
      <c r="B351" s="232"/>
      <c r="C351" s="232"/>
      <c r="D351" s="232">
        <v>0</v>
      </c>
      <c r="E351" s="232">
        <v>1</v>
      </c>
      <c r="F351" s="232" t="s">
        <v>476</v>
      </c>
      <c r="G351" s="232" t="s">
        <v>477</v>
      </c>
      <c r="H351" s="232"/>
      <c r="I351" s="232">
        <v>0</v>
      </c>
      <c r="J351" s="232" t="s">
        <v>882</v>
      </c>
      <c r="K351" s="232" t="s">
        <v>2279</v>
      </c>
      <c r="L351" s="232" t="s">
        <v>3925</v>
      </c>
      <c r="M351" s="232" t="s">
        <v>2280</v>
      </c>
      <c r="N351" s="232" t="str">
        <f t="shared" si="6"/>
        <v>Event(FireSkill, m.crimson.passive.ex.buff.buffeffect.skilleffect.05, FireCondition(Ultimate))</v>
      </c>
      <c r="O351" s="232">
        <v>0</v>
      </c>
      <c r="P351" s="232">
        <v>0</v>
      </c>
      <c r="Q351" s="232"/>
      <c r="R351" s="232" t="b">
        <v>1</v>
      </c>
    </row>
    <row r="352" spans="1:18" x14ac:dyDescent="0.3">
      <c r="A352" s="232" t="s">
        <v>3907</v>
      </c>
      <c r="B352" s="232"/>
      <c r="C352" s="232"/>
      <c r="D352" s="232">
        <v>0</v>
      </c>
      <c r="E352" s="232">
        <v>1</v>
      </c>
      <c r="F352" s="232" t="s">
        <v>476</v>
      </c>
      <c r="G352" s="232" t="s">
        <v>477</v>
      </c>
      <c r="H352" s="232"/>
      <c r="I352" s="232">
        <v>0</v>
      </c>
      <c r="J352" s="232" t="s">
        <v>882</v>
      </c>
      <c r="K352" s="232" t="s">
        <v>2279</v>
      </c>
      <c r="L352" s="232" t="s">
        <v>3926</v>
      </c>
      <c r="M352" s="232" t="s">
        <v>2280</v>
      </c>
      <c r="N352" s="232" t="str">
        <f t="shared" si="6"/>
        <v>Event(FireSkill, m.crimson.passive.ex.buff.buffeffect.skilleffect.06, FireCondition(Ultimate))</v>
      </c>
      <c r="O352" s="232">
        <v>0</v>
      </c>
      <c r="P352" s="232">
        <v>0</v>
      </c>
      <c r="Q352" s="232"/>
      <c r="R352" s="232" t="b">
        <v>1</v>
      </c>
    </row>
    <row r="353" spans="1:18" x14ac:dyDescent="0.3">
      <c r="A353" s="232" t="s">
        <v>3909</v>
      </c>
      <c r="B353" s="232"/>
      <c r="C353" s="232"/>
      <c r="D353" s="232">
        <v>0</v>
      </c>
      <c r="E353" s="232">
        <v>1</v>
      </c>
      <c r="F353" s="232" t="s">
        <v>476</v>
      </c>
      <c r="G353" s="232" t="s">
        <v>477</v>
      </c>
      <c r="H353" s="232"/>
      <c r="I353" s="232">
        <v>0</v>
      </c>
      <c r="J353" s="232" t="s">
        <v>3633</v>
      </c>
      <c r="K353" s="232" t="s">
        <v>852</v>
      </c>
      <c r="L353" s="232">
        <v>180</v>
      </c>
      <c r="M353" s="232" t="s">
        <v>505</v>
      </c>
      <c r="N353" s="232" t="str">
        <f t="shared" si="6"/>
        <v>StatusTargetBuffEffect(AttackRatio, 180, Bleed)</v>
      </c>
      <c r="O353" s="232">
        <v>0</v>
      </c>
      <c r="P353" s="232">
        <v>0</v>
      </c>
      <c r="Q353" s="232"/>
      <c r="R353" s="232" t="b">
        <v>1</v>
      </c>
    </row>
    <row r="354" spans="1:18" x14ac:dyDescent="0.3">
      <c r="A354" s="258" t="s">
        <v>3912</v>
      </c>
      <c r="B354" s="258"/>
      <c r="C354" s="258"/>
      <c r="D354" s="258">
        <v>0</v>
      </c>
      <c r="E354" s="258">
        <v>1</v>
      </c>
      <c r="F354" s="232" t="s">
        <v>476</v>
      </c>
      <c r="G354" s="232" t="s">
        <v>477</v>
      </c>
      <c r="H354" s="232"/>
      <c r="I354" s="232">
        <v>0</v>
      </c>
      <c r="J354" s="258" t="s">
        <v>3633</v>
      </c>
      <c r="K354" s="258" t="s">
        <v>852</v>
      </c>
      <c r="L354" s="258">
        <v>200</v>
      </c>
      <c r="M354" s="258" t="s">
        <v>505</v>
      </c>
      <c r="N354" s="258" t="str">
        <f t="shared" si="6"/>
        <v>StatusTargetBuffEffect(AttackRatio, 200, Bleed)</v>
      </c>
      <c r="O354" s="258">
        <v>0</v>
      </c>
      <c r="P354" s="258">
        <v>0</v>
      </c>
      <c r="Q354" s="258"/>
      <c r="R354" s="258" t="b">
        <v>1</v>
      </c>
    </row>
    <row r="355" spans="1:18" x14ac:dyDescent="0.3">
      <c r="A355" s="258" t="s">
        <v>3914</v>
      </c>
      <c r="B355" s="258"/>
      <c r="C355" s="258"/>
      <c r="D355" s="258">
        <v>0</v>
      </c>
      <c r="E355" s="258">
        <v>1</v>
      </c>
      <c r="F355" s="232" t="s">
        <v>476</v>
      </c>
      <c r="G355" s="232" t="s">
        <v>477</v>
      </c>
      <c r="H355" s="232"/>
      <c r="I355" s="232">
        <v>0</v>
      </c>
      <c r="J355" s="258" t="s">
        <v>3633</v>
      </c>
      <c r="K355" s="258" t="s">
        <v>852</v>
      </c>
      <c r="L355" s="258">
        <v>220</v>
      </c>
      <c r="M355" s="258" t="s">
        <v>505</v>
      </c>
      <c r="N355" s="258" t="str">
        <f t="shared" si="6"/>
        <v>StatusTargetBuffEffect(AttackRatio, 220, Bleed)</v>
      </c>
      <c r="O355" s="258">
        <v>0</v>
      </c>
      <c r="P355" s="258">
        <v>0</v>
      </c>
      <c r="Q355" s="258"/>
      <c r="R355" s="258" t="b">
        <v>1</v>
      </c>
    </row>
    <row r="356" spans="1:18" x14ac:dyDescent="0.3">
      <c r="A356" s="258" t="s">
        <v>3916</v>
      </c>
      <c r="B356" s="258"/>
      <c r="C356" s="258"/>
      <c r="D356" s="258">
        <v>0</v>
      </c>
      <c r="E356" s="258">
        <v>1</v>
      </c>
      <c r="F356" s="232" t="s">
        <v>476</v>
      </c>
      <c r="G356" s="232" t="s">
        <v>477</v>
      </c>
      <c r="H356" s="232"/>
      <c r="I356" s="232">
        <v>0</v>
      </c>
      <c r="J356" s="258" t="s">
        <v>3633</v>
      </c>
      <c r="K356" s="258" t="s">
        <v>852</v>
      </c>
      <c r="L356" s="258">
        <v>250</v>
      </c>
      <c r="M356" s="258" t="s">
        <v>505</v>
      </c>
      <c r="N356" s="258" t="str">
        <f t="shared" si="6"/>
        <v>StatusTargetBuffEffect(AttackRatio, 250, Bleed)</v>
      </c>
      <c r="O356" s="258">
        <v>0</v>
      </c>
      <c r="P356" s="258">
        <v>0</v>
      </c>
      <c r="Q356" s="258"/>
      <c r="R356" s="258" t="b">
        <v>1</v>
      </c>
    </row>
    <row r="357" spans="1:18" x14ac:dyDescent="0.3">
      <c r="A357" s="232" t="s">
        <v>3918</v>
      </c>
      <c r="B357" s="232"/>
      <c r="C357" s="232"/>
      <c r="D357" s="232">
        <v>0</v>
      </c>
      <c r="E357" s="232">
        <v>1</v>
      </c>
      <c r="F357" s="232" t="s">
        <v>476</v>
      </c>
      <c r="G357" s="232" t="s">
        <v>477</v>
      </c>
      <c r="H357" s="232"/>
      <c r="I357" s="232">
        <v>0</v>
      </c>
      <c r="J357" s="232" t="s">
        <v>3633</v>
      </c>
      <c r="K357" s="232" t="s">
        <v>852</v>
      </c>
      <c r="L357" s="232">
        <v>90</v>
      </c>
      <c r="M357" s="232" t="s">
        <v>505</v>
      </c>
      <c r="N357" s="232" t="str">
        <f t="shared" si="6"/>
        <v>StatusTargetBuffEffect(AttackRatio, 90, Bleed)</v>
      </c>
      <c r="O357" s="232">
        <v>0</v>
      </c>
      <c r="P357" s="232">
        <v>0</v>
      </c>
      <c r="Q357" s="232"/>
      <c r="R357" s="232" t="b">
        <v>1</v>
      </c>
    </row>
    <row r="358" spans="1:18" x14ac:dyDescent="0.3">
      <c r="A358" s="232" t="s">
        <v>3920</v>
      </c>
      <c r="B358" s="232"/>
      <c r="C358" s="232"/>
      <c r="D358" s="232">
        <v>0</v>
      </c>
      <c r="E358" s="232">
        <v>1</v>
      </c>
      <c r="F358" s="232" t="s">
        <v>476</v>
      </c>
      <c r="G358" s="232" t="s">
        <v>477</v>
      </c>
      <c r="H358" s="232"/>
      <c r="I358" s="232">
        <v>0</v>
      </c>
      <c r="J358" s="232" t="s">
        <v>3633</v>
      </c>
      <c r="K358" s="232" t="s">
        <v>852</v>
      </c>
      <c r="L358" s="232">
        <v>90</v>
      </c>
      <c r="M358" s="232" t="s">
        <v>505</v>
      </c>
      <c r="N358" s="232" t="str">
        <f t="shared" si="6"/>
        <v>StatusTargetBuffEffect(AttackRatio, 90, Bleed)</v>
      </c>
      <c r="O358" s="232">
        <v>0</v>
      </c>
      <c r="P358" s="232">
        <v>0</v>
      </c>
      <c r="Q358" s="232"/>
      <c r="R358" s="232" t="b">
        <v>1</v>
      </c>
    </row>
    <row r="359" spans="1:18" x14ac:dyDescent="0.3">
      <c r="A359" s="19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9"/>
    </row>
    <row r="360" spans="1:18" x14ac:dyDescent="0.3">
      <c r="A360" s="231" t="s">
        <v>2694</v>
      </c>
      <c r="B360" s="231"/>
      <c r="C360" s="231"/>
      <c r="D360" s="231">
        <v>0</v>
      </c>
      <c r="E360" s="231">
        <v>1</v>
      </c>
      <c r="F360" s="231" t="s">
        <v>476</v>
      </c>
      <c r="G360" s="231" t="s">
        <v>477</v>
      </c>
      <c r="H360" s="231"/>
      <c r="I360" s="231">
        <v>0</v>
      </c>
      <c r="J360" s="231" t="s">
        <v>2271</v>
      </c>
      <c r="K360" s="231" t="s">
        <v>872</v>
      </c>
      <c r="L360" s="231">
        <v>600</v>
      </c>
      <c r="M360" s="231"/>
      <c r="N360" s="231" t="str">
        <f t="shared" ref="N360:N423" si="7">J360&amp;"("&amp;IF(K360="","",K360)&amp;IF(L360="","",", "&amp;L360)&amp;IF(M360="","",", "&amp;M360)&amp;")"</f>
        <v>StatusDistict(DamageDerate, 600)</v>
      </c>
      <c r="O360" s="231">
        <v>0</v>
      </c>
      <c r="P360" s="231">
        <v>0</v>
      </c>
      <c r="Q360" s="231"/>
      <c r="R360" s="231" t="b">
        <v>1</v>
      </c>
    </row>
    <row r="361" spans="1:18" x14ac:dyDescent="0.3">
      <c r="A361" s="231" t="s">
        <v>2695</v>
      </c>
      <c r="B361" s="231"/>
      <c r="C361" s="231"/>
      <c r="D361" s="231">
        <v>0</v>
      </c>
      <c r="E361" s="231">
        <v>1</v>
      </c>
      <c r="F361" s="231" t="s">
        <v>476</v>
      </c>
      <c r="G361" s="231" t="s">
        <v>477</v>
      </c>
      <c r="H361" s="231"/>
      <c r="I361" s="231">
        <v>0</v>
      </c>
      <c r="J361" s="231" t="s">
        <v>2271</v>
      </c>
      <c r="K361" s="231" t="s">
        <v>872</v>
      </c>
      <c r="L361" s="231">
        <v>700</v>
      </c>
      <c r="M361" s="231"/>
      <c r="N361" s="231" t="str">
        <f t="shared" si="7"/>
        <v>StatusDistict(DamageDerate, 700)</v>
      </c>
      <c r="O361" s="231">
        <v>0</v>
      </c>
      <c r="P361" s="231">
        <v>0</v>
      </c>
      <c r="Q361" s="231"/>
      <c r="R361" s="231" t="b">
        <v>1</v>
      </c>
    </row>
    <row r="362" spans="1:18" x14ac:dyDescent="0.3">
      <c r="A362" s="231" t="s">
        <v>2696</v>
      </c>
      <c r="B362" s="231"/>
      <c r="C362" s="231"/>
      <c r="D362" s="231">
        <v>0</v>
      </c>
      <c r="E362" s="231">
        <v>1</v>
      </c>
      <c r="F362" s="231" t="s">
        <v>476</v>
      </c>
      <c r="G362" s="231" t="s">
        <v>477</v>
      </c>
      <c r="H362" s="231"/>
      <c r="I362" s="231">
        <v>0</v>
      </c>
      <c r="J362" s="231" t="s">
        <v>2271</v>
      </c>
      <c r="K362" s="231" t="s">
        <v>872</v>
      </c>
      <c r="L362" s="231">
        <v>800</v>
      </c>
      <c r="M362" s="231"/>
      <c r="N362" s="231" t="str">
        <f t="shared" si="7"/>
        <v>StatusDistict(DamageDerate, 800)</v>
      </c>
      <c r="O362" s="231">
        <v>0</v>
      </c>
      <c r="P362" s="231">
        <v>0</v>
      </c>
      <c r="Q362" s="231"/>
      <c r="R362" s="231" t="b">
        <v>1</v>
      </c>
    </row>
    <row r="363" spans="1:18" x14ac:dyDescent="0.3">
      <c r="A363" s="231" t="s">
        <v>2697</v>
      </c>
      <c r="B363" s="231"/>
      <c r="C363" s="231"/>
      <c r="D363" s="231">
        <v>0</v>
      </c>
      <c r="E363" s="231">
        <v>1</v>
      </c>
      <c r="F363" s="231" t="s">
        <v>476</v>
      </c>
      <c r="G363" s="231" t="s">
        <v>477</v>
      </c>
      <c r="H363" s="231"/>
      <c r="I363" s="231">
        <v>0</v>
      </c>
      <c r="J363" s="231" t="s">
        <v>2271</v>
      </c>
      <c r="K363" s="231" t="s">
        <v>872</v>
      </c>
      <c r="L363" s="231">
        <v>900</v>
      </c>
      <c r="M363" s="231"/>
      <c r="N363" s="231" t="str">
        <f t="shared" si="7"/>
        <v>StatusDistict(DamageDerate, 900)</v>
      </c>
      <c r="O363" s="231">
        <v>0</v>
      </c>
      <c r="P363" s="231">
        <v>0</v>
      </c>
      <c r="Q363" s="231"/>
      <c r="R363" s="231" t="b">
        <v>1</v>
      </c>
    </row>
    <row r="364" spans="1:18" x14ac:dyDescent="0.3">
      <c r="A364" s="231" t="s">
        <v>2698</v>
      </c>
      <c r="B364" s="231"/>
      <c r="C364" s="231"/>
      <c r="D364" s="231">
        <v>0</v>
      </c>
      <c r="E364" s="231">
        <v>1</v>
      </c>
      <c r="F364" s="231" t="s">
        <v>476</v>
      </c>
      <c r="G364" s="231" t="s">
        <v>477</v>
      </c>
      <c r="H364" s="231"/>
      <c r="I364" s="231">
        <v>0</v>
      </c>
      <c r="J364" s="231" t="s">
        <v>2271</v>
      </c>
      <c r="K364" s="231" t="s">
        <v>872</v>
      </c>
      <c r="L364" s="231">
        <v>990</v>
      </c>
      <c r="M364" s="231"/>
      <c r="N364" s="231" t="str">
        <f t="shared" si="7"/>
        <v>StatusDistict(DamageDerate, 990)</v>
      </c>
      <c r="O364" s="231">
        <v>0</v>
      </c>
      <c r="P364" s="231">
        <v>0</v>
      </c>
      <c r="Q364" s="231"/>
      <c r="R364" s="231" t="b">
        <v>1</v>
      </c>
    </row>
    <row r="365" spans="1:18" x14ac:dyDescent="0.3">
      <c r="A365" s="231" t="s">
        <v>2699</v>
      </c>
      <c r="B365" s="231"/>
      <c r="C365" s="231"/>
      <c r="D365" s="231">
        <v>0</v>
      </c>
      <c r="E365" s="231">
        <v>1</v>
      </c>
      <c r="F365" s="231" t="s">
        <v>476</v>
      </c>
      <c r="G365" s="231" t="s">
        <v>477</v>
      </c>
      <c r="H365" s="231"/>
      <c r="I365" s="231">
        <v>0</v>
      </c>
      <c r="J365" s="231" t="s">
        <v>2271</v>
      </c>
      <c r="K365" s="231" t="s">
        <v>872</v>
      </c>
      <c r="L365" s="231">
        <v>990</v>
      </c>
      <c r="M365" s="231"/>
      <c r="N365" s="231" t="str">
        <f t="shared" si="7"/>
        <v>StatusDistict(DamageDerate, 990)</v>
      </c>
      <c r="O365" s="231">
        <v>0</v>
      </c>
      <c r="P365" s="231">
        <v>0</v>
      </c>
      <c r="Q365" s="231"/>
      <c r="R365" s="231" t="b">
        <v>1</v>
      </c>
    </row>
    <row r="366" spans="1:18" x14ac:dyDescent="0.3">
      <c r="A366" s="231" t="s">
        <v>2700</v>
      </c>
      <c r="B366" s="231"/>
      <c r="C366" s="231"/>
      <c r="D366" s="231">
        <v>0</v>
      </c>
      <c r="E366" s="231">
        <v>1</v>
      </c>
      <c r="F366" s="231" t="s">
        <v>476</v>
      </c>
      <c r="G366" s="231" t="s">
        <v>477</v>
      </c>
      <c r="H366" s="231"/>
      <c r="I366" s="231">
        <v>0</v>
      </c>
      <c r="J366" s="231" t="s">
        <v>2271</v>
      </c>
      <c r="K366" s="231" t="s">
        <v>872</v>
      </c>
      <c r="L366" s="231">
        <v>900</v>
      </c>
      <c r="M366" s="231"/>
      <c r="N366" s="231" t="str">
        <f t="shared" si="7"/>
        <v>StatusDistict(DamageDerate, 900)</v>
      </c>
      <c r="O366" s="231">
        <v>0</v>
      </c>
      <c r="P366" s="231">
        <v>0</v>
      </c>
      <c r="Q366" s="231"/>
      <c r="R366" s="231" t="b">
        <v>1</v>
      </c>
    </row>
    <row r="367" spans="1:18" x14ac:dyDescent="0.3">
      <c r="A367" s="157" t="s">
        <v>2701</v>
      </c>
      <c r="B367" s="157"/>
      <c r="C367" s="157"/>
      <c r="D367" s="157">
        <v>0</v>
      </c>
      <c r="E367" s="157">
        <v>1</v>
      </c>
      <c r="F367" s="157" t="s">
        <v>476</v>
      </c>
      <c r="G367" s="157" t="s">
        <v>477</v>
      </c>
      <c r="H367" s="157"/>
      <c r="I367" s="157">
        <v>0</v>
      </c>
      <c r="J367" s="157" t="s">
        <v>846</v>
      </c>
      <c r="K367" s="157" t="s">
        <v>869</v>
      </c>
      <c r="L367" s="157">
        <v>125</v>
      </c>
      <c r="M367" s="157"/>
      <c r="N367" s="157" t="str">
        <f t="shared" si="7"/>
        <v>Status(AddEnergyRate, 125)</v>
      </c>
      <c r="O367" s="157">
        <v>0</v>
      </c>
      <c r="P367" s="157">
        <v>0</v>
      </c>
      <c r="Q367" s="157"/>
      <c r="R367" s="157" t="b">
        <v>1</v>
      </c>
    </row>
    <row r="368" spans="1:18" x14ac:dyDescent="0.3">
      <c r="A368" s="157" t="s">
        <v>2702</v>
      </c>
      <c r="B368" s="157"/>
      <c r="C368" s="157"/>
      <c r="D368" s="157">
        <v>0</v>
      </c>
      <c r="E368" s="157">
        <v>1</v>
      </c>
      <c r="F368" s="157" t="s">
        <v>476</v>
      </c>
      <c r="G368" s="157" t="s">
        <v>477</v>
      </c>
      <c r="H368" s="157"/>
      <c r="I368" s="157">
        <v>0</v>
      </c>
      <c r="J368" s="157" t="s">
        <v>846</v>
      </c>
      <c r="K368" s="157" t="s">
        <v>869</v>
      </c>
      <c r="L368" s="157">
        <v>150</v>
      </c>
      <c r="M368" s="157"/>
      <c r="N368" s="157" t="str">
        <f t="shared" si="7"/>
        <v>Status(AddEnergyRate, 150)</v>
      </c>
      <c r="O368" s="157">
        <v>0</v>
      </c>
      <c r="P368" s="157">
        <v>0</v>
      </c>
      <c r="Q368" s="157"/>
      <c r="R368" s="157" t="b">
        <v>1</v>
      </c>
    </row>
    <row r="369" spans="1:18" x14ac:dyDescent="0.3">
      <c r="A369" s="157" t="s">
        <v>2703</v>
      </c>
      <c r="B369" s="157"/>
      <c r="C369" s="157"/>
      <c r="D369" s="157">
        <v>0</v>
      </c>
      <c r="E369" s="157">
        <v>1</v>
      </c>
      <c r="F369" s="157" t="s">
        <v>476</v>
      </c>
      <c r="G369" s="157" t="s">
        <v>477</v>
      </c>
      <c r="H369" s="157"/>
      <c r="I369" s="157">
        <v>0</v>
      </c>
      <c r="J369" s="157" t="s">
        <v>846</v>
      </c>
      <c r="K369" s="157" t="s">
        <v>869</v>
      </c>
      <c r="L369" s="157">
        <v>175</v>
      </c>
      <c r="M369" s="157"/>
      <c r="N369" s="157" t="str">
        <f t="shared" si="7"/>
        <v>Status(AddEnergyRate, 175)</v>
      </c>
      <c r="O369" s="157">
        <v>0</v>
      </c>
      <c r="P369" s="157">
        <v>0</v>
      </c>
      <c r="Q369" s="157"/>
      <c r="R369" s="157" t="b">
        <v>1</v>
      </c>
    </row>
    <row r="370" spans="1:18" x14ac:dyDescent="0.3">
      <c r="A370" s="157" t="s">
        <v>2704</v>
      </c>
      <c r="B370" s="157"/>
      <c r="C370" s="157"/>
      <c r="D370" s="157">
        <v>0</v>
      </c>
      <c r="E370" s="157">
        <v>1</v>
      </c>
      <c r="F370" s="157" t="s">
        <v>476</v>
      </c>
      <c r="G370" s="157" t="s">
        <v>477</v>
      </c>
      <c r="H370" s="157"/>
      <c r="I370" s="157">
        <v>0</v>
      </c>
      <c r="J370" s="157" t="s">
        <v>846</v>
      </c>
      <c r="K370" s="157" t="s">
        <v>869</v>
      </c>
      <c r="L370" s="157">
        <v>200</v>
      </c>
      <c r="M370" s="157"/>
      <c r="N370" s="157" t="str">
        <f t="shared" si="7"/>
        <v>Status(AddEnergyRate, 200)</v>
      </c>
      <c r="O370" s="157">
        <v>0</v>
      </c>
      <c r="P370" s="157">
        <v>0</v>
      </c>
      <c r="Q370" s="157"/>
      <c r="R370" s="157" t="b">
        <v>1</v>
      </c>
    </row>
    <row r="371" spans="1:18" x14ac:dyDescent="0.3">
      <c r="A371" s="157" t="s">
        <v>2705</v>
      </c>
      <c r="B371" s="157"/>
      <c r="C371" s="157"/>
      <c r="D371" s="157">
        <v>0</v>
      </c>
      <c r="E371" s="157">
        <v>1</v>
      </c>
      <c r="F371" s="157" t="s">
        <v>476</v>
      </c>
      <c r="G371" s="157" t="s">
        <v>477</v>
      </c>
      <c r="H371" s="157"/>
      <c r="I371" s="157">
        <v>0</v>
      </c>
      <c r="J371" s="157" t="s">
        <v>846</v>
      </c>
      <c r="K371" s="157" t="s">
        <v>869</v>
      </c>
      <c r="L371" s="157">
        <v>225</v>
      </c>
      <c r="M371" s="157"/>
      <c r="N371" s="157" t="str">
        <f t="shared" si="7"/>
        <v>Status(AddEnergyRate, 225)</v>
      </c>
      <c r="O371" s="157">
        <v>0</v>
      </c>
      <c r="P371" s="157">
        <v>0</v>
      </c>
      <c r="Q371" s="157"/>
      <c r="R371" s="157" t="b">
        <v>1</v>
      </c>
    </row>
    <row r="372" spans="1:18" x14ac:dyDescent="0.3">
      <c r="A372" s="157" t="s">
        <v>2706</v>
      </c>
      <c r="B372" s="157"/>
      <c r="C372" s="157"/>
      <c r="D372" s="157">
        <v>0</v>
      </c>
      <c r="E372" s="157">
        <v>1</v>
      </c>
      <c r="F372" s="157" t="s">
        <v>476</v>
      </c>
      <c r="G372" s="157" t="s">
        <v>477</v>
      </c>
      <c r="H372" s="157"/>
      <c r="I372" s="157">
        <v>0</v>
      </c>
      <c r="J372" s="157" t="s">
        <v>846</v>
      </c>
      <c r="K372" s="157" t="s">
        <v>869</v>
      </c>
      <c r="L372" s="157">
        <v>1000</v>
      </c>
      <c r="M372" s="157"/>
      <c r="N372" s="157" t="str">
        <f t="shared" si="7"/>
        <v>Status(AddEnergyRate, 1000)</v>
      </c>
      <c r="O372" s="157">
        <v>0</v>
      </c>
      <c r="P372" s="157">
        <v>0</v>
      </c>
      <c r="Q372" s="157"/>
      <c r="R372" s="157" t="b">
        <v>1</v>
      </c>
    </row>
    <row r="373" spans="1:18" x14ac:dyDescent="0.3">
      <c r="A373" s="157" t="s">
        <v>2707</v>
      </c>
      <c r="B373" s="157"/>
      <c r="C373" s="157"/>
      <c r="D373" s="157">
        <v>0</v>
      </c>
      <c r="E373" s="157">
        <v>1</v>
      </c>
      <c r="F373" s="157" t="s">
        <v>476</v>
      </c>
      <c r="G373" s="157" t="s">
        <v>477</v>
      </c>
      <c r="H373" s="157"/>
      <c r="I373" s="157">
        <v>0</v>
      </c>
      <c r="J373" s="157" t="s">
        <v>846</v>
      </c>
      <c r="K373" s="157" t="s">
        <v>869</v>
      </c>
      <c r="L373" s="157">
        <v>1000</v>
      </c>
      <c r="M373" s="157"/>
      <c r="N373" s="157" t="str">
        <f t="shared" si="7"/>
        <v>Status(AddEnergyRate, 1000)</v>
      </c>
      <c r="O373" s="157">
        <v>0</v>
      </c>
      <c r="P373" s="157">
        <v>0</v>
      </c>
      <c r="Q373" s="157"/>
      <c r="R373" s="157" t="b">
        <v>1</v>
      </c>
    </row>
    <row r="374" spans="1:18" x14ac:dyDescent="0.3">
      <c r="A374" s="231" t="s">
        <v>2708</v>
      </c>
      <c r="B374" s="231"/>
      <c r="C374" s="231"/>
      <c r="D374" s="231">
        <v>0</v>
      </c>
      <c r="E374" s="231">
        <v>1</v>
      </c>
      <c r="F374" s="231" t="s">
        <v>476</v>
      </c>
      <c r="G374" s="231" t="s">
        <v>477</v>
      </c>
      <c r="H374" s="231"/>
      <c r="I374" s="231">
        <v>0</v>
      </c>
      <c r="J374" s="231" t="s">
        <v>846</v>
      </c>
      <c r="K374" s="231" t="s">
        <v>852</v>
      </c>
      <c r="L374" s="231">
        <v>40</v>
      </c>
      <c r="M374" s="231"/>
      <c r="N374" s="231" t="str">
        <f t="shared" si="7"/>
        <v>Status(AttackRatio, 40)</v>
      </c>
      <c r="O374" s="231">
        <v>0</v>
      </c>
      <c r="P374" s="231">
        <v>0</v>
      </c>
      <c r="Q374" s="231"/>
      <c r="R374" s="231" t="b">
        <v>1</v>
      </c>
    </row>
    <row r="375" spans="1:18" x14ac:dyDescent="0.3">
      <c r="A375" s="231" t="s">
        <v>2709</v>
      </c>
      <c r="B375" s="231"/>
      <c r="C375" s="231"/>
      <c r="D375" s="231">
        <v>0</v>
      </c>
      <c r="E375" s="231">
        <v>1</v>
      </c>
      <c r="F375" s="231" t="s">
        <v>476</v>
      </c>
      <c r="G375" s="231" t="s">
        <v>477</v>
      </c>
      <c r="H375" s="231"/>
      <c r="I375" s="231">
        <v>0</v>
      </c>
      <c r="J375" s="231" t="s">
        <v>846</v>
      </c>
      <c r="K375" s="231" t="s">
        <v>852</v>
      </c>
      <c r="L375" s="231">
        <v>60</v>
      </c>
      <c r="M375" s="231"/>
      <c r="N375" s="231" t="str">
        <f t="shared" si="7"/>
        <v>Status(AttackRatio, 60)</v>
      </c>
      <c r="O375" s="231">
        <v>0</v>
      </c>
      <c r="P375" s="231">
        <v>0</v>
      </c>
      <c r="Q375" s="231"/>
      <c r="R375" s="231" t="b">
        <v>1</v>
      </c>
    </row>
    <row r="376" spans="1:18" x14ac:dyDescent="0.3">
      <c r="A376" s="231" t="s">
        <v>2710</v>
      </c>
      <c r="B376" s="231"/>
      <c r="C376" s="231"/>
      <c r="D376" s="231">
        <v>0</v>
      </c>
      <c r="E376" s="231">
        <v>1</v>
      </c>
      <c r="F376" s="231" t="s">
        <v>476</v>
      </c>
      <c r="G376" s="231" t="s">
        <v>477</v>
      </c>
      <c r="H376" s="231"/>
      <c r="I376" s="231">
        <v>0</v>
      </c>
      <c r="J376" s="231" t="s">
        <v>846</v>
      </c>
      <c r="K376" s="231" t="s">
        <v>852</v>
      </c>
      <c r="L376" s="231">
        <v>80</v>
      </c>
      <c r="M376" s="231"/>
      <c r="N376" s="231" t="str">
        <f t="shared" si="7"/>
        <v>Status(AttackRatio, 80)</v>
      </c>
      <c r="O376" s="231">
        <v>0</v>
      </c>
      <c r="P376" s="231">
        <v>0</v>
      </c>
      <c r="Q376" s="231"/>
      <c r="R376" s="231" t="b">
        <v>1</v>
      </c>
    </row>
    <row r="377" spans="1:18" x14ac:dyDescent="0.3">
      <c r="A377" s="231" t="s">
        <v>2711</v>
      </c>
      <c r="B377" s="231"/>
      <c r="C377" s="231"/>
      <c r="D377" s="231">
        <v>0</v>
      </c>
      <c r="E377" s="231">
        <v>1</v>
      </c>
      <c r="F377" s="231" t="s">
        <v>476</v>
      </c>
      <c r="G377" s="231" t="s">
        <v>477</v>
      </c>
      <c r="H377" s="231"/>
      <c r="I377" s="231">
        <v>0</v>
      </c>
      <c r="J377" s="231" t="s">
        <v>846</v>
      </c>
      <c r="K377" s="231" t="s">
        <v>852</v>
      </c>
      <c r="L377" s="231">
        <v>100</v>
      </c>
      <c r="M377" s="231"/>
      <c r="N377" s="231" t="str">
        <f t="shared" si="7"/>
        <v>Status(AttackRatio, 100)</v>
      </c>
      <c r="O377" s="231">
        <v>0</v>
      </c>
      <c r="P377" s="231">
        <v>0</v>
      </c>
      <c r="Q377" s="231"/>
      <c r="R377" s="231" t="b">
        <v>1</v>
      </c>
    </row>
    <row r="378" spans="1:18" x14ac:dyDescent="0.3">
      <c r="A378" s="231" t="s">
        <v>2712</v>
      </c>
      <c r="B378" s="231"/>
      <c r="C378" s="231"/>
      <c r="D378" s="231">
        <v>0</v>
      </c>
      <c r="E378" s="231">
        <v>1</v>
      </c>
      <c r="F378" s="231" t="s">
        <v>476</v>
      </c>
      <c r="G378" s="231" t="s">
        <v>477</v>
      </c>
      <c r="H378" s="231"/>
      <c r="I378" s="231">
        <v>0</v>
      </c>
      <c r="J378" s="231" t="s">
        <v>846</v>
      </c>
      <c r="K378" s="231" t="s">
        <v>852</v>
      </c>
      <c r="L378" s="231">
        <v>120</v>
      </c>
      <c r="M378" s="231"/>
      <c r="N378" s="231" t="str">
        <f t="shared" si="7"/>
        <v>Status(AttackRatio, 120)</v>
      </c>
      <c r="O378" s="231">
        <v>0</v>
      </c>
      <c r="P378" s="231">
        <v>0</v>
      </c>
      <c r="Q378" s="231"/>
      <c r="R378" s="231" t="b">
        <v>1</v>
      </c>
    </row>
    <row r="379" spans="1:18" x14ac:dyDescent="0.3">
      <c r="A379" s="231" t="s">
        <v>2713</v>
      </c>
      <c r="B379" s="231"/>
      <c r="C379" s="231"/>
      <c r="D379" s="231">
        <v>0</v>
      </c>
      <c r="E379" s="231">
        <v>1</v>
      </c>
      <c r="F379" s="231" t="s">
        <v>476</v>
      </c>
      <c r="G379" s="231" t="s">
        <v>477</v>
      </c>
      <c r="H379" s="231"/>
      <c r="I379" s="231">
        <v>0</v>
      </c>
      <c r="J379" s="231" t="s">
        <v>846</v>
      </c>
      <c r="K379" s="231" t="s">
        <v>852</v>
      </c>
      <c r="L379" s="231">
        <v>1000</v>
      </c>
      <c r="M379" s="231"/>
      <c r="N379" s="231" t="str">
        <f t="shared" si="7"/>
        <v>Status(AttackRatio, 1000)</v>
      </c>
      <c r="O379" s="231">
        <v>0</v>
      </c>
      <c r="P379" s="231">
        <v>0</v>
      </c>
      <c r="Q379" s="231"/>
      <c r="R379" s="231" t="b">
        <v>1</v>
      </c>
    </row>
    <row r="380" spans="1:18" x14ac:dyDescent="0.3">
      <c r="A380" s="231" t="s">
        <v>2714</v>
      </c>
      <c r="B380" s="231"/>
      <c r="C380" s="231"/>
      <c r="D380" s="231">
        <v>0</v>
      </c>
      <c r="E380" s="231">
        <v>1</v>
      </c>
      <c r="F380" s="231" t="s">
        <v>476</v>
      </c>
      <c r="G380" s="231" t="s">
        <v>477</v>
      </c>
      <c r="H380" s="231"/>
      <c r="I380" s="231">
        <v>0</v>
      </c>
      <c r="J380" s="231" t="s">
        <v>846</v>
      </c>
      <c r="K380" s="231" t="s">
        <v>852</v>
      </c>
      <c r="L380" s="231">
        <v>1000</v>
      </c>
      <c r="M380" s="231"/>
      <c r="N380" s="231" t="str">
        <f t="shared" si="7"/>
        <v>Status(AttackRatio, 1000)</v>
      </c>
      <c r="O380" s="231">
        <v>0</v>
      </c>
      <c r="P380" s="231">
        <v>0</v>
      </c>
      <c r="Q380" s="231"/>
      <c r="R380" s="231" t="b">
        <v>1</v>
      </c>
    </row>
    <row r="381" spans="1:18" x14ac:dyDescent="0.3">
      <c r="A381" s="157" t="s">
        <v>2715</v>
      </c>
      <c r="B381" s="157"/>
      <c r="C381" s="157"/>
      <c r="D381" s="157">
        <v>0</v>
      </c>
      <c r="E381" s="157">
        <v>1</v>
      </c>
      <c r="F381" s="157" t="s">
        <v>476</v>
      </c>
      <c r="G381" s="157" t="s">
        <v>477</v>
      </c>
      <c r="H381" s="157"/>
      <c r="I381" s="157">
        <v>0</v>
      </c>
      <c r="J381" s="157" t="s">
        <v>846</v>
      </c>
      <c r="K381" s="157" t="s">
        <v>2272</v>
      </c>
      <c r="L381" s="157">
        <v>75</v>
      </c>
      <c r="M381" s="157"/>
      <c r="N381" s="157" t="str">
        <f t="shared" si="7"/>
        <v>Status(UltimateDamageRate, 75)</v>
      </c>
      <c r="O381" s="157">
        <v>0</v>
      </c>
      <c r="P381" s="157">
        <v>0</v>
      </c>
      <c r="Q381" s="157"/>
      <c r="R381" s="157" t="b">
        <v>1</v>
      </c>
    </row>
    <row r="382" spans="1:18" x14ac:dyDescent="0.3">
      <c r="A382" s="157" t="s">
        <v>2716</v>
      </c>
      <c r="B382" s="157"/>
      <c r="C382" s="157"/>
      <c r="D382" s="157">
        <v>0</v>
      </c>
      <c r="E382" s="157">
        <v>1</v>
      </c>
      <c r="F382" s="157" t="s">
        <v>476</v>
      </c>
      <c r="G382" s="157" t="s">
        <v>477</v>
      </c>
      <c r="H382" s="157"/>
      <c r="I382" s="157">
        <v>0</v>
      </c>
      <c r="J382" s="157" t="s">
        <v>846</v>
      </c>
      <c r="K382" s="157" t="s">
        <v>2272</v>
      </c>
      <c r="L382" s="157">
        <v>100</v>
      </c>
      <c r="M382" s="157"/>
      <c r="N382" s="157" t="str">
        <f t="shared" si="7"/>
        <v>Status(UltimateDamageRate, 100)</v>
      </c>
      <c r="O382" s="157">
        <v>0</v>
      </c>
      <c r="P382" s="157">
        <v>0</v>
      </c>
      <c r="Q382" s="157"/>
      <c r="R382" s="157" t="b">
        <v>1</v>
      </c>
    </row>
    <row r="383" spans="1:18" x14ac:dyDescent="0.3">
      <c r="A383" s="157" t="s">
        <v>2717</v>
      </c>
      <c r="B383" s="157"/>
      <c r="C383" s="157"/>
      <c r="D383" s="157">
        <v>0</v>
      </c>
      <c r="E383" s="157">
        <v>1</v>
      </c>
      <c r="F383" s="157" t="s">
        <v>476</v>
      </c>
      <c r="G383" s="157" t="s">
        <v>477</v>
      </c>
      <c r="H383" s="157"/>
      <c r="I383" s="157">
        <v>0</v>
      </c>
      <c r="J383" s="157" t="s">
        <v>846</v>
      </c>
      <c r="K383" s="157" t="s">
        <v>2272</v>
      </c>
      <c r="L383" s="157">
        <v>125</v>
      </c>
      <c r="M383" s="157"/>
      <c r="N383" s="157" t="str">
        <f t="shared" si="7"/>
        <v>Status(UltimateDamageRate, 125)</v>
      </c>
      <c r="O383" s="157">
        <v>0</v>
      </c>
      <c r="P383" s="157">
        <v>0</v>
      </c>
      <c r="Q383" s="157"/>
      <c r="R383" s="157" t="b">
        <v>1</v>
      </c>
    </row>
    <row r="384" spans="1:18" x14ac:dyDescent="0.3">
      <c r="A384" s="157" t="s">
        <v>2718</v>
      </c>
      <c r="B384" s="157"/>
      <c r="C384" s="157"/>
      <c r="D384" s="157">
        <v>0</v>
      </c>
      <c r="E384" s="157">
        <v>1</v>
      </c>
      <c r="F384" s="157" t="s">
        <v>476</v>
      </c>
      <c r="G384" s="157" t="s">
        <v>477</v>
      </c>
      <c r="H384" s="157"/>
      <c r="I384" s="157">
        <v>0</v>
      </c>
      <c r="J384" s="157" t="s">
        <v>846</v>
      </c>
      <c r="K384" s="157" t="s">
        <v>2272</v>
      </c>
      <c r="L384" s="157">
        <v>150</v>
      </c>
      <c r="M384" s="157"/>
      <c r="N384" s="157" t="str">
        <f t="shared" si="7"/>
        <v>Status(UltimateDamageRate, 150)</v>
      </c>
      <c r="O384" s="157">
        <v>0</v>
      </c>
      <c r="P384" s="157">
        <v>0</v>
      </c>
      <c r="Q384" s="157"/>
      <c r="R384" s="157" t="b">
        <v>1</v>
      </c>
    </row>
    <row r="385" spans="1:18" x14ac:dyDescent="0.3">
      <c r="A385" s="157" t="s">
        <v>2719</v>
      </c>
      <c r="B385" s="157"/>
      <c r="C385" s="157"/>
      <c r="D385" s="157">
        <v>0</v>
      </c>
      <c r="E385" s="157">
        <v>1</v>
      </c>
      <c r="F385" s="157" t="s">
        <v>476</v>
      </c>
      <c r="G385" s="157" t="s">
        <v>477</v>
      </c>
      <c r="H385" s="157"/>
      <c r="I385" s="157">
        <v>0</v>
      </c>
      <c r="J385" s="157" t="s">
        <v>846</v>
      </c>
      <c r="K385" s="157" t="s">
        <v>2272</v>
      </c>
      <c r="L385" s="157">
        <v>175</v>
      </c>
      <c r="M385" s="157"/>
      <c r="N385" s="157" t="str">
        <f t="shared" si="7"/>
        <v>Status(UltimateDamageRate, 175)</v>
      </c>
      <c r="O385" s="157">
        <v>0</v>
      </c>
      <c r="P385" s="157">
        <v>0</v>
      </c>
      <c r="Q385" s="157"/>
      <c r="R385" s="157" t="b">
        <v>1</v>
      </c>
    </row>
    <row r="386" spans="1:18" x14ac:dyDescent="0.3">
      <c r="A386" s="157" t="s">
        <v>2720</v>
      </c>
      <c r="B386" s="157"/>
      <c r="C386" s="157"/>
      <c r="D386" s="157">
        <v>0</v>
      </c>
      <c r="E386" s="157">
        <v>1</v>
      </c>
      <c r="F386" s="157" t="s">
        <v>476</v>
      </c>
      <c r="G386" s="157" t="s">
        <v>477</v>
      </c>
      <c r="H386" s="157"/>
      <c r="I386" s="157">
        <v>0</v>
      </c>
      <c r="J386" s="157" t="s">
        <v>846</v>
      </c>
      <c r="K386" s="157" t="s">
        <v>2272</v>
      </c>
      <c r="L386" s="157">
        <v>1000</v>
      </c>
      <c r="M386" s="157"/>
      <c r="N386" s="157" t="str">
        <f t="shared" si="7"/>
        <v>Status(UltimateDamageRate, 1000)</v>
      </c>
      <c r="O386" s="157">
        <v>0</v>
      </c>
      <c r="P386" s="157">
        <v>0</v>
      </c>
      <c r="Q386" s="157"/>
      <c r="R386" s="157" t="b">
        <v>1</v>
      </c>
    </row>
    <row r="387" spans="1:18" x14ac:dyDescent="0.3">
      <c r="A387" s="157" t="s">
        <v>2721</v>
      </c>
      <c r="B387" s="157"/>
      <c r="C387" s="157"/>
      <c r="D387" s="157">
        <v>0</v>
      </c>
      <c r="E387" s="157">
        <v>1</v>
      </c>
      <c r="F387" s="157" t="s">
        <v>476</v>
      </c>
      <c r="G387" s="157" t="s">
        <v>477</v>
      </c>
      <c r="H387" s="157"/>
      <c r="I387" s="157">
        <v>0</v>
      </c>
      <c r="J387" s="157" t="s">
        <v>846</v>
      </c>
      <c r="K387" s="157" t="s">
        <v>2272</v>
      </c>
      <c r="L387" s="157">
        <v>1000</v>
      </c>
      <c r="M387" s="157"/>
      <c r="N387" s="157" t="str">
        <f t="shared" si="7"/>
        <v>Status(UltimateDamageRate, 1000)</v>
      </c>
      <c r="O387" s="157">
        <v>0</v>
      </c>
      <c r="P387" s="157">
        <v>0</v>
      </c>
      <c r="Q387" s="157"/>
      <c r="R387" s="157" t="b">
        <v>1</v>
      </c>
    </row>
    <row r="388" spans="1:18" x14ac:dyDescent="0.3">
      <c r="A388" s="159" t="s">
        <v>2722</v>
      </c>
      <c r="B388" s="159" t="s">
        <v>2273</v>
      </c>
      <c r="C388" s="159" t="s">
        <v>2274</v>
      </c>
      <c r="D388" s="159">
        <v>0</v>
      </c>
      <c r="E388" s="159">
        <v>1</v>
      </c>
      <c r="F388" s="159" t="s">
        <v>476</v>
      </c>
      <c r="G388" s="159" t="s">
        <v>477</v>
      </c>
      <c r="H388" s="159"/>
      <c r="I388" s="159">
        <v>0</v>
      </c>
      <c r="J388" s="159" t="s">
        <v>860</v>
      </c>
      <c r="K388" s="159" t="s">
        <v>2723</v>
      </c>
      <c r="L388" s="159"/>
      <c r="M388" s="159"/>
      <c r="N388" s="159" t="str">
        <f t="shared" si="7"/>
        <v>Active(m.yurizia.passive.position.skilleffect.01)</v>
      </c>
      <c r="O388" s="159">
        <v>0</v>
      </c>
      <c r="P388" s="159">
        <v>0</v>
      </c>
      <c r="Q388" s="159"/>
      <c r="R388" s="159" t="b">
        <v>1</v>
      </c>
    </row>
    <row r="389" spans="1:18" x14ac:dyDescent="0.3">
      <c r="A389" s="159" t="s">
        <v>2724</v>
      </c>
      <c r="B389" s="159" t="s">
        <v>2273</v>
      </c>
      <c r="C389" s="159" t="s">
        <v>2275</v>
      </c>
      <c r="D389" s="159">
        <v>0</v>
      </c>
      <c r="E389" s="159">
        <v>1</v>
      </c>
      <c r="F389" s="159" t="s">
        <v>476</v>
      </c>
      <c r="G389" s="159" t="s">
        <v>477</v>
      </c>
      <c r="H389" s="159"/>
      <c r="I389" s="159">
        <v>0</v>
      </c>
      <c r="J389" s="159" t="s">
        <v>860</v>
      </c>
      <c r="K389" s="159" t="s">
        <v>2725</v>
      </c>
      <c r="L389" s="159"/>
      <c r="M389" s="159"/>
      <c r="N389" s="159" t="str">
        <f t="shared" si="7"/>
        <v>Active(m.yurizia.passive.position.skilleffect.02)</v>
      </c>
      <c r="O389" s="159">
        <v>0</v>
      </c>
      <c r="P389" s="159">
        <v>0</v>
      </c>
      <c r="Q389" s="159"/>
      <c r="R389" s="159" t="b">
        <v>1</v>
      </c>
    </row>
    <row r="390" spans="1:18" x14ac:dyDescent="0.3">
      <c r="A390" s="159" t="s">
        <v>2726</v>
      </c>
      <c r="B390" s="159" t="s">
        <v>2273</v>
      </c>
      <c r="C390" s="159" t="s">
        <v>2276</v>
      </c>
      <c r="D390" s="159">
        <v>0</v>
      </c>
      <c r="E390" s="159">
        <v>1</v>
      </c>
      <c r="F390" s="159" t="s">
        <v>476</v>
      </c>
      <c r="G390" s="159" t="s">
        <v>477</v>
      </c>
      <c r="H390" s="159"/>
      <c r="I390" s="159">
        <v>0</v>
      </c>
      <c r="J390" s="159" t="s">
        <v>860</v>
      </c>
      <c r="K390" s="159" t="s">
        <v>2727</v>
      </c>
      <c r="L390" s="159"/>
      <c r="M390" s="159"/>
      <c r="N390" s="159" t="str">
        <f t="shared" si="7"/>
        <v>Active(m.yurizia.passive.position.skilleffect.03)</v>
      </c>
      <c r="O390" s="159">
        <v>0</v>
      </c>
      <c r="P390" s="159">
        <v>0</v>
      </c>
      <c r="Q390" s="159"/>
      <c r="R390" s="159" t="b">
        <v>1</v>
      </c>
    </row>
    <row r="391" spans="1:18" x14ac:dyDescent="0.3">
      <c r="A391" s="157" t="s">
        <v>2728</v>
      </c>
      <c r="B391" s="157"/>
      <c r="C391" s="157"/>
      <c r="D391" s="157">
        <v>0</v>
      </c>
      <c r="E391" s="157">
        <v>1</v>
      </c>
      <c r="F391" s="157" t="s">
        <v>2277</v>
      </c>
      <c r="G391" s="157" t="s">
        <v>485</v>
      </c>
      <c r="H391" s="157"/>
      <c r="I391" s="157">
        <v>0</v>
      </c>
      <c r="J391" s="157" t="s">
        <v>1380</v>
      </c>
      <c r="K391" s="157" t="s">
        <v>2729</v>
      </c>
      <c r="L391" s="157"/>
      <c r="M391" s="157"/>
      <c r="N391" s="157" t="str">
        <f t="shared" si="7"/>
        <v>Passive(m.yurizia.passive.consume.buff.01)</v>
      </c>
      <c r="O391" s="157">
        <v>0</v>
      </c>
      <c r="P391" s="157">
        <v>0</v>
      </c>
      <c r="Q391" s="157"/>
      <c r="R391" s="157" t="b">
        <v>1</v>
      </c>
    </row>
    <row r="392" spans="1:18" x14ac:dyDescent="0.3">
      <c r="A392" s="157" t="s">
        <v>2730</v>
      </c>
      <c r="B392" s="157"/>
      <c r="C392" s="157"/>
      <c r="D392" s="157">
        <v>0</v>
      </c>
      <c r="E392" s="157">
        <v>1</v>
      </c>
      <c r="F392" s="157" t="s">
        <v>2277</v>
      </c>
      <c r="G392" s="157" t="s">
        <v>485</v>
      </c>
      <c r="H392" s="157"/>
      <c r="I392" s="157">
        <v>0</v>
      </c>
      <c r="J392" s="157" t="s">
        <v>1380</v>
      </c>
      <c r="K392" s="157" t="s">
        <v>2731</v>
      </c>
      <c r="L392" s="157"/>
      <c r="M392" s="157"/>
      <c r="N392" s="157" t="str">
        <f t="shared" si="7"/>
        <v>Passive(m.yurizia.passive.consume.buff.02)</v>
      </c>
      <c r="O392" s="157">
        <v>0</v>
      </c>
      <c r="P392" s="157">
        <v>0</v>
      </c>
      <c r="Q392" s="157"/>
      <c r="R392" s="157" t="b">
        <v>1</v>
      </c>
    </row>
    <row r="393" spans="1:18" x14ac:dyDescent="0.3">
      <c r="A393" s="157" t="s">
        <v>2732</v>
      </c>
      <c r="B393" s="157"/>
      <c r="C393" s="157"/>
      <c r="D393" s="157">
        <v>0</v>
      </c>
      <c r="E393" s="157">
        <v>1</v>
      </c>
      <c r="F393" s="157" t="s">
        <v>2277</v>
      </c>
      <c r="G393" s="157" t="s">
        <v>485</v>
      </c>
      <c r="H393" s="157"/>
      <c r="I393" s="157">
        <v>0</v>
      </c>
      <c r="J393" s="157" t="s">
        <v>1380</v>
      </c>
      <c r="K393" s="157" t="s">
        <v>2733</v>
      </c>
      <c r="L393" s="157"/>
      <c r="M393" s="157"/>
      <c r="N393" s="157" t="str">
        <f t="shared" si="7"/>
        <v>Passive(m.yurizia.passive.consume.buff.03)</v>
      </c>
      <c r="O393" s="157">
        <v>0</v>
      </c>
      <c r="P393" s="157">
        <v>0</v>
      </c>
      <c r="Q393" s="157"/>
      <c r="R393" s="157" t="b">
        <v>1</v>
      </c>
    </row>
    <row r="394" spans="1:18" x14ac:dyDescent="0.3">
      <c r="A394" s="157" t="s">
        <v>2734</v>
      </c>
      <c r="B394" s="157"/>
      <c r="C394" s="157"/>
      <c r="D394" s="157">
        <v>0</v>
      </c>
      <c r="E394" s="157">
        <v>1</v>
      </c>
      <c r="F394" s="157" t="s">
        <v>2277</v>
      </c>
      <c r="G394" s="157" t="s">
        <v>485</v>
      </c>
      <c r="H394" s="157"/>
      <c r="I394" s="157">
        <v>0</v>
      </c>
      <c r="J394" s="157" t="s">
        <v>1380</v>
      </c>
      <c r="K394" s="157" t="s">
        <v>2735</v>
      </c>
      <c r="L394" s="157"/>
      <c r="M394" s="157"/>
      <c r="N394" s="157" t="str">
        <f t="shared" si="7"/>
        <v>Passive(m.yurizia.passive.consume.buff.04)</v>
      </c>
      <c r="O394" s="157">
        <v>0</v>
      </c>
      <c r="P394" s="157">
        <v>0</v>
      </c>
      <c r="Q394" s="157"/>
      <c r="R394" s="157" t="b">
        <v>1</v>
      </c>
    </row>
    <row r="395" spans="1:18" x14ac:dyDescent="0.3">
      <c r="A395" s="157" t="s">
        <v>2736</v>
      </c>
      <c r="B395" s="157"/>
      <c r="C395" s="157"/>
      <c r="D395" s="157">
        <v>0</v>
      </c>
      <c r="E395" s="157">
        <v>1</v>
      </c>
      <c r="F395" s="157" t="s">
        <v>2277</v>
      </c>
      <c r="G395" s="157" t="s">
        <v>485</v>
      </c>
      <c r="H395" s="157"/>
      <c r="I395" s="157">
        <v>0</v>
      </c>
      <c r="J395" s="157" t="s">
        <v>1380</v>
      </c>
      <c r="K395" s="157" t="s">
        <v>2737</v>
      </c>
      <c r="L395" s="157"/>
      <c r="M395" s="157"/>
      <c r="N395" s="157" t="str">
        <f t="shared" si="7"/>
        <v>Passive(m.yurizia.passive.consume.buff.05)</v>
      </c>
      <c r="O395" s="157">
        <v>0</v>
      </c>
      <c r="P395" s="157">
        <v>0</v>
      </c>
      <c r="Q395" s="157"/>
      <c r="R395" s="157" t="b">
        <v>1</v>
      </c>
    </row>
    <row r="396" spans="1:18" x14ac:dyDescent="0.3">
      <c r="A396" s="157" t="s">
        <v>2738</v>
      </c>
      <c r="B396" s="157"/>
      <c r="C396" s="157"/>
      <c r="D396" s="157">
        <v>0</v>
      </c>
      <c r="E396" s="157">
        <v>1</v>
      </c>
      <c r="F396" s="157" t="s">
        <v>2277</v>
      </c>
      <c r="G396" s="157" t="s">
        <v>485</v>
      </c>
      <c r="H396" s="157"/>
      <c r="I396" s="157">
        <v>0</v>
      </c>
      <c r="J396" s="157" t="s">
        <v>1380</v>
      </c>
      <c r="K396" s="157" t="s">
        <v>2739</v>
      </c>
      <c r="L396" s="157"/>
      <c r="M396" s="157"/>
      <c r="N396" s="157" t="str">
        <f t="shared" si="7"/>
        <v>Passive(m.yurizia.passive.consume.buff.06)</v>
      </c>
      <c r="O396" s="157">
        <v>0</v>
      </c>
      <c r="P396" s="157">
        <v>0</v>
      </c>
      <c r="Q396" s="157"/>
      <c r="R396" s="157" t="b">
        <v>1</v>
      </c>
    </row>
    <row r="397" spans="1:18" x14ac:dyDescent="0.3">
      <c r="A397" s="231" t="s">
        <v>2740</v>
      </c>
      <c r="B397" s="231"/>
      <c r="C397" s="231"/>
      <c r="D397" s="231">
        <v>0</v>
      </c>
      <c r="E397" s="231">
        <v>1</v>
      </c>
      <c r="F397" s="231" t="s">
        <v>476</v>
      </c>
      <c r="G397" s="231" t="s">
        <v>477</v>
      </c>
      <c r="H397" s="231"/>
      <c r="I397" s="231">
        <v>0</v>
      </c>
      <c r="J397" s="231" t="s">
        <v>470</v>
      </c>
      <c r="K397" s="231" t="s">
        <v>2278</v>
      </c>
      <c r="L397" s="231" t="s">
        <v>2741</v>
      </c>
      <c r="M397" s="231"/>
      <c r="N397" s="231" t="str">
        <f t="shared" si="7"/>
        <v>Effect(OnHitNormal, m.yurizia.passive.consume.buff.buffeffect.skilleffect.01)</v>
      </c>
      <c r="O397" s="231">
        <v>0</v>
      </c>
      <c r="P397" s="231">
        <v>0</v>
      </c>
      <c r="Q397" s="231"/>
      <c r="R397" s="231" t="b">
        <v>1</v>
      </c>
    </row>
    <row r="398" spans="1:18" x14ac:dyDescent="0.3">
      <c r="A398" s="231" t="s">
        <v>2742</v>
      </c>
      <c r="B398" s="231"/>
      <c r="C398" s="231"/>
      <c r="D398" s="231">
        <v>0</v>
      </c>
      <c r="E398" s="231">
        <v>1</v>
      </c>
      <c r="F398" s="231" t="s">
        <v>476</v>
      </c>
      <c r="G398" s="231" t="s">
        <v>477</v>
      </c>
      <c r="H398" s="231"/>
      <c r="I398" s="231">
        <v>0</v>
      </c>
      <c r="J398" s="231" t="s">
        <v>470</v>
      </c>
      <c r="K398" s="231" t="s">
        <v>2278</v>
      </c>
      <c r="L398" s="231" t="s">
        <v>2743</v>
      </c>
      <c r="M398" s="231"/>
      <c r="N398" s="231" t="str">
        <f t="shared" si="7"/>
        <v>Effect(OnHitNormal, m.yurizia.passive.consume.buff.buffeffect.skilleffect.02)</v>
      </c>
      <c r="O398" s="231">
        <v>0</v>
      </c>
      <c r="P398" s="231">
        <v>0</v>
      </c>
      <c r="Q398" s="231"/>
      <c r="R398" s="231" t="b">
        <v>1</v>
      </c>
    </row>
    <row r="399" spans="1:18" x14ac:dyDescent="0.3">
      <c r="A399" s="231" t="s">
        <v>2744</v>
      </c>
      <c r="B399" s="231"/>
      <c r="C399" s="231"/>
      <c r="D399" s="231">
        <v>0</v>
      </c>
      <c r="E399" s="231">
        <v>1</v>
      </c>
      <c r="F399" s="231" t="s">
        <v>476</v>
      </c>
      <c r="G399" s="231" t="s">
        <v>477</v>
      </c>
      <c r="H399" s="231"/>
      <c r="I399" s="231">
        <v>0</v>
      </c>
      <c r="J399" s="231" t="s">
        <v>470</v>
      </c>
      <c r="K399" s="231" t="s">
        <v>2278</v>
      </c>
      <c r="L399" s="231" t="s">
        <v>2745</v>
      </c>
      <c r="M399" s="231"/>
      <c r="N399" s="231" t="str">
        <f t="shared" si="7"/>
        <v>Effect(OnHitNormal, m.yurizia.passive.consume.buff.buffeffect.skilleffect.03)</v>
      </c>
      <c r="O399" s="231">
        <v>0</v>
      </c>
      <c r="P399" s="231">
        <v>0</v>
      </c>
      <c r="Q399" s="231"/>
      <c r="R399" s="231" t="b">
        <v>1</v>
      </c>
    </row>
    <row r="400" spans="1:18" x14ac:dyDescent="0.3">
      <c r="A400" s="232" t="s">
        <v>2746</v>
      </c>
      <c r="B400" s="232"/>
      <c r="C400" s="232"/>
      <c r="D400" s="232">
        <v>0</v>
      </c>
      <c r="E400" s="232">
        <v>1</v>
      </c>
      <c r="F400" s="232" t="s">
        <v>476</v>
      </c>
      <c r="G400" s="232" t="s">
        <v>477</v>
      </c>
      <c r="H400" s="232"/>
      <c r="I400" s="232">
        <v>0</v>
      </c>
      <c r="J400" s="232" t="s">
        <v>470</v>
      </c>
      <c r="K400" s="232" t="s">
        <v>2278</v>
      </c>
      <c r="L400" s="232" t="s">
        <v>2747</v>
      </c>
      <c r="M400" s="232"/>
      <c r="N400" s="232" t="str">
        <f t="shared" si="7"/>
        <v>Effect(OnHitNormal, m.yurizia.passive.consume.buff.buffeffect.skilleffect.04)</v>
      </c>
      <c r="O400" s="232">
        <v>0</v>
      </c>
      <c r="P400" s="232">
        <v>0</v>
      </c>
      <c r="Q400" s="232"/>
      <c r="R400" s="232" t="b">
        <v>1</v>
      </c>
    </row>
    <row r="401" spans="1:18" x14ac:dyDescent="0.3">
      <c r="A401" s="232" t="s">
        <v>2748</v>
      </c>
      <c r="B401" s="232"/>
      <c r="C401" s="232"/>
      <c r="D401" s="232">
        <v>0</v>
      </c>
      <c r="E401" s="232">
        <v>1</v>
      </c>
      <c r="F401" s="232" t="s">
        <v>476</v>
      </c>
      <c r="G401" s="232" t="s">
        <v>477</v>
      </c>
      <c r="H401" s="232"/>
      <c r="I401" s="232">
        <v>0</v>
      </c>
      <c r="J401" s="232" t="s">
        <v>470</v>
      </c>
      <c r="K401" s="232" t="s">
        <v>2278</v>
      </c>
      <c r="L401" s="232" t="s">
        <v>2749</v>
      </c>
      <c r="M401" s="232"/>
      <c r="N401" s="232" t="str">
        <f t="shared" si="7"/>
        <v>Effect(OnHitNormal, m.yurizia.passive.consume.buff.buffeffect.skilleffect.05)</v>
      </c>
      <c r="O401" s="232">
        <v>0</v>
      </c>
      <c r="P401" s="232">
        <v>0</v>
      </c>
      <c r="Q401" s="232"/>
      <c r="R401" s="232" t="b">
        <v>1</v>
      </c>
    </row>
    <row r="402" spans="1:18" x14ac:dyDescent="0.3">
      <c r="A402" s="232" t="s">
        <v>2750</v>
      </c>
      <c r="B402" s="232"/>
      <c r="C402" s="232"/>
      <c r="D402" s="232">
        <v>0</v>
      </c>
      <c r="E402" s="232">
        <v>1</v>
      </c>
      <c r="F402" s="232" t="s">
        <v>476</v>
      </c>
      <c r="G402" s="232" t="s">
        <v>477</v>
      </c>
      <c r="H402" s="232"/>
      <c r="I402" s="232">
        <v>0</v>
      </c>
      <c r="J402" s="232" t="s">
        <v>470</v>
      </c>
      <c r="K402" s="232" t="s">
        <v>2278</v>
      </c>
      <c r="L402" s="232" t="s">
        <v>2751</v>
      </c>
      <c r="M402" s="232"/>
      <c r="N402" s="232" t="str">
        <f t="shared" si="7"/>
        <v>Effect(OnHitNormal, m.yurizia.passive.consume.buff.buffeffect.skilleffect.06)</v>
      </c>
      <c r="O402" s="232">
        <v>0</v>
      </c>
      <c r="P402" s="232">
        <v>0</v>
      </c>
      <c r="Q402" s="232"/>
      <c r="R402" s="232" t="b">
        <v>1</v>
      </c>
    </row>
    <row r="403" spans="1:18" x14ac:dyDescent="0.3">
      <c r="A403" s="231" t="s">
        <v>2752</v>
      </c>
      <c r="B403" s="231"/>
      <c r="C403" s="231"/>
      <c r="D403" s="231">
        <v>0</v>
      </c>
      <c r="E403" s="231">
        <v>1</v>
      </c>
      <c r="F403" s="231" t="s">
        <v>476</v>
      </c>
      <c r="G403" s="231" t="s">
        <v>477</v>
      </c>
      <c r="H403" s="231"/>
      <c r="I403" s="231">
        <v>0</v>
      </c>
      <c r="J403" s="231" t="s">
        <v>846</v>
      </c>
      <c r="K403" s="231" t="s">
        <v>887</v>
      </c>
      <c r="L403" s="231">
        <v>80</v>
      </c>
      <c r="M403" s="231"/>
      <c r="N403" s="231" t="str">
        <f t="shared" si="7"/>
        <v>Status(HpDrainRate, 80)</v>
      </c>
      <c r="O403" s="231">
        <v>0</v>
      </c>
      <c r="P403" s="231">
        <v>0</v>
      </c>
      <c r="Q403" s="231"/>
      <c r="R403" s="231" t="b">
        <v>1</v>
      </c>
    </row>
    <row r="404" spans="1:18" x14ac:dyDescent="0.3">
      <c r="A404" s="231" t="s">
        <v>2753</v>
      </c>
      <c r="B404" s="231"/>
      <c r="C404" s="231"/>
      <c r="D404" s="231">
        <v>0</v>
      </c>
      <c r="E404" s="231">
        <v>1</v>
      </c>
      <c r="F404" s="231" t="s">
        <v>476</v>
      </c>
      <c r="G404" s="231" t="s">
        <v>477</v>
      </c>
      <c r="H404" s="231"/>
      <c r="I404" s="231">
        <v>0</v>
      </c>
      <c r="J404" s="231" t="s">
        <v>846</v>
      </c>
      <c r="K404" s="231" t="s">
        <v>887</v>
      </c>
      <c r="L404" s="231">
        <v>95</v>
      </c>
      <c r="M404" s="231"/>
      <c r="N404" s="231" t="str">
        <f t="shared" si="7"/>
        <v>Status(HpDrainRate, 95)</v>
      </c>
      <c r="O404" s="231">
        <v>0</v>
      </c>
      <c r="P404" s="231">
        <v>0</v>
      </c>
      <c r="Q404" s="231"/>
      <c r="R404" s="231" t="b">
        <v>1</v>
      </c>
    </row>
    <row r="405" spans="1:18" x14ac:dyDescent="0.3">
      <c r="A405" s="231" t="s">
        <v>2754</v>
      </c>
      <c r="B405" s="231"/>
      <c r="C405" s="231"/>
      <c r="D405" s="231">
        <v>0</v>
      </c>
      <c r="E405" s="231">
        <v>1</v>
      </c>
      <c r="F405" s="231" t="s">
        <v>476</v>
      </c>
      <c r="G405" s="231" t="s">
        <v>477</v>
      </c>
      <c r="H405" s="231"/>
      <c r="I405" s="231">
        <v>0</v>
      </c>
      <c r="J405" s="231" t="s">
        <v>846</v>
      </c>
      <c r="K405" s="231" t="s">
        <v>887</v>
      </c>
      <c r="L405" s="231">
        <v>110</v>
      </c>
      <c r="M405" s="231"/>
      <c r="N405" s="231" t="str">
        <f t="shared" si="7"/>
        <v>Status(HpDrainRate, 110)</v>
      </c>
      <c r="O405" s="231">
        <v>0</v>
      </c>
      <c r="P405" s="231">
        <v>0</v>
      </c>
      <c r="Q405" s="231"/>
      <c r="R405" s="231" t="b">
        <v>1</v>
      </c>
    </row>
    <row r="406" spans="1:18" x14ac:dyDescent="0.3">
      <c r="A406" s="232" t="s">
        <v>2755</v>
      </c>
      <c r="B406" s="232"/>
      <c r="C406" s="232"/>
      <c r="D406" s="232">
        <v>0</v>
      </c>
      <c r="E406" s="232">
        <v>1</v>
      </c>
      <c r="F406" s="232" t="s">
        <v>476</v>
      </c>
      <c r="G406" s="232" t="s">
        <v>477</v>
      </c>
      <c r="H406" s="232"/>
      <c r="I406" s="232">
        <v>0</v>
      </c>
      <c r="J406" s="232" t="s">
        <v>846</v>
      </c>
      <c r="K406" s="232" t="s">
        <v>887</v>
      </c>
      <c r="L406" s="232">
        <v>125</v>
      </c>
      <c r="M406" s="232"/>
      <c r="N406" s="232" t="str">
        <f t="shared" si="7"/>
        <v>Status(HpDrainRate, 125)</v>
      </c>
      <c r="O406" s="232">
        <v>0</v>
      </c>
      <c r="P406" s="232">
        <v>0</v>
      </c>
      <c r="Q406" s="232"/>
      <c r="R406" s="232" t="b">
        <v>1</v>
      </c>
    </row>
    <row r="407" spans="1:18" x14ac:dyDescent="0.3">
      <c r="A407" s="232" t="s">
        <v>2756</v>
      </c>
      <c r="B407" s="232"/>
      <c r="C407" s="232"/>
      <c r="D407" s="232">
        <v>0</v>
      </c>
      <c r="E407" s="232">
        <v>1</v>
      </c>
      <c r="F407" s="232" t="s">
        <v>476</v>
      </c>
      <c r="G407" s="232" t="s">
        <v>477</v>
      </c>
      <c r="H407" s="232"/>
      <c r="I407" s="232">
        <v>0</v>
      </c>
      <c r="J407" s="232" t="s">
        <v>846</v>
      </c>
      <c r="K407" s="232" t="s">
        <v>887</v>
      </c>
      <c r="L407" s="232">
        <v>140</v>
      </c>
      <c r="M407" s="232"/>
      <c r="N407" s="232" t="str">
        <f t="shared" si="7"/>
        <v>Status(HpDrainRate, 140)</v>
      </c>
      <c r="O407" s="232">
        <v>0</v>
      </c>
      <c r="P407" s="232">
        <v>0</v>
      </c>
      <c r="Q407" s="232"/>
      <c r="R407" s="232" t="b">
        <v>1</v>
      </c>
    </row>
    <row r="408" spans="1:18" x14ac:dyDescent="0.3">
      <c r="A408" s="232" t="s">
        <v>2757</v>
      </c>
      <c r="B408" s="232"/>
      <c r="C408" s="232"/>
      <c r="D408" s="232">
        <v>0</v>
      </c>
      <c r="E408" s="232">
        <v>1</v>
      </c>
      <c r="F408" s="232" t="s">
        <v>476</v>
      </c>
      <c r="G408" s="232" t="s">
        <v>477</v>
      </c>
      <c r="H408" s="232"/>
      <c r="I408" s="232">
        <v>0</v>
      </c>
      <c r="J408" s="232" t="s">
        <v>846</v>
      </c>
      <c r="K408" s="232" t="s">
        <v>887</v>
      </c>
      <c r="L408" s="232">
        <v>225</v>
      </c>
      <c r="M408" s="232"/>
      <c r="N408" s="232" t="str">
        <f t="shared" si="7"/>
        <v>Status(HpDrainRate, 225)</v>
      </c>
      <c r="O408" s="232">
        <v>0</v>
      </c>
      <c r="P408" s="232">
        <v>0</v>
      </c>
      <c r="Q408" s="232"/>
      <c r="R408" s="232" t="b">
        <v>1</v>
      </c>
    </row>
    <row r="409" spans="1:18" x14ac:dyDescent="0.3">
      <c r="A409" s="157" t="s">
        <v>2758</v>
      </c>
      <c r="B409" s="157"/>
      <c r="C409" s="157"/>
      <c r="D409" s="157">
        <v>0</v>
      </c>
      <c r="E409" s="157">
        <v>1</v>
      </c>
      <c r="F409" s="157" t="s">
        <v>476</v>
      </c>
      <c r="G409" s="157" t="s">
        <v>477</v>
      </c>
      <c r="H409" s="157"/>
      <c r="I409" s="157">
        <v>0</v>
      </c>
      <c r="J409" s="157" t="s">
        <v>860</v>
      </c>
      <c r="K409" s="157" t="s">
        <v>2759</v>
      </c>
      <c r="L409" s="157"/>
      <c r="M409" s="157"/>
      <c r="N409" s="157" t="str">
        <f t="shared" si="7"/>
        <v>Active(m.yurizia.passive.recharge.effect.01)</v>
      </c>
      <c r="O409" s="157">
        <v>0</v>
      </c>
      <c r="P409" s="157">
        <v>0</v>
      </c>
      <c r="Q409" s="157"/>
      <c r="R409" s="157" t="b">
        <v>1</v>
      </c>
    </row>
    <row r="410" spans="1:18" x14ac:dyDescent="0.3">
      <c r="A410" s="157" t="s">
        <v>2760</v>
      </c>
      <c r="B410" s="157"/>
      <c r="C410" s="157"/>
      <c r="D410" s="157">
        <v>0</v>
      </c>
      <c r="E410" s="157">
        <v>1</v>
      </c>
      <c r="F410" s="157" t="s">
        <v>476</v>
      </c>
      <c r="G410" s="157" t="s">
        <v>477</v>
      </c>
      <c r="H410" s="157"/>
      <c r="I410" s="157">
        <v>0</v>
      </c>
      <c r="J410" s="157" t="s">
        <v>860</v>
      </c>
      <c r="K410" s="157" t="s">
        <v>2761</v>
      </c>
      <c r="L410" s="157"/>
      <c r="M410" s="157"/>
      <c r="N410" s="157" t="str">
        <f t="shared" si="7"/>
        <v>Active(m.yurizia.passive.recharge.effect.02)</v>
      </c>
      <c r="O410" s="157">
        <v>0</v>
      </c>
      <c r="P410" s="157">
        <v>0</v>
      </c>
      <c r="Q410" s="157"/>
      <c r="R410" s="157" t="b">
        <v>1</v>
      </c>
    </row>
    <row r="411" spans="1:18" x14ac:dyDescent="0.3">
      <c r="A411" s="157" t="s">
        <v>2762</v>
      </c>
      <c r="B411" s="157"/>
      <c r="C411" s="157"/>
      <c r="D411" s="157">
        <v>0</v>
      </c>
      <c r="E411" s="157">
        <v>1</v>
      </c>
      <c r="F411" s="157" t="s">
        <v>476</v>
      </c>
      <c r="G411" s="157" t="s">
        <v>477</v>
      </c>
      <c r="H411" s="157"/>
      <c r="I411" s="157">
        <v>0</v>
      </c>
      <c r="J411" s="157" t="s">
        <v>860</v>
      </c>
      <c r="K411" s="157" t="s">
        <v>2763</v>
      </c>
      <c r="L411" s="157"/>
      <c r="M411" s="157"/>
      <c r="N411" s="157" t="str">
        <f t="shared" si="7"/>
        <v>Active(m.yurizia.passive.recharge.effect.03)</v>
      </c>
      <c r="O411" s="157">
        <v>0</v>
      </c>
      <c r="P411" s="157">
        <v>0</v>
      </c>
      <c r="Q411" s="157"/>
      <c r="R411" s="157" t="b">
        <v>1</v>
      </c>
    </row>
    <row r="412" spans="1:18" x14ac:dyDescent="0.3">
      <c r="A412" s="232" t="s">
        <v>2764</v>
      </c>
      <c r="B412" s="232"/>
      <c r="C412" s="232"/>
      <c r="D412" s="232">
        <v>0</v>
      </c>
      <c r="E412" s="232">
        <v>1</v>
      </c>
      <c r="F412" s="232" t="s">
        <v>476</v>
      </c>
      <c r="G412" s="232" t="s">
        <v>477</v>
      </c>
      <c r="H412" s="232"/>
      <c r="I412" s="232">
        <v>0</v>
      </c>
      <c r="J412" s="232" t="s">
        <v>860</v>
      </c>
      <c r="K412" s="232" t="s">
        <v>2765</v>
      </c>
      <c r="L412" s="232"/>
      <c r="M412" s="232"/>
      <c r="N412" s="232" t="str">
        <f t="shared" si="7"/>
        <v>Active(m.yurizia.passive.recharge.effect.04)</v>
      </c>
      <c r="O412" s="232">
        <v>0</v>
      </c>
      <c r="P412" s="232">
        <v>0</v>
      </c>
      <c r="Q412" s="232"/>
      <c r="R412" s="232" t="b">
        <v>1</v>
      </c>
    </row>
    <row r="413" spans="1:18" x14ac:dyDescent="0.3">
      <c r="A413" s="232" t="s">
        <v>2766</v>
      </c>
      <c r="B413" s="232"/>
      <c r="C413" s="232"/>
      <c r="D413" s="232">
        <v>0</v>
      </c>
      <c r="E413" s="232">
        <v>1</v>
      </c>
      <c r="F413" s="232" t="s">
        <v>476</v>
      </c>
      <c r="G413" s="232" t="s">
        <v>477</v>
      </c>
      <c r="H413" s="232"/>
      <c r="I413" s="232">
        <v>0</v>
      </c>
      <c r="J413" s="232" t="s">
        <v>860</v>
      </c>
      <c r="K413" s="232" t="s">
        <v>2767</v>
      </c>
      <c r="L413" s="232"/>
      <c r="M413" s="232"/>
      <c r="N413" s="232" t="str">
        <f t="shared" si="7"/>
        <v>Active(m.yurizia.passive.recharge.effect.05)</v>
      </c>
      <c r="O413" s="232">
        <v>0</v>
      </c>
      <c r="P413" s="232">
        <v>0</v>
      </c>
      <c r="Q413" s="232"/>
      <c r="R413" s="232" t="b">
        <v>1</v>
      </c>
    </row>
    <row r="414" spans="1:18" x14ac:dyDescent="0.3">
      <c r="A414" s="232" t="s">
        <v>2768</v>
      </c>
      <c r="B414" s="232"/>
      <c r="C414" s="232"/>
      <c r="D414" s="232">
        <v>0</v>
      </c>
      <c r="E414" s="232">
        <v>1</v>
      </c>
      <c r="F414" s="232" t="s">
        <v>476</v>
      </c>
      <c r="G414" s="232" t="s">
        <v>477</v>
      </c>
      <c r="H414" s="232"/>
      <c r="I414" s="232">
        <v>0</v>
      </c>
      <c r="J414" s="232" t="s">
        <v>860</v>
      </c>
      <c r="K414" s="232" t="s">
        <v>2769</v>
      </c>
      <c r="L414" s="232"/>
      <c r="M414" s="232"/>
      <c r="N414" s="232" t="str">
        <f t="shared" si="7"/>
        <v>Active(m.yurizia.passive.recharge.effect.06)</v>
      </c>
      <c r="O414" s="232">
        <v>0</v>
      </c>
      <c r="P414" s="232">
        <v>0</v>
      </c>
      <c r="Q414" s="232"/>
      <c r="R414" s="232" t="b">
        <v>1</v>
      </c>
    </row>
    <row r="415" spans="1:18" x14ac:dyDescent="0.3">
      <c r="A415" s="157" t="s">
        <v>2770</v>
      </c>
      <c r="B415" s="157"/>
      <c r="C415" s="157"/>
      <c r="D415" s="157">
        <v>0</v>
      </c>
      <c r="E415" s="157">
        <v>1</v>
      </c>
      <c r="F415" s="157" t="s">
        <v>476</v>
      </c>
      <c r="G415" s="157" t="s">
        <v>477</v>
      </c>
      <c r="H415" s="157"/>
      <c r="I415" s="157">
        <v>0</v>
      </c>
      <c r="J415" s="157" t="s">
        <v>882</v>
      </c>
      <c r="K415" s="157" t="s">
        <v>2279</v>
      </c>
      <c r="L415" s="157" t="s">
        <v>2759</v>
      </c>
      <c r="M415" s="157" t="s">
        <v>2280</v>
      </c>
      <c r="N415" s="157" t="str">
        <f t="shared" si="7"/>
        <v>Event(FireSkill, m.yurizia.passive.recharge.effect.01, FireCondition(Ultimate))</v>
      </c>
      <c r="O415" s="157">
        <v>0</v>
      </c>
      <c r="P415" s="157">
        <v>0</v>
      </c>
      <c r="Q415" s="157"/>
      <c r="R415" s="157" t="b">
        <v>1</v>
      </c>
    </row>
    <row r="416" spans="1:18" x14ac:dyDescent="0.3">
      <c r="A416" s="157" t="s">
        <v>2771</v>
      </c>
      <c r="B416" s="157"/>
      <c r="C416" s="157"/>
      <c r="D416" s="157">
        <v>0</v>
      </c>
      <c r="E416" s="157">
        <v>1</v>
      </c>
      <c r="F416" s="157" t="s">
        <v>476</v>
      </c>
      <c r="G416" s="157" t="s">
        <v>477</v>
      </c>
      <c r="H416" s="157"/>
      <c r="I416" s="157">
        <v>0</v>
      </c>
      <c r="J416" s="157" t="s">
        <v>882</v>
      </c>
      <c r="K416" s="157" t="s">
        <v>2279</v>
      </c>
      <c r="L416" s="157" t="s">
        <v>2761</v>
      </c>
      <c r="M416" s="157" t="s">
        <v>2280</v>
      </c>
      <c r="N416" s="157" t="str">
        <f t="shared" si="7"/>
        <v>Event(FireSkill, m.yurizia.passive.recharge.effect.02, FireCondition(Ultimate))</v>
      </c>
      <c r="O416" s="157">
        <v>0</v>
      </c>
      <c r="P416" s="157">
        <v>0</v>
      </c>
      <c r="Q416" s="157"/>
      <c r="R416" s="157" t="b">
        <v>1</v>
      </c>
    </row>
    <row r="417" spans="1:18" x14ac:dyDescent="0.3">
      <c r="A417" s="157" t="s">
        <v>2772</v>
      </c>
      <c r="B417" s="157"/>
      <c r="C417" s="157"/>
      <c r="D417" s="157">
        <v>0</v>
      </c>
      <c r="E417" s="157">
        <v>1</v>
      </c>
      <c r="F417" s="157" t="s">
        <v>476</v>
      </c>
      <c r="G417" s="157" t="s">
        <v>477</v>
      </c>
      <c r="H417" s="157"/>
      <c r="I417" s="157">
        <v>0</v>
      </c>
      <c r="J417" s="157" t="s">
        <v>882</v>
      </c>
      <c r="K417" s="157" t="s">
        <v>2279</v>
      </c>
      <c r="L417" s="157" t="s">
        <v>2763</v>
      </c>
      <c r="M417" s="157" t="s">
        <v>2280</v>
      </c>
      <c r="N417" s="157" t="str">
        <f t="shared" si="7"/>
        <v>Event(FireSkill, m.yurizia.passive.recharge.effect.03, FireCondition(Ultimate))</v>
      </c>
      <c r="O417" s="157">
        <v>0</v>
      </c>
      <c r="P417" s="157">
        <v>0</v>
      </c>
      <c r="Q417" s="157"/>
      <c r="R417" s="157" t="b">
        <v>1</v>
      </c>
    </row>
    <row r="418" spans="1:18" x14ac:dyDescent="0.3">
      <c r="A418" s="232" t="s">
        <v>2773</v>
      </c>
      <c r="B418" s="232"/>
      <c r="C418" s="232"/>
      <c r="D418" s="232">
        <v>0</v>
      </c>
      <c r="E418" s="232">
        <v>1</v>
      </c>
      <c r="F418" s="232" t="s">
        <v>476</v>
      </c>
      <c r="G418" s="232" t="s">
        <v>477</v>
      </c>
      <c r="H418" s="232"/>
      <c r="I418" s="232">
        <v>0</v>
      </c>
      <c r="J418" s="232" t="s">
        <v>882</v>
      </c>
      <c r="K418" s="232" t="s">
        <v>2279</v>
      </c>
      <c r="L418" s="232" t="s">
        <v>2765</v>
      </c>
      <c r="M418" s="232" t="s">
        <v>2280</v>
      </c>
      <c r="N418" s="232" t="str">
        <f t="shared" si="7"/>
        <v>Event(FireSkill, m.yurizia.passive.recharge.effect.04, FireCondition(Ultimate))</v>
      </c>
      <c r="O418" s="232">
        <v>0</v>
      </c>
      <c r="P418" s="232">
        <v>0</v>
      </c>
      <c r="Q418" s="232"/>
      <c r="R418" s="232" t="b">
        <v>1</v>
      </c>
    </row>
    <row r="419" spans="1:18" x14ac:dyDescent="0.3">
      <c r="A419" s="232" t="s">
        <v>2774</v>
      </c>
      <c r="B419" s="232"/>
      <c r="C419" s="232"/>
      <c r="D419" s="232">
        <v>0</v>
      </c>
      <c r="E419" s="232">
        <v>1</v>
      </c>
      <c r="F419" s="232" t="s">
        <v>476</v>
      </c>
      <c r="G419" s="232" t="s">
        <v>477</v>
      </c>
      <c r="H419" s="232"/>
      <c r="I419" s="232">
        <v>0</v>
      </c>
      <c r="J419" s="232" t="s">
        <v>882</v>
      </c>
      <c r="K419" s="232" t="s">
        <v>2279</v>
      </c>
      <c r="L419" s="232" t="s">
        <v>2767</v>
      </c>
      <c r="M419" s="232" t="s">
        <v>2280</v>
      </c>
      <c r="N419" s="232" t="str">
        <f t="shared" si="7"/>
        <v>Event(FireSkill, m.yurizia.passive.recharge.effect.05, FireCondition(Ultimate))</v>
      </c>
      <c r="O419" s="232">
        <v>0</v>
      </c>
      <c r="P419" s="232">
        <v>0</v>
      </c>
      <c r="Q419" s="232"/>
      <c r="R419" s="232" t="b">
        <v>1</v>
      </c>
    </row>
    <row r="420" spans="1:18" x14ac:dyDescent="0.3">
      <c r="A420" s="232" t="s">
        <v>2775</v>
      </c>
      <c r="B420" s="232"/>
      <c r="C420" s="232"/>
      <c r="D420" s="232">
        <v>0</v>
      </c>
      <c r="E420" s="232">
        <v>1</v>
      </c>
      <c r="F420" s="232" t="s">
        <v>476</v>
      </c>
      <c r="G420" s="232" t="s">
        <v>477</v>
      </c>
      <c r="H420" s="232"/>
      <c r="I420" s="232">
        <v>0</v>
      </c>
      <c r="J420" s="232" t="s">
        <v>882</v>
      </c>
      <c r="K420" s="232" t="s">
        <v>2279</v>
      </c>
      <c r="L420" s="232" t="s">
        <v>2769</v>
      </c>
      <c r="M420" s="232" t="s">
        <v>2280</v>
      </c>
      <c r="N420" s="232" t="str">
        <f t="shared" si="7"/>
        <v>Event(FireSkill, m.yurizia.passive.recharge.effect.06, FireCondition(Ultimate))</v>
      </c>
      <c r="O420" s="232">
        <v>0</v>
      </c>
      <c r="P420" s="232">
        <v>0</v>
      </c>
      <c r="Q420" s="232"/>
      <c r="R420" s="232" t="b">
        <v>1</v>
      </c>
    </row>
    <row r="421" spans="1:18" x14ac:dyDescent="0.3">
      <c r="A421" s="233" t="s">
        <v>2863</v>
      </c>
      <c r="B421" s="233"/>
      <c r="C421" s="233"/>
      <c r="D421" s="233">
        <v>0</v>
      </c>
      <c r="E421" s="233">
        <v>1</v>
      </c>
      <c r="F421" s="233" t="s">
        <v>476</v>
      </c>
      <c r="G421" s="233" t="s">
        <v>477</v>
      </c>
      <c r="H421" s="233"/>
      <c r="I421" s="233">
        <v>0</v>
      </c>
      <c r="J421" s="233" t="s">
        <v>946</v>
      </c>
      <c r="K421" s="233">
        <v>1110002002</v>
      </c>
      <c r="L421" s="233"/>
      <c r="M421" s="233"/>
      <c r="N421" s="233" t="str">
        <f t="shared" si="7"/>
        <v>Polymorph(1110002002)</v>
      </c>
      <c r="O421" s="233">
        <v>0</v>
      </c>
      <c r="P421" s="233">
        <v>0</v>
      </c>
      <c r="Q421" s="233"/>
      <c r="R421" s="233" t="b">
        <v>1</v>
      </c>
    </row>
    <row r="422" spans="1:18" x14ac:dyDescent="0.3">
      <c r="A422" s="232" t="s">
        <v>2856</v>
      </c>
      <c r="B422" s="232"/>
      <c r="C422" s="232"/>
      <c r="D422" s="232">
        <v>0</v>
      </c>
      <c r="E422" s="232">
        <v>1</v>
      </c>
      <c r="F422" s="232" t="s">
        <v>476</v>
      </c>
      <c r="G422" s="232" t="s">
        <v>477</v>
      </c>
      <c r="H422" s="232"/>
      <c r="I422" s="232">
        <v>0</v>
      </c>
      <c r="J422" s="232" t="s">
        <v>860</v>
      </c>
      <c r="K422" s="232" t="s">
        <v>2929</v>
      </c>
      <c r="L422" s="232"/>
      <c r="M422" s="232"/>
      <c r="N422" s="232" t="str">
        <f t="shared" si="7"/>
        <v>Active(m.shale.ult.front.effect.01)</v>
      </c>
      <c r="O422" s="232">
        <v>0</v>
      </c>
      <c r="P422" s="232">
        <v>0</v>
      </c>
      <c r="Q422" s="232"/>
      <c r="R422" s="232" t="b">
        <v>1</v>
      </c>
    </row>
    <row r="423" spans="1:18" x14ac:dyDescent="0.3">
      <c r="A423" s="232" t="s">
        <v>2858</v>
      </c>
      <c r="B423" s="232"/>
      <c r="C423" s="232"/>
      <c r="D423" s="232">
        <v>0</v>
      </c>
      <c r="E423" s="232">
        <v>1</v>
      </c>
      <c r="F423" s="232" t="s">
        <v>476</v>
      </c>
      <c r="G423" s="232" t="s">
        <v>477</v>
      </c>
      <c r="H423" s="232"/>
      <c r="I423" s="232">
        <v>0</v>
      </c>
      <c r="J423" s="232" t="s">
        <v>860</v>
      </c>
      <c r="K423" s="232" t="s">
        <v>2930</v>
      </c>
      <c r="L423" s="232"/>
      <c r="M423" s="232"/>
      <c r="N423" s="232" t="str">
        <f t="shared" si="7"/>
        <v>Active(m.shale.ult.middle.effect.01)</v>
      </c>
      <c r="O423" s="232">
        <v>0</v>
      </c>
      <c r="P423" s="232">
        <v>0</v>
      </c>
      <c r="Q423" s="232"/>
      <c r="R423" s="232" t="b">
        <v>1</v>
      </c>
    </row>
    <row r="424" spans="1:18" x14ac:dyDescent="0.3">
      <c r="A424" s="232" t="s">
        <v>2860</v>
      </c>
      <c r="B424" s="232"/>
      <c r="C424" s="232"/>
      <c r="D424" s="232">
        <v>0</v>
      </c>
      <c r="E424" s="232">
        <v>1</v>
      </c>
      <c r="F424" s="232" t="s">
        <v>476</v>
      </c>
      <c r="G424" s="232" t="s">
        <v>477</v>
      </c>
      <c r="H424" s="232"/>
      <c r="I424" s="232">
        <v>0</v>
      </c>
      <c r="J424" s="232" t="s">
        <v>860</v>
      </c>
      <c r="K424" s="232" t="s">
        <v>2931</v>
      </c>
      <c r="L424" s="232"/>
      <c r="M424" s="232"/>
      <c r="N424" s="232" t="str">
        <f t="shared" ref="N424:N487" si="8">J424&amp;"("&amp;IF(K424="","",K424)&amp;IF(L424="","",", "&amp;L424)&amp;IF(M424="","",", "&amp;M424)&amp;")"</f>
        <v>Active(m.shale.ult.back.effect.01)</v>
      </c>
      <c r="O424" s="232">
        <v>0</v>
      </c>
      <c r="P424" s="232">
        <v>0</v>
      </c>
      <c r="Q424" s="232"/>
      <c r="R424" s="232" t="b">
        <v>1</v>
      </c>
    </row>
    <row r="425" spans="1:18" x14ac:dyDescent="0.3">
      <c r="A425" s="234" t="s">
        <v>2932</v>
      </c>
      <c r="B425" s="234"/>
      <c r="C425" s="234"/>
      <c r="D425" s="234">
        <v>0</v>
      </c>
      <c r="E425" s="234">
        <v>1</v>
      </c>
      <c r="F425" s="234" t="s">
        <v>476</v>
      </c>
      <c r="G425" s="234" t="s">
        <v>477</v>
      </c>
      <c r="H425" s="234"/>
      <c r="I425" s="234">
        <v>0</v>
      </c>
      <c r="J425" s="234" t="s">
        <v>882</v>
      </c>
      <c r="K425" s="234" t="s">
        <v>2279</v>
      </c>
      <c r="L425" s="234" t="s">
        <v>2933</v>
      </c>
      <c r="M425" s="234" t="s">
        <v>2281</v>
      </c>
      <c r="N425" s="234" t="str">
        <f t="shared" si="8"/>
        <v>Event(FireSkill, m.shale.passive.skill.event.skilleffect.01, FireCondition(Skill1))</v>
      </c>
      <c r="O425" s="234">
        <v>0</v>
      </c>
      <c r="P425" s="234">
        <v>0</v>
      </c>
      <c r="Q425" s="234"/>
      <c r="R425" s="234" t="b">
        <v>1</v>
      </c>
    </row>
    <row r="426" spans="1:18" x14ac:dyDescent="0.3">
      <c r="A426" s="234" t="s">
        <v>2934</v>
      </c>
      <c r="B426" s="234"/>
      <c r="C426" s="234"/>
      <c r="D426" s="234">
        <v>0</v>
      </c>
      <c r="E426" s="234">
        <v>1</v>
      </c>
      <c r="F426" s="234" t="s">
        <v>476</v>
      </c>
      <c r="G426" s="234" t="s">
        <v>477</v>
      </c>
      <c r="H426" s="234"/>
      <c r="I426" s="234">
        <v>0</v>
      </c>
      <c r="J426" s="234" t="s">
        <v>882</v>
      </c>
      <c r="K426" s="234" t="s">
        <v>2279</v>
      </c>
      <c r="L426" s="234" t="s">
        <v>2935</v>
      </c>
      <c r="M426" s="234" t="s">
        <v>2281</v>
      </c>
      <c r="N426" s="234" t="str">
        <f t="shared" si="8"/>
        <v>Event(FireSkill, m.shale.passive.skill.event.skilleffect.02, FireCondition(Skill1))</v>
      </c>
      <c r="O426" s="234">
        <v>0</v>
      </c>
      <c r="P426" s="234">
        <v>0</v>
      </c>
      <c r="Q426" s="234"/>
      <c r="R426" s="234" t="b">
        <v>1</v>
      </c>
    </row>
    <row r="427" spans="1:18" x14ac:dyDescent="0.3">
      <c r="A427" s="234" t="s">
        <v>2936</v>
      </c>
      <c r="B427" s="234"/>
      <c r="C427" s="234"/>
      <c r="D427" s="234">
        <v>0</v>
      </c>
      <c r="E427" s="234">
        <v>1</v>
      </c>
      <c r="F427" s="234" t="s">
        <v>476</v>
      </c>
      <c r="G427" s="234" t="s">
        <v>477</v>
      </c>
      <c r="H427" s="234"/>
      <c r="I427" s="234">
        <v>0</v>
      </c>
      <c r="J427" s="234" t="s">
        <v>882</v>
      </c>
      <c r="K427" s="234" t="s">
        <v>2279</v>
      </c>
      <c r="L427" s="234" t="s">
        <v>2937</v>
      </c>
      <c r="M427" s="234" t="s">
        <v>2281</v>
      </c>
      <c r="N427" s="234" t="str">
        <f t="shared" si="8"/>
        <v>Event(FireSkill, m.shale.passive.skill.event.skilleffect.03, FireCondition(Skill1))</v>
      </c>
      <c r="O427" s="234">
        <v>0</v>
      </c>
      <c r="P427" s="234">
        <v>0</v>
      </c>
      <c r="Q427" s="234"/>
      <c r="R427" s="234" t="b">
        <v>1</v>
      </c>
    </row>
    <row r="428" spans="1:18" x14ac:dyDescent="0.3">
      <c r="A428" s="232" t="s">
        <v>2938</v>
      </c>
      <c r="B428" s="232"/>
      <c r="C428" s="232"/>
      <c r="D428" s="232">
        <v>0</v>
      </c>
      <c r="E428" s="232">
        <v>1</v>
      </c>
      <c r="F428" s="232" t="s">
        <v>476</v>
      </c>
      <c r="G428" s="232" t="s">
        <v>477</v>
      </c>
      <c r="H428" s="232"/>
      <c r="I428" s="232">
        <v>0</v>
      </c>
      <c r="J428" s="232" t="s">
        <v>882</v>
      </c>
      <c r="K428" s="232" t="s">
        <v>2279</v>
      </c>
      <c r="L428" s="232" t="s">
        <v>2939</v>
      </c>
      <c r="M428" s="232" t="s">
        <v>2281</v>
      </c>
      <c r="N428" s="232" t="str">
        <f t="shared" si="8"/>
        <v>Event(FireSkill, m.shale.passive.skill.event.skilleffect.04, FireCondition(Skill1))</v>
      </c>
      <c r="O428" s="232">
        <v>0</v>
      </c>
      <c r="P428" s="232">
        <v>0</v>
      </c>
      <c r="Q428" s="232"/>
      <c r="R428" s="232" t="b">
        <v>1</v>
      </c>
    </row>
    <row r="429" spans="1:18" x14ac:dyDescent="0.3">
      <c r="A429" s="232" t="s">
        <v>2940</v>
      </c>
      <c r="B429" s="232"/>
      <c r="C429" s="232"/>
      <c r="D429" s="232">
        <v>0</v>
      </c>
      <c r="E429" s="232">
        <v>1</v>
      </c>
      <c r="F429" s="232" t="s">
        <v>476</v>
      </c>
      <c r="G429" s="232" t="s">
        <v>477</v>
      </c>
      <c r="H429" s="232"/>
      <c r="I429" s="232">
        <v>0</v>
      </c>
      <c r="J429" s="232" t="s">
        <v>882</v>
      </c>
      <c r="K429" s="232" t="s">
        <v>2279</v>
      </c>
      <c r="L429" s="232" t="s">
        <v>2941</v>
      </c>
      <c r="M429" s="232" t="s">
        <v>2281</v>
      </c>
      <c r="N429" s="232" t="str">
        <f t="shared" si="8"/>
        <v>Event(FireSkill, m.shale.passive.skill.event.skilleffect.05, FireCondition(Skill1))</v>
      </c>
      <c r="O429" s="232">
        <v>0</v>
      </c>
      <c r="P429" s="232">
        <v>0</v>
      </c>
      <c r="Q429" s="232"/>
      <c r="R429" s="232" t="b">
        <v>1</v>
      </c>
    </row>
    <row r="430" spans="1:18" x14ac:dyDescent="0.3">
      <c r="A430" s="232" t="s">
        <v>2942</v>
      </c>
      <c r="B430" s="232"/>
      <c r="C430" s="232"/>
      <c r="D430" s="232">
        <v>0</v>
      </c>
      <c r="E430" s="232">
        <v>1</v>
      </c>
      <c r="F430" s="232" t="s">
        <v>476</v>
      </c>
      <c r="G430" s="232" t="s">
        <v>477</v>
      </c>
      <c r="H430" s="232"/>
      <c r="I430" s="232">
        <v>0</v>
      </c>
      <c r="J430" s="232" t="s">
        <v>882</v>
      </c>
      <c r="K430" s="232" t="s">
        <v>2279</v>
      </c>
      <c r="L430" s="232" t="s">
        <v>2943</v>
      </c>
      <c r="M430" s="232" t="s">
        <v>2281</v>
      </c>
      <c r="N430" s="232" t="str">
        <f t="shared" si="8"/>
        <v>Event(FireSkill, m.shale.passive.skill.event.skilleffect.06, FireCondition(Skill1))</v>
      </c>
      <c r="O430" s="232">
        <v>0</v>
      </c>
      <c r="P430" s="232">
        <v>0</v>
      </c>
      <c r="Q430" s="232"/>
      <c r="R430" s="232" t="b">
        <v>1</v>
      </c>
    </row>
    <row r="431" spans="1:18" x14ac:dyDescent="0.3">
      <c r="A431" s="233" t="s">
        <v>2944</v>
      </c>
      <c r="B431" s="233"/>
      <c r="C431" s="233"/>
      <c r="D431" s="233">
        <v>0</v>
      </c>
      <c r="E431" s="233">
        <v>1</v>
      </c>
      <c r="F431" s="233" t="s">
        <v>476</v>
      </c>
      <c r="G431" s="233" t="s">
        <v>477</v>
      </c>
      <c r="H431" s="233"/>
      <c r="I431" s="233">
        <v>0</v>
      </c>
      <c r="J431" s="233" t="s">
        <v>882</v>
      </c>
      <c r="K431" s="233" t="s">
        <v>2279</v>
      </c>
      <c r="L431" s="233" t="s">
        <v>2933</v>
      </c>
      <c r="M431" s="233" t="s">
        <v>2282</v>
      </c>
      <c r="N431" s="233" t="str">
        <f t="shared" si="8"/>
        <v>Event(FireSkill, m.shale.passive.skill.event.skilleffect.01, FireCondition(Skill2))</v>
      </c>
      <c r="O431" s="233">
        <v>0</v>
      </c>
      <c r="P431" s="233">
        <v>0</v>
      </c>
      <c r="Q431" s="233"/>
      <c r="R431" s="233" t="b">
        <v>1</v>
      </c>
    </row>
    <row r="432" spans="1:18" x14ac:dyDescent="0.3">
      <c r="A432" s="233" t="s">
        <v>2945</v>
      </c>
      <c r="B432" s="233"/>
      <c r="C432" s="233"/>
      <c r="D432" s="233">
        <v>0</v>
      </c>
      <c r="E432" s="233">
        <v>1</v>
      </c>
      <c r="F432" s="233" t="s">
        <v>476</v>
      </c>
      <c r="G432" s="233" t="s">
        <v>477</v>
      </c>
      <c r="H432" s="233"/>
      <c r="I432" s="233">
        <v>0</v>
      </c>
      <c r="J432" s="233" t="s">
        <v>882</v>
      </c>
      <c r="K432" s="233" t="s">
        <v>2279</v>
      </c>
      <c r="L432" s="233" t="s">
        <v>2935</v>
      </c>
      <c r="M432" s="233" t="s">
        <v>2282</v>
      </c>
      <c r="N432" s="233" t="str">
        <f t="shared" si="8"/>
        <v>Event(FireSkill, m.shale.passive.skill.event.skilleffect.02, FireCondition(Skill2))</v>
      </c>
      <c r="O432" s="233">
        <v>0</v>
      </c>
      <c r="P432" s="233">
        <v>0</v>
      </c>
      <c r="Q432" s="233"/>
      <c r="R432" s="233" t="b">
        <v>1</v>
      </c>
    </row>
    <row r="433" spans="1:18" x14ac:dyDescent="0.3">
      <c r="A433" s="233" t="s">
        <v>2946</v>
      </c>
      <c r="B433" s="233"/>
      <c r="C433" s="233"/>
      <c r="D433" s="233">
        <v>0</v>
      </c>
      <c r="E433" s="233">
        <v>1</v>
      </c>
      <c r="F433" s="233" t="s">
        <v>476</v>
      </c>
      <c r="G433" s="233" t="s">
        <v>477</v>
      </c>
      <c r="H433" s="233"/>
      <c r="I433" s="233">
        <v>0</v>
      </c>
      <c r="J433" s="233" t="s">
        <v>882</v>
      </c>
      <c r="K433" s="233" t="s">
        <v>2279</v>
      </c>
      <c r="L433" s="233" t="s">
        <v>2937</v>
      </c>
      <c r="M433" s="233" t="s">
        <v>2282</v>
      </c>
      <c r="N433" s="233" t="str">
        <f t="shared" si="8"/>
        <v>Event(FireSkill, m.shale.passive.skill.event.skilleffect.03, FireCondition(Skill2))</v>
      </c>
      <c r="O433" s="233">
        <v>0</v>
      </c>
      <c r="P433" s="233">
        <v>0</v>
      </c>
      <c r="Q433" s="233"/>
      <c r="R433" s="233" t="b">
        <v>1</v>
      </c>
    </row>
    <row r="434" spans="1:18" x14ac:dyDescent="0.3">
      <c r="A434" s="232" t="s">
        <v>2947</v>
      </c>
      <c r="B434" s="232"/>
      <c r="C434" s="232"/>
      <c r="D434" s="232">
        <v>0</v>
      </c>
      <c r="E434" s="232">
        <v>1</v>
      </c>
      <c r="F434" s="232" t="s">
        <v>476</v>
      </c>
      <c r="G434" s="232" t="s">
        <v>477</v>
      </c>
      <c r="H434" s="232"/>
      <c r="I434" s="232">
        <v>0</v>
      </c>
      <c r="J434" s="232" t="s">
        <v>882</v>
      </c>
      <c r="K434" s="232" t="s">
        <v>2279</v>
      </c>
      <c r="L434" s="232" t="s">
        <v>2939</v>
      </c>
      <c r="M434" s="232" t="s">
        <v>2282</v>
      </c>
      <c r="N434" s="232" t="str">
        <f t="shared" si="8"/>
        <v>Event(FireSkill, m.shale.passive.skill.event.skilleffect.04, FireCondition(Skill2))</v>
      </c>
      <c r="O434" s="232">
        <v>0</v>
      </c>
      <c r="P434" s="232">
        <v>0</v>
      </c>
      <c r="Q434" s="232"/>
      <c r="R434" s="232" t="b">
        <v>1</v>
      </c>
    </row>
    <row r="435" spans="1:18" x14ac:dyDescent="0.3">
      <c r="A435" s="232" t="s">
        <v>2948</v>
      </c>
      <c r="B435" s="232"/>
      <c r="C435" s="232"/>
      <c r="D435" s="232">
        <v>0</v>
      </c>
      <c r="E435" s="232">
        <v>1</v>
      </c>
      <c r="F435" s="232" t="s">
        <v>476</v>
      </c>
      <c r="G435" s="232" t="s">
        <v>477</v>
      </c>
      <c r="H435" s="232"/>
      <c r="I435" s="232">
        <v>0</v>
      </c>
      <c r="J435" s="232" t="s">
        <v>882</v>
      </c>
      <c r="K435" s="232" t="s">
        <v>2279</v>
      </c>
      <c r="L435" s="232" t="s">
        <v>2941</v>
      </c>
      <c r="M435" s="232" t="s">
        <v>2282</v>
      </c>
      <c r="N435" s="232" t="str">
        <f t="shared" si="8"/>
        <v>Event(FireSkill, m.shale.passive.skill.event.skilleffect.05, FireCondition(Skill2))</v>
      </c>
      <c r="O435" s="232">
        <v>0</v>
      </c>
      <c r="P435" s="232">
        <v>0</v>
      </c>
      <c r="Q435" s="232"/>
      <c r="R435" s="232" t="b">
        <v>1</v>
      </c>
    </row>
    <row r="436" spans="1:18" x14ac:dyDescent="0.3">
      <c r="A436" s="232" t="s">
        <v>2949</v>
      </c>
      <c r="B436" s="232"/>
      <c r="C436" s="232"/>
      <c r="D436" s="232">
        <v>0</v>
      </c>
      <c r="E436" s="232">
        <v>1</v>
      </c>
      <c r="F436" s="232" t="s">
        <v>476</v>
      </c>
      <c r="G436" s="232" t="s">
        <v>477</v>
      </c>
      <c r="H436" s="232"/>
      <c r="I436" s="232">
        <v>0</v>
      </c>
      <c r="J436" s="232" t="s">
        <v>882</v>
      </c>
      <c r="K436" s="232" t="s">
        <v>2279</v>
      </c>
      <c r="L436" s="232" t="s">
        <v>2943</v>
      </c>
      <c r="M436" s="232" t="s">
        <v>2282</v>
      </c>
      <c r="N436" s="232" t="str">
        <f t="shared" si="8"/>
        <v>Event(FireSkill, m.shale.passive.skill.event.skilleffect.06, FireCondition(Skill2))</v>
      </c>
      <c r="O436" s="232">
        <v>0</v>
      </c>
      <c r="P436" s="232">
        <v>0</v>
      </c>
      <c r="Q436" s="232"/>
      <c r="R436" s="232" t="b">
        <v>1</v>
      </c>
    </row>
    <row r="437" spans="1:18" x14ac:dyDescent="0.3">
      <c r="A437" s="234" t="s">
        <v>2950</v>
      </c>
      <c r="B437" s="234"/>
      <c r="C437" s="234"/>
      <c r="D437" s="234">
        <v>0</v>
      </c>
      <c r="E437" s="234">
        <v>1</v>
      </c>
      <c r="F437" s="234" t="s">
        <v>476</v>
      </c>
      <c r="G437" s="234" t="s">
        <v>477</v>
      </c>
      <c r="H437" s="234"/>
      <c r="I437" s="234">
        <v>0</v>
      </c>
      <c r="J437" s="234" t="s">
        <v>846</v>
      </c>
      <c r="K437" s="234" t="s">
        <v>852</v>
      </c>
      <c r="L437" s="234">
        <v>36</v>
      </c>
      <c r="M437" s="234"/>
      <c r="N437" s="234" t="str">
        <f t="shared" si="8"/>
        <v>Status(AttackRatio, 36)</v>
      </c>
      <c r="O437" s="234">
        <v>0</v>
      </c>
      <c r="P437" s="234">
        <v>0</v>
      </c>
      <c r="Q437" s="234"/>
      <c r="R437" s="234" t="b">
        <v>1</v>
      </c>
    </row>
    <row r="438" spans="1:18" x14ac:dyDescent="0.3">
      <c r="A438" s="234" t="s">
        <v>2951</v>
      </c>
      <c r="B438" s="234"/>
      <c r="C438" s="234"/>
      <c r="D438" s="234">
        <v>0</v>
      </c>
      <c r="E438" s="234">
        <v>1</v>
      </c>
      <c r="F438" s="234" t="s">
        <v>476</v>
      </c>
      <c r="G438" s="234" t="s">
        <v>477</v>
      </c>
      <c r="H438" s="234"/>
      <c r="I438" s="234">
        <v>0</v>
      </c>
      <c r="J438" s="234" t="s">
        <v>846</v>
      </c>
      <c r="K438" s="234" t="s">
        <v>852</v>
      </c>
      <c r="L438" s="234">
        <v>39</v>
      </c>
      <c r="M438" s="234"/>
      <c r="N438" s="234" t="str">
        <f t="shared" si="8"/>
        <v>Status(AttackRatio, 39)</v>
      </c>
      <c r="O438" s="234">
        <v>0</v>
      </c>
      <c r="P438" s="234">
        <v>0</v>
      </c>
      <c r="Q438" s="234"/>
      <c r="R438" s="234" t="b">
        <v>1</v>
      </c>
    </row>
    <row r="439" spans="1:18" x14ac:dyDescent="0.3">
      <c r="A439" s="234" t="s">
        <v>2952</v>
      </c>
      <c r="B439" s="234"/>
      <c r="C439" s="234"/>
      <c r="D439" s="234">
        <v>0</v>
      </c>
      <c r="E439" s="234">
        <v>1</v>
      </c>
      <c r="F439" s="234" t="s">
        <v>476</v>
      </c>
      <c r="G439" s="234" t="s">
        <v>477</v>
      </c>
      <c r="H439" s="234"/>
      <c r="I439" s="234">
        <v>0</v>
      </c>
      <c r="J439" s="234" t="s">
        <v>846</v>
      </c>
      <c r="K439" s="234" t="s">
        <v>852</v>
      </c>
      <c r="L439" s="234">
        <v>43</v>
      </c>
      <c r="M439" s="234"/>
      <c r="N439" s="234" t="str">
        <f t="shared" si="8"/>
        <v>Status(AttackRatio, 43)</v>
      </c>
      <c r="O439" s="234">
        <v>0</v>
      </c>
      <c r="P439" s="234">
        <v>0</v>
      </c>
      <c r="Q439" s="234"/>
      <c r="R439" s="234" t="b">
        <v>1</v>
      </c>
    </row>
    <row r="440" spans="1:18" x14ac:dyDescent="0.3">
      <c r="A440" s="232" t="s">
        <v>2953</v>
      </c>
      <c r="B440" s="232"/>
      <c r="C440" s="232"/>
      <c r="D440" s="232">
        <v>0</v>
      </c>
      <c r="E440" s="232">
        <v>1</v>
      </c>
      <c r="F440" s="232" t="s">
        <v>476</v>
      </c>
      <c r="G440" s="232" t="s">
        <v>477</v>
      </c>
      <c r="H440" s="232"/>
      <c r="I440" s="232">
        <v>0</v>
      </c>
      <c r="J440" s="232" t="s">
        <v>846</v>
      </c>
      <c r="K440" s="232" t="s">
        <v>852</v>
      </c>
      <c r="L440" s="232">
        <v>47</v>
      </c>
      <c r="M440" s="232"/>
      <c r="N440" s="232" t="str">
        <f t="shared" si="8"/>
        <v>Status(AttackRatio, 47)</v>
      </c>
      <c r="O440" s="232">
        <v>0</v>
      </c>
      <c r="P440" s="232">
        <v>0</v>
      </c>
      <c r="Q440" s="232"/>
      <c r="R440" s="232" t="b">
        <v>1</v>
      </c>
    </row>
    <row r="441" spans="1:18" x14ac:dyDescent="0.3">
      <c r="A441" s="232" t="s">
        <v>2954</v>
      </c>
      <c r="B441" s="232"/>
      <c r="C441" s="232"/>
      <c r="D441" s="232">
        <v>0</v>
      </c>
      <c r="E441" s="232">
        <v>1</v>
      </c>
      <c r="F441" s="232" t="s">
        <v>476</v>
      </c>
      <c r="G441" s="232" t="s">
        <v>477</v>
      </c>
      <c r="H441" s="232"/>
      <c r="I441" s="232">
        <v>0</v>
      </c>
      <c r="J441" s="232" t="s">
        <v>846</v>
      </c>
      <c r="K441" s="232" t="s">
        <v>852</v>
      </c>
      <c r="L441" s="232">
        <v>50</v>
      </c>
      <c r="M441" s="232"/>
      <c r="N441" s="232" t="str">
        <f t="shared" si="8"/>
        <v>Status(AttackRatio, 50)</v>
      </c>
      <c r="O441" s="232">
        <v>0</v>
      </c>
      <c r="P441" s="232">
        <v>0</v>
      </c>
      <c r="Q441" s="232"/>
      <c r="R441" s="232" t="b">
        <v>1</v>
      </c>
    </row>
    <row r="442" spans="1:18" x14ac:dyDescent="0.3">
      <c r="A442" s="232" t="s">
        <v>2955</v>
      </c>
      <c r="B442" s="232"/>
      <c r="C442" s="232"/>
      <c r="D442" s="232">
        <v>0</v>
      </c>
      <c r="E442" s="232">
        <v>1</v>
      </c>
      <c r="F442" s="232" t="s">
        <v>476</v>
      </c>
      <c r="G442" s="232" t="s">
        <v>477</v>
      </c>
      <c r="H442" s="232"/>
      <c r="I442" s="232">
        <v>0</v>
      </c>
      <c r="J442" s="232" t="s">
        <v>846</v>
      </c>
      <c r="K442" s="232" t="s">
        <v>852</v>
      </c>
      <c r="L442" s="232">
        <v>35</v>
      </c>
      <c r="M442" s="232"/>
      <c r="N442" s="232" t="str">
        <f t="shared" si="8"/>
        <v>Status(AttackRatio, 35)</v>
      </c>
      <c r="O442" s="232">
        <v>0</v>
      </c>
      <c r="P442" s="232">
        <v>0</v>
      </c>
      <c r="Q442" s="232"/>
      <c r="R442" s="232" t="b">
        <v>1</v>
      </c>
    </row>
    <row r="443" spans="1:18" x14ac:dyDescent="0.3">
      <c r="A443" s="235" t="s">
        <v>2956</v>
      </c>
      <c r="B443" s="235" t="s">
        <v>843</v>
      </c>
      <c r="C443" s="235">
        <v>-70</v>
      </c>
      <c r="D443" s="235">
        <v>0</v>
      </c>
      <c r="E443" s="235">
        <v>1</v>
      </c>
      <c r="F443" s="235" t="s">
        <v>476</v>
      </c>
      <c r="G443" s="235" t="s">
        <v>477</v>
      </c>
      <c r="H443" s="235"/>
      <c r="I443" s="235">
        <v>0</v>
      </c>
      <c r="J443" s="235" t="s">
        <v>860</v>
      </c>
      <c r="K443" s="235" t="s">
        <v>2957</v>
      </c>
      <c r="L443" s="235"/>
      <c r="M443" s="235"/>
      <c r="N443" s="235" t="str">
        <f t="shared" si="8"/>
        <v>Active(m.shale.bookmark.check.condition)</v>
      </c>
      <c r="O443" s="235">
        <v>0</v>
      </c>
      <c r="P443" s="235">
        <v>1000</v>
      </c>
      <c r="Q443" s="235"/>
      <c r="R443" s="235" t="b">
        <v>1</v>
      </c>
    </row>
    <row r="444" spans="1:18" x14ac:dyDescent="0.3">
      <c r="A444" s="234" t="s">
        <v>2906</v>
      </c>
      <c r="B444" s="234"/>
      <c r="C444" s="234"/>
      <c r="D444" s="234">
        <v>0</v>
      </c>
      <c r="E444" s="234">
        <v>1</v>
      </c>
      <c r="F444" s="234" t="s">
        <v>476</v>
      </c>
      <c r="G444" s="234" t="s">
        <v>477</v>
      </c>
      <c r="H444" s="234"/>
      <c r="I444" s="234">
        <v>0</v>
      </c>
      <c r="J444" s="234" t="s">
        <v>1380</v>
      </c>
      <c r="K444" s="234" t="s">
        <v>2917</v>
      </c>
      <c r="L444" s="234"/>
      <c r="M444" s="234"/>
      <c r="N444" s="234" t="str">
        <f t="shared" si="8"/>
        <v>Passive(m.shale.passive.ex.bookmark.buff.01)</v>
      </c>
      <c r="O444" s="234">
        <v>0</v>
      </c>
      <c r="P444" s="234">
        <v>0</v>
      </c>
      <c r="Q444" s="234"/>
      <c r="R444" s="234" t="b">
        <v>1</v>
      </c>
    </row>
    <row r="445" spans="1:18" x14ac:dyDescent="0.3">
      <c r="A445" s="234" t="s">
        <v>2908</v>
      </c>
      <c r="B445" s="234"/>
      <c r="C445" s="234"/>
      <c r="D445" s="234">
        <v>0</v>
      </c>
      <c r="E445" s="234">
        <v>1</v>
      </c>
      <c r="F445" s="234" t="s">
        <v>476</v>
      </c>
      <c r="G445" s="234" t="s">
        <v>477</v>
      </c>
      <c r="H445" s="234"/>
      <c r="I445" s="234">
        <v>0</v>
      </c>
      <c r="J445" s="234" t="s">
        <v>1380</v>
      </c>
      <c r="K445" s="234" t="s">
        <v>2919</v>
      </c>
      <c r="L445" s="234"/>
      <c r="M445" s="234"/>
      <c r="N445" s="234" t="str">
        <f t="shared" si="8"/>
        <v>Passive(m.shale.passive.ex.bookmark.buff.02)</v>
      </c>
      <c r="O445" s="234">
        <v>0</v>
      </c>
      <c r="P445" s="234">
        <v>0</v>
      </c>
      <c r="Q445" s="234"/>
      <c r="R445" s="234" t="b">
        <v>1</v>
      </c>
    </row>
    <row r="446" spans="1:18" x14ac:dyDescent="0.3">
      <c r="A446" s="234" t="s">
        <v>2910</v>
      </c>
      <c r="B446" s="234"/>
      <c r="C446" s="234"/>
      <c r="D446" s="234">
        <v>0</v>
      </c>
      <c r="E446" s="234">
        <v>1</v>
      </c>
      <c r="F446" s="234" t="s">
        <v>476</v>
      </c>
      <c r="G446" s="234" t="s">
        <v>477</v>
      </c>
      <c r="H446" s="234"/>
      <c r="I446" s="234">
        <v>0</v>
      </c>
      <c r="J446" s="234" t="s">
        <v>1380</v>
      </c>
      <c r="K446" s="234" t="s">
        <v>2921</v>
      </c>
      <c r="L446" s="234"/>
      <c r="M446" s="234"/>
      <c r="N446" s="234" t="str">
        <f t="shared" si="8"/>
        <v>Passive(m.shale.passive.ex.bookmark.buff.03)</v>
      </c>
      <c r="O446" s="234">
        <v>0</v>
      </c>
      <c r="P446" s="234">
        <v>0</v>
      </c>
      <c r="Q446" s="234"/>
      <c r="R446" s="234" t="b">
        <v>1</v>
      </c>
    </row>
    <row r="447" spans="1:18" x14ac:dyDescent="0.3">
      <c r="A447" s="234" t="s">
        <v>2912</v>
      </c>
      <c r="B447" s="234"/>
      <c r="C447" s="234"/>
      <c r="D447" s="234">
        <v>0</v>
      </c>
      <c r="E447" s="234">
        <v>1</v>
      </c>
      <c r="F447" s="234" t="s">
        <v>476</v>
      </c>
      <c r="G447" s="234" t="s">
        <v>477</v>
      </c>
      <c r="H447" s="234"/>
      <c r="I447" s="234">
        <v>0</v>
      </c>
      <c r="J447" s="234" t="s">
        <v>1380</v>
      </c>
      <c r="K447" s="234" t="s">
        <v>2923</v>
      </c>
      <c r="L447" s="234"/>
      <c r="M447" s="234"/>
      <c r="N447" s="234" t="str">
        <f t="shared" si="8"/>
        <v>Passive(m.shale.passive.ex.bookmark.buff.04)</v>
      </c>
      <c r="O447" s="234">
        <v>0</v>
      </c>
      <c r="P447" s="234">
        <v>0</v>
      </c>
      <c r="Q447" s="234"/>
      <c r="R447" s="234" t="b">
        <v>1</v>
      </c>
    </row>
    <row r="448" spans="1:18" x14ac:dyDescent="0.3">
      <c r="A448" s="234" t="s">
        <v>2914</v>
      </c>
      <c r="B448" s="234"/>
      <c r="C448" s="234"/>
      <c r="D448" s="234">
        <v>0</v>
      </c>
      <c r="E448" s="234">
        <v>1</v>
      </c>
      <c r="F448" s="234" t="s">
        <v>476</v>
      </c>
      <c r="G448" s="234" t="s">
        <v>477</v>
      </c>
      <c r="H448" s="234"/>
      <c r="I448" s="234">
        <v>0</v>
      </c>
      <c r="J448" s="234" t="s">
        <v>1380</v>
      </c>
      <c r="K448" s="234" t="s">
        <v>2925</v>
      </c>
      <c r="L448" s="234"/>
      <c r="M448" s="234"/>
      <c r="N448" s="234" t="str">
        <f t="shared" si="8"/>
        <v>Passive(m.shale.passive.ex.bookmark.buff.05)</v>
      </c>
      <c r="O448" s="234">
        <v>0</v>
      </c>
      <c r="P448" s="234">
        <v>0</v>
      </c>
      <c r="Q448" s="234"/>
      <c r="R448" s="234" t="b">
        <v>1</v>
      </c>
    </row>
    <row r="449" spans="1:18" x14ac:dyDescent="0.3">
      <c r="A449" s="234" t="s">
        <v>2916</v>
      </c>
      <c r="B449" s="234"/>
      <c r="C449" s="234"/>
      <c r="D449" s="234">
        <v>0</v>
      </c>
      <c r="E449" s="234">
        <v>1</v>
      </c>
      <c r="F449" s="234" t="s">
        <v>476</v>
      </c>
      <c r="G449" s="234" t="s">
        <v>477</v>
      </c>
      <c r="H449" s="234"/>
      <c r="I449" s="234">
        <v>0</v>
      </c>
      <c r="J449" s="234" t="s">
        <v>1380</v>
      </c>
      <c r="K449" s="234" t="s">
        <v>2927</v>
      </c>
      <c r="L449" s="234"/>
      <c r="M449" s="234"/>
      <c r="N449" s="234" t="str">
        <f t="shared" si="8"/>
        <v>Passive(m.shale.passive.ex.bookmark.buff.06)</v>
      </c>
      <c r="O449" s="234">
        <v>0</v>
      </c>
      <c r="P449" s="234">
        <v>0</v>
      </c>
      <c r="Q449" s="234"/>
      <c r="R449" s="234" t="b">
        <v>1</v>
      </c>
    </row>
    <row r="450" spans="1:18" x14ac:dyDescent="0.3">
      <c r="A450" s="236" t="s">
        <v>2918</v>
      </c>
      <c r="B450" s="236" t="s">
        <v>239</v>
      </c>
      <c r="C450" s="236" t="s">
        <v>2956</v>
      </c>
      <c r="D450" s="236">
        <v>0</v>
      </c>
      <c r="E450" s="236">
        <v>1</v>
      </c>
      <c r="F450" s="236" t="s">
        <v>476</v>
      </c>
      <c r="G450" s="236" t="s">
        <v>477</v>
      </c>
      <c r="H450" s="236"/>
      <c r="I450" s="236">
        <v>0</v>
      </c>
      <c r="J450" s="236" t="s">
        <v>846</v>
      </c>
      <c r="K450" s="236" t="s">
        <v>857</v>
      </c>
      <c r="L450" s="236">
        <v>140</v>
      </c>
      <c r="M450" s="236"/>
      <c r="N450" s="236" t="str">
        <f t="shared" si="8"/>
        <v>Status(DamageRate, 140)</v>
      </c>
      <c r="O450" s="236">
        <v>0</v>
      </c>
      <c r="P450" s="236">
        <v>0</v>
      </c>
      <c r="Q450" s="236"/>
      <c r="R450" s="236" t="b">
        <v>1</v>
      </c>
    </row>
    <row r="451" spans="1:18" x14ac:dyDescent="0.3">
      <c r="A451" s="236" t="s">
        <v>2920</v>
      </c>
      <c r="B451" s="236" t="s">
        <v>239</v>
      </c>
      <c r="C451" s="236" t="s">
        <v>2956</v>
      </c>
      <c r="D451" s="236">
        <v>0</v>
      </c>
      <c r="E451" s="236">
        <v>1</v>
      </c>
      <c r="F451" s="236" t="s">
        <v>476</v>
      </c>
      <c r="G451" s="236" t="s">
        <v>477</v>
      </c>
      <c r="H451" s="236"/>
      <c r="I451" s="236">
        <v>0</v>
      </c>
      <c r="J451" s="236" t="s">
        <v>846</v>
      </c>
      <c r="K451" s="236" t="s">
        <v>857</v>
      </c>
      <c r="L451" s="236">
        <v>160</v>
      </c>
      <c r="M451" s="236"/>
      <c r="N451" s="236" t="str">
        <f t="shared" si="8"/>
        <v>Status(DamageRate, 160)</v>
      </c>
      <c r="O451" s="236">
        <v>0</v>
      </c>
      <c r="P451" s="236">
        <v>0</v>
      </c>
      <c r="Q451" s="236"/>
      <c r="R451" s="236" t="b">
        <v>1</v>
      </c>
    </row>
    <row r="452" spans="1:18" x14ac:dyDescent="0.3">
      <c r="A452" s="236" t="s">
        <v>2922</v>
      </c>
      <c r="B452" s="236" t="s">
        <v>239</v>
      </c>
      <c r="C452" s="236" t="s">
        <v>2956</v>
      </c>
      <c r="D452" s="236">
        <v>0</v>
      </c>
      <c r="E452" s="236">
        <v>1</v>
      </c>
      <c r="F452" s="236" t="s">
        <v>476</v>
      </c>
      <c r="G452" s="236" t="s">
        <v>477</v>
      </c>
      <c r="H452" s="236"/>
      <c r="I452" s="236">
        <v>0</v>
      </c>
      <c r="J452" s="236" t="s">
        <v>846</v>
      </c>
      <c r="K452" s="236" t="s">
        <v>857</v>
      </c>
      <c r="L452" s="236">
        <v>180</v>
      </c>
      <c r="M452" s="236"/>
      <c r="N452" s="236" t="str">
        <f t="shared" si="8"/>
        <v>Status(DamageRate, 180)</v>
      </c>
      <c r="O452" s="236">
        <v>0</v>
      </c>
      <c r="P452" s="236">
        <v>0</v>
      </c>
      <c r="Q452" s="236"/>
      <c r="R452" s="236" t="b">
        <v>1</v>
      </c>
    </row>
    <row r="453" spans="1:18" x14ac:dyDescent="0.3">
      <c r="A453" s="236" t="s">
        <v>2924</v>
      </c>
      <c r="B453" s="236" t="s">
        <v>239</v>
      </c>
      <c r="C453" s="236" t="s">
        <v>2956</v>
      </c>
      <c r="D453" s="236">
        <v>0</v>
      </c>
      <c r="E453" s="236">
        <v>1</v>
      </c>
      <c r="F453" s="236" t="s">
        <v>476</v>
      </c>
      <c r="G453" s="236" t="s">
        <v>477</v>
      </c>
      <c r="H453" s="236"/>
      <c r="I453" s="236">
        <v>0</v>
      </c>
      <c r="J453" s="236" t="s">
        <v>846</v>
      </c>
      <c r="K453" s="236" t="s">
        <v>857</v>
      </c>
      <c r="L453" s="236">
        <v>200</v>
      </c>
      <c r="M453" s="236"/>
      <c r="N453" s="236" t="str">
        <f t="shared" si="8"/>
        <v>Status(DamageRate, 200)</v>
      </c>
      <c r="O453" s="236">
        <v>0</v>
      </c>
      <c r="P453" s="236">
        <v>0</v>
      </c>
      <c r="Q453" s="236"/>
      <c r="R453" s="236" t="b">
        <v>1</v>
      </c>
    </row>
    <row r="454" spans="1:18" x14ac:dyDescent="0.3">
      <c r="A454" s="236" t="s">
        <v>2926</v>
      </c>
      <c r="B454" s="236" t="s">
        <v>239</v>
      </c>
      <c r="C454" s="236" t="s">
        <v>2956</v>
      </c>
      <c r="D454" s="236">
        <v>0</v>
      </c>
      <c r="E454" s="236">
        <v>1</v>
      </c>
      <c r="F454" s="236" t="s">
        <v>476</v>
      </c>
      <c r="G454" s="236" t="s">
        <v>477</v>
      </c>
      <c r="H454" s="236"/>
      <c r="I454" s="236">
        <v>0</v>
      </c>
      <c r="J454" s="236" t="s">
        <v>846</v>
      </c>
      <c r="K454" s="236" t="s">
        <v>857</v>
      </c>
      <c r="L454" s="236">
        <v>200</v>
      </c>
      <c r="M454" s="236"/>
      <c r="N454" s="236" t="str">
        <f t="shared" si="8"/>
        <v>Status(DamageRate, 200)</v>
      </c>
      <c r="O454" s="236">
        <v>0</v>
      </c>
      <c r="P454" s="236">
        <v>0</v>
      </c>
      <c r="Q454" s="236"/>
      <c r="R454" s="236" t="b">
        <v>1</v>
      </c>
    </row>
    <row r="455" spans="1:18" x14ac:dyDescent="0.3">
      <c r="A455" s="236" t="s">
        <v>2928</v>
      </c>
      <c r="B455" s="236" t="s">
        <v>239</v>
      </c>
      <c r="C455" s="236" t="s">
        <v>2956</v>
      </c>
      <c r="D455" s="236">
        <v>0</v>
      </c>
      <c r="E455" s="236">
        <v>1</v>
      </c>
      <c r="F455" s="236" t="s">
        <v>476</v>
      </c>
      <c r="G455" s="236" t="s">
        <v>477</v>
      </c>
      <c r="H455" s="236"/>
      <c r="I455" s="236">
        <v>0</v>
      </c>
      <c r="J455" s="236" t="s">
        <v>846</v>
      </c>
      <c r="K455" s="236" t="s">
        <v>857</v>
      </c>
      <c r="L455" s="236">
        <v>200</v>
      </c>
      <c r="M455" s="236"/>
      <c r="N455" s="236" t="str">
        <f t="shared" si="8"/>
        <v>Status(DamageRate, 200)</v>
      </c>
      <c r="O455" s="236">
        <v>0</v>
      </c>
      <c r="P455" s="236">
        <v>0</v>
      </c>
      <c r="Q455" s="236"/>
      <c r="R455" s="236" t="b">
        <v>1</v>
      </c>
    </row>
    <row r="456" spans="1:18" x14ac:dyDescent="0.3">
      <c r="A456" s="234" t="s">
        <v>2958</v>
      </c>
      <c r="B456" s="234"/>
      <c r="C456" s="234"/>
      <c r="D456" s="234">
        <v>0</v>
      </c>
      <c r="E456" s="234">
        <v>1</v>
      </c>
      <c r="F456" s="234" t="s">
        <v>476</v>
      </c>
      <c r="G456" s="234" t="s">
        <v>477</v>
      </c>
      <c r="H456" s="234"/>
      <c r="I456" s="234">
        <v>0</v>
      </c>
      <c r="J456" s="234" t="s">
        <v>851</v>
      </c>
      <c r="K456" s="234" t="s">
        <v>845</v>
      </c>
      <c r="L456" s="234">
        <v>15</v>
      </c>
      <c r="M456" s="234"/>
      <c r="N456" s="234" t="str">
        <f t="shared" si="8"/>
        <v>Hot(MaxHp, 15)</v>
      </c>
      <c r="O456" s="234">
        <v>0</v>
      </c>
      <c r="P456" s="234">
        <v>1000</v>
      </c>
      <c r="Q456" s="234"/>
      <c r="R456" s="234" t="b">
        <v>1</v>
      </c>
    </row>
    <row r="457" spans="1:18" x14ac:dyDescent="0.3">
      <c r="A457" s="234" t="s">
        <v>2959</v>
      </c>
      <c r="B457" s="234"/>
      <c r="C457" s="234"/>
      <c r="D457" s="234">
        <v>0</v>
      </c>
      <c r="E457" s="234">
        <v>1</v>
      </c>
      <c r="F457" s="234" t="s">
        <v>476</v>
      </c>
      <c r="G457" s="234" t="s">
        <v>477</v>
      </c>
      <c r="H457" s="234"/>
      <c r="I457" s="234">
        <v>0</v>
      </c>
      <c r="J457" s="234" t="s">
        <v>851</v>
      </c>
      <c r="K457" s="234" t="s">
        <v>845</v>
      </c>
      <c r="L457" s="234">
        <v>15</v>
      </c>
      <c r="M457" s="234"/>
      <c r="N457" s="234" t="str">
        <f t="shared" si="8"/>
        <v>Hot(MaxHp, 15)</v>
      </c>
      <c r="O457" s="234">
        <v>0</v>
      </c>
      <c r="P457" s="234">
        <v>1000</v>
      </c>
      <c r="Q457" s="234"/>
      <c r="R457" s="234" t="b">
        <v>1</v>
      </c>
    </row>
    <row r="458" spans="1:18" x14ac:dyDescent="0.3">
      <c r="A458" s="234" t="s">
        <v>2960</v>
      </c>
      <c r="B458" s="234"/>
      <c r="C458" s="234"/>
      <c r="D458" s="234">
        <v>0</v>
      </c>
      <c r="E458" s="234">
        <v>1</v>
      </c>
      <c r="F458" s="234" t="s">
        <v>476</v>
      </c>
      <c r="G458" s="234" t="s">
        <v>477</v>
      </c>
      <c r="H458" s="234"/>
      <c r="I458" s="234">
        <v>0</v>
      </c>
      <c r="J458" s="234" t="s">
        <v>851</v>
      </c>
      <c r="K458" s="234" t="s">
        <v>845</v>
      </c>
      <c r="L458" s="234">
        <v>15</v>
      </c>
      <c r="M458" s="234"/>
      <c r="N458" s="234" t="str">
        <f t="shared" si="8"/>
        <v>Hot(MaxHp, 15)</v>
      </c>
      <c r="O458" s="234">
        <v>0</v>
      </c>
      <c r="P458" s="234">
        <v>1000</v>
      </c>
      <c r="Q458" s="234"/>
      <c r="R458" s="234" t="b">
        <v>1</v>
      </c>
    </row>
    <row r="459" spans="1:18" x14ac:dyDescent="0.3">
      <c r="A459" s="232" t="s">
        <v>2961</v>
      </c>
      <c r="B459" s="232"/>
      <c r="C459" s="232"/>
      <c r="D459" s="232">
        <v>0</v>
      </c>
      <c r="E459" s="232">
        <v>1</v>
      </c>
      <c r="F459" s="232" t="s">
        <v>476</v>
      </c>
      <c r="G459" s="232" t="s">
        <v>477</v>
      </c>
      <c r="H459" s="232"/>
      <c r="I459" s="232">
        <v>0</v>
      </c>
      <c r="J459" s="232" t="s">
        <v>851</v>
      </c>
      <c r="K459" s="232" t="s">
        <v>845</v>
      </c>
      <c r="L459" s="232">
        <v>15</v>
      </c>
      <c r="M459" s="232"/>
      <c r="N459" s="232" t="str">
        <f t="shared" si="8"/>
        <v>Hot(MaxHp, 15)</v>
      </c>
      <c r="O459" s="232">
        <v>0</v>
      </c>
      <c r="P459" s="232">
        <v>1000</v>
      </c>
      <c r="Q459" s="232"/>
      <c r="R459" s="232" t="b">
        <v>1</v>
      </c>
    </row>
    <row r="460" spans="1:18" x14ac:dyDescent="0.3">
      <c r="A460" s="232" t="s">
        <v>2962</v>
      </c>
      <c r="B460" s="232"/>
      <c r="C460" s="232"/>
      <c r="D460" s="232">
        <v>0</v>
      </c>
      <c r="E460" s="232">
        <v>1</v>
      </c>
      <c r="F460" s="232" t="s">
        <v>476</v>
      </c>
      <c r="G460" s="232" t="s">
        <v>477</v>
      </c>
      <c r="H460" s="232"/>
      <c r="I460" s="232">
        <v>0</v>
      </c>
      <c r="J460" s="232" t="s">
        <v>851</v>
      </c>
      <c r="K460" s="232" t="s">
        <v>845</v>
      </c>
      <c r="L460" s="232">
        <v>20</v>
      </c>
      <c r="M460" s="232"/>
      <c r="N460" s="232" t="str">
        <f t="shared" si="8"/>
        <v>Hot(MaxHp, 20)</v>
      </c>
      <c r="O460" s="232">
        <v>0</v>
      </c>
      <c r="P460" s="232">
        <v>1000</v>
      </c>
      <c r="Q460" s="232"/>
      <c r="R460" s="232" t="b">
        <v>1</v>
      </c>
    </row>
    <row r="461" spans="1:18" x14ac:dyDescent="0.3">
      <c r="A461" s="232" t="s">
        <v>2963</v>
      </c>
      <c r="B461" s="232"/>
      <c r="C461" s="232"/>
      <c r="D461" s="232">
        <v>0</v>
      </c>
      <c r="E461" s="232">
        <v>1</v>
      </c>
      <c r="F461" s="232" t="s">
        <v>476</v>
      </c>
      <c r="G461" s="232" t="s">
        <v>477</v>
      </c>
      <c r="H461" s="232"/>
      <c r="I461" s="232">
        <v>0</v>
      </c>
      <c r="J461" s="232" t="s">
        <v>851</v>
      </c>
      <c r="K461" s="232" t="s">
        <v>845</v>
      </c>
      <c r="L461" s="232">
        <v>30</v>
      </c>
      <c r="M461" s="232"/>
      <c r="N461" s="232" t="str">
        <f t="shared" si="8"/>
        <v>Hot(MaxHp, 30)</v>
      </c>
      <c r="O461" s="232">
        <v>0</v>
      </c>
      <c r="P461" s="232">
        <v>1000</v>
      </c>
      <c r="Q461" s="232"/>
      <c r="R461" s="232" t="b">
        <v>1</v>
      </c>
    </row>
    <row r="462" spans="1:18" x14ac:dyDescent="0.3">
      <c r="A462" s="232" t="s">
        <v>2964</v>
      </c>
      <c r="B462" s="232"/>
      <c r="C462" s="232"/>
      <c r="D462" s="232">
        <v>0</v>
      </c>
      <c r="E462" s="232">
        <v>1</v>
      </c>
      <c r="F462" s="232" t="s">
        <v>476</v>
      </c>
      <c r="G462" s="232" t="s">
        <v>477</v>
      </c>
      <c r="H462" s="232"/>
      <c r="I462" s="232">
        <v>0</v>
      </c>
      <c r="J462" s="232" t="s">
        <v>851</v>
      </c>
      <c r="K462" s="232" t="s">
        <v>845</v>
      </c>
      <c r="L462" s="232">
        <v>30</v>
      </c>
      <c r="M462" s="232"/>
      <c r="N462" s="232" t="str">
        <f t="shared" si="8"/>
        <v>Hot(MaxHp, 30)</v>
      </c>
      <c r="O462" s="232">
        <v>0</v>
      </c>
      <c r="P462" s="232">
        <v>1000</v>
      </c>
      <c r="Q462" s="232"/>
      <c r="R462" s="232" t="b">
        <v>1</v>
      </c>
    </row>
    <row r="463" spans="1:18" x14ac:dyDescent="0.3">
      <c r="A463" s="231" t="s">
        <v>2965</v>
      </c>
      <c r="B463" s="231"/>
      <c r="C463" s="231"/>
      <c r="D463" s="231">
        <v>0</v>
      </c>
      <c r="E463" s="231">
        <v>1</v>
      </c>
      <c r="F463" s="231" t="s">
        <v>476</v>
      </c>
      <c r="G463" s="231" t="s">
        <v>477</v>
      </c>
      <c r="H463" s="231"/>
      <c r="I463" s="231">
        <v>0</v>
      </c>
      <c r="J463" s="231" t="s">
        <v>851</v>
      </c>
      <c r="K463" s="231" t="s">
        <v>845</v>
      </c>
      <c r="L463" s="231">
        <v>15</v>
      </c>
      <c r="M463" s="231"/>
      <c r="N463" s="231" t="str">
        <f t="shared" si="8"/>
        <v>Hot(MaxHp, 15)</v>
      </c>
      <c r="O463" s="231">
        <v>0</v>
      </c>
      <c r="P463" s="231">
        <v>1000</v>
      </c>
      <c r="Q463" s="231"/>
      <c r="R463" s="231" t="b">
        <v>1</v>
      </c>
    </row>
    <row r="464" spans="1:18" x14ac:dyDescent="0.3">
      <c r="A464" s="231" t="s">
        <v>2966</v>
      </c>
      <c r="B464" s="231"/>
      <c r="C464" s="231"/>
      <c r="D464" s="231">
        <v>0</v>
      </c>
      <c r="E464" s="231">
        <v>1</v>
      </c>
      <c r="F464" s="231" t="s">
        <v>476</v>
      </c>
      <c r="G464" s="231" t="s">
        <v>477</v>
      </c>
      <c r="H464" s="231"/>
      <c r="I464" s="231">
        <v>0</v>
      </c>
      <c r="J464" s="231" t="s">
        <v>851</v>
      </c>
      <c r="K464" s="231" t="s">
        <v>845</v>
      </c>
      <c r="L464" s="231">
        <v>15</v>
      </c>
      <c r="M464" s="231"/>
      <c r="N464" s="231" t="str">
        <f t="shared" si="8"/>
        <v>Hot(MaxHp, 15)</v>
      </c>
      <c r="O464" s="231">
        <v>0</v>
      </c>
      <c r="P464" s="231">
        <v>1000</v>
      </c>
      <c r="Q464" s="231"/>
      <c r="R464" s="231" t="b">
        <v>1</v>
      </c>
    </row>
    <row r="465" spans="1:18" x14ac:dyDescent="0.3">
      <c r="A465" s="231" t="s">
        <v>2967</v>
      </c>
      <c r="B465" s="231"/>
      <c r="C465" s="231"/>
      <c r="D465" s="231">
        <v>0</v>
      </c>
      <c r="E465" s="231">
        <v>1</v>
      </c>
      <c r="F465" s="231" t="s">
        <v>476</v>
      </c>
      <c r="G465" s="231" t="s">
        <v>477</v>
      </c>
      <c r="H465" s="231"/>
      <c r="I465" s="231">
        <v>0</v>
      </c>
      <c r="J465" s="231" t="s">
        <v>851</v>
      </c>
      <c r="K465" s="231" t="s">
        <v>845</v>
      </c>
      <c r="L465" s="231">
        <v>15</v>
      </c>
      <c r="M465" s="231"/>
      <c r="N465" s="231" t="str">
        <f t="shared" si="8"/>
        <v>Hot(MaxHp, 15)</v>
      </c>
      <c r="O465" s="231">
        <v>0</v>
      </c>
      <c r="P465" s="231">
        <v>1000</v>
      </c>
      <c r="Q465" s="231"/>
      <c r="R465" s="231" t="b">
        <v>1</v>
      </c>
    </row>
    <row r="466" spans="1:18" x14ac:dyDescent="0.3">
      <c r="A466" s="231" t="s">
        <v>2968</v>
      </c>
      <c r="B466" s="231"/>
      <c r="C466" s="231"/>
      <c r="D466" s="231">
        <v>0</v>
      </c>
      <c r="E466" s="231">
        <v>1</v>
      </c>
      <c r="F466" s="231" t="s">
        <v>476</v>
      </c>
      <c r="G466" s="231" t="s">
        <v>477</v>
      </c>
      <c r="H466" s="231"/>
      <c r="I466" s="231">
        <v>0</v>
      </c>
      <c r="J466" s="231" t="s">
        <v>851</v>
      </c>
      <c r="K466" s="231" t="s">
        <v>845</v>
      </c>
      <c r="L466" s="231">
        <v>15</v>
      </c>
      <c r="M466" s="231"/>
      <c r="N466" s="231" t="str">
        <f t="shared" si="8"/>
        <v>Hot(MaxHp, 15)</v>
      </c>
      <c r="O466" s="231">
        <v>0</v>
      </c>
      <c r="P466" s="231">
        <v>1000</v>
      </c>
      <c r="Q466" s="231"/>
      <c r="R466" s="231" t="b">
        <v>1</v>
      </c>
    </row>
    <row r="467" spans="1:18" x14ac:dyDescent="0.3">
      <c r="A467" s="232" t="s">
        <v>2969</v>
      </c>
      <c r="B467" s="232"/>
      <c r="C467" s="232"/>
      <c r="D467" s="232">
        <v>0</v>
      </c>
      <c r="E467" s="232">
        <v>1</v>
      </c>
      <c r="F467" s="232" t="s">
        <v>476</v>
      </c>
      <c r="G467" s="232" t="s">
        <v>477</v>
      </c>
      <c r="H467" s="232"/>
      <c r="I467" s="232">
        <v>0</v>
      </c>
      <c r="J467" s="232" t="s">
        <v>851</v>
      </c>
      <c r="K467" s="232" t="s">
        <v>845</v>
      </c>
      <c r="L467" s="232">
        <v>20</v>
      </c>
      <c r="M467" s="232"/>
      <c r="N467" s="232" t="str">
        <f t="shared" si="8"/>
        <v>Hot(MaxHp, 20)</v>
      </c>
      <c r="O467" s="232">
        <v>0</v>
      </c>
      <c r="P467" s="232">
        <v>1000</v>
      </c>
      <c r="Q467" s="232"/>
      <c r="R467" s="232" t="b">
        <v>1</v>
      </c>
    </row>
    <row r="468" spans="1:18" x14ac:dyDescent="0.3">
      <c r="A468" s="232" t="s">
        <v>2970</v>
      </c>
      <c r="B468" s="232"/>
      <c r="C468" s="232"/>
      <c r="D468" s="232">
        <v>0</v>
      </c>
      <c r="E468" s="232">
        <v>1</v>
      </c>
      <c r="F468" s="232" t="s">
        <v>476</v>
      </c>
      <c r="G468" s="232" t="s">
        <v>477</v>
      </c>
      <c r="H468" s="232"/>
      <c r="I468" s="232">
        <v>0</v>
      </c>
      <c r="J468" s="232" t="s">
        <v>851</v>
      </c>
      <c r="K468" s="232" t="s">
        <v>845</v>
      </c>
      <c r="L468" s="232">
        <v>30</v>
      </c>
      <c r="M468" s="232"/>
      <c r="N468" s="232" t="str">
        <f t="shared" si="8"/>
        <v>Hot(MaxHp, 30)</v>
      </c>
      <c r="O468" s="232">
        <v>0</v>
      </c>
      <c r="P468" s="232">
        <v>1000</v>
      </c>
      <c r="Q468" s="232"/>
      <c r="R468" s="232" t="b">
        <v>1</v>
      </c>
    </row>
    <row r="469" spans="1:18" x14ac:dyDescent="0.3">
      <c r="A469" s="232" t="s">
        <v>2971</v>
      </c>
      <c r="B469" s="232"/>
      <c r="C469" s="232"/>
      <c r="D469" s="232">
        <v>0</v>
      </c>
      <c r="E469" s="232">
        <v>1</v>
      </c>
      <c r="F469" s="232" t="s">
        <v>476</v>
      </c>
      <c r="G469" s="232" t="s">
        <v>477</v>
      </c>
      <c r="H469" s="232"/>
      <c r="I469" s="232">
        <v>0</v>
      </c>
      <c r="J469" s="232" t="s">
        <v>851</v>
      </c>
      <c r="K469" s="232" t="s">
        <v>845</v>
      </c>
      <c r="L469" s="232">
        <v>30</v>
      </c>
      <c r="M469" s="232"/>
      <c r="N469" s="232" t="str">
        <f t="shared" si="8"/>
        <v>Hot(MaxHp, 30)</v>
      </c>
      <c r="O469" s="232">
        <v>0</v>
      </c>
      <c r="P469" s="232">
        <v>1000</v>
      </c>
      <c r="Q469" s="232"/>
      <c r="R469" s="232" t="b">
        <v>1</v>
      </c>
    </row>
    <row r="470" spans="1:18" x14ac:dyDescent="0.3">
      <c r="A470" s="231" t="s">
        <v>2972</v>
      </c>
      <c r="B470" s="231"/>
      <c r="C470" s="231"/>
      <c r="D470" s="231">
        <v>0</v>
      </c>
      <c r="E470" s="231">
        <v>1</v>
      </c>
      <c r="F470" s="231" t="s">
        <v>476</v>
      </c>
      <c r="G470" s="231" t="s">
        <v>477</v>
      </c>
      <c r="H470" s="231"/>
      <c r="I470" s="231">
        <v>0</v>
      </c>
      <c r="J470" s="231" t="s">
        <v>2283</v>
      </c>
      <c r="K470" s="231"/>
      <c r="L470" s="231"/>
      <c r="M470" s="231"/>
      <c r="N470" s="231" t="str">
        <f t="shared" si="8"/>
        <v>Invincible()</v>
      </c>
      <c r="O470" s="231">
        <v>0</v>
      </c>
      <c r="P470" s="231">
        <v>1000</v>
      </c>
      <c r="Q470" s="231"/>
      <c r="R470" s="231" t="b">
        <v>1</v>
      </c>
    </row>
    <row r="471" spans="1:18" x14ac:dyDescent="0.3">
      <c r="A471" s="231" t="s">
        <v>2973</v>
      </c>
      <c r="B471" s="231"/>
      <c r="C471" s="231"/>
      <c r="D471" s="231">
        <v>0</v>
      </c>
      <c r="E471" s="231">
        <v>1</v>
      </c>
      <c r="F471" s="231" t="s">
        <v>476</v>
      </c>
      <c r="G471" s="231" t="s">
        <v>477</v>
      </c>
      <c r="H471" s="231"/>
      <c r="I471" s="231">
        <v>0</v>
      </c>
      <c r="J471" s="231" t="s">
        <v>2283</v>
      </c>
      <c r="K471" s="231"/>
      <c r="L471" s="231"/>
      <c r="M471" s="231"/>
      <c r="N471" s="231" t="str">
        <f t="shared" si="8"/>
        <v>Invincible()</v>
      </c>
      <c r="O471" s="231">
        <v>0</v>
      </c>
      <c r="P471" s="231">
        <v>1000</v>
      </c>
      <c r="Q471" s="231"/>
      <c r="R471" s="231" t="b">
        <v>1</v>
      </c>
    </row>
    <row r="472" spans="1:18" x14ac:dyDescent="0.3">
      <c r="A472" s="231" t="s">
        <v>2974</v>
      </c>
      <c r="B472" s="231"/>
      <c r="C472" s="231"/>
      <c r="D472" s="231">
        <v>0</v>
      </c>
      <c r="E472" s="231">
        <v>1</v>
      </c>
      <c r="F472" s="231" t="s">
        <v>476</v>
      </c>
      <c r="G472" s="231" t="s">
        <v>477</v>
      </c>
      <c r="H472" s="231"/>
      <c r="I472" s="231">
        <v>0</v>
      </c>
      <c r="J472" s="231" t="s">
        <v>2283</v>
      </c>
      <c r="K472" s="231"/>
      <c r="L472" s="231"/>
      <c r="M472" s="231"/>
      <c r="N472" s="231" t="str">
        <f t="shared" si="8"/>
        <v>Invincible()</v>
      </c>
      <c r="O472" s="231">
        <v>0</v>
      </c>
      <c r="P472" s="231">
        <v>1000</v>
      </c>
      <c r="Q472" s="231"/>
      <c r="R472" s="231" t="b">
        <v>1</v>
      </c>
    </row>
    <row r="473" spans="1:18" x14ac:dyDescent="0.3">
      <c r="A473" s="231" t="s">
        <v>2975</v>
      </c>
      <c r="B473" s="231"/>
      <c r="C473" s="231"/>
      <c r="D473" s="231">
        <v>0</v>
      </c>
      <c r="E473" s="231">
        <v>1</v>
      </c>
      <c r="F473" s="231" t="s">
        <v>476</v>
      </c>
      <c r="G473" s="231" t="s">
        <v>477</v>
      </c>
      <c r="H473" s="231"/>
      <c r="I473" s="231">
        <v>0</v>
      </c>
      <c r="J473" s="231" t="s">
        <v>2283</v>
      </c>
      <c r="K473" s="231"/>
      <c r="L473" s="231"/>
      <c r="M473" s="231"/>
      <c r="N473" s="231" t="str">
        <f t="shared" si="8"/>
        <v>Invincible()</v>
      </c>
      <c r="O473" s="231">
        <v>0</v>
      </c>
      <c r="P473" s="231">
        <v>1000</v>
      </c>
      <c r="Q473" s="231"/>
      <c r="R473" s="231" t="b">
        <v>1</v>
      </c>
    </row>
    <row r="474" spans="1:18" x14ac:dyDescent="0.3">
      <c r="A474" s="232" t="s">
        <v>2976</v>
      </c>
      <c r="B474" s="232"/>
      <c r="C474" s="232"/>
      <c r="D474" s="232">
        <v>0</v>
      </c>
      <c r="E474" s="232">
        <v>1</v>
      </c>
      <c r="F474" s="232" t="s">
        <v>476</v>
      </c>
      <c r="G474" s="232" t="s">
        <v>477</v>
      </c>
      <c r="H474" s="232"/>
      <c r="I474" s="232">
        <v>0</v>
      </c>
      <c r="J474" s="232" t="s">
        <v>2283</v>
      </c>
      <c r="K474" s="232"/>
      <c r="L474" s="232"/>
      <c r="M474" s="232"/>
      <c r="N474" s="232" t="str">
        <f t="shared" si="8"/>
        <v>Invincible()</v>
      </c>
      <c r="O474" s="232">
        <v>0</v>
      </c>
      <c r="P474" s="232">
        <v>1000</v>
      </c>
      <c r="Q474" s="232"/>
      <c r="R474" s="232" t="b">
        <v>1</v>
      </c>
    </row>
    <row r="475" spans="1:18" x14ac:dyDescent="0.3">
      <c r="A475" s="232" t="s">
        <v>2977</v>
      </c>
      <c r="B475" s="232"/>
      <c r="C475" s="232"/>
      <c r="D475" s="232">
        <v>0</v>
      </c>
      <c r="E475" s="232">
        <v>1</v>
      </c>
      <c r="F475" s="232" t="s">
        <v>476</v>
      </c>
      <c r="G475" s="232" t="s">
        <v>477</v>
      </c>
      <c r="H475" s="232"/>
      <c r="I475" s="232">
        <v>0</v>
      </c>
      <c r="J475" s="232" t="s">
        <v>2283</v>
      </c>
      <c r="K475" s="232"/>
      <c r="L475" s="232"/>
      <c r="M475" s="232"/>
      <c r="N475" s="232" t="str">
        <f t="shared" si="8"/>
        <v>Invincible()</v>
      </c>
      <c r="O475" s="232">
        <v>0</v>
      </c>
      <c r="P475" s="232">
        <v>1000</v>
      </c>
      <c r="Q475" s="232"/>
      <c r="R475" s="232" t="b">
        <v>1</v>
      </c>
    </row>
    <row r="476" spans="1:18" x14ac:dyDescent="0.3">
      <c r="A476" s="232" t="s">
        <v>2978</v>
      </c>
      <c r="B476" s="232"/>
      <c r="C476" s="232"/>
      <c r="D476" s="232">
        <v>0</v>
      </c>
      <c r="E476" s="232">
        <v>1</v>
      </c>
      <c r="F476" s="232" t="s">
        <v>476</v>
      </c>
      <c r="G476" s="232" t="s">
        <v>477</v>
      </c>
      <c r="H476" s="232"/>
      <c r="I476" s="232">
        <v>0</v>
      </c>
      <c r="J476" s="232" t="s">
        <v>2283</v>
      </c>
      <c r="K476" s="232"/>
      <c r="L476" s="232"/>
      <c r="M476" s="232"/>
      <c r="N476" s="232" t="str">
        <f t="shared" si="8"/>
        <v>Invincible()</v>
      </c>
      <c r="O476" s="232">
        <v>0</v>
      </c>
      <c r="P476" s="232">
        <v>1000</v>
      </c>
      <c r="Q476" s="232"/>
      <c r="R476" s="232" t="b">
        <v>1</v>
      </c>
    </row>
    <row r="477" spans="1:18" x14ac:dyDescent="0.3">
      <c r="A477" s="231" t="s">
        <v>2979</v>
      </c>
      <c r="B477" s="231"/>
      <c r="C477" s="231"/>
      <c r="D477" s="231">
        <v>0</v>
      </c>
      <c r="E477" s="231">
        <v>1</v>
      </c>
      <c r="F477" s="231" t="s">
        <v>476</v>
      </c>
      <c r="G477" s="231" t="s">
        <v>477</v>
      </c>
      <c r="H477" s="231"/>
      <c r="I477" s="231">
        <v>0</v>
      </c>
      <c r="J477" s="231" t="s">
        <v>835</v>
      </c>
      <c r="K477" s="231" t="s">
        <v>845</v>
      </c>
      <c r="L477" s="231">
        <v>38</v>
      </c>
      <c r="M477" s="231"/>
      <c r="N477" s="231" t="str">
        <f t="shared" si="8"/>
        <v>Shield(MaxHp, 38)</v>
      </c>
      <c r="O477" s="231">
        <v>0</v>
      </c>
      <c r="P477" s="231">
        <v>0</v>
      </c>
      <c r="Q477" s="231"/>
      <c r="R477" s="231" t="b">
        <v>1</v>
      </c>
    </row>
    <row r="478" spans="1:18" x14ac:dyDescent="0.3">
      <c r="A478" s="231" t="s">
        <v>2980</v>
      </c>
      <c r="B478" s="231"/>
      <c r="C478" s="231"/>
      <c r="D478" s="231">
        <v>0</v>
      </c>
      <c r="E478" s="231">
        <v>1</v>
      </c>
      <c r="F478" s="231" t="s">
        <v>476</v>
      </c>
      <c r="G478" s="231" t="s">
        <v>477</v>
      </c>
      <c r="H478" s="231"/>
      <c r="I478" s="231">
        <v>0</v>
      </c>
      <c r="J478" s="231" t="s">
        <v>835</v>
      </c>
      <c r="K478" s="231" t="s">
        <v>845</v>
      </c>
      <c r="L478" s="231">
        <v>40</v>
      </c>
      <c r="M478" s="231"/>
      <c r="N478" s="231" t="str">
        <f t="shared" si="8"/>
        <v>Shield(MaxHp, 40)</v>
      </c>
      <c r="O478" s="231">
        <v>0</v>
      </c>
      <c r="P478" s="231">
        <v>0</v>
      </c>
      <c r="Q478" s="231"/>
      <c r="R478" s="231" t="b">
        <v>1</v>
      </c>
    </row>
    <row r="479" spans="1:18" x14ac:dyDescent="0.3">
      <c r="A479" s="231" t="s">
        <v>2981</v>
      </c>
      <c r="B479" s="231"/>
      <c r="C479" s="231"/>
      <c r="D479" s="231">
        <v>0</v>
      </c>
      <c r="E479" s="231">
        <v>1</v>
      </c>
      <c r="F479" s="231" t="s">
        <v>476</v>
      </c>
      <c r="G479" s="231" t="s">
        <v>477</v>
      </c>
      <c r="H479" s="231"/>
      <c r="I479" s="231">
        <v>0</v>
      </c>
      <c r="J479" s="231" t="s">
        <v>835</v>
      </c>
      <c r="K479" s="231" t="s">
        <v>845</v>
      </c>
      <c r="L479" s="231">
        <v>44</v>
      </c>
      <c r="M479" s="231"/>
      <c r="N479" s="231" t="str">
        <f t="shared" si="8"/>
        <v>Shield(MaxHp, 44)</v>
      </c>
      <c r="O479" s="231">
        <v>0</v>
      </c>
      <c r="P479" s="231">
        <v>0</v>
      </c>
      <c r="Q479" s="231"/>
      <c r="R479" s="231" t="b">
        <v>1</v>
      </c>
    </row>
    <row r="480" spans="1:18" x14ac:dyDescent="0.3">
      <c r="A480" s="231" t="s">
        <v>2982</v>
      </c>
      <c r="B480" s="231"/>
      <c r="C480" s="231"/>
      <c r="D480" s="231">
        <v>0</v>
      </c>
      <c r="E480" s="231">
        <v>1</v>
      </c>
      <c r="F480" s="231" t="s">
        <v>476</v>
      </c>
      <c r="G480" s="231" t="s">
        <v>477</v>
      </c>
      <c r="H480" s="231"/>
      <c r="I480" s="231">
        <v>0</v>
      </c>
      <c r="J480" s="231" t="s">
        <v>835</v>
      </c>
      <c r="K480" s="231" t="s">
        <v>845</v>
      </c>
      <c r="L480" s="231">
        <v>50</v>
      </c>
      <c r="M480" s="231"/>
      <c r="N480" s="231" t="str">
        <f t="shared" si="8"/>
        <v>Shield(MaxHp, 50)</v>
      </c>
      <c r="O480" s="231">
        <v>0</v>
      </c>
      <c r="P480" s="231">
        <v>0</v>
      </c>
      <c r="Q480" s="231"/>
      <c r="R480" s="231" t="b">
        <v>1</v>
      </c>
    </row>
    <row r="481" spans="1:18" x14ac:dyDescent="0.3">
      <c r="A481" s="232" t="s">
        <v>2983</v>
      </c>
      <c r="B481" s="232"/>
      <c r="C481" s="232"/>
      <c r="D481" s="232">
        <v>0</v>
      </c>
      <c r="E481" s="232">
        <v>1</v>
      </c>
      <c r="F481" s="232" t="s">
        <v>476</v>
      </c>
      <c r="G481" s="232" t="s">
        <v>477</v>
      </c>
      <c r="H481" s="232"/>
      <c r="I481" s="232">
        <v>0</v>
      </c>
      <c r="J481" s="232" t="s">
        <v>835</v>
      </c>
      <c r="K481" s="232" t="s">
        <v>845</v>
      </c>
      <c r="L481" s="232">
        <v>60</v>
      </c>
      <c r="M481" s="232"/>
      <c r="N481" s="232" t="str">
        <f t="shared" si="8"/>
        <v>Shield(MaxHp, 60)</v>
      </c>
      <c r="O481" s="232">
        <v>0</v>
      </c>
      <c r="P481" s="232">
        <v>0</v>
      </c>
      <c r="Q481" s="232"/>
      <c r="R481" s="232" t="b">
        <v>1</v>
      </c>
    </row>
    <row r="482" spans="1:18" x14ac:dyDescent="0.3">
      <c r="A482" s="232" t="s">
        <v>2984</v>
      </c>
      <c r="B482" s="232"/>
      <c r="C482" s="232"/>
      <c r="D482" s="232">
        <v>0</v>
      </c>
      <c r="E482" s="232">
        <v>1</v>
      </c>
      <c r="F482" s="232" t="s">
        <v>476</v>
      </c>
      <c r="G482" s="232" t="s">
        <v>477</v>
      </c>
      <c r="H482" s="232"/>
      <c r="I482" s="232">
        <v>0</v>
      </c>
      <c r="J482" s="232" t="s">
        <v>835</v>
      </c>
      <c r="K482" s="232" t="s">
        <v>845</v>
      </c>
      <c r="L482" s="232">
        <v>60</v>
      </c>
      <c r="M482" s="232"/>
      <c r="N482" s="232" t="str">
        <f t="shared" si="8"/>
        <v>Shield(MaxHp, 60)</v>
      </c>
      <c r="O482" s="232">
        <v>0</v>
      </c>
      <c r="P482" s="232">
        <v>0</v>
      </c>
      <c r="Q482" s="232"/>
      <c r="R482" s="232" t="b">
        <v>1</v>
      </c>
    </row>
    <row r="483" spans="1:18" x14ac:dyDescent="0.3">
      <c r="A483" s="157" t="s">
        <v>2985</v>
      </c>
      <c r="B483" s="157"/>
      <c r="C483" s="157"/>
      <c r="D483" s="157">
        <v>0</v>
      </c>
      <c r="E483" s="157">
        <v>1</v>
      </c>
      <c r="F483" s="157" t="s">
        <v>2277</v>
      </c>
      <c r="G483" s="157" t="s">
        <v>485</v>
      </c>
      <c r="H483" s="157"/>
      <c r="I483" s="157">
        <v>0</v>
      </c>
      <c r="J483" s="157" t="s">
        <v>1380</v>
      </c>
      <c r="K483" s="157" t="s">
        <v>2986</v>
      </c>
      <c r="L483" s="157"/>
      <c r="M483" s="157"/>
      <c r="N483" s="157" t="str">
        <f t="shared" si="8"/>
        <v>Passive(m.rayhou.passive.defup.buff.01)</v>
      </c>
      <c r="O483" s="157">
        <v>0</v>
      </c>
      <c r="P483" s="157">
        <v>0</v>
      </c>
      <c r="Q483" s="157"/>
      <c r="R483" s="157" t="b">
        <v>1</v>
      </c>
    </row>
    <row r="484" spans="1:18" x14ac:dyDescent="0.3">
      <c r="A484" s="157" t="s">
        <v>2987</v>
      </c>
      <c r="B484" s="157"/>
      <c r="C484" s="157"/>
      <c r="D484" s="157">
        <v>0</v>
      </c>
      <c r="E484" s="157">
        <v>1</v>
      </c>
      <c r="F484" s="157" t="s">
        <v>2277</v>
      </c>
      <c r="G484" s="157" t="s">
        <v>485</v>
      </c>
      <c r="H484" s="157"/>
      <c r="I484" s="157">
        <v>0</v>
      </c>
      <c r="J484" s="157" t="s">
        <v>1380</v>
      </c>
      <c r="K484" s="157" t="s">
        <v>2988</v>
      </c>
      <c r="L484" s="157"/>
      <c r="M484" s="157"/>
      <c r="N484" s="157" t="str">
        <f t="shared" si="8"/>
        <v>Passive(m.rayhou.passive.defup.buff.02)</v>
      </c>
      <c r="O484" s="157">
        <v>0</v>
      </c>
      <c r="P484" s="157">
        <v>0</v>
      </c>
      <c r="Q484" s="157"/>
      <c r="R484" s="157" t="b">
        <v>1</v>
      </c>
    </row>
    <row r="485" spans="1:18" x14ac:dyDescent="0.3">
      <c r="A485" s="157" t="s">
        <v>2989</v>
      </c>
      <c r="B485" s="157"/>
      <c r="C485" s="157"/>
      <c r="D485" s="157">
        <v>0</v>
      </c>
      <c r="E485" s="157">
        <v>1</v>
      </c>
      <c r="F485" s="157" t="s">
        <v>2277</v>
      </c>
      <c r="G485" s="157" t="s">
        <v>485</v>
      </c>
      <c r="H485" s="157"/>
      <c r="I485" s="157">
        <v>0</v>
      </c>
      <c r="J485" s="157" t="s">
        <v>1380</v>
      </c>
      <c r="K485" s="157" t="s">
        <v>2990</v>
      </c>
      <c r="L485" s="157"/>
      <c r="M485" s="157"/>
      <c r="N485" s="157" t="str">
        <f t="shared" si="8"/>
        <v>Passive(m.rayhou.passive.defup.buff.03)</v>
      </c>
      <c r="O485" s="157">
        <v>0</v>
      </c>
      <c r="P485" s="157">
        <v>0</v>
      </c>
      <c r="Q485" s="157"/>
      <c r="R485" s="157" t="b">
        <v>1</v>
      </c>
    </row>
    <row r="486" spans="1:18" x14ac:dyDescent="0.3">
      <c r="A486" s="232" t="s">
        <v>2991</v>
      </c>
      <c r="B486" s="232"/>
      <c r="C486" s="232"/>
      <c r="D486" s="232">
        <v>0</v>
      </c>
      <c r="E486" s="232">
        <v>1</v>
      </c>
      <c r="F486" s="232" t="s">
        <v>2277</v>
      </c>
      <c r="G486" s="232" t="s">
        <v>485</v>
      </c>
      <c r="H486" s="232"/>
      <c r="I486" s="232">
        <v>0</v>
      </c>
      <c r="J486" s="232" t="s">
        <v>1380</v>
      </c>
      <c r="K486" s="232" t="s">
        <v>2992</v>
      </c>
      <c r="L486" s="232"/>
      <c r="M486" s="232"/>
      <c r="N486" s="232" t="str">
        <f t="shared" si="8"/>
        <v>Passive(m.rayhou.passive.defup.buff.04)</v>
      </c>
      <c r="O486" s="232">
        <v>0</v>
      </c>
      <c r="P486" s="232">
        <v>0</v>
      </c>
      <c r="Q486" s="232"/>
      <c r="R486" s="232" t="b">
        <v>1</v>
      </c>
    </row>
    <row r="487" spans="1:18" x14ac:dyDescent="0.3">
      <c r="A487" s="232" t="s">
        <v>2993</v>
      </c>
      <c r="B487" s="232"/>
      <c r="C487" s="232"/>
      <c r="D487" s="232">
        <v>0</v>
      </c>
      <c r="E487" s="232">
        <v>1</v>
      </c>
      <c r="F487" s="232" t="s">
        <v>2277</v>
      </c>
      <c r="G487" s="232" t="s">
        <v>485</v>
      </c>
      <c r="H487" s="232"/>
      <c r="I487" s="232">
        <v>0</v>
      </c>
      <c r="J487" s="232" t="s">
        <v>1380</v>
      </c>
      <c r="K487" s="232" t="s">
        <v>2994</v>
      </c>
      <c r="L487" s="232"/>
      <c r="M487" s="232"/>
      <c r="N487" s="232" t="str">
        <f t="shared" si="8"/>
        <v>Passive(m.rayhou.passive.defup.buff.05)</v>
      </c>
      <c r="O487" s="232">
        <v>0</v>
      </c>
      <c r="P487" s="232">
        <v>0</v>
      </c>
      <c r="Q487" s="232"/>
      <c r="R487" s="232" t="b">
        <v>1</v>
      </c>
    </row>
    <row r="488" spans="1:18" x14ac:dyDescent="0.3">
      <c r="A488" s="232" t="s">
        <v>2995</v>
      </c>
      <c r="B488" s="232"/>
      <c r="C488" s="232"/>
      <c r="D488" s="232">
        <v>0</v>
      </c>
      <c r="E488" s="232">
        <v>1</v>
      </c>
      <c r="F488" s="232" t="s">
        <v>2277</v>
      </c>
      <c r="G488" s="232" t="s">
        <v>485</v>
      </c>
      <c r="H488" s="232"/>
      <c r="I488" s="232">
        <v>0</v>
      </c>
      <c r="J488" s="232" t="s">
        <v>1380</v>
      </c>
      <c r="K488" s="232" t="s">
        <v>2996</v>
      </c>
      <c r="L488" s="232"/>
      <c r="M488" s="232"/>
      <c r="N488" s="232" t="str">
        <f t="shared" ref="N488:N551" si="9">J488&amp;"("&amp;IF(K488="","",K488)&amp;IF(L488="","",", "&amp;L488)&amp;IF(M488="","",", "&amp;M488)&amp;")"</f>
        <v>Passive(m.rayhou.passive.defup.buff.06)</v>
      </c>
      <c r="O488" s="232">
        <v>0</v>
      </c>
      <c r="P488" s="232">
        <v>0</v>
      </c>
      <c r="Q488" s="232"/>
      <c r="R488" s="232" t="b">
        <v>1</v>
      </c>
    </row>
    <row r="489" spans="1:18" x14ac:dyDescent="0.3">
      <c r="A489" s="231" t="s">
        <v>2997</v>
      </c>
      <c r="B489" s="231"/>
      <c r="C489" s="231"/>
      <c r="D489" s="231">
        <v>0</v>
      </c>
      <c r="E489" s="231">
        <v>1</v>
      </c>
      <c r="F489" s="231" t="s">
        <v>476</v>
      </c>
      <c r="G489" s="231" t="s">
        <v>477</v>
      </c>
      <c r="H489" s="231"/>
      <c r="I489" s="231">
        <v>0</v>
      </c>
      <c r="J489" s="231" t="s">
        <v>846</v>
      </c>
      <c r="K489" s="231" t="s">
        <v>847</v>
      </c>
      <c r="L489" s="231">
        <v>40</v>
      </c>
      <c r="M489" s="231"/>
      <c r="N489" s="231" t="str">
        <f t="shared" si="9"/>
        <v>Status(DefenseRatio, 40)</v>
      </c>
      <c r="O489" s="231">
        <v>0</v>
      </c>
      <c r="P489" s="231">
        <v>0</v>
      </c>
      <c r="Q489" s="231"/>
      <c r="R489" s="231" t="b">
        <v>1</v>
      </c>
    </row>
    <row r="490" spans="1:18" x14ac:dyDescent="0.3">
      <c r="A490" s="231" t="s">
        <v>2998</v>
      </c>
      <c r="B490" s="231"/>
      <c r="C490" s="231"/>
      <c r="D490" s="231">
        <v>0</v>
      </c>
      <c r="E490" s="231">
        <v>1</v>
      </c>
      <c r="F490" s="231" t="s">
        <v>476</v>
      </c>
      <c r="G490" s="231" t="s">
        <v>477</v>
      </c>
      <c r="H490" s="231"/>
      <c r="I490" s="231">
        <v>0</v>
      </c>
      <c r="J490" s="231" t="s">
        <v>846</v>
      </c>
      <c r="K490" s="231" t="s">
        <v>847</v>
      </c>
      <c r="L490" s="231">
        <v>60</v>
      </c>
      <c r="M490" s="231"/>
      <c r="N490" s="231" t="str">
        <f t="shared" si="9"/>
        <v>Status(DefenseRatio, 60)</v>
      </c>
      <c r="O490" s="231">
        <v>0</v>
      </c>
      <c r="P490" s="231">
        <v>0</v>
      </c>
      <c r="Q490" s="231"/>
      <c r="R490" s="231" t="b">
        <v>1</v>
      </c>
    </row>
    <row r="491" spans="1:18" x14ac:dyDescent="0.3">
      <c r="A491" s="231" t="s">
        <v>2999</v>
      </c>
      <c r="B491" s="231"/>
      <c r="C491" s="231"/>
      <c r="D491" s="231">
        <v>0</v>
      </c>
      <c r="E491" s="231">
        <v>1</v>
      </c>
      <c r="F491" s="231" t="s">
        <v>476</v>
      </c>
      <c r="G491" s="231" t="s">
        <v>477</v>
      </c>
      <c r="H491" s="231"/>
      <c r="I491" s="231">
        <v>0</v>
      </c>
      <c r="J491" s="231" t="s">
        <v>846</v>
      </c>
      <c r="K491" s="231" t="s">
        <v>847</v>
      </c>
      <c r="L491" s="231">
        <v>80</v>
      </c>
      <c r="M491" s="231"/>
      <c r="N491" s="231" t="str">
        <f t="shared" si="9"/>
        <v>Status(DefenseRatio, 80)</v>
      </c>
      <c r="O491" s="231">
        <v>0</v>
      </c>
      <c r="P491" s="231">
        <v>0</v>
      </c>
      <c r="Q491" s="231"/>
      <c r="R491" s="231" t="b">
        <v>1</v>
      </c>
    </row>
    <row r="492" spans="1:18" x14ac:dyDescent="0.3">
      <c r="A492" s="232" t="s">
        <v>3000</v>
      </c>
      <c r="B492" s="232"/>
      <c r="C492" s="232"/>
      <c r="D492" s="232">
        <v>0</v>
      </c>
      <c r="E492" s="232">
        <v>1</v>
      </c>
      <c r="F492" s="232" t="s">
        <v>476</v>
      </c>
      <c r="G492" s="232" t="s">
        <v>477</v>
      </c>
      <c r="H492" s="232"/>
      <c r="I492" s="232">
        <v>0</v>
      </c>
      <c r="J492" s="232" t="s">
        <v>846</v>
      </c>
      <c r="K492" s="232" t="s">
        <v>847</v>
      </c>
      <c r="L492" s="232">
        <v>100</v>
      </c>
      <c r="M492" s="232"/>
      <c r="N492" s="232" t="str">
        <f t="shared" si="9"/>
        <v>Status(DefenseRatio, 100)</v>
      </c>
      <c r="O492" s="232">
        <v>0</v>
      </c>
      <c r="P492" s="232">
        <v>0</v>
      </c>
      <c r="Q492" s="232"/>
      <c r="R492" s="232" t="b">
        <v>1</v>
      </c>
    </row>
    <row r="493" spans="1:18" x14ac:dyDescent="0.3">
      <c r="A493" s="232" t="s">
        <v>3001</v>
      </c>
      <c r="B493" s="232"/>
      <c r="C493" s="232"/>
      <c r="D493" s="232">
        <v>0</v>
      </c>
      <c r="E493" s="232">
        <v>1</v>
      </c>
      <c r="F493" s="232" t="s">
        <v>476</v>
      </c>
      <c r="G493" s="232" t="s">
        <v>477</v>
      </c>
      <c r="H493" s="232"/>
      <c r="I493" s="232">
        <v>0</v>
      </c>
      <c r="J493" s="232" t="s">
        <v>846</v>
      </c>
      <c r="K493" s="232" t="s">
        <v>847</v>
      </c>
      <c r="L493" s="232">
        <v>140</v>
      </c>
      <c r="M493" s="232"/>
      <c r="N493" s="232" t="str">
        <f t="shared" si="9"/>
        <v>Status(DefenseRatio, 140)</v>
      </c>
      <c r="O493" s="232">
        <v>0</v>
      </c>
      <c r="P493" s="232">
        <v>0</v>
      </c>
      <c r="Q493" s="232"/>
      <c r="R493" s="232" t="b">
        <v>1</v>
      </c>
    </row>
    <row r="494" spans="1:18" x14ac:dyDescent="0.3">
      <c r="A494" s="232" t="s">
        <v>3002</v>
      </c>
      <c r="B494" s="232"/>
      <c r="C494" s="232"/>
      <c r="D494" s="232">
        <v>0</v>
      </c>
      <c r="E494" s="232">
        <v>1</v>
      </c>
      <c r="F494" s="232" t="s">
        <v>476</v>
      </c>
      <c r="G494" s="232" t="s">
        <v>477</v>
      </c>
      <c r="H494" s="232"/>
      <c r="I494" s="232">
        <v>0</v>
      </c>
      <c r="J494" s="232" t="s">
        <v>846</v>
      </c>
      <c r="K494" s="232" t="s">
        <v>847</v>
      </c>
      <c r="L494" s="232">
        <v>332</v>
      </c>
      <c r="M494" s="232"/>
      <c r="N494" s="232" t="str">
        <f t="shared" si="9"/>
        <v>Status(DefenseRatio, 332)</v>
      </c>
      <c r="O494" s="232">
        <v>0</v>
      </c>
      <c r="P494" s="232">
        <v>0</v>
      </c>
      <c r="Q494" s="232"/>
      <c r="R494" s="232" t="b">
        <v>1</v>
      </c>
    </row>
    <row r="495" spans="1:18" x14ac:dyDescent="0.3">
      <c r="A495" s="157" t="s">
        <v>3003</v>
      </c>
      <c r="B495" s="157"/>
      <c r="C495" s="157"/>
      <c r="D495" s="157">
        <v>0</v>
      </c>
      <c r="E495" s="157">
        <v>1</v>
      </c>
      <c r="F495" s="157" t="s">
        <v>476</v>
      </c>
      <c r="G495" s="157" t="s">
        <v>477</v>
      </c>
      <c r="H495" s="157"/>
      <c r="I495" s="157">
        <v>0</v>
      </c>
      <c r="J495" s="157" t="s">
        <v>860</v>
      </c>
      <c r="K495" s="157" t="s">
        <v>3004</v>
      </c>
      <c r="L495" s="157"/>
      <c r="M495" s="157"/>
      <c r="N495" s="157" t="str">
        <f t="shared" si="9"/>
        <v>Active(m.rayhou.passive.shield.buffeffect.skilleffect.01)</v>
      </c>
      <c r="O495" s="157">
        <v>0</v>
      </c>
      <c r="P495" s="157">
        <v>0</v>
      </c>
      <c r="Q495" s="157"/>
      <c r="R495" s="157" t="b">
        <v>1</v>
      </c>
    </row>
    <row r="496" spans="1:18" x14ac:dyDescent="0.3">
      <c r="A496" s="157" t="s">
        <v>3005</v>
      </c>
      <c r="B496" s="157"/>
      <c r="C496" s="157"/>
      <c r="D496" s="157">
        <v>0</v>
      </c>
      <c r="E496" s="157">
        <v>1</v>
      </c>
      <c r="F496" s="157" t="s">
        <v>476</v>
      </c>
      <c r="G496" s="157" t="s">
        <v>477</v>
      </c>
      <c r="H496" s="157"/>
      <c r="I496" s="157">
        <v>0</v>
      </c>
      <c r="J496" s="157" t="s">
        <v>860</v>
      </c>
      <c r="K496" s="157" t="s">
        <v>3006</v>
      </c>
      <c r="L496" s="157"/>
      <c r="M496" s="157"/>
      <c r="N496" s="157" t="str">
        <f t="shared" si="9"/>
        <v>Active(m.rayhou.passive.shield.buffeffect.skilleffect.02)</v>
      </c>
      <c r="O496" s="157">
        <v>0</v>
      </c>
      <c r="P496" s="157">
        <v>0</v>
      </c>
      <c r="Q496" s="157"/>
      <c r="R496" s="157" t="b">
        <v>1</v>
      </c>
    </row>
    <row r="497" spans="1:18" x14ac:dyDescent="0.3">
      <c r="A497" s="157" t="s">
        <v>3007</v>
      </c>
      <c r="B497" s="157"/>
      <c r="C497" s="157"/>
      <c r="D497" s="157">
        <v>0</v>
      </c>
      <c r="E497" s="157">
        <v>1</v>
      </c>
      <c r="F497" s="157" t="s">
        <v>476</v>
      </c>
      <c r="G497" s="157" t="s">
        <v>477</v>
      </c>
      <c r="H497" s="157"/>
      <c r="I497" s="157">
        <v>0</v>
      </c>
      <c r="J497" s="157" t="s">
        <v>860</v>
      </c>
      <c r="K497" s="157" t="s">
        <v>3008</v>
      </c>
      <c r="L497" s="157"/>
      <c r="M497" s="157"/>
      <c r="N497" s="157" t="str">
        <f t="shared" si="9"/>
        <v>Active(m.rayhou.passive.shield.buffeffect.skilleffect.03)</v>
      </c>
      <c r="O497" s="157">
        <v>0</v>
      </c>
      <c r="P497" s="157">
        <v>0</v>
      </c>
      <c r="Q497" s="157"/>
      <c r="R497" s="157" t="b">
        <v>1</v>
      </c>
    </row>
    <row r="498" spans="1:18" x14ac:dyDescent="0.3">
      <c r="A498" s="232" t="s">
        <v>3009</v>
      </c>
      <c r="B498" s="232"/>
      <c r="C498" s="232"/>
      <c r="D498" s="232">
        <v>0</v>
      </c>
      <c r="E498" s="232">
        <v>1</v>
      </c>
      <c r="F498" s="232" t="s">
        <v>476</v>
      </c>
      <c r="G498" s="232" t="s">
        <v>477</v>
      </c>
      <c r="H498" s="232"/>
      <c r="I498" s="232">
        <v>0</v>
      </c>
      <c r="J498" s="232" t="s">
        <v>860</v>
      </c>
      <c r="K498" s="232" t="s">
        <v>3010</v>
      </c>
      <c r="L498" s="232"/>
      <c r="M498" s="232"/>
      <c r="N498" s="232" t="str">
        <f t="shared" si="9"/>
        <v>Active(m.rayhou.passive.shield.buffeffect.skilleffect.04)</v>
      </c>
      <c r="O498" s="232">
        <v>0</v>
      </c>
      <c r="P498" s="232">
        <v>0</v>
      </c>
      <c r="Q498" s="232"/>
      <c r="R498" s="232" t="b">
        <v>1</v>
      </c>
    </row>
    <row r="499" spans="1:18" x14ac:dyDescent="0.3">
      <c r="A499" s="232" t="s">
        <v>3011</v>
      </c>
      <c r="B499" s="232"/>
      <c r="C499" s="232"/>
      <c r="D499" s="232">
        <v>0</v>
      </c>
      <c r="E499" s="232">
        <v>1</v>
      </c>
      <c r="F499" s="232" t="s">
        <v>476</v>
      </c>
      <c r="G499" s="232" t="s">
        <v>477</v>
      </c>
      <c r="H499" s="232"/>
      <c r="I499" s="232">
        <v>0</v>
      </c>
      <c r="J499" s="232" t="s">
        <v>860</v>
      </c>
      <c r="K499" s="232" t="s">
        <v>3012</v>
      </c>
      <c r="L499" s="232"/>
      <c r="M499" s="232"/>
      <c r="N499" s="232" t="str">
        <f t="shared" si="9"/>
        <v>Active(m.rayhou.passive.shield.buffeffect.skilleffect.05)</v>
      </c>
      <c r="O499" s="232">
        <v>0</v>
      </c>
      <c r="P499" s="232">
        <v>0</v>
      </c>
      <c r="Q499" s="232"/>
      <c r="R499" s="232" t="b">
        <v>1</v>
      </c>
    </row>
    <row r="500" spans="1:18" x14ac:dyDescent="0.3">
      <c r="A500" s="232" t="s">
        <v>3013</v>
      </c>
      <c r="B500" s="232"/>
      <c r="C500" s="232"/>
      <c r="D500" s="232">
        <v>0</v>
      </c>
      <c r="E500" s="232">
        <v>1</v>
      </c>
      <c r="F500" s="232" t="s">
        <v>476</v>
      </c>
      <c r="G500" s="232" t="s">
        <v>477</v>
      </c>
      <c r="H500" s="232"/>
      <c r="I500" s="232">
        <v>0</v>
      </c>
      <c r="J500" s="232" t="s">
        <v>860</v>
      </c>
      <c r="K500" s="232" t="s">
        <v>3014</v>
      </c>
      <c r="L500" s="232"/>
      <c r="M500" s="232"/>
      <c r="N500" s="232" t="str">
        <f t="shared" si="9"/>
        <v>Active(m.rayhou.passive.shield.buffeffect.skilleffect.06)</v>
      </c>
      <c r="O500" s="232">
        <v>0</v>
      </c>
      <c r="P500" s="232">
        <v>0</v>
      </c>
      <c r="Q500" s="232"/>
      <c r="R500" s="232" t="b">
        <v>1</v>
      </c>
    </row>
    <row r="501" spans="1:18" x14ac:dyDescent="0.3">
      <c r="A501" s="231" t="s">
        <v>3015</v>
      </c>
      <c r="B501" s="231" t="s">
        <v>843</v>
      </c>
      <c r="C501" s="231">
        <v>-20</v>
      </c>
      <c r="D501" s="231">
        <v>0</v>
      </c>
      <c r="E501" s="231">
        <v>1</v>
      </c>
      <c r="F501" s="231" t="s">
        <v>476</v>
      </c>
      <c r="G501" s="231" t="s">
        <v>477</v>
      </c>
      <c r="H501" s="231"/>
      <c r="I501" s="231">
        <v>0</v>
      </c>
      <c r="J501" s="231" t="s">
        <v>860</v>
      </c>
      <c r="K501" s="231" t="s">
        <v>3016</v>
      </c>
      <c r="L501" s="231"/>
      <c r="M501" s="231"/>
      <c r="N501" s="231" t="str">
        <f t="shared" si="9"/>
        <v>Active(m.rayhou.passive.shield.trigger.skilleffect.01)</v>
      </c>
      <c r="O501" s="231">
        <v>0</v>
      </c>
      <c r="P501" s="231">
        <v>0</v>
      </c>
      <c r="Q501" s="231"/>
      <c r="R501" s="231" t="b">
        <v>1</v>
      </c>
    </row>
    <row r="502" spans="1:18" x14ac:dyDescent="0.3">
      <c r="A502" s="231" t="s">
        <v>3017</v>
      </c>
      <c r="B502" s="231" t="s">
        <v>843</v>
      </c>
      <c r="C502" s="231">
        <v>-20</v>
      </c>
      <c r="D502" s="231">
        <v>0</v>
      </c>
      <c r="E502" s="231">
        <v>1</v>
      </c>
      <c r="F502" s="231" t="s">
        <v>476</v>
      </c>
      <c r="G502" s="231" t="s">
        <v>477</v>
      </c>
      <c r="H502" s="231"/>
      <c r="I502" s="231">
        <v>0</v>
      </c>
      <c r="J502" s="231" t="s">
        <v>860</v>
      </c>
      <c r="K502" s="231" t="s">
        <v>3018</v>
      </c>
      <c r="L502" s="231"/>
      <c r="M502" s="231"/>
      <c r="N502" s="231" t="str">
        <f t="shared" si="9"/>
        <v>Active(m.rayhou.passive.shield.trigger.skilleffect.02)</v>
      </c>
      <c r="O502" s="231">
        <v>0</v>
      </c>
      <c r="P502" s="231">
        <v>0</v>
      </c>
      <c r="Q502" s="231"/>
      <c r="R502" s="231" t="b">
        <v>1</v>
      </c>
    </row>
    <row r="503" spans="1:18" x14ac:dyDescent="0.3">
      <c r="A503" s="231" t="s">
        <v>3019</v>
      </c>
      <c r="B503" s="231" t="s">
        <v>843</v>
      </c>
      <c r="C503" s="231">
        <v>-20</v>
      </c>
      <c r="D503" s="231">
        <v>0</v>
      </c>
      <c r="E503" s="231">
        <v>1</v>
      </c>
      <c r="F503" s="231" t="s">
        <v>476</v>
      </c>
      <c r="G503" s="231" t="s">
        <v>477</v>
      </c>
      <c r="H503" s="231"/>
      <c r="I503" s="231">
        <v>0</v>
      </c>
      <c r="J503" s="231" t="s">
        <v>860</v>
      </c>
      <c r="K503" s="231" t="s">
        <v>3020</v>
      </c>
      <c r="L503" s="231"/>
      <c r="M503" s="231"/>
      <c r="N503" s="231" t="str">
        <f t="shared" si="9"/>
        <v>Active(m.rayhou.passive.shield.trigger.skilleffect.03)</v>
      </c>
      <c r="O503" s="231">
        <v>0</v>
      </c>
      <c r="P503" s="231">
        <v>0</v>
      </c>
      <c r="Q503" s="231"/>
      <c r="R503" s="231" t="b">
        <v>1</v>
      </c>
    </row>
    <row r="504" spans="1:18" x14ac:dyDescent="0.3">
      <c r="A504" s="232" t="s">
        <v>3021</v>
      </c>
      <c r="B504" s="232" t="s">
        <v>843</v>
      </c>
      <c r="C504" s="232">
        <v>-20</v>
      </c>
      <c r="D504" s="232">
        <v>0</v>
      </c>
      <c r="E504" s="232">
        <v>1</v>
      </c>
      <c r="F504" s="232" t="s">
        <v>476</v>
      </c>
      <c r="G504" s="232" t="s">
        <v>477</v>
      </c>
      <c r="H504" s="232"/>
      <c r="I504" s="232">
        <v>0</v>
      </c>
      <c r="J504" s="232" t="s">
        <v>860</v>
      </c>
      <c r="K504" s="232" t="s">
        <v>3022</v>
      </c>
      <c r="L504" s="232"/>
      <c r="M504" s="232"/>
      <c r="N504" s="232" t="str">
        <f t="shared" si="9"/>
        <v>Active(m.rayhou.passive.shield.trigger.skilleffect.04)</v>
      </c>
      <c r="O504" s="232">
        <v>0</v>
      </c>
      <c r="P504" s="232">
        <v>0</v>
      </c>
      <c r="Q504" s="232"/>
      <c r="R504" s="232" t="b">
        <v>1</v>
      </c>
    </row>
    <row r="505" spans="1:18" x14ac:dyDescent="0.3">
      <c r="A505" s="232" t="s">
        <v>3023</v>
      </c>
      <c r="B505" s="232" t="s">
        <v>843</v>
      </c>
      <c r="C505" s="232">
        <v>-20</v>
      </c>
      <c r="D505" s="232">
        <v>0</v>
      </c>
      <c r="E505" s="232">
        <v>1</v>
      </c>
      <c r="F505" s="232" t="s">
        <v>476</v>
      </c>
      <c r="G505" s="232" t="s">
        <v>477</v>
      </c>
      <c r="H505" s="232"/>
      <c r="I505" s="232">
        <v>0</v>
      </c>
      <c r="J505" s="232" t="s">
        <v>860</v>
      </c>
      <c r="K505" s="232" t="s">
        <v>3024</v>
      </c>
      <c r="L505" s="232"/>
      <c r="M505" s="232"/>
      <c r="N505" s="232" t="str">
        <f t="shared" si="9"/>
        <v>Active(m.rayhou.passive.shield.trigger.skilleffect.05)</v>
      </c>
      <c r="O505" s="232">
        <v>0</v>
      </c>
      <c r="P505" s="232">
        <v>0</v>
      </c>
      <c r="Q505" s="232"/>
      <c r="R505" s="232" t="b">
        <v>1</v>
      </c>
    </row>
    <row r="506" spans="1:18" x14ac:dyDescent="0.3">
      <c r="A506" s="232" t="s">
        <v>3025</v>
      </c>
      <c r="B506" s="232" t="s">
        <v>843</v>
      </c>
      <c r="C506" s="232">
        <v>-20</v>
      </c>
      <c r="D506" s="232">
        <v>0</v>
      </c>
      <c r="E506" s="232">
        <v>1</v>
      </c>
      <c r="F506" s="232" t="s">
        <v>476</v>
      </c>
      <c r="G506" s="232" t="s">
        <v>477</v>
      </c>
      <c r="H506" s="232"/>
      <c r="I506" s="232">
        <v>0</v>
      </c>
      <c r="J506" s="232" t="s">
        <v>860</v>
      </c>
      <c r="K506" s="232" t="s">
        <v>3026</v>
      </c>
      <c r="L506" s="232"/>
      <c r="M506" s="232"/>
      <c r="N506" s="232" t="str">
        <f t="shared" si="9"/>
        <v>Active(m.rayhou.passive.shield.trigger.skilleffect.06)</v>
      </c>
      <c r="O506" s="232">
        <v>0</v>
      </c>
      <c r="P506" s="232">
        <v>0</v>
      </c>
      <c r="Q506" s="232"/>
      <c r="R506" s="232" t="b">
        <v>1</v>
      </c>
    </row>
    <row r="507" spans="1:18" x14ac:dyDescent="0.3">
      <c r="A507" s="231" t="s">
        <v>3027</v>
      </c>
      <c r="B507" s="231"/>
      <c r="C507" s="231"/>
      <c r="D507" s="231">
        <v>0</v>
      </c>
      <c r="E507" s="231">
        <v>1</v>
      </c>
      <c r="F507" s="231" t="s">
        <v>476</v>
      </c>
      <c r="G507" s="231" t="s">
        <v>477</v>
      </c>
      <c r="H507" s="231"/>
      <c r="I507" s="231">
        <v>0</v>
      </c>
      <c r="J507" s="231" t="s">
        <v>835</v>
      </c>
      <c r="K507" s="231" t="s">
        <v>845</v>
      </c>
      <c r="L507" s="231">
        <v>60</v>
      </c>
      <c r="M507" s="231"/>
      <c r="N507" s="231" t="str">
        <f t="shared" si="9"/>
        <v>Shield(MaxHp, 60)</v>
      </c>
      <c r="O507" s="231">
        <v>0</v>
      </c>
      <c r="P507" s="231">
        <v>0</v>
      </c>
      <c r="Q507" s="231"/>
      <c r="R507" s="231" t="b">
        <v>1</v>
      </c>
    </row>
    <row r="508" spans="1:18" x14ac:dyDescent="0.3">
      <c r="A508" s="231" t="s">
        <v>3028</v>
      </c>
      <c r="B508" s="231"/>
      <c r="C508" s="231"/>
      <c r="D508" s="231">
        <v>0</v>
      </c>
      <c r="E508" s="231">
        <v>1</v>
      </c>
      <c r="F508" s="231" t="s">
        <v>476</v>
      </c>
      <c r="G508" s="231" t="s">
        <v>477</v>
      </c>
      <c r="H508" s="231"/>
      <c r="I508" s="231">
        <v>0</v>
      </c>
      <c r="J508" s="231" t="s">
        <v>835</v>
      </c>
      <c r="K508" s="231" t="s">
        <v>845</v>
      </c>
      <c r="L508" s="231">
        <v>60</v>
      </c>
      <c r="M508" s="231"/>
      <c r="N508" s="231" t="str">
        <f t="shared" si="9"/>
        <v>Shield(MaxHp, 60)</v>
      </c>
      <c r="O508" s="231">
        <v>0</v>
      </c>
      <c r="P508" s="231">
        <v>0</v>
      </c>
      <c r="Q508" s="231"/>
      <c r="R508" s="231" t="b">
        <v>1</v>
      </c>
    </row>
    <row r="509" spans="1:18" x14ac:dyDescent="0.3">
      <c r="A509" s="231" t="s">
        <v>3029</v>
      </c>
      <c r="B509" s="231"/>
      <c r="C509" s="231"/>
      <c r="D509" s="231">
        <v>0</v>
      </c>
      <c r="E509" s="231">
        <v>1</v>
      </c>
      <c r="F509" s="231" t="s">
        <v>476</v>
      </c>
      <c r="G509" s="231" t="s">
        <v>477</v>
      </c>
      <c r="H509" s="231"/>
      <c r="I509" s="231">
        <v>0</v>
      </c>
      <c r="J509" s="231" t="s">
        <v>835</v>
      </c>
      <c r="K509" s="231" t="s">
        <v>845</v>
      </c>
      <c r="L509" s="231">
        <v>60</v>
      </c>
      <c r="M509" s="231"/>
      <c r="N509" s="231" t="str">
        <f t="shared" si="9"/>
        <v>Shield(MaxHp, 60)</v>
      </c>
      <c r="O509" s="231">
        <v>0</v>
      </c>
      <c r="P509" s="231">
        <v>0</v>
      </c>
      <c r="Q509" s="231"/>
      <c r="R509" s="231" t="b">
        <v>1</v>
      </c>
    </row>
    <row r="510" spans="1:18" x14ac:dyDescent="0.3">
      <c r="A510" s="232" t="s">
        <v>3030</v>
      </c>
      <c r="B510" s="232"/>
      <c r="C510" s="232"/>
      <c r="D510" s="232">
        <v>0</v>
      </c>
      <c r="E510" s="232">
        <v>1</v>
      </c>
      <c r="F510" s="232" t="s">
        <v>476</v>
      </c>
      <c r="G510" s="232" t="s">
        <v>477</v>
      </c>
      <c r="H510" s="232"/>
      <c r="I510" s="232">
        <v>0</v>
      </c>
      <c r="J510" s="232" t="s">
        <v>835</v>
      </c>
      <c r="K510" s="232" t="s">
        <v>845</v>
      </c>
      <c r="L510" s="232">
        <v>60</v>
      </c>
      <c r="M510" s="232"/>
      <c r="N510" s="232" t="str">
        <f t="shared" si="9"/>
        <v>Shield(MaxHp, 60)</v>
      </c>
      <c r="O510" s="232">
        <v>0</v>
      </c>
      <c r="P510" s="232">
        <v>0</v>
      </c>
      <c r="Q510" s="232"/>
      <c r="R510" s="232" t="b">
        <v>1</v>
      </c>
    </row>
    <row r="511" spans="1:18" x14ac:dyDescent="0.3">
      <c r="A511" s="232" t="s">
        <v>3031</v>
      </c>
      <c r="B511" s="232"/>
      <c r="C511" s="232"/>
      <c r="D511" s="232">
        <v>0</v>
      </c>
      <c r="E511" s="232">
        <v>1</v>
      </c>
      <c r="F511" s="232" t="s">
        <v>476</v>
      </c>
      <c r="G511" s="232" t="s">
        <v>477</v>
      </c>
      <c r="H511" s="232"/>
      <c r="I511" s="232">
        <v>0</v>
      </c>
      <c r="J511" s="232" t="s">
        <v>835</v>
      </c>
      <c r="K511" s="232" t="s">
        <v>845</v>
      </c>
      <c r="L511" s="232">
        <v>60</v>
      </c>
      <c r="M511" s="232"/>
      <c r="N511" s="232" t="str">
        <f t="shared" si="9"/>
        <v>Shield(MaxHp, 60)</v>
      </c>
      <c r="O511" s="232">
        <v>0</v>
      </c>
      <c r="P511" s="232">
        <v>0</v>
      </c>
      <c r="Q511" s="232"/>
      <c r="R511" s="232" t="b">
        <v>1</v>
      </c>
    </row>
    <row r="512" spans="1:18" x14ac:dyDescent="0.3">
      <c r="A512" s="232" t="s">
        <v>3032</v>
      </c>
      <c r="B512" s="232"/>
      <c r="C512" s="232"/>
      <c r="D512" s="232">
        <v>0</v>
      </c>
      <c r="E512" s="232">
        <v>1</v>
      </c>
      <c r="F512" s="232" t="s">
        <v>476</v>
      </c>
      <c r="G512" s="232" t="s">
        <v>477</v>
      </c>
      <c r="H512" s="232"/>
      <c r="I512" s="232">
        <v>0</v>
      </c>
      <c r="J512" s="232" t="s">
        <v>835</v>
      </c>
      <c r="K512" s="232" t="s">
        <v>845</v>
      </c>
      <c r="L512" s="232">
        <v>100</v>
      </c>
      <c r="M512" s="232"/>
      <c r="N512" s="232" t="str">
        <f t="shared" si="9"/>
        <v>Shield(MaxHp, 100)</v>
      </c>
      <c r="O512" s="232">
        <v>0</v>
      </c>
      <c r="P512" s="232">
        <v>0</v>
      </c>
      <c r="Q512" s="232"/>
      <c r="R512" s="232" t="b">
        <v>1</v>
      </c>
    </row>
    <row r="513" spans="1:18" x14ac:dyDescent="0.3">
      <c r="A513" s="157" t="s">
        <v>3033</v>
      </c>
      <c r="B513" s="157" t="s">
        <v>487</v>
      </c>
      <c r="C513" s="157" t="s">
        <v>3034</v>
      </c>
      <c r="D513" s="157">
        <v>0</v>
      </c>
      <c r="E513" s="157">
        <v>1</v>
      </c>
      <c r="F513" s="157" t="s">
        <v>476</v>
      </c>
      <c r="G513" s="157" t="s">
        <v>477</v>
      </c>
      <c r="H513" s="157"/>
      <c r="I513" s="157">
        <v>0</v>
      </c>
      <c r="J513" s="157" t="s">
        <v>882</v>
      </c>
      <c r="K513" s="157" t="s">
        <v>899</v>
      </c>
      <c r="L513" s="157" t="s">
        <v>3035</v>
      </c>
      <c r="M513" s="157"/>
      <c r="N513" s="157" t="str">
        <f t="shared" si="9"/>
        <v>Event(AllyDie, m.rayhou.passive.ex.buff.buffeffect.skilleffect.01)</v>
      </c>
      <c r="O513" s="157">
        <v>0</v>
      </c>
      <c r="P513" s="157">
        <v>0</v>
      </c>
      <c r="Q513" s="157"/>
      <c r="R513" s="157" t="b">
        <v>1</v>
      </c>
    </row>
    <row r="514" spans="1:18" x14ac:dyDescent="0.3">
      <c r="A514" s="157" t="s">
        <v>3036</v>
      </c>
      <c r="B514" s="157" t="s">
        <v>487</v>
      </c>
      <c r="C514" s="157" t="s">
        <v>3034</v>
      </c>
      <c r="D514" s="157">
        <v>0</v>
      </c>
      <c r="E514" s="157">
        <v>1</v>
      </c>
      <c r="F514" s="157" t="s">
        <v>476</v>
      </c>
      <c r="G514" s="157" t="s">
        <v>477</v>
      </c>
      <c r="H514" s="157"/>
      <c r="I514" s="157">
        <v>0</v>
      </c>
      <c r="J514" s="157" t="s">
        <v>882</v>
      </c>
      <c r="K514" s="157" t="s">
        <v>899</v>
      </c>
      <c r="L514" s="157" t="s">
        <v>3037</v>
      </c>
      <c r="M514" s="157"/>
      <c r="N514" s="157" t="str">
        <f t="shared" si="9"/>
        <v>Event(AllyDie, m.rayhou.passive.ex.buff.buffeffect.skilleffect.02)</v>
      </c>
      <c r="O514" s="157">
        <v>0</v>
      </c>
      <c r="P514" s="157">
        <v>0</v>
      </c>
      <c r="Q514" s="157"/>
      <c r="R514" s="157" t="b">
        <v>1</v>
      </c>
    </row>
    <row r="515" spans="1:18" x14ac:dyDescent="0.3">
      <c r="A515" s="157" t="s">
        <v>3038</v>
      </c>
      <c r="B515" s="157" t="s">
        <v>487</v>
      </c>
      <c r="C515" s="157" t="s">
        <v>3034</v>
      </c>
      <c r="D515" s="157">
        <v>0</v>
      </c>
      <c r="E515" s="157">
        <v>1</v>
      </c>
      <c r="F515" s="157" t="s">
        <v>476</v>
      </c>
      <c r="G515" s="157" t="s">
        <v>477</v>
      </c>
      <c r="H515" s="157"/>
      <c r="I515" s="157">
        <v>0</v>
      </c>
      <c r="J515" s="157" t="s">
        <v>882</v>
      </c>
      <c r="K515" s="157" t="s">
        <v>899</v>
      </c>
      <c r="L515" s="157" t="s">
        <v>3039</v>
      </c>
      <c r="M515" s="157"/>
      <c r="N515" s="157" t="str">
        <f t="shared" si="9"/>
        <v>Event(AllyDie, m.rayhou.passive.ex.buff.buffeffect.skilleffect.03)</v>
      </c>
      <c r="O515" s="157">
        <v>0</v>
      </c>
      <c r="P515" s="157">
        <v>0</v>
      </c>
      <c r="Q515" s="157"/>
      <c r="R515" s="157" t="b">
        <v>1</v>
      </c>
    </row>
    <row r="516" spans="1:18" x14ac:dyDescent="0.3">
      <c r="A516" s="232" t="s">
        <v>3040</v>
      </c>
      <c r="B516" s="232" t="s">
        <v>487</v>
      </c>
      <c r="C516" s="232" t="s">
        <v>3034</v>
      </c>
      <c r="D516" s="232">
        <v>0</v>
      </c>
      <c r="E516" s="232">
        <v>1</v>
      </c>
      <c r="F516" s="232" t="s">
        <v>476</v>
      </c>
      <c r="G516" s="232" t="s">
        <v>477</v>
      </c>
      <c r="H516" s="232"/>
      <c r="I516" s="232">
        <v>0</v>
      </c>
      <c r="J516" s="232" t="s">
        <v>882</v>
      </c>
      <c r="K516" s="232" t="s">
        <v>899</v>
      </c>
      <c r="L516" s="232" t="s">
        <v>3041</v>
      </c>
      <c r="M516" s="232"/>
      <c r="N516" s="232" t="str">
        <f t="shared" si="9"/>
        <v>Event(AllyDie, m.rayhou.passive.ex.buff.buffeffect.skilleffect.04)</v>
      </c>
      <c r="O516" s="232">
        <v>0</v>
      </c>
      <c r="P516" s="232">
        <v>0</v>
      </c>
      <c r="Q516" s="232"/>
      <c r="R516" s="232" t="b">
        <v>1</v>
      </c>
    </row>
    <row r="517" spans="1:18" x14ac:dyDescent="0.3">
      <c r="A517" s="232" t="s">
        <v>3042</v>
      </c>
      <c r="B517" s="232" t="s">
        <v>487</v>
      </c>
      <c r="C517" s="232" t="s">
        <v>3034</v>
      </c>
      <c r="D517" s="232">
        <v>0</v>
      </c>
      <c r="E517" s="232">
        <v>1</v>
      </c>
      <c r="F517" s="232" t="s">
        <v>476</v>
      </c>
      <c r="G517" s="232" t="s">
        <v>477</v>
      </c>
      <c r="H517" s="232"/>
      <c r="I517" s="232">
        <v>0</v>
      </c>
      <c r="J517" s="232" t="s">
        <v>882</v>
      </c>
      <c r="K517" s="232" t="s">
        <v>899</v>
      </c>
      <c r="L517" s="232" t="s">
        <v>3043</v>
      </c>
      <c r="M517" s="232"/>
      <c r="N517" s="232" t="str">
        <f t="shared" si="9"/>
        <v>Event(AllyDie, m.rayhou.passive.ex.buff.buffeffect.skilleffect.05)</v>
      </c>
      <c r="O517" s="232">
        <v>0</v>
      </c>
      <c r="P517" s="232">
        <v>0</v>
      </c>
      <c r="Q517" s="232"/>
      <c r="R517" s="232" t="b">
        <v>1</v>
      </c>
    </row>
    <row r="518" spans="1:18" x14ac:dyDescent="0.3">
      <c r="A518" s="232" t="s">
        <v>3044</v>
      </c>
      <c r="B518" s="232" t="s">
        <v>487</v>
      </c>
      <c r="C518" s="232" t="s">
        <v>3034</v>
      </c>
      <c r="D518" s="232">
        <v>0</v>
      </c>
      <c r="E518" s="232">
        <v>1</v>
      </c>
      <c r="F518" s="232" t="s">
        <v>476</v>
      </c>
      <c r="G518" s="232" t="s">
        <v>477</v>
      </c>
      <c r="H518" s="232"/>
      <c r="I518" s="232">
        <v>0</v>
      </c>
      <c r="J518" s="232" t="s">
        <v>882</v>
      </c>
      <c r="K518" s="232" t="s">
        <v>899</v>
      </c>
      <c r="L518" s="232" t="s">
        <v>3045</v>
      </c>
      <c r="M518" s="232"/>
      <c r="N518" s="232" t="str">
        <f t="shared" si="9"/>
        <v>Event(AllyDie, m.rayhou.passive.ex.buff.buffeffect.skilleffect.06)</v>
      </c>
      <c r="O518" s="232">
        <v>0</v>
      </c>
      <c r="P518" s="232">
        <v>0</v>
      </c>
      <c r="Q518" s="232"/>
      <c r="R518" s="232" t="b">
        <v>1</v>
      </c>
    </row>
    <row r="519" spans="1:18" x14ac:dyDescent="0.3">
      <c r="A519" s="235" t="s">
        <v>3189</v>
      </c>
      <c r="B519" s="235"/>
      <c r="C519" s="235"/>
      <c r="D519" s="235">
        <v>0</v>
      </c>
      <c r="E519" s="235">
        <v>1</v>
      </c>
      <c r="F519" s="235" t="s">
        <v>476</v>
      </c>
      <c r="G519" s="235" t="s">
        <v>477</v>
      </c>
      <c r="H519" s="235"/>
      <c r="I519" s="235">
        <v>0</v>
      </c>
      <c r="J519" s="235" t="s">
        <v>877</v>
      </c>
      <c r="K519" s="235" t="s">
        <v>878</v>
      </c>
      <c r="L519" s="235"/>
      <c r="M519" s="235"/>
      <c r="N519" s="235" t="str">
        <f t="shared" si="9"/>
        <v>ChangeSkill(Normal)</v>
      </c>
      <c r="O519" s="235">
        <v>0</v>
      </c>
      <c r="P519" s="235">
        <v>0</v>
      </c>
      <c r="Q519" s="235"/>
      <c r="R519" s="235" t="b">
        <v>1</v>
      </c>
    </row>
    <row r="520" spans="1:18" x14ac:dyDescent="0.3">
      <c r="A520" s="234" t="s">
        <v>3190</v>
      </c>
      <c r="B520" s="234"/>
      <c r="C520" s="234"/>
      <c r="D520" s="234">
        <v>0</v>
      </c>
      <c r="E520" s="234">
        <v>1</v>
      </c>
      <c r="F520" s="234" t="s">
        <v>476</v>
      </c>
      <c r="G520" s="234" t="s">
        <v>477</v>
      </c>
      <c r="H520" s="234"/>
      <c r="I520" s="234">
        <v>0</v>
      </c>
      <c r="J520" s="234" t="s">
        <v>860</v>
      </c>
      <c r="K520" s="234" t="s">
        <v>3191</v>
      </c>
      <c r="L520" s="234"/>
      <c r="M520" s="234"/>
      <c r="N520" s="234" t="str">
        <f t="shared" si="9"/>
        <v>Active(m.hellen.ult.B.changeskill.cost.skilleffect.01)</v>
      </c>
      <c r="O520" s="234">
        <v>0</v>
      </c>
      <c r="P520" s="234">
        <v>500</v>
      </c>
      <c r="Q520" s="234"/>
      <c r="R520" s="234" t="b">
        <v>1</v>
      </c>
    </row>
    <row r="521" spans="1:18" x14ac:dyDescent="0.3">
      <c r="A521" s="234" t="s">
        <v>3192</v>
      </c>
      <c r="B521" s="234"/>
      <c r="C521" s="234"/>
      <c r="D521" s="234">
        <v>0</v>
      </c>
      <c r="E521" s="234">
        <v>1</v>
      </c>
      <c r="F521" s="234" t="s">
        <v>476</v>
      </c>
      <c r="G521" s="234" t="s">
        <v>477</v>
      </c>
      <c r="H521" s="234"/>
      <c r="I521" s="234">
        <v>0</v>
      </c>
      <c r="J521" s="234" t="s">
        <v>860</v>
      </c>
      <c r="K521" s="234" t="s">
        <v>3193</v>
      </c>
      <c r="L521" s="234"/>
      <c r="M521" s="234"/>
      <c r="N521" s="234" t="str">
        <f t="shared" si="9"/>
        <v>Active(m.hellen.ult.B.changeskill.cost.skilleffect.02)</v>
      </c>
      <c r="O521" s="234">
        <v>0</v>
      </c>
      <c r="P521" s="234">
        <v>500</v>
      </c>
      <c r="Q521" s="234"/>
      <c r="R521" s="234" t="b">
        <v>1</v>
      </c>
    </row>
    <row r="522" spans="1:18" x14ac:dyDescent="0.3">
      <c r="A522" s="234" t="s">
        <v>3194</v>
      </c>
      <c r="B522" s="234"/>
      <c r="C522" s="234"/>
      <c r="D522" s="234">
        <v>0</v>
      </c>
      <c r="E522" s="234">
        <v>1</v>
      </c>
      <c r="F522" s="234" t="s">
        <v>476</v>
      </c>
      <c r="G522" s="234" t="s">
        <v>477</v>
      </c>
      <c r="H522" s="234"/>
      <c r="I522" s="234">
        <v>0</v>
      </c>
      <c r="J522" s="234" t="s">
        <v>860</v>
      </c>
      <c r="K522" s="234" t="s">
        <v>3195</v>
      </c>
      <c r="L522" s="234"/>
      <c r="M522" s="234"/>
      <c r="N522" s="234" t="str">
        <f t="shared" si="9"/>
        <v>Active(m.hellen.ult.B.changeskill.cost.skilleffect.03)</v>
      </c>
      <c r="O522" s="234">
        <v>0</v>
      </c>
      <c r="P522" s="234">
        <v>500</v>
      </c>
      <c r="Q522" s="234"/>
      <c r="R522" s="234" t="b">
        <v>1</v>
      </c>
    </row>
    <row r="523" spans="1:18" x14ac:dyDescent="0.3">
      <c r="A523" s="234" t="s">
        <v>3196</v>
      </c>
      <c r="B523" s="234"/>
      <c r="C523" s="234"/>
      <c r="D523" s="234">
        <v>0</v>
      </c>
      <c r="E523" s="234">
        <v>1</v>
      </c>
      <c r="F523" s="234" t="s">
        <v>476</v>
      </c>
      <c r="G523" s="234" t="s">
        <v>477</v>
      </c>
      <c r="H523" s="234"/>
      <c r="I523" s="234">
        <v>0</v>
      </c>
      <c r="J523" s="234" t="s">
        <v>860</v>
      </c>
      <c r="K523" s="234" t="s">
        <v>3197</v>
      </c>
      <c r="L523" s="234"/>
      <c r="M523" s="234"/>
      <c r="N523" s="234" t="str">
        <f t="shared" si="9"/>
        <v>Active(m.hellen.ult.B.changeskill.cost.skilleffect.04)</v>
      </c>
      <c r="O523" s="234">
        <v>0</v>
      </c>
      <c r="P523" s="234">
        <v>500</v>
      </c>
      <c r="Q523" s="234"/>
      <c r="R523" s="234" t="b">
        <v>1</v>
      </c>
    </row>
    <row r="524" spans="1:18" x14ac:dyDescent="0.3">
      <c r="A524" s="234" t="s">
        <v>3198</v>
      </c>
      <c r="B524" s="234"/>
      <c r="C524" s="234"/>
      <c r="D524" s="234">
        <v>0</v>
      </c>
      <c r="E524" s="234">
        <v>1</v>
      </c>
      <c r="F524" s="234" t="s">
        <v>476</v>
      </c>
      <c r="G524" s="234" t="s">
        <v>477</v>
      </c>
      <c r="H524" s="234"/>
      <c r="I524" s="234">
        <v>0</v>
      </c>
      <c r="J524" s="234" t="s">
        <v>860</v>
      </c>
      <c r="K524" s="234" t="s">
        <v>3199</v>
      </c>
      <c r="L524" s="234"/>
      <c r="M524" s="234"/>
      <c r="N524" s="234" t="str">
        <f t="shared" si="9"/>
        <v>Active(m.hellen.ult.B.changeskill.cost.skilleffect.05)</v>
      </c>
      <c r="O524" s="234">
        <v>0</v>
      </c>
      <c r="P524" s="234">
        <v>500</v>
      </c>
      <c r="Q524" s="234"/>
      <c r="R524" s="234" t="b">
        <v>1</v>
      </c>
    </row>
    <row r="525" spans="1:18" x14ac:dyDescent="0.3">
      <c r="A525" s="232" t="s">
        <v>3200</v>
      </c>
      <c r="B525" s="232"/>
      <c r="C525" s="232"/>
      <c r="D525" s="232">
        <v>0</v>
      </c>
      <c r="E525" s="232">
        <v>1</v>
      </c>
      <c r="F525" s="232" t="s">
        <v>476</v>
      </c>
      <c r="G525" s="232" t="s">
        <v>477</v>
      </c>
      <c r="H525" s="232"/>
      <c r="I525" s="232">
        <v>0</v>
      </c>
      <c r="J525" s="232" t="s">
        <v>860</v>
      </c>
      <c r="K525" s="232" t="s">
        <v>3201</v>
      </c>
      <c r="L525" s="232"/>
      <c r="M525" s="232"/>
      <c r="N525" s="232" t="str">
        <f t="shared" si="9"/>
        <v>Active(m.hellen.ult.B.changeskill.cost.skilleffect.06)</v>
      </c>
      <c r="O525" s="232">
        <v>0</v>
      </c>
      <c r="P525" s="232">
        <v>500</v>
      </c>
      <c r="Q525" s="232"/>
      <c r="R525" s="232" t="b">
        <v>1</v>
      </c>
    </row>
    <row r="526" spans="1:18" x14ac:dyDescent="0.3">
      <c r="A526" s="232" t="s">
        <v>3202</v>
      </c>
      <c r="B526" s="232"/>
      <c r="C526" s="232"/>
      <c r="D526" s="232">
        <v>0</v>
      </c>
      <c r="E526" s="232">
        <v>1</v>
      </c>
      <c r="F526" s="232" t="s">
        <v>476</v>
      </c>
      <c r="G526" s="232" t="s">
        <v>477</v>
      </c>
      <c r="H526" s="232"/>
      <c r="I526" s="232">
        <v>0</v>
      </c>
      <c r="J526" s="232" t="s">
        <v>860</v>
      </c>
      <c r="K526" s="232" t="s">
        <v>3203</v>
      </c>
      <c r="L526" s="232"/>
      <c r="M526" s="232"/>
      <c r="N526" s="232" t="str">
        <f t="shared" si="9"/>
        <v>Active(m.hellen.ult.B.changeskill.cost.skilleffect.07)</v>
      </c>
      <c r="O526" s="232">
        <v>0</v>
      </c>
      <c r="P526" s="232">
        <v>500</v>
      </c>
      <c r="Q526" s="232"/>
      <c r="R526" s="232" t="b">
        <v>1</v>
      </c>
    </row>
    <row r="527" spans="1:18" x14ac:dyDescent="0.3">
      <c r="A527" s="233" t="s">
        <v>3204</v>
      </c>
      <c r="B527" s="233"/>
      <c r="C527" s="233"/>
      <c r="D527" s="233">
        <v>0</v>
      </c>
      <c r="E527" s="233">
        <v>1</v>
      </c>
      <c r="F527" s="233" t="s">
        <v>476</v>
      </c>
      <c r="G527" s="233" t="s">
        <v>477</v>
      </c>
      <c r="H527" s="233"/>
      <c r="I527" s="233">
        <v>0</v>
      </c>
      <c r="J527" s="233" t="s">
        <v>2284</v>
      </c>
      <c r="K527" s="233" t="s">
        <v>2285</v>
      </c>
      <c r="L527" s="233" t="s">
        <v>3205</v>
      </c>
      <c r="M527" s="233"/>
      <c r="N527" s="233" t="str">
        <f t="shared" si="9"/>
        <v>SkillEffectModifier(Op, m.hellen.ult.B.modifier.01)</v>
      </c>
      <c r="O527" s="233">
        <v>0</v>
      </c>
      <c r="P527" s="233">
        <v>0</v>
      </c>
      <c r="Q527" s="233"/>
      <c r="R527" s="233" t="b">
        <v>1</v>
      </c>
    </row>
    <row r="528" spans="1:18" x14ac:dyDescent="0.3">
      <c r="A528" s="233" t="s">
        <v>3206</v>
      </c>
      <c r="B528" s="233"/>
      <c r="C528" s="233"/>
      <c r="D528" s="233">
        <v>0</v>
      </c>
      <c r="E528" s="233">
        <v>1</v>
      </c>
      <c r="F528" s="233" t="s">
        <v>476</v>
      </c>
      <c r="G528" s="233" t="s">
        <v>477</v>
      </c>
      <c r="H528" s="233"/>
      <c r="I528" s="233">
        <v>0</v>
      </c>
      <c r="J528" s="233" t="s">
        <v>2284</v>
      </c>
      <c r="K528" s="233" t="s">
        <v>2285</v>
      </c>
      <c r="L528" s="233" t="s">
        <v>3207</v>
      </c>
      <c r="M528" s="233"/>
      <c r="N528" s="233" t="str">
        <f t="shared" si="9"/>
        <v>SkillEffectModifier(Op, m.hellen.ult.B.modifier.02)</v>
      </c>
      <c r="O528" s="233">
        <v>0</v>
      </c>
      <c r="P528" s="233">
        <v>0</v>
      </c>
      <c r="Q528" s="233"/>
      <c r="R528" s="233" t="b">
        <v>1</v>
      </c>
    </row>
    <row r="529" spans="1:18" x14ac:dyDescent="0.3">
      <c r="A529" s="233" t="s">
        <v>3208</v>
      </c>
      <c r="B529" s="233"/>
      <c r="C529" s="233"/>
      <c r="D529" s="233">
        <v>0</v>
      </c>
      <c r="E529" s="233">
        <v>1</v>
      </c>
      <c r="F529" s="233" t="s">
        <v>476</v>
      </c>
      <c r="G529" s="233" t="s">
        <v>477</v>
      </c>
      <c r="H529" s="233"/>
      <c r="I529" s="233">
        <v>0</v>
      </c>
      <c r="J529" s="233" t="s">
        <v>2284</v>
      </c>
      <c r="K529" s="233" t="s">
        <v>2285</v>
      </c>
      <c r="L529" s="233" t="s">
        <v>3209</v>
      </c>
      <c r="M529" s="233"/>
      <c r="N529" s="233" t="str">
        <f t="shared" si="9"/>
        <v>SkillEffectModifier(Op, m.hellen.ult.B.modifier.03)</v>
      </c>
      <c r="O529" s="233">
        <v>0</v>
      </c>
      <c r="P529" s="233">
        <v>0</v>
      </c>
      <c r="Q529" s="233"/>
      <c r="R529" s="233" t="b">
        <v>1</v>
      </c>
    </row>
    <row r="530" spans="1:18" x14ac:dyDescent="0.3">
      <c r="A530" s="233" t="s">
        <v>3210</v>
      </c>
      <c r="B530" s="233"/>
      <c r="C530" s="233"/>
      <c r="D530" s="233">
        <v>0</v>
      </c>
      <c r="E530" s="233">
        <v>1</v>
      </c>
      <c r="F530" s="233" t="s">
        <v>476</v>
      </c>
      <c r="G530" s="233" t="s">
        <v>477</v>
      </c>
      <c r="H530" s="233"/>
      <c r="I530" s="233">
        <v>0</v>
      </c>
      <c r="J530" s="233" t="s">
        <v>2284</v>
      </c>
      <c r="K530" s="233" t="s">
        <v>2285</v>
      </c>
      <c r="L530" s="233" t="s">
        <v>3211</v>
      </c>
      <c r="M530" s="233"/>
      <c r="N530" s="233" t="str">
        <f t="shared" si="9"/>
        <v>SkillEffectModifier(Op, m.hellen.ult.B.modifier.04)</v>
      </c>
      <c r="O530" s="233">
        <v>0</v>
      </c>
      <c r="P530" s="233">
        <v>0</v>
      </c>
      <c r="Q530" s="233"/>
      <c r="R530" s="233" t="b">
        <v>1</v>
      </c>
    </row>
    <row r="531" spans="1:18" x14ac:dyDescent="0.3">
      <c r="A531" s="233" t="s">
        <v>3212</v>
      </c>
      <c r="B531" s="233"/>
      <c r="C531" s="233"/>
      <c r="D531" s="233">
        <v>0</v>
      </c>
      <c r="E531" s="233">
        <v>1</v>
      </c>
      <c r="F531" s="233" t="s">
        <v>476</v>
      </c>
      <c r="G531" s="233" t="s">
        <v>477</v>
      </c>
      <c r="H531" s="233"/>
      <c r="I531" s="233">
        <v>0</v>
      </c>
      <c r="J531" s="233" t="s">
        <v>2284</v>
      </c>
      <c r="K531" s="233" t="s">
        <v>2285</v>
      </c>
      <c r="L531" s="233" t="s">
        <v>3213</v>
      </c>
      <c r="M531" s="233"/>
      <c r="N531" s="233" t="str">
        <f t="shared" si="9"/>
        <v>SkillEffectModifier(Op, m.hellen.ult.B.modifier.05)</v>
      </c>
      <c r="O531" s="233">
        <v>0</v>
      </c>
      <c r="P531" s="233">
        <v>0</v>
      </c>
      <c r="Q531" s="233"/>
      <c r="R531" s="233" t="b">
        <v>1</v>
      </c>
    </row>
    <row r="532" spans="1:18" x14ac:dyDescent="0.3">
      <c r="A532" s="232" t="s">
        <v>3214</v>
      </c>
      <c r="B532" s="232"/>
      <c r="C532" s="232"/>
      <c r="D532" s="232">
        <v>0</v>
      </c>
      <c r="E532" s="232">
        <v>1</v>
      </c>
      <c r="F532" s="232" t="s">
        <v>476</v>
      </c>
      <c r="G532" s="232" t="s">
        <v>477</v>
      </c>
      <c r="H532" s="232"/>
      <c r="I532" s="232">
        <v>0</v>
      </c>
      <c r="J532" s="232" t="s">
        <v>2284</v>
      </c>
      <c r="K532" s="232" t="s">
        <v>2285</v>
      </c>
      <c r="L532" s="232" t="s">
        <v>3215</v>
      </c>
      <c r="M532" s="232"/>
      <c r="N532" s="232" t="str">
        <f t="shared" si="9"/>
        <v>SkillEffectModifier(Op, m.hellen.ult.B.modifier.06)</v>
      </c>
      <c r="O532" s="232">
        <v>0</v>
      </c>
      <c r="P532" s="232">
        <v>0</v>
      </c>
      <c r="Q532" s="232"/>
      <c r="R532" s="232" t="b">
        <v>1</v>
      </c>
    </row>
    <row r="533" spans="1:18" x14ac:dyDescent="0.3">
      <c r="A533" s="232" t="s">
        <v>3216</v>
      </c>
      <c r="B533" s="232"/>
      <c r="C533" s="232"/>
      <c r="D533" s="232">
        <v>0</v>
      </c>
      <c r="E533" s="232">
        <v>1</v>
      </c>
      <c r="F533" s="232" t="s">
        <v>476</v>
      </c>
      <c r="G533" s="232" t="s">
        <v>477</v>
      </c>
      <c r="H533" s="232"/>
      <c r="I533" s="232">
        <v>0</v>
      </c>
      <c r="J533" s="232" t="s">
        <v>2284</v>
      </c>
      <c r="K533" s="232" t="s">
        <v>2285</v>
      </c>
      <c r="L533" s="232" t="s">
        <v>3217</v>
      </c>
      <c r="M533" s="232"/>
      <c r="N533" s="232" t="str">
        <f t="shared" si="9"/>
        <v>SkillEffectModifier(Op, m.hellen.ult.B.modifier.07)</v>
      </c>
      <c r="O533" s="232">
        <v>0</v>
      </c>
      <c r="P533" s="232">
        <v>0</v>
      </c>
      <c r="Q533" s="232"/>
      <c r="R533" s="232" t="b">
        <v>1</v>
      </c>
    </row>
    <row r="534" spans="1:18" x14ac:dyDescent="0.3">
      <c r="A534" s="234" t="s">
        <v>3127</v>
      </c>
      <c r="B534" s="234"/>
      <c r="C534" s="234"/>
      <c r="D534" s="234">
        <v>0</v>
      </c>
      <c r="E534" s="234">
        <v>1</v>
      </c>
      <c r="F534" s="234" t="s">
        <v>476</v>
      </c>
      <c r="G534" s="234" t="s">
        <v>477</v>
      </c>
      <c r="H534" s="234"/>
      <c r="I534" s="234">
        <v>0</v>
      </c>
      <c r="J534" s="234" t="s">
        <v>835</v>
      </c>
      <c r="K534" s="234" t="s">
        <v>845</v>
      </c>
      <c r="L534" s="234">
        <v>44</v>
      </c>
      <c r="M534" s="234"/>
      <c r="N534" s="234" t="str">
        <f t="shared" si="9"/>
        <v>Shield(MaxHp, 44)</v>
      </c>
      <c r="O534" s="234">
        <v>0</v>
      </c>
      <c r="P534" s="234">
        <v>0</v>
      </c>
      <c r="Q534" s="234"/>
      <c r="R534" s="234" t="b">
        <v>1</v>
      </c>
    </row>
    <row r="535" spans="1:18" x14ac:dyDescent="0.3">
      <c r="A535" s="234" t="s">
        <v>3129</v>
      </c>
      <c r="B535" s="234"/>
      <c r="C535" s="234"/>
      <c r="D535" s="234">
        <v>0</v>
      </c>
      <c r="E535" s="234">
        <v>1</v>
      </c>
      <c r="F535" s="234" t="s">
        <v>476</v>
      </c>
      <c r="G535" s="234" t="s">
        <v>477</v>
      </c>
      <c r="H535" s="234"/>
      <c r="I535" s="234">
        <v>0</v>
      </c>
      <c r="J535" s="234" t="s">
        <v>835</v>
      </c>
      <c r="K535" s="234" t="s">
        <v>845</v>
      </c>
      <c r="L535" s="234">
        <v>48</v>
      </c>
      <c r="M535" s="234"/>
      <c r="N535" s="234" t="str">
        <f t="shared" si="9"/>
        <v>Shield(MaxHp, 48)</v>
      </c>
      <c r="O535" s="234">
        <v>0</v>
      </c>
      <c r="P535" s="234">
        <v>0</v>
      </c>
      <c r="Q535" s="234"/>
      <c r="R535" s="234" t="b">
        <v>1</v>
      </c>
    </row>
    <row r="536" spans="1:18" x14ac:dyDescent="0.3">
      <c r="A536" s="234" t="s">
        <v>3131</v>
      </c>
      <c r="B536" s="234"/>
      <c r="C536" s="234"/>
      <c r="D536" s="234">
        <v>0</v>
      </c>
      <c r="E536" s="234">
        <v>1</v>
      </c>
      <c r="F536" s="234" t="s">
        <v>476</v>
      </c>
      <c r="G536" s="234" t="s">
        <v>477</v>
      </c>
      <c r="H536" s="234"/>
      <c r="I536" s="234">
        <v>0</v>
      </c>
      <c r="J536" s="234" t="s">
        <v>835</v>
      </c>
      <c r="K536" s="234" t="s">
        <v>845</v>
      </c>
      <c r="L536" s="234">
        <v>52</v>
      </c>
      <c r="M536" s="234"/>
      <c r="N536" s="234" t="str">
        <f t="shared" si="9"/>
        <v>Shield(MaxHp, 52)</v>
      </c>
      <c r="O536" s="234">
        <v>0</v>
      </c>
      <c r="P536" s="234">
        <v>0</v>
      </c>
      <c r="Q536" s="234"/>
      <c r="R536" s="234" t="b">
        <v>1</v>
      </c>
    </row>
    <row r="537" spans="1:18" x14ac:dyDescent="0.3">
      <c r="A537" s="234" t="s">
        <v>3133</v>
      </c>
      <c r="B537" s="234"/>
      <c r="C537" s="234"/>
      <c r="D537" s="234">
        <v>0</v>
      </c>
      <c r="E537" s="234">
        <v>1</v>
      </c>
      <c r="F537" s="234" t="s">
        <v>476</v>
      </c>
      <c r="G537" s="234" t="s">
        <v>477</v>
      </c>
      <c r="H537" s="234"/>
      <c r="I537" s="234">
        <v>0</v>
      </c>
      <c r="J537" s="234" t="s">
        <v>835</v>
      </c>
      <c r="K537" s="234" t="s">
        <v>845</v>
      </c>
      <c r="L537" s="234">
        <v>56</v>
      </c>
      <c r="M537" s="234"/>
      <c r="N537" s="234" t="str">
        <f t="shared" si="9"/>
        <v>Shield(MaxHp, 56)</v>
      </c>
      <c r="O537" s="234">
        <v>0</v>
      </c>
      <c r="P537" s="234">
        <v>0</v>
      </c>
      <c r="Q537" s="234"/>
      <c r="R537" s="234" t="b">
        <v>1</v>
      </c>
    </row>
    <row r="538" spans="1:18" x14ac:dyDescent="0.3">
      <c r="A538" s="232" t="s">
        <v>3135</v>
      </c>
      <c r="B538" s="232"/>
      <c r="C538" s="232"/>
      <c r="D538" s="232">
        <v>0</v>
      </c>
      <c r="E538" s="232">
        <v>1</v>
      </c>
      <c r="F538" s="232" t="s">
        <v>476</v>
      </c>
      <c r="G538" s="232" t="s">
        <v>477</v>
      </c>
      <c r="H538" s="232"/>
      <c r="I538" s="232">
        <v>0</v>
      </c>
      <c r="J538" s="232" t="s">
        <v>835</v>
      </c>
      <c r="K538" s="232" t="s">
        <v>845</v>
      </c>
      <c r="L538" s="232">
        <v>120</v>
      </c>
      <c r="M538" s="232"/>
      <c r="N538" s="232" t="str">
        <f t="shared" si="9"/>
        <v>Shield(MaxHp, 120)</v>
      </c>
      <c r="O538" s="232">
        <v>0</v>
      </c>
      <c r="P538" s="232">
        <v>0</v>
      </c>
      <c r="Q538" s="232"/>
      <c r="R538" s="232" t="b">
        <v>1</v>
      </c>
    </row>
    <row r="539" spans="1:18" x14ac:dyDescent="0.3">
      <c r="A539" s="232" t="s">
        <v>3137</v>
      </c>
      <c r="B539" s="232"/>
      <c r="C539" s="232"/>
      <c r="D539" s="232">
        <v>0</v>
      </c>
      <c r="E539" s="232">
        <v>1</v>
      </c>
      <c r="F539" s="232" t="s">
        <v>476</v>
      </c>
      <c r="G539" s="232" t="s">
        <v>477</v>
      </c>
      <c r="H539" s="232"/>
      <c r="I539" s="232">
        <v>0</v>
      </c>
      <c r="J539" s="232" t="s">
        <v>835</v>
      </c>
      <c r="K539" s="232" t="s">
        <v>845</v>
      </c>
      <c r="L539" s="232">
        <v>120</v>
      </c>
      <c r="M539" s="232"/>
      <c r="N539" s="232" t="str">
        <f t="shared" si="9"/>
        <v>Shield(MaxHp, 120)</v>
      </c>
      <c r="O539" s="232">
        <v>0</v>
      </c>
      <c r="P539" s="232">
        <v>0</v>
      </c>
      <c r="Q539" s="232"/>
      <c r="R539" s="232" t="b">
        <v>1</v>
      </c>
    </row>
    <row r="540" spans="1:18" x14ac:dyDescent="0.3">
      <c r="A540" s="233" t="s">
        <v>3146</v>
      </c>
      <c r="B540" s="233"/>
      <c r="C540" s="233"/>
      <c r="D540" s="233">
        <v>0</v>
      </c>
      <c r="E540" s="233">
        <v>1</v>
      </c>
      <c r="F540" s="233" t="s">
        <v>476</v>
      </c>
      <c r="G540" s="233" t="s">
        <v>477</v>
      </c>
      <c r="H540" s="233"/>
      <c r="I540" s="233">
        <v>0</v>
      </c>
      <c r="J540" s="233" t="s">
        <v>470</v>
      </c>
      <c r="K540" s="233" t="s">
        <v>2141</v>
      </c>
      <c r="L540" s="233" t="s">
        <v>3218</v>
      </c>
      <c r="M540" s="233"/>
      <c r="N540" s="233" t="str">
        <f t="shared" si="9"/>
        <v>Effect(OnHeal, m.hellen.passive.buff.buffeffect.skilleffect.02.01)</v>
      </c>
      <c r="O540" s="233">
        <v>0</v>
      </c>
      <c r="P540" s="233">
        <v>0</v>
      </c>
      <c r="Q540" s="233"/>
      <c r="R540" s="233" t="b">
        <v>1</v>
      </c>
    </row>
    <row r="541" spans="1:18" x14ac:dyDescent="0.3">
      <c r="A541" s="233" t="s">
        <v>3148</v>
      </c>
      <c r="B541" s="233"/>
      <c r="C541" s="233"/>
      <c r="D541" s="233">
        <v>0</v>
      </c>
      <c r="E541" s="233">
        <v>1</v>
      </c>
      <c r="F541" s="233" t="s">
        <v>476</v>
      </c>
      <c r="G541" s="233" t="s">
        <v>477</v>
      </c>
      <c r="H541" s="233"/>
      <c r="I541" s="233">
        <v>0</v>
      </c>
      <c r="J541" s="233" t="s">
        <v>470</v>
      </c>
      <c r="K541" s="233" t="s">
        <v>2141</v>
      </c>
      <c r="L541" s="233" t="s">
        <v>3219</v>
      </c>
      <c r="M541" s="233"/>
      <c r="N541" s="233" t="str">
        <f t="shared" si="9"/>
        <v>Effect(OnHeal, m.hellen.passive.buff.buffeffect.skilleffect.02.02)</v>
      </c>
      <c r="O541" s="233">
        <v>0</v>
      </c>
      <c r="P541" s="233">
        <v>0</v>
      </c>
      <c r="Q541" s="233"/>
      <c r="R541" s="233" t="b">
        <v>1</v>
      </c>
    </row>
    <row r="542" spans="1:18" x14ac:dyDescent="0.3">
      <c r="A542" s="233" t="s">
        <v>3150</v>
      </c>
      <c r="B542" s="233"/>
      <c r="C542" s="233"/>
      <c r="D542" s="233">
        <v>0</v>
      </c>
      <c r="E542" s="233">
        <v>1</v>
      </c>
      <c r="F542" s="233" t="s">
        <v>476</v>
      </c>
      <c r="G542" s="233" t="s">
        <v>477</v>
      </c>
      <c r="H542" s="233"/>
      <c r="I542" s="233">
        <v>0</v>
      </c>
      <c r="J542" s="233" t="s">
        <v>470</v>
      </c>
      <c r="K542" s="233" t="s">
        <v>2141</v>
      </c>
      <c r="L542" s="233" t="s">
        <v>3220</v>
      </c>
      <c r="M542" s="233"/>
      <c r="N542" s="233" t="str">
        <f t="shared" si="9"/>
        <v>Effect(OnHeal, m.hellen.passive.buff.buffeffect.skilleffect.02.03)</v>
      </c>
      <c r="O542" s="233">
        <v>0</v>
      </c>
      <c r="P542" s="233">
        <v>0</v>
      </c>
      <c r="Q542" s="233"/>
      <c r="R542" s="233" t="b">
        <v>1</v>
      </c>
    </row>
    <row r="543" spans="1:18" x14ac:dyDescent="0.3">
      <c r="A543" s="233" t="s">
        <v>3152</v>
      </c>
      <c r="B543" s="233"/>
      <c r="C543" s="233"/>
      <c r="D543" s="233">
        <v>0</v>
      </c>
      <c r="E543" s="233">
        <v>1</v>
      </c>
      <c r="F543" s="233" t="s">
        <v>476</v>
      </c>
      <c r="G543" s="233" t="s">
        <v>477</v>
      </c>
      <c r="H543" s="233"/>
      <c r="I543" s="233">
        <v>0</v>
      </c>
      <c r="J543" s="233" t="s">
        <v>470</v>
      </c>
      <c r="K543" s="233" t="s">
        <v>2141</v>
      </c>
      <c r="L543" s="233" t="s">
        <v>3221</v>
      </c>
      <c r="M543" s="233"/>
      <c r="N543" s="233" t="str">
        <f t="shared" si="9"/>
        <v>Effect(OnHeal, m.hellen.passive.buff.buffeffect.skilleffect.02.04)</v>
      </c>
      <c r="O543" s="233">
        <v>0</v>
      </c>
      <c r="P543" s="233">
        <v>0</v>
      </c>
      <c r="Q543" s="233"/>
      <c r="R543" s="233" t="b">
        <v>1</v>
      </c>
    </row>
    <row r="544" spans="1:18" x14ac:dyDescent="0.3">
      <c r="A544" s="232" t="s">
        <v>3154</v>
      </c>
      <c r="B544" s="232"/>
      <c r="C544" s="232"/>
      <c r="D544" s="232">
        <v>0</v>
      </c>
      <c r="E544" s="232">
        <v>1</v>
      </c>
      <c r="F544" s="232" t="s">
        <v>476</v>
      </c>
      <c r="G544" s="232" t="s">
        <v>477</v>
      </c>
      <c r="H544" s="232"/>
      <c r="I544" s="232">
        <v>0</v>
      </c>
      <c r="J544" s="232" t="s">
        <v>470</v>
      </c>
      <c r="K544" s="232" t="s">
        <v>2141</v>
      </c>
      <c r="L544" s="232" t="s">
        <v>3222</v>
      </c>
      <c r="M544" s="232"/>
      <c r="N544" s="232" t="str">
        <f t="shared" si="9"/>
        <v>Effect(OnHeal, m.hellen.passive.buff.buffeffect.skilleffect.02.05)</v>
      </c>
      <c r="O544" s="232">
        <v>0</v>
      </c>
      <c r="P544" s="232">
        <v>0</v>
      </c>
      <c r="Q544" s="232"/>
      <c r="R544" s="232" t="b">
        <v>1</v>
      </c>
    </row>
    <row r="545" spans="1:18" x14ac:dyDescent="0.3">
      <c r="A545" s="232" t="s">
        <v>3156</v>
      </c>
      <c r="B545" s="232"/>
      <c r="C545" s="232"/>
      <c r="D545" s="232">
        <v>0</v>
      </c>
      <c r="E545" s="232">
        <v>1</v>
      </c>
      <c r="F545" s="232" t="s">
        <v>476</v>
      </c>
      <c r="G545" s="232" t="s">
        <v>477</v>
      </c>
      <c r="H545" s="232"/>
      <c r="I545" s="232">
        <v>0</v>
      </c>
      <c r="J545" s="232" t="s">
        <v>470</v>
      </c>
      <c r="K545" s="232" t="s">
        <v>2141</v>
      </c>
      <c r="L545" s="232" t="s">
        <v>3223</v>
      </c>
      <c r="M545" s="232"/>
      <c r="N545" s="232" t="str">
        <f t="shared" si="9"/>
        <v>Effect(OnHeal, m.hellen.passive.buff.buffeffect.skilleffect.02.06)</v>
      </c>
      <c r="O545" s="232">
        <v>0</v>
      </c>
      <c r="P545" s="232">
        <v>0</v>
      </c>
      <c r="Q545" s="232"/>
      <c r="R545" s="232" t="b">
        <v>1</v>
      </c>
    </row>
    <row r="546" spans="1:18" x14ac:dyDescent="0.3">
      <c r="A546" s="235" t="s">
        <v>3224</v>
      </c>
      <c r="B546" s="235"/>
      <c r="C546" s="235"/>
      <c r="D546" s="235">
        <v>0</v>
      </c>
      <c r="E546" s="235">
        <v>1</v>
      </c>
      <c r="F546" s="235" t="s">
        <v>476</v>
      </c>
      <c r="G546" s="235" t="s">
        <v>477</v>
      </c>
      <c r="H546" s="235"/>
      <c r="I546" s="235">
        <v>0</v>
      </c>
      <c r="J546" s="235" t="s">
        <v>871</v>
      </c>
      <c r="K546" s="235"/>
      <c r="L546" s="235"/>
      <c r="M546" s="235"/>
      <c r="N546" s="235" t="str">
        <f t="shared" si="9"/>
        <v>None()</v>
      </c>
      <c r="O546" s="235">
        <v>0</v>
      </c>
      <c r="P546" s="235">
        <v>0</v>
      </c>
      <c r="Q546" s="235"/>
      <c r="R546" s="235" t="b">
        <v>1</v>
      </c>
    </row>
    <row r="547" spans="1:18" x14ac:dyDescent="0.3">
      <c r="A547" s="234" t="s">
        <v>3225</v>
      </c>
      <c r="B547" s="234"/>
      <c r="C547" s="234"/>
      <c r="D547" s="234">
        <v>0</v>
      </c>
      <c r="E547" s="234">
        <v>1</v>
      </c>
      <c r="F547" s="234" t="s">
        <v>476</v>
      </c>
      <c r="G547" s="234" t="s">
        <v>477</v>
      </c>
      <c r="H547" s="234"/>
      <c r="I547" s="234">
        <v>0</v>
      </c>
      <c r="J547" s="234" t="s">
        <v>851</v>
      </c>
      <c r="K547" s="234" t="s">
        <v>845</v>
      </c>
      <c r="L547" s="234">
        <v>10</v>
      </c>
      <c r="M547" s="234"/>
      <c r="N547" s="234" t="str">
        <f t="shared" si="9"/>
        <v>Hot(MaxHp, 10)</v>
      </c>
      <c r="O547" s="234">
        <v>0</v>
      </c>
      <c r="P547" s="234">
        <v>1000</v>
      </c>
      <c r="Q547" s="234"/>
      <c r="R547" s="234" t="b">
        <v>1</v>
      </c>
    </row>
    <row r="548" spans="1:18" x14ac:dyDescent="0.3">
      <c r="A548" s="234" t="s">
        <v>3226</v>
      </c>
      <c r="B548" s="234"/>
      <c r="C548" s="234"/>
      <c r="D548" s="234">
        <v>0</v>
      </c>
      <c r="E548" s="234">
        <v>1</v>
      </c>
      <c r="F548" s="234" t="s">
        <v>476</v>
      </c>
      <c r="G548" s="234" t="s">
        <v>477</v>
      </c>
      <c r="H548" s="234"/>
      <c r="I548" s="234">
        <v>0</v>
      </c>
      <c r="J548" s="234" t="s">
        <v>851</v>
      </c>
      <c r="K548" s="234" t="s">
        <v>845</v>
      </c>
      <c r="L548" s="234">
        <v>13</v>
      </c>
      <c r="M548" s="234"/>
      <c r="N548" s="234" t="str">
        <f t="shared" si="9"/>
        <v>Hot(MaxHp, 13)</v>
      </c>
      <c r="O548" s="234">
        <v>0</v>
      </c>
      <c r="P548" s="234">
        <v>1000</v>
      </c>
      <c r="Q548" s="234"/>
      <c r="R548" s="234" t="b">
        <v>1</v>
      </c>
    </row>
    <row r="549" spans="1:18" x14ac:dyDescent="0.3">
      <c r="A549" s="234" t="s">
        <v>3227</v>
      </c>
      <c r="B549" s="234"/>
      <c r="C549" s="234"/>
      <c r="D549" s="234">
        <v>0</v>
      </c>
      <c r="E549" s="234">
        <v>1</v>
      </c>
      <c r="F549" s="234" t="s">
        <v>476</v>
      </c>
      <c r="G549" s="234" t="s">
        <v>477</v>
      </c>
      <c r="H549" s="234"/>
      <c r="I549" s="234">
        <v>0</v>
      </c>
      <c r="J549" s="234" t="s">
        <v>851</v>
      </c>
      <c r="K549" s="234" t="s">
        <v>845</v>
      </c>
      <c r="L549" s="234">
        <v>16</v>
      </c>
      <c r="M549" s="234"/>
      <c r="N549" s="234" t="str">
        <f t="shared" si="9"/>
        <v>Hot(MaxHp, 16)</v>
      </c>
      <c r="O549" s="234">
        <v>0</v>
      </c>
      <c r="P549" s="234">
        <v>1000</v>
      </c>
      <c r="Q549" s="234"/>
      <c r="R549" s="234" t="b">
        <v>1</v>
      </c>
    </row>
    <row r="550" spans="1:18" x14ac:dyDescent="0.3">
      <c r="A550" s="234" t="s">
        <v>3228</v>
      </c>
      <c r="B550" s="234"/>
      <c r="C550" s="234"/>
      <c r="D550" s="234">
        <v>0</v>
      </c>
      <c r="E550" s="234">
        <v>1</v>
      </c>
      <c r="F550" s="234" t="s">
        <v>476</v>
      </c>
      <c r="G550" s="234" t="s">
        <v>477</v>
      </c>
      <c r="H550" s="234"/>
      <c r="I550" s="234">
        <v>0</v>
      </c>
      <c r="J550" s="234" t="s">
        <v>851</v>
      </c>
      <c r="K550" s="234" t="s">
        <v>845</v>
      </c>
      <c r="L550" s="234">
        <v>19</v>
      </c>
      <c r="M550" s="234"/>
      <c r="N550" s="234" t="str">
        <f t="shared" si="9"/>
        <v>Hot(MaxHp, 19)</v>
      </c>
      <c r="O550" s="234">
        <v>0</v>
      </c>
      <c r="P550" s="234">
        <v>1000</v>
      </c>
      <c r="Q550" s="234"/>
      <c r="R550" s="234" t="b">
        <v>1</v>
      </c>
    </row>
    <row r="551" spans="1:18" x14ac:dyDescent="0.3">
      <c r="A551" s="232" t="s">
        <v>3229</v>
      </c>
      <c r="B551" s="232"/>
      <c r="C551" s="232"/>
      <c r="D551" s="232">
        <v>0</v>
      </c>
      <c r="E551" s="232">
        <v>1</v>
      </c>
      <c r="F551" s="232" t="s">
        <v>476</v>
      </c>
      <c r="G551" s="232" t="s">
        <v>477</v>
      </c>
      <c r="H551" s="232"/>
      <c r="I551" s="232">
        <v>0</v>
      </c>
      <c r="J551" s="232" t="s">
        <v>851</v>
      </c>
      <c r="K551" s="232" t="s">
        <v>845</v>
      </c>
      <c r="L551" s="232">
        <v>22</v>
      </c>
      <c r="M551" s="232"/>
      <c r="N551" s="232" t="str">
        <f t="shared" si="9"/>
        <v>Hot(MaxHp, 22)</v>
      </c>
      <c r="O551" s="232">
        <v>0</v>
      </c>
      <c r="P551" s="232">
        <v>1000</v>
      </c>
      <c r="Q551" s="232"/>
      <c r="R551" s="232" t="b">
        <v>1</v>
      </c>
    </row>
    <row r="552" spans="1:18" x14ac:dyDescent="0.3">
      <c r="A552" s="232" t="s">
        <v>3230</v>
      </c>
      <c r="B552" s="232"/>
      <c r="C552" s="232"/>
      <c r="D552" s="232">
        <v>0</v>
      </c>
      <c r="E552" s="232">
        <v>1</v>
      </c>
      <c r="F552" s="232" t="s">
        <v>476</v>
      </c>
      <c r="G552" s="232" t="s">
        <v>477</v>
      </c>
      <c r="H552" s="232"/>
      <c r="I552" s="232">
        <v>0</v>
      </c>
      <c r="J552" s="232" t="s">
        <v>851</v>
      </c>
      <c r="K552" s="232" t="s">
        <v>845</v>
      </c>
      <c r="L552" s="232">
        <v>25</v>
      </c>
      <c r="M552" s="232"/>
      <c r="N552" s="232" t="str">
        <f t="shared" ref="N552:N594" si="10">J552&amp;"("&amp;IF(K552="","",K552)&amp;IF(L552="","",", "&amp;L552)&amp;IF(M552="","",", "&amp;M552)&amp;")"</f>
        <v>Hot(MaxHp, 25)</v>
      </c>
      <c r="O552" s="232">
        <v>0</v>
      </c>
      <c r="P552" s="232">
        <v>1000</v>
      </c>
      <c r="Q552" s="232"/>
      <c r="R552" s="232" t="b">
        <v>1</v>
      </c>
    </row>
    <row r="553" spans="1:18" x14ac:dyDescent="0.3">
      <c r="A553" s="233" t="s">
        <v>3231</v>
      </c>
      <c r="B553" s="233" t="s">
        <v>487</v>
      </c>
      <c r="C553" s="233" t="s">
        <v>3169</v>
      </c>
      <c r="D553" s="233">
        <v>0</v>
      </c>
      <c r="E553" s="233">
        <v>1</v>
      </c>
      <c r="F553" s="233" t="s">
        <v>476</v>
      </c>
      <c r="G553" s="233" t="s">
        <v>477</v>
      </c>
      <c r="H553" s="233"/>
      <c r="I553" s="233">
        <v>0</v>
      </c>
      <c r="J553" s="233" t="s">
        <v>1380</v>
      </c>
      <c r="K553" s="233" t="s">
        <v>3177</v>
      </c>
      <c r="L553" s="233"/>
      <c r="M553" s="233"/>
      <c r="N553" s="233" t="str">
        <f t="shared" si="10"/>
        <v>Passive(m.hellen.passive.ex.aroma.buff.01)</v>
      </c>
      <c r="O553" s="233">
        <v>0</v>
      </c>
      <c r="P553" s="233">
        <v>0</v>
      </c>
      <c r="Q553" s="233"/>
      <c r="R553" s="233" t="b">
        <v>1</v>
      </c>
    </row>
    <row r="554" spans="1:18" x14ac:dyDescent="0.3">
      <c r="A554" s="233" t="s">
        <v>3232</v>
      </c>
      <c r="B554" s="233" t="s">
        <v>487</v>
      </c>
      <c r="C554" s="233" t="s">
        <v>3170</v>
      </c>
      <c r="D554" s="233">
        <v>0</v>
      </c>
      <c r="E554" s="233">
        <v>1</v>
      </c>
      <c r="F554" s="233" t="s">
        <v>476</v>
      </c>
      <c r="G554" s="233" t="s">
        <v>477</v>
      </c>
      <c r="H554" s="233"/>
      <c r="I554" s="233">
        <v>0</v>
      </c>
      <c r="J554" s="233" t="s">
        <v>1380</v>
      </c>
      <c r="K554" s="233" t="s">
        <v>3179</v>
      </c>
      <c r="L554" s="233"/>
      <c r="M554" s="233"/>
      <c r="N554" s="233" t="str">
        <f t="shared" si="10"/>
        <v>Passive(m.hellen.passive.ex.aroma.buff.02)</v>
      </c>
      <c r="O554" s="233">
        <v>0</v>
      </c>
      <c r="P554" s="233">
        <v>0</v>
      </c>
      <c r="Q554" s="233"/>
      <c r="R554" s="233" t="b">
        <v>1</v>
      </c>
    </row>
    <row r="555" spans="1:18" x14ac:dyDescent="0.3">
      <c r="A555" s="233" t="s">
        <v>3233</v>
      </c>
      <c r="B555" s="233" t="s">
        <v>487</v>
      </c>
      <c r="C555" s="233" t="s">
        <v>3171</v>
      </c>
      <c r="D555" s="233">
        <v>0</v>
      </c>
      <c r="E555" s="233">
        <v>1</v>
      </c>
      <c r="F555" s="233" t="s">
        <v>476</v>
      </c>
      <c r="G555" s="233" t="s">
        <v>477</v>
      </c>
      <c r="H555" s="233"/>
      <c r="I555" s="233">
        <v>0</v>
      </c>
      <c r="J555" s="233" t="s">
        <v>1380</v>
      </c>
      <c r="K555" s="233" t="s">
        <v>3181</v>
      </c>
      <c r="L555" s="233"/>
      <c r="M555" s="233"/>
      <c r="N555" s="233" t="str">
        <f t="shared" si="10"/>
        <v>Passive(m.hellen.passive.ex.aroma.buff.03)</v>
      </c>
      <c r="O555" s="233">
        <v>0</v>
      </c>
      <c r="P555" s="233">
        <v>0</v>
      </c>
      <c r="Q555" s="233"/>
      <c r="R555" s="233" t="b">
        <v>1</v>
      </c>
    </row>
    <row r="556" spans="1:18" x14ac:dyDescent="0.3">
      <c r="A556" s="233" t="s">
        <v>3234</v>
      </c>
      <c r="B556" s="233" t="s">
        <v>487</v>
      </c>
      <c r="C556" s="233" t="s">
        <v>3172</v>
      </c>
      <c r="D556" s="233">
        <v>0</v>
      </c>
      <c r="E556" s="233">
        <v>1</v>
      </c>
      <c r="F556" s="233" t="s">
        <v>476</v>
      </c>
      <c r="G556" s="233" t="s">
        <v>477</v>
      </c>
      <c r="H556" s="233"/>
      <c r="I556" s="233">
        <v>0</v>
      </c>
      <c r="J556" s="233" t="s">
        <v>1380</v>
      </c>
      <c r="K556" s="233" t="s">
        <v>3183</v>
      </c>
      <c r="L556" s="233"/>
      <c r="M556" s="233"/>
      <c r="N556" s="233" t="str">
        <f t="shared" si="10"/>
        <v>Passive(m.hellen.passive.ex.aroma.buff.04)</v>
      </c>
      <c r="O556" s="233">
        <v>0</v>
      </c>
      <c r="P556" s="233">
        <v>0</v>
      </c>
      <c r="Q556" s="233"/>
      <c r="R556" s="233" t="b">
        <v>1</v>
      </c>
    </row>
    <row r="557" spans="1:18" x14ac:dyDescent="0.3">
      <c r="A557" s="233" t="s">
        <v>3235</v>
      </c>
      <c r="B557" s="233" t="s">
        <v>487</v>
      </c>
      <c r="C557" s="233" t="s">
        <v>3173</v>
      </c>
      <c r="D557" s="233">
        <v>0</v>
      </c>
      <c r="E557" s="233">
        <v>1</v>
      </c>
      <c r="F557" s="233" t="s">
        <v>476</v>
      </c>
      <c r="G557" s="233" t="s">
        <v>477</v>
      </c>
      <c r="H557" s="233"/>
      <c r="I557" s="233">
        <v>0</v>
      </c>
      <c r="J557" s="233" t="s">
        <v>1380</v>
      </c>
      <c r="K557" s="233" t="s">
        <v>3185</v>
      </c>
      <c r="L557" s="233"/>
      <c r="M557" s="233"/>
      <c r="N557" s="233" t="str">
        <f t="shared" si="10"/>
        <v>Passive(m.hellen.passive.ex.aroma.buff.05)</v>
      </c>
      <c r="O557" s="233">
        <v>0</v>
      </c>
      <c r="P557" s="233">
        <v>0</v>
      </c>
      <c r="Q557" s="233"/>
      <c r="R557" s="233" t="b">
        <v>1</v>
      </c>
    </row>
    <row r="558" spans="1:18" x14ac:dyDescent="0.3">
      <c r="A558" s="232" t="s">
        <v>3236</v>
      </c>
      <c r="B558" s="232" t="s">
        <v>487</v>
      </c>
      <c r="C558" s="232" t="s">
        <v>3174</v>
      </c>
      <c r="D558" s="232">
        <v>0</v>
      </c>
      <c r="E558" s="232">
        <v>1</v>
      </c>
      <c r="F558" s="232" t="s">
        <v>476</v>
      </c>
      <c r="G558" s="232" t="s">
        <v>477</v>
      </c>
      <c r="H558" s="232"/>
      <c r="I558" s="232">
        <v>0</v>
      </c>
      <c r="J558" s="232" t="s">
        <v>1380</v>
      </c>
      <c r="K558" s="232" t="s">
        <v>3187</v>
      </c>
      <c r="L558" s="232"/>
      <c r="M558" s="232"/>
      <c r="N558" s="232" t="str">
        <f t="shared" si="10"/>
        <v>Passive(m.hellen.passive.ex.aroma.buff.06)</v>
      </c>
      <c r="O558" s="232">
        <v>0</v>
      </c>
      <c r="P558" s="232">
        <v>0</v>
      </c>
      <c r="Q558" s="232"/>
      <c r="R558" s="232" t="b">
        <v>1</v>
      </c>
    </row>
    <row r="559" spans="1:18" x14ac:dyDescent="0.3">
      <c r="A559" s="243" t="s">
        <v>3178</v>
      </c>
      <c r="B559" s="234" t="s">
        <v>239</v>
      </c>
      <c r="C559" s="234" t="s">
        <v>3224</v>
      </c>
      <c r="D559" s="234">
        <v>0</v>
      </c>
      <c r="E559" s="234">
        <v>1</v>
      </c>
      <c r="F559" s="234" t="s">
        <v>476</v>
      </c>
      <c r="G559" s="234" t="s">
        <v>477</v>
      </c>
      <c r="H559" s="234"/>
      <c r="I559" s="234">
        <v>0</v>
      </c>
      <c r="J559" s="234" t="s">
        <v>846</v>
      </c>
      <c r="K559" s="234" t="s">
        <v>2286</v>
      </c>
      <c r="L559" s="234">
        <v>250</v>
      </c>
      <c r="M559" s="234"/>
      <c r="N559" s="234" t="str">
        <f t="shared" si="10"/>
        <v>Status(CriticalDamageRate, 250)</v>
      </c>
      <c r="O559" s="234">
        <v>0</v>
      </c>
      <c r="P559" s="234">
        <v>0</v>
      </c>
      <c r="Q559" s="234"/>
      <c r="R559" s="234" t="b">
        <v>1</v>
      </c>
    </row>
    <row r="560" spans="1:18" x14ac:dyDescent="0.3">
      <c r="A560" s="243" t="s">
        <v>3180</v>
      </c>
      <c r="B560" s="234" t="s">
        <v>239</v>
      </c>
      <c r="C560" s="234" t="s">
        <v>3224</v>
      </c>
      <c r="D560" s="234">
        <v>0</v>
      </c>
      <c r="E560" s="234">
        <v>1</v>
      </c>
      <c r="F560" s="234" t="s">
        <v>476</v>
      </c>
      <c r="G560" s="234" t="s">
        <v>477</v>
      </c>
      <c r="H560" s="234"/>
      <c r="I560" s="234">
        <v>0</v>
      </c>
      <c r="J560" s="234" t="s">
        <v>846</v>
      </c>
      <c r="K560" s="234" t="s">
        <v>2286</v>
      </c>
      <c r="L560" s="234">
        <v>300</v>
      </c>
      <c r="M560" s="234"/>
      <c r="N560" s="234" t="str">
        <f t="shared" si="10"/>
        <v>Status(CriticalDamageRate, 300)</v>
      </c>
      <c r="O560" s="234">
        <v>0</v>
      </c>
      <c r="P560" s="234">
        <v>0</v>
      </c>
      <c r="Q560" s="234"/>
      <c r="R560" s="234" t="b">
        <v>1</v>
      </c>
    </row>
    <row r="561" spans="1:18" x14ac:dyDescent="0.3">
      <c r="A561" s="243" t="s">
        <v>3182</v>
      </c>
      <c r="B561" s="234" t="s">
        <v>239</v>
      </c>
      <c r="C561" s="234" t="s">
        <v>3224</v>
      </c>
      <c r="D561" s="234">
        <v>0</v>
      </c>
      <c r="E561" s="234">
        <v>1</v>
      </c>
      <c r="F561" s="234" t="s">
        <v>476</v>
      </c>
      <c r="G561" s="234" t="s">
        <v>477</v>
      </c>
      <c r="H561" s="234"/>
      <c r="I561" s="234">
        <v>0</v>
      </c>
      <c r="J561" s="234" t="s">
        <v>846</v>
      </c>
      <c r="K561" s="234" t="s">
        <v>2286</v>
      </c>
      <c r="L561" s="234">
        <v>350</v>
      </c>
      <c r="M561" s="234"/>
      <c r="N561" s="234" t="str">
        <f t="shared" si="10"/>
        <v>Status(CriticalDamageRate, 350)</v>
      </c>
      <c r="O561" s="234">
        <v>0</v>
      </c>
      <c r="P561" s="234">
        <v>0</v>
      </c>
      <c r="Q561" s="234"/>
      <c r="R561" s="234" t="b">
        <v>1</v>
      </c>
    </row>
    <row r="562" spans="1:18" x14ac:dyDescent="0.3">
      <c r="A562" s="243" t="s">
        <v>3184</v>
      </c>
      <c r="B562" s="234" t="s">
        <v>239</v>
      </c>
      <c r="C562" s="234" t="s">
        <v>3224</v>
      </c>
      <c r="D562" s="234">
        <v>0</v>
      </c>
      <c r="E562" s="234">
        <v>1</v>
      </c>
      <c r="F562" s="234" t="s">
        <v>476</v>
      </c>
      <c r="G562" s="234" t="s">
        <v>477</v>
      </c>
      <c r="H562" s="234"/>
      <c r="I562" s="234">
        <v>0</v>
      </c>
      <c r="J562" s="234" t="s">
        <v>846</v>
      </c>
      <c r="K562" s="234" t="s">
        <v>2286</v>
      </c>
      <c r="L562" s="234">
        <v>400</v>
      </c>
      <c r="M562" s="234"/>
      <c r="N562" s="234" t="str">
        <f t="shared" si="10"/>
        <v>Status(CriticalDamageRate, 400)</v>
      </c>
      <c r="O562" s="234">
        <v>0</v>
      </c>
      <c r="P562" s="234">
        <v>0</v>
      </c>
      <c r="Q562" s="234"/>
      <c r="R562" s="234" t="b">
        <v>1</v>
      </c>
    </row>
    <row r="563" spans="1:18" x14ac:dyDescent="0.3">
      <c r="A563" s="238" t="s">
        <v>3186</v>
      </c>
      <c r="B563" s="232" t="s">
        <v>239</v>
      </c>
      <c r="C563" s="232" t="s">
        <v>3224</v>
      </c>
      <c r="D563" s="232">
        <v>0</v>
      </c>
      <c r="E563" s="232">
        <v>1</v>
      </c>
      <c r="F563" s="232" t="s">
        <v>476</v>
      </c>
      <c r="G563" s="232" t="s">
        <v>477</v>
      </c>
      <c r="H563" s="232"/>
      <c r="I563" s="232">
        <v>0</v>
      </c>
      <c r="J563" s="232" t="s">
        <v>846</v>
      </c>
      <c r="K563" s="232" t="s">
        <v>2286</v>
      </c>
      <c r="L563" s="232">
        <v>900</v>
      </c>
      <c r="M563" s="232"/>
      <c r="N563" s="232" t="str">
        <f t="shared" si="10"/>
        <v>Status(CriticalDamageRate, 900)</v>
      </c>
      <c r="O563" s="232">
        <v>0</v>
      </c>
      <c r="P563" s="232">
        <v>0</v>
      </c>
      <c r="Q563" s="232"/>
      <c r="R563" s="232" t="b">
        <v>1</v>
      </c>
    </row>
    <row r="564" spans="1:18" x14ac:dyDescent="0.3">
      <c r="A564" s="238" t="s">
        <v>3188</v>
      </c>
      <c r="B564" s="232" t="s">
        <v>239</v>
      </c>
      <c r="C564" s="232" t="s">
        <v>3224</v>
      </c>
      <c r="D564" s="232">
        <v>0</v>
      </c>
      <c r="E564" s="232">
        <v>1</v>
      </c>
      <c r="F564" s="232" t="s">
        <v>476</v>
      </c>
      <c r="G564" s="232" t="s">
        <v>477</v>
      </c>
      <c r="H564" s="232"/>
      <c r="I564" s="232">
        <v>0</v>
      </c>
      <c r="J564" s="232" t="s">
        <v>846</v>
      </c>
      <c r="K564" s="232" t="s">
        <v>2286</v>
      </c>
      <c r="L564" s="232">
        <v>1000</v>
      </c>
      <c r="M564" s="232"/>
      <c r="N564" s="232" t="str">
        <f t="shared" si="10"/>
        <v>Status(CriticalDamageRate, 1000)</v>
      </c>
      <c r="O564" s="232">
        <v>0</v>
      </c>
      <c r="P564" s="232">
        <v>0</v>
      </c>
      <c r="Q564" s="232"/>
      <c r="R564" s="232" t="b">
        <v>1</v>
      </c>
    </row>
    <row r="565" spans="1:18" x14ac:dyDescent="0.3">
      <c r="A565" s="157" t="s">
        <v>3237</v>
      </c>
      <c r="B565" s="157"/>
      <c r="C565" s="157"/>
      <c r="D565" s="157">
        <v>0</v>
      </c>
      <c r="E565" s="157">
        <v>1</v>
      </c>
      <c r="F565" s="157" t="s">
        <v>2277</v>
      </c>
      <c r="G565" s="157" t="s">
        <v>1856</v>
      </c>
      <c r="H565" s="157">
        <v>25</v>
      </c>
      <c r="I565" s="157">
        <v>0</v>
      </c>
      <c r="J565" s="157" t="s">
        <v>1380</v>
      </c>
      <c r="K565" s="157" t="s">
        <v>3238</v>
      </c>
      <c r="L565" s="157"/>
      <c r="M565" s="157"/>
      <c r="N565" s="157" t="str">
        <f t="shared" si="10"/>
        <v>Passive(m.elina.passive.atkup.buff.01)</v>
      </c>
      <c r="O565" s="157">
        <v>0</v>
      </c>
      <c r="P565" s="157">
        <v>0</v>
      </c>
      <c r="Q565" s="157"/>
      <c r="R565" s="157" t="b">
        <v>1</v>
      </c>
    </row>
    <row r="566" spans="1:18" x14ac:dyDescent="0.3">
      <c r="A566" s="157" t="s">
        <v>3239</v>
      </c>
      <c r="B566" s="157"/>
      <c r="C566" s="157"/>
      <c r="D566" s="157">
        <v>0</v>
      </c>
      <c r="E566" s="157">
        <v>1</v>
      </c>
      <c r="F566" s="157" t="s">
        <v>2277</v>
      </c>
      <c r="G566" s="157" t="s">
        <v>1856</v>
      </c>
      <c r="H566" s="157">
        <v>25</v>
      </c>
      <c r="I566" s="157">
        <v>0</v>
      </c>
      <c r="J566" s="157" t="s">
        <v>1380</v>
      </c>
      <c r="K566" s="157" t="s">
        <v>3240</v>
      </c>
      <c r="L566" s="157"/>
      <c r="M566" s="157"/>
      <c r="N566" s="157" t="str">
        <f t="shared" si="10"/>
        <v>Passive(m.elina.passive.atkup.buff.02)</v>
      </c>
      <c r="O566" s="157">
        <v>0</v>
      </c>
      <c r="P566" s="157">
        <v>0</v>
      </c>
      <c r="Q566" s="157"/>
      <c r="R566" s="157" t="b">
        <v>1</v>
      </c>
    </row>
    <row r="567" spans="1:18" x14ac:dyDescent="0.3">
      <c r="A567" s="157" t="s">
        <v>3241</v>
      </c>
      <c r="B567" s="157"/>
      <c r="C567" s="157"/>
      <c r="D567" s="157">
        <v>0</v>
      </c>
      <c r="E567" s="157">
        <v>1</v>
      </c>
      <c r="F567" s="157" t="s">
        <v>2277</v>
      </c>
      <c r="G567" s="157" t="s">
        <v>1856</v>
      </c>
      <c r="H567" s="157">
        <v>25</v>
      </c>
      <c r="I567" s="157">
        <v>0</v>
      </c>
      <c r="J567" s="157" t="s">
        <v>1380</v>
      </c>
      <c r="K567" s="157" t="s">
        <v>3242</v>
      </c>
      <c r="L567" s="157"/>
      <c r="M567" s="157"/>
      <c r="N567" s="157" t="str">
        <f t="shared" si="10"/>
        <v>Passive(m.elina.passive.atkup.buff.03)</v>
      </c>
      <c r="O567" s="157">
        <v>0</v>
      </c>
      <c r="P567" s="157">
        <v>0</v>
      </c>
      <c r="Q567" s="157"/>
      <c r="R567" s="157" t="b">
        <v>1</v>
      </c>
    </row>
    <row r="568" spans="1:18" x14ac:dyDescent="0.3">
      <c r="A568" s="157" t="s">
        <v>3243</v>
      </c>
      <c r="B568" s="157"/>
      <c r="C568" s="157"/>
      <c r="D568" s="157">
        <v>0</v>
      </c>
      <c r="E568" s="157">
        <v>1</v>
      </c>
      <c r="F568" s="157" t="s">
        <v>2277</v>
      </c>
      <c r="G568" s="157" t="s">
        <v>1856</v>
      </c>
      <c r="H568" s="157">
        <v>25</v>
      </c>
      <c r="I568" s="157">
        <v>0</v>
      </c>
      <c r="J568" s="157" t="s">
        <v>1380</v>
      </c>
      <c r="K568" s="157" t="s">
        <v>3244</v>
      </c>
      <c r="L568" s="157"/>
      <c r="M568" s="157"/>
      <c r="N568" s="157" t="str">
        <f t="shared" si="10"/>
        <v>Passive(m.elina.passive.atkup.buff.04)</v>
      </c>
      <c r="O568" s="157">
        <v>0</v>
      </c>
      <c r="P568" s="157">
        <v>0</v>
      </c>
      <c r="Q568" s="157"/>
      <c r="R568" s="157" t="b">
        <v>1</v>
      </c>
    </row>
    <row r="569" spans="1:18" x14ac:dyDescent="0.3">
      <c r="A569" s="157" t="s">
        <v>3245</v>
      </c>
      <c r="B569" s="157"/>
      <c r="C569" s="157"/>
      <c r="D569" s="157">
        <v>0</v>
      </c>
      <c r="E569" s="157">
        <v>1</v>
      </c>
      <c r="F569" s="157" t="s">
        <v>2277</v>
      </c>
      <c r="G569" s="157" t="s">
        <v>1856</v>
      </c>
      <c r="H569" s="157">
        <v>25</v>
      </c>
      <c r="I569" s="157">
        <v>0</v>
      </c>
      <c r="J569" s="157" t="s">
        <v>1380</v>
      </c>
      <c r="K569" s="157" t="s">
        <v>3246</v>
      </c>
      <c r="L569" s="157"/>
      <c r="M569" s="157"/>
      <c r="N569" s="157" t="str">
        <f t="shared" si="10"/>
        <v>Passive(m.elina.passive.atkup.buff.05)</v>
      </c>
      <c r="O569" s="157">
        <v>0</v>
      </c>
      <c r="P569" s="157">
        <v>0</v>
      </c>
      <c r="Q569" s="157"/>
      <c r="R569" s="157" t="b">
        <v>1</v>
      </c>
    </row>
    <row r="570" spans="1:18" x14ac:dyDescent="0.3">
      <c r="A570" s="232" t="s">
        <v>3247</v>
      </c>
      <c r="B570" s="232"/>
      <c r="C570" s="232"/>
      <c r="D570" s="232">
        <v>0</v>
      </c>
      <c r="E570" s="232">
        <v>1</v>
      </c>
      <c r="F570" s="232" t="s">
        <v>2277</v>
      </c>
      <c r="G570" s="232" t="s">
        <v>1856</v>
      </c>
      <c r="H570" s="232">
        <v>25</v>
      </c>
      <c r="I570" s="232">
        <v>0</v>
      </c>
      <c r="J570" s="232" t="s">
        <v>1380</v>
      </c>
      <c r="K570" s="232" t="s">
        <v>3248</v>
      </c>
      <c r="L570" s="232"/>
      <c r="M570" s="232"/>
      <c r="N570" s="232" t="str">
        <f t="shared" si="10"/>
        <v>Passive(m.elina.passive.atkup.buff.06)</v>
      </c>
      <c r="O570" s="232">
        <v>0</v>
      </c>
      <c r="P570" s="232">
        <v>0</v>
      </c>
      <c r="Q570" s="232"/>
      <c r="R570" s="232" t="b">
        <v>1</v>
      </c>
    </row>
    <row r="571" spans="1:18" x14ac:dyDescent="0.3">
      <c r="A571" s="231" t="s">
        <v>3249</v>
      </c>
      <c r="B571" s="231"/>
      <c r="C571" s="231"/>
      <c r="D571" s="231">
        <v>0</v>
      </c>
      <c r="E571" s="231">
        <v>1</v>
      </c>
      <c r="F571" s="231" t="s">
        <v>476</v>
      </c>
      <c r="G571" s="231" t="s">
        <v>477</v>
      </c>
      <c r="H571" s="231"/>
      <c r="I571" s="231">
        <v>0</v>
      </c>
      <c r="J571" s="231" t="s">
        <v>846</v>
      </c>
      <c r="K571" s="231" t="s">
        <v>852</v>
      </c>
      <c r="L571" s="231">
        <v>50</v>
      </c>
      <c r="M571" s="231"/>
      <c r="N571" s="231" t="str">
        <f t="shared" si="10"/>
        <v>Status(AttackRatio, 50)</v>
      </c>
      <c r="O571" s="231">
        <v>0</v>
      </c>
      <c r="P571" s="231">
        <v>0</v>
      </c>
      <c r="Q571" s="231"/>
      <c r="R571" s="231" t="b">
        <v>1</v>
      </c>
    </row>
    <row r="572" spans="1:18" x14ac:dyDescent="0.3">
      <c r="A572" s="231" t="s">
        <v>3250</v>
      </c>
      <c r="B572" s="231"/>
      <c r="C572" s="231"/>
      <c r="D572" s="231">
        <v>0</v>
      </c>
      <c r="E572" s="231">
        <v>1</v>
      </c>
      <c r="F572" s="231" t="s">
        <v>476</v>
      </c>
      <c r="G572" s="231" t="s">
        <v>477</v>
      </c>
      <c r="H572" s="231"/>
      <c r="I572" s="231">
        <v>0</v>
      </c>
      <c r="J572" s="231" t="s">
        <v>846</v>
      </c>
      <c r="K572" s="231" t="s">
        <v>852</v>
      </c>
      <c r="L572" s="231">
        <v>60</v>
      </c>
      <c r="M572" s="231"/>
      <c r="N572" s="231" t="str">
        <f t="shared" si="10"/>
        <v>Status(AttackRatio, 60)</v>
      </c>
      <c r="O572" s="231">
        <v>0</v>
      </c>
      <c r="P572" s="231">
        <v>0</v>
      </c>
      <c r="Q572" s="231"/>
      <c r="R572" s="231" t="b">
        <v>1</v>
      </c>
    </row>
    <row r="573" spans="1:18" x14ac:dyDescent="0.3">
      <c r="A573" s="231" t="s">
        <v>3251</v>
      </c>
      <c r="B573" s="231"/>
      <c r="C573" s="231"/>
      <c r="D573" s="231">
        <v>0</v>
      </c>
      <c r="E573" s="231">
        <v>1</v>
      </c>
      <c r="F573" s="231" t="s">
        <v>476</v>
      </c>
      <c r="G573" s="231" t="s">
        <v>477</v>
      </c>
      <c r="H573" s="231"/>
      <c r="I573" s="231">
        <v>0</v>
      </c>
      <c r="J573" s="231" t="s">
        <v>846</v>
      </c>
      <c r="K573" s="231" t="s">
        <v>852</v>
      </c>
      <c r="L573" s="231">
        <v>70</v>
      </c>
      <c r="M573" s="231"/>
      <c r="N573" s="231" t="str">
        <f t="shared" si="10"/>
        <v>Status(AttackRatio, 70)</v>
      </c>
      <c r="O573" s="231">
        <v>0</v>
      </c>
      <c r="P573" s="231">
        <v>0</v>
      </c>
      <c r="Q573" s="231"/>
      <c r="R573" s="231" t="b">
        <v>1</v>
      </c>
    </row>
    <row r="574" spans="1:18" x14ac:dyDescent="0.3">
      <c r="A574" s="231" t="s">
        <v>3252</v>
      </c>
      <c r="B574" s="231"/>
      <c r="C574" s="231"/>
      <c r="D574" s="231">
        <v>0</v>
      </c>
      <c r="E574" s="231">
        <v>1</v>
      </c>
      <c r="F574" s="231" t="s">
        <v>476</v>
      </c>
      <c r="G574" s="231" t="s">
        <v>477</v>
      </c>
      <c r="H574" s="231"/>
      <c r="I574" s="231">
        <v>0</v>
      </c>
      <c r="J574" s="231" t="s">
        <v>846</v>
      </c>
      <c r="K574" s="231" t="s">
        <v>852</v>
      </c>
      <c r="L574" s="231">
        <v>80</v>
      </c>
      <c r="M574" s="231"/>
      <c r="N574" s="231" t="str">
        <f t="shared" si="10"/>
        <v>Status(AttackRatio, 80)</v>
      </c>
      <c r="O574" s="231">
        <v>0</v>
      </c>
      <c r="P574" s="231">
        <v>0</v>
      </c>
      <c r="Q574" s="231"/>
      <c r="R574" s="231" t="b">
        <v>1</v>
      </c>
    </row>
    <row r="575" spans="1:18" x14ac:dyDescent="0.3">
      <c r="A575" s="232" t="s">
        <v>3253</v>
      </c>
      <c r="B575" s="232"/>
      <c r="C575" s="232"/>
      <c r="D575" s="232">
        <v>0</v>
      </c>
      <c r="E575" s="232">
        <v>1</v>
      </c>
      <c r="F575" s="232" t="s">
        <v>476</v>
      </c>
      <c r="G575" s="232" t="s">
        <v>477</v>
      </c>
      <c r="H575" s="232"/>
      <c r="I575" s="232">
        <v>0</v>
      </c>
      <c r="J575" s="232" t="s">
        <v>846</v>
      </c>
      <c r="K575" s="232" t="s">
        <v>852</v>
      </c>
      <c r="L575" s="232">
        <v>90</v>
      </c>
      <c r="M575" s="232"/>
      <c r="N575" s="232" t="str">
        <f t="shared" si="10"/>
        <v>Status(AttackRatio, 90)</v>
      </c>
      <c r="O575" s="232">
        <v>0</v>
      </c>
      <c r="P575" s="232">
        <v>0</v>
      </c>
      <c r="Q575" s="232"/>
      <c r="R575" s="232" t="b">
        <v>1</v>
      </c>
    </row>
    <row r="576" spans="1:18" x14ac:dyDescent="0.3">
      <c r="A576" s="232" t="s">
        <v>3254</v>
      </c>
      <c r="B576" s="232"/>
      <c r="C576" s="232"/>
      <c r="D576" s="232">
        <v>0</v>
      </c>
      <c r="E576" s="232">
        <v>1</v>
      </c>
      <c r="F576" s="232" t="s">
        <v>476</v>
      </c>
      <c r="G576" s="232" t="s">
        <v>477</v>
      </c>
      <c r="H576" s="232"/>
      <c r="I576" s="232">
        <v>0</v>
      </c>
      <c r="J576" s="232" t="s">
        <v>846</v>
      </c>
      <c r="K576" s="232" t="s">
        <v>852</v>
      </c>
      <c r="L576" s="232">
        <v>150</v>
      </c>
      <c r="M576" s="232"/>
      <c r="N576" s="232" t="str">
        <f t="shared" si="10"/>
        <v>Status(AttackRatio, 150)</v>
      </c>
      <c r="O576" s="232">
        <v>0</v>
      </c>
      <c r="P576" s="232">
        <v>0</v>
      </c>
      <c r="Q576" s="232"/>
      <c r="R576" s="232" t="b">
        <v>1</v>
      </c>
    </row>
    <row r="577" spans="1:18" x14ac:dyDescent="0.3">
      <c r="A577" s="157" t="s">
        <v>3255</v>
      </c>
      <c r="B577" s="157"/>
      <c r="C577" s="157"/>
      <c r="D577" s="157">
        <v>0</v>
      </c>
      <c r="E577" s="157">
        <v>1</v>
      </c>
      <c r="F577" s="157" t="s">
        <v>476</v>
      </c>
      <c r="G577" s="157" t="s">
        <v>477</v>
      </c>
      <c r="H577" s="157"/>
      <c r="I577" s="157">
        <v>0</v>
      </c>
      <c r="J577" s="157" t="s">
        <v>1429</v>
      </c>
      <c r="K577" s="157" t="s">
        <v>3256</v>
      </c>
      <c r="L577" s="157"/>
      <c r="M577" s="157"/>
      <c r="N577" s="157" t="str">
        <f t="shared" si="10"/>
        <v>Active(m.elina.passive.ex.buff.skilleffect.01)</v>
      </c>
      <c r="O577" s="157">
        <v>0</v>
      </c>
      <c r="P577" s="157">
        <v>2000</v>
      </c>
      <c r="Q577" s="157"/>
      <c r="R577" s="157" t="b">
        <v>1</v>
      </c>
    </row>
    <row r="578" spans="1:18" x14ac:dyDescent="0.3">
      <c r="A578" s="157" t="s">
        <v>3257</v>
      </c>
      <c r="B578" s="157"/>
      <c r="C578" s="157"/>
      <c r="D578" s="157">
        <v>0</v>
      </c>
      <c r="E578" s="157">
        <v>1</v>
      </c>
      <c r="F578" s="157" t="s">
        <v>476</v>
      </c>
      <c r="G578" s="157" t="s">
        <v>477</v>
      </c>
      <c r="H578" s="157"/>
      <c r="I578" s="157">
        <v>0</v>
      </c>
      <c r="J578" s="157" t="s">
        <v>860</v>
      </c>
      <c r="K578" s="157" t="s">
        <v>3258</v>
      </c>
      <c r="L578" s="157"/>
      <c r="M578" s="157"/>
      <c r="N578" s="157" t="str">
        <f t="shared" si="10"/>
        <v>Active(m.elina.passive.ex.buff.skilleffect.02)</v>
      </c>
      <c r="O578" s="157">
        <v>0</v>
      </c>
      <c r="P578" s="157">
        <v>2000</v>
      </c>
      <c r="Q578" s="157"/>
      <c r="R578" s="157" t="b">
        <v>1</v>
      </c>
    </row>
    <row r="579" spans="1:18" x14ac:dyDescent="0.3">
      <c r="A579" s="157" t="s">
        <v>3259</v>
      </c>
      <c r="B579" s="157"/>
      <c r="C579" s="157"/>
      <c r="D579" s="157">
        <v>0</v>
      </c>
      <c r="E579" s="157">
        <v>1</v>
      </c>
      <c r="F579" s="157" t="s">
        <v>476</v>
      </c>
      <c r="G579" s="157" t="s">
        <v>477</v>
      </c>
      <c r="H579" s="157"/>
      <c r="I579" s="157">
        <v>0</v>
      </c>
      <c r="J579" s="157" t="s">
        <v>860</v>
      </c>
      <c r="K579" s="157" t="s">
        <v>3260</v>
      </c>
      <c r="L579" s="157"/>
      <c r="M579" s="157"/>
      <c r="N579" s="157" t="str">
        <f t="shared" si="10"/>
        <v>Active(m.elina.passive.ex.buff.skilleffect.03)</v>
      </c>
      <c r="O579" s="157">
        <v>0</v>
      </c>
      <c r="P579" s="157">
        <v>2000</v>
      </c>
      <c r="Q579" s="157"/>
      <c r="R579" s="157" t="b">
        <v>1</v>
      </c>
    </row>
    <row r="580" spans="1:18" x14ac:dyDescent="0.3">
      <c r="A580" s="157" t="s">
        <v>3261</v>
      </c>
      <c r="B580" s="157"/>
      <c r="C580" s="157"/>
      <c r="D580" s="157">
        <v>0</v>
      </c>
      <c r="E580" s="157">
        <v>1</v>
      </c>
      <c r="F580" s="157" t="s">
        <v>476</v>
      </c>
      <c r="G580" s="157" t="s">
        <v>477</v>
      </c>
      <c r="H580" s="157"/>
      <c r="I580" s="157">
        <v>0</v>
      </c>
      <c r="J580" s="157" t="s">
        <v>860</v>
      </c>
      <c r="K580" s="157" t="s">
        <v>3262</v>
      </c>
      <c r="L580" s="157"/>
      <c r="M580" s="157"/>
      <c r="N580" s="157" t="str">
        <f t="shared" si="10"/>
        <v>Active(m.elina.passive.ex.buff.skilleffect.04)</v>
      </c>
      <c r="O580" s="157">
        <v>0</v>
      </c>
      <c r="P580" s="157">
        <v>2000</v>
      </c>
      <c r="Q580" s="157"/>
      <c r="R580" s="157" t="b">
        <v>1</v>
      </c>
    </row>
    <row r="581" spans="1:18" x14ac:dyDescent="0.3">
      <c r="A581" s="232" t="s">
        <v>3263</v>
      </c>
      <c r="B581" s="232"/>
      <c r="C581" s="232"/>
      <c r="D581" s="232">
        <v>0</v>
      </c>
      <c r="E581" s="232">
        <v>1</v>
      </c>
      <c r="F581" s="232" t="s">
        <v>476</v>
      </c>
      <c r="G581" s="232" t="s">
        <v>477</v>
      </c>
      <c r="H581" s="232"/>
      <c r="I581" s="232">
        <v>0</v>
      </c>
      <c r="J581" s="232" t="s">
        <v>860</v>
      </c>
      <c r="K581" s="232" t="s">
        <v>3264</v>
      </c>
      <c r="L581" s="232"/>
      <c r="M581" s="232"/>
      <c r="N581" s="232" t="str">
        <f t="shared" si="10"/>
        <v>Active(m.elina.passive.ex.buff.skilleffect.05)</v>
      </c>
      <c r="O581" s="232">
        <v>0</v>
      </c>
      <c r="P581" s="232">
        <v>2000</v>
      </c>
      <c r="Q581" s="232"/>
      <c r="R581" s="232" t="b">
        <v>1</v>
      </c>
    </row>
    <row r="582" spans="1:18" x14ac:dyDescent="0.3">
      <c r="A582" s="232" t="s">
        <v>3265</v>
      </c>
      <c r="B582" s="232"/>
      <c r="C582" s="232"/>
      <c r="D582" s="232">
        <v>0</v>
      </c>
      <c r="E582" s="232">
        <v>1</v>
      </c>
      <c r="F582" s="232" t="s">
        <v>476</v>
      </c>
      <c r="G582" s="232" t="s">
        <v>477</v>
      </c>
      <c r="H582" s="232"/>
      <c r="I582" s="232">
        <v>0</v>
      </c>
      <c r="J582" s="232" t="s">
        <v>860</v>
      </c>
      <c r="K582" s="232" t="s">
        <v>3266</v>
      </c>
      <c r="L582" s="232"/>
      <c r="M582" s="232"/>
      <c r="N582" s="232" t="str">
        <f t="shared" si="10"/>
        <v>Active(m.elina.passive.ex.buff.skilleffect.06)</v>
      </c>
      <c r="O582" s="232">
        <v>0</v>
      </c>
      <c r="P582" s="232">
        <v>2000</v>
      </c>
      <c r="Q582" s="232"/>
      <c r="R582" s="232" t="b">
        <v>1</v>
      </c>
    </row>
    <row r="583" spans="1:18" x14ac:dyDescent="0.3">
      <c r="A583" s="239" t="s">
        <v>3267</v>
      </c>
      <c r="B583" s="239"/>
      <c r="C583" s="239"/>
      <c r="D583" s="239">
        <v>0</v>
      </c>
      <c r="E583" s="239">
        <v>1</v>
      </c>
      <c r="F583" s="239" t="s">
        <v>476</v>
      </c>
      <c r="G583" s="239" t="s">
        <v>477</v>
      </c>
      <c r="H583" s="239"/>
      <c r="I583" s="239">
        <v>0</v>
      </c>
      <c r="J583" s="239" t="s">
        <v>860</v>
      </c>
      <c r="K583" s="239" t="s">
        <v>3268</v>
      </c>
      <c r="L583" s="239"/>
      <c r="M583" s="239"/>
      <c r="N583" s="239" t="str">
        <f t="shared" si="10"/>
        <v>Active(m.elina.passive.effect.buffeffect.skilleffect)</v>
      </c>
      <c r="O583" s="239">
        <v>0</v>
      </c>
      <c r="P583" s="239">
        <v>20000</v>
      </c>
      <c r="Q583" s="239"/>
      <c r="R583" s="239" t="b">
        <v>1</v>
      </c>
    </row>
    <row r="584" spans="1:18" x14ac:dyDescent="0.3">
      <c r="A584" s="236" t="s">
        <v>3311</v>
      </c>
      <c r="B584" s="236"/>
      <c r="C584" s="236"/>
      <c r="D584" s="236">
        <v>0</v>
      </c>
      <c r="E584" s="236">
        <v>1</v>
      </c>
      <c r="F584" s="236" t="s">
        <v>476</v>
      </c>
      <c r="G584" s="236" t="s">
        <v>477</v>
      </c>
      <c r="H584" s="236"/>
      <c r="I584" s="236">
        <v>0</v>
      </c>
      <c r="J584" s="236" t="s">
        <v>860</v>
      </c>
      <c r="K584" s="236" t="s">
        <v>3312</v>
      </c>
      <c r="L584" s="236"/>
      <c r="M584" s="236"/>
      <c r="N584" s="236" t="str">
        <f t="shared" si="10"/>
        <v>Active(m.siege.ult.shield.01)</v>
      </c>
      <c r="O584" s="236">
        <v>0</v>
      </c>
      <c r="P584" s="236">
        <v>0</v>
      </c>
      <c r="Q584" s="236"/>
      <c r="R584" s="236" t="b">
        <v>1</v>
      </c>
    </row>
    <row r="585" spans="1:18" x14ac:dyDescent="0.3">
      <c r="A585" s="236" t="s">
        <v>3313</v>
      </c>
      <c r="B585" s="236"/>
      <c r="C585" s="236"/>
      <c r="D585" s="236">
        <v>0</v>
      </c>
      <c r="E585" s="236">
        <v>1</v>
      </c>
      <c r="F585" s="236" t="s">
        <v>476</v>
      </c>
      <c r="G585" s="236" t="s">
        <v>477</v>
      </c>
      <c r="H585" s="236"/>
      <c r="I585" s="236">
        <v>0</v>
      </c>
      <c r="J585" s="236" t="s">
        <v>860</v>
      </c>
      <c r="K585" s="236" t="s">
        <v>3314</v>
      </c>
      <c r="L585" s="236"/>
      <c r="M585" s="236"/>
      <c r="N585" s="236" t="str">
        <f t="shared" si="10"/>
        <v>Active(m.siege.ult.shield.02)</v>
      </c>
      <c r="O585" s="236">
        <v>0</v>
      </c>
      <c r="P585" s="236">
        <v>0</v>
      </c>
      <c r="Q585" s="236"/>
      <c r="R585" s="236" t="b">
        <v>1</v>
      </c>
    </row>
    <row r="586" spans="1:18" x14ac:dyDescent="0.3">
      <c r="A586" s="236" t="s">
        <v>3315</v>
      </c>
      <c r="B586" s="236"/>
      <c r="C586" s="236"/>
      <c r="D586" s="236">
        <v>0</v>
      </c>
      <c r="E586" s="236">
        <v>1</v>
      </c>
      <c r="F586" s="236" t="s">
        <v>476</v>
      </c>
      <c r="G586" s="236" t="s">
        <v>477</v>
      </c>
      <c r="H586" s="236"/>
      <c r="I586" s="236">
        <v>0</v>
      </c>
      <c r="J586" s="236" t="s">
        <v>860</v>
      </c>
      <c r="K586" s="236" t="s">
        <v>3316</v>
      </c>
      <c r="L586" s="236"/>
      <c r="M586" s="236"/>
      <c r="N586" s="236" t="str">
        <f t="shared" si="10"/>
        <v>Active(m.siege.ult.shield.03)</v>
      </c>
      <c r="O586" s="236">
        <v>0</v>
      </c>
      <c r="P586" s="236">
        <v>0</v>
      </c>
      <c r="Q586" s="236"/>
      <c r="R586" s="236" t="b">
        <v>1</v>
      </c>
    </row>
    <row r="587" spans="1:18" x14ac:dyDescent="0.3">
      <c r="A587" s="236" t="s">
        <v>3317</v>
      </c>
      <c r="B587" s="236"/>
      <c r="C587" s="236"/>
      <c r="D587" s="236">
        <v>0</v>
      </c>
      <c r="E587" s="236">
        <v>1</v>
      </c>
      <c r="F587" s="236" t="s">
        <v>476</v>
      </c>
      <c r="G587" s="236" t="s">
        <v>477</v>
      </c>
      <c r="H587" s="236"/>
      <c r="I587" s="236">
        <v>0</v>
      </c>
      <c r="J587" s="236" t="s">
        <v>860</v>
      </c>
      <c r="K587" s="236" t="s">
        <v>3318</v>
      </c>
      <c r="L587" s="236"/>
      <c r="M587" s="236"/>
      <c r="N587" s="236" t="str">
        <f t="shared" si="10"/>
        <v>Active(m.siege.ult.shield.04)</v>
      </c>
      <c r="O587" s="236">
        <v>0</v>
      </c>
      <c r="P587" s="236">
        <v>0</v>
      </c>
      <c r="Q587" s="236"/>
      <c r="R587" s="236" t="b">
        <v>1</v>
      </c>
    </row>
    <row r="588" spans="1:18" x14ac:dyDescent="0.3">
      <c r="A588" s="236" t="s">
        <v>3319</v>
      </c>
      <c r="B588" s="236"/>
      <c r="C588" s="236"/>
      <c r="D588" s="236">
        <v>0</v>
      </c>
      <c r="E588" s="236">
        <v>1</v>
      </c>
      <c r="F588" s="236" t="s">
        <v>476</v>
      </c>
      <c r="G588" s="236" t="s">
        <v>477</v>
      </c>
      <c r="H588" s="236"/>
      <c r="I588" s="236">
        <v>0</v>
      </c>
      <c r="J588" s="236" t="s">
        <v>860</v>
      </c>
      <c r="K588" s="236" t="s">
        <v>3320</v>
      </c>
      <c r="L588" s="236"/>
      <c r="M588" s="236"/>
      <c r="N588" s="236" t="str">
        <f t="shared" si="10"/>
        <v>Active(m.siege.ult.shield.05)</v>
      </c>
      <c r="O588" s="236">
        <v>0</v>
      </c>
      <c r="P588" s="236">
        <v>0</v>
      </c>
      <c r="Q588" s="236"/>
      <c r="R588" s="236" t="b">
        <v>1</v>
      </c>
    </row>
    <row r="589" spans="1:18" x14ac:dyDescent="0.3">
      <c r="A589" s="232" t="s">
        <v>3321</v>
      </c>
      <c r="B589" s="232"/>
      <c r="C589" s="232"/>
      <c r="D589" s="232">
        <v>0</v>
      </c>
      <c r="E589" s="232">
        <v>1</v>
      </c>
      <c r="F589" s="232" t="s">
        <v>476</v>
      </c>
      <c r="G589" s="232" t="s">
        <v>477</v>
      </c>
      <c r="H589" s="232"/>
      <c r="I589" s="232">
        <v>0</v>
      </c>
      <c r="J589" s="232" t="s">
        <v>860</v>
      </c>
      <c r="K589" s="232" t="s">
        <v>3322</v>
      </c>
      <c r="L589" s="232"/>
      <c r="M589" s="232"/>
      <c r="N589" s="232" t="str">
        <f t="shared" si="10"/>
        <v>Active(m.siege.ult.shield.06)</v>
      </c>
      <c r="O589" s="232">
        <v>0</v>
      </c>
      <c r="P589" s="232">
        <v>0</v>
      </c>
      <c r="Q589" s="232"/>
      <c r="R589" s="232" t="b">
        <v>1</v>
      </c>
    </row>
    <row r="590" spans="1:18" x14ac:dyDescent="0.3">
      <c r="A590" s="232" t="s">
        <v>3323</v>
      </c>
      <c r="B590" s="232"/>
      <c r="C590" s="232"/>
      <c r="D590" s="232">
        <v>0</v>
      </c>
      <c r="E590" s="232">
        <v>1</v>
      </c>
      <c r="F590" s="232" t="s">
        <v>476</v>
      </c>
      <c r="G590" s="232" t="s">
        <v>477</v>
      </c>
      <c r="H590" s="232"/>
      <c r="I590" s="232">
        <v>0</v>
      </c>
      <c r="J590" s="232" t="s">
        <v>860</v>
      </c>
      <c r="K590" s="232" t="s">
        <v>3324</v>
      </c>
      <c r="L590" s="232"/>
      <c r="M590" s="232"/>
      <c r="N590" s="232" t="str">
        <f t="shared" si="10"/>
        <v>Active(m.siege.ult.shield.07)</v>
      </c>
      <c r="O590" s="232">
        <v>0</v>
      </c>
      <c r="P590" s="232">
        <v>0</v>
      </c>
      <c r="Q590" s="232"/>
      <c r="R590" s="232" t="b">
        <v>1</v>
      </c>
    </row>
    <row r="591" spans="1:18" x14ac:dyDescent="0.3">
      <c r="A591" s="239" t="s">
        <v>3325</v>
      </c>
      <c r="B591" s="239"/>
      <c r="C591" s="239"/>
      <c r="D591" s="239">
        <v>0</v>
      </c>
      <c r="E591" s="239">
        <v>1</v>
      </c>
      <c r="F591" s="239" t="s">
        <v>476</v>
      </c>
      <c r="G591" s="239" t="s">
        <v>477</v>
      </c>
      <c r="H591" s="239"/>
      <c r="I591" s="239">
        <v>0</v>
      </c>
      <c r="J591" s="239" t="s">
        <v>835</v>
      </c>
      <c r="K591" s="239" t="s">
        <v>845</v>
      </c>
      <c r="L591" s="239">
        <v>60</v>
      </c>
      <c r="M591" s="239"/>
      <c r="N591" s="239" t="str">
        <f t="shared" si="10"/>
        <v>Shield(MaxHp, 60)</v>
      </c>
      <c r="O591" s="239">
        <v>0</v>
      </c>
      <c r="P591" s="239">
        <v>0</v>
      </c>
      <c r="Q591" s="239"/>
      <c r="R591" s="239" t="b">
        <v>1</v>
      </c>
    </row>
    <row r="592" spans="1:18" x14ac:dyDescent="0.3">
      <c r="A592" s="239" t="s">
        <v>3326</v>
      </c>
      <c r="B592" s="239"/>
      <c r="C592" s="239"/>
      <c r="D592" s="239">
        <v>0</v>
      </c>
      <c r="E592" s="239">
        <v>1</v>
      </c>
      <c r="F592" s="239" t="s">
        <v>476</v>
      </c>
      <c r="G592" s="239" t="s">
        <v>477</v>
      </c>
      <c r="H592" s="239"/>
      <c r="I592" s="239">
        <v>0</v>
      </c>
      <c r="J592" s="239" t="s">
        <v>835</v>
      </c>
      <c r="K592" s="239" t="s">
        <v>845</v>
      </c>
      <c r="L592" s="239">
        <v>60</v>
      </c>
      <c r="M592" s="239"/>
      <c r="N592" s="239" t="str">
        <f t="shared" si="10"/>
        <v>Shield(MaxHp, 60)</v>
      </c>
      <c r="O592" s="239">
        <v>0</v>
      </c>
      <c r="P592" s="239">
        <v>0</v>
      </c>
      <c r="Q592" s="239"/>
      <c r="R592" s="239" t="b">
        <v>1</v>
      </c>
    </row>
    <row r="593" spans="1:18" x14ac:dyDescent="0.3">
      <c r="A593" s="239" t="s">
        <v>3327</v>
      </c>
      <c r="B593" s="239"/>
      <c r="C593" s="239"/>
      <c r="D593" s="239">
        <v>0</v>
      </c>
      <c r="E593" s="239">
        <v>1</v>
      </c>
      <c r="F593" s="239" t="s">
        <v>476</v>
      </c>
      <c r="G593" s="239" t="s">
        <v>477</v>
      </c>
      <c r="H593" s="239"/>
      <c r="I593" s="239">
        <v>0</v>
      </c>
      <c r="J593" s="239" t="s">
        <v>835</v>
      </c>
      <c r="K593" s="239" t="s">
        <v>845</v>
      </c>
      <c r="L593" s="239">
        <v>60</v>
      </c>
      <c r="M593" s="239"/>
      <c r="N593" s="239" t="str">
        <f t="shared" si="10"/>
        <v>Shield(MaxHp, 60)</v>
      </c>
      <c r="O593" s="239">
        <v>0</v>
      </c>
      <c r="P593" s="239">
        <v>0</v>
      </c>
      <c r="Q593" s="239"/>
      <c r="R593" s="239" t="b">
        <v>1</v>
      </c>
    </row>
    <row r="594" spans="1:18" x14ac:dyDescent="0.3">
      <c r="A594" s="239" t="s">
        <v>3328</v>
      </c>
      <c r="B594" s="239"/>
      <c r="C594" s="239"/>
      <c r="D594" s="239">
        <v>0</v>
      </c>
      <c r="E594" s="239">
        <v>1</v>
      </c>
      <c r="F594" s="239" t="s">
        <v>476</v>
      </c>
      <c r="G594" s="239" t="s">
        <v>477</v>
      </c>
      <c r="H594" s="239"/>
      <c r="I594" s="239">
        <v>0</v>
      </c>
      <c r="J594" s="239" t="s">
        <v>835</v>
      </c>
      <c r="K594" s="239" t="s">
        <v>845</v>
      </c>
      <c r="L594" s="240">
        <v>60</v>
      </c>
      <c r="M594" s="239"/>
      <c r="N594" s="239" t="str">
        <f t="shared" si="10"/>
        <v>Shield(MaxHp, 60)</v>
      </c>
      <c r="O594" s="239">
        <v>0</v>
      </c>
      <c r="P594" s="239">
        <v>0</v>
      </c>
      <c r="Q594" s="239"/>
      <c r="R594" s="239" t="b">
        <v>1</v>
      </c>
    </row>
    <row r="595" spans="1:18" x14ac:dyDescent="0.3">
      <c r="A595" s="239" t="s">
        <v>3329</v>
      </c>
      <c r="B595" s="239"/>
      <c r="C595" s="239"/>
      <c r="D595" s="239">
        <v>0</v>
      </c>
      <c r="E595" s="239">
        <v>1</v>
      </c>
      <c r="F595" s="239" t="s">
        <v>476</v>
      </c>
      <c r="G595" s="239" t="s">
        <v>477</v>
      </c>
      <c r="H595" s="239"/>
      <c r="I595" s="239">
        <v>0</v>
      </c>
      <c r="J595" s="239" t="s">
        <v>835</v>
      </c>
      <c r="K595" s="239" t="s">
        <v>845</v>
      </c>
      <c r="L595" s="240">
        <v>80</v>
      </c>
      <c r="M595" s="239"/>
      <c r="N595" s="239" t="str">
        <f t="shared" ref="N595:N603" si="11">J595&amp;"("&amp;IF(K595="","",K595)&amp;IF(L595="","",", "&amp;L595)&amp;IF(M595="","",", "&amp;M595)&amp;")"</f>
        <v>Shield(MaxHp, 80)</v>
      </c>
      <c r="O595" s="239">
        <v>0</v>
      </c>
      <c r="P595" s="239">
        <v>0</v>
      </c>
      <c r="Q595" s="239"/>
      <c r="R595" s="239" t="b">
        <v>1</v>
      </c>
    </row>
    <row r="596" spans="1:18" x14ac:dyDescent="0.3">
      <c r="A596" s="232" t="s">
        <v>3330</v>
      </c>
      <c r="B596" s="232"/>
      <c r="C596" s="232"/>
      <c r="D596" s="232">
        <v>0</v>
      </c>
      <c r="E596" s="232">
        <v>1</v>
      </c>
      <c r="F596" s="232" t="s">
        <v>476</v>
      </c>
      <c r="G596" s="232" t="s">
        <v>477</v>
      </c>
      <c r="H596" s="232"/>
      <c r="I596" s="232">
        <v>0</v>
      </c>
      <c r="J596" s="232" t="s">
        <v>835</v>
      </c>
      <c r="K596" s="232" t="s">
        <v>845</v>
      </c>
      <c r="L596" s="254">
        <v>80</v>
      </c>
      <c r="M596" s="232"/>
      <c r="N596" s="232" t="str">
        <f t="shared" si="11"/>
        <v>Shield(MaxHp, 80)</v>
      </c>
      <c r="O596" s="232">
        <v>0</v>
      </c>
      <c r="P596" s="232">
        <v>0</v>
      </c>
      <c r="Q596" s="232"/>
      <c r="R596" s="232" t="b">
        <v>1</v>
      </c>
    </row>
    <row r="597" spans="1:18" x14ac:dyDescent="0.3">
      <c r="A597" s="232" t="s">
        <v>3331</v>
      </c>
      <c r="B597" s="232"/>
      <c r="C597" s="232"/>
      <c r="D597" s="232">
        <v>0</v>
      </c>
      <c r="E597" s="232">
        <v>1</v>
      </c>
      <c r="F597" s="232" t="s">
        <v>476</v>
      </c>
      <c r="G597" s="232" t="s">
        <v>477</v>
      </c>
      <c r="H597" s="232"/>
      <c r="I597" s="232">
        <v>0</v>
      </c>
      <c r="J597" s="232" t="s">
        <v>835</v>
      </c>
      <c r="K597" s="232" t="s">
        <v>845</v>
      </c>
      <c r="L597" s="254">
        <v>80</v>
      </c>
      <c r="M597" s="232"/>
      <c r="N597" s="232" t="str">
        <f t="shared" si="11"/>
        <v>Shield(MaxHp, 80)</v>
      </c>
      <c r="O597" s="232">
        <v>0</v>
      </c>
      <c r="P597" s="232">
        <v>0</v>
      </c>
      <c r="Q597" s="232"/>
      <c r="R597" s="232" t="b">
        <v>1</v>
      </c>
    </row>
    <row r="598" spans="1:18" x14ac:dyDescent="0.3">
      <c r="A598" s="236" t="s">
        <v>3332</v>
      </c>
      <c r="B598" s="236"/>
      <c r="C598" s="236"/>
      <c r="D598" s="236">
        <v>0</v>
      </c>
      <c r="E598" s="236">
        <v>1</v>
      </c>
      <c r="F598" s="236" t="s">
        <v>476</v>
      </c>
      <c r="G598" s="236" t="s">
        <v>477</v>
      </c>
      <c r="H598" s="236"/>
      <c r="I598" s="236">
        <v>0</v>
      </c>
      <c r="J598" s="236" t="s">
        <v>846</v>
      </c>
      <c r="K598" s="236" t="s">
        <v>897</v>
      </c>
      <c r="L598" s="246">
        <v>280</v>
      </c>
      <c r="M598" s="236"/>
      <c r="N598" s="236" t="str">
        <f t="shared" si="11"/>
        <v>Status(ReceiveRecoveryRate, 280)</v>
      </c>
      <c r="O598" s="236">
        <v>0</v>
      </c>
      <c r="P598" s="236">
        <v>0</v>
      </c>
      <c r="Q598" s="236"/>
      <c r="R598" s="236" t="b">
        <v>1</v>
      </c>
    </row>
    <row r="599" spans="1:18" x14ac:dyDescent="0.3">
      <c r="A599" s="236" t="s">
        <v>3333</v>
      </c>
      <c r="B599" s="236"/>
      <c r="C599" s="236"/>
      <c r="D599" s="236">
        <v>0</v>
      </c>
      <c r="E599" s="236">
        <v>1</v>
      </c>
      <c r="F599" s="236" t="s">
        <v>476</v>
      </c>
      <c r="G599" s="236" t="s">
        <v>477</v>
      </c>
      <c r="H599" s="236"/>
      <c r="I599" s="236">
        <v>0</v>
      </c>
      <c r="J599" s="236" t="s">
        <v>846</v>
      </c>
      <c r="K599" s="236" t="s">
        <v>897</v>
      </c>
      <c r="L599" s="246">
        <v>320</v>
      </c>
      <c r="M599" s="236"/>
      <c r="N599" s="236" t="str">
        <f t="shared" si="11"/>
        <v>Status(ReceiveRecoveryRate, 320)</v>
      </c>
      <c r="O599" s="236">
        <v>0</v>
      </c>
      <c r="P599" s="236">
        <v>0</v>
      </c>
      <c r="Q599" s="236"/>
      <c r="R599" s="236" t="b">
        <v>1</v>
      </c>
    </row>
    <row r="600" spans="1:18" x14ac:dyDescent="0.3">
      <c r="A600" s="236" t="s">
        <v>3334</v>
      </c>
      <c r="B600" s="236"/>
      <c r="C600" s="236"/>
      <c r="D600" s="236">
        <v>0</v>
      </c>
      <c r="E600" s="236">
        <v>1</v>
      </c>
      <c r="F600" s="236" t="s">
        <v>476</v>
      </c>
      <c r="G600" s="236" t="s">
        <v>477</v>
      </c>
      <c r="H600" s="236"/>
      <c r="I600" s="236">
        <v>0</v>
      </c>
      <c r="J600" s="236" t="s">
        <v>846</v>
      </c>
      <c r="K600" s="236" t="s">
        <v>897</v>
      </c>
      <c r="L600" s="236">
        <v>350</v>
      </c>
      <c r="M600" s="236"/>
      <c r="N600" s="236" t="str">
        <f t="shared" si="11"/>
        <v>Status(ReceiveRecoveryRate, 350)</v>
      </c>
      <c r="O600" s="236">
        <v>0</v>
      </c>
      <c r="P600" s="236">
        <v>0</v>
      </c>
      <c r="Q600" s="236"/>
      <c r="R600" s="236" t="b">
        <v>1</v>
      </c>
    </row>
    <row r="601" spans="1:18" x14ac:dyDescent="0.3">
      <c r="A601" s="236" t="s">
        <v>3335</v>
      </c>
      <c r="B601" s="236"/>
      <c r="C601" s="236"/>
      <c r="D601" s="236">
        <v>0</v>
      </c>
      <c r="E601" s="236">
        <v>1</v>
      </c>
      <c r="F601" s="236" t="s">
        <v>476</v>
      </c>
      <c r="G601" s="236" t="s">
        <v>477</v>
      </c>
      <c r="H601" s="236"/>
      <c r="I601" s="236">
        <v>0</v>
      </c>
      <c r="J601" s="236" t="s">
        <v>846</v>
      </c>
      <c r="K601" s="236" t="s">
        <v>897</v>
      </c>
      <c r="L601" s="236">
        <v>400</v>
      </c>
      <c r="M601" s="236"/>
      <c r="N601" s="236" t="str">
        <f t="shared" si="11"/>
        <v>Status(ReceiveRecoveryRate, 400)</v>
      </c>
      <c r="O601" s="236">
        <v>0</v>
      </c>
      <c r="P601" s="236">
        <v>0</v>
      </c>
      <c r="Q601" s="236"/>
      <c r="R601" s="236" t="b">
        <v>1</v>
      </c>
    </row>
    <row r="602" spans="1:18" x14ac:dyDescent="0.3">
      <c r="A602" s="232" t="s">
        <v>3336</v>
      </c>
      <c r="B602" s="232"/>
      <c r="C602" s="232"/>
      <c r="D602" s="232">
        <v>0</v>
      </c>
      <c r="E602" s="232">
        <v>1</v>
      </c>
      <c r="F602" s="232" t="s">
        <v>476</v>
      </c>
      <c r="G602" s="232" t="s">
        <v>477</v>
      </c>
      <c r="H602" s="232"/>
      <c r="I602" s="232">
        <v>0</v>
      </c>
      <c r="J602" s="232" t="s">
        <v>846</v>
      </c>
      <c r="K602" s="232" t="s">
        <v>897</v>
      </c>
      <c r="L602" s="232">
        <v>450</v>
      </c>
      <c r="M602" s="232"/>
      <c r="N602" s="232" t="str">
        <f t="shared" si="11"/>
        <v>Status(ReceiveRecoveryRate, 450)</v>
      </c>
      <c r="O602" s="232">
        <v>0</v>
      </c>
      <c r="P602" s="232">
        <v>0</v>
      </c>
      <c r="Q602" s="232"/>
      <c r="R602" s="232" t="b">
        <v>1</v>
      </c>
    </row>
    <row r="603" spans="1:18" x14ac:dyDescent="0.3">
      <c r="A603" s="232" t="s">
        <v>3337</v>
      </c>
      <c r="B603" s="232"/>
      <c r="C603" s="232"/>
      <c r="D603" s="232">
        <v>0</v>
      </c>
      <c r="E603" s="232">
        <v>1</v>
      </c>
      <c r="F603" s="232" t="s">
        <v>476</v>
      </c>
      <c r="G603" s="232" t="s">
        <v>477</v>
      </c>
      <c r="H603" s="232"/>
      <c r="I603" s="232">
        <v>0</v>
      </c>
      <c r="J603" s="232" t="s">
        <v>846</v>
      </c>
      <c r="K603" s="232" t="s">
        <v>897</v>
      </c>
      <c r="L603" s="232">
        <v>370</v>
      </c>
      <c r="M603" s="232"/>
      <c r="N603" s="232" t="str">
        <f t="shared" si="11"/>
        <v>Status(ReceiveRecoveryRate, 370)</v>
      </c>
      <c r="O603" s="232">
        <v>0</v>
      </c>
      <c r="P603" s="232">
        <v>0</v>
      </c>
      <c r="Q603" s="232"/>
      <c r="R603" s="232" t="b">
        <v>1</v>
      </c>
    </row>
    <row r="604" spans="1:18" x14ac:dyDescent="0.3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</row>
    <row r="605" spans="1:18" x14ac:dyDescent="0.3">
      <c r="A605" s="202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8"/>
    </row>
    <row r="606" spans="1:18" x14ac:dyDescent="0.3">
      <c r="A606" s="19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2"/>
    </row>
    <row r="607" spans="1:18" x14ac:dyDescent="0.3">
      <c r="A607" s="19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2"/>
    </row>
    <row r="608" spans="1:18" x14ac:dyDescent="0.3">
      <c r="A608" s="199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2"/>
    </row>
    <row r="609" spans="1:18" x14ac:dyDescent="0.3">
      <c r="A609" s="199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2"/>
    </row>
    <row r="610" spans="1:18" x14ac:dyDescent="0.3">
      <c r="A610" s="199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2"/>
    </row>
    <row r="611" spans="1:18" x14ac:dyDescent="0.3">
      <c r="A611" s="199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2"/>
    </row>
    <row r="612" spans="1:18" x14ac:dyDescent="0.3">
      <c r="A612" s="199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2"/>
    </row>
    <row r="613" spans="1:18" x14ac:dyDescent="0.3">
      <c r="A613" s="198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39"/>
    </row>
    <row r="614" spans="1:18" x14ac:dyDescent="0.3">
      <c r="A614" s="198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39"/>
    </row>
    <row r="615" spans="1:18" x14ac:dyDescent="0.3">
      <c r="A615" s="198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39"/>
    </row>
    <row r="616" spans="1:18" x14ac:dyDescent="0.3">
      <c r="A616" s="198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39"/>
    </row>
    <row r="617" spans="1:18" x14ac:dyDescent="0.3">
      <c r="A617" s="198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39"/>
    </row>
    <row r="618" spans="1:18" x14ac:dyDescent="0.3">
      <c r="A618" s="20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4"/>
    </row>
    <row r="619" spans="1:18" x14ac:dyDescent="0.3">
      <c r="A619" s="202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8"/>
    </row>
    <row r="620" spans="1:18" x14ac:dyDescent="0.3">
      <c r="A620" s="202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8"/>
    </row>
    <row r="621" spans="1:18" x14ac:dyDescent="0.3">
      <c r="A621" s="20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4"/>
    </row>
    <row r="622" spans="1:18" x14ac:dyDescent="0.3">
      <c r="A622" s="20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4"/>
    </row>
    <row r="623" spans="1:18" x14ac:dyDescent="0.3">
      <c r="A623" s="202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8"/>
    </row>
    <row r="624" spans="1:18" x14ac:dyDescent="0.3">
      <c r="A624" s="202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8"/>
    </row>
    <row r="625" spans="1:18" x14ac:dyDescent="0.3">
      <c r="A625" s="202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8"/>
    </row>
    <row r="626" spans="1:18" x14ac:dyDescent="0.3">
      <c r="A626" s="20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4"/>
    </row>
    <row r="627" spans="1:18" x14ac:dyDescent="0.3">
      <c r="A627" s="20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4"/>
    </row>
    <row r="628" spans="1:18" x14ac:dyDescent="0.3">
      <c r="A628" s="20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4"/>
    </row>
    <row r="629" spans="1:18" x14ac:dyDescent="0.3">
      <c r="A629" s="20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4"/>
    </row>
    <row r="630" spans="1:18" x14ac:dyDescent="0.3">
      <c r="A630" s="20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4"/>
    </row>
    <row r="631" spans="1:18" x14ac:dyDescent="0.3">
      <c r="A631" s="20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4"/>
    </row>
    <row r="632" spans="1:18" x14ac:dyDescent="0.3">
      <c r="A632" s="20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4"/>
    </row>
    <row r="633" spans="1:18" x14ac:dyDescent="0.3">
      <c r="A633" s="20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4"/>
    </row>
    <row r="634" spans="1:18" x14ac:dyDescent="0.3">
      <c r="A634" s="202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8"/>
    </row>
    <row r="635" spans="1:18" x14ac:dyDescent="0.3">
      <c r="A635" s="202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8"/>
    </row>
    <row r="636" spans="1:18" x14ac:dyDescent="0.3">
      <c r="A636" s="198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39"/>
    </row>
    <row r="637" spans="1:18" x14ac:dyDescent="0.3">
      <c r="A637" s="198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39"/>
    </row>
    <row r="638" spans="1:18" x14ac:dyDescent="0.3">
      <c r="A638" s="199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2"/>
    </row>
    <row r="639" spans="1:18" x14ac:dyDescent="0.3">
      <c r="A639" s="199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2"/>
    </row>
    <row r="640" spans="1:18" x14ac:dyDescent="0.3">
      <c r="A640" s="198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39"/>
    </row>
    <row r="641" spans="1:18" x14ac:dyDescent="0.3">
      <c r="A641" s="198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39"/>
    </row>
    <row r="642" spans="1:18" x14ac:dyDescent="0.3">
      <c r="A642" s="198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39"/>
    </row>
    <row r="643" spans="1:18" x14ac:dyDescent="0.3">
      <c r="A643" s="198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39"/>
    </row>
    <row r="644" spans="1:18" x14ac:dyDescent="0.3">
      <c r="A644" s="198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39"/>
    </row>
    <row r="645" spans="1:18" x14ac:dyDescent="0.3">
      <c r="A645" s="198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39"/>
    </row>
    <row r="646" spans="1:18" x14ac:dyDescent="0.3">
      <c r="A646" s="198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39"/>
    </row>
    <row r="647" spans="1:18" x14ac:dyDescent="0.3">
      <c r="A647" s="198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39"/>
    </row>
    <row r="648" spans="1:18" x14ac:dyDescent="0.3">
      <c r="A648" s="198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39"/>
    </row>
    <row r="649" spans="1:18" x14ac:dyDescent="0.3">
      <c r="A649" s="198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39"/>
    </row>
    <row r="650" spans="1:18" x14ac:dyDescent="0.3">
      <c r="A650" s="198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39"/>
    </row>
    <row r="651" spans="1:18" x14ac:dyDescent="0.3">
      <c r="A651" s="198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39"/>
    </row>
    <row r="652" spans="1:18" x14ac:dyDescent="0.3">
      <c r="A652" s="26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8"/>
    </row>
    <row r="653" spans="1:18" x14ac:dyDescent="0.3">
      <c r="A653" s="26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8"/>
    </row>
    <row r="654" spans="1:18" x14ac:dyDescent="0.3">
      <c r="A654" s="26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8"/>
    </row>
    <row r="655" spans="1:18" x14ac:dyDescent="0.3">
      <c r="A655" s="135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7"/>
    </row>
    <row r="656" spans="1:18" x14ac:dyDescent="0.3">
      <c r="A656" s="135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7"/>
    </row>
    <row r="657" spans="1:18" x14ac:dyDescent="0.3">
      <c r="A657" s="135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7"/>
    </row>
    <row r="658" spans="1:18" x14ac:dyDescent="0.3">
      <c r="A658" s="135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7"/>
    </row>
    <row r="659" spans="1:18" x14ac:dyDescent="0.3">
      <c r="A659" s="135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7"/>
    </row>
    <row r="660" spans="1:18" x14ac:dyDescent="0.3">
      <c r="A660" s="139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31"/>
      <c r="P660" s="31"/>
      <c r="Q660" s="31"/>
      <c r="R660" s="32"/>
    </row>
    <row r="661" spans="1:18" x14ac:dyDescent="0.3">
      <c r="A661" s="139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31"/>
      <c r="P661" s="31"/>
      <c r="Q661" s="31"/>
      <c r="R661" s="32"/>
    </row>
    <row r="662" spans="1:18" x14ac:dyDescent="0.3">
      <c r="A662" s="54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49"/>
      <c r="P662" s="49"/>
      <c r="Q662" s="49"/>
      <c r="R662" s="50"/>
    </row>
    <row r="663" spans="1:18" x14ac:dyDescent="0.3">
      <c r="A663" s="54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49"/>
      <c r="P663" s="49"/>
      <c r="Q663" s="49"/>
      <c r="R663" s="50"/>
    </row>
    <row r="664" spans="1:18" x14ac:dyDescent="0.3">
      <c r="A664" s="54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49"/>
      <c r="P664" s="49"/>
      <c r="Q664" s="49"/>
      <c r="R664" s="50"/>
    </row>
    <row r="665" spans="1:18" x14ac:dyDescent="0.3">
      <c r="A665" s="54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49"/>
      <c r="P665" s="49"/>
      <c r="Q665" s="49"/>
      <c r="R665" s="50"/>
    </row>
    <row r="666" spans="1:18" x14ac:dyDescent="0.3">
      <c r="A666" s="35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7"/>
    </row>
    <row r="667" spans="1:18" x14ac:dyDescent="0.3">
      <c r="A667" s="35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7"/>
    </row>
    <row r="668" spans="1:18" x14ac:dyDescent="0.3">
      <c r="A668" s="35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7"/>
    </row>
    <row r="669" spans="1:18" x14ac:dyDescent="0.3">
      <c r="A669" s="35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7"/>
    </row>
    <row r="670" spans="1:18" x14ac:dyDescent="0.3">
      <c r="A670" s="35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7"/>
    </row>
    <row r="671" spans="1:18" x14ac:dyDescent="0.3">
      <c r="A671" s="35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7"/>
    </row>
    <row r="672" spans="1:18" x14ac:dyDescent="0.3">
      <c r="A672" s="35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7"/>
    </row>
    <row r="673" spans="1:18" x14ac:dyDescent="0.3">
      <c r="A673" s="35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7"/>
    </row>
    <row r="674" spans="1:18" x14ac:dyDescent="0.3">
      <c r="A674" s="35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7"/>
    </row>
    <row r="675" spans="1:18" x14ac:dyDescent="0.3">
      <c r="A675" s="141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3"/>
    </row>
    <row r="676" spans="1:18" x14ac:dyDescent="0.3">
      <c r="A676" s="141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3"/>
    </row>
    <row r="677" spans="1:18" x14ac:dyDescent="0.3">
      <c r="A677" s="141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3"/>
    </row>
    <row r="678" spans="1:18" x14ac:dyDescent="0.3">
      <c r="A678" s="141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3"/>
    </row>
    <row r="679" spans="1:18" s="223" customFormat="1" x14ac:dyDescent="0.3">
      <c r="A679" s="226"/>
      <c r="B679" s="225"/>
      <c r="C679" s="225"/>
      <c r="D679" s="225"/>
      <c r="E679" s="225"/>
      <c r="F679" s="22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4"/>
    </row>
    <row r="680" spans="1:18" x14ac:dyDescent="0.3">
      <c r="A680" s="141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3"/>
    </row>
    <row r="681" spans="1:18" x14ac:dyDescent="0.3">
      <c r="A681" s="141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3"/>
    </row>
    <row r="682" spans="1:18" x14ac:dyDescent="0.3">
      <c r="A682" s="141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3"/>
    </row>
    <row r="683" spans="1:18" x14ac:dyDescent="0.3">
      <c r="A683" s="141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3"/>
    </row>
    <row r="684" spans="1:18" x14ac:dyDescent="0.3">
      <c r="A684" s="141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3"/>
    </row>
    <row r="685" spans="1:18" x14ac:dyDescent="0.3">
      <c r="A685" s="141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3"/>
    </row>
    <row r="686" spans="1:18" x14ac:dyDescent="0.3">
      <c r="A686" s="141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3"/>
    </row>
    <row r="687" spans="1:18" x14ac:dyDescent="0.3">
      <c r="A687" s="141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3"/>
    </row>
    <row r="688" spans="1:18" x14ac:dyDescent="0.3">
      <c r="A688" s="141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3"/>
    </row>
    <row r="689" spans="1:18" x14ac:dyDescent="0.3">
      <c r="A689" s="141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3"/>
    </row>
    <row r="690" spans="1:18" x14ac:dyDescent="0.3">
      <c r="A690" s="141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3"/>
    </row>
    <row r="691" spans="1:18" x14ac:dyDescent="0.3">
      <c r="A691" s="141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3"/>
    </row>
    <row r="692" spans="1:18" x14ac:dyDescent="0.3">
      <c r="A692" s="130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2"/>
    </row>
    <row r="693" spans="1:18" x14ac:dyDescent="0.3">
      <c r="A693" s="130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2"/>
    </row>
    <row r="694" spans="1:18" x14ac:dyDescent="0.3">
      <c r="A694" s="130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2"/>
    </row>
    <row r="695" spans="1:18" x14ac:dyDescent="0.3">
      <c r="A695" s="130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2"/>
    </row>
    <row r="696" spans="1:18" x14ac:dyDescent="0.3">
      <c r="A696" s="130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2"/>
    </row>
    <row r="697" spans="1:18" x14ac:dyDescent="0.3">
      <c r="A697" s="130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2"/>
    </row>
    <row r="698" spans="1:18" x14ac:dyDescent="0.3">
      <c r="A698" s="130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2"/>
    </row>
    <row r="699" spans="1:18" x14ac:dyDescent="0.3">
      <c r="A699" s="61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40"/>
    </row>
    <row r="700" spans="1:18" x14ac:dyDescent="0.3">
      <c r="A700" s="61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40"/>
    </row>
    <row r="701" spans="1:18" x14ac:dyDescent="0.3">
      <c r="A701" s="61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40"/>
    </row>
    <row r="702" spans="1:18" x14ac:dyDescent="0.3">
      <c r="A702" s="61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40"/>
    </row>
    <row r="703" spans="1:18" x14ac:dyDescent="0.3">
      <c r="A703" s="61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40"/>
    </row>
    <row r="704" spans="1:18" x14ac:dyDescent="0.3">
      <c r="A704" s="61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40"/>
    </row>
    <row r="705" spans="1:18" x14ac:dyDescent="0.3">
      <c r="A705" s="61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40"/>
    </row>
    <row r="706" spans="1:18" x14ac:dyDescent="0.3">
      <c r="A706" s="61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40"/>
    </row>
    <row r="707" spans="1:18" x14ac:dyDescent="0.3">
      <c r="A707" s="61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40"/>
    </row>
    <row r="708" spans="1:18" x14ac:dyDescent="0.3">
      <c r="A708" s="61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40"/>
    </row>
    <row r="709" spans="1:18" x14ac:dyDescent="0.3">
      <c r="A709" s="35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7"/>
    </row>
    <row r="710" spans="1:18" x14ac:dyDescent="0.3">
      <c r="A710" s="35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7"/>
    </row>
    <row r="711" spans="1:18" x14ac:dyDescent="0.3">
      <c r="A711" s="35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7"/>
    </row>
    <row r="712" spans="1:18" x14ac:dyDescent="0.3">
      <c r="A712" s="35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7"/>
    </row>
    <row r="713" spans="1:18" x14ac:dyDescent="0.3">
      <c r="A713" s="35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7"/>
    </row>
    <row r="714" spans="1:18" x14ac:dyDescent="0.3">
      <c r="A714" s="35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7"/>
    </row>
    <row r="715" spans="1:18" x14ac:dyDescent="0.3">
      <c r="A715" s="141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3"/>
    </row>
    <row r="716" spans="1:18" x14ac:dyDescent="0.3">
      <c r="A716" s="141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3"/>
    </row>
    <row r="717" spans="1:18" x14ac:dyDescent="0.3">
      <c r="A717" s="141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3"/>
    </row>
    <row r="718" spans="1:18" x14ac:dyDescent="0.3">
      <c r="A718" s="141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3"/>
    </row>
    <row r="719" spans="1:18" x14ac:dyDescent="0.3">
      <c r="A719" s="141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3"/>
    </row>
    <row r="720" spans="1:18" x14ac:dyDescent="0.3">
      <c r="A720" s="141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3"/>
    </row>
    <row r="721" spans="1:18" x14ac:dyDescent="0.3">
      <c r="A721" s="141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3"/>
    </row>
    <row r="722" spans="1:18" x14ac:dyDescent="0.3">
      <c r="A722" s="47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6"/>
    </row>
    <row r="723" spans="1:18" x14ac:dyDescent="0.3">
      <c r="A723" s="47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6"/>
    </row>
    <row r="724" spans="1:18" x14ac:dyDescent="0.3">
      <c r="A724" s="47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6"/>
    </row>
    <row r="725" spans="1:18" x14ac:dyDescent="0.3">
      <c r="A725" s="47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6"/>
    </row>
    <row r="726" spans="1:18" x14ac:dyDescent="0.3">
      <c r="A726" s="47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6"/>
    </row>
    <row r="727" spans="1:18" x14ac:dyDescent="0.3">
      <c r="A727" s="47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6"/>
    </row>
    <row r="728" spans="1:18" x14ac:dyDescent="0.3">
      <c r="A728" s="53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50"/>
    </row>
    <row r="729" spans="1:18" x14ac:dyDescent="0.3">
      <c r="A729" s="53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50"/>
    </row>
    <row r="730" spans="1:18" x14ac:dyDescent="0.3">
      <c r="A730" s="53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50"/>
    </row>
    <row r="731" spans="1:18" x14ac:dyDescent="0.3">
      <c r="A731" s="53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50"/>
    </row>
    <row r="732" spans="1:18" x14ac:dyDescent="0.3">
      <c r="A732" s="53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50"/>
    </row>
    <row r="733" spans="1:18" x14ac:dyDescent="0.3">
      <c r="A733" s="53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50"/>
    </row>
    <row r="734" spans="1:18" x14ac:dyDescent="0.3">
      <c r="A734" s="53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50"/>
    </row>
    <row r="735" spans="1:18" x14ac:dyDescent="0.3">
      <c r="A735" s="53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50"/>
    </row>
    <row r="736" spans="1:18" x14ac:dyDescent="0.3">
      <c r="A736" s="26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8"/>
    </row>
    <row r="737" spans="1:18" x14ac:dyDescent="0.3">
      <c r="A737" s="26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8"/>
    </row>
    <row r="738" spans="1:18" x14ac:dyDescent="0.3">
      <c r="A738" s="26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8"/>
    </row>
    <row r="739" spans="1:18" x14ac:dyDescent="0.3">
      <c r="A739" s="26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8"/>
    </row>
    <row r="740" spans="1:18" x14ac:dyDescent="0.3">
      <c r="A740" s="26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8"/>
    </row>
    <row r="741" spans="1:18" x14ac:dyDescent="0.3">
      <c r="A741" s="26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8"/>
    </row>
    <row r="742" spans="1:18" x14ac:dyDescent="0.3">
      <c r="A742" s="26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8"/>
    </row>
    <row r="743" spans="1:18" x14ac:dyDescent="0.3">
      <c r="A743" s="26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8"/>
    </row>
    <row r="744" spans="1:18" x14ac:dyDescent="0.3">
      <c r="A744" s="26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8"/>
    </row>
    <row r="745" spans="1:18" x14ac:dyDescent="0.3">
      <c r="A745" s="26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8"/>
    </row>
    <row r="746" spans="1:18" x14ac:dyDescent="0.3">
      <c r="A746" s="26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8"/>
    </row>
    <row r="747" spans="1:18" x14ac:dyDescent="0.3">
      <c r="A747" s="26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8"/>
    </row>
    <row r="748" spans="1:18" x14ac:dyDescent="0.3">
      <c r="A748" s="26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8"/>
    </row>
    <row r="749" spans="1:18" x14ac:dyDescent="0.3">
      <c r="A749" s="26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8"/>
    </row>
    <row r="750" spans="1:18" x14ac:dyDescent="0.3">
      <c r="A750" s="26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8"/>
    </row>
    <row r="751" spans="1:18" x14ac:dyDescent="0.3">
      <c r="A751" s="26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8"/>
    </row>
    <row r="752" spans="1:18" x14ac:dyDescent="0.3">
      <c r="A752" s="135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7"/>
    </row>
    <row r="753" spans="1:18" x14ac:dyDescent="0.3">
      <c r="A753" s="135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7"/>
    </row>
    <row r="754" spans="1:18" x14ac:dyDescent="0.3">
      <c r="A754" s="135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7"/>
    </row>
    <row r="755" spans="1:18" x14ac:dyDescent="0.3">
      <c r="A755" s="135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7"/>
    </row>
    <row r="756" spans="1:18" x14ac:dyDescent="0.3">
      <c r="A756" s="135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7"/>
    </row>
    <row r="757" spans="1:18" x14ac:dyDescent="0.3">
      <c r="A757" s="135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7"/>
    </row>
    <row r="758" spans="1:18" x14ac:dyDescent="0.3">
      <c r="A758" s="135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7"/>
    </row>
    <row r="759" spans="1:18" x14ac:dyDescent="0.3">
      <c r="A759" s="135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7"/>
    </row>
    <row r="760" spans="1:18" x14ac:dyDescent="0.3">
      <c r="A760" s="135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7"/>
    </row>
    <row r="761" spans="1:18" x14ac:dyDescent="0.3">
      <c r="A761" s="135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7"/>
    </row>
    <row r="762" spans="1:18" x14ac:dyDescent="0.3">
      <c r="A762" s="135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7"/>
    </row>
    <row r="763" spans="1:18" x14ac:dyDescent="0.3">
      <c r="A763" s="130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2"/>
    </row>
    <row r="764" spans="1:18" x14ac:dyDescent="0.3">
      <c r="A764" s="130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2"/>
    </row>
    <row r="765" spans="1:18" x14ac:dyDescent="0.3">
      <c r="A765" s="130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2"/>
    </row>
    <row r="766" spans="1:18" x14ac:dyDescent="0.3">
      <c r="A766" s="130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2"/>
    </row>
    <row r="767" spans="1:18" x14ac:dyDescent="0.3">
      <c r="A767" s="130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2"/>
    </row>
    <row r="768" spans="1:18" x14ac:dyDescent="0.3">
      <c r="A768" s="61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40"/>
    </row>
    <row r="769" spans="1:18" x14ac:dyDescent="0.3">
      <c r="A769" s="61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40"/>
    </row>
    <row r="770" spans="1:18" x14ac:dyDescent="0.3">
      <c r="A770" s="61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40"/>
    </row>
    <row r="771" spans="1:18" x14ac:dyDescent="0.3">
      <c r="A771" s="61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40"/>
    </row>
    <row r="772" spans="1:18" x14ac:dyDescent="0.3">
      <c r="A772" s="61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40"/>
    </row>
    <row r="773" spans="1:18" x14ac:dyDescent="0.3">
      <c r="A773" s="61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40"/>
    </row>
    <row r="774" spans="1:18" x14ac:dyDescent="0.3">
      <c r="A774" s="198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39"/>
    </row>
    <row r="775" spans="1:18" x14ac:dyDescent="0.3">
      <c r="A775" s="203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7"/>
    </row>
    <row r="776" spans="1:18" x14ac:dyDescent="0.3">
      <c r="A776" s="196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4"/>
    </row>
    <row r="777" spans="1:18" x14ac:dyDescent="0.3">
      <c r="A777" s="196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4"/>
    </row>
    <row r="778" spans="1:18" x14ac:dyDescent="0.3">
      <c r="A778" s="203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7"/>
    </row>
    <row r="779" spans="1:18" x14ac:dyDescent="0.3">
      <c r="A779" s="203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7"/>
    </row>
    <row r="780" spans="1:18" x14ac:dyDescent="0.3">
      <c r="A780" s="203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7"/>
    </row>
    <row r="781" spans="1:18" x14ac:dyDescent="0.3">
      <c r="A781" s="203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7"/>
    </row>
    <row r="782" spans="1:18" x14ac:dyDescent="0.3">
      <c r="A782" s="203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7"/>
    </row>
    <row r="783" spans="1:18" x14ac:dyDescent="0.3">
      <c r="A783" s="196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4"/>
    </row>
    <row r="784" spans="1:18" x14ac:dyDescent="0.3">
      <c r="A784" s="196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4"/>
    </row>
    <row r="785" spans="1:18" x14ac:dyDescent="0.3">
      <c r="A785" s="203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7"/>
    </row>
    <row r="786" spans="1:18" x14ac:dyDescent="0.3">
      <c r="A786" s="203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7"/>
    </row>
    <row r="787" spans="1:18" x14ac:dyDescent="0.3">
      <c r="A787" s="203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7"/>
    </row>
    <row r="788" spans="1:18" x14ac:dyDescent="0.3">
      <c r="A788" s="227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50"/>
    </row>
    <row r="789" spans="1:18" x14ac:dyDescent="0.3">
      <c r="A789" s="227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50"/>
    </row>
    <row r="790" spans="1:18" x14ac:dyDescent="0.3">
      <c r="A790" s="227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50"/>
    </row>
    <row r="791" spans="1:18" x14ac:dyDescent="0.3">
      <c r="A791" s="19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5"/>
    </row>
    <row r="792" spans="1:18" x14ac:dyDescent="0.3">
      <c r="A792" s="19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5"/>
    </row>
    <row r="793" spans="1:18" x14ac:dyDescent="0.3">
      <c r="A793" s="19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5"/>
    </row>
    <row r="794" spans="1:18" x14ac:dyDescent="0.3">
      <c r="A794" s="19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5"/>
    </row>
    <row r="795" spans="1:18" x14ac:dyDescent="0.3">
      <c r="A795" s="19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5"/>
    </row>
    <row r="796" spans="1:18" x14ac:dyDescent="0.3">
      <c r="A796" s="19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5"/>
    </row>
    <row r="797" spans="1:18" x14ac:dyDescent="0.3">
      <c r="A797" s="20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230"/>
    </row>
    <row r="798" spans="1:18" x14ac:dyDescent="0.3">
      <c r="A798" s="20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230"/>
    </row>
    <row r="799" spans="1:18" x14ac:dyDescent="0.3">
      <c r="A799" s="20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230"/>
    </row>
    <row r="800" spans="1:18" x14ac:dyDescent="0.3">
      <c r="A800" s="20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230"/>
    </row>
    <row r="801" spans="1:18" x14ac:dyDescent="0.3">
      <c r="A801" s="20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230"/>
    </row>
    <row r="802" spans="1:18" x14ac:dyDescent="0.3">
      <c r="A802" s="20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230"/>
    </row>
    <row r="803" spans="1:18" x14ac:dyDescent="0.3">
      <c r="A803" s="19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5"/>
    </row>
    <row r="804" spans="1:18" x14ac:dyDescent="0.3">
      <c r="A804" s="19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5"/>
    </row>
    <row r="805" spans="1:18" x14ac:dyDescent="0.3">
      <c r="A805" s="19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5"/>
    </row>
    <row r="806" spans="1:18" x14ac:dyDescent="0.3">
      <c r="A806" s="19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5"/>
    </row>
    <row r="807" spans="1:18" x14ac:dyDescent="0.3">
      <c r="A807" s="19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5"/>
    </row>
    <row r="808" spans="1:18" x14ac:dyDescent="0.3">
      <c r="A808" s="19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5"/>
    </row>
    <row r="809" spans="1:18" x14ac:dyDescent="0.3">
      <c r="A809" s="20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230"/>
    </row>
    <row r="810" spans="1:18" x14ac:dyDescent="0.3">
      <c r="A810" s="20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230"/>
    </row>
    <row r="811" spans="1:18" x14ac:dyDescent="0.3">
      <c r="A811" s="20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230"/>
    </row>
    <row r="812" spans="1:18" x14ac:dyDescent="0.3">
      <c r="A812" s="20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230"/>
    </row>
    <row r="813" spans="1:18" x14ac:dyDescent="0.3">
      <c r="A813" s="20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230"/>
    </row>
    <row r="814" spans="1:18" x14ac:dyDescent="0.3">
      <c r="A814" s="20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230"/>
    </row>
    <row r="815" spans="1:18" x14ac:dyDescent="0.3">
      <c r="A815" s="227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50"/>
    </row>
    <row r="816" spans="1:18" x14ac:dyDescent="0.3">
      <c r="A816" s="19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2"/>
    </row>
    <row r="817" spans="1:18" x14ac:dyDescent="0.3">
      <c r="A817" s="19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2"/>
    </row>
    <row r="818" spans="1:18" x14ac:dyDescent="0.3">
      <c r="A818" s="20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4"/>
    </row>
    <row r="819" spans="1:18" x14ac:dyDescent="0.3">
      <c r="A819" s="203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7"/>
    </row>
    <row r="820" spans="1:18" x14ac:dyDescent="0.3">
      <c r="A820" s="203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7"/>
    </row>
    <row r="821" spans="1:18" x14ac:dyDescent="0.3">
      <c r="A821" s="203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7"/>
    </row>
    <row r="822" spans="1:18" x14ac:dyDescent="0.3">
      <c r="A822" s="203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7"/>
    </row>
    <row r="823" spans="1:18" x14ac:dyDescent="0.3">
      <c r="A823" s="196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4"/>
    </row>
    <row r="824" spans="1:18" x14ac:dyDescent="0.3">
      <c r="A824" s="196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4"/>
    </row>
    <row r="825" spans="1:18" x14ac:dyDescent="0.3">
      <c r="A825" s="203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7"/>
    </row>
    <row r="826" spans="1:18" x14ac:dyDescent="0.3">
      <c r="A826" s="19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9"/>
    </row>
    <row r="827" spans="1:18" x14ac:dyDescent="0.3">
      <c r="A827" s="19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9"/>
    </row>
    <row r="828" spans="1:18" x14ac:dyDescent="0.3">
      <c r="A828" s="19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9"/>
    </row>
  </sheetData>
  <phoneticPr fontId="2" type="noConversion"/>
  <conditionalFormatting sqref="A1:A1048576">
    <cfRule type="duplicateValues" dxfId="6" priority="78"/>
  </conditionalFormatting>
  <conditionalFormatting sqref="A1:R828">
    <cfRule type="containsBlanks" dxfId="5" priority="74">
      <formula>LEN(TRIM(A1))=0</formula>
    </cfRule>
    <cfRule type="cellIs" dxfId="4" priority="75" operator="equal">
      <formula>"Single"</formula>
    </cfRule>
    <cfRule type="cellIs" dxfId="3" priority="76" operator="equal">
      <formula>FALSE</formula>
    </cfRule>
    <cfRule type="cellIs" dxfId="2" priority="77" operator="equal">
      <formula>0</formula>
    </cfRule>
  </conditionalFormatting>
  <conditionalFormatting sqref="E1:E1048576">
    <cfRule type="cellIs" dxfId="1" priority="73" operator="equal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Buff.Monster</vt:lpstr>
      <vt:lpstr>BuffEffect.Monster</vt:lpstr>
      <vt:lpstr>Buff.Contents</vt:lpstr>
      <vt:lpstr>BuffEffect.Contests</vt:lpstr>
      <vt:lpstr>Buff.Mimic</vt:lpstr>
      <vt:lpstr>BuffEffect.Mimic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2024-06-04T14:52:51Z</dcterms:modified>
</cp:coreProperties>
</file>