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 activeTab="2"/>
  </bookViews>
  <sheets>
    <sheet name="AttributeBattle" sheetId="4" r:id="rId1"/>
    <sheet name="AttributeBattleStage" sheetId="5" r:id="rId2"/>
    <sheet name="AttributeBuff" sheetId="6" r:id="rId3"/>
    <sheet name="Buff.Attribute" sheetId="7" r:id="rId4"/>
    <sheet name="BuffEffect.Attribute" sheetId="8" r:id="rId5"/>
    <sheet name="#AttributeBattleSection" sheetId="3" r:id="rId6"/>
    <sheet name="#AttributeBattleStage" sheetId="1" r:id="rId7"/>
    <sheet name="#AttributeRank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88" i="8" l="1"/>
  <c r="N287" i="8"/>
  <c r="N286" i="8"/>
  <c r="N285" i="8"/>
  <c r="N284" i="8"/>
  <c r="N278" i="8"/>
  <c r="N277" i="8"/>
  <c r="N276" i="8"/>
  <c r="N275" i="8"/>
  <c r="N274" i="8"/>
  <c r="N200" i="8"/>
  <c r="N199" i="8"/>
  <c r="N198" i="8"/>
  <c r="N197" i="8"/>
  <c r="N196" i="8"/>
  <c r="N190" i="8"/>
  <c r="N189" i="8"/>
  <c r="N188" i="8"/>
  <c r="N187" i="8"/>
  <c r="N186" i="8"/>
  <c r="N180" i="8"/>
  <c r="N179" i="8"/>
  <c r="N178" i="8"/>
  <c r="N177" i="8"/>
  <c r="N176" i="8"/>
  <c r="N170" i="8"/>
  <c r="N169" i="8"/>
  <c r="N168" i="8"/>
  <c r="N167" i="8"/>
  <c r="N166" i="8"/>
  <c r="N102" i="8"/>
  <c r="N101" i="8"/>
  <c r="N100" i="8"/>
  <c r="N99" i="8"/>
  <c r="N98" i="8"/>
  <c r="N92" i="8"/>
  <c r="N91" i="8"/>
  <c r="N90" i="8"/>
  <c r="N89" i="8"/>
  <c r="N88" i="8"/>
  <c r="N82" i="8"/>
  <c r="N81" i="8"/>
  <c r="N80" i="8"/>
  <c r="N79" i="8"/>
  <c r="N78" i="8"/>
  <c r="N72" i="8"/>
  <c r="N71" i="8"/>
  <c r="N70" i="8"/>
  <c r="N69" i="8"/>
  <c r="N68" i="8"/>
  <c r="G211" i="7"/>
  <c r="G210" i="7"/>
  <c r="G209" i="7"/>
  <c r="G208" i="7"/>
  <c r="G207" i="7"/>
  <c r="G201" i="7"/>
  <c r="G200" i="7"/>
  <c r="G199" i="7"/>
  <c r="G198" i="7"/>
  <c r="G197" i="7"/>
  <c r="G191" i="7"/>
  <c r="G190" i="7"/>
  <c r="G189" i="7"/>
  <c r="G188" i="7"/>
  <c r="G187" i="7"/>
  <c r="G181" i="7"/>
  <c r="G180" i="7"/>
  <c r="G179" i="7"/>
  <c r="G178" i="7"/>
  <c r="G177" i="7"/>
  <c r="G142" i="7"/>
  <c r="G141" i="7"/>
  <c r="G140" i="7"/>
  <c r="G139" i="7"/>
  <c r="G138" i="7"/>
  <c r="G132" i="7"/>
  <c r="G131" i="7"/>
  <c r="G130" i="7"/>
  <c r="G129" i="7"/>
  <c r="G128" i="7"/>
  <c r="G122" i="7"/>
  <c r="G121" i="7"/>
  <c r="G120" i="7"/>
  <c r="G119" i="7"/>
  <c r="G118" i="7"/>
  <c r="G112" i="7"/>
  <c r="G111" i="7"/>
  <c r="G110" i="7"/>
  <c r="G109" i="7"/>
  <c r="G108" i="7"/>
  <c r="G73" i="7"/>
  <c r="G72" i="7"/>
  <c r="G71" i="7"/>
  <c r="G70" i="7"/>
  <c r="G69" i="7"/>
  <c r="G63" i="7"/>
  <c r="G62" i="7"/>
  <c r="G61" i="7"/>
  <c r="G60" i="7"/>
  <c r="G59" i="7"/>
  <c r="G53" i="7"/>
  <c r="G52" i="7"/>
  <c r="G51" i="7"/>
  <c r="G50" i="7"/>
  <c r="G49" i="7"/>
  <c r="G43" i="7"/>
  <c r="G42" i="7"/>
  <c r="G41" i="7"/>
  <c r="G40" i="7"/>
  <c r="G39" i="7"/>
  <c r="N294" i="8" l="1"/>
  <c r="N264" i="8"/>
  <c r="N293" i="8"/>
  <c r="N292" i="8"/>
  <c r="N291" i="8"/>
  <c r="N290" i="8"/>
  <c r="N289" i="8"/>
  <c r="N283" i="8"/>
  <c r="N282" i="8"/>
  <c r="N281" i="8"/>
  <c r="N280" i="8"/>
  <c r="N279" i="8"/>
  <c r="N273" i="8"/>
  <c r="N272" i="8"/>
  <c r="N271" i="8"/>
  <c r="N270" i="8"/>
  <c r="N269" i="8"/>
  <c r="N263" i="8"/>
  <c r="N262" i="8"/>
  <c r="N261" i="8"/>
  <c r="N260" i="8"/>
  <c r="N259" i="8"/>
  <c r="N195" i="8"/>
  <c r="N194" i="8"/>
  <c r="N193" i="8"/>
  <c r="N192" i="8"/>
  <c r="N191" i="8"/>
  <c r="N185" i="8"/>
  <c r="N184" i="8"/>
  <c r="N183" i="8"/>
  <c r="N182" i="8"/>
  <c r="N181" i="8"/>
  <c r="N175" i="8"/>
  <c r="N174" i="8"/>
  <c r="N173" i="8"/>
  <c r="N172" i="8"/>
  <c r="N171" i="8"/>
  <c r="N165" i="8"/>
  <c r="N164" i="8"/>
  <c r="N163" i="8"/>
  <c r="N162" i="8"/>
  <c r="N161" i="8"/>
  <c r="N295" i="8" l="1"/>
  <c r="N265" i="8"/>
  <c r="N97" i="8"/>
  <c r="N96" i="8"/>
  <c r="N95" i="8"/>
  <c r="N94" i="8"/>
  <c r="N93" i="8"/>
  <c r="N87" i="8"/>
  <c r="N86" i="8"/>
  <c r="N85" i="8"/>
  <c r="N84" i="8"/>
  <c r="N83" i="8"/>
  <c r="N77" i="8"/>
  <c r="N76" i="8"/>
  <c r="N75" i="8"/>
  <c r="N74" i="8"/>
  <c r="N73" i="8"/>
  <c r="N67" i="8"/>
  <c r="N66" i="8"/>
  <c r="N65" i="8"/>
  <c r="N64" i="8"/>
  <c r="N63" i="8"/>
  <c r="G206" i="7"/>
  <c r="G205" i="7"/>
  <c r="G204" i="7"/>
  <c r="G203" i="7"/>
  <c r="G202" i="7"/>
  <c r="G196" i="7"/>
  <c r="G195" i="7"/>
  <c r="G194" i="7"/>
  <c r="G193" i="7"/>
  <c r="G192" i="7"/>
  <c r="G186" i="7"/>
  <c r="G185" i="7"/>
  <c r="G184" i="7"/>
  <c r="G183" i="7"/>
  <c r="G182" i="7"/>
  <c r="G176" i="7"/>
  <c r="G175" i="7"/>
  <c r="G174" i="7"/>
  <c r="G173" i="7"/>
  <c r="G172" i="7"/>
  <c r="G137" i="7"/>
  <c r="G136" i="7"/>
  <c r="G135" i="7"/>
  <c r="G134" i="7"/>
  <c r="G133" i="7"/>
  <c r="G127" i="7"/>
  <c r="G126" i="7"/>
  <c r="G125" i="7"/>
  <c r="G124" i="7"/>
  <c r="G123" i="7"/>
  <c r="G117" i="7"/>
  <c r="G116" i="7"/>
  <c r="G115" i="7"/>
  <c r="G114" i="7"/>
  <c r="G113" i="7"/>
  <c r="G107" i="7"/>
  <c r="G106" i="7"/>
  <c r="G105" i="7"/>
  <c r="G104" i="7"/>
  <c r="G103" i="7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68" i="7"/>
  <c r="G67" i="7"/>
  <c r="G66" i="7"/>
  <c r="G65" i="7"/>
  <c r="G64" i="7"/>
  <c r="G58" i="7"/>
  <c r="G57" i="7"/>
  <c r="G56" i="7"/>
  <c r="G55" i="7"/>
  <c r="G54" i="7"/>
  <c r="G48" i="7"/>
  <c r="G47" i="7"/>
  <c r="G46" i="7"/>
  <c r="G45" i="7"/>
  <c r="G44" i="7"/>
  <c r="G38" i="7"/>
  <c r="G37" i="7"/>
  <c r="G36" i="7"/>
  <c r="G35" i="7"/>
  <c r="G34" i="7"/>
  <c r="N296" i="8" l="1"/>
  <c r="N266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5" i="8"/>
  <c r="N297" i="8" l="1"/>
  <c r="N298" i="8"/>
  <c r="N268" i="8"/>
  <c r="N267" i="8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B18" i="3" l="1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A9" i="1" l="1"/>
  <c r="A224" i="1"/>
  <c r="A219" i="1"/>
  <c r="A214" i="1"/>
  <c r="A209" i="1"/>
  <c r="A204" i="1"/>
  <c r="A199" i="1"/>
  <c r="A194" i="1"/>
  <c r="A189" i="1"/>
  <c r="A184" i="1"/>
  <c r="A179" i="1"/>
  <c r="A174" i="1"/>
  <c r="A169" i="1"/>
  <c r="A164" i="1"/>
  <c r="A159" i="1"/>
  <c r="A154" i="1"/>
  <c r="A149" i="1"/>
  <c r="A144" i="1"/>
  <c r="A139" i="1"/>
  <c r="A134" i="1"/>
  <c r="A129" i="1"/>
  <c r="A124" i="1"/>
  <c r="A119" i="1"/>
  <c r="A114" i="1"/>
  <c r="A109" i="1"/>
  <c r="A104" i="1"/>
  <c r="A99" i="1"/>
  <c r="A94" i="1"/>
  <c r="A89" i="1"/>
  <c r="A84" i="1"/>
  <c r="A79" i="1"/>
  <c r="A74" i="1"/>
  <c r="A69" i="1"/>
  <c r="A64" i="1"/>
  <c r="A59" i="1"/>
  <c r="A54" i="1"/>
  <c r="A49" i="1"/>
  <c r="A44" i="1"/>
  <c r="A39" i="1"/>
  <c r="A34" i="1"/>
  <c r="A29" i="1"/>
  <c r="A24" i="1"/>
  <c r="A19" i="1"/>
  <c r="A14" i="1"/>
  <c r="A4" i="1"/>
  <c r="B4" i="1" s="1"/>
  <c r="A210" i="1" l="1"/>
  <c r="B209" i="1"/>
  <c r="A115" i="1"/>
  <c r="B114" i="1"/>
  <c r="A200" i="1"/>
  <c r="B199" i="1"/>
  <c r="A125" i="1"/>
  <c r="B124" i="1"/>
  <c r="A90" i="1"/>
  <c r="B89" i="1"/>
  <c r="A135" i="1"/>
  <c r="B134" i="1"/>
  <c r="A175" i="1"/>
  <c r="B174" i="1"/>
  <c r="A215" i="1"/>
  <c r="B214" i="1"/>
  <c r="A35" i="1"/>
  <c r="B34" i="1"/>
  <c r="A40" i="1"/>
  <c r="B39" i="1"/>
  <c r="A160" i="1"/>
  <c r="B159" i="1"/>
  <c r="A85" i="1"/>
  <c r="B84" i="1"/>
  <c r="A170" i="1"/>
  <c r="B169" i="1"/>
  <c r="A100" i="1"/>
  <c r="B99" i="1"/>
  <c r="A220" i="1"/>
  <c r="B219" i="1"/>
  <c r="A155" i="1"/>
  <c r="B154" i="1"/>
  <c r="A120" i="1"/>
  <c r="B119" i="1"/>
  <c r="A45" i="1"/>
  <c r="B44" i="1"/>
  <c r="A165" i="1"/>
  <c r="B164" i="1"/>
  <c r="A130" i="1"/>
  <c r="B129" i="1"/>
  <c r="A55" i="1"/>
  <c r="B54" i="1"/>
  <c r="A20" i="1"/>
  <c r="B19" i="1"/>
  <c r="A140" i="1"/>
  <c r="B139" i="1"/>
  <c r="A65" i="1"/>
  <c r="B64" i="1"/>
  <c r="A105" i="1"/>
  <c r="B104" i="1"/>
  <c r="A145" i="1"/>
  <c r="B144" i="1"/>
  <c r="A185" i="1"/>
  <c r="B184" i="1"/>
  <c r="A225" i="1"/>
  <c r="B224" i="1"/>
  <c r="A75" i="1"/>
  <c r="B74" i="1"/>
  <c r="A195" i="1"/>
  <c r="B194" i="1"/>
  <c r="A80" i="1"/>
  <c r="B79" i="1"/>
  <c r="A205" i="1"/>
  <c r="B204" i="1"/>
  <c r="A50" i="1"/>
  <c r="B49" i="1"/>
  <c r="A15" i="1"/>
  <c r="B14" i="1"/>
  <c r="A95" i="1"/>
  <c r="B94" i="1"/>
  <c r="A60" i="1"/>
  <c r="B59" i="1"/>
  <c r="A180" i="1"/>
  <c r="B179" i="1"/>
  <c r="A25" i="1"/>
  <c r="B24" i="1"/>
  <c r="A30" i="1"/>
  <c r="B29" i="1"/>
  <c r="A70" i="1"/>
  <c r="B69" i="1"/>
  <c r="A110" i="1"/>
  <c r="B109" i="1"/>
  <c r="A150" i="1"/>
  <c r="B149" i="1"/>
  <c r="A190" i="1"/>
  <c r="B189" i="1"/>
  <c r="A10" i="1"/>
  <c r="B9" i="1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5" i="1"/>
  <c r="A34" i="3" l="1"/>
  <c r="F19" i="3"/>
  <c r="B19" i="3"/>
  <c r="A42" i="3"/>
  <c r="F27" i="3"/>
  <c r="B27" i="3"/>
  <c r="A11" i="1"/>
  <c r="B10" i="1"/>
  <c r="A71" i="1"/>
  <c r="B70" i="1"/>
  <c r="A61" i="1"/>
  <c r="B60" i="1"/>
  <c r="A206" i="1"/>
  <c r="B205" i="1"/>
  <c r="A226" i="1"/>
  <c r="B225" i="1"/>
  <c r="A66" i="1"/>
  <c r="B65" i="1"/>
  <c r="A131" i="1"/>
  <c r="B130" i="1"/>
  <c r="A156" i="1"/>
  <c r="B155" i="1"/>
  <c r="A86" i="1"/>
  <c r="B85" i="1"/>
  <c r="A216" i="1"/>
  <c r="B215" i="1"/>
  <c r="A126" i="1"/>
  <c r="B125" i="1"/>
  <c r="A41" i="3"/>
  <c r="F26" i="3"/>
  <c r="B26" i="3"/>
  <c r="A35" i="3"/>
  <c r="F20" i="3"/>
  <c r="B20" i="3"/>
  <c r="A43" i="3"/>
  <c r="F28" i="3"/>
  <c r="B28" i="3"/>
  <c r="A191" i="1"/>
  <c r="B190" i="1"/>
  <c r="A186" i="1"/>
  <c r="B185" i="1"/>
  <c r="A221" i="1"/>
  <c r="B220" i="1"/>
  <c r="A44" i="3"/>
  <c r="F29" i="3"/>
  <c r="B29" i="3"/>
  <c r="A31" i="1"/>
  <c r="B30" i="1"/>
  <c r="A141" i="1"/>
  <c r="B140" i="1"/>
  <c r="A166" i="1"/>
  <c r="B165" i="1"/>
  <c r="A201" i="1"/>
  <c r="B200" i="1"/>
  <c r="A37" i="3"/>
  <c r="F22" i="3"/>
  <c r="B22" i="3"/>
  <c r="A38" i="3"/>
  <c r="F23" i="3"/>
  <c r="B23" i="3"/>
  <c r="A46" i="3"/>
  <c r="F31" i="3"/>
  <c r="B31" i="3"/>
  <c r="A151" i="1"/>
  <c r="B150" i="1"/>
  <c r="A26" i="1"/>
  <c r="B25" i="1"/>
  <c r="A16" i="1"/>
  <c r="B15" i="1"/>
  <c r="A196" i="1"/>
  <c r="B195" i="1"/>
  <c r="A146" i="1"/>
  <c r="B145" i="1"/>
  <c r="A21" i="1"/>
  <c r="B20" i="1"/>
  <c r="A46" i="1"/>
  <c r="B45" i="1"/>
  <c r="A101" i="1"/>
  <c r="B100" i="1"/>
  <c r="A41" i="1"/>
  <c r="B40" i="1"/>
  <c r="A136" i="1"/>
  <c r="B135" i="1"/>
  <c r="A116" i="1"/>
  <c r="B115" i="1"/>
  <c r="A6" i="1"/>
  <c r="B5" i="1"/>
  <c r="A96" i="1"/>
  <c r="B95" i="1"/>
  <c r="A161" i="1"/>
  <c r="B160" i="1"/>
  <c r="A45" i="3"/>
  <c r="F30" i="3"/>
  <c r="B30" i="3"/>
  <c r="A36" i="3"/>
  <c r="F21" i="3"/>
  <c r="B21" i="3"/>
  <c r="A81" i="1"/>
  <c r="B80" i="1"/>
  <c r="A176" i="1"/>
  <c r="B175" i="1"/>
  <c r="A39" i="3"/>
  <c r="F24" i="3"/>
  <c r="B24" i="3"/>
  <c r="A47" i="3"/>
  <c r="F32" i="3"/>
  <c r="B32" i="3"/>
  <c r="A40" i="3"/>
  <c r="F25" i="3"/>
  <c r="B25" i="3"/>
  <c r="A48" i="3"/>
  <c r="F33" i="3"/>
  <c r="B33" i="3"/>
  <c r="A111" i="1"/>
  <c r="B110" i="1"/>
  <c r="A181" i="1"/>
  <c r="B180" i="1"/>
  <c r="A51" i="1"/>
  <c r="B50" i="1"/>
  <c r="A76" i="1"/>
  <c r="B75" i="1"/>
  <c r="A106" i="1"/>
  <c r="B105" i="1"/>
  <c r="A56" i="1"/>
  <c r="B55" i="1"/>
  <c r="A121" i="1"/>
  <c r="B120" i="1"/>
  <c r="A171" i="1"/>
  <c r="B170" i="1"/>
  <c r="A36" i="1"/>
  <c r="B35" i="1"/>
  <c r="A91" i="1"/>
  <c r="B90" i="1"/>
  <c r="A211" i="1"/>
  <c r="B210" i="1"/>
  <c r="A152" i="1" l="1"/>
  <c r="B151" i="1"/>
  <c r="F48" i="3"/>
  <c r="B48" i="3"/>
  <c r="F36" i="3"/>
  <c r="B36" i="3"/>
  <c r="F37" i="3"/>
  <c r="B37" i="3"/>
  <c r="A32" i="1"/>
  <c r="B31" i="1"/>
  <c r="A87" i="1"/>
  <c r="B86" i="1"/>
  <c r="A227" i="1"/>
  <c r="B226" i="1"/>
  <c r="A12" i="1"/>
  <c r="B11" i="1"/>
  <c r="A42" i="1"/>
  <c r="B41" i="1"/>
  <c r="A147" i="1"/>
  <c r="B146" i="1"/>
  <c r="A187" i="1"/>
  <c r="B186" i="1"/>
  <c r="A7" i="1"/>
  <c r="B6" i="1"/>
  <c r="A102" i="1"/>
  <c r="B101" i="1"/>
  <c r="A197" i="1"/>
  <c r="B196" i="1"/>
  <c r="A192" i="1"/>
  <c r="B191" i="1"/>
  <c r="A172" i="1"/>
  <c r="B171" i="1"/>
  <c r="A97" i="1"/>
  <c r="B96" i="1"/>
  <c r="A122" i="1"/>
  <c r="B121" i="1"/>
  <c r="F39" i="3"/>
  <c r="B39" i="3"/>
  <c r="A202" i="1"/>
  <c r="B201" i="1"/>
  <c r="F41" i="3"/>
  <c r="B41" i="3"/>
  <c r="A182" i="1"/>
  <c r="B181" i="1"/>
  <c r="F45" i="3"/>
  <c r="B45" i="3"/>
  <c r="A47" i="1"/>
  <c r="B46" i="1"/>
  <c r="F44" i="3"/>
  <c r="B44" i="3"/>
  <c r="F42" i="3"/>
  <c r="B42" i="3"/>
  <c r="A77" i="1"/>
  <c r="B76" i="1"/>
  <c r="A167" i="1"/>
  <c r="B166" i="1"/>
  <c r="F43" i="3"/>
  <c r="B43" i="3"/>
  <c r="A127" i="1"/>
  <c r="B126" i="1"/>
  <c r="A132" i="1"/>
  <c r="B131" i="1"/>
  <c r="A62" i="1"/>
  <c r="B61" i="1"/>
  <c r="F35" i="3"/>
  <c r="B35" i="3"/>
  <c r="A52" i="1"/>
  <c r="B51" i="1"/>
  <c r="F46" i="3"/>
  <c r="B46" i="3"/>
  <c r="A207" i="1"/>
  <c r="B206" i="1"/>
  <c r="A57" i="1"/>
  <c r="B56" i="1"/>
  <c r="F40" i="3"/>
  <c r="B40" i="3"/>
  <c r="A117" i="1"/>
  <c r="B116" i="1"/>
  <c r="A37" i="1"/>
  <c r="B36" i="1"/>
  <c r="A107" i="1"/>
  <c r="B106" i="1"/>
  <c r="A112" i="1"/>
  <c r="B111" i="1"/>
  <c r="A82" i="1"/>
  <c r="B81" i="1"/>
  <c r="A162" i="1"/>
  <c r="B161" i="1"/>
  <c r="A137" i="1"/>
  <c r="B136" i="1"/>
  <c r="A22" i="1"/>
  <c r="B21" i="1"/>
  <c r="A27" i="1"/>
  <c r="B26" i="1"/>
  <c r="F38" i="3"/>
  <c r="B38" i="3"/>
  <c r="A222" i="1"/>
  <c r="B221" i="1"/>
  <c r="A212" i="1"/>
  <c r="B211" i="1"/>
  <c r="A157" i="1"/>
  <c r="B156" i="1"/>
  <c r="A92" i="1"/>
  <c r="B91" i="1"/>
  <c r="A177" i="1"/>
  <c r="B176" i="1"/>
  <c r="A17" i="1"/>
  <c r="B16" i="1"/>
  <c r="F47" i="3"/>
  <c r="B47" i="3"/>
  <c r="A142" i="1"/>
  <c r="B141" i="1"/>
  <c r="A217" i="1"/>
  <c r="B216" i="1"/>
  <c r="A67" i="1"/>
  <c r="B66" i="1"/>
  <c r="A72" i="1"/>
  <c r="B71" i="1"/>
  <c r="F34" i="3"/>
  <c r="B34" i="3"/>
  <c r="A143" i="1" l="1"/>
  <c r="B143" i="1" s="1"/>
  <c r="B142" i="1"/>
  <c r="A93" i="1"/>
  <c r="B93" i="1" s="1"/>
  <c r="B92" i="1"/>
  <c r="A163" i="1"/>
  <c r="B163" i="1" s="1"/>
  <c r="B162" i="1"/>
  <c r="A38" i="1"/>
  <c r="B38" i="1" s="1"/>
  <c r="B37" i="1"/>
  <c r="A208" i="1"/>
  <c r="B208" i="1" s="1"/>
  <c r="B207" i="1"/>
  <c r="A63" i="1"/>
  <c r="B63" i="1" s="1"/>
  <c r="B62" i="1"/>
  <c r="A168" i="1"/>
  <c r="B168" i="1" s="1"/>
  <c r="B167" i="1"/>
  <c r="A48" i="1"/>
  <c r="B48" i="1" s="1"/>
  <c r="B47" i="1"/>
  <c r="A203" i="1"/>
  <c r="B203" i="1" s="1"/>
  <c r="B202" i="1"/>
  <c r="A173" i="1"/>
  <c r="B173" i="1" s="1"/>
  <c r="B172" i="1"/>
  <c r="A8" i="1"/>
  <c r="B8" i="1" s="1"/>
  <c r="B7" i="1"/>
  <c r="A13" i="1"/>
  <c r="B13" i="1" s="1"/>
  <c r="B12" i="1"/>
  <c r="A158" i="1"/>
  <c r="B158" i="1" s="1"/>
  <c r="B157" i="1"/>
  <c r="A28" i="1"/>
  <c r="B28" i="1" s="1"/>
  <c r="B27" i="1"/>
  <c r="A83" i="1"/>
  <c r="B83" i="1" s="1"/>
  <c r="B82" i="1"/>
  <c r="A118" i="1"/>
  <c r="B118" i="1" s="1"/>
  <c r="B117" i="1"/>
  <c r="A133" i="1"/>
  <c r="B133" i="1" s="1"/>
  <c r="B132" i="1"/>
  <c r="A78" i="1"/>
  <c r="B78" i="1" s="1"/>
  <c r="B77" i="1"/>
  <c r="A193" i="1"/>
  <c r="B193" i="1" s="1"/>
  <c r="B192" i="1"/>
  <c r="A188" i="1"/>
  <c r="B188" i="1" s="1"/>
  <c r="B187" i="1"/>
  <c r="A228" i="1"/>
  <c r="B228" i="1" s="1"/>
  <c r="B227" i="1"/>
  <c r="A68" i="1"/>
  <c r="B68" i="1" s="1"/>
  <c r="B67" i="1"/>
  <c r="A18" i="1"/>
  <c r="B18" i="1" s="1"/>
  <c r="B17" i="1"/>
  <c r="A213" i="1"/>
  <c r="B213" i="1" s="1"/>
  <c r="B212" i="1"/>
  <c r="A23" i="1"/>
  <c r="B23" i="1" s="1"/>
  <c r="B22" i="1"/>
  <c r="A113" i="1"/>
  <c r="B113" i="1" s="1"/>
  <c r="B112" i="1"/>
  <c r="A53" i="1"/>
  <c r="B53" i="1" s="1"/>
  <c r="B52" i="1"/>
  <c r="A128" i="1"/>
  <c r="B128" i="1" s="1"/>
  <c r="B127" i="1"/>
  <c r="A183" i="1"/>
  <c r="B183" i="1" s="1"/>
  <c r="B182" i="1"/>
  <c r="A123" i="1"/>
  <c r="B123" i="1" s="1"/>
  <c r="B122" i="1"/>
  <c r="A198" i="1"/>
  <c r="B198" i="1" s="1"/>
  <c r="B197" i="1"/>
  <c r="A148" i="1"/>
  <c r="B148" i="1" s="1"/>
  <c r="B147" i="1"/>
  <c r="A88" i="1"/>
  <c r="B88" i="1" s="1"/>
  <c r="B87" i="1"/>
  <c r="A73" i="1"/>
  <c r="B73" i="1" s="1"/>
  <c r="B72" i="1"/>
  <c r="A218" i="1"/>
  <c r="B218" i="1" s="1"/>
  <c r="B217" i="1"/>
  <c r="A178" i="1"/>
  <c r="B178" i="1" s="1"/>
  <c r="B177" i="1"/>
  <c r="A223" i="1"/>
  <c r="B223" i="1" s="1"/>
  <c r="B222" i="1"/>
  <c r="A138" i="1"/>
  <c r="B138" i="1" s="1"/>
  <c r="B137" i="1"/>
  <c r="A108" i="1"/>
  <c r="B108" i="1" s="1"/>
  <c r="B107" i="1"/>
  <c r="A58" i="1"/>
  <c r="B58" i="1" s="1"/>
  <c r="B57" i="1"/>
  <c r="A98" i="1"/>
  <c r="B98" i="1" s="1"/>
  <c r="B97" i="1"/>
  <c r="A103" i="1"/>
  <c r="B103" i="1" s="1"/>
  <c r="B102" i="1"/>
  <c r="A43" i="1"/>
  <c r="B43" i="1" s="1"/>
  <c r="B42" i="1"/>
  <c r="A33" i="1"/>
  <c r="B33" i="1" s="1"/>
  <c r="B32" i="1"/>
  <c r="A153" i="1"/>
  <c r="B153" i="1" s="1"/>
  <c r="B152" i="1"/>
</calcChain>
</file>

<file path=xl/comments1.xml><?xml version="1.0" encoding="utf-8"?>
<comments xmlns="http://schemas.openxmlformats.org/spreadsheetml/2006/main">
  <authors>
    <author>오은석</author>
  </authors>
  <commentList>
    <comment ref="N3" authorId="0" shapeId="0">
      <text>
        <r>
          <rPr>
            <sz val="11"/>
            <color theme="1"/>
            <rFont val="맑은 고딕"/>
            <family val="2"/>
            <scheme val="minor"/>
          </rPr>
          <t>Dot
Hot
Rot
Stun
Knockback
Status
Provoke
Invincible
Shield
Effect
EffectResist
BuffResist
DebuffResist
ChangeSkill
Freeze
Groggy
Active</t>
        </r>
      </text>
    </comment>
  </commentList>
</comments>
</file>

<file path=xl/sharedStrings.xml><?xml version="1.0" encoding="utf-8"?>
<sst xmlns="http://schemas.openxmlformats.org/spreadsheetml/2006/main" count="6182" uniqueCount="2045">
  <si>
    <t>Image</t>
    <phoneticPr fontId="2" type="noConversion"/>
  </si>
  <si>
    <t>int</t>
    <phoneticPr fontId="2" type="noConversion"/>
  </si>
  <si>
    <t>string</t>
    <phoneticPr fontId="2" type="noConversion"/>
  </si>
  <si>
    <t>$Reward</t>
    <phoneticPr fontId="2" type="noConversion"/>
  </si>
  <si>
    <t>common</t>
  </si>
  <si>
    <t>common</t>
    <phoneticPr fontId="2" type="noConversion"/>
  </si>
  <si>
    <t>BattleTime</t>
    <phoneticPr fontId="2" type="noConversion"/>
  </si>
  <si>
    <t>SS</t>
    <phoneticPr fontId="2" type="noConversion"/>
  </si>
  <si>
    <t>dominion_rank_ss</t>
  </si>
  <si>
    <t>S</t>
    <phoneticPr fontId="2" type="noConversion"/>
  </si>
  <si>
    <t>dominion_rank_s</t>
    <phoneticPr fontId="2" type="noConversion"/>
  </si>
  <si>
    <t>A</t>
    <phoneticPr fontId="2" type="noConversion"/>
  </si>
  <si>
    <t>dominion_rank_a</t>
    <phoneticPr fontId="2" type="noConversion"/>
  </si>
  <si>
    <t>B</t>
    <phoneticPr fontId="2" type="noConversion"/>
  </si>
  <si>
    <t>dominion_rank_b</t>
    <phoneticPr fontId="2" type="noConversion"/>
  </si>
  <si>
    <t>C</t>
    <phoneticPr fontId="2" type="noConversion"/>
  </si>
  <si>
    <t>dominion_rank_c</t>
    <phoneticPr fontId="2" type="noConversion"/>
  </si>
  <si>
    <t>Rank</t>
    <phoneticPr fontId="2" type="noConversion"/>
  </si>
  <si>
    <t>SSReward</t>
    <phoneticPr fontId="5" type="noConversion"/>
  </si>
  <si>
    <t>SReward</t>
    <phoneticPr fontId="5" type="noConversion"/>
  </si>
  <si>
    <t>AReward</t>
    <phoneticPr fontId="5" type="noConversion"/>
  </si>
  <si>
    <t>BReward</t>
    <phoneticPr fontId="5" type="noConversion"/>
  </si>
  <si>
    <t>CReward</t>
    <phoneticPr fontId="5" type="noConversion"/>
  </si>
  <si>
    <t>FirstClearReward</t>
    <phoneticPr fontId="2" type="noConversion"/>
  </si>
  <si>
    <t>Reward</t>
    <phoneticPr fontId="5" type="noConversion"/>
  </si>
  <si>
    <t>$Reward</t>
  </si>
  <si>
    <t>RankItem</t>
    <phoneticPr fontId="2" type="noConversion"/>
  </si>
  <si>
    <t>$ItemCase</t>
    <phoneticPr fontId="2" type="noConversion"/>
  </si>
  <si>
    <t>AttributeId</t>
    <phoneticPr fontId="2" type="noConversion"/>
  </si>
  <si>
    <t>*int</t>
    <phoneticPr fontId="2" type="noConversion"/>
  </si>
  <si>
    <t>AllSSRankReward</t>
    <phoneticPr fontId="2" type="noConversion"/>
  </si>
  <si>
    <t>MonsterSetting</t>
    <phoneticPr fontId="5" type="noConversion"/>
  </si>
  <si>
    <t>SectionId</t>
    <phoneticPr fontId="2" type="noConversion"/>
  </si>
  <si>
    <t>StageId</t>
    <phoneticPr fontId="2" type="noConversion"/>
  </si>
  <si>
    <t>*AttributeStageRankType</t>
    <phoneticPr fontId="2" type="noConversion"/>
  </si>
  <si>
    <t>AttributeBattle01</t>
  </si>
  <si>
    <t>AttributeBattle02</t>
  </si>
  <si>
    <t>AttributeBattle03</t>
  </si>
  <si>
    <t>string</t>
  </si>
  <si>
    <t>$Stage</t>
    <phoneticPr fontId="2" type="noConversion"/>
  </si>
  <si>
    <t>StageScene</t>
  </si>
  <si>
    <t>bg_eventstory_id_1</t>
  </si>
  <si>
    <t>SectionId</t>
    <phoneticPr fontId="2" type="noConversion"/>
  </si>
  <si>
    <t>client</t>
    <phoneticPr fontId="2" type="noConversion"/>
  </si>
  <si>
    <t>[dsl]</t>
  </si>
  <si>
    <t>$AttributeBattleSection</t>
    <phoneticPr fontId="2" type="noConversion"/>
  </si>
  <si>
    <t>Condition</t>
  </si>
  <si>
    <t>Number</t>
    <phoneticPr fontId="2" type="noConversion"/>
  </si>
  <si>
    <t>AttributeType</t>
  </si>
  <si>
    <t>AttributeType</t>
    <phoneticPr fontId="2" type="noConversion"/>
  </si>
  <si>
    <t>client</t>
  </si>
  <si>
    <t>int</t>
    <phoneticPr fontId="2" type="noConversion"/>
  </si>
  <si>
    <t>AttributeRed</t>
  </si>
  <si>
    <t>AttributeGreen</t>
  </si>
  <si>
    <t>AttributeBlue</t>
  </si>
  <si>
    <t>StageNumber</t>
    <phoneticPr fontId="2" type="noConversion"/>
  </si>
  <si>
    <t>int</t>
    <phoneticPr fontId="2" type="noConversion"/>
  </si>
  <si>
    <t>red.1.1</t>
  </si>
  <si>
    <t>red.1.2</t>
  </si>
  <si>
    <t>red.1.3</t>
  </si>
  <si>
    <t>red.1.4</t>
  </si>
  <si>
    <t>red.1.5</t>
  </si>
  <si>
    <t>red.2.1</t>
    <phoneticPr fontId="5" type="noConversion"/>
  </si>
  <si>
    <t>red.2.2</t>
  </si>
  <si>
    <t>red.2.3</t>
  </si>
  <si>
    <t>red.2.4</t>
  </si>
  <si>
    <t>red.2.5</t>
  </si>
  <si>
    <t>red.3.1</t>
    <phoneticPr fontId="5" type="noConversion"/>
  </si>
  <si>
    <t>red.3.2</t>
  </si>
  <si>
    <t>red.3.3</t>
  </si>
  <si>
    <t>red.3.4</t>
  </si>
  <si>
    <t>red.3.5</t>
  </si>
  <si>
    <t>red.4.1</t>
    <phoneticPr fontId="5" type="noConversion"/>
  </si>
  <si>
    <t>red.4.2</t>
  </si>
  <si>
    <t>red.4.3</t>
  </si>
  <si>
    <t>red.4.4</t>
  </si>
  <si>
    <t>red.4.5</t>
  </si>
  <si>
    <t>red.5.1</t>
    <phoneticPr fontId="5" type="noConversion"/>
  </si>
  <si>
    <t>red.5.2</t>
  </si>
  <si>
    <t>red.5.3</t>
  </si>
  <si>
    <t>red.5.4</t>
  </si>
  <si>
    <t>red.5.5</t>
  </si>
  <si>
    <t>red.6.1</t>
    <phoneticPr fontId="5" type="noConversion"/>
  </si>
  <si>
    <t>red.6.2</t>
  </si>
  <si>
    <t>red.6.3</t>
  </si>
  <si>
    <t>red.6.4</t>
  </si>
  <si>
    <t>red.6.5</t>
  </si>
  <si>
    <t>red.7.1</t>
    <phoneticPr fontId="5" type="noConversion"/>
  </si>
  <si>
    <t>red.7.2</t>
  </si>
  <si>
    <t>red.7.3</t>
  </si>
  <si>
    <t>red.7.4</t>
  </si>
  <si>
    <t>red.7.5</t>
  </si>
  <si>
    <t>red.8.1</t>
    <phoneticPr fontId="5" type="noConversion"/>
  </si>
  <si>
    <t>red.8.2</t>
  </si>
  <si>
    <t>red.8.3</t>
  </si>
  <si>
    <t>red.8.4</t>
  </si>
  <si>
    <t>red.8.5</t>
  </si>
  <si>
    <t>red.9.1</t>
    <phoneticPr fontId="5" type="noConversion"/>
  </si>
  <si>
    <t>red.9.2</t>
  </si>
  <si>
    <t>red.9.3</t>
  </si>
  <si>
    <t>red.9.4</t>
  </si>
  <si>
    <t>red.9.5</t>
  </si>
  <si>
    <t>red.10.1</t>
    <phoneticPr fontId="5" type="noConversion"/>
  </si>
  <si>
    <t>red.10.2</t>
  </si>
  <si>
    <t>red.10.3</t>
  </si>
  <si>
    <t>red.10.4</t>
  </si>
  <si>
    <t>red.10.5</t>
  </si>
  <si>
    <t>red.11.1</t>
    <phoneticPr fontId="5" type="noConversion"/>
  </si>
  <si>
    <t>red.11.2</t>
  </si>
  <si>
    <t>red.11.3</t>
  </si>
  <si>
    <t>red.11.4</t>
  </si>
  <si>
    <t>red.11.5</t>
  </si>
  <si>
    <t>red.12.1</t>
    <phoneticPr fontId="5" type="noConversion"/>
  </si>
  <si>
    <t>red.12.2</t>
  </si>
  <si>
    <t>red.12.3</t>
  </si>
  <si>
    <t>red.12.4</t>
  </si>
  <si>
    <t>red.12.5</t>
  </si>
  <si>
    <t>red.13.1</t>
    <phoneticPr fontId="5" type="noConversion"/>
  </si>
  <si>
    <t>red.13.2</t>
  </si>
  <si>
    <t>red.13.3</t>
  </si>
  <si>
    <t>red.13.4</t>
  </si>
  <si>
    <t>red.13.5</t>
  </si>
  <si>
    <t>red.14.1</t>
    <phoneticPr fontId="5" type="noConversion"/>
  </si>
  <si>
    <t>red.14.2</t>
  </si>
  <si>
    <t>red.14.3</t>
  </si>
  <si>
    <t>red.14.4</t>
  </si>
  <si>
    <t>red.14.5</t>
  </si>
  <si>
    <t>red.15.1</t>
    <phoneticPr fontId="5" type="noConversion"/>
  </si>
  <si>
    <t>red.15.2</t>
  </si>
  <si>
    <t>red.15.3</t>
  </si>
  <si>
    <t>red.15.4</t>
  </si>
  <si>
    <t>red.15.5</t>
  </si>
  <si>
    <t>green.1.1</t>
  </si>
  <si>
    <t>green.1.2</t>
  </si>
  <si>
    <t>green.1.3</t>
  </si>
  <si>
    <t>green.1.4</t>
  </si>
  <si>
    <t>green.1.5</t>
  </si>
  <si>
    <t>green.2.1</t>
  </si>
  <si>
    <t>green.2.2</t>
  </si>
  <si>
    <t>green.2.3</t>
  </si>
  <si>
    <t>green.2.4</t>
  </si>
  <si>
    <t>green.2.5</t>
  </si>
  <si>
    <t>green.3.1</t>
  </si>
  <si>
    <t>green.3.2</t>
  </si>
  <si>
    <t>green.3.3</t>
  </si>
  <si>
    <t>green.3.4</t>
  </si>
  <si>
    <t>green.3.5</t>
  </si>
  <si>
    <t>green.4.1</t>
  </si>
  <si>
    <t>green.4.2</t>
  </si>
  <si>
    <t>green.4.3</t>
  </si>
  <si>
    <t>green.4.4</t>
  </si>
  <si>
    <t>green.4.5</t>
  </si>
  <si>
    <t>green.5.1</t>
  </si>
  <si>
    <t>green.5.2</t>
  </si>
  <si>
    <t>green.5.3</t>
  </si>
  <si>
    <t>green.5.4</t>
  </si>
  <si>
    <t>green.5.5</t>
  </si>
  <si>
    <t>green.6.1</t>
  </si>
  <si>
    <t>green.6.2</t>
  </si>
  <si>
    <t>green.6.3</t>
  </si>
  <si>
    <t>green.6.4</t>
  </si>
  <si>
    <t>green.6.5</t>
  </si>
  <si>
    <t>green.7.1</t>
  </si>
  <si>
    <t>green.7.2</t>
  </si>
  <si>
    <t>green.7.3</t>
  </si>
  <si>
    <t>green.7.4</t>
  </si>
  <si>
    <t>green.7.5</t>
  </si>
  <si>
    <t>green.8.1</t>
  </si>
  <si>
    <t>green.8.2</t>
  </si>
  <si>
    <t>green.8.3</t>
  </si>
  <si>
    <t>green.8.4</t>
  </si>
  <si>
    <t>green.8.5</t>
  </si>
  <si>
    <t>green.9.1</t>
  </si>
  <si>
    <t>green.9.2</t>
  </si>
  <si>
    <t>green.9.3</t>
  </si>
  <si>
    <t>green.9.4</t>
  </si>
  <si>
    <t>green.9.5</t>
  </si>
  <si>
    <t>green.10.1</t>
  </si>
  <si>
    <t>green.10.2</t>
  </si>
  <si>
    <t>green.10.3</t>
  </si>
  <si>
    <t>green.10.4</t>
  </si>
  <si>
    <t>green.10.5</t>
  </si>
  <si>
    <t>green.11.1</t>
  </si>
  <si>
    <t>green.11.2</t>
  </si>
  <si>
    <t>green.11.3</t>
  </si>
  <si>
    <t>green.11.4</t>
  </si>
  <si>
    <t>green.11.5</t>
  </si>
  <si>
    <t>green.12.1</t>
  </si>
  <si>
    <t>green.12.2</t>
  </si>
  <si>
    <t>green.12.3</t>
  </si>
  <si>
    <t>green.12.4</t>
  </si>
  <si>
    <t>green.12.5</t>
  </si>
  <si>
    <t>green.13.1</t>
  </si>
  <si>
    <t>green.13.2</t>
  </si>
  <si>
    <t>green.13.3</t>
  </si>
  <si>
    <t>green.13.4</t>
  </si>
  <si>
    <t>green.13.5</t>
  </si>
  <si>
    <t>green.14.1</t>
  </si>
  <si>
    <t>green.14.2</t>
  </si>
  <si>
    <t>green.14.3</t>
  </si>
  <si>
    <t>green.14.4</t>
  </si>
  <si>
    <t>green.14.5</t>
  </si>
  <si>
    <t>green.15.1</t>
  </si>
  <si>
    <t>green.15.2</t>
  </si>
  <si>
    <t>green.15.3</t>
  </si>
  <si>
    <t>green.15.4</t>
  </si>
  <si>
    <t>green.15.5</t>
  </si>
  <si>
    <t>blue.1.1</t>
  </si>
  <si>
    <t>blue.1.2</t>
  </si>
  <si>
    <t>blue.1.3</t>
  </si>
  <si>
    <t>blue.1.4</t>
  </si>
  <si>
    <t>blue.1.5</t>
  </si>
  <si>
    <t>blue.2.1</t>
  </si>
  <si>
    <t>blue.2.2</t>
  </si>
  <si>
    <t>blue.2.3</t>
  </si>
  <si>
    <t>blue.2.4</t>
  </si>
  <si>
    <t>blue.2.5</t>
  </si>
  <si>
    <t>blue.3.1</t>
  </si>
  <si>
    <t>blue.3.2</t>
  </si>
  <si>
    <t>blue.3.3</t>
  </si>
  <si>
    <t>blue.3.4</t>
  </si>
  <si>
    <t>blue.3.5</t>
  </si>
  <si>
    <t>blue.4.1</t>
  </si>
  <si>
    <t>blue.4.2</t>
  </si>
  <si>
    <t>blue.4.3</t>
  </si>
  <si>
    <t>blue.4.4</t>
  </si>
  <si>
    <t>blue.4.5</t>
  </si>
  <si>
    <t>blue.5.1</t>
  </si>
  <si>
    <t>blue.5.2</t>
  </si>
  <si>
    <t>blue.5.3</t>
  </si>
  <si>
    <t>blue.5.4</t>
  </si>
  <si>
    <t>blue.5.5</t>
  </si>
  <si>
    <t>blue.6.1</t>
  </si>
  <si>
    <t>blue.6.2</t>
  </si>
  <si>
    <t>blue.6.3</t>
  </si>
  <si>
    <t>blue.6.4</t>
  </si>
  <si>
    <t>blue.6.5</t>
  </si>
  <si>
    <t>blue.7.1</t>
  </si>
  <si>
    <t>blue.7.2</t>
  </si>
  <si>
    <t>blue.7.3</t>
  </si>
  <si>
    <t>blue.7.4</t>
  </si>
  <si>
    <t>blue.7.5</t>
  </si>
  <si>
    <t>blue.8.1</t>
  </si>
  <si>
    <t>blue.8.2</t>
  </si>
  <si>
    <t>blue.8.3</t>
  </si>
  <si>
    <t>blue.8.4</t>
  </si>
  <si>
    <t>blue.8.5</t>
  </si>
  <si>
    <t>blue.9.1</t>
  </si>
  <si>
    <t>blue.9.2</t>
  </si>
  <si>
    <t>blue.9.3</t>
  </si>
  <si>
    <t>blue.9.4</t>
  </si>
  <si>
    <t>blue.9.5</t>
  </si>
  <si>
    <t>blue.10.1</t>
  </si>
  <si>
    <t>blue.10.2</t>
  </si>
  <si>
    <t>blue.10.3</t>
  </si>
  <si>
    <t>blue.10.4</t>
  </si>
  <si>
    <t>blue.10.5</t>
  </si>
  <si>
    <t>blue.11.1</t>
  </si>
  <si>
    <t>blue.11.2</t>
  </si>
  <si>
    <t>blue.11.3</t>
  </si>
  <si>
    <t>blue.11.4</t>
  </si>
  <si>
    <t>blue.11.5</t>
  </si>
  <si>
    <t>blue.12.1</t>
  </si>
  <si>
    <t>blue.12.2</t>
  </si>
  <si>
    <t>blue.12.3</t>
  </si>
  <si>
    <t>blue.12.4</t>
  </si>
  <si>
    <t>blue.12.5</t>
  </si>
  <si>
    <t>blue.13.1</t>
  </si>
  <si>
    <t>blue.13.2</t>
  </si>
  <si>
    <t>blue.13.3</t>
  </si>
  <si>
    <t>blue.13.4</t>
  </si>
  <si>
    <t>blue.13.5</t>
  </si>
  <si>
    <t>blue.14.1</t>
  </si>
  <si>
    <t>blue.14.2</t>
  </si>
  <si>
    <t>blue.14.3</t>
  </si>
  <si>
    <t>blue.14.4</t>
  </si>
  <si>
    <t>blue.14.5</t>
  </si>
  <si>
    <t>blue.15.1</t>
  </si>
  <si>
    <t>blue.15.2</t>
  </si>
  <si>
    <t>blue.15.3</t>
  </si>
  <si>
    <t>blue.15.4</t>
  </si>
  <si>
    <t>blue.15.5</t>
  </si>
  <si>
    <t>MercenaryLevelLimit</t>
  </si>
  <si>
    <t>int?</t>
    <phoneticPr fontId="2" type="noConversion"/>
  </si>
  <si>
    <t>[$MonsterSetting]</t>
    <phoneticPr fontId="2" type="noConversion"/>
  </si>
  <si>
    <t>common</t>
    <phoneticPr fontId="2" type="noConversion"/>
  </si>
  <si>
    <t>Condition</t>
    <phoneticPr fontId="2" type="noConversion"/>
  </si>
  <si>
    <t>[dsl]</t>
    <phoneticPr fontId="2" type="noConversion"/>
  </si>
  <si>
    <t>Buff</t>
    <phoneticPr fontId="2" type="noConversion"/>
  </si>
  <si>
    <t>[$Buff]</t>
  </si>
  <si>
    <t>[$Buff]</t>
    <phoneticPr fontId="2" type="noConversion"/>
  </si>
  <si>
    <t>Id</t>
  </si>
  <si>
    <t>Id</t>
    <phoneticPr fontId="2" type="noConversion"/>
  </si>
  <si>
    <t>*string</t>
  </si>
  <si>
    <t>AttributeBattle01_2</t>
  </si>
  <si>
    <t>AttributeBattle01_3</t>
  </si>
  <si>
    <t>AttributeBattle01_4</t>
  </si>
  <si>
    <t>AttributeBattle01_1</t>
  </si>
  <si>
    <t>Level</t>
    <phoneticPr fontId="2" type="noConversion"/>
  </si>
  <si>
    <t>int</t>
  </si>
  <si>
    <t>GetAnalysisPts</t>
    <phoneticPr fontId="2" type="noConversion"/>
  </si>
  <si>
    <t>RandomReward</t>
    <phoneticPr fontId="2" type="noConversion"/>
  </si>
  <si>
    <t>$Reward?</t>
    <phoneticPr fontId="2" type="noConversion"/>
  </si>
  <si>
    <t>MonsterSetting</t>
    <phoneticPr fontId="2" type="noConversion"/>
  </si>
  <si>
    <t>Attribute</t>
  </si>
  <si>
    <t>AnalysisPtr</t>
  </si>
  <si>
    <t>Buffs</t>
  </si>
  <si>
    <t>Desc</t>
  </si>
  <si>
    <t>A속성버프Lv.1</t>
  </si>
  <si>
    <t>A속성버프Lv.2</t>
  </si>
  <si>
    <t>A속성버프Lv.3</t>
  </si>
  <si>
    <t>A속성버프Lv.4</t>
  </si>
  <si>
    <t>A속성버프Lv.5</t>
  </si>
  <si>
    <t>A속성버프Lv.6</t>
  </si>
  <si>
    <t>A속성버프Lv.7</t>
  </si>
  <si>
    <t>A속성버프Lv.8</t>
  </si>
  <si>
    <t>A속성버프Lv.9</t>
  </si>
  <si>
    <t>A속성버프Lv.10</t>
  </si>
  <si>
    <t>A속성버프Lv.11</t>
  </si>
  <si>
    <t>A속성버프Lv.12</t>
  </si>
  <si>
    <t>A속성버프Lv.13</t>
  </si>
  <si>
    <t>A속성버프Lv.14</t>
  </si>
  <si>
    <t>A속성버프Lv.15</t>
  </si>
  <si>
    <t>A속성버프Lv.16</t>
  </si>
  <si>
    <t>A속성버프Lv.17</t>
  </si>
  <si>
    <t>A속성버프Lv.18</t>
  </si>
  <si>
    <t>A속성버프Lv.19</t>
  </si>
  <si>
    <t>A속성버프Lv.20</t>
  </si>
  <si>
    <t>A속성버프Lv.21</t>
  </si>
  <si>
    <t>A속성버프Lv.22</t>
  </si>
  <si>
    <t>A속성버프Lv.23</t>
  </si>
  <si>
    <t>A속성버프Lv.24</t>
  </si>
  <si>
    <t>A속성버프Lv.25</t>
  </si>
  <si>
    <t>A속성버프Lv.26</t>
  </si>
  <si>
    <t>A속성버프Lv.27</t>
  </si>
  <si>
    <t>A속성버프Lv.28</t>
  </si>
  <si>
    <t>A속성버프Lv.29</t>
  </si>
  <si>
    <t>B속성버프Lv.1</t>
  </si>
  <si>
    <t>B속성버프Lv.2</t>
  </si>
  <si>
    <t>B속성버프Lv.3</t>
  </si>
  <si>
    <t>B속성버프Lv.4</t>
  </si>
  <si>
    <t>B속성버프Lv.5</t>
  </si>
  <si>
    <t>B속성버프Lv.6</t>
  </si>
  <si>
    <t>B속성버프Lv.7</t>
  </si>
  <si>
    <t>B속성버프Lv.8</t>
  </si>
  <si>
    <t>B속성버프Lv.9</t>
  </si>
  <si>
    <t>B속성버프Lv.10</t>
  </si>
  <si>
    <t>B속성버프Lv.11</t>
  </si>
  <si>
    <t>B속성버프Lv.12</t>
  </si>
  <si>
    <t>B속성버프Lv.13</t>
  </si>
  <si>
    <t>B속성버프Lv.14</t>
  </si>
  <si>
    <t>B속성버프Lv.15</t>
  </si>
  <si>
    <t>B속성버프Lv.16</t>
  </si>
  <si>
    <t>B속성버프Lv.17</t>
  </si>
  <si>
    <t>B속성버프Lv.18</t>
  </si>
  <si>
    <t>B속성버프Lv.19</t>
  </si>
  <si>
    <t>B속성버프Lv.20</t>
  </si>
  <si>
    <t>B속성버프Lv.21</t>
  </si>
  <si>
    <t>B속성버프Lv.22</t>
  </si>
  <si>
    <t>B속성버프Lv.23</t>
  </si>
  <si>
    <t>B속성버프Lv.24</t>
  </si>
  <si>
    <t>B속성버프Lv.25</t>
  </si>
  <si>
    <t>B속성버프Lv.26</t>
  </si>
  <si>
    <t>B속성버프Lv.27</t>
  </si>
  <si>
    <t>B속성버프Lv.28</t>
  </si>
  <si>
    <t>B속성버프Lv.29</t>
  </si>
  <si>
    <t>C속성버프Lv.1</t>
  </si>
  <si>
    <t>C속성버프Lv.2</t>
  </si>
  <si>
    <t>C속성버프Lv.3</t>
  </si>
  <si>
    <t>C속성버프Lv.4</t>
  </si>
  <si>
    <t>C속성버프Lv.5</t>
  </si>
  <si>
    <t>C속성버프Lv.6</t>
  </si>
  <si>
    <t>C속성버프Lv.7</t>
  </si>
  <si>
    <t>C속성버프Lv.8</t>
  </si>
  <si>
    <t>C속성버프Lv.9</t>
  </si>
  <si>
    <t>C속성버프Lv.10</t>
  </si>
  <si>
    <t>C속성버프Lv.11</t>
  </si>
  <si>
    <t>C속성버프Lv.12</t>
  </si>
  <si>
    <t>C속성버프Lv.13</t>
  </si>
  <si>
    <t>C속성버프Lv.14</t>
  </si>
  <si>
    <t>C속성버프Lv.15</t>
  </si>
  <si>
    <t>C속성버프Lv.16</t>
  </si>
  <si>
    <t>C속성버프Lv.17</t>
  </si>
  <si>
    <t>C속성버프Lv.18</t>
  </si>
  <si>
    <t>C속성버프Lv.19</t>
  </si>
  <si>
    <t>C속성버프Lv.20</t>
  </si>
  <si>
    <t>C속성버프Lv.21</t>
  </si>
  <si>
    <t>C속성버프Lv.22</t>
  </si>
  <si>
    <t>C속성버프Lv.23</t>
  </si>
  <si>
    <t>C속성버프Lv.24</t>
  </si>
  <si>
    <t>C속성버프Lv.25</t>
  </si>
  <si>
    <t>C속성버프Lv.26</t>
  </si>
  <si>
    <t>C속성버프Lv.27</t>
  </si>
  <si>
    <t>C속성버프Lv.28</t>
  </si>
  <si>
    <t>C속성버프Lv.29</t>
  </si>
  <si>
    <t>D속성버프Lv.1</t>
  </si>
  <si>
    <t>D속성버프Lv.2</t>
  </si>
  <si>
    <t>D속성버프Lv.3</t>
  </si>
  <si>
    <t>D속성버프Lv.4</t>
  </si>
  <si>
    <t>D속성버프Lv.5</t>
  </si>
  <si>
    <t>D속성버프Lv.6</t>
  </si>
  <si>
    <t>D속성버프Lv.7</t>
  </si>
  <si>
    <t>D속성버프Lv.8</t>
  </si>
  <si>
    <t>D속성버프Lv.9</t>
  </si>
  <si>
    <t>D속성버프Lv.10</t>
  </si>
  <si>
    <t>D속성버프Lv.11</t>
  </si>
  <si>
    <t>D속성버프Lv.12</t>
  </si>
  <si>
    <t>D속성버프Lv.13</t>
  </si>
  <si>
    <t>D속성버프Lv.14</t>
  </si>
  <si>
    <t>D속성버프Lv.15</t>
  </si>
  <si>
    <t>D속성버프Lv.16</t>
  </si>
  <si>
    <t>D속성버프Lv.17</t>
  </si>
  <si>
    <t>D속성버프Lv.18</t>
  </si>
  <si>
    <t>D속성버프Lv.19</t>
  </si>
  <si>
    <t>D속성버프Lv.20</t>
  </si>
  <si>
    <t>D속성버프Lv.21</t>
  </si>
  <si>
    <t>D속성버프Lv.22</t>
  </si>
  <si>
    <t>D속성버프Lv.23</t>
  </si>
  <si>
    <t>D속성버프Lv.24</t>
  </si>
  <si>
    <t>D속성버프Lv.25</t>
  </si>
  <si>
    <t>D속성버프Lv.26</t>
  </si>
  <si>
    <t>D속성버프Lv.27</t>
  </si>
  <si>
    <t>D속성버프Lv.28</t>
  </si>
  <si>
    <t>D속성버프Lv.29</t>
  </si>
  <si>
    <t>E속성버프Lv.1</t>
  </si>
  <si>
    <t>E속성버프Lv.2</t>
  </si>
  <si>
    <t>E속성버프Lv.3</t>
  </si>
  <si>
    <t>E속성버프Lv.4</t>
  </si>
  <si>
    <t>E속성버프Lv.5</t>
  </si>
  <si>
    <t>E속성버프Lv.6</t>
  </si>
  <si>
    <t>E속성버프Lv.7</t>
  </si>
  <si>
    <t>E속성버프Lv.8</t>
  </si>
  <si>
    <t>E속성버프Lv.9</t>
  </si>
  <si>
    <t>E속성버프Lv.10</t>
  </si>
  <si>
    <t>E속성버프Lv.11</t>
  </si>
  <si>
    <t>E속성버프Lv.12</t>
  </si>
  <si>
    <t>E속성버프Lv.13</t>
  </si>
  <si>
    <t>E속성버프Lv.14</t>
  </si>
  <si>
    <t>E속성버프Lv.15</t>
  </si>
  <si>
    <t>E속성버프Lv.16</t>
  </si>
  <si>
    <t>E속성버프Lv.17</t>
  </si>
  <si>
    <t>E속성버프Lv.18</t>
  </si>
  <si>
    <t>E속성버프Lv.19</t>
  </si>
  <si>
    <t>E속성버프Lv.20</t>
  </si>
  <si>
    <t>E속성버프Lv.21</t>
  </si>
  <si>
    <t>E속성버프Lv.22</t>
  </si>
  <si>
    <t>E속성버프Lv.23</t>
  </si>
  <si>
    <t>E속성버프Lv.24</t>
  </si>
  <si>
    <t>E속성버프Lv.25</t>
  </si>
  <si>
    <t>E속성버프Lv.26</t>
  </si>
  <si>
    <t>E속성버프Lv.27</t>
  </si>
  <si>
    <t>E속성버프Lv.28</t>
  </si>
  <si>
    <t>E속성버프Lv.29</t>
  </si>
  <si>
    <t>#ID</t>
  </si>
  <si>
    <t>#조건</t>
  </si>
  <si>
    <t>#조건 값
(백분율)</t>
  </si>
  <si>
    <t>#지속시간
천분율</t>
  </si>
  <si>
    <t>#맥스
스택</t>
  </si>
  <si>
    <t>#추가
스택</t>
  </si>
  <si>
    <t>#Buff Effect</t>
  </si>
  <si>
    <t>#END
Effect</t>
  </si>
  <si>
    <t>#Ture버프
해제불가</t>
  </si>
  <si>
    <t>#사망
버프삭제</t>
  </si>
  <si>
    <t>#버프,
디버프</t>
  </si>
  <si>
    <t>#프리팹</t>
  </si>
  <si>
    <t>#아이콘</t>
  </si>
  <si>
    <t>#이름</t>
  </si>
  <si>
    <t>#설명</t>
  </si>
  <si>
    <t>#자동
설명</t>
  </si>
  <si>
    <t>#Hud
노출</t>
  </si>
  <si>
    <t>ActiveCondition</t>
  </si>
  <si>
    <t>ConditionValue</t>
  </si>
  <si>
    <t>MaxStack</t>
  </si>
  <si>
    <t>AddStack</t>
  </si>
  <si>
    <t>Effects</t>
  </si>
  <si>
    <t>EndEffects</t>
  </si>
  <si>
    <t>Removeable</t>
  </si>
  <si>
    <t>RemoveDead</t>
  </si>
  <si>
    <t>BuffType</t>
  </si>
  <si>
    <t>Prefabs</t>
  </si>
  <si>
    <t>Icon</t>
  </si>
  <si>
    <t>Name</t>
  </si>
  <si>
    <t>UseAutoDesc</t>
  </si>
  <si>
    <t>Showhit</t>
  </si>
  <si>
    <t>ActiveCondition?</t>
  </si>
  <si>
    <t>[$BuffEffect]</t>
  </si>
  <si>
    <t>[$SkillEffect]</t>
  </si>
  <si>
    <t>bool</t>
  </si>
  <si>
    <t>[string]</t>
  </si>
  <si>
    <t>Buff.Name.DamageRateUp</t>
  </si>
  <si>
    <t>Attribute.R.dmgrate.buff.buffeffect.01&amp;Attribute.R.dmgderate.buff.buffeffect.01</t>
    <phoneticPr fontId="2" type="noConversion"/>
  </si>
  <si>
    <t>Attribute.R.dmgrate.buff.buffeffect.02&amp;Attribute.R.dmgderate.buff.buffeffect.02</t>
  </si>
  <si>
    <t>Attribute.R.dmgrate.buff.buffeffect.03&amp;Attribute.R.dmgderate.buff.buffeffect.03</t>
  </si>
  <si>
    <t>Attribute.R.dmgrate.buff.buffeffect.04&amp;Attribute.R.dmgderate.buff.buffeffect.04</t>
  </si>
  <si>
    <t>Attribute.R.dmgrate.buff.buffeffect.05&amp;Attribute.R.dmgderate.buff.buffeffect.05</t>
  </si>
  <si>
    <t>Attribute.R.dmgrate.buff.buffeffect.06&amp;Attribute.R.dmgderate.buff.buffeffect.06</t>
  </si>
  <si>
    <t>Attribute.R.dmgrate.buff.buffeffect.07&amp;Attribute.R.dmgderate.buff.buffeffect.07</t>
  </si>
  <si>
    <t>Attribute.R.dmgrate.buff.buffeffect.08&amp;Attribute.R.dmgderate.buff.buffeffect.08</t>
  </si>
  <si>
    <t>Attribute.R.dmgrate.buff.buffeffect.09&amp;Attribute.R.dmgderate.buff.buffeffect.09</t>
  </si>
  <si>
    <t>Attribute.R.dmgrate.buff.buffeffect.10&amp;Attribute.R.dmgderate.buff.buffeffect.10</t>
  </si>
  <si>
    <t>Attribute.R.dmgrate.buff.buffeffect.11&amp;Attribute.R.dmgderate.buff.buffeffect.11</t>
  </si>
  <si>
    <t>Attribute.R.dmgrate.buff.buffeffect.12&amp;Attribute.R.dmgderate.buff.buffeffect.12</t>
  </si>
  <si>
    <t>Attribute.R.dmgrate.buff.buffeffect.13&amp;Attribute.R.dmgderate.buff.buffeffect.13</t>
  </si>
  <si>
    <t>Attribute.R.dmgrate.buff.buffeffect.14&amp;Attribute.R.dmgderate.buff.buffeffect.14</t>
  </si>
  <si>
    <t>Attribute.R.dmgrate.buff.buffeffect.15&amp;Attribute.R.dmgderate.buff.buffeffect.15</t>
  </si>
  <si>
    <t>Attribute.R.dmgrate.buff.buffeffect.16&amp;Attribute.R.dmgderate.buff.buffeffect.16</t>
  </si>
  <si>
    <t>Attribute.R.dmgrate.buff.buffeffect.17&amp;Attribute.R.dmgderate.buff.buffeffect.17</t>
  </si>
  <si>
    <t>Attribute.R.dmgrate.buff.buffeffect.18&amp;Attribute.R.dmgderate.buff.buffeffect.18</t>
  </si>
  <si>
    <t>Attribute.R.dmgrate.buff.buffeffect.19&amp;Attribute.R.dmgderate.buff.buffeffect.19</t>
  </si>
  <si>
    <t>Attribute.R.dmgrate.buff.buffeffect.20&amp;Attribute.R.dmgderate.buff.buffeffect.20</t>
  </si>
  <si>
    <t>Attribute.R.dmgrate.buff.buffeffect.21&amp;Attribute.R.dmgderate.buff.buffeffect.21</t>
  </si>
  <si>
    <t>Attribute.R.dmgrate.buff.buffeffect.22&amp;Attribute.R.dmgderate.buff.buffeffect.22</t>
  </si>
  <si>
    <t>Attribute.R.dmgrate.buff.buffeffect.23&amp;Attribute.R.dmgderate.buff.buffeffect.23</t>
  </si>
  <si>
    <t>Attribute.R.dmgrate.buff.buffeffect.24&amp;Attribute.R.dmgderate.buff.buffeffect.24</t>
  </si>
  <si>
    <t>Attribute.R.dmgrate.buff.buffeffect.25&amp;Attribute.R.dmgderate.buff.buffeffect.25</t>
  </si>
  <si>
    <t>Attribute.R.dmgrate.buff.buffeffect.26&amp;Attribute.R.dmgderate.buff.buffeffect.26</t>
  </si>
  <si>
    <t>Attribute.R.dmgrate.buff.buffeffect.27&amp;Attribute.R.dmgderate.buff.buffeffect.27</t>
  </si>
  <si>
    <t>Attribute.R.dmgrate.buff.buffeffect.28&amp;Attribute.R.dmgderate.buff.buffeffect.28</t>
  </si>
  <si>
    <t>Attribute.R.dmgrate.buff.buffeffect.29&amp;Attribute.R.dmgderate.buff.buffeffect.29</t>
  </si>
  <si>
    <t>Attribute.G.dmgrate.buff.buffeffect.01&amp;Attribute.G.dmgderate.buff.buffeffect.01</t>
  </si>
  <si>
    <t>Attribute.G.dmgrate.buff.buffeffect.02&amp;Attribute.G.dmgderate.buff.buffeffect.02</t>
  </si>
  <si>
    <t>Attribute.G.dmgrate.buff.buffeffect.03&amp;Attribute.G.dmgderate.buff.buffeffect.03</t>
  </si>
  <si>
    <t>Attribute.G.dmgrate.buff.buffeffect.04&amp;Attribute.G.dmgderate.buff.buffeffect.04</t>
  </si>
  <si>
    <t>Attribute.G.dmgrate.buff.buffeffect.05&amp;Attribute.G.dmgderate.buff.buffeffect.05</t>
  </si>
  <si>
    <t>Attribute.G.dmgrate.buff.buffeffect.06&amp;Attribute.G.dmgderate.buff.buffeffect.06</t>
  </si>
  <si>
    <t>Attribute.G.dmgrate.buff.buffeffect.07&amp;Attribute.G.dmgderate.buff.buffeffect.07</t>
  </si>
  <si>
    <t>Attribute.G.dmgrate.buff.buffeffect.08&amp;Attribute.G.dmgderate.buff.buffeffect.08</t>
  </si>
  <si>
    <t>Attribute.G.dmgrate.buff.buffeffect.09&amp;Attribute.G.dmgderate.buff.buffeffect.09</t>
  </si>
  <si>
    <t>Attribute.G.dmgrate.buff.buffeffect.10&amp;Attribute.G.dmgderate.buff.buffeffect.10</t>
  </si>
  <si>
    <t>Attribute.G.dmgrate.buff.buffeffect.11&amp;Attribute.G.dmgderate.buff.buffeffect.11</t>
  </si>
  <si>
    <t>Attribute.G.dmgrate.buff.buffeffect.12&amp;Attribute.G.dmgderate.buff.buffeffect.12</t>
  </si>
  <si>
    <t>Attribute.G.dmgrate.buff.buffeffect.13&amp;Attribute.G.dmgderate.buff.buffeffect.13</t>
  </si>
  <si>
    <t>Attribute.G.dmgrate.buff.buffeffect.14&amp;Attribute.G.dmgderate.buff.buffeffect.14</t>
  </si>
  <si>
    <t>Attribute.G.dmgrate.buff.buffeffect.15&amp;Attribute.G.dmgderate.buff.buffeffect.15</t>
  </si>
  <si>
    <t>Attribute.G.dmgrate.buff.buffeffect.16&amp;Attribute.G.dmgderate.buff.buffeffect.16</t>
  </si>
  <si>
    <t>Attribute.G.dmgrate.buff.buffeffect.17&amp;Attribute.G.dmgderate.buff.buffeffect.17</t>
  </si>
  <si>
    <t>Attribute.G.dmgrate.buff.buffeffect.18&amp;Attribute.G.dmgderate.buff.buffeffect.18</t>
  </si>
  <si>
    <t>Attribute.G.dmgrate.buff.buffeffect.19&amp;Attribute.G.dmgderate.buff.buffeffect.19</t>
  </si>
  <si>
    <t>Attribute.G.dmgrate.buff.buffeffect.20&amp;Attribute.G.dmgderate.buff.buffeffect.20</t>
  </si>
  <si>
    <t>Attribute.G.dmgrate.buff.buffeffect.21&amp;Attribute.G.dmgderate.buff.buffeffect.21</t>
  </si>
  <si>
    <t>Attribute.G.dmgrate.buff.buffeffect.22&amp;Attribute.G.dmgderate.buff.buffeffect.22</t>
  </si>
  <si>
    <t>Attribute.G.dmgrate.buff.buffeffect.23&amp;Attribute.G.dmgderate.buff.buffeffect.23</t>
  </si>
  <si>
    <t>Attribute.G.dmgrate.buff.buffeffect.24&amp;Attribute.G.dmgderate.buff.buffeffect.24</t>
  </si>
  <si>
    <t>Attribute.G.dmgrate.buff.buffeffect.25&amp;Attribute.G.dmgderate.buff.buffeffect.25</t>
  </si>
  <si>
    <t>Attribute.G.dmgrate.buff.buffeffect.26&amp;Attribute.G.dmgderate.buff.buffeffect.26</t>
  </si>
  <si>
    <t>Attribute.G.dmgrate.buff.buffeffect.27&amp;Attribute.G.dmgderate.buff.buffeffect.27</t>
  </si>
  <si>
    <t>Attribute.G.dmgrate.buff.buffeffect.28&amp;Attribute.G.dmgderate.buff.buffeffect.28</t>
  </si>
  <si>
    <t>Attribute.G.dmgrate.buff.buffeffect.29&amp;Attribute.G.dmgderate.buff.buffeffect.29</t>
  </si>
  <si>
    <t>Attribute.B.dmgrate.buff.buffeffect.01&amp;Attribute.B.dmgderate.buff.buffeffect.01</t>
  </si>
  <si>
    <t>Attribute.B.dmgrate.buff.buffeffect.02&amp;Attribute.B.dmgderate.buff.buffeffect.02</t>
  </si>
  <si>
    <t>Attribute.B.dmgrate.buff.buffeffect.03&amp;Attribute.B.dmgderate.buff.buffeffect.03</t>
  </si>
  <si>
    <t>Attribute.B.dmgrate.buff.buffeffect.04&amp;Attribute.B.dmgderate.buff.buffeffect.04</t>
  </si>
  <si>
    <t>Attribute.B.dmgrate.buff.buffeffect.05&amp;Attribute.B.dmgderate.buff.buffeffect.05</t>
  </si>
  <si>
    <t>Attribute.B.dmgrate.buff.buffeffect.06&amp;Attribute.B.dmgderate.buff.buffeffect.06</t>
  </si>
  <si>
    <t>Attribute.B.dmgrate.buff.buffeffect.07&amp;Attribute.B.dmgderate.buff.buffeffect.07</t>
  </si>
  <si>
    <t>Attribute.B.dmgrate.buff.buffeffect.08&amp;Attribute.B.dmgderate.buff.buffeffect.08</t>
  </si>
  <si>
    <t>Attribute.B.dmgrate.buff.buffeffect.09&amp;Attribute.B.dmgderate.buff.buffeffect.09</t>
  </si>
  <si>
    <t>Attribute.B.dmgrate.buff.buffeffect.10&amp;Attribute.B.dmgderate.buff.buffeffect.10</t>
  </si>
  <si>
    <t>Attribute.B.dmgrate.buff.buffeffect.11&amp;Attribute.B.dmgderate.buff.buffeffect.11</t>
  </si>
  <si>
    <t>Attribute.B.dmgrate.buff.buffeffect.12&amp;Attribute.B.dmgderate.buff.buffeffect.12</t>
  </si>
  <si>
    <t>Attribute.B.dmgrate.buff.buffeffect.13&amp;Attribute.B.dmgderate.buff.buffeffect.13</t>
  </si>
  <si>
    <t>Attribute.B.dmgrate.buff.buffeffect.14&amp;Attribute.B.dmgderate.buff.buffeffect.14</t>
  </si>
  <si>
    <t>Attribute.B.dmgrate.buff.buffeffect.15&amp;Attribute.B.dmgderate.buff.buffeffect.15</t>
  </si>
  <si>
    <t>Attribute.B.dmgrate.buff.buffeffect.16&amp;Attribute.B.dmgderate.buff.buffeffect.16</t>
  </si>
  <si>
    <t>Attribute.B.dmgrate.buff.buffeffect.17&amp;Attribute.B.dmgderate.buff.buffeffect.17</t>
  </si>
  <si>
    <t>Attribute.B.dmgrate.buff.buffeffect.18&amp;Attribute.B.dmgderate.buff.buffeffect.18</t>
  </si>
  <si>
    <t>Attribute.B.dmgrate.buff.buffeffect.19&amp;Attribute.B.dmgderate.buff.buffeffect.19</t>
  </si>
  <si>
    <t>Attribute.B.dmgrate.buff.buffeffect.20&amp;Attribute.B.dmgderate.buff.buffeffect.20</t>
  </si>
  <si>
    <t>Attribute.B.dmgrate.buff.buffeffect.21&amp;Attribute.B.dmgderate.buff.buffeffect.21</t>
  </si>
  <si>
    <t>Attribute.B.dmgrate.buff.buffeffect.22&amp;Attribute.B.dmgderate.buff.buffeffect.22</t>
  </si>
  <si>
    <t>Attribute.B.dmgrate.buff.buffeffect.23&amp;Attribute.B.dmgderate.buff.buffeffect.23</t>
  </si>
  <si>
    <t>Attribute.B.dmgrate.buff.buffeffect.24&amp;Attribute.B.dmgderate.buff.buffeffect.24</t>
  </si>
  <si>
    <t>Attribute.B.dmgrate.buff.buffeffect.25&amp;Attribute.B.dmgderate.buff.buffeffect.25</t>
  </si>
  <si>
    <t>Attribute.B.dmgrate.buff.buffeffect.26&amp;Attribute.B.dmgderate.buff.buffeffect.26</t>
  </si>
  <si>
    <t>Attribute.B.dmgrate.buff.buffeffect.27&amp;Attribute.B.dmgderate.buff.buffeffect.27</t>
  </si>
  <si>
    <t>Attribute.B.dmgrate.buff.buffeffect.28&amp;Attribute.B.dmgderate.buff.buffeffect.28</t>
  </si>
  <si>
    <t>Attribute.B.dmgrate.buff.buffeffect.29&amp;Attribute.B.dmgderate.buff.buffeffect.29</t>
  </si>
  <si>
    <t>#조건체크
반복주기</t>
    <phoneticPr fontId="2" type="noConversion"/>
  </si>
  <si>
    <t>#사용횟수
기본값:1, 공백:무한</t>
    <phoneticPr fontId="2" type="noConversion"/>
  </si>
  <si>
    <t>#타겟</t>
  </si>
  <si>
    <t>#광여
타이</t>
  </si>
  <si>
    <t>#값</t>
  </si>
  <si>
    <t>#수</t>
  </si>
  <si>
    <t>#타입</t>
  </si>
  <si>
    <t>#값 %</t>
  </si>
  <si>
    <t>#값
(상수)</t>
  </si>
  <si>
    <t>#이펙트</t>
  </si>
  <si>
    <t>#사용
스택</t>
  </si>
  <si>
    <t>#틱</t>
  </si>
  <si>
    <t>#이펙트
이름</t>
  </si>
  <si>
    <t>#Hud</t>
  </si>
  <si>
    <t>CoolTime</t>
    <phoneticPr fontId="2" type="noConversion"/>
  </si>
  <si>
    <t>LimitEffectCount</t>
    <phoneticPr fontId="2" type="noConversion"/>
  </si>
  <si>
    <t>TargetTendency</t>
  </si>
  <si>
    <t>AreaType</t>
  </si>
  <si>
    <t>AreaValue</t>
  </si>
  <si>
    <t>TargetCount</t>
  </si>
  <si>
    <t>#Type</t>
    <phoneticPr fontId="2" type="noConversion"/>
  </si>
  <si>
    <t>#Value1</t>
    <phoneticPr fontId="2" type="noConversion"/>
  </si>
  <si>
    <t>#Value2</t>
    <phoneticPr fontId="2" type="noConversion"/>
  </si>
  <si>
    <t>#Value3</t>
    <phoneticPr fontId="2" type="noConversion"/>
  </si>
  <si>
    <t>Effect</t>
  </si>
  <si>
    <t>UseStack</t>
  </si>
  <si>
    <t>Tick</t>
  </si>
  <si>
    <t>ShowHit</t>
  </si>
  <si>
    <t>[int]</t>
  </si>
  <si>
    <t>#BuffEffectType</t>
    <phoneticPr fontId="2" type="noConversion"/>
  </si>
  <si>
    <t>#string</t>
    <phoneticPr fontId="2" type="noConversion"/>
  </si>
  <si>
    <t>dsl</t>
  </si>
  <si>
    <t>#</t>
    <phoneticPr fontId="2" type="noConversion"/>
  </si>
  <si>
    <t>Attribute.R.dmgrate.buff.buffeffect.01</t>
  </si>
  <si>
    <t>Self</t>
  </si>
  <si>
    <t>Single</t>
  </si>
  <si>
    <t>Attribute.R.dmgrate.buff.buffeffect.02</t>
  </si>
  <si>
    <t>Attribute.R.dmgrate.buff.buffeffect.03</t>
  </si>
  <si>
    <t>Attribute.R.dmgrate.buff.buffeffect.04</t>
  </si>
  <si>
    <t>Attribute.R.dmgrate.buff.buffeffect.05</t>
  </si>
  <si>
    <t>Attribute.R.dmgrate.buff.buffeffect.06</t>
  </si>
  <si>
    <t>Attribute.R.dmgrate.buff.buffeffect.07</t>
  </si>
  <si>
    <t>Attribute.R.dmgrate.buff.buffeffect.08</t>
  </si>
  <si>
    <t>Attribute.R.dmgrate.buff.buffeffect.09</t>
  </si>
  <si>
    <t>Attribute.R.dmgrate.buff.buffeffect.10</t>
  </si>
  <si>
    <t>Attribute.R.dmgrate.buff.buffeffect.11</t>
  </si>
  <si>
    <t>Attribute.R.dmgrate.buff.buffeffect.12</t>
  </si>
  <si>
    <t>Attribute.R.dmgrate.buff.buffeffect.13</t>
  </si>
  <si>
    <t>Attribute.R.dmgrate.buff.buffeffect.14</t>
  </si>
  <si>
    <t>Attribute.R.dmgrate.buff.buffeffect.15</t>
  </si>
  <si>
    <t>Attribute.R.dmgrate.buff.buffeffect.16</t>
  </si>
  <si>
    <t>Attribute.R.dmgrate.buff.buffeffect.17</t>
  </si>
  <si>
    <t>Attribute.R.dmgrate.buff.buffeffect.18</t>
  </si>
  <si>
    <t>Attribute.R.dmgrate.buff.buffeffect.19</t>
  </si>
  <si>
    <t>Attribute.R.dmgrate.buff.buffeffect.20</t>
  </si>
  <si>
    <t>Attribute.R.dmgrate.buff.buffeffect.21</t>
  </si>
  <si>
    <t>Attribute.R.dmgrate.buff.buffeffect.22</t>
  </si>
  <si>
    <t>Attribute.R.dmgrate.buff.buffeffect.23</t>
  </si>
  <si>
    <t>Attribute.R.dmgrate.buff.buffeffect.24</t>
  </si>
  <si>
    <t>Attribute.R.dmgrate.buff.buffeffect.25</t>
  </si>
  <si>
    <t>Attribute.R.dmgrate.buff.buffeffect.26</t>
  </si>
  <si>
    <t>Attribute.R.dmgrate.buff.buffeffect.27</t>
  </si>
  <si>
    <t>Attribute.R.dmgrate.buff.buffeffect.28</t>
  </si>
  <si>
    <t>Attribute.R.dmgrate.buff.buffeffect.29</t>
  </si>
  <si>
    <t>Attribute.R.dmgderate.buff.buffeffect.01</t>
  </si>
  <si>
    <t>Attribute.R.dmgderate.buff.buffeffect.02</t>
  </si>
  <si>
    <t>Attribute.R.dmgderate.buff.buffeffect.03</t>
  </si>
  <si>
    <t>Attribute.R.dmgderate.buff.buffeffect.04</t>
  </si>
  <si>
    <t>Attribute.R.dmgderate.buff.buffeffect.05</t>
  </si>
  <si>
    <t>Attribute.R.dmgderate.buff.buffeffect.06</t>
  </si>
  <si>
    <t>Attribute.R.dmgderate.buff.buffeffect.07</t>
  </si>
  <si>
    <t>Attribute.R.dmgderate.buff.buffeffect.08</t>
  </si>
  <si>
    <t>Attribute.R.dmgderate.buff.buffeffect.09</t>
  </si>
  <si>
    <t>Attribute.R.dmgderate.buff.buffeffect.10</t>
  </si>
  <si>
    <t>Attribute.R.dmgderate.buff.buffeffect.11</t>
  </si>
  <si>
    <t>Attribute.R.dmgderate.buff.buffeffect.12</t>
  </si>
  <si>
    <t>Attribute.R.dmgderate.buff.buffeffect.13</t>
  </si>
  <si>
    <t>Attribute.R.dmgderate.buff.buffeffect.14</t>
  </si>
  <si>
    <t>Attribute.R.dmgderate.buff.buffeffect.15</t>
  </si>
  <si>
    <t>Attribute.R.dmgderate.buff.buffeffect.16</t>
  </si>
  <si>
    <t>Attribute.R.dmgderate.buff.buffeffect.17</t>
  </si>
  <si>
    <t>Attribute.R.dmgderate.buff.buffeffect.18</t>
  </si>
  <si>
    <t>Attribute.R.dmgderate.buff.buffeffect.19</t>
  </si>
  <si>
    <t>Attribute.R.dmgderate.buff.buffeffect.20</t>
  </si>
  <si>
    <t>Attribute.R.dmgderate.buff.buffeffect.21</t>
  </si>
  <si>
    <t>Attribute.R.dmgderate.buff.buffeffect.22</t>
  </si>
  <si>
    <t>Attribute.R.dmgderate.buff.buffeffect.23</t>
  </si>
  <si>
    <t>Attribute.R.dmgderate.buff.buffeffect.24</t>
  </si>
  <si>
    <t>Attribute.R.dmgderate.buff.buffeffect.25</t>
  </si>
  <si>
    <t>Attribute.R.dmgderate.buff.buffeffect.26</t>
  </si>
  <si>
    <t>Attribute.R.dmgderate.buff.buffeffect.27</t>
  </si>
  <si>
    <t>Attribute.R.dmgderate.buff.buffeffect.28</t>
  </si>
  <si>
    <t>Attribute.R.dmgderate.buff.buffeffect.29</t>
  </si>
  <si>
    <t>Attribute.G.dmgrate.buff.buffeffect.01</t>
  </si>
  <si>
    <t>Attribute.G.dmgrate.buff.buffeffect.02</t>
  </si>
  <si>
    <t>Attribute.G.dmgrate.buff.buffeffect.03</t>
  </si>
  <si>
    <t>Attribute.G.dmgrate.buff.buffeffect.04</t>
  </si>
  <si>
    <t>Attribute.G.dmgrate.buff.buffeffect.05</t>
  </si>
  <si>
    <t>Attribute.G.dmgrate.buff.buffeffect.06</t>
  </si>
  <si>
    <t>Attribute.G.dmgrate.buff.buffeffect.07</t>
  </si>
  <si>
    <t>Attribute.G.dmgrate.buff.buffeffect.08</t>
  </si>
  <si>
    <t>Attribute.G.dmgrate.buff.buffeffect.09</t>
  </si>
  <si>
    <t>Attribute.G.dmgrate.buff.buffeffect.10</t>
  </si>
  <si>
    <t>Attribute.G.dmgrate.buff.buffeffect.11</t>
  </si>
  <si>
    <t>Attribute.G.dmgrate.buff.buffeffect.12</t>
  </si>
  <si>
    <t>Attribute.G.dmgrate.buff.buffeffect.13</t>
  </si>
  <si>
    <t>Attribute.G.dmgrate.buff.buffeffect.14</t>
  </si>
  <si>
    <t>Attribute.G.dmgrate.buff.buffeffect.15</t>
  </si>
  <si>
    <t>Attribute.G.dmgrate.buff.buffeffect.16</t>
  </si>
  <si>
    <t>Attribute.G.dmgrate.buff.buffeffect.17</t>
  </si>
  <si>
    <t>Attribute.G.dmgrate.buff.buffeffect.18</t>
  </si>
  <si>
    <t>Attribute.G.dmgrate.buff.buffeffect.19</t>
  </si>
  <si>
    <t>Attribute.G.dmgrate.buff.buffeffect.20</t>
  </si>
  <si>
    <t>Attribute.G.dmgrate.buff.buffeffect.21</t>
  </si>
  <si>
    <t>Attribute.G.dmgrate.buff.buffeffect.22</t>
  </si>
  <si>
    <t>Attribute.G.dmgrate.buff.buffeffect.23</t>
  </si>
  <si>
    <t>Attribute.G.dmgrate.buff.buffeffect.24</t>
  </si>
  <si>
    <t>Attribute.G.dmgrate.buff.buffeffect.25</t>
  </si>
  <si>
    <t>Attribute.G.dmgrate.buff.buffeffect.26</t>
  </si>
  <si>
    <t>Attribute.G.dmgrate.buff.buffeffect.27</t>
  </si>
  <si>
    <t>Attribute.G.dmgrate.buff.buffeffect.28</t>
  </si>
  <si>
    <t>Attribute.G.dmgrate.buff.buffeffect.29</t>
  </si>
  <si>
    <t>Attribute.G.dmgderate.buff.buffeffect.01</t>
  </si>
  <si>
    <t>Attribute.G.dmgderate.buff.buffeffect.02</t>
  </si>
  <si>
    <t>Attribute.G.dmgderate.buff.buffeffect.03</t>
  </si>
  <si>
    <t>Attribute.G.dmgderate.buff.buffeffect.04</t>
  </si>
  <si>
    <t>Attribute.G.dmgderate.buff.buffeffect.05</t>
  </si>
  <si>
    <t>Attribute.G.dmgderate.buff.buffeffect.06</t>
  </si>
  <si>
    <t>Attribute.G.dmgderate.buff.buffeffect.07</t>
  </si>
  <si>
    <t>Attribute.G.dmgderate.buff.buffeffect.08</t>
  </si>
  <si>
    <t>Attribute.G.dmgderate.buff.buffeffect.09</t>
  </si>
  <si>
    <t>Attribute.G.dmgderate.buff.buffeffect.10</t>
  </si>
  <si>
    <t>Attribute.G.dmgderate.buff.buffeffect.11</t>
  </si>
  <si>
    <t>Attribute.G.dmgderate.buff.buffeffect.12</t>
  </si>
  <si>
    <t>Attribute.G.dmgderate.buff.buffeffect.13</t>
  </si>
  <si>
    <t>Attribute.G.dmgderate.buff.buffeffect.14</t>
  </si>
  <si>
    <t>Attribute.G.dmgderate.buff.buffeffect.15</t>
  </si>
  <si>
    <t>Attribute.G.dmgderate.buff.buffeffect.16</t>
  </si>
  <si>
    <t>Attribute.G.dmgderate.buff.buffeffect.17</t>
  </si>
  <si>
    <t>Attribute.G.dmgderate.buff.buffeffect.18</t>
  </si>
  <si>
    <t>Attribute.G.dmgderate.buff.buffeffect.19</t>
  </si>
  <si>
    <t>Attribute.G.dmgderate.buff.buffeffect.20</t>
  </si>
  <si>
    <t>Attribute.G.dmgderate.buff.buffeffect.21</t>
  </si>
  <si>
    <t>Attribute.G.dmgderate.buff.buffeffect.22</t>
  </si>
  <si>
    <t>Attribute.G.dmgderate.buff.buffeffect.23</t>
  </si>
  <si>
    <t>Attribute.G.dmgderate.buff.buffeffect.24</t>
  </si>
  <si>
    <t>Attribute.G.dmgderate.buff.buffeffect.25</t>
  </si>
  <si>
    <t>Attribute.G.dmgderate.buff.buffeffect.26</t>
  </si>
  <si>
    <t>Attribute.G.dmgderate.buff.buffeffect.27</t>
  </si>
  <si>
    <t>Attribute.G.dmgderate.buff.buffeffect.28</t>
  </si>
  <si>
    <t>Attribute.G.dmgderate.buff.buffeffect.29</t>
  </si>
  <si>
    <t>Attribute.B.dmgrate.buff.buffeffect.01</t>
  </si>
  <si>
    <t>Attribute.B.dmgrate.buff.buffeffect.02</t>
  </si>
  <si>
    <t>Attribute.B.dmgrate.buff.buffeffect.03</t>
  </si>
  <si>
    <t>Attribute.B.dmgrate.buff.buffeffect.04</t>
  </si>
  <si>
    <t>Attribute.B.dmgrate.buff.buffeffect.05</t>
  </si>
  <si>
    <t>Attribute.B.dmgrate.buff.buffeffect.06</t>
  </si>
  <si>
    <t>Attribute.B.dmgrate.buff.buffeffect.07</t>
  </si>
  <si>
    <t>Attribute.B.dmgrate.buff.buffeffect.08</t>
  </si>
  <si>
    <t>Attribute.B.dmgrate.buff.buffeffect.09</t>
  </si>
  <si>
    <t>Attribute.B.dmgrate.buff.buffeffect.10</t>
  </si>
  <si>
    <t>Attribute.B.dmgrate.buff.buffeffect.11</t>
  </si>
  <si>
    <t>Attribute.B.dmgrate.buff.buffeffect.12</t>
  </si>
  <si>
    <t>Attribute.B.dmgrate.buff.buffeffect.13</t>
  </si>
  <si>
    <t>Attribute.B.dmgrate.buff.buffeffect.14</t>
  </si>
  <si>
    <t>Attribute.B.dmgrate.buff.buffeffect.15</t>
  </si>
  <si>
    <t>Attribute.B.dmgrate.buff.buffeffect.16</t>
  </si>
  <si>
    <t>Attribute.B.dmgrate.buff.buffeffect.17</t>
  </si>
  <si>
    <t>Attribute.B.dmgrate.buff.buffeffect.18</t>
  </si>
  <si>
    <t>Attribute.B.dmgrate.buff.buffeffect.19</t>
  </si>
  <si>
    <t>Attribute.B.dmgrate.buff.buffeffect.20</t>
  </si>
  <si>
    <t>Attribute.B.dmgrate.buff.buffeffect.21</t>
  </si>
  <si>
    <t>Attribute.B.dmgrate.buff.buffeffect.22</t>
  </si>
  <si>
    <t>Attribute.B.dmgrate.buff.buffeffect.23</t>
  </si>
  <si>
    <t>Attribute.B.dmgrate.buff.buffeffect.24</t>
  </si>
  <si>
    <t>Attribute.B.dmgrate.buff.buffeffect.25</t>
  </si>
  <si>
    <t>Attribute.B.dmgrate.buff.buffeffect.26</t>
  </si>
  <si>
    <t>Attribute.B.dmgrate.buff.buffeffect.27</t>
  </si>
  <si>
    <t>Attribute.B.dmgrate.buff.buffeffect.28</t>
  </si>
  <si>
    <t>Attribute.B.dmgrate.buff.buffeffect.29</t>
  </si>
  <si>
    <t>Attribute.B.dmgderate.buff.buffeffect.01</t>
  </si>
  <si>
    <t>Attribute.B.dmgderate.buff.buffeffect.02</t>
  </si>
  <si>
    <t>Attribute.B.dmgderate.buff.buffeffect.03</t>
  </si>
  <si>
    <t>Attribute.B.dmgderate.buff.buffeffect.04</t>
  </si>
  <si>
    <t>Attribute.B.dmgderate.buff.buffeffect.05</t>
  </si>
  <si>
    <t>Attribute.B.dmgderate.buff.buffeffect.06</t>
  </si>
  <si>
    <t>Attribute.B.dmgderate.buff.buffeffect.07</t>
  </si>
  <si>
    <t>Attribute.B.dmgderate.buff.buffeffect.08</t>
  </si>
  <si>
    <t>Attribute.B.dmgderate.buff.buffeffect.09</t>
  </si>
  <si>
    <t>Attribute.B.dmgderate.buff.buffeffect.10</t>
  </si>
  <si>
    <t>Attribute.B.dmgderate.buff.buffeffect.11</t>
  </si>
  <si>
    <t>Attribute.B.dmgderate.buff.buffeffect.12</t>
  </si>
  <si>
    <t>Attribute.B.dmgderate.buff.buffeffect.13</t>
  </si>
  <si>
    <t>Attribute.B.dmgderate.buff.buffeffect.14</t>
  </si>
  <si>
    <t>Attribute.B.dmgderate.buff.buffeffect.15</t>
  </si>
  <si>
    <t>Attribute.B.dmgderate.buff.buffeffect.16</t>
  </si>
  <si>
    <t>Attribute.B.dmgderate.buff.buffeffect.17</t>
  </si>
  <si>
    <t>Attribute.B.dmgderate.buff.buffeffect.18</t>
  </si>
  <si>
    <t>Attribute.B.dmgderate.buff.buffeffect.19</t>
  </si>
  <si>
    <t>Attribute.B.dmgderate.buff.buffeffect.20</t>
  </si>
  <si>
    <t>Attribute.B.dmgderate.buff.buffeffect.21</t>
  </si>
  <si>
    <t>Attribute.B.dmgderate.buff.buffeffect.22</t>
  </si>
  <si>
    <t>Attribute.B.dmgderate.buff.buffeffect.23</t>
  </si>
  <si>
    <t>Attribute.B.dmgderate.buff.buffeffect.24</t>
  </si>
  <si>
    <t>Attribute.B.dmgderate.buff.buffeffect.25</t>
  </si>
  <si>
    <t>Attribute.B.dmgderate.buff.buffeffect.26</t>
  </si>
  <si>
    <t>Attribute.B.dmgderate.buff.buffeffect.27</t>
  </si>
  <si>
    <t>Attribute.B.dmgderate.buff.buffeffect.28</t>
  </si>
  <si>
    <t>Attribute.B.dmgderate.buff.buffeffect.29</t>
  </si>
  <si>
    <t>*$Stage</t>
    <phoneticPr fontId="2" type="noConversion"/>
  </si>
  <si>
    <t>AttributeRed</t>
    <phoneticPr fontId="2" type="noConversion"/>
  </si>
  <si>
    <t>AttributeGreen</t>
    <phoneticPr fontId="2" type="noConversion"/>
  </si>
  <si>
    <t>AttributeBlue</t>
    <phoneticPr fontId="2" type="noConversion"/>
  </si>
  <si>
    <t>AttributeGold</t>
    <phoneticPr fontId="2" type="noConversion"/>
  </si>
  <si>
    <t>AttributePurple</t>
    <phoneticPr fontId="2" type="noConversion"/>
  </si>
  <si>
    <t>*AttributeType</t>
    <phoneticPr fontId="2" type="noConversion"/>
  </si>
  <si>
    <t>AttributeGold</t>
  </si>
  <si>
    <t>AttributePurple</t>
  </si>
  <si>
    <t>(AttributeType)</t>
    <phoneticPr fontId="2" type="noConversion"/>
  </si>
  <si>
    <t>Stages</t>
    <phoneticPr fontId="2" type="noConversion"/>
  </si>
  <si>
    <t>{AttributeBattleType:$Stage}</t>
    <phoneticPr fontId="2" type="noConversion"/>
  </si>
  <si>
    <t>AttributeBattle1 : AttributeBattle01_1_x000D_
AttributeBattle2 : AttributeBattle01_2_x000D_
AttributeBattle3 : AttributeBattle01_3_x000D_
AttributeBattle4 : AttributeBattle01_4</t>
  </si>
  <si>
    <t>AttributeBattle1 : AttributeBattle02_1_x000D_
AttributeBattle2 : AttributeBattle02_2_x000D_
AttributeBattle3 : AttributeBattle02_3_x000D_
AttributeBattle4 : AttributeBattle02_4</t>
  </si>
  <si>
    <t>AttributeBattle1 : AttributeBattle03_1_x000D_
AttributeBattle2 : AttributeBattle03_2_x000D_
AttributeBattle3 : AttributeBattle03_3_x000D_
AttributeBattle4 : AttributeBattle03_4</t>
  </si>
  <si>
    <t>[$MonsterSetting]</t>
    <phoneticPr fontId="2" type="noConversion"/>
  </si>
  <si>
    <t>Resource</t>
    <phoneticPr fontId="2" type="noConversion"/>
  </si>
  <si>
    <t>client</t>
    <phoneticPr fontId="2" type="noConversion"/>
  </si>
  <si>
    <t>AttributeGold</t>
    <phoneticPr fontId="2" type="noConversion"/>
  </si>
  <si>
    <t>AttributePurple</t>
    <phoneticPr fontId="2" type="noConversion"/>
  </si>
  <si>
    <t>Attribute.GD.dmgrate.buff.buffeffect.01&amp;Attribute.GD.dmgderate.buff.buffeffect.01</t>
  </si>
  <si>
    <t>Attribute.GD.dmgrate.buff.buffeffect.02&amp;Attribute.GD.dmgderate.buff.buffeffect.02</t>
  </si>
  <si>
    <t>Attribute.GD.dmgrate.buff.buffeffect.03&amp;Attribute.GD.dmgderate.buff.buffeffect.03</t>
  </si>
  <si>
    <t>Attribute.GD.dmgrate.buff.buffeffect.04&amp;Attribute.GD.dmgderate.buff.buffeffect.04</t>
  </si>
  <si>
    <t>Attribute.GD.dmgrate.buff.buffeffect.05&amp;Attribute.GD.dmgderate.buff.buffeffect.05</t>
  </si>
  <si>
    <t>Attribute.GD.dmgrate.buff.buffeffect.06&amp;Attribute.GD.dmgderate.buff.buffeffect.06</t>
  </si>
  <si>
    <t>Attribute.GD.dmgrate.buff.buffeffect.07&amp;Attribute.GD.dmgderate.buff.buffeffect.07</t>
  </si>
  <si>
    <t>Attribute.GD.dmgrate.buff.buffeffect.08&amp;Attribute.GD.dmgderate.buff.buffeffect.08</t>
  </si>
  <si>
    <t>Attribute.GD.dmgrate.buff.buffeffect.09&amp;Attribute.GD.dmgderate.buff.buffeffect.09</t>
  </si>
  <si>
    <t>Attribute.GD.dmgrate.buff.buffeffect.10&amp;Attribute.GD.dmgderate.buff.buffeffect.10</t>
  </si>
  <si>
    <t>Attribute.GD.dmgrate.buff.buffeffect.11&amp;Attribute.GD.dmgderate.buff.buffeffect.11</t>
  </si>
  <si>
    <t>Attribute.GD.dmgrate.buff.buffeffect.12&amp;Attribute.GD.dmgderate.buff.buffeffect.12</t>
  </si>
  <si>
    <t>Attribute.GD.dmgrate.buff.buffeffect.13&amp;Attribute.GD.dmgderate.buff.buffeffect.13</t>
  </si>
  <si>
    <t>Attribute.GD.dmgrate.buff.buffeffect.14&amp;Attribute.GD.dmgderate.buff.buffeffect.14</t>
  </si>
  <si>
    <t>Attribute.GD.dmgrate.buff.buffeffect.15&amp;Attribute.GD.dmgderate.buff.buffeffect.15</t>
  </si>
  <si>
    <t>Attribute.GD.dmgrate.buff.buffeffect.16&amp;Attribute.GD.dmgderate.buff.buffeffect.16</t>
  </si>
  <si>
    <t>Attribute.GD.dmgrate.buff.buffeffect.17&amp;Attribute.GD.dmgderate.buff.buffeffect.17</t>
  </si>
  <si>
    <t>Attribute.GD.dmgrate.buff.buffeffect.18&amp;Attribute.GD.dmgderate.buff.buffeffect.18</t>
  </si>
  <si>
    <t>Attribute.GD.dmgrate.buff.buffeffect.19&amp;Attribute.GD.dmgderate.buff.buffeffect.19</t>
  </si>
  <si>
    <t>Attribute.GD.dmgrate.buff.buffeffect.20&amp;Attribute.GD.dmgderate.buff.buffeffect.20</t>
  </si>
  <si>
    <t>Attribute.GD.dmgrate.buff.buffeffect.21&amp;Attribute.GD.dmgderate.buff.buffeffect.21</t>
  </si>
  <si>
    <t>Attribute.GD.dmgrate.buff.buffeffect.22&amp;Attribute.GD.dmgderate.buff.buffeffect.22</t>
  </si>
  <si>
    <t>Attribute.GD.dmgrate.buff.buffeffect.23&amp;Attribute.GD.dmgderate.buff.buffeffect.23</t>
  </si>
  <si>
    <t>Attribute.GD.dmgrate.buff.buffeffect.24&amp;Attribute.GD.dmgderate.buff.buffeffect.24</t>
  </si>
  <si>
    <t>Attribute.GD.dmgrate.buff.buffeffect.25&amp;Attribute.GD.dmgderate.buff.buffeffect.25</t>
  </si>
  <si>
    <t>Attribute.GD.dmgrate.buff.buffeffect.26&amp;Attribute.GD.dmgderate.buff.buffeffect.26</t>
  </si>
  <si>
    <t>Attribute.GD.dmgrate.buff.buffeffect.27&amp;Attribute.GD.dmgderate.buff.buffeffect.27</t>
  </si>
  <si>
    <t>Attribute.GD.dmgrate.buff.buffeffect.28&amp;Attribute.GD.dmgderate.buff.buffeffect.28</t>
  </si>
  <si>
    <t>Attribute.GD.dmgrate.buff.buffeffect.29&amp;Attribute.GD.dmgderate.buff.buffeffect.29</t>
  </si>
  <si>
    <t>Attribute.P.dmgrate.buff.buffeffect.01&amp;Attribute.P.dmgderate.buff.buffeffect.01</t>
  </si>
  <si>
    <t>Attribute.P.dmgrate.buff.buffeffect.02&amp;Attribute.P.dmgderate.buff.buffeffect.02</t>
  </si>
  <si>
    <t>Attribute.P.dmgrate.buff.buffeffect.03&amp;Attribute.P.dmgderate.buff.buffeffect.03</t>
  </si>
  <si>
    <t>Attribute.P.dmgrate.buff.buffeffect.04&amp;Attribute.P.dmgderate.buff.buffeffect.04</t>
  </si>
  <si>
    <t>Attribute.P.dmgrate.buff.buffeffect.05&amp;Attribute.P.dmgderate.buff.buffeffect.05</t>
  </si>
  <si>
    <t>Attribute.P.dmgrate.buff.buffeffect.06&amp;Attribute.P.dmgderate.buff.buffeffect.06</t>
  </si>
  <si>
    <t>Attribute.P.dmgrate.buff.buffeffect.07&amp;Attribute.P.dmgderate.buff.buffeffect.07</t>
  </si>
  <si>
    <t>Attribute.P.dmgrate.buff.buffeffect.08&amp;Attribute.P.dmgderate.buff.buffeffect.08</t>
  </si>
  <si>
    <t>Attribute.P.dmgrate.buff.buffeffect.09&amp;Attribute.P.dmgderate.buff.buffeffect.09</t>
  </si>
  <si>
    <t>Attribute.P.dmgrate.buff.buffeffect.10&amp;Attribute.P.dmgderate.buff.buffeffect.10</t>
  </si>
  <si>
    <t>Attribute.P.dmgrate.buff.buffeffect.11&amp;Attribute.P.dmgderate.buff.buffeffect.11</t>
  </si>
  <si>
    <t>Attribute.P.dmgrate.buff.buffeffect.12&amp;Attribute.P.dmgderate.buff.buffeffect.12</t>
  </si>
  <si>
    <t>Attribute.P.dmgrate.buff.buffeffect.13&amp;Attribute.P.dmgderate.buff.buffeffect.13</t>
  </si>
  <si>
    <t>Attribute.P.dmgrate.buff.buffeffect.14&amp;Attribute.P.dmgderate.buff.buffeffect.14</t>
  </si>
  <si>
    <t>Attribute.P.dmgrate.buff.buffeffect.15&amp;Attribute.P.dmgderate.buff.buffeffect.15</t>
  </si>
  <si>
    <t>Attribute.P.dmgrate.buff.buffeffect.16&amp;Attribute.P.dmgderate.buff.buffeffect.16</t>
  </si>
  <si>
    <t>Attribute.P.dmgrate.buff.buffeffect.17&amp;Attribute.P.dmgderate.buff.buffeffect.17</t>
  </si>
  <si>
    <t>Attribute.P.dmgrate.buff.buffeffect.18&amp;Attribute.P.dmgderate.buff.buffeffect.18</t>
  </si>
  <si>
    <t>Attribute.P.dmgrate.buff.buffeffect.19&amp;Attribute.P.dmgderate.buff.buffeffect.19</t>
  </si>
  <si>
    <t>Attribute.P.dmgrate.buff.buffeffect.20&amp;Attribute.P.dmgderate.buff.buffeffect.20</t>
  </si>
  <si>
    <t>Attribute.P.dmgrate.buff.buffeffect.21&amp;Attribute.P.dmgderate.buff.buffeffect.21</t>
  </si>
  <si>
    <t>Attribute.P.dmgrate.buff.buffeffect.22&amp;Attribute.P.dmgderate.buff.buffeffect.22</t>
  </si>
  <si>
    <t>Attribute.P.dmgrate.buff.buffeffect.23&amp;Attribute.P.dmgderate.buff.buffeffect.23</t>
  </si>
  <si>
    <t>Attribute.P.dmgrate.buff.buffeffect.24&amp;Attribute.P.dmgderate.buff.buffeffect.24</t>
  </si>
  <si>
    <t>Attribute.P.dmgrate.buff.buffeffect.25&amp;Attribute.P.dmgderate.buff.buffeffect.25</t>
  </si>
  <si>
    <t>Attribute.P.dmgrate.buff.buffeffect.26&amp;Attribute.P.dmgderate.buff.buffeffect.26</t>
  </si>
  <si>
    <t>Attribute.P.dmgrate.buff.buffeffect.27&amp;Attribute.P.dmgderate.buff.buffeffect.27</t>
  </si>
  <si>
    <t>Attribute.P.dmgrate.buff.buffeffect.28&amp;Attribute.P.dmgderate.buff.buffeffect.28</t>
  </si>
  <si>
    <t>Attribute.P.dmgrate.buff.buffeffect.29&amp;Attribute.P.dmgderate.buff.buffeffect.29</t>
  </si>
  <si>
    <t>Attribute.GD.dmgderate.buff.buffeffect.01</t>
    <phoneticPr fontId="2" type="noConversion"/>
  </si>
  <si>
    <t>Attribute.GD.dmgderate.buff.buffeffect.02</t>
  </si>
  <si>
    <t>Attribute.GD.dmgderate.buff.buffeffect.03</t>
  </si>
  <si>
    <t>Attribute.GD.dmgderate.buff.buffeffect.04</t>
  </si>
  <si>
    <t>Attribute.GD.dmgderate.buff.buffeffect.05</t>
  </si>
  <si>
    <t>Attribute.GD.dmgderate.buff.buffeffect.06</t>
  </si>
  <si>
    <t>Attribute.GD.dmgderate.buff.buffeffect.07</t>
  </si>
  <si>
    <t>Attribute.GD.dmgderate.buff.buffeffect.08</t>
  </si>
  <si>
    <t>Attribute.GD.dmgderate.buff.buffeffect.09</t>
  </si>
  <si>
    <t>Attribute.GD.dmgderate.buff.buffeffect.10</t>
  </si>
  <si>
    <t>Attribute.GD.dmgderate.buff.buffeffect.11</t>
  </si>
  <si>
    <t>Attribute.GD.dmgderate.buff.buffeffect.12</t>
  </si>
  <si>
    <t>Attribute.GD.dmgderate.buff.buffeffect.13</t>
  </si>
  <si>
    <t>Attribute.GD.dmgderate.buff.buffeffect.14</t>
  </si>
  <si>
    <t>Attribute.GD.dmgderate.buff.buffeffect.15</t>
  </si>
  <si>
    <t>Attribute.GD.dmgderate.buff.buffeffect.16</t>
  </si>
  <si>
    <t>Attribute.GD.dmgderate.buff.buffeffect.17</t>
  </si>
  <si>
    <t>Attribute.GD.dmgderate.buff.buffeffect.18</t>
  </si>
  <si>
    <t>Attribute.GD.dmgderate.buff.buffeffect.19</t>
  </si>
  <si>
    <t>Attribute.GD.dmgderate.buff.buffeffect.20</t>
  </si>
  <si>
    <t>Attribute.GD.dmgderate.buff.buffeffect.21</t>
  </si>
  <si>
    <t>Attribute.GD.dmgderate.buff.buffeffect.22</t>
  </si>
  <si>
    <t>Attribute.GD.dmgderate.buff.buffeffect.23</t>
  </si>
  <si>
    <t>Attribute.GD.dmgderate.buff.buffeffect.24</t>
  </si>
  <si>
    <t>Attribute.GD.dmgderate.buff.buffeffect.25</t>
  </si>
  <si>
    <t>Attribute.GD.dmgderate.buff.buffeffect.26</t>
  </si>
  <si>
    <t>Attribute.GD.dmgderate.buff.buffeffect.27</t>
  </si>
  <si>
    <t>Attribute.GD.dmgderate.buff.buffeffect.28</t>
  </si>
  <si>
    <t>Attribute.GD.dmgderate.buff.buffeffect.29</t>
  </si>
  <si>
    <t>Attribute.P.dmgderate.buff.buffeffect.01</t>
    <phoneticPr fontId="2" type="noConversion"/>
  </si>
  <si>
    <t>Attribute.P.dmgderate.buff.buffeffect.02</t>
  </si>
  <si>
    <t>Attribute.P.dmgderate.buff.buffeffect.03</t>
  </si>
  <si>
    <t>Attribute.P.dmgderate.buff.buffeffect.04</t>
  </si>
  <si>
    <t>Attribute.P.dmgderate.buff.buffeffect.05</t>
  </si>
  <si>
    <t>Attribute.P.dmgderate.buff.buffeffect.06</t>
  </si>
  <si>
    <t>Attribute.P.dmgderate.buff.buffeffect.07</t>
  </si>
  <si>
    <t>Attribute.P.dmgderate.buff.buffeffect.08</t>
  </si>
  <si>
    <t>Attribute.P.dmgderate.buff.buffeffect.09</t>
  </si>
  <si>
    <t>Attribute.P.dmgderate.buff.buffeffect.10</t>
  </si>
  <si>
    <t>Attribute.P.dmgderate.buff.buffeffect.11</t>
  </si>
  <si>
    <t>Attribute.P.dmgderate.buff.buffeffect.12</t>
  </si>
  <si>
    <t>Attribute.P.dmgderate.buff.buffeffect.13</t>
  </si>
  <si>
    <t>Attribute.P.dmgderate.buff.buffeffect.14</t>
  </si>
  <si>
    <t>Attribute.P.dmgderate.buff.buffeffect.15</t>
  </si>
  <si>
    <t>Attribute.P.dmgderate.buff.buffeffect.16</t>
  </si>
  <si>
    <t>Attribute.P.dmgderate.buff.buffeffect.17</t>
  </si>
  <si>
    <t>Attribute.P.dmgderate.buff.buffeffect.18</t>
  </si>
  <si>
    <t>Attribute.P.dmgderate.buff.buffeffect.19</t>
  </si>
  <si>
    <t>Attribute.P.dmgderate.buff.buffeffect.20</t>
  </si>
  <si>
    <t>Attribute.P.dmgderate.buff.buffeffect.21</t>
  </si>
  <si>
    <t>Attribute.P.dmgderate.buff.buffeffect.22</t>
  </si>
  <si>
    <t>Attribute.P.dmgderate.buff.buffeffect.23</t>
  </si>
  <si>
    <t>Attribute.P.dmgderate.buff.buffeffect.24</t>
  </si>
  <si>
    <t>Attribute.P.dmgderate.buff.buffeffect.25</t>
  </si>
  <si>
    <t>Attribute.P.dmgderate.buff.buffeffect.26</t>
  </si>
  <si>
    <t>Attribute.P.dmgderate.buff.buffeffect.27</t>
  </si>
  <si>
    <t>Attribute.P.dmgderate.buff.buffeffect.28</t>
  </si>
  <si>
    <t>Attribute.P.dmgderate.buff.buffeffect.29</t>
  </si>
  <si>
    <t>Attribute.GD.dmgrate.buff.buffeffect.01</t>
    <phoneticPr fontId="2" type="noConversion"/>
  </si>
  <si>
    <t>Attribute.GD.dmgrate.buff.buffeffect.02</t>
  </si>
  <si>
    <t>Attribute.GD.dmgrate.buff.buffeffect.03</t>
  </si>
  <si>
    <t>Attribute.GD.dmgrate.buff.buffeffect.04</t>
  </si>
  <si>
    <t>Attribute.GD.dmgrate.buff.buffeffect.05</t>
  </si>
  <si>
    <t>Attribute.GD.dmgrate.buff.buffeffect.06</t>
  </si>
  <si>
    <t>Attribute.GD.dmgrate.buff.buffeffect.07</t>
  </si>
  <si>
    <t>Attribute.GD.dmgrate.buff.buffeffect.08</t>
  </si>
  <si>
    <t>Attribute.GD.dmgrate.buff.buffeffect.09</t>
  </si>
  <si>
    <t>Attribute.GD.dmgrate.buff.buffeffect.10</t>
  </si>
  <si>
    <t>Attribute.GD.dmgrate.buff.buffeffect.11</t>
  </si>
  <si>
    <t>Attribute.GD.dmgrate.buff.buffeffect.12</t>
  </si>
  <si>
    <t>Attribute.GD.dmgrate.buff.buffeffect.13</t>
  </si>
  <si>
    <t>Attribute.GD.dmgrate.buff.buffeffect.14</t>
  </si>
  <si>
    <t>Attribute.GD.dmgrate.buff.buffeffect.15</t>
  </si>
  <si>
    <t>Attribute.GD.dmgrate.buff.buffeffect.16</t>
  </si>
  <si>
    <t>Attribute.GD.dmgrate.buff.buffeffect.17</t>
  </si>
  <si>
    <t>Attribute.GD.dmgrate.buff.buffeffect.18</t>
  </si>
  <si>
    <t>Attribute.GD.dmgrate.buff.buffeffect.19</t>
  </si>
  <si>
    <t>Attribute.GD.dmgrate.buff.buffeffect.20</t>
  </si>
  <si>
    <t>Attribute.GD.dmgrate.buff.buffeffect.21</t>
  </si>
  <si>
    <t>Attribute.GD.dmgrate.buff.buffeffect.22</t>
  </si>
  <si>
    <t>Attribute.GD.dmgrate.buff.buffeffect.23</t>
  </si>
  <si>
    <t>Attribute.GD.dmgrate.buff.buffeffect.24</t>
  </si>
  <si>
    <t>Attribute.GD.dmgrate.buff.buffeffect.25</t>
  </si>
  <si>
    <t>Attribute.GD.dmgrate.buff.buffeffect.26</t>
  </si>
  <si>
    <t>Attribute.GD.dmgrate.buff.buffeffect.27</t>
  </si>
  <si>
    <t>Attribute.GD.dmgrate.buff.buffeffect.28</t>
  </si>
  <si>
    <t>Attribute.GD.dmgrate.buff.buffeffect.29</t>
  </si>
  <si>
    <t>Attribute.P.dmgrate.buff.buffeffect.01</t>
    <phoneticPr fontId="2" type="noConversion"/>
  </si>
  <si>
    <t>Attribute.P.dmgrate.buff.buffeffect.02</t>
  </si>
  <si>
    <t>Attribute.P.dmgrate.buff.buffeffect.03</t>
  </si>
  <si>
    <t>Attribute.P.dmgrate.buff.buffeffect.04</t>
  </si>
  <si>
    <t>Attribute.P.dmgrate.buff.buffeffect.05</t>
  </si>
  <si>
    <t>Attribute.P.dmgrate.buff.buffeffect.06</t>
  </si>
  <si>
    <t>Attribute.P.dmgrate.buff.buffeffect.07</t>
  </si>
  <si>
    <t>Attribute.P.dmgrate.buff.buffeffect.08</t>
  </si>
  <si>
    <t>Attribute.P.dmgrate.buff.buffeffect.09</t>
  </si>
  <si>
    <t>Attribute.P.dmgrate.buff.buffeffect.10</t>
  </si>
  <si>
    <t>Attribute.P.dmgrate.buff.buffeffect.11</t>
  </si>
  <si>
    <t>Attribute.P.dmgrate.buff.buffeffect.12</t>
  </si>
  <si>
    <t>Attribute.P.dmgrate.buff.buffeffect.13</t>
  </si>
  <si>
    <t>Attribute.P.dmgrate.buff.buffeffect.14</t>
  </si>
  <si>
    <t>Attribute.P.dmgrate.buff.buffeffect.15</t>
  </si>
  <si>
    <t>Attribute.P.dmgrate.buff.buffeffect.16</t>
  </si>
  <si>
    <t>Attribute.P.dmgrate.buff.buffeffect.17</t>
  </si>
  <si>
    <t>Attribute.P.dmgrate.buff.buffeffect.18</t>
  </si>
  <si>
    <t>Attribute.P.dmgrate.buff.buffeffect.19</t>
  </si>
  <si>
    <t>Attribute.P.dmgrate.buff.buffeffect.20</t>
  </si>
  <si>
    <t>Attribute.P.dmgrate.buff.buffeffect.21</t>
  </si>
  <si>
    <t>Attribute.P.dmgrate.buff.buffeffect.22</t>
  </si>
  <si>
    <t>Attribute.P.dmgrate.buff.buffeffect.23</t>
  </si>
  <si>
    <t>Attribute.P.dmgrate.buff.buffeffect.24</t>
  </si>
  <si>
    <t>Attribute.P.dmgrate.buff.buffeffect.25</t>
  </si>
  <si>
    <t>Attribute.P.dmgrate.buff.buffeffect.26</t>
  </si>
  <si>
    <t>Attribute.P.dmgrate.buff.buffeffect.27</t>
  </si>
  <si>
    <t>Attribute.P.dmgrate.buff.buffeffect.28</t>
  </si>
  <si>
    <t>Attribute.P.dmgrate.buff.buffeffect.29</t>
  </si>
  <si>
    <t>Attribute.Red.Exp.1.1</t>
  </si>
  <si>
    <t>Attribute.Red.Exp.1.2</t>
  </si>
  <si>
    <t>Attribute.Red.Exp.1.3</t>
  </si>
  <si>
    <t>Attribute.Red.Exp.1.4</t>
  </si>
  <si>
    <t>Attribute.Red.Exp.1.5</t>
  </si>
  <si>
    <t>Attribute.Red.Exp.1.6</t>
  </si>
  <si>
    <t>Attribute.Red.Exp.1.7</t>
  </si>
  <si>
    <t>Attribute.Red.Exp.1.8</t>
  </si>
  <si>
    <t>Attribute.Red.Exp.1.9</t>
  </si>
  <si>
    <t>Attribute.Red.Exp.1.10</t>
  </si>
  <si>
    <t>Attribute.Red.Exp.1.11</t>
  </si>
  <si>
    <t>Attribute.Red.Exp.1.12</t>
  </si>
  <si>
    <t>Attribute.Red.Exp.1.13</t>
  </si>
  <si>
    <t>Attribute.Red.Exp.1.14</t>
  </si>
  <si>
    <t>Attribute.Red.Exp.1.15</t>
  </si>
  <si>
    <t>Attribute.Red.Exp.1.16</t>
  </si>
  <si>
    <t>Attribute.Red.Exp.1.17</t>
  </si>
  <si>
    <t>Attribute.Red.Exp.1.18</t>
  </si>
  <si>
    <t>Attribute.Red.Exp.1.19</t>
  </si>
  <si>
    <t>Attribute.Red.Exp.1.20</t>
  </si>
  <si>
    <t>Attribute.Red.Exp.1.21</t>
  </si>
  <si>
    <t>Attribute.Red.Exp.1.22</t>
  </si>
  <si>
    <t>Attribute.Red.Exp.1.23</t>
  </si>
  <si>
    <t>Attribute.Red.Exp.1.24</t>
  </si>
  <si>
    <t>Attribute.Red.Exp.1.25</t>
  </si>
  <si>
    <t>Attribute.Red.Exp.1.26</t>
  </si>
  <si>
    <t>Attribute.Red.Exp.1.27</t>
  </si>
  <si>
    <t>Attribute.Red.Exp.1.28</t>
  </si>
  <si>
    <t>Attribute.Red.Exp.1.29</t>
  </si>
  <si>
    <t>Attribute.Red.Exp.1.30</t>
  </si>
  <si>
    <t>Attribute.Red.Exp.1.31</t>
  </si>
  <si>
    <t>Attribute.Red.Exp.1.32</t>
  </si>
  <si>
    <t>Attribute.Red.Exp.1.33</t>
  </si>
  <si>
    <t>Attribute.Red.Exp.1.34</t>
  </si>
  <si>
    <t>Attribute.Red.Exp.1.35</t>
  </si>
  <si>
    <t>Attribute.Red.Exp.1.36</t>
  </si>
  <si>
    <t>Attribute.Red.Exp.1.37</t>
  </si>
  <si>
    <t>Attribute.Red.Exp.1.38</t>
  </si>
  <si>
    <t>Attribute.Red.Exp.1.39</t>
  </si>
  <si>
    <t>Attribute.Red.Exp.1.40</t>
  </si>
  <si>
    <t>Attribute.Red.Exp.1.41</t>
  </si>
  <si>
    <t>Attribute.Red.Exp.1.42</t>
  </si>
  <si>
    <t>Attribute.Red.Exp.1.43</t>
  </si>
  <si>
    <t>Attribute.Red.Exp.1.44</t>
  </si>
  <si>
    <t>Attribute.Red.Exp.1.45</t>
  </si>
  <si>
    <t>Attribute.Red.Exp.1.46</t>
  </si>
  <si>
    <t>Attribute.Red.Exp.1.47</t>
  </si>
  <si>
    <t>Attribute.Red.Exp.1.48</t>
  </si>
  <si>
    <t>Attribute.Red.Exp.1.49</t>
  </si>
  <si>
    <t>Attribute.Red.Exp.1.50</t>
  </si>
  <si>
    <t>Attribute.Red.Gold.1.1</t>
  </si>
  <si>
    <t>Attribute.Red.Gold.1.2</t>
  </si>
  <si>
    <t>Attribute.Red.Gold.1.3</t>
  </si>
  <si>
    <t>Attribute.Red.Gold.1.4</t>
  </si>
  <si>
    <t>Attribute.Red.Gold.1.5</t>
  </si>
  <si>
    <t>Attribute.Red.Gold.1.6</t>
  </si>
  <si>
    <t>Attribute.Red.Gold.1.7</t>
  </si>
  <si>
    <t>Attribute.Red.Gold.1.8</t>
  </si>
  <si>
    <t>Attribute.Red.Gold.1.9</t>
  </si>
  <si>
    <t>Attribute.Red.Gold.1.10</t>
  </si>
  <si>
    <t>Attribute.Red.Gold.1.11</t>
  </si>
  <si>
    <t>Attribute.Red.Gold.1.12</t>
  </si>
  <si>
    <t>Attribute.Red.Gold.1.13</t>
  </si>
  <si>
    <t>Attribute.Red.Gold.1.14</t>
  </si>
  <si>
    <t>Attribute.Red.Gold.1.15</t>
  </si>
  <si>
    <t>Attribute.Red.Gold.1.16</t>
  </si>
  <si>
    <t>Attribute.Red.Gold.1.17</t>
  </si>
  <si>
    <t>Attribute.Red.Gold.1.18</t>
  </si>
  <si>
    <t>Attribute.Red.Gold.1.19</t>
  </si>
  <si>
    <t>Attribute.Red.Gold.1.20</t>
  </si>
  <si>
    <t>Attribute.Red.Gold.1.21</t>
  </si>
  <si>
    <t>Attribute.Red.Gold.1.22</t>
  </si>
  <si>
    <t>Attribute.Red.Gold.1.23</t>
  </si>
  <si>
    <t>Attribute.Red.Gold.1.24</t>
  </si>
  <si>
    <t>Attribute.Red.Gold.1.25</t>
  </si>
  <si>
    <t>Attribute.Red.Gold.1.26</t>
  </si>
  <si>
    <t>Attribute.Red.Gold.1.27</t>
  </si>
  <si>
    <t>Attribute.Red.Gold.1.28</t>
  </si>
  <si>
    <t>Attribute.Red.Gold.1.29</t>
  </si>
  <si>
    <t>Attribute.Red.Gold.1.30</t>
  </si>
  <si>
    <t>Attribute.Red.Gold.1.31</t>
  </si>
  <si>
    <t>Attribute.Red.Gold.1.32</t>
  </si>
  <si>
    <t>Attribute.Red.Gold.1.33</t>
  </si>
  <si>
    <t>Attribute.Red.Gold.1.34</t>
  </si>
  <si>
    <t>Attribute.Red.Gold.1.35</t>
  </si>
  <si>
    <t>Attribute.Red.Gold.1.36</t>
  </si>
  <si>
    <t>Attribute.Red.Gold.1.37</t>
  </si>
  <si>
    <t>Attribute.Red.Gold.1.38</t>
  </si>
  <si>
    <t>Attribute.Red.Gold.1.39</t>
  </si>
  <si>
    <t>Attribute.Red.Gold.1.40</t>
  </si>
  <si>
    <t>Attribute.Red.Gold.1.41</t>
  </si>
  <si>
    <t>Attribute.Red.Gold.1.42</t>
  </si>
  <si>
    <t>Attribute.Red.Gold.1.43</t>
  </si>
  <si>
    <t>Attribute.Red.Gold.1.44</t>
  </si>
  <si>
    <t>Attribute.Red.Gold.1.45</t>
  </si>
  <si>
    <t>Attribute.Red.Gold.1.46</t>
  </si>
  <si>
    <t>Attribute.Red.Gold.1.47</t>
  </si>
  <si>
    <t>Attribute.Red.Gold.1.48</t>
  </si>
  <si>
    <t>Attribute.Red.Gold.1.49</t>
  </si>
  <si>
    <t>Attribute.Red.Gold.1.50</t>
  </si>
  <si>
    <t>Attribute.Red.Seed.1.1</t>
  </si>
  <si>
    <t>Attribute.Red.Seed.1.2</t>
  </si>
  <si>
    <t>Attribute.Red.Seed.1.3</t>
  </si>
  <si>
    <t>Attribute.Red.Seed.1.4</t>
  </si>
  <si>
    <t>Attribute.Red.Seed.1.5</t>
  </si>
  <si>
    <t>Attribute.Red.Seed.1.6</t>
  </si>
  <si>
    <t>Attribute.Red.Seed.1.7</t>
  </si>
  <si>
    <t>Attribute.Red.Seed.1.8</t>
  </si>
  <si>
    <t>Attribute.Red.Seed.1.9</t>
  </si>
  <si>
    <t>Attribute.Red.Seed.1.10</t>
  </si>
  <si>
    <t>Attribute.Red.Seed.1.11</t>
  </si>
  <si>
    <t>Attribute.Red.Seed.1.12</t>
  </si>
  <si>
    <t>Attribute.Red.Seed.1.13</t>
  </si>
  <si>
    <t>Attribute.Red.Seed.1.14</t>
  </si>
  <si>
    <t>Attribute.Red.Seed.1.15</t>
  </si>
  <si>
    <t>Attribute.Red.Seed.1.16</t>
  </si>
  <si>
    <t>Attribute.Red.Seed.1.17</t>
  </si>
  <si>
    <t>Attribute.Red.Seed.1.18</t>
  </si>
  <si>
    <t>Attribute.Red.Seed.1.19</t>
  </si>
  <si>
    <t>Attribute.Red.Seed.1.20</t>
  </si>
  <si>
    <t>Attribute.Red.Seed.1.21</t>
  </si>
  <si>
    <t>Attribute.Red.Seed.1.22</t>
  </si>
  <si>
    <t>Attribute.Red.Seed.1.23</t>
  </si>
  <si>
    <t>Attribute.Red.Seed.1.24</t>
  </si>
  <si>
    <t>Attribute.Red.Seed.1.25</t>
  </si>
  <si>
    <t>Attribute.Red.Seed.1.26</t>
  </si>
  <si>
    <t>Attribute.Red.Seed.1.27</t>
  </si>
  <si>
    <t>Attribute.Red.Seed.1.28</t>
  </si>
  <si>
    <t>Attribute.Red.Seed.1.29</t>
  </si>
  <si>
    <t>Attribute.Red.Seed.1.30</t>
  </si>
  <si>
    <t>Attribute.Red.Seed.1.31</t>
  </si>
  <si>
    <t>Attribute.Red.Seed.1.32</t>
  </si>
  <si>
    <t>Attribute.Red.Seed.1.33</t>
  </si>
  <si>
    <t>Attribute.Red.Seed.1.34</t>
  </si>
  <si>
    <t>Attribute.Red.Seed.1.35</t>
  </si>
  <si>
    <t>Attribute.Red.Seed.1.36</t>
  </si>
  <si>
    <t>Attribute.Red.Seed.1.37</t>
  </si>
  <si>
    <t>Attribute.Red.Seed.1.38</t>
  </si>
  <si>
    <t>Attribute.Red.Seed.1.39</t>
  </si>
  <si>
    <t>Attribute.Red.Seed.1.40</t>
  </si>
  <si>
    <t>Attribute.Red.Seed.1.41</t>
  </si>
  <si>
    <t>Attribute.Red.Seed.1.42</t>
  </si>
  <si>
    <t>Attribute.Red.Seed.1.43</t>
  </si>
  <si>
    <t>Attribute.Red.Seed.1.44</t>
  </si>
  <si>
    <t>Attribute.Red.Seed.1.45</t>
  </si>
  <si>
    <t>Attribute.Red.Seed.1.46</t>
  </si>
  <si>
    <t>Attribute.Red.Seed.1.47</t>
  </si>
  <si>
    <t>Attribute.Red.Seed.1.48</t>
  </si>
  <si>
    <t>Attribute.Red.Seed.1.49</t>
  </si>
  <si>
    <t>Attribute.Red.Seed.1.50</t>
  </si>
  <si>
    <t>Attribute.Red.Def.1.1&amp;Attribute.Red.Def.2.1&amp;Attribute.Red.Def.3.1&amp;Attribute.Red.Def.4.1&amp;Attribute.Red.Def.5.1</t>
  </si>
  <si>
    <t>Attribute.Red.Def.1.2&amp;Attribute.Red.Def.2.2&amp;Attribute.Red.Def.3.2&amp;Attribute.Red.Def.4.2&amp;Attribute.Red.Def.5.2</t>
  </si>
  <si>
    <t>Attribute.Red.Def.1.3&amp;Attribute.Red.Def.2.3&amp;Attribute.Red.Def.3.3&amp;Attribute.Red.Def.4.3&amp;Attribute.Red.Def.5.3</t>
  </si>
  <si>
    <t>Attribute.Red.Def.1.4&amp;Attribute.Red.Def.2.4&amp;Attribute.Red.Def.3.4&amp;Attribute.Red.Def.4.4&amp;Attribute.Red.Def.5.4</t>
  </si>
  <si>
    <t>Attribute.Red.Def.1.5&amp;Attribute.Red.Def.2.5&amp;Attribute.Red.Def.3.5&amp;Attribute.Red.Def.4.5&amp;Attribute.Red.Def.5.5</t>
  </si>
  <si>
    <t>Attribute.Red.Def.1.6&amp;Attribute.Red.Def.2.6&amp;Attribute.Red.Def.3.6&amp;Attribute.Red.Def.4.6&amp;Attribute.Red.Def.5.6</t>
  </si>
  <si>
    <t>Attribute.Red.Def.1.7&amp;Attribute.Red.Def.2.7&amp;Attribute.Red.Def.3.7&amp;Attribute.Red.Def.4.7&amp;Attribute.Red.Def.5.7</t>
  </si>
  <si>
    <t>Attribute.Red.Def.1.8&amp;Attribute.Red.Def.2.8&amp;Attribute.Red.Def.3.8&amp;Attribute.Red.Def.4.8&amp;Attribute.Red.Def.5.8</t>
  </si>
  <si>
    <t>Attribute.Red.Def.1.9&amp;Attribute.Red.Def.2.9&amp;Attribute.Red.Def.3.9&amp;Attribute.Red.Def.4.9&amp;Attribute.Red.Def.5.9</t>
  </si>
  <si>
    <t>Attribute.Red.Def.1.10&amp;Attribute.Red.Def.2.10&amp;Attribute.Red.Def.3.10&amp;Attribute.Red.Def.4.10&amp;Attribute.Red.Def.5.10</t>
  </si>
  <si>
    <t>Attribute.Red.Def.1.11&amp;Attribute.Red.Def.2.11&amp;Attribute.Red.Def.3.11&amp;Attribute.Red.Def.4.11&amp;Attribute.Red.Def.5.11</t>
  </si>
  <si>
    <t>Attribute.Red.Def.1.12&amp;Attribute.Red.Def.2.12&amp;Attribute.Red.Def.3.12&amp;Attribute.Red.Def.4.12&amp;Attribute.Red.Def.5.12</t>
  </si>
  <si>
    <t>Attribute.Red.Def.1.13&amp;Attribute.Red.Def.2.13&amp;Attribute.Red.Def.3.13&amp;Attribute.Red.Def.4.13&amp;Attribute.Red.Def.5.13</t>
  </si>
  <si>
    <t>Attribute.Red.Def.1.14&amp;Attribute.Red.Def.2.14&amp;Attribute.Red.Def.3.14&amp;Attribute.Red.Def.4.14&amp;Attribute.Red.Def.5.14</t>
  </si>
  <si>
    <t>Attribute.Red.Def.1.15&amp;Attribute.Red.Def.2.15&amp;Attribute.Red.Def.3.15&amp;Attribute.Red.Def.4.15&amp;Attribute.Red.Def.5.15</t>
  </si>
  <si>
    <t>Attribute.Red.Def.1.16&amp;Attribute.Red.Def.2.16&amp;Attribute.Red.Def.3.16&amp;Attribute.Red.Def.4.16&amp;Attribute.Red.Def.5.16</t>
  </si>
  <si>
    <t>Attribute.Red.Def.1.17&amp;Attribute.Red.Def.2.17&amp;Attribute.Red.Def.3.17&amp;Attribute.Red.Def.4.17&amp;Attribute.Red.Def.5.17</t>
  </si>
  <si>
    <t>Attribute.Red.Def.1.18&amp;Attribute.Red.Def.2.18&amp;Attribute.Red.Def.3.18&amp;Attribute.Red.Def.4.18&amp;Attribute.Red.Def.5.18</t>
  </si>
  <si>
    <t>Attribute.Red.Def.1.19&amp;Attribute.Red.Def.2.19&amp;Attribute.Red.Def.3.19&amp;Attribute.Red.Def.4.19&amp;Attribute.Red.Def.5.19</t>
  </si>
  <si>
    <t>Attribute.Red.Def.1.20&amp;Attribute.Red.Def.2.20&amp;Attribute.Red.Def.3.20&amp;Attribute.Red.Def.4.20&amp;Attribute.Red.Def.5.20</t>
  </si>
  <si>
    <t>Attribute.Red.Def.1.21&amp;Attribute.Red.Def.2.21&amp;Attribute.Red.Def.3.21&amp;Attribute.Red.Def.4.21&amp;Attribute.Red.Def.5.21</t>
  </si>
  <si>
    <t>Attribute.Red.Def.1.22&amp;Attribute.Red.Def.2.22&amp;Attribute.Red.Def.3.22&amp;Attribute.Red.Def.4.22&amp;Attribute.Red.Def.5.22</t>
  </si>
  <si>
    <t>Attribute.Red.Def.1.23&amp;Attribute.Red.Def.2.23&amp;Attribute.Red.Def.3.23&amp;Attribute.Red.Def.4.23&amp;Attribute.Red.Def.5.23</t>
  </si>
  <si>
    <t>Attribute.Red.Def.1.24&amp;Attribute.Red.Def.2.24&amp;Attribute.Red.Def.3.24&amp;Attribute.Red.Def.4.24&amp;Attribute.Red.Def.5.24</t>
  </si>
  <si>
    <t>Attribute.Red.Def.1.25&amp;Attribute.Red.Def.2.25&amp;Attribute.Red.Def.3.25&amp;Attribute.Red.Def.4.25&amp;Attribute.Red.Def.5.25</t>
  </si>
  <si>
    <t>Attribute.Red.Def.1.26&amp;Attribute.Red.Def.2.26&amp;Attribute.Red.Def.3.26&amp;Attribute.Red.Def.4.26&amp;Attribute.Red.Def.5.26</t>
  </si>
  <si>
    <t>Attribute.Red.Def.1.27&amp;Attribute.Red.Def.2.27&amp;Attribute.Red.Def.3.27&amp;Attribute.Red.Def.4.27&amp;Attribute.Red.Def.5.27</t>
  </si>
  <si>
    <t>Attribute.Red.Def.1.28&amp;Attribute.Red.Def.2.28&amp;Attribute.Red.Def.3.28&amp;Attribute.Red.Def.4.28&amp;Attribute.Red.Def.5.28</t>
  </si>
  <si>
    <t>Attribute.Red.Def.1.29&amp;Attribute.Red.Def.2.29&amp;Attribute.Red.Def.3.29&amp;Attribute.Red.Def.4.29&amp;Attribute.Red.Def.5.29</t>
  </si>
  <si>
    <t>Attribute.Red.Def.1.30&amp;Attribute.Red.Def.2.30&amp;Attribute.Red.Def.3.30&amp;Attribute.Red.Def.4.30&amp;Attribute.Red.Def.5.30</t>
  </si>
  <si>
    <t>Attribute.Red.Def.1.31&amp;Attribute.Red.Def.2.31&amp;Attribute.Red.Def.3.31&amp;Attribute.Red.Def.4.31&amp;Attribute.Red.Def.5.31</t>
  </si>
  <si>
    <t>Attribute.Red.Def.1.32&amp;Attribute.Red.Def.2.32&amp;Attribute.Red.Def.3.32&amp;Attribute.Red.Def.4.32&amp;Attribute.Red.Def.5.32</t>
  </si>
  <si>
    <t>Attribute.Red.Def.1.33&amp;Attribute.Red.Def.2.33&amp;Attribute.Red.Def.3.33&amp;Attribute.Red.Def.4.33&amp;Attribute.Red.Def.5.33</t>
  </si>
  <si>
    <t>Attribute.Red.Def.1.34&amp;Attribute.Red.Def.2.34&amp;Attribute.Red.Def.3.34&amp;Attribute.Red.Def.4.34&amp;Attribute.Red.Def.5.34</t>
  </si>
  <si>
    <t>Attribute.Red.Def.1.35&amp;Attribute.Red.Def.2.35&amp;Attribute.Red.Def.3.35&amp;Attribute.Red.Def.4.35&amp;Attribute.Red.Def.5.35</t>
  </si>
  <si>
    <t>Attribute.Red.Def.1.36&amp;Attribute.Red.Def.2.36&amp;Attribute.Red.Def.3.36&amp;Attribute.Red.Def.4.36&amp;Attribute.Red.Def.5.36</t>
  </si>
  <si>
    <t>Attribute.Red.Def.1.37&amp;Attribute.Red.Def.2.37&amp;Attribute.Red.Def.3.37&amp;Attribute.Red.Def.4.37&amp;Attribute.Red.Def.5.37</t>
  </si>
  <si>
    <t>Attribute.Red.Def.1.38&amp;Attribute.Red.Def.2.38&amp;Attribute.Red.Def.3.38&amp;Attribute.Red.Def.4.38&amp;Attribute.Red.Def.5.38</t>
  </si>
  <si>
    <t>Attribute.Red.Def.1.39&amp;Attribute.Red.Def.2.39&amp;Attribute.Red.Def.3.39&amp;Attribute.Red.Def.4.39&amp;Attribute.Red.Def.5.39</t>
  </si>
  <si>
    <t>Attribute.Red.Def.1.40&amp;Attribute.Red.Def.2.40&amp;Attribute.Red.Def.3.40&amp;Attribute.Red.Def.4.40&amp;Attribute.Red.Def.5.40</t>
  </si>
  <si>
    <t>Attribute.Red.Def.1.41&amp;Attribute.Red.Def.2.41&amp;Attribute.Red.Def.3.41&amp;Attribute.Red.Def.4.41&amp;Attribute.Red.Def.5.41</t>
  </si>
  <si>
    <t>Attribute.Red.Def.1.42&amp;Attribute.Red.Def.2.42&amp;Attribute.Red.Def.3.42&amp;Attribute.Red.Def.4.42&amp;Attribute.Red.Def.5.42</t>
  </si>
  <si>
    <t>Attribute.Red.Def.1.43&amp;Attribute.Red.Def.2.43&amp;Attribute.Red.Def.3.43&amp;Attribute.Red.Def.4.43&amp;Attribute.Red.Def.5.43</t>
  </si>
  <si>
    <t>Attribute.Red.Def.1.44&amp;Attribute.Red.Def.2.44&amp;Attribute.Red.Def.3.44&amp;Attribute.Red.Def.4.44&amp;Attribute.Red.Def.5.44</t>
  </si>
  <si>
    <t>Attribute.Red.Def.1.45&amp;Attribute.Red.Def.2.45&amp;Attribute.Red.Def.3.45&amp;Attribute.Red.Def.4.45&amp;Attribute.Red.Def.5.45</t>
  </si>
  <si>
    <t>Attribute.Red.Def.1.46&amp;Attribute.Red.Def.2.46&amp;Attribute.Red.Def.3.46&amp;Attribute.Red.Def.4.46&amp;Attribute.Red.Def.5.46</t>
  </si>
  <si>
    <t>Attribute.Red.Def.1.47&amp;Attribute.Red.Def.2.47&amp;Attribute.Red.Def.3.47&amp;Attribute.Red.Def.4.47&amp;Attribute.Red.Def.5.47</t>
  </si>
  <si>
    <t>Attribute.Red.Def.1.48&amp;Attribute.Red.Def.2.48&amp;Attribute.Red.Def.3.48&amp;Attribute.Red.Def.4.48&amp;Attribute.Red.Def.5.48</t>
  </si>
  <si>
    <t>Attribute.Red.Def.1.49&amp;Attribute.Red.Def.2.49&amp;Attribute.Red.Def.3.49&amp;Attribute.Red.Def.4.49&amp;Attribute.Red.Def.5.49</t>
  </si>
  <si>
    <t>Attribute.Red.Def.1.50&amp;Attribute.Red.Def.2.50&amp;Attribute.Red.Def.3.50&amp;Attribute.Red.Def.4.50&amp;Attribute.Red.Def.5.50</t>
  </si>
  <si>
    <t>AttributeBattle02_1</t>
    <phoneticPr fontId="2" type="noConversion"/>
  </si>
  <si>
    <t>AttributeBattle02_2</t>
    <phoneticPr fontId="2" type="noConversion"/>
  </si>
  <si>
    <t>AttributeBattle02_3</t>
    <phoneticPr fontId="2" type="noConversion"/>
  </si>
  <si>
    <t>AttributeBattle02_4</t>
    <phoneticPr fontId="2" type="noConversion"/>
  </si>
  <si>
    <t>Attribute.Green.Exp.1.1</t>
  </si>
  <si>
    <t>Attribute.Green.Exp.1.2</t>
  </si>
  <si>
    <t>Attribute.Green.Exp.1.3</t>
  </si>
  <si>
    <t>Attribute.Green.Exp.1.4</t>
  </si>
  <si>
    <t>Attribute.Green.Exp.1.5</t>
  </si>
  <si>
    <t>Attribute.Green.Exp.1.6</t>
  </si>
  <si>
    <t>Attribute.Green.Exp.1.7</t>
  </si>
  <si>
    <t>Attribute.Green.Exp.1.8</t>
  </si>
  <si>
    <t>Attribute.Green.Exp.1.9</t>
  </si>
  <si>
    <t>Attribute.Green.Exp.1.10</t>
  </si>
  <si>
    <t>Attribute.Green.Exp.1.11</t>
  </si>
  <si>
    <t>Attribute.Green.Exp.1.12</t>
  </si>
  <si>
    <t>Attribute.Green.Exp.1.13</t>
  </si>
  <si>
    <t>Attribute.Green.Exp.1.14</t>
  </si>
  <si>
    <t>Attribute.Green.Exp.1.15</t>
  </si>
  <si>
    <t>Attribute.Green.Exp.1.16</t>
  </si>
  <si>
    <t>Attribute.Green.Exp.1.17</t>
  </si>
  <si>
    <t>Attribute.Green.Exp.1.18</t>
  </si>
  <si>
    <t>Attribute.Green.Exp.1.19</t>
  </si>
  <si>
    <t>Attribute.Green.Exp.1.20</t>
  </si>
  <si>
    <t>Attribute.Green.Exp.1.21</t>
  </si>
  <si>
    <t>Attribute.Green.Exp.1.22</t>
  </si>
  <si>
    <t>Attribute.Green.Exp.1.23</t>
  </si>
  <si>
    <t>Attribute.Green.Exp.1.24</t>
  </si>
  <si>
    <t>Attribute.Green.Exp.1.25</t>
  </si>
  <si>
    <t>Attribute.Green.Exp.1.26</t>
  </si>
  <si>
    <t>Attribute.Green.Exp.1.27</t>
  </si>
  <si>
    <t>Attribute.Green.Exp.1.28</t>
  </si>
  <si>
    <t>Attribute.Green.Exp.1.29</t>
  </si>
  <si>
    <t>Attribute.Green.Exp.1.30</t>
  </si>
  <si>
    <t>Attribute.Green.Exp.1.31</t>
  </si>
  <si>
    <t>Attribute.Green.Exp.1.32</t>
  </si>
  <si>
    <t>Attribute.Green.Exp.1.33</t>
  </si>
  <si>
    <t>Attribute.Green.Exp.1.34</t>
  </si>
  <si>
    <t>Attribute.Green.Exp.1.35</t>
  </si>
  <si>
    <t>Attribute.Green.Exp.1.36</t>
  </si>
  <si>
    <t>Attribute.Green.Exp.1.37</t>
  </si>
  <si>
    <t>Attribute.Green.Exp.1.38</t>
  </si>
  <si>
    <t>Attribute.Green.Exp.1.39</t>
  </si>
  <si>
    <t>Attribute.Green.Exp.1.40</t>
  </si>
  <si>
    <t>Attribute.Green.Exp.1.41</t>
  </si>
  <si>
    <t>Attribute.Green.Exp.1.42</t>
  </si>
  <si>
    <t>Attribute.Green.Exp.1.43</t>
  </si>
  <si>
    <t>Attribute.Green.Exp.1.44</t>
  </si>
  <si>
    <t>Attribute.Green.Exp.1.45</t>
  </si>
  <si>
    <t>Attribute.Green.Exp.1.46</t>
  </si>
  <si>
    <t>Attribute.Green.Exp.1.47</t>
  </si>
  <si>
    <t>Attribute.Green.Exp.1.48</t>
  </si>
  <si>
    <t>Attribute.Green.Exp.1.49</t>
  </si>
  <si>
    <t>Attribute.Green.Exp.1.50</t>
  </si>
  <si>
    <t>Attribute.Green.Seed.1.1</t>
  </si>
  <si>
    <t>Attribute.Green.Seed.1.2</t>
  </si>
  <si>
    <t>Attribute.Green.Seed.1.3</t>
  </si>
  <si>
    <t>Attribute.Green.Seed.1.4</t>
  </si>
  <si>
    <t>Attribute.Green.Seed.1.5</t>
  </si>
  <si>
    <t>Attribute.Green.Seed.1.6</t>
  </si>
  <si>
    <t>Attribute.Green.Seed.1.7</t>
  </si>
  <si>
    <t>Attribute.Green.Seed.1.8</t>
  </si>
  <si>
    <t>Attribute.Green.Seed.1.9</t>
  </si>
  <si>
    <t>Attribute.Green.Seed.1.10</t>
  </si>
  <si>
    <t>Attribute.Green.Seed.1.11</t>
  </si>
  <si>
    <t>Attribute.Green.Seed.1.12</t>
  </si>
  <si>
    <t>Attribute.Green.Seed.1.13</t>
  </si>
  <si>
    <t>Attribute.Green.Seed.1.14</t>
  </si>
  <si>
    <t>Attribute.Green.Seed.1.15</t>
  </si>
  <si>
    <t>Attribute.Green.Seed.1.16</t>
  </si>
  <si>
    <t>Attribute.Green.Seed.1.17</t>
  </si>
  <si>
    <t>Attribute.Green.Seed.1.18</t>
  </si>
  <si>
    <t>Attribute.Green.Seed.1.19</t>
  </si>
  <si>
    <t>Attribute.Green.Seed.1.20</t>
  </si>
  <si>
    <t>Attribute.Green.Seed.1.21</t>
  </si>
  <si>
    <t>Attribute.Green.Seed.1.22</t>
  </si>
  <si>
    <t>Attribute.Green.Seed.1.23</t>
  </si>
  <si>
    <t>Attribute.Green.Seed.1.24</t>
  </si>
  <si>
    <t>Attribute.Green.Seed.1.25</t>
  </si>
  <si>
    <t>Attribute.Green.Seed.1.26</t>
  </si>
  <si>
    <t>Attribute.Green.Seed.1.27</t>
  </si>
  <si>
    <t>Attribute.Green.Seed.1.28</t>
  </si>
  <si>
    <t>Attribute.Green.Seed.1.29</t>
  </si>
  <si>
    <t>Attribute.Green.Seed.1.30</t>
  </si>
  <si>
    <t>Attribute.Green.Seed.1.31</t>
  </si>
  <si>
    <t>Attribute.Green.Seed.1.32</t>
  </si>
  <si>
    <t>Attribute.Green.Seed.1.33</t>
  </si>
  <si>
    <t>Attribute.Green.Seed.1.34</t>
  </si>
  <si>
    <t>Attribute.Green.Seed.1.35</t>
  </si>
  <si>
    <t>Attribute.Green.Seed.1.36</t>
  </si>
  <si>
    <t>Attribute.Green.Seed.1.37</t>
  </si>
  <si>
    <t>Attribute.Green.Seed.1.38</t>
  </si>
  <si>
    <t>Attribute.Green.Seed.1.39</t>
  </si>
  <si>
    <t>Attribute.Green.Seed.1.40</t>
  </si>
  <si>
    <t>Attribute.Green.Seed.1.41</t>
  </si>
  <si>
    <t>Attribute.Green.Seed.1.42</t>
  </si>
  <si>
    <t>Attribute.Green.Seed.1.43</t>
  </si>
  <si>
    <t>Attribute.Green.Seed.1.44</t>
  </si>
  <si>
    <t>Attribute.Green.Seed.1.45</t>
  </si>
  <si>
    <t>Attribute.Green.Seed.1.46</t>
  </si>
  <si>
    <t>Attribute.Green.Seed.1.47</t>
  </si>
  <si>
    <t>Attribute.Green.Seed.1.48</t>
  </si>
  <si>
    <t>Attribute.Green.Seed.1.49</t>
  </si>
  <si>
    <t>Attribute.Green.Seed.1.50</t>
  </si>
  <si>
    <t>Attribute.Green.Gold.1.1</t>
  </si>
  <si>
    <t>Attribute.Green.Gold.1.2</t>
  </si>
  <si>
    <t>Attribute.Green.Gold.1.3</t>
  </si>
  <si>
    <t>Attribute.Green.Gold.1.4</t>
  </si>
  <si>
    <t>Attribute.Green.Gold.1.5</t>
  </si>
  <si>
    <t>Attribute.Green.Gold.1.6</t>
  </si>
  <si>
    <t>Attribute.Green.Gold.1.7</t>
  </si>
  <si>
    <t>Attribute.Green.Gold.1.8</t>
  </si>
  <si>
    <t>Attribute.Green.Gold.1.9</t>
  </si>
  <si>
    <t>Attribute.Green.Gold.1.10</t>
  </si>
  <si>
    <t>Attribute.Green.Gold.1.11</t>
  </si>
  <si>
    <t>Attribute.Green.Gold.1.12</t>
  </si>
  <si>
    <t>Attribute.Green.Gold.1.13</t>
  </si>
  <si>
    <t>Attribute.Green.Gold.1.14</t>
  </si>
  <si>
    <t>Attribute.Green.Gold.1.15</t>
  </si>
  <si>
    <t>Attribute.Green.Gold.1.16</t>
  </si>
  <si>
    <t>Attribute.Green.Gold.1.17</t>
  </si>
  <si>
    <t>Attribute.Green.Gold.1.18</t>
  </si>
  <si>
    <t>Attribute.Green.Gold.1.19</t>
  </si>
  <si>
    <t>Attribute.Green.Gold.1.20</t>
  </si>
  <si>
    <t>Attribute.Green.Gold.1.21</t>
  </si>
  <si>
    <t>Attribute.Green.Gold.1.22</t>
  </si>
  <si>
    <t>Attribute.Green.Gold.1.23</t>
  </si>
  <si>
    <t>Attribute.Green.Gold.1.24</t>
  </si>
  <si>
    <t>Attribute.Green.Gold.1.25</t>
  </si>
  <si>
    <t>Attribute.Green.Gold.1.26</t>
  </si>
  <si>
    <t>Attribute.Green.Gold.1.27</t>
  </si>
  <si>
    <t>Attribute.Green.Gold.1.28</t>
  </si>
  <si>
    <t>Attribute.Green.Gold.1.29</t>
  </si>
  <si>
    <t>Attribute.Green.Gold.1.30</t>
  </si>
  <si>
    <t>Attribute.Green.Gold.1.31</t>
  </si>
  <si>
    <t>Attribute.Green.Gold.1.32</t>
  </si>
  <si>
    <t>Attribute.Green.Gold.1.33</t>
  </si>
  <si>
    <t>Attribute.Green.Gold.1.34</t>
  </si>
  <si>
    <t>Attribute.Green.Gold.1.35</t>
  </si>
  <si>
    <t>Attribute.Green.Gold.1.36</t>
  </si>
  <si>
    <t>Attribute.Green.Gold.1.37</t>
  </si>
  <si>
    <t>Attribute.Green.Gold.1.38</t>
  </si>
  <si>
    <t>Attribute.Green.Gold.1.39</t>
  </si>
  <si>
    <t>Attribute.Green.Gold.1.40</t>
  </si>
  <si>
    <t>Attribute.Green.Gold.1.41</t>
  </si>
  <si>
    <t>Attribute.Green.Gold.1.42</t>
  </si>
  <si>
    <t>Attribute.Green.Gold.1.43</t>
  </si>
  <si>
    <t>Attribute.Green.Gold.1.44</t>
  </si>
  <si>
    <t>Attribute.Green.Gold.1.45</t>
  </si>
  <si>
    <t>Attribute.Green.Gold.1.46</t>
  </si>
  <si>
    <t>Attribute.Green.Gold.1.47</t>
  </si>
  <si>
    <t>Attribute.Green.Gold.1.48</t>
  </si>
  <si>
    <t>Attribute.Green.Def.1.1&amp;Attribute.Green.Def.2.1&amp;Attribute.Green.Def.3.1&amp;Attribute.Green.Def.4.1&amp;Attribute.Green.Def.5.1</t>
  </si>
  <si>
    <t>Attribute.Green.Def.1.2&amp;Attribute.Green.Def.2.2&amp;Attribute.Green.Def.3.2&amp;Attribute.Green.Def.4.2&amp;Attribute.Green.Def.5.2</t>
  </si>
  <si>
    <t>Attribute.Green.Def.1.3&amp;Attribute.Green.Def.2.3&amp;Attribute.Green.Def.3.3&amp;Attribute.Green.Def.4.3&amp;Attribute.Green.Def.5.3</t>
  </si>
  <si>
    <t>Attribute.Green.Def.1.4&amp;Attribute.Green.Def.2.4&amp;Attribute.Green.Def.3.4&amp;Attribute.Green.Def.4.4&amp;Attribute.Green.Def.5.4</t>
  </si>
  <si>
    <t>Attribute.Green.Def.1.5&amp;Attribute.Green.Def.2.5&amp;Attribute.Green.Def.3.5&amp;Attribute.Green.Def.4.5&amp;Attribute.Green.Def.5.5</t>
  </si>
  <si>
    <t>Attribute.Green.Def.1.6&amp;Attribute.Green.Def.2.6&amp;Attribute.Green.Def.3.6&amp;Attribute.Green.Def.4.6&amp;Attribute.Green.Def.5.6</t>
  </si>
  <si>
    <t>Attribute.Green.Def.1.7&amp;Attribute.Green.Def.2.7&amp;Attribute.Green.Def.3.7&amp;Attribute.Green.Def.4.7&amp;Attribute.Green.Def.5.7</t>
  </si>
  <si>
    <t>Attribute.Green.Def.1.8&amp;Attribute.Green.Def.2.8&amp;Attribute.Green.Def.3.8&amp;Attribute.Green.Def.4.8&amp;Attribute.Green.Def.5.8</t>
  </si>
  <si>
    <t>Attribute.Green.Def.1.9&amp;Attribute.Green.Def.2.9&amp;Attribute.Green.Def.3.9&amp;Attribute.Green.Def.4.9&amp;Attribute.Green.Def.5.9</t>
  </si>
  <si>
    <t>Attribute.Green.Def.1.10&amp;Attribute.Green.Def.2.10&amp;Attribute.Green.Def.3.10&amp;Attribute.Green.Def.4.10&amp;Attribute.Green.Def.5.10</t>
  </si>
  <si>
    <t>Attribute.Green.Def.1.11&amp;Attribute.Green.Def.2.11&amp;Attribute.Green.Def.3.11&amp;Attribute.Green.Def.4.11&amp;Attribute.Green.Def.5.11</t>
  </si>
  <si>
    <t>Attribute.Green.Def.1.12&amp;Attribute.Green.Def.2.12&amp;Attribute.Green.Def.3.12&amp;Attribute.Green.Def.4.12&amp;Attribute.Green.Def.5.12</t>
  </si>
  <si>
    <t>Attribute.Green.Def.1.13&amp;Attribute.Green.Def.2.13&amp;Attribute.Green.Def.3.13&amp;Attribute.Green.Def.4.13&amp;Attribute.Green.Def.5.13</t>
  </si>
  <si>
    <t>Attribute.Green.Def.1.14&amp;Attribute.Green.Def.2.14&amp;Attribute.Green.Def.3.14&amp;Attribute.Green.Def.4.14&amp;Attribute.Green.Def.5.14</t>
  </si>
  <si>
    <t>Attribute.Green.Def.1.15&amp;Attribute.Green.Def.2.15&amp;Attribute.Green.Def.3.15&amp;Attribute.Green.Def.4.15&amp;Attribute.Green.Def.5.15</t>
  </si>
  <si>
    <t>Attribute.Green.Def.1.16&amp;Attribute.Green.Def.2.16&amp;Attribute.Green.Def.3.16&amp;Attribute.Green.Def.4.16&amp;Attribute.Green.Def.5.16</t>
  </si>
  <si>
    <t>Attribute.Green.Def.1.17&amp;Attribute.Green.Def.2.17&amp;Attribute.Green.Def.3.17&amp;Attribute.Green.Def.4.17&amp;Attribute.Green.Def.5.17</t>
  </si>
  <si>
    <t>Attribute.Green.Def.1.18&amp;Attribute.Green.Def.2.18&amp;Attribute.Green.Def.3.18&amp;Attribute.Green.Def.4.18&amp;Attribute.Green.Def.5.18</t>
  </si>
  <si>
    <t>Attribute.Green.Def.1.19&amp;Attribute.Green.Def.2.19&amp;Attribute.Green.Def.3.19&amp;Attribute.Green.Def.4.19&amp;Attribute.Green.Def.5.19</t>
  </si>
  <si>
    <t>Attribute.Green.Def.1.20&amp;Attribute.Green.Def.2.20&amp;Attribute.Green.Def.3.20&amp;Attribute.Green.Def.4.20&amp;Attribute.Green.Def.5.20</t>
  </si>
  <si>
    <t>Attribute.Green.Def.1.21&amp;Attribute.Green.Def.2.21&amp;Attribute.Green.Def.3.21&amp;Attribute.Green.Def.4.21&amp;Attribute.Green.Def.5.21</t>
  </si>
  <si>
    <t>Attribute.Green.Def.1.22&amp;Attribute.Green.Def.2.22&amp;Attribute.Green.Def.3.22&amp;Attribute.Green.Def.4.22&amp;Attribute.Green.Def.5.22</t>
  </si>
  <si>
    <t>Attribute.Green.Def.1.23&amp;Attribute.Green.Def.2.23&amp;Attribute.Green.Def.3.23&amp;Attribute.Green.Def.4.23&amp;Attribute.Green.Def.5.23</t>
  </si>
  <si>
    <t>Attribute.Green.Def.1.24&amp;Attribute.Green.Def.2.24&amp;Attribute.Green.Def.3.24&amp;Attribute.Green.Def.4.24&amp;Attribute.Green.Def.5.24</t>
  </si>
  <si>
    <t>Attribute.Green.Def.1.25&amp;Attribute.Green.Def.2.25&amp;Attribute.Green.Def.3.25&amp;Attribute.Green.Def.4.25&amp;Attribute.Green.Def.5.25</t>
  </si>
  <si>
    <t>Attribute.Green.Def.1.26&amp;Attribute.Green.Def.2.26&amp;Attribute.Green.Def.3.26&amp;Attribute.Green.Def.4.26&amp;Attribute.Green.Def.5.26</t>
  </si>
  <si>
    <t>Attribute.Green.Def.1.27&amp;Attribute.Green.Def.2.27&amp;Attribute.Green.Def.3.27&amp;Attribute.Green.Def.4.27&amp;Attribute.Green.Def.5.27</t>
  </si>
  <si>
    <t>Attribute.Green.Def.1.28&amp;Attribute.Green.Def.2.28&amp;Attribute.Green.Def.3.28&amp;Attribute.Green.Def.4.28&amp;Attribute.Green.Def.5.28</t>
  </si>
  <si>
    <t>Attribute.Green.Def.1.29&amp;Attribute.Green.Def.2.29&amp;Attribute.Green.Def.3.29&amp;Attribute.Green.Def.4.29&amp;Attribute.Green.Def.5.29</t>
  </si>
  <si>
    <t>Attribute.Green.Def.1.30&amp;Attribute.Green.Def.2.30&amp;Attribute.Green.Def.3.30&amp;Attribute.Green.Def.4.30&amp;Attribute.Green.Def.5.30</t>
  </si>
  <si>
    <t>Attribute.Green.Def.1.31&amp;Attribute.Green.Def.2.31&amp;Attribute.Green.Def.3.31&amp;Attribute.Green.Def.4.31&amp;Attribute.Green.Def.5.31</t>
  </si>
  <si>
    <t>Attribute.Green.Def.1.32&amp;Attribute.Green.Def.2.32&amp;Attribute.Green.Def.3.32&amp;Attribute.Green.Def.4.32&amp;Attribute.Green.Def.5.32</t>
  </si>
  <si>
    <t>Attribute.Green.Def.1.33&amp;Attribute.Green.Def.2.33&amp;Attribute.Green.Def.3.33&amp;Attribute.Green.Def.4.33&amp;Attribute.Green.Def.5.33</t>
  </si>
  <si>
    <t>Attribute.Green.Def.1.34&amp;Attribute.Green.Def.2.34&amp;Attribute.Green.Def.3.34&amp;Attribute.Green.Def.4.34&amp;Attribute.Green.Def.5.34</t>
  </si>
  <si>
    <t>Attribute.Green.Def.1.35&amp;Attribute.Green.Def.2.35&amp;Attribute.Green.Def.3.35&amp;Attribute.Green.Def.4.35&amp;Attribute.Green.Def.5.35</t>
  </si>
  <si>
    <t>Attribute.Green.Def.1.36&amp;Attribute.Green.Def.2.36&amp;Attribute.Green.Def.3.36&amp;Attribute.Green.Def.4.36&amp;Attribute.Green.Def.5.36</t>
  </si>
  <si>
    <t>Attribute.Green.Def.1.37&amp;Attribute.Green.Def.2.37&amp;Attribute.Green.Def.3.37&amp;Attribute.Green.Def.4.37&amp;Attribute.Green.Def.5.37</t>
  </si>
  <si>
    <t>Attribute.Green.Def.1.38&amp;Attribute.Green.Def.2.38&amp;Attribute.Green.Def.3.38&amp;Attribute.Green.Def.4.38&amp;Attribute.Green.Def.5.38</t>
  </si>
  <si>
    <t>Attribute.Green.Def.1.39&amp;Attribute.Green.Def.2.39&amp;Attribute.Green.Def.3.39&amp;Attribute.Green.Def.4.39&amp;Attribute.Green.Def.5.39</t>
  </si>
  <si>
    <t>Attribute.Green.Def.1.40&amp;Attribute.Green.Def.2.40&amp;Attribute.Green.Def.3.40&amp;Attribute.Green.Def.4.40&amp;Attribute.Green.Def.5.40</t>
  </si>
  <si>
    <t>Attribute.Green.Def.1.41&amp;Attribute.Green.Def.2.41&amp;Attribute.Green.Def.3.41&amp;Attribute.Green.Def.4.41&amp;Attribute.Green.Def.5.41</t>
  </si>
  <si>
    <t>Attribute.Green.Def.1.42&amp;Attribute.Green.Def.2.42&amp;Attribute.Green.Def.3.42&amp;Attribute.Green.Def.4.42&amp;Attribute.Green.Def.5.42</t>
  </si>
  <si>
    <t>Attribute.Green.Def.1.43&amp;Attribute.Green.Def.2.43&amp;Attribute.Green.Def.3.43&amp;Attribute.Green.Def.4.43&amp;Attribute.Green.Def.5.43</t>
  </si>
  <si>
    <t>Attribute.Green.Def.1.44&amp;Attribute.Green.Def.2.44&amp;Attribute.Green.Def.3.44&amp;Attribute.Green.Def.4.44&amp;Attribute.Green.Def.5.44</t>
  </si>
  <si>
    <t>Attribute.Green.Def.1.45&amp;Attribute.Green.Def.2.45&amp;Attribute.Green.Def.3.45&amp;Attribute.Green.Def.4.45&amp;Attribute.Green.Def.5.45</t>
  </si>
  <si>
    <t>Attribute.Green.Def.1.46&amp;Attribute.Green.Def.2.46&amp;Attribute.Green.Def.3.46&amp;Attribute.Green.Def.4.46&amp;Attribute.Green.Def.5.46</t>
  </si>
  <si>
    <t>Attribute.Green.Def.1.47&amp;Attribute.Green.Def.2.47&amp;Attribute.Green.Def.3.47&amp;Attribute.Green.Def.4.47&amp;Attribute.Green.Def.5.47</t>
  </si>
  <si>
    <t>Attribute.Green.Def.1.48&amp;Attribute.Green.Def.2.48&amp;Attribute.Green.Def.3.48&amp;Attribute.Green.Def.4.48&amp;Attribute.Green.Def.5.48</t>
  </si>
  <si>
    <t>Attribute.Green.Def.1.49&amp;Attribute.Green.Def.2.49&amp;Attribute.Green.Def.3.49&amp;Attribute.Green.Def.4.49&amp;Attribute.Green.Def.5.49</t>
  </si>
  <si>
    <t>Attribute.Green.Def.1.50&amp;Attribute.Green.Def.2.50&amp;Attribute.Green.Def.3.50&amp;Attribute.Green.Def.4.50&amp;Attribute.Green.Def.5.50</t>
  </si>
  <si>
    <t>Attribute.Blue.Exp.1.1</t>
  </si>
  <si>
    <t>Attribute.Blue.Exp.1.2</t>
  </si>
  <si>
    <t>Attribute.Blue.Exp.1.3</t>
  </si>
  <si>
    <t>Attribute.Blue.Exp.1.4</t>
  </si>
  <si>
    <t>Attribute.Blue.Exp.1.5</t>
  </si>
  <si>
    <t>Attribute.Blue.Exp.1.6</t>
  </si>
  <si>
    <t>Attribute.Blue.Exp.1.7</t>
  </si>
  <si>
    <t>Attribute.Blue.Exp.1.8</t>
  </si>
  <si>
    <t>Attribute.Blue.Exp.1.9</t>
  </si>
  <si>
    <t>Attribute.Blue.Exp.1.10</t>
  </si>
  <si>
    <t>Attribute.Blue.Exp.1.11</t>
  </si>
  <si>
    <t>Attribute.Blue.Exp.1.12</t>
  </si>
  <si>
    <t>Attribute.Blue.Exp.1.13</t>
  </si>
  <si>
    <t>Attribute.Blue.Exp.1.14</t>
  </si>
  <si>
    <t>Attribute.Blue.Exp.1.15</t>
  </si>
  <si>
    <t>Attribute.Blue.Exp.1.16</t>
  </si>
  <si>
    <t>Attribute.Blue.Exp.1.17</t>
  </si>
  <si>
    <t>Attribute.Blue.Exp.1.18</t>
  </si>
  <si>
    <t>Attribute.Blue.Exp.1.19</t>
  </si>
  <si>
    <t>Attribute.Blue.Exp.1.20</t>
  </si>
  <si>
    <t>Attribute.Blue.Exp.1.21</t>
  </si>
  <si>
    <t>Attribute.Blue.Exp.1.22</t>
  </si>
  <si>
    <t>Attribute.Blue.Exp.1.23</t>
  </si>
  <si>
    <t>Attribute.Blue.Exp.1.24</t>
  </si>
  <si>
    <t>Attribute.Blue.Exp.1.25</t>
  </si>
  <si>
    <t>Attribute.Blue.Exp.1.26</t>
  </si>
  <si>
    <t>Attribute.Blue.Exp.1.27</t>
  </si>
  <si>
    <t>Attribute.Blue.Exp.1.28</t>
  </si>
  <si>
    <t>Attribute.Blue.Exp.1.29</t>
  </si>
  <si>
    <t>Attribute.Blue.Exp.1.30</t>
  </si>
  <si>
    <t>Attribute.Blue.Exp.1.31</t>
  </si>
  <si>
    <t>Attribute.Blue.Exp.1.32</t>
  </si>
  <si>
    <t>Attribute.Blue.Exp.1.33</t>
  </si>
  <si>
    <t>Attribute.Blue.Exp.1.34</t>
  </si>
  <si>
    <t>Attribute.Blue.Exp.1.35</t>
  </si>
  <si>
    <t>Attribute.Blue.Exp.1.36</t>
  </si>
  <si>
    <t>Attribute.Blue.Exp.1.37</t>
  </si>
  <si>
    <t>Attribute.Blue.Exp.1.38</t>
  </si>
  <si>
    <t>Attribute.Blue.Exp.1.39</t>
  </si>
  <si>
    <t>Attribute.Blue.Exp.1.40</t>
  </si>
  <si>
    <t>Attribute.Blue.Exp.1.41</t>
  </si>
  <si>
    <t>Attribute.Blue.Exp.1.42</t>
  </si>
  <si>
    <t>Attribute.Blue.Exp.1.43</t>
  </si>
  <si>
    <t>Attribute.Blue.Exp.1.44</t>
  </si>
  <si>
    <t>Attribute.Blue.Exp.1.45</t>
  </si>
  <si>
    <t>Attribute.Blue.Exp.1.46</t>
  </si>
  <si>
    <t>Attribute.Blue.Exp.1.47</t>
  </si>
  <si>
    <t>Attribute.Blue.Exp.1.48</t>
  </si>
  <si>
    <t>Attribute.Blue.Exp.1.49</t>
  </si>
  <si>
    <t>Attribute.Blue.Exp.1.50</t>
  </si>
  <si>
    <t>Attribute.Blue.Seed.1.1</t>
  </si>
  <si>
    <t>Attribute.Blue.Seed.1.2</t>
  </si>
  <si>
    <t>Attribute.Blue.Seed.1.3</t>
  </si>
  <si>
    <t>Attribute.Blue.Seed.1.4</t>
  </si>
  <si>
    <t>Attribute.Blue.Seed.1.5</t>
  </si>
  <si>
    <t>Attribute.Blue.Seed.1.6</t>
  </si>
  <si>
    <t>Attribute.Blue.Seed.1.7</t>
  </si>
  <si>
    <t>Attribute.Blue.Seed.1.8</t>
  </si>
  <si>
    <t>Attribute.Blue.Seed.1.9</t>
  </si>
  <si>
    <t>Attribute.Blue.Seed.1.10</t>
  </si>
  <si>
    <t>Attribute.Blue.Seed.1.11</t>
  </si>
  <si>
    <t>Attribute.Blue.Seed.1.12</t>
  </si>
  <si>
    <t>Attribute.Blue.Seed.1.13</t>
  </si>
  <si>
    <t>Attribute.Blue.Seed.1.14</t>
  </si>
  <si>
    <t>Attribute.Blue.Seed.1.15</t>
  </si>
  <si>
    <t>Attribute.Blue.Seed.1.16</t>
  </si>
  <si>
    <t>Attribute.Blue.Seed.1.17</t>
  </si>
  <si>
    <t>Attribute.Blue.Seed.1.18</t>
  </si>
  <si>
    <t>Attribute.Blue.Seed.1.19</t>
  </si>
  <si>
    <t>Attribute.Blue.Seed.1.20</t>
  </si>
  <si>
    <t>Attribute.Blue.Seed.1.21</t>
  </si>
  <si>
    <t>Attribute.Blue.Seed.1.22</t>
  </si>
  <si>
    <t>Attribute.Blue.Seed.1.23</t>
  </si>
  <si>
    <t>Attribute.Blue.Seed.1.24</t>
  </si>
  <si>
    <t>Attribute.Blue.Seed.1.25</t>
  </si>
  <si>
    <t>Attribute.Blue.Seed.1.26</t>
  </si>
  <si>
    <t>Attribute.Blue.Seed.1.27</t>
  </si>
  <si>
    <t>Attribute.Blue.Seed.1.28</t>
  </si>
  <si>
    <t>Attribute.Blue.Seed.1.29</t>
  </si>
  <si>
    <t>Attribute.Blue.Seed.1.30</t>
  </si>
  <si>
    <t>Attribute.Blue.Seed.1.31</t>
  </si>
  <si>
    <t>Attribute.Blue.Seed.1.32</t>
  </si>
  <si>
    <t>Attribute.Blue.Seed.1.33</t>
  </si>
  <si>
    <t>Attribute.Blue.Seed.1.34</t>
  </si>
  <si>
    <t>Attribute.Blue.Seed.1.35</t>
  </si>
  <si>
    <t>Attribute.Blue.Seed.1.36</t>
  </si>
  <si>
    <t>Attribute.Blue.Seed.1.37</t>
  </si>
  <si>
    <t>Attribute.Blue.Seed.1.38</t>
  </si>
  <si>
    <t>Attribute.Blue.Seed.1.39</t>
  </si>
  <si>
    <t>Attribute.Blue.Seed.1.40</t>
  </si>
  <si>
    <t>Attribute.Blue.Seed.1.41</t>
  </si>
  <si>
    <t>Attribute.Blue.Seed.1.42</t>
  </si>
  <si>
    <t>Attribute.Blue.Seed.1.43</t>
  </si>
  <si>
    <t>Attribute.Blue.Seed.1.44</t>
  </si>
  <si>
    <t>Attribute.Blue.Seed.1.45</t>
  </si>
  <si>
    <t>Attribute.Blue.Seed.1.46</t>
  </si>
  <si>
    <t>Attribute.Blue.Seed.1.47</t>
  </si>
  <si>
    <t>Attribute.Blue.Seed.1.48</t>
  </si>
  <si>
    <t>Attribute.Blue.Seed.1.49</t>
  </si>
  <si>
    <t>Attribute.Blue.Seed.1.50</t>
  </si>
  <si>
    <t>Attribute.Blue.Gold.1.1</t>
  </si>
  <si>
    <t>Attribute.Blue.Gold.1.2</t>
  </si>
  <si>
    <t>Attribute.Blue.Gold.1.3</t>
  </si>
  <si>
    <t>Attribute.Blue.Gold.1.4</t>
  </si>
  <si>
    <t>Attribute.Blue.Gold.1.5</t>
  </si>
  <si>
    <t>Attribute.Blue.Gold.1.6</t>
  </si>
  <si>
    <t>Attribute.Blue.Gold.1.7</t>
  </si>
  <si>
    <t>Attribute.Blue.Gold.1.8</t>
  </si>
  <si>
    <t>Attribute.Blue.Gold.1.9</t>
  </si>
  <si>
    <t>Attribute.Blue.Gold.1.10</t>
  </si>
  <si>
    <t>Attribute.Blue.Gold.1.11</t>
  </si>
  <si>
    <t>Attribute.Blue.Gold.1.12</t>
  </si>
  <si>
    <t>Attribute.Blue.Gold.1.13</t>
  </si>
  <si>
    <t>Attribute.Blue.Gold.1.14</t>
  </si>
  <si>
    <t>Attribute.Blue.Gold.1.15</t>
  </si>
  <si>
    <t>Attribute.Blue.Gold.1.16</t>
  </si>
  <si>
    <t>Attribute.Blue.Gold.1.17</t>
  </si>
  <si>
    <t>Attribute.Blue.Gold.1.18</t>
  </si>
  <si>
    <t>Attribute.Blue.Gold.1.19</t>
  </si>
  <si>
    <t>Attribute.Blue.Gold.1.20</t>
  </si>
  <si>
    <t>Attribute.Blue.Gold.1.21</t>
  </si>
  <si>
    <t>Attribute.Blue.Gold.1.22</t>
  </si>
  <si>
    <t>Attribute.Blue.Gold.1.23</t>
  </si>
  <si>
    <t>Attribute.Blue.Gold.1.24</t>
  </si>
  <si>
    <t>Attribute.Blue.Gold.1.25</t>
  </si>
  <si>
    <t>Attribute.Blue.Gold.1.26</t>
  </si>
  <si>
    <t>Attribute.Blue.Gold.1.27</t>
  </si>
  <si>
    <t>Attribute.Blue.Gold.1.28</t>
  </si>
  <si>
    <t>Attribute.Blue.Gold.1.29</t>
  </si>
  <si>
    <t>Attribute.Blue.Gold.1.30</t>
  </si>
  <si>
    <t>Attribute.Blue.Gold.1.31</t>
  </si>
  <si>
    <t>Attribute.Blue.Gold.1.32</t>
  </si>
  <si>
    <t>Attribute.Blue.Gold.1.33</t>
  </si>
  <si>
    <t>Attribute.Blue.Gold.1.34</t>
  </si>
  <si>
    <t>Attribute.Blue.Gold.1.35</t>
  </si>
  <si>
    <t>Attribute.Blue.Gold.1.36</t>
  </si>
  <si>
    <t>Attribute.Blue.Gold.1.37</t>
  </si>
  <si>
    <t>Attribute.Blue.Gold.1.38</t>
  </si>
  <si>
    <t>Attribute.Blue.Gold.1.39</t>
  </si>
  <si>
    <t>Attribute.Blue.Gold.1.40</t>
  </si>
  <si>
    <t>Attribute.Blue.Gold.1.41</t>
  </si>
  <si>
    <t>Attribute.Blue.Gold.1.42</t>
  </si>
  <si>
    <t>Attribute.Blue.Gold.1.43</t>
  </si>
  <si>
    <t>Attribute.Blue.Gold.1.44</t>
  </si>
  <si>
    <t>Attribute.Blue.Gold.1.45</t>
  </si>
  <si>
    <t>Attribute.Blue.Gold.1.46</t>
  </si>
  <si>
    <t>Attribute.Blue.Gold.1.47</t>
  </si>
  <si>
    <t>Attribute.Blue.Gold.1.48</t>
  </si>
  <si>
    <t>Attribute.Blue.Gold.1.49</t>
  </si>
  <si>
    <t>Attribute.Blue.Gold.1.50</t>
  </si>
  <si>
    <t>Attribute.Blue.Def.1.1&amp;Attribute.Blue.Def.2.1&amp;Attribute.Blue.Def.3.1&amp;Attribute.Blue.Def.4.1&amp;Attribute.Blue.Def.5.1</t>
  </si>
  <si>
    <t>Attribute.Blue.Def.1.2&amp;Attribute.Blue.Def.2.2&amp;Attribute.Blue.Def.3.2&amp;Attribute.Blue.Def.4.2&amp;Attribute.Blue.Def.5.2</t>
  </si>
  <si>
    <t>Attribute.Blue.Def.1.3&amp;Attribute.Blue.Def.2.3&amp;Attribute.Blue.Def.3.3&amp;Attribute.Blue.Def.4.3&amp;Attribute.Blue.Def.5.3</t>
  </si>
  <si>
    <t>Attribute.Blue.Def.1.4&amp;Attribute.Blue.Def.2.4&amp;Attribute.Blue.Def.3.4&amp;Attribute.Blue.Def.4.4&amp;Attribute.Blue.Def.5.4</t>
  </si>
  <si>
    <t>Attribute.Blue.Def.1.5&amp;Attribute.Blue.Def.2.5&amp;Attribute.Blue.Def.3.5&amp;Attribute.Blue.Def.4.5&amp;Attribute.Blue.Def.5.5</t>
  </si>
  <si>
    <t>Attribute.Blue.Def.1.6&amp;Attribute.Blue.Def.2.6&amp;Attribute.Blue.Def.3.6&amp;Attribute.Blue.Def.4.6&amp;Attribute.Blue.Def.5.6</t>
  </si>
  <si>
    <t>Attribute.Blue.Def.1.7&amp;Attribute.Blue.Def.2.7&amp;Attribute.Blue.Def.3.7&amp;Attribute.Blue.Def.4.7&amp;Attribute.Blue.Def.5.7</t>
  </si>
  <si>
    <t>Attribute.Blue.Def.1.8&amp;Attribute.Blue.Def.2.8&amp;Attribute.Blue.Def.3.8&amp;Attribute.Blue.Def.4.8&amp;Attribute.Blue.Def.5.8</t>
  </si>
  <si>
    <t>Attribute.Blue.Def.1.9&amp;Attribute.Blue.Def.2.9&amp;Attribute.Blue.Def.3.9&amp;Attribute.Blue.Def.4.9&amp;Attribute.Blue.Def.5.9</t>
  </si>
  <si>
    <t>Attribute.Blue.Def.1.10&amp;Attribute.Blue.Def.2.10&amp;Attribute.Blue.Def.3.10&amp;Attribute.Blue.Def.4.10&amp;Attribute.Blue.Def.5.10</t>
  </si>
  <si>
    <t>Attribute.Blue.Def.1.11&amp;Attribute.Blue.Def.2.11&amp;Attribute.Blue.Def.3.11&amp;Attribute.Blue.Def.4.11&amp;Attribute.Blue.Def.5.11</t>
  </si>
  <si>
    <t>Attribute.Blue.Def.1.12&amp;Attribute.Blue.Def.2.12&amp;Attribute.Blue.Def.3.12&amp;Attribute.Blue.Def.4.12&amp;Attribute.Blue.Def.5.12</t>
  </si>
  <si>
    <t>Attribute.Blue.Def.1.13&amp;Attribute.Blue.Def.2.13&amp;Attribute.Blue.Def.3.13&amp;Attribute.Blue.Def.4.13&amp;Attribute.Blue.Def.5.13</t>
  </si>
  <si>
    <t>Attribute.Blue.Def.1.14&amp;Attribute.Blue.Def.2.14&amp;Attribute.Blue.Def.3.14&amp;Attribute.Blue.Def.4.14&amp;Attribute.Blue.Def.5.14</t>
  </si>
  <si>
    <t>Attribute.Blue.Def.1.15&amp;Attribute.Blue.Def.2.15&amp;Attribute.Blue.Def.3.15&amp;Attribute.Blue.Def.4.15&amp;Attribute.Blue.Def.5.15</t>
  </si>
  <si>
    <t>Attribute.Blue.Def.1.16&amp;Attribute.Blue.Def.2.16&amp;Attribute.Blue.Def.3.16&amp;Attribute.Blue.Def.4.16&amp;Attribute.Blue.Def.5.16</t>
  </si>
  <si>
    <t>Attribute.Blue.Def.1.17&amp;Attribute.Blue.Def.2.17&amp;Attribute.Blue.Def.3.17&amp;Attribute.Blue.Def.4.17&amp;Attribute.Blue.Def.5.17</t>
  </si>
  <si>
    <t>Attribute.Blue.Def.1.18&amp;Attribute.Blue.Def.2.18&amp;Attribute.Blue.Def.3.18&amp;Attribute.Blue.Def.4.18&amp;Attribute.Blue.Def.5.18</t>
  </si>
  <si>
    <t>Attribute.Blue.Def.1.19&amp;Attribute.Blue.Def.2.19&amp;Attribute.Blue.Def.3.19&amp;Attribute.Blue.Def.4.19&amp;Attribute.Blue.Def.5.19</t>
  </si>
  <si>
    <t>Attribute.Blue.Def.1.20&amp;Attribute.Blue.Def.2.20&amp;Attribute.Blue.Def.3.20&amp;Attribute.Blue.Def.4.20&amp;Attribute.Blue.Def.5.20</t>
  </si>
  <si>
    <t>Attribute.Blue.Def.1.21&amp;Attribute.Blue.Def.2.21&amp;Attribute.Blue.Def.3.21&amp;Attribute.Blue.Def.4.21&amp;Attribute.Blue.Def.5.21</t>
  </si>
  <si>
    <t>Attribute.Blue.Def.1.22&amp;Attribute.Blue.Def.2.22&amp;Attribute.Blue.Def.3.22&amp;Attribute.Blue.Def.4.22&amp;Attribute.Blue.Def.5.22</t>
  </si>
  <si>
    <t>Attribute.Blue.Def.1.23&amp;Attribute.Blue.Def.2.23&amp;Attribute.Blue.Def.3.23&amp;Attribute.Blue.Def.4.23&amp;Attribute.Blue.Def.5.23</t>
  </si>
  <si>
    <t>Attribute.Blue.Def.1.24&amp;Attribute.Blue.Def.2.24&amp;Attribute.Blue.Def.3.24&amp;Attribute.Blue.Def.4.24&amp;Attribute.Blue.Def.5.24</t>
  </si>
  <si>
    <t>Attribute.Blue.Def.1.25&amp;Attribute.Blue.Def.2.25&amp;Attribute.Blue.Def.3.25&amp;Attribute.Blue.Def.4.25&amp;Attribute.Blue.Def.5.25</t>
  </si>
  <si>
    <t>Attribute.Blue.Def.1.26&amp;Attribute.Blue.Def.2.26&amp;Attribute.Blue.Def.3.26&amp;Attribute.Blue.Def.4.26&amp;Attribute.Blue.Def.5.26</t>
  </si>
  <si>
    <t>Attribute.Blue.Def.1.27&amp;Attribute.Blue.Def.2.27&amp;Attribute.Blue.Def.3.27&amp;Attribute.Blue.Def.4.27&amp;Attribute.Blue.Def.5.27</t>
  </si>
  <si>
    <t>Attribute.Blue.Def.1.28&amp;Attribute.Blue.Def.2.28&amp;Attribute.Blue.Def.3.28&amp;Attribute.Blue.Def.4.28&amp;Attribute.Blue.Def.5.28</t>
  </si>
  <si>
    <t>Attribute.Blue.Def.1.29&amp;Attribute.Blue.Def.2.29&amp;Attribute.Blue.Def.3.29&amp;Attribute.Blue.Def.4.29&amp;Attribute.Blue.Def.5.29</t>
  </si>
  <si>
    <t>Attribute.Blue.Def.1.30&amp;Attribute.Blue.Def.2.30&amp;Attribute.Blue.Def.3.30&amp;Attribute.Blue.Def.4.30&amp;Attribute.Blue.Def.5.30</t>
  </si>
  <si>
    <t>Attribute.Blue.Def.1.31&amp;Attribute.Blue.Def.2.31&amp;Attribute.Blue.Def.3.31&amp;Attribute.Blue.Def.4.31&amp;Attribute.Blue.Def.5.31</t>
  </si>
  <si>
    <t>Attribute.Blue.Def.1.32&amp;Attribute.Blue.Def.2.32&amp;Attribute.Blue.Def.3.32&amp;Attribute.Blue.Def.4.32&amp;Attribute.Blue.Def.5.32</t>
  </si>
  <si>
    <t>Attribute.Blue.Def.1.33&amp;Attribute.Blue.Def.2.33&amp;Attribute.Blue.Def.3.33&amp;Attribute.Blue.Def.4.33&amp;Attribute.Blue.Def.5.33</t>
  </si>
  <si>
    <t>Attribute.Blue.Def.1.34&amp;Attribute.Blue.Def.2.34&amp;Attribute.Blue.Def.3.34&amp;Attribute.Blue.Def.4.34&amp;Attribute.Blue.Def.5.34</t>
  </si>
  <si>
    <t>Attribute.Blue.Def.1.35&amp;Attribute.Blue.Def.2.35&amp;Attribute.Blue.Def.3.35&amp;Attribute.Blue.Def.4.35&amp;Attribute.Blue.Def.5.35</t>
  </si>
  <si>
    <t>Attribute.Blue.Def.1.36&amp;Attribute.Blue.Def.2.36&amp;Attribute.Blue.Def.3.36&amp;Attribute.Blue.Def.4.36&amp;Attribute.Blue.Def.5.36</t>
  </si>
  <si>
    <t>Attribute.Blue.Def.1.37&amp;Attribute.Blue.Def.2.37&amp;Attribute.Blue.Def.3.37&amp;Attribute.Blue.Def.4.37&amp;Attribute.Blue.Def.5.37</t>
  </si>
  <si>
    <t>Attribute.Blue.Def.1.38&amp;Attribute.Blue.Def.2.38&amp;Attribute.Blue.Def.3.38&amp;Attribute.Blue.Def.4.38&amp;Attribute.Blue.Def.5.38</t>
  </si>
  <si>
    <t>Attribute.Blue.Def.1.39&amp;Attribute.Blue.Def.2.39&amp;Attribute.Blue.Def.3.39&amp;Attribute.Blue.Def.4.39&amp;Attribute.Blue.Def.5.39</t>
  </si>
  <si>
    <t>Attribute.Blue.Def.1.40&amp;Attribute.Blue.Def.2.40&amp;Attribute.Blue.Def.3.40&amp;Attribute.Blue.Def.4.40&amp;Attribute.Blue.Def.5.40</t>
  </si>
  <si>
    <t>Attribute.Blue.Def.1.41&amp;Attribute.Blue.Def.2.41&amp;Attribute.Blue.Def.3.41&amp;Attribute.Blue.Def.4.41&amp;Attribute.Blue.Def.5.41</t>
  </si>
  <si>
    <t>Attribute.Blue.Def.1.42&amp;Attribute.Blue.Def.2.42&amp;Attribute.Blue.Def.3.42&amp;Attribute.Blue.Def.4.42&amp;Attribute.Blue.Def.5.42</t>
  </si>
  <si>
    <t>Attribute.Blue.Def.1.43&amp;Attribute.Blue.Def.2.43&amp;Attribute.Blue.Def.3.43&amp;Attribute.Blue.Def.4.43&amp;Attribute.Blue.Def.5.43</t>
  </si>
  <si>
    <t>Attribute.Blue.Def.1.44&amp;Attribute.Blue.Def.2.44&amp;Attribute.Blue.Def.3.44&amp;Attribute.Blue.Def.4.44&amp;Attribute.Blue.Def.5.44</t>
  </si>
  <si>
    <t>Attribute.Blue.Def.1.45&amp;Attribute.Blue.Def.2.45&amp;Attribute.Blue.Def.3.45&amp;Attribute.Blue.Def.4.45&amp;Attribute.Blue.Def.5.45</t>
  </si>
  <si>
    <t>Attribute.Blue.Def.1.46&amp;Attribute.Blue.Def.2.46&amp;Attribute.Blue.Def.3.46&amp;Attribute.Blue.Def.4.46&amp;Attribute.Blue.Def.5.46</t>
  </si>
  <si>
    <t>Attribute.Blue.Def.1.47&amp;Attribute.Blue.Def.2.47&amp;Attribute.Blue.Def.3.47&amp;Attribute.Blue.Def.4.47&amp;Attribute.Blue.Def.5.47</t>
  </si>
  <si>
    <t>Attribute.Blue.Def.1.48&amp;Attribute.Blue.Def.2.48&amp;Attribute.Blue.Def.3.48&amp;Attribute.Blue.Def.4.48&amp;Attribute.Blue.Def.5.48</t>
  </si>
  <si>
    <t>Attribute.Blue.Def.1.49&amp;Attribute.Blue.Def.2.49&amp;Attribute.Blue.Def.3.49&amp;Attribute.Blue.Def.4.49&amp;Attribute.Blue.Def.5.49</t>
  </si>
  <si>
    <t>Attribute.Blue.Def.1.50&amp;Attribute.Blue.Def.2.50&amp;Attribute.Blue.Def.3.50&amp;Attribute.Blue.Def.4.50&amp;Attribute.Blue.Def.5.50</t>
  </si>
  <si>
    <t>AttributeBattle03_1</t>
    <phoneticPr fontId="2" type="noConversion"/>
  </si>
  <si>
    <t>AttributeBattle03_2</t>
    <phoneticPr fontId="2" type="noConversion"/>
  </si>
  <si>
    <t>AttributeBattle03_3</t>
    <phoneticPr fontId="2" type="noConversion"/>
  </si>
  <si>
    <t>AttributeBattle03_4</t>
    <phoneticPr fontId="2" type="noConversion"/>
  </si>
  <si>
    <t>AttributeBuff.Red.002</t>
  </si>
  <si>
    <t>AttributeBuff.Red.003</t>
  </si>
  <si>
    <t>AttributeBuff.Red.004</t>
  </si>
  <si>
    <t>AttributeBuff.Red.005</t>
  </si>
  <si>
    <t>AttributeBuff.Red.006</t>
  </si>
  <si>
    <t>AttributeBuff.Red.007</t>
  </si>
  <si>
    <t>AttributeBuff.Red.008</t>
  </si>
  <si>
    <t>AttributeBuff.Red.009</t>
  </si>
  <si>
    <t>AttributeBuff.Red.010</t>
  </si>
  <si>
    <t>AttributeBuff.Red.011</t>
  </si>
  <si>
    <t>AttributeBuff.Red.012</t>
  </si>
  <si>
    <t>AttributeBuff.Red.013</t>
  </si>
  <si>
    <t>AttributeBuff.Red.014</t>
  </si>
  <si>
    <t>AttributeBuff.Red.015</t>
  </si>
  <si>
    <t>AttributeBuff.Red.016</t>
  </si>
  <si>
    <t>AttributeBuff.Red.017</t>
  </si>
  <si>
    <t>AttributeBuff.Red.018</t>
  </si>
  <si>
    <t>AttributeBuff.Red.019</t>
  </si>
  <si>
    <t>AttributeBuff.Red.020</t>
  </si>
  <si>
    <t>AttributeBuff.Red.021</t>
  </si>
  <si>
    <t>AttributeBuff.Red.022</t>
  </si>
  <si>
    <t>AttributeBuff.Red.023</t>
  </si>
  <si>
    <t>AttributeBuff.Red.024</t>
  </si>
  <si>
    <t>AttributeBuff.Red.025</t>
  </si>
  <si>
    <t>AttributeBuff.Red.026</t>
  </si>
  <si>
    <t>AttributeBuff.Red.027</t>
  </si>
  <si>
    <t>AttributeBuff.Red.028</t>
  </si>
  <si>
    <t>AttributeBuff.Red.029</t>
  </si>
  <si>
    <t>AttributeBuff.Red.001</t>
    <phoneticPr fontId="2" type="noConversion"/>
  </si>
  <si>
    <t>AttributeBuff.Green.001</t>
    <phoneticPr fontId="2" type="noConversion"/>
  </si>
  <si>
    <t>AttributeBuff.Green.002</t>
  </si>
  <si>
    <t>AttributeBuff.Green.003</t>
  </si>
  <si>
    <t>AttributeBuff.Green.004</t>
  </si>
  <si>
    <t>AttributeBuff.Green.005</t>
  </si>
  <si>
    <t>AttributeBuff.Green.006</t>
  </si>
  <si>
    <t>AttributeBuff.Green.007</t>
  </si>
  <si>
    <t>AttributeBuff.Green.008</t>
  </si>
  <si>
    <t>AttributeBuff.Green.009</t>
  </si>
  <si>
    <t>AttributeBuff.Green.010</t>
  </si>
  <si>
    <t>AttributeBuff.Green.011</t>
  </si>
  <si>
    <t>AttributeBuff.Green.012</t>
  </si>
  <si>
    <t>AttributeBuff.Green.013</t>
  </si>
  <si>
    <t>AttributeBuff.Green.014</t>
  </si>
  <si>
    <t>AttributeBuff.Green.015</t>
  </si>
  <si>
    <t>AttributeBuff.Green.016</t>
  </si>
  <si>
    <t>AttributeBuff.Green.017</t>
  </si>
  <si>
    <t>AttributeBuff.Green.018</t>
  </si>
  <si>
    <t>AttributeBuff.Green.019</t>
  </si>
  <si>
    <t>AttributeBuff.Green.020</t>
  </si>
  <si>
    <t>AttributeBuff.Green.021</t>
  </si>
  <si>
    <t>AttributeBuff.Green.022</t>
  </si>
  <si>
    <t>AttributeBuff.Green.023</t>
  </si>
  <si>
    <t>AttributeBuff.Green.024</t>
  </si>
  <si>
    <t>AttributeBuff.Green.025</t>
  </si>
  <si>
    <t>AttributeBuff.Green.026</t>
  </si>
  <si>
    <t>AttributeBuff.Green.027</t>
  </si>
  <si>
    <t>AttributeBuff.Green.028</t>
  </si>
  <si>
    <t>AttributeBuff.Green.029</t>
  </si>
  <si>
    <t>AttributeBuff.Blue.001</t>
    <phoneticPr fontId="2" type="noConversion"/>
  </si>
  <si>
    <t>AttributeBuff.Blue.002</t>
  </si>
  <si>
    <t>AttributeBuff.Blue.003</t>
  </si>
  <si>
    <t>AttributeBuff.Blue.004</t>
  </si>
  <si>
    <t>AttributeBuff.Blue.005</t>
  </si>
  <si>
    <t>AttributeBuff.Blue.006</t>
  </si>
  <si>
    <t>AttributeBuff.Blue.007</t>
  </si>
  <si>
    <t>AttributeBuff.Blue.008</t>
  </si>
  <si>
    <t>AttributeBuff.Blue.009</t>
  </si>
  <si>
    <t>AttributeBuff.Blue.010</t>
  </si>
  <si>
    <t>AttributeBuff.Blue.011</t>
  </si>
  <si>
    <t>AttributeBuff.Blue.012</t>
  </si>
  <si>
    <t>AttributeBuff.Blue.013</t>
  </si>
  <si>
    <t>AttributeBuff.Blue.014</t>
  </si>
  <si>
    <t>AttributeBuff.Blue.015</t>
  </si>
  <si>
    <t>AttributeBuff.Blue.016</t>
  </si>
  <si>
    <t>AttributeBuff.Blue.017</t>
  </si>
  <si>
    <t>AttributeBuff.Blue.018</t>
  </si>
  <si>
    <t>AttributeBuff.Blue.019</t>
  </si>
  <si>
    <t>AttributeBuff.Blue.020</t>
  </si>
  <si>
    <t>AttributeBuff.Blue.021</t>
  </si>
  <si>
    <t>AttributeBuff.Blue.022</t>
  </si>
  <si>
    <t>AttributeBuff.Blue.023</t>
  </si>
  <si>
    <t>AttributeBuff.Blue.024</t>
  </si>
  <si>
    <t>AttributeBuff.Blue.025</t>
  </si>
  <si>
    <t>AttributeBuff.Blue.026</t>
  </si>
  <si>
    <t>AttributeBuff.Blue.027</t>
  </si>
  <si>
    <t>AttributeBuff.Blue.028</t>
  </si>
  <si>
    <t>AttributeBuff.Blue.029</t>
  </si>
  <si>
    <t>AttributeBuff.Gold.001</t>
    <phoneticPr fontId="2" type="noConversion"/>
  </si>
  <si>
    <t>AttributeBuff.Gold.002</t>
  </si>
  <si>
    <t>AttributeBuff.Gold.003</t>
  </si>
  <si>
    <t>AttributeBuff.Gold.004</t>
  </si>
  <si>
    <t>AttributeBuff.Gold.005</t>
  </si>
  <si>
    <t>AttributeBuff.Gold.006</t>
  </si>
  <si>
    <t>AttributeBuff.Gold.007</t>
  </si>
  <si>
    <t>AttributeBuff.Gold.008</t>
  </si>
  <si>
    <t>AttributeBuff.Gold.009</t>
  </si>
  <si>
    <t>AttributeBuff.Gold.010</t>
  </si>
  <si>
    <t>AttributeBuff.Gold.011</t>
  </si>
  <si>
    <t>AttributeBuff.Gold.012</t>
  </si>
  <si>
    <t>AttributeBuff.Gold.013</t>
  </si>
  <si>
    <t>AttributeBuff.Gold.014</t>
  </si>
  <si>
    <t>AttributeBuff.Gold.015</t>
  </si>
  <si>
    <t>AttributeBuff.Gold.016</t>
  </si>
  <si>
    <t>AttributeBuff.Gold.017</t>
  </si>
  <si>
    <t>AttributeBuff.Gold.018</t>
  </si>
  <si>
    <t>AttributeBuff.Gold.019</t>
  </si>
  <si>
    <t>AttributeBuff.Gold.020</t>
  </si>
  <si>
    <t>AttributeBuff.Gold.021</t>
  </si>
  <si>
    <t>AttributeBuff.Gold.022</t>
  </si>
  <si>
    <t>AttributeBuff.Gold.023</t>
  </si>
  <si>
    <t>AttributeBuff.Gold.024</t>
  </si>
  <si>
    <t>AttributeBuff.Gold.025</t>
  </si>
  <si>
    <t>AttributeBuff.Gold.026</t>
  </si>
  <si>
    <t>AttributeBuff.Gold.027</t>
  </si>
  <si>
    <t>AttributeBuff.Gold.028</t>
  </si>
  <si>
    <t>AttributeBuff.Gold.029</t>
  </si>
  <si>
    <t>AttributeBuff.Purple.001</t>
    <phoneticPr fontId="2" type="noConversion"/>
  </si>
  <si>
    <t>AttributeBuff.Purple.002</t>
  </si>
  <si>
    <t>AttributeBuff.Purple.003</t>
  </si>
  <si>
    <t>AttributeBuff.Purple.004</t>
  </si>
  <si>
    <t>AttributeBuff.Purple.005</t>
  </si>
  <si>
    <t>AttributeBuff.Purple.006</t>
  </si>
  <si>
    <t>AttributeBuff.Purple.007</t>
  </si>
  <si>
    <t>AttributeBuff.Purple.008</t>
  </si>
  <si>
    <t>AttributeBuff.Purple.009</t>
  </si>
  <si>
    <t>AttributeBuff.Purple.010</t>
  </si>
  <si>
    <t>AttributeBuff.Purple.011</t>
  </si>
  <si>
    <t>AttributeBuff.Purple.012</t>
  </si>
  <si>
    <t>AttributeBuff.Purple.013</t>
  </si>
  <si>
    <t>AttributeBuff.Purple.014</t>
  </si>
  <si>
    <t>AttributeBuff.Purple.015</t>
  </si>
  <si>
    <t>AttributeBuff.Purple.016</t>
  </si>
  <si>
    <t>AttributeBuff.Purple.017</t>
  </si>
  <si>
    <t>AttributeBuff.Purple.018</t>
  </si>
  <si>
    <t>AttributeBuff.Purple.019</t>
  </si>
  <si>
    <t>AttributeBuff.Purple.020</t>
  </si>
  <si>
    <t>AttributeBuff.Purple.021</t>
  </si>
  <si>
    <t>AttributeBuff.Purple.022</t>
  </si>
  <si>
    <t>AttributeBuff.Purple.023</t>
  </si>
  <si>
    <t>AttributeBuff.Purple.024</t>
  </si>
  <si>
    <t>AttributeBuff.Purple.025</t>
  </si>
  <si>
    <t>AttributeBuff.Purple.026</t>
  </si>
  <si>
    <t>AttributeBuff.Purple.027</t>
  </si>
  <si>
    <t>AttributeBuff.Purple.028</t>
  </si>
  <si>
    <t>AttributeBuff.Purple.029</t>
  </si>
  <si>
    <t>GiveDamageRate</t>
    <phoneticPr fontId="2" type="noConversion"/>
  </si>
  <si>
    <t>TakeDamageRate</t>
    <phoneticPr fontId="2" type="noConversion"/>
  </si>
  <si>
    <t>long</t>
    <phoneticPr fontId="2" type="noConversion"/>
  </si>
  <si>
    <t>client</t>
    <phoneticPr fontId="2" type="noConversion"/>
  </si>
  <si>
    <t>GiveDamageRate</t>
    <phoneticPr fontId="2" type="noConversion"/>
  </si>
  <si>
    <t>TakeDamageRate</t>
    <phoneticPr fontId="2" type="noConversion"/>
  </si>
  <si>
    <t>long</t>
    <phoneticPr fontId="2" type="noConversion"/>
  </si>
  <si>
    <t>client</t>
    <phoneticPr fontId="2" type="noConversion"/>
  </si>
  <si>
    <t>Attribute.battle.rtype.buff.01</t>
  </si>
  <si>
    <t>Attribute.battle.gtype.buff.01</t>
  </si>
  <si>
    <t>Attribute.battle.btype.buff.01</t>
  </si>
  <si>
    <t>AttributeDamageRate</t>
    <phoneticPr fontId="2" type="noConversion"/>
  </si>
  <si>
    <t>AttributeGreen</t>
    <phoneticPr fontId="2" type="noConversion"/>
  </si>
  <si>
    <t>AttributeBlue</t>
    <phoneticPr fontId="2" type="noConversion"/>
  </si>
  <si>
    <t>AttributeRed</t>
    <phoneticPr fontId="2" type="noConversion"/>
  </si>
  <si>
    <t>AttributeDamageDerate</t>
  </si>
  <si>
    <t>A속성버프Lv.1</t>
    <phoneticPr fontId="2" type="noConversion"/>
  </si>
  <si>
    <t>Days(Mon&amp;Thu&amp;Sun)</t>
    <phoneticPr fontId="2" type="noConversion"/>
  </si>
  <si>
    <t>RecommendCharacter</t>
    <phoneticPr fontId="2" type="noConversion"/>
  </si>
  <si>
    <t>RecommendCharacterBuff</t>
    <phoneticPr fontId="2" type="noConversion"/>
  </si>
  <si>
    <t>[$Buff]</t>
    <phoneticPr fontId="2" type="noConversion"/>
  </si>
  <si>
    <t>common</t>
    <phoneticPr fontId="2" type="noConversion"/>
  </si>
  <si>
    <t>$Character?</t>
    <phoneticPr fontId="2" type="noConversion"/>
  </si>
  <si>
    <t>EnterCondition</t>
    <phoneticPr fontId="2" type="noConversion"/>
  </si>
  <si>
    <t>{AttributeType:int}</t>
    <phoneticPr fontId="2" type="noConversion"/>
  </si>
  <si>
    <t>AttributeGreen:2</t>
  </si>
  <si>
    <t>AttributeBlue:2</t>
    <phoneticPr fontId="2" type="noConversion"/>
  </si>
  <si>
    <t>AttributeBlue:3</t>
    <phoneticPr fontId="2" type="noConversion"/>
  </si>
  <si>
    <t>AttributeBlue:4</t>
    <phoneticPr fontId="2" type="noConversion"/>
  </si>
  <si>
    <t>AttributeBlue:5</t>
    <phoneticPr fontId="2" type="noConversion"/>
  </si>
  <si>
    <t>AttributeRed:2</t>
  </si>
  <si>
    <t>AttributeRed:3</t>
  </si>
  <si>
    <t>AttributeRed:4</t>
  </si>
  <si>
    <t>AttributeRed:5</t>
  </si>
  <si>
    <t>AttributeGreen:3</t>
  </si>
  <si>
    <t>AttributeGreen:4</t>
  </si>
  <si>
    <t>AttributeGreen:5</t>
  </si>
  <si>
    <t>Attribute.Green.Gold.1.49</t>
    <phoneticPr fontId="2" type="noConversion"/>
  </si>
  <si>
    <t>Attribute.Green.Gold.1.50</t>
    <phoneticPr fontId="2" type="noConversion"/>
  </si>
  <si>
    <t>Days(Tue&amp;Fri&amp;Sun)</t>
    <phoneticPr fontId="2" type="noConversion"/>
  </si>
  <si>
    <t>Days(Wed&amp;Sat&amp;Sun)</t>
    <phoneticPr fontId="2" type="noConversion"/>
  </si>
  <si>
    <t>$ItemCase?</t>
    <phoneticPr fontId="2" type="noConversion"/>
  </si>
  <si>
    <t>RewardSample</t>
    <phoneticPr fontId="2" type="noConversion"/>
  </si>
  <si>
    <r>
      <t>campaign_attribute</t>
    </r>
    <r>
      <rPr>
        <sz val="10"/>
        <color theme="1"/>
        <rFont val="Malgun Gothic"/>
        <family val="3"/>
        <charset val="129"/>
      </rPr>
      <t>_red</t>
    </r>
    <phoneticPr fontId="2" type="noConversion"/>
  </si>
  <si>
    <r>
      <t>campaign_attribute</t>
    </r>
    <r>
      <rPr>
        <sz val="10"/>
        <color theme="1"/>
        <rFont val="Malgun Gothic"/>
        <family val="3"/>
        <charset val="129"/>
      </rPr>
      <t>_green</t>
    </r>
  </si>
  <si>
    <r>
      <t>campaign_attribute</t>
    </r>
    <r>
      <rPr>
        <sz val="10"/>
        <color theme="1"/>
        <rFont val="Malgun Gothic"/>
        <family val="3"/>
        <charset val="129"/>
      </rPr>
      <t>_blue</t>
    </r>
  </si>
  <si>
    <t>Duration</t>
    <phoneticPr fontId="2" type="noConversion"/>
  </si>
  <si>
    <t>Buff.Attribute.Red.Area.01.buff</t>
    <phoneticPr fontId="2" type="noConversion"/>
  </si>
  <si>
    <t>Buff.Attribute.Red.Area.02.buff</t>
  </si>
  <si>
    <t>Buff.Attribute.Red.Area.03.buff</t>
  </si>
  <si>
    <t>Buff.Attribute.Red.Area.04.buff</t>
  </si>
  <si>
    <t>Buff.Attribute.Red.Area.05.buff</t>
  </si>
  <si>
    <t>Buff.Attribute.Red.Near.01.buff</t>
    <phoneticPr fontId="2" type="noConversion"/>
  </si>
  <si>
    <t>Buff.Attribute.Red.Near.02.buff</t>
  </si>
  <si>
    <t>Buff.Attribute.Red.Near.03.buff</t>
  </si>
  <si>
    <t>Buff.Attribute.Red.Near.04.buff</t>
  </si>
  <si>
    <t>Buff.Attribute.Red.Near.05.buff</t>
  </si>
  <si>
    <t>Buff.Attribute.Red.Far.01.buff</t>
    <phoneticPr fontId="2" type="noConversion"/>
  </si>
  <si>
    <t>Buff.Attribute.Red.Far.02.buff</t>
  </si>
  <si>
    <t>Buff.Attribute.Red.Far.03.buff</t>
  </si>
  <si>
    <t>Buff.Attribute.Red.Far.04.buff</t>
  </si>
  <si>
    <t>Buff.Attribute.Red.Far.05.buff</t>
  </si>
  <si>
    <t>Buff.Attribute.Red.Alive.05.buff</t>
  </si>
  <si>
    <t>Buff.Attribute.Red.Alive.01.buff</t>
    <phoneticPr fontId="2" type="noConversion"/>
  </si>
  <si>
    <t>Buff.Attribute.Red.Alive.02.buff</t>
  </si>
  <si>
    <t>Buff.Attribute.Red.Alive.03.buff</t>
  </si>
  <si>
    <t>Buff.Attribute.Red.Alive.04.buff</t>
  </si>
  <si>
    <t>Buff.Name.AreaDamageRateUp</t>
  </si>
  <si>
    <t>Buff.Name.RangeDamageRateUp</t>
  </si>
  <si>
    <t>Buff.Name.MeleeDamageRateUp</t>
  </si>
  <si>
    <t>Buff.Desc.DamageDerateUp</t>
  </si>
  <si>
    <t>Buff.Attribute.Blue.Area.01.buff</t>
  </si>
  <si>
    <t>Buff.Attribute.Blue.Area.02.buff</t>
  </si>
  <si>
    <t>Buff.Attribute.Blue.Area.03.buff</t>
  </si>
  <si>
    <t>Buff.Attribute.Blue.Area.04.buff</t>
  </si>
  <si>
    <t>Buff.Attribute.Blue.Area.05.buff</t>
  </si>
  <si>
    <t>Buff.Attribute.Blue.Area.06.buff</t>
  </si>
  <si>
    <t>Buff.Attribute.Blue.Area.07.buff</t>
  </si>
  <si>
    <t>Buff.Attribute.Blue.Area.08.buff</t>
  </si>
  <si>
    <t>Buff.Attribute.Blue.Far.01.buff</t>
  </si>
  <si>
    <t>Buff.Attribute.Blue.Far.02.buff</t>
  </si>
  <si>
    <t>Buff.Attribute.Blue.Far.03.buff</t>
  </si>
  <si>
    <t>Buff.Attribute.Blue.Far.04.buff</t>
  </si>
  <si>
    <t>Buff.Attribute.Blue.Far.05.buff</t>
  </si>
  <si>
    <t>Buff.Attribute.Blue.Far.06.buff</t>
  </si>
  <si>
    <t>Buff.Attribute.Blue.Far.07.buff</t>
  </si>
  <si>
    <t>Buff.Attribute.Blue.Far.08.buff</t>
  </si>
  <si>
    <t>Buff.Attribute.Blue.Near.01.buff</t>
  </si>
  <si>
    <t>Buff.Attribute.Blue.Near.02.buff</t>
  </si>
  <si>
    <t>Buff.Attribute.Blue.Near.03.buff</t>
  </si>
  <si>
    <t>Buff.Attribute.Blue.Near.04.buff</t>
  </si>
  <si>
    <t>Buff.Attribute.Blue.Near.05.buff</t>
  </si>
  <si>
    <t>Buff.Attribute.Blue.Near.06.buff</t>
  </si>
  <si>
    <t>Buff.Attribute.Blue.Near.07.buff</t>
  </si>
  <si>
    <t>Buff.Attribute.Blue.Near.08.buff</t>
  </si>
  <si>
    <t>Buff.Attribute.Blue.Alive.01.buff</t>
  </si>
  <si>
    <t>Buff.Attribute.Blue.Alive.02.buff</t>
  </si>
  <si>
    <t>Buff.Attribute.Blue.Alive.03.buff</t>
  </si>
  <si>
    <t>Buff.Attribute.Blue.Alive.04.buff</t>
  </si>
  <si>
    <t>Buff.Attribute.Blue.Alive.05.buff</t>
  </si>
  <si>
    <t>Buff.Attribute.Blue.Alive.06.buff</t>
  </si>
  <si>
    <t>Buff.Attribute.Blue.Alive.07.buff</t>
  </si>
  <si>
    <t>Buff.Attribute.Blue.Alive.08.buff</t>
  </si>
  <si>
    <t>Buff.Attribute.Green.Area.01.buff</t>
  </si>
  <si>
    <t>Buff.Attribute.Green.Area.02.buff</t>
  </si>
  <si>
    <t>Buff.Attribute.Green.Area.03.buff</t>
  </si>
  <si>
    <t>Buff.Attribute.Green.Area.04.buff</t>
  </si>
  <si>
    <t>Buff.Attribute.Green.Area.05.buff</t>
  </si>
  <si>
    <t>Buff.Attribute.Green.Area.06.buff</t>
  </si>
  <si>
    <t>Buff.Attribute.Green.Area.07.buff</t>
  </si>
  <si>
    <t>Buff.Attribute.Green.Area.08.buff</t>
  </si>
  <si>
    <t>Buff.Attribute.Green.Far.01.buff</t>
  </si>
  <si>
    <t>Buff.Attribute.Green.Far.02.buff</t>
  </si>
  <si>
    <t>Buff.Attribute.Green.Far.03.buff</t>
  </si>
  <si>
    <t>Buff.Attribute.Green.Far.04.buff</t>
  </si>
  <si>
    <t>Buff.Attribute.Green.Far.05.buff</t>
  </si>
  <si>
    <t>Buff.Attribute.Green.Far.06.buff</t>
  </si>
  <si>
    <t>Buff.Attribute.Green.Far.07.buff</t>
  </si>
  <si>
    <t>Buff.Attribute.Green.Far.08.buff</t>
  </si>
  <si>
    <t>Buff.Attribute.Green.Near.01.buff</t>
  </si>
  <si>
    <t>Buff.Attribute.Green.Near.02.buff</t>
  </si>
  <si>
    <t>Buff.Attribute.Green.Near.03.buff</t>
  </si>
  <si>
    <t>Buff.Attribute.Green.Near.04.buff</t>
  </si>
  <si>
    <t>Buff.Attribute.Green.Near.05.buff</t>
  </si>
  <si>
    <t>Buff.Attribute.Green.Near.06.buff</t>
  </si>
  <si>
    <t>Buff.Attribute.Green.Near.07.buff</t>
  </si>
  <si>
    <t>Buff.Attribute.Green.Near.08.buff</t>
  </si>
  <si>
    <t>Buff.Attribute.Green.Alive.01.buff</t>
  </si>
  <si>
    <t>Buff.Attribute.Green.Alive.02.buff</t>
  </si>
  <si>
    <t>Buff.Attribute.Green.Alive.03.buff</t>
  </si>
  <si>
    <t>Buff.Attribute.Green.Alive.04.buff</t>
  </si>
  <si>
    <t>Buff.Attribute.Green.Alive.05.buff</t>
  </si>
  <si>
    <t>Buff.Attribute.Green.Alive.06.buff</t>
  </si>
  <si>
    <t>Buff.Attribute.Green.Alive.07.buff</t>
  </si>
  <si>
    <t>Buff.Attribute.Green.Alive.08.buff</t>
  </si>
  <si>
    <t>Buff.Attribute.Red.Area.01.buff.buffeffect.01</t>
  </si>
  <si>
    <t>Buff.Attribute.Red.Area.02.buff.buffeffect.01</t>
  </si>
  <si>
    <t>Buff.Attribute.Red.Area.03.buff.buffeffect.01</t>
  </si>
  <si>
    <t>Buff.Attribute.Red.Area.04.buff.buffeffect.01</t>
  </si>
  <si>
    <t>Buff.Attribute.Red.Area.05.buff.buffeffect.01</t>
  </si>
  <si>
    <t>Buff.Attribute.Red.Far.01.buff.buffeffect.01</t>
  </si>
  <si>
    <t>Buff.Attribute.Red.Far.02.buff.buffeffect.01</t>
  </si>
  <si>
    <t>Buff.Attribute.Red.Far.03.buff.buffeffect.01</t>
  </si>
  <si>
    <t>Buff.Attribute.Red.Far.04.buff.buffeffect.01</t>
  </si>
  <si>
    <t>Buff.Attribute.Red.Far.05.buff.buffeffect.01</t>
  </si>
  <si>
    <t>Buff.Attribute.Red.Near.01.buff.buffeffect.01</t>
  </si>
  <si>
    <t>Buff.Attribute.Red.Near.02.buff.buffeffect.01</t>
  </si>
  <si>
    <t>Buff.Attribute.Red.Near.03.buff.buffeffect.01</t>
  </si>
  <si>
    <t>Buff.Attribute.Red.Near.04.buff.buffeffect.01</t>
  </si>
  <si>
    <t>Buff.Attribute.Red.Near.05.buff.buffeffect.01</t>
  </si>
  <si>
    <t>Buff.Attribute.Red.Alive.01.buff.buffeffect.01</t>
  </si>
  <si>
    <t>Buff.Attribute.Red.Alive.02.buff.buffeffect.01</t>
  </si>
  <si>
    <t>Buff.Attribute.Red.Alive.03.buff.buffeffect.01</t>
  </si>
  <si>
    <t>Buff.Attribute.Red.Alive.04.buff.buffeffect.01</t>
  </si>
  <si>
    <t>Buff.Attribute.Red.Alive.05.buff.buffeffect.01</t>
  </si>
  <si>
    <t>AreaDamageRate</t>
  </si>
  <si>
    <t>DamageDerate</t>
  </si>
  <si>
    <t>RangeDamageRate</t>
  </si>
  <si>
    <t>MeleeDamageRate</t>
  </si>
  <si>
    <t>Buff.Attribute.Green.Area.01.buff.buffeffect.01</t>
  </si>
  <si>
    <t>Buff.Attribute.Green.Area.02.buff.buffeffect.01</t>
  </si>
  <si>
    <t>Buff.Attribute.Green.Area.03.buff.buffeffect.01</t>
  </si>
  <si>
    <t>Buff.Attribute.Green.Area.04.buff.buffeffect.01</t>
  </si>
  <si>
    <t>Buff.Attribute.Green.Area.05.buff.buffeffect.01</t>
  </si>
  <si>
    <t>Buff.Attribute.Green.Far.01.buff.buffeffect.01</t>
  </si>
  <si>
    <t>Buff.Attribute.Green.Far.02.buff.buffeffect.01</t>
  </si>
  <si>
    <t>Buff.Attribute.Green.Far.03.buff.buffeffect.01</t>
  </si>
  <si>
    <t>Buff.Attribute.Green.Far.04.buff.buffeffect.01</t>
  </si>
  <si>
    <t>Buff.Attribute.Green.Far.05.buff.buffeffect.01</t>
  </si>
  <si>
    <t>Buff.Attribute.Green.Near.01.buff.buffeffect.01</t>
  </si>
  <si>
    <t>Buff.Attribute.Green.Near.02.buff.buffeffect.01</t>
  </si>
  <si>
    <t>Buff.Attribute.Green.Near.03.buff.buffeffect.01</t>
  </si>
  <si>
    <t>Buff.Attribute.Green.Near.04.buff.buffeffect.01</t>
  </si>
  <si>
    <t>Buff.Attribute.Green.Near.05.buff.buffeffect.01</t>
  </si>
  <si>
    <t>Buff.Attribute.Green.Alive.01.buff.buffeffect.01</t>
  </si>
  <si>
    <t>Buff.Attribute.Green.Alive.02.buff.buffeffect.01</t>
  </si>
  <si>
    <t>Buff.Attribute.Green.Alive.03.buff.buffeffect.01</t>
  </si>
  <si>
    <t>Buff.Attribute.Green.Alive.04.buff.buffeffect.01</t>
  </si>
  <si>
    <t>Buff.Attribute.Green.Alive.05.buff.buffeffect.01</t>
  </si>
  <si>
    <t>Buff.Attribute.Blue.Area.01.buff.buffeffect.01</t>
  </si>
  <si>
    <t>Buff.Attribute.Blue.Area.02.buff.buffeffect.01</t>
  </si>
  <si>
    <t>Buff.Attribute.Blue.Area.03.buff.buffeffect.01</t>
  </si>
  <si>
    <t>Buff.Attribute.Blue.Area.04.buff.buffeffect.01</t>
  </si>
  <si>
    <t>Buff.Attribute.Blue.Area.05.buff.buffeffect.01</t>
  </si>
  <si>
    <t>Buff.Attribute.Blue.Far.01.buff.buffeffect.01</t>
  </si>
  <si>
    <t>Buff.Attribute.Blue.Far.02.buff.buffeffect.01</t>
  </si>
  <si>
    <t>Buff.Attribute.Blue.Far.03.buff.buffeffect.01</t>
  </si>
  <si>
    <t>Buff.Attribute.Blue.Far.04.buff.buffeffect.01</t>
  </si>
  <si>
    <t>Buff.Attribute.Blue.Far.05.buff.buffeffect.01</t>
  </si>
  <si>
    <t>Buff.Attribute.Blue.Near.01.buff.buffeffect.01</t>
  </si>
  <si>
    <t>Buff.Attribute.Blue.Near.02.buff.buffeffect.01</t>
  </si>
  <si>
    <t>Buff.Attribute.Blue.Near.03.buff.buffeffect.01</t>
  </si>
  <si>
    <t>Buff.Attribute.Blue.Near.04.buff.buffeffect.01</t>
  </si>
  <si>
    <t>Buff.Attribute.Blue.Near.05.buff.buffeffect.01</t>
  </si>
  <si>
    <t>Buff.Attribute.Blue.Alive.01.buff.buffeffect.01</t>
  </si>
  <si>
    <t>Buff.Attribute.Blue.Alive.02.buff.buffeffect.01</t>
  </si>
  <si>
    <t>Buff.Attribute.Blue.Alive.03.buff.buffeffect.01</t>
  </si>
  <si>
    <t>Buff.Attribute.Blue.Alive.04.buff.buffeffect.01</t>
  </si>
  <si>
    <t>Buff.Attribute.Blue.Alive.05.buff.buffeffect.01</t>
  </si>
  <si>
    <t>Buff.Attribute.Red.Area.06.buff</t>
  </si>
  <si>
    <t>Buff.Attribute.Red.Area.07.buff</t>
  </si>
  <si>
    <t>Buff.Attribute.Red.Area.08.buff</t>
  </si>
  <si>
    <t>Buff.Attribute.Red.Area.09.buff</t>
  </si>
  <si>
    <t>Buff.Attribute.Red.Area.10.buff</t>
  </si>
  <si>
    <t>Buff.Attribute.Red.Far.06.buff</t>
  </si>
  <si>
    <t>Buff.Attribute.Red.Far.07.buff</t>
  </si>
  <si>
    <t>Buff.Attribute.Red.Far.08.buff</t>
  </si>
  <si>
    <t>Buff.Attribute.Red.Far.09.buff</t>
  </si>
  <si>
    <t>Buff.Attribute.Red.Far.10.buff</t>
  </si>
  <si>
    <t>Buff.Attribute.Red.Near.06.buff</t>
  </si>
  <si>
    <t>Buff.Attribute.Red.Near.07.buff</t>
  </si>
  <si>
    <t>Buff.Attribute.Red.Near.08.buff</t>
  </si>
  <si>
    <t>Buff.Attribute.Red.Near.09.buff</t>
  </si>
  <si>
    <t>Buff.Attribute.Red.Near.10.buff</t>
  </si>
  <si>
    <t>Buff.Attribute.Red.Alive.06.buff</t>
  </si>
  <si>
    <t>Buff.Attribute.Red.Alive.07.buff</t>
  </si>
  <si>
    <t>Buff.Attribute.Red.Alive.08.buff</t>
  </si>
  <si>
    <t>Buff.Attribute.Red.Alive.09.buff</t>
  </si>
  <si>
    <t>Buff.Attribute.Red.Alive.10.buff</t>
  </si>
  <si>
    <t>Buff.Attribute.Green.Area.09.buff</t>
  </si>
  <si>
    <t>Buff.Attribute.Green.Area.10.buff</t>
  </si>
  <si>
    <t>Buff.Attribute.Green.Far.09.buff</t>
  </si>
  <si>
    <t>Buff.Attribute.Green.Far.10.buff</t>
  </si>
  <si>
    <t>Buff.Attribute.Green.Near.09.buff</t>
  </si>
  <si>
    <t>Buff.Attribute.Green.Near.10.buff</t>
  </si>
  <si>
    <t>Buff.Attribute.Green.Alive.09.buff</t>
  </si>
  <si>
    <t>Buff.Attribute.Green.Alive.10.buff</t>
  </si>
  <si>
    <t>Buff.Attribute.Blue.Area.09.buff</t>
  </si>
  <si>
    <t>Buff.Attribute.Blue.Area.10.buff</t>
  </si>
  <si>
    <t>Buff.Attribute.Blue.Far.09.buff</t>
  </si>
  <si>
    <t>Buff.Attribute.Blue.Far.10.buff</t>
  </si>
  <si>
    <t>Buff.Attribute.Blue.Near.09.buff</t>
  </si>
  <si>
    <t>Buff.Attribute.Blue.Near.10.buff</t>
  </si>
  <si>
    <t>Buff.Attribute.Blue.Alive.09.buff</t>
  </si>
  <si>
    <t>Buff.Attribute.Blue.Alive.10.buff</t>
  </si>
  <si>
    <t>Buff.Attribute.Blue.Area.06.buff.buffeffect.01</t>
  </si>
  <si>
    <t>Buff.Attribute.Blue.Area.07.buff.buffeffect.01</t>
  </si>
  <si>
    <t>Buff.Attribute.Blue.Area.08.buff.buffeffect.01</t>
  </si>
  <si>
    <t>Buff.Attribute.Blue.Area.09.buff.buffeffect.01</t>
  </si>
  <si>
    <t>Buff.Attribute.Blue.Area.10.buff.buffeffect.01</t>
  </si>
  <si>
    <t>Buff.Attribute.Blue.Far.06.buff.buffeffect.01</t>
  </si>
  <si>
    <t>Buff.Attribute.Blue.Far.07.buff.buffeffect.01</t>
  </si>
  <si>
    <t>Buff.Attribute.Blue.Far.08.buff.buffeffect.01</t>
  </si>
  <si>
    <t>Buff.Attribute.Blue.Far.09.buff.buffeffect.01</t>
  </si>
  <si>
    <t>Buff.Attribute.Blue.Far.10.buff.buffeffect.01</t>
  </si>
  <si>
    <t>Buff.Attribute.Blue.Near.06.buff.buffeffect.01</t>
  </si>
  <si>
    <t>Buff.Attribute.Blue.Near.07.buff.buffeffect.01</t>
  </si>
  <si>
    <t>Buff.Attribute.Blue.Near.08.buff.buffeffect.01</t>
  </si>
  <si>
    <t>Buff.Attribute.Blue.Near.09.buff.buffeffect.01</t>
  </si>
  <si>
    <t>Buff.Attribute.Blue.Near.10.buff.buffeffect.01</t>
  </si>
  <si>
    <t>Buff.Attribute.Blue.Alive.06.buff.buffeffect.01</t>
  </si>
  <si>
    <t>Buff.Attribute.Blue.Alive.07.buff.buffeffect.01</t>
  </si>
  <si>
    <t>Buff.Attribute.Blue.Alive.08.buff.buffeffect.01</t>
  </si>
  <si>
    <t>Buff.Attribute.Blue.Alive.09.buff.buffeffect.01</t>
  </si>
  <si>
    <t>Buff.Attribute.Blue.Alive.10.buff.buffeffect.01</t>
  </si>
  <si>
    <t>Buff.Attribute.Green.Area.06.buff.buffeffect.01</t>
  </si>
  <si>
    <t>Buff.Attribute.Green.Area.07.buff.buffeffect.01</t>
  </si>
  <si>
    <t>Buff.Attribute.Green.Area.08.buff.buffeffect.01</t>
  </si>
  <si>
    <t>Buff.Attribute.Green.Area.09.buff.buffeffect.01</t>
  </si>
  <si>
    <t>Buff.Attribute.Green.Area.10.buff.buffeffect.01</t>
  </si>
  <si>
    <t>Buff.Attribute.Green.Far.06.buff.buffeffect.01</t>
  </si>
  <si>
    <t>Buff.Attribute.Green.Far.07.buff.buffeffect.01</t>
  </si>
  <si>
    <t>Buff.Attribute.Green.Far.08.buff.buffeffect.01</t>
  </si>
  <si>
    <t>Buff.Attribute.Green.Far.09.buff.buffeffect.01</t>
  </si>
  <si>
    <t>Buff.Attribute.Green.Far.10.buff.buffeffect.01</t>
  </si>
  <si>
    <t>Buff.Attribute.Green.Near.06.buff.buffeffect.01</t>
  </si>
  <si>
    <t>Buff.Attribute.Green.Near.07.buff.buffeffect.01</t>
  </si>
  <si>
    <t>Buff.Attribute.Green.Near.08.buff.buffeffect.01</t>
  </si>
  <si>
    <t>Buff.Attribute.Green.Near.09.buff.buffeffect.01</t>
  </si>
  <si>
    <t>Buff.Attribute.Green.Near.10.buff.buffeffect.01</t>
  </si>
  <si>
    <t>Buff.Attribute.Green.Alive.06.buff.buffeffect.01</t>
  </si>
  <si>
    <t>Buff.Attribute.Green.Alive.07.buff.buffeffect.01</t>
  </si>
  <si>
    <t>Buff.Attribute.Green.Alive.08.buff.buffeffect.01</t>
  </si>
  <si>
    <t>Buff.Attribute.Green.Alive.09.buff.buffeffect.01</t>
  </si>
  <si>
    <t>Buff.Attribute.Green.Alive.10.buff.buffeffect.01</t>
  </si>
  <si>
    <t>Buff.Attribute.Red.Area.06.buff.buffeffect.01</t>
  </si>
  <si>
    <t>Buff.Attribute.Red.Area.07.buff.buffeffect.01</t>
  </si>
  <si>
    <t>Buff.Attribute.Red.Area.08.buff.buffeffect.01</t>
  </si>
  <si>
    <t>Buff.Attribute.Red.Area.09.buff.buffeffect.01</t>
  </si>
  <si>
    <t>Buff.Attribute.Red.Area.10.buff.buffeffect.01</t>
  </si>
  <si>
    <t>Buff.Attribute.Red.Far.06.buff.buffeffect.01</t>
  </si>
  <si>
    <t>Buff.Attribute.Red.Far.07.buff.buffeffect.01</t>
  </si>
  <si>
    <t>Buff.Attribute.Red.Far.08.buff.buffeffect.01</t>
  </si>
  <si>
    <t>Buff.Attribute.Red.Far.09.buff.buffeffect.01</t>
  </si>
  <si>
    <t>Buff.Attribute.Red.Far.10.buff.buffeffect.01</t>
  </si>
  <si>
    <t>Buff.Attribute.Red.Near.06.buff.buffeffect.01</t>
  </si>
  <si>
    <t>Buff.Attribute.Red.Near.07.buff.buffeffect.01</t>
  </si>
  <si>
    <t>Buff.Attribute.Red.Near.08.buff.buffeffect.01</t>
  </si>
  <si>
    <t>Buff.Attribute.Red.Near.09.buff.buffeffect.01</t>
  </si>
  <si>
    <t>Buff.Attribute.Red.Near.10.buff.buffeffect.01</t>
  </si>
  <si>
    <t>Buff.Attribute.Red.Alive.06.buff.buffeffect.01</t>
  </si>
  <si>
    <t>Buff.Attribute.Red.Alive.07.buff.buffeffect.01</t>
  </si>
  <si>
    <t>Buff.Attribute.Red.Alive.08.buff.buffeffect.01</t>
  </si>
  <si>
    <t>Buff.Attribute.Red.Alive.09.buff.buffeffect.01</t>
  </si>
  <si>
    <t>Buff.Attribute.Red.Alive.10.buff.buffeffect.01</t>
  </si>
  <si>
    <t>AttributeBuff.Red.Desc.AreaDamageRateUp</t>
  </si>
  <si>
    <t>AttributeBuff.Red.Desc.RangeDamageRateUp</t>
  </si>
  <si>
    <t>AttributeBuff.Red.Desc.MeleeDamageRateUp</t>
  </si>
  <si>
    <t>AttributeBuff.Red.Desc.DamageDerateUp</t>
  </si>
  <si>
    <t>AttributeBuff.Green.Desc.AreaDamageRateUp</t>
  </si>
  <si>
    <t>AttributeBuff.Green.Desc.RangeDamageRateUp</t>
  </si>
  <si>
    <t>AttributeBuff.Green.Desc.MeleeDamageRateUp</t>
  </si>
  <si>
    <t>AttributeBuff.Green.Desc.DamageDerateUp</t>
  </si>
  <si>
    <t>AttributeBuff.Blue.Desc.AreaDamageRateUp</t>
  </si>
  <si>
    <t>AttributeBuff.Blue.Desc.RangeDamageRateUp</t>
  </si>
  <si>
    <t>AttributeBuff.Blue.Desc.MeleeDamageRateUp</t>
  </si>
  <si>
    <t>AttributeBuff.Blue.Desc.DamageDerateUp</t>
  </si>
  <si>
    <t>Status</t>
  </si>
  <si>
    <t>icon_battle_areadamage</t>
  </si>
  <si>
    <t>icon_battle_rangedamage</t>
  </si>
  <si>
    <t>icon_battle_meleedamage</t>
  </si>
  <si>
    <t>icon_battle_damagederate</t>
  </si>
  <si>
    <t>icon_battle_meleedamage</t>
    <phoneticPr fontId="2" type="noConversion"/>
  </si>
  <si>
    <t>icon_battle_damagederate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</si>
</sst>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.5"/>
      <color theme="1"/>
      <name val="나눔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1">
      <alignment horizontal="center"/>
    </xf>
  </cellStyleXfs>
  <cellXfs count="7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>
      <alignment vertical="center"/>
    </xf>
    <xf numFmtId="0" fontId="8" fillId="0" borderId="0" xfId="0" applyFont="1"/>
    <xf numFmtId="0" fontId="6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7" fillId="8" borderId="1" xfId="3" applyFont="1" applyBorder="1" applyAlignment="1">
      <alignment horizontal="center" vertical="center" wrapText="1"/>
    </xf>
    <xf numFmtId="0" fontId="7" fillId="9" borderId="1" xfId="4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5" applyFont="1" applyBorder="1" applyAlignment="1">
      <alignment horizontal="center" vertical="center" wrapText="1"/>
    </xf>
    <xf numFmtId="0" fontId="7" fillId="12" borderId="1" xfId="4" applyFont="1" applyFill="1" applyBorder="1" applyAlignment="1">
      <alignment horizontal="center" vertical="center" wrapText="1"/>
    </xf>
    <xf numFmtId="0" fontId="7" fillId="7" borderId="1" xfId="2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13" borderId="1" xfId="0" applyFont="1" applyFill="1" applyBorder="1"/>
    <xf numFmtId="0" fontId="8" fillId="13" borderId="1" xfId="0" applyFont="1" applyFill="1" applyBorder="1" applyAlignment="1">
      <alignment horizontal="center"/>
    </xf>
    <xf numFmtId="0" fontId="6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6" applyFont="1" applyFill="1" applyBorder="1" applyAlignment="1">
      <alignment horizontal="left"/>
    </xf>
    <xf numFmtId="0" fontId="14" fillId="4" borderId="1" xfId="0" applyFont="1" applyFill="1" applyBorder="1"/>
    <xf numFmtId="0" fontId="6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5" borderId="1" xfId="6" applyFont="1" applyFill="1" applyBorder="1" applyAlignment="1">
      <alignment horizontal="left"/>
    </xf>
    <xf numFmtId="0" fontId="14" fillId="5" borderId="1" xfId="0" applyFont="1" applyFill="1" applyBorder="1"/>
    <xf numFmtId="0" fontId="6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14" fillId="14" borderId="1" xfId="0" applyFont="1" applyFill="1" applyBorder="1"/>
    <xf numFmtId="0" fontId="6" fillId="15" borderId="1" xfId="0" applyFont="1" applyFill="1" applyBorder="1"/>
    <xf numFmtId="0" fontId="8" fillId="15" borderId="1" xfId="0" applyFont="1" applyFill="1" applyBorder="1" applyAlignment="1">
      <alignment horizontal="center"/>
    </xf>
    <xf numFmtId="0" fontId="14" fillId="15" borderId="1" xfId="0" applyFont="1" applyFill="1" applyBorder="1"/>
    <xf numFmtId="0" fontId="6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6" borderId="1" xfId="6" applyFont="1" applyFill="1" applyBorder="1" applyAlignment="1">
      <alignment horizontal="left"/>
    </xf>
    <xf numFmtId="0" fontId="14" fillId="6" borderId="1" xfId="0" applyFont="1" applyFill="1" applyBorder="1"/>
    <xf numFmtId="0" fontId="6" fillId="16" borderId="1" xfId="0" applyFont="1" applyFill="1" applyBorder="1"/>
    <xf numFmtId="0" fontId="8" fillId="16" borderId="1" xfId="0" applyFont="1" applyFill="1" applyBorder="1" applyAlignment="1">
      <alignment horizontal="center"/>
    </xf>
    <xf numFmtId="0" fontId="14" fillId="16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  <xf numFmtId="0" fontId="8" fillId="17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5" borderId="1" xfId="0" applyFont="1" applyFill="1" applyBorder="1"/>
    <xf numFmtId="0" fontId="8" fillId="0" borderId="1" xfId="0" applyFont="1" applyBorder="1"/>
    <xf numFmtId="0" fontId="6" fillId="19" borderId="1" xfId="0" applyFont="1" applyFill="1" applyBorder="1"/>
    <xf numFmtId="0" fontId="8" fillId="19" borderId="1" xfId="0" applyFont="1" applyFill="1" applyBorder="1"/>
    <xf numFmtId="0" fontId="8" fillId="15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6" borderId="1" xfId="0" applyFont="1" applyFill="1" applyBorder="1"/>
    <xf numFmtId="0" fontId="7" fillId="5" borderId="1" xfId="3" applyFont="1" applyFill="1" applyBorder="1" applyAlignment="1">
      <alignment horizontal="center" vertical="center" wrapText="1"/>
    </xf>
    <xf numFmtId="0" fontId="8" fillId="14" borderId="1" xfId="0" applyFont="1" applyFill="1" applyBorder="1"/>
    <xf numFmtId="0" fontId="8" fillId="16" borderId="1" xfId="0" applyFont="1" applyFill="1" applyBorder="1"/>
  </cellXfs>
  <cellStyles count="7">
    <cellStyle name="강조색1" xfId="2" builtinId="29"/>
    <cellStyle name="강조색2" xfId="3" builtinId="33"/>
    <cellStyle name="강조색4" xfId="4" builtinId="41"/>
    <cellStyle name="강조색6" xfId="5" builtinId="49"/>
    <cellStyle name="기본" xfId="6"/>
    <cellStyle name="표준" xfId="0" builtinId="0"/>
    <cellStyle name="표준 2" xfId="1"/>
  </cellStyles>
  <dxfs count="17">
    <dxf>
      <fill>
        <patternFill>
          <bgColor theme="2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31" sqref="D31"/>
    </sheetView>
  </sheetViews>
  <sheetFormatPr defaultRowHeight="13.5"/>
  <cols>
    <col min="1" max="1" width="13" style="22" bestFit="1" customWidth="1"/>
    <col min="2" max="2" width="18.125" style="22" bestFit="1" customWidth="1"/>
    <col min="3" max="3" width="30.75" style="22" bestFit="1" customWidth="1"/>
    <col min="4" max="4" width="46.625" style="22" bestFit="1" customWidth="1"/>
    <col min="5" max="5" width="24.25" style="22" bestFit="1" customWidth="1"/>
    <col min="6" max="6" width="16.75" style="22" bestFit="1" customWidth="1"/>
    <col min="7" max="8" width="17.125" style="22" bestFit="1" customWidth="1"/>
    <col min="9" max="16384" width="9" style="22"/>
  </cols>
  <sheetData>
    <row r="1" spans="1:8">
      <c r="A1" s="30" t="s">
        <v>49</v>
      </c>
      <c r="B1" s="30" t="s">
        <v>286</v>
      </c>
      <c r="C1" s="30" t="s">
        <v>796</v>
      </c>
      <c r="D1" s="30" t="s">
        <v>288</v>
      </c>
      <c r="E1" s="30" t="s">
        <v>802</v>
      </c>
      <c r="F1" s="10" t="s">
        <v>1731</v>
      </c>
      <c r="G1" s="10" t="s">
        <v>1732</v>
      </c>
      <c r="H1" s="10" t="s">
        <v>1773</v>
      </c>
    </row>
    <row r="2" spans="1:8">
      <c r="A2" s="30" t="s">
        <v>792</v>
      </c>
      <c r="B2" s="30" t="s">
        <v>287</v>
      </c>
      <c r="C2" s="30" t="s">
        <v>797</v>
      </c>
      <c r="D2" s="30" t="s">
        <v>290</v>
      </c>
      <c r="E2" s="30" t="s">
        <v>2</v>
      </c>
      <c r="F2" s="10" t="s">
        <v>1733</v>
      </c>
      <c r="G2" s="10" t="s">
        <v>1733</v>
      </c>
      <c r="H2" s="10" t="s">
        <v>1772</v>
      </c>
    </row>
    <row r="3" spans="1:8">
      <c r="A3" s="30" t="s">
        <v>5</v>
      </c>
      <c r="B3" s="30" t="s">
        <v>5</v>
      </c>
      <c r="C3" s="30" t="s">
        <v>5</v>
      </c>
      <c r="D3" s="30" t="s">
        <v>5</v>
      </c>
      <c r="E3" s="30" t="s">
        <v>803</v>
      </c>
      <c r="F3" s="10" t="s">
        <v>1734</v>
      </c>
      <c r="G3" s="10" t="s">
        <v>803</v>
      </c>
      <c r="H3" s="10" t="s">
        <v>43</v>
      </c>
    </row>
    <row r="4" spans="1:8" ht="54">
      <c r="A4" s="57" t="s">
        <v>787</v>
      </c>
      <c r="B4" s="57" t="s">
        <v>1748</v>
      </c>
      <c r="C4" s="58" t="s">
        <v>798</v>
      </c>
      <c r="D4" s="57" t="s">
        <v>1739</v>
      </c>
      <c r="E4" s="59" t="s">
        <v>1774</v>
      </c>
      <c r="F4" s="57">
        <v>200</v>
      </c>
      <c r="G4" s="57">
        <v>0</v>
      </c>
      <c r="H4" s="57">
        <v>1040701055</v>
      </c>
    </row>
    <row r="5" spans="1:8" ht="54">
      <c r="A5" s="57" t="s">
        <v>788</v>
      </c>
      <c r="B5" s="57" t="s">
        <v>1770</v>
      </c>
      <c r="C5" s="58" t="s">
        <v>799</v>
      </c>
      <c r="D5" s="57" t="s">
        <v>1740</v>
      </c>
      <c r="E5" s="59" t="s">
        <v>1775</v>
      </c>
      <c r="F5" s="57">
        <v>200</v>
      </c>
      <c r="G5" s="57">
        <v>0</v>
      </c>
      <c r="H5" s="57">
        <v>1040701056</v>
      </c>
    </row>
    <row r="6" spans="1:8" ht="54">
      <c r="A6" s="57" t="s">
        <v>789</v>
      </c>
      <c r="B6" s="57" t="s">
        <v>1771</v>
      </c>
      <c r="C6" s="58" t="s">
        <v>800</v>
      </c>
      <c r="D6" s="57" t="s">
        <v>1741</v>
      </c>
      <c r="E6" s="59" t="s">
        <v>1776</v>
      </c>
      <c r="F6" s="57">
        <v>200</v>
      </c>
      <c r="G6" s="57">
        <v>0</v>
      </c>
      <c r="H6" s="57">
        <v>1040701057</v>
      </c>
    </row>
    <row r="7" spans="1:8">
      <c r="A7" s="31"/>
      <c r="B7" s="31"/>
      <c r="C7" s="60"/>
      <c r="D7" s="31"/>
      <c r="E7" s="61"/>
      <c r="F7" s="31"/>
      <c r="G7" s="31"/>
      <c r="H7" s="31"/>
    </row>
    <row r="8" spans="1:8">
      <c r="A8" s="31"/>
      <c r="B8" s="31"/>
      <c r="C8" s="60"/>
      <c r="D8" s="31"/>
      <c r="E8" s="61"/>
      <c r="F8" s="31"/>
      <c r="G8" s="31"/>
      <c r="H8" s="31"/>
    </row>
    <row r="9" spans="1:8">
      <c r="A9" s="31"/>
      <c r="B9" s="31"/>
      <c r="C9" s="31"/>
      <c r="D9" s="31"/>
      <c r="E9" s="31"/>
      <c r="F9" s="31"/>
      <c r="G9" s="31"/>
      <c r="H9" s="3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7"/>
  <sheetViews>
    <sheetView zoomScale="85" zoomScaleNormal="85" workbookViewId="0">
      <selection activeCell="G15" sqref="G15"/>
    </sheetView>
  </sheetViews>
  <sheetFormatPr defaultRowHeight="13.5"/>
  <cols>
    <col min="1" max="1" width="16.125" style="22" bestFit="1" customWidth="1"/>
    <col min="2" max="2" width="8" style="22" bestFit="1" customWidth="1"/>
    <col min="3" max="3" width="12.375" style="22" bestFit="1" customWidth="1"/>
    <col min="4" max="4" width="13.75" style="22" bestFit="1" customWidth="1"/>
    <col min="5" max="5" width="65.75" style="22" customWidth="1"/>
    <col min="6" max="6" width="18.75" style="22" bestFit="1" customWidth="1"/>
    <col min="7" max="7" width="23.625" style="22" bestFit="1" customWidth="1"/>
    <col min="8" max="8" width="27" style="22" bestFit="1" customWidth="1"/>
    <col min="9" max="16384" width="9" style="22"/>
  </cols>
  <sheetData>
    <row r="1" spans="1:8">
      <c r="A1" s="32" t="s">
        <v>292</v>
      </c>
      <c r="B1" s="33" t="s">
        <v>298</v>
      </c>
      <c r="C1" s="33" t="s">
        <v>300</v>
      </c>
      <c r="D1" s="33" t="s">
        <v>301</v>
      </c>
      <c r="E1" s="33" t="s">
        <v>303</v>
      </c>
      <c r="F1" s="33" t="s">
        <v>1749</v>
      </c>
      <c r="G1" s="33" t="s">
        <v>1750</v>
      </c>
      <c r="H1" s="33" t="s">
        <v>1754</v>
      </c>
    </row>
    <row r="2" spans="1:8">
      <c r="A2" s="32" t="s">
        <v>786</v>
      </c>
      <c r="B2" s="33" t="s">
        <v>29</v>
      </c>
      <c r="C2" s="33" t="s">
        <v>1</v>
      </c>
      <c r="D2" s="33" t="s">
        <v>302</v>
      </c>
      <c r="E2" s="33" t="s">
        <v>801</v>
      </c>
      <c r="F2" s="33" t="s">
        <v>1753</v>
      </c>
      <c r="G2" s="33" t="s">
        <v>1751</v>
      </c>
      <c r="H2" s="33" t="s">
        <v>1755</v>
      </c>
    </row>
    <row r="3" spans="1:8">
      <c r="A3" s="32" t="s">
        <v>5</v>
      </c>
      <c r="B3" s="33" t="s">
        <v>5</v>
      </c>
      <c r="C3" s="33" t="s">
        <v>5</v>
      </c>
      <c r="D3" s="33" t="s">
        <v>5</v>
      </c>
      <c r="E3" s="33" t="s">
        <v>5</v>
      </c>
      <c r="F3" s="33" t="s">
        <v>1752</v>
      </c>
      <c r="G3" s="33" t="s">
        <v>1752</v>
      </c>
      <c r="H3" s="33" t="s">
        <v>5</v>
      </c>
    </row>
    <row r="4" spans="1:8">
      <c r="A4" s="40" t="s">
        <v>297</v>
      </c>
      <c r="B4" s="40"/>
      <c r="C4" s="40"/>
      <c r="D4" s="40"/>
      <c r="E4" s="40"/>
      <c r="F4" s="40"/>
      <c r="G4" s="40"/>
      <c r="H4" s="40"/>
    </row>
    <row r="5" spans="1:8">
      <c r="A5" s="40"/>
      <c r="B5" s="40">
        <v>1</v>
      </c>
      <c r="C5" s="40">
        <v>1</v>
      </c>
      <c r="D5" s="41">
        <v>11110101</v>
      </c>
      <c r="E5" s="42" t="s">
        <v>980</v>
      </c>
      <c r="F5" s="40"/>
      <c r="G5" s="40"/>
      <c r="H5" s="40"/>
    </row>
    <row r="6" spans="1:8">
      <c r="A6" s="40"/>
      <c r="B6" s="40">
        <v>2</v>
      </c>
      <c r="C6" s="40">
        <v>1</v>
      </c>
      <c r="D6" s="41">
        <v>11110201</v>
      </c>
      <c r="E6" s="42" t="s">
        <v>981</v>
      </c>
      <c r="F6" s="40"/>
      <c r="G6" s="40"/>
      <c r="H6" s="40"/>
    </row>
    <row r="7" spans="1:8">
      <c r="A7" s="40"/>
      <c r="B7" s="40">
        <v>3</v>
      </c>
      <c r="C7" s="40">
        <v>1</v>
      </c>
      <c r="D7" s="41">
        <v>11110301</v>
      </c>
      <c r="E7" s="42" t="s">
        <v>982</v>
      </c>
      <c r="F7" s="40"/>
      <c r="G7" s="40"/>
      <c r="H7" s="40"/>
    </row>
    <row r="8" spans="1:8">
      <c r="A8" s="40"/>
      <c r="B8" s="40">
        <v>4</v>
      </c>
      <c r="C8" s="40">
        <v>1</v>
      </c>
      <c r="D8" s="41">
        <v>11110401</v>
      </c>
      <c r="E8" s="42" t="s">
        <v>983</v>
      </c>
      <c r="F8" s="40"/>
      <c r="G8" s="40"/>
      <c r="H8" s="40"/>
    </row>
    <row r="9" spans="1:8">
      <c r="A9" s="40"/>
      <c r="B9" s="40">
        <v>5</v>
      </c>
      <c r="C9" s="40">
        <v>1</v>
      </c>
      <c r="D9" s="41">
        <v>11110501</v>
      </c>
      <c r="E9" s="42" t="s">
        <v>984</v>
      </c>
      <c r="F9" s="40"/>
      <c r="G9" s="40"/>
      <c r="H9" s="40"/>
    </row>
    <row r="10" spans="1:8">
      <c r="A10" s="40"/>
      <c r="B10" s="40">
        <v>6</v>
      </c>
      <c r="C10" s="40">
        <v>1</v>
      </c>
      <c r="D10" s="41">
        <v>11110601</v>
      </c>
      <c r="E10" s="42" t="s">
        <v>985</v>
      </c>
      <c r="F10" s="40"/>
      <c r="G10" s="40"/>
      <c r="H10" s="40"/>
    </row>
    <row r="11" spans="1:8">
      <c r="A11" s="40"/>
      <c r="B11" s="40">
        <v>7</v>
      </c>
      <c r="C11" s="40">
        <v>1</v>
      </c>
      <c r="D11" s="41">
        <v>11110701</v>
      </c>
      <c r="E11" s="42" t="s">
        <v>986</v>
      </c>
      <c r="F11" s="40"/>
      <c r="G11" s="40"/>
      <c r="H11" s="40"/>
    </row>
    <row r="12" spans="1:8">
      <c r="A12" s="40"/>
      <c r="B12" s="40">
        <v>8</v>
      </c>
      <c r="C12" s="40">
        <v>1</v>
      </c>
      <c r="D12" s="41">
        <v>11110801</v>
      </c>
      <c r="E12" s="42" t="s">
        <v>987</v>
      </c>
      <c r="F12" s="40"/>
      <c r="G12" s="40"/>
      <c r="H12" s="40"/>
    </row>
    <row r="13" spans="1:8">
      <c r="A13" s="40"/>
      <c r="B13" s="40">
        <v>9</v>
      </c>
      <c r="C13" s="40">
        <v>1</v>
      </c>
      <c r="D13" s="41">
        <v>11110901</v>
      </c>
      <c r="E13" s="42" t="s">
        <v>988</v>
      </c>
      <c r="F13" s="40"/>
      <c r="G13" s="40"/>
      <c r="H13" s="40"/>
    </row>
    <row r="14" spans="1:8">
      <c r="A14" s="40"/>
      <c r="B14" s="40">
        <v>10</v>
      </c>
      <c r="C14" s="40">
        <v>1</v>
      </c>
      <c r="D14" s="41">
        <v>11111001</v>
      </c>
      <c r="E14" s="42" t="s">
        <v>989</v>
      </c>
      <c r="F14" s="40"/>
      <c r="G14" s="40"/>
      <c r="H14" s="40"/>
    </row>
    <row r="15" spans="1:8">
      <c r="A15" s="40"/>
      <c r="B15" s="40">
        <v>11</v>
      </c>
      <c r="C15" s="40">
        <v>1</v>
      </c>
      <c r="D15" s="41">
        <v>11111101</v>
      </c>
      <c r="E15" s="42" t="s">
        <v>990</v>
      </c>
      <c r="F15" s="40">
        <v>1010530001</v>
      </c>
      <c r="G15" s="40" t="str">
        <f>"Buff.Attribute.Red.Area.0" &amp; INT( B15 / 5.1 ) -1 &amp;".buff"</f>
        <v>Buff.Attribute.Red.Area.01.buff</v>
      </c>
      <c r="H15" s="43" t="s">
        <v>1757</v>
      </c>
    </row>
    <row r="16" spans="1:8">
      <c r="A16" s="40"/>
      <c r="B16" s="40">
        <v>12</v>
      </c>
      <c r="C16" s="40">
        <v>1</v>
      </c>
      <c r="D16" s="41">
        <v>11111201</v>
      </c>
      <c r="E16" s="42" t="s">
        <v>991</v>
      </c>
      <c r="F16" s="40">
        <v>1010530001</v>
      </c>
      <c r="G16" s="40" t="str">
        <f t="shared" ref="G16:G54" si="0">"Buff.Attribute.Red.Area.0" &amp; INT( B16 / 5.1 ) -1 &amp;".buff"</f>
        <v>Buff.Attribute.Red.Area.01.buff</v>
      </c>
      <c r="H16" s="43" t="s">
        <v>1757</v>
      </c>
    </row>
    <row r="17" spans="1:8">
      <c r="A17" s="40"/>
      <c r="B17" s="40">
        <v>13</v>
      </c>
      <c r="C17" s="40">
        <v>1</v>
      </c>
      <c r="D17" s="41">
        <v>11111301</v>
      </c>
      <c r="E17" s="42" t="s">
        <v>992</v>
      </c>
      <c r="F17" s="40">
        <v>1010530001</v>
      </c>
      <c r="G17" s="40" t="str">
        <f t="shared" si="0"/>
        <v>Buff.Attribute.Red.Area.01.buff</v>
      </c>
      <c r="H17" s="43" t="s">
        <v>1757</v>
      </c>
    </row>
    <row r="18" spans="1:8">
      <c r="A18" s="40"/>
      <c r="B18" s="40">
        <v>14</v>
      </c>
      <c r="C18" s="40">
        <v>1</v>
      </c>
      <c r="D18" s="41">
        <v>11111401</v>
      </c>
      <c r="E18" s="42" t="s">
        <v>993</v>
      </c>
      <c r="F18" s="40">
        <v>1010530001</v>
      </c>
      <c r="G18" s="40" t="str">
        <f t="shared" si="0"/>
        <v>Buff.Attribute.Red.Area.01.buff</v>
      </c>
      <c r="H18" s="43" t="s">
        <v>1757</v>
      </c>
    </row>
    <row r="19" spans="1:8">
      <c r="A19" s="40"/>
      <c r="B19" s="40">
        <v>15</v>
      </c>
      <c r="C19" s="40">
        <v>1</v>
      </c>
      <c r="D19" s="41">
        <v>11111501</v>
      </c>
      <c r="E19" s="42" t="s">
        <v>994</v>
      </c>
      <c r="F19" s="40">
        <v>1010530001</v>
      </c>
      <c r="G19" s="40" t="str">
        <f t="shared" si="0"/>
        <v>Buff.Attribute.Red.Area.01.buff</v>
      </c>
      <c r="H19" s="43" t="s">
        <v>1757</v>
      </c>
    </row>
    <row r="20" spans="1:8">
      <c r="A20" s="40"/>
      <c r="B20" s="40">
        <v>16</v>
      </c>
      <c r="C20" s="40">
        <v>1</v>
      </c>
      <c r="D20" s="41">
        <v>11111601</v>
      </c>
      <c r="E20" s="42" t="s">
        <v>995</v>
      </c>
      <c r="F20" s="40">
        <v>1010530001</v>
      </c>
      <c r="G20" s="40" t="str">
        <f t="shared" si="0"/>
        <v>Buff.Attribute.Red.Area.02.buff</v>
      </c>
      <c r="H20" s="43" t="s">
        <v>1757</v>
      </c>
    </row>
    <row r="21" spans="1:8">
      <c r="A21" s="40"/>
      <c r="B21" s="40">
        <v>17</v>
      </c>
      <c r="C21" s="40">
        <v>1</v>
      </c>
      <c r="D21" s="41">
        <v>11111701</v>
      </c>
      <c r="E21" s="42" t="s">
        <v>996</v>
      </c>
      <c r="F21" s="40">
        <v>1010530001</v>
      </c>
      <c r="G21" s="40" t="str">
        <f t="shared" si="0"/>
        <v>Buff.Attribute.Red.Area.02.buff</v>
      </c>
      <c r="H21" s="43" t="s">
        <v>1757</v>
      </c>
    </row>
    <row r="22" spans="1:8">
      <c r="A22" s="40"/>
      <c r="B22" s="40">
        <v>18</v>
      </c>
      <c r="C22" s="40">
        <v>1</v>
      </c>
      <c r="D22" s="41">
        <v>11111801</v>
      </c>
      <c r="E22" s="42" t="s">
        <v>997</v>
      </c>
      <c r="F22" s="40">
        <v>1010530001</v>
      </c>
      <c r="G22" s="40" t="str">
        <f t="shared" si="0"/>
        <v>Buff.Attribute.Red.Area.02.buff</v>
      </c>
      <c r="H22" s="43" t="s">
        <v>1757</v>
      </c>
    </row>
    <row r="23" spans="1:8">
      <c r="A23" s="40"/>
      <c r="B23" s="40">
        <v>19</v>
      </c>
      <c r="C23" s="40">
        <v>1</v>
      </c>
      <c r="D23" s="41">
        <v>11111901</v>
      </c>
      <c r="E23" s="42" t="s">
        <v>998</v>
      </c>
      <c r="F23" s="40">
        <v>1010530001</v>
      </c>
      <c r="G23" s="40" t="str">
        <f t="shared" si="0"/>
        <v>Buff.Attribute.Red.Area.02.buff</v>
      </c>
      <c r="H23" s="43" t="s">
        <v>1757</v>
      </c>
    </row>
    <row r="24" spans="1:8">
      <c r="A24" s="40"/>
      <c r="B24" s="40">
        <v>20</v>
      </c>
      <c r="C24" s="40">
        <v>1</v>
      </c>
      <c r="D24" s="41">
        <v>11112001</v>
      </c>
      <c r="E24" s="42" t="s">
        <v>999</v>
      </c>
      <c r="F24" s="40">
        <v>1010530001</v>
      </c>
      <c r="G24" s="40" t="str">
        <f t="shared" si="0"/>
        <v>Buff.Attribute.Red.Area.02.buff</v>
      </c>
      <c r="H24" s="43" t="s">
        <v>1758</v>
      </c>
    </row>
    <row r="25" spans="1:8">
      <c r="A25" s="40"/>
      <c r="B25" s="40">
        <v>21</v>
      </c>
      <c r="C25" s="40">
        <v>1</v>
      </c>
      <c r="D25" s="41">
        <v>11112101</v>
      </c>
      <c r="E25" s="42" t="s">
        <v>1000</v>
      </c>
      <c r="F25" s="40">
        <v>1010530001</v>
      </c>
      <c r="G25" s="40" t="str">
        <f t="shared" si="0"/>
        <v>Buff.Attribute.Red.Area.03.buff</v>
      </c>
      <c r="H25" s="43" t="s">
        <v>1758</v>
      </c>
    </row>
    <row r="26" spans="1:8">
      <c r="A26" s="40"/>
      <c r="B26" s="40">
        <v>22</v>
      </c>
      <c r="C26" s="40">
        <v>1</v>
      </c>
      <c r="D26" s="41">
        <v>11112201</v>
      </c>
      <c r="E26" s="42" t="s">
        <v>1001</v>
      </c>
      <c r="F26" s="40">
        <v>1010530001</v>
      </c>
      <c r="G26" s="40" t="str">
        <f t="shared" si="0"/>
        <v>Buff.Attribute.Red.Area.03.buff</v>
      </c>
      <c r="H26" s="43" t="s">
        <v>1758</v>
      </c>
    </row>
    <row r="27" spans="1:8">
      <c r="A27" s="40"/>
      <c r="B27" s="40">
        <v>23</v>
      </c>
      <c r="C27" s="40">
        <v>1</v>
      </c>
      <c r="D27" s="41">
        <v>11112301</v>
      </c>
      <c r="E27" s="42" t="s">
        <v>1002</v>
      </c>
      <c r="F27" s="40">
        <v>1010530001</v>
      </c>
      <c r="G27" s="40" t="str">
        <f t="shared" si="0"/>
        <v>Buff.Attribute.Red.Area.03.buff</v>
      </c>
      <c r="H27" s="43" t="s">
        <v>1758</v>
      </c>
    </row>
    <row r="28" spans="1:8">
      <c r="A28" s="40"/>
      <c r="B28" s="40">
        <v>24</v>
      </c>
      <c r="C28" s="40">
        <v>1</v>
      </c>
      <c r="D28" s="41">
        <v>11112401</v>
      </c>
      <c r="E28" s="42" t="s">
        <v>1003</v>
      </c>
      <c r="F28" s="40">
        <v>1010530001</v>
      </c>
      <c r="G28" s="40" t="str">
        <f t="shared" si="0"/>
        <v>Buff.Attribute.Red.Area.03.buff</v>
      </c>
      <c r="H28" s="43" t="s">
        <v>1758</v>
      </c>
    </row>
    <row r="29" spans="1:8">
      <c r="A29" s="40"/>
      <c r="B29" s="40">
        <v>25</v>
      </c>
      <c r="C29" s="40">
        <v>1</v>
      </c>
      <c r="D29" s="41">
        <v>11112501</v>
      </c>
      <c r="E29" s="42" t="s">
        <v>1004</v>
      </c>
      <c r="F29" s="40">
        <v>1010530001</v>
      </c>
      <c r="G29" s="40" t="str">
        <f t="shared" si="0"/>
        <v>Buff.Attribute.Red.Area.03.buff</v>
      </c>
      <c r="H29" s="43" t="s">
        <v>1758</v>
      </c>
    </row>
    <row r="30" spans="1:8">
      <c r="A30" s="40"/>
      <c r="B30" s="40">
        <v>26</v>
      </c>
      <c r="C30" s="40">
        <v>1</v>
      </c>
      <c r="D30" s="41">
        <v>11112601</v>
      </c>
      <c r="E30" s="42" t="s">
        <v>1005</v>
      </c>
      <c r="F30" s="40">
        <v>1010530001</v>
      </c>
      <c r="G30" s="40" t="str">
        <f t="shared" si="0"/>
        <v>Buff.Attribute.Red.Area.04.buff</v>
      </c>
      <c r="H30" s="43" t="s">
        <v>1758</v>
      </c>
    </row>
    <row r="31" spans="1:8">
      <c r="A31" s="40"/>
      <c r="B31" s="40">
        <v>27</v>
      </c>
      <c r="C31" s="40">
        <v>1</v>
      </c>
      <c r="D31" s="41">
        <v>11112701</v>
      </c>
      <c r="E31" s="42" t="s">
        <v>1006</v>
      </c>
      <c r="F31" s="40">
        <v>1010530001</v>
      </c>
      <c r="G31" s="40" t="str">
        <f t="shared" si="0"/>
        <v>Buff.Attribute.Red.Area.04.buff</v>
      </c>
      <c r="H31" s="43" t="s">
        <v>1758</v>
      </c>
    </row>
    <row r="32" spans="1:8">
      <c r="A32" s="40"/>
      <c r="B32" s="40">
        <v>28</v>
      </c>
      <c r="C32" s="40">
        <v>1</v>
      </c>
      <c r="D32" s="41">
        <v>11112801</v>
      </c>
      <c r="E32" s="42" t="s">
        <v>1007</v>
      </c>
      <c r="F32" s="40">
        <v>1010530001</v>
      </c>
      <c r="G32" s="40" t="str">
        <f t="shared" si="0"/>
        <v>Buff.Attribute.Red.Area.04.buff</v>
      </c>
      <c r="H32" s="43" t="s">
        <v>1758</v>
      </c>
    </row>
    <row r="33" spans="1:8">
      <c r="A33" s="40"/>
      <c r="B33" s="40">
        <v>29</v>
      </c>
      <c r="C33" s="40">
        <v>1</v>
      </c>
      <c r="D33" s="41">
        <v>11112901</v>
      </c>
      <c r="E33" s="42" t="s">
        <v>1008</v>
      </c>
      <c r="F33" s="40">
        <v>1010530001</v>
      </c>
      <c r="G33" s="40" t="str">
        <f t="shared" si="0"/>
        <v>Buff.Attribute.Red.Area.04.buff</v>
      </c>
      <c r="H33" s="43" t="s">
        <v>1758</v>
      </c>
    </row>
    <row r="34" spans="1:8">
      <c r="A34" s="40"/>
      <c r="B34" s="40">
        <v>30</v>
      </c>
      <c r="C34" s="40">
        <v>1</v>
      </c>
      <c r="D34" s="41">
        <v>11113001</v>
      </c>
      <c r="E34" s="42" t="s">
        <v>1009</v>
      </c>
      <c r="F34" s="40">
        <v>1010530001</v>
      </c>
      <c r="G34" s="40" t="str">
        <f t="shared" si="0"/>
        <v>Buff.Attribute.Red.Area.04.buff</v>
      </c>
      <c r="H34" s="43" t="s">
        <v>1758</v>
      </c>
    </row>
    <row r="35" spans="1:8">
      <c r="A35" s="40"/>
      <c r="B35" s="40">
        <v>31</v>
      </c>
      <c r="C35" s="40">
        <v>1</v>
      </c>
      <c r="D35" s="41">
        <v>11113101</v>
      </c>
      <c r="E35" s="42" t="s">
        <v>1010</v>
      </c>
      <c r="F35" s="40">
        <v>1010530001</v>
      </c>
      <c r="G35" s="40" t="str">
        <f t="shared" si="0"/>
        <v>Buff.Attribute.Red.Area.05.buff</v>
      </c>
      <c r="H35" s="43" t="s">
        <v>1759</v>
      </c>
    </row>
    <row r="36" spans="1:8">
      <c r="A36" s="40"/>
      <c r="B36" s="40">
        <v>32</v>
      </c>
      <c r="C36" s="40">
        <v>1</v>
      </c>
      <c r="D36" s="41">
        <v>11113201</v>
      </c>
      <c r="E36" s="42" t="s">
        <v>1011</v>
      </c>
      <c r="F36" s="40">
        <v>1010530001</v>
      </c>
      <c r="G36" s="40" t="str">
        <f t="shared" si="0"/>
        <v>Buff.Attribute.Red.Area.05.buff</v>
      </c>
      <c r="H36" s="43" t="s">
        <v>1759</v>
      </c>
    </row>
    <row r="37" spans="1:8">
      <c r="A37" s="40"/>
      <c r="B37" s="40">
        <v>33</v>
      </c>
      <c r="C37" s="40">
        <v>1</v>
      </c>
      <c r="D37" s="41">
        <v>11113301</v>
      </c>
      <c r="E37" s="42" t="s">
        <v>1012</v>
      </c>
      <c r="F37" s="40">
        <v>1010530001</v>
      </c>
      <c r="G37" s="40" t="str">
        <f t="shared" si="0"/>
        <v>Buff.Attribute.Red.Area.05.buff</v>
      </c>
      <c r="H37" s="43" t="s">
        <v>1759</v>
      </c>
    </row>
    <row r="38" spans="1:8">
      <c r="A38" s="40"/>
      <c r="B38" s="40">
        <v>34</v>
      </c>
      <c r="C38" s="40">
        <v>1</v>
      </c>
      <c r="D38" s="41">
        <v>11113401</v>
      </c>
      <c r="E38" s="42" t="s">
        <v>1013</v>
      </c>
      <c r="F38" s="40">
        <v>1010530001</v>
      </c>
      <c r="G38" s="40" t="str">
        <f t="shared" si="0"/>
        <v>Buff.Attribute.Red.Area.05.buff</v>
      </c>
      <c r="H38" s="43" t="s">
        <v>1759</v>
      </c>
    </row>
    <row r="39" spans="1:8">
      <c r="A39" s="40"/>
      <c r="B39" s="40">
        <v>35</v>
      </c>
      <c r="C39" s="40">
        <v>1</v>
      </c>
      <c r="D39" s="41">
        <v>11113501</v>
      </c>
      <c r="E39" s="42" t="s">
        <v>1014</v>
      </c>
      <c r="F39" s="40">
        <v>1010530001</v>
      </c>
      <c r="G39" s="40" t="str">
        <f t="shared" si="0"/>
        <v>Buff.Attribute.Red.Area.05.buff</v>
      </c>
      <c r="H39" s="43" t="s">
        <v>1759</v>
      </c>
    </row>
    <row r="40" spans="1:8">
      <c r="A40" s="40"/>
      <c r="B40" s="40">
        <v>36</v>
      </c>
      <c r="C40" s="40">
        <v>1</v>
      </c>
      <c r="D40" s="41">
        <v>11113601</v>
      </c>
      <c r="E40" s="42" t="s">
        <v>1015</v>
      </c>
      <c r="F40" s="40">
        <v>1010530001</v>
      </c>
      <c r="G40" s="40" t="str">
        <f t="shared" si="0"/>
        <v>Buff.Attribute.Red.Area.06.buff</v>
      </c>
      <c r="H40" s="43" t="s">
        <v>1759</v>
      </c>
    </row>
    <row r="41" spans="1:8">
      <c r="A41" s="40"/>
      <c r="B41" s="40">
        <v>37</v>
      </c>
      <c r="C41" s="40">
        <v>1</v>
      </c>
      <c r="D41" s="41">
        <v>11113701</v>
      </c>
      <c r="E41" s="42" t="s">
        <v>1016</v>
      </c>
      <c r="F41" s="40">
        <v>1010530001</v>
      </c>
      <c r="G41" s="40" t="str">
        <f t="shared" si="0"/>
        <v>Buff.Attribute.Red.Area.06.buff</v>
      </c>
      <c r="H41" s="43" t="s">
        <v>1759</v>
      </c>
    </row>
    <row r="42" spans="1:8">
      <c r="A42" s="40"/>
      <c r="B42" s="40">
        <v>38</v>
      </c>
      <c r="C42" s="40">
        <v>1</v>
      </c>
      <c r="D42" s="41">
        <v>11113801</v>
      </c>
      <c r="E42" s="42" t="s">
        <v>1017</v>
      </c>
      <c r="F42" s="40">
        <v>1010530001</v>
      </c>
      <c r="G42" s="40" t="str">
        <f t="shared" si="0"/>
        <v>Buff.Attribute.Red.Area.06.buff</v>
      </c>
      <c r="H42" s="43" t="s">
        <v>1759</v>
      </c>
    </row>
    <row r="43" spans="1:8">
      <c r="A43" s="40"/>
      <c r="B43" s="40">
        <v>39</v>
      </c>
      <c r="C43" s="40">
        <v>1</v>
      </c>
      <c r="D43" s="41">
        <v>11113901</v>
      </c>
      <c r="E43" s="42" t="s">
        <v>1018</v>
      </c>
      <c r="F43" s="40">
        <v>1010530001</v>
      </c>
      <c r="G43" s="40" t="str">
        <f t="shared" si="0"/>
        <v>Buff.Attribute.Red.Area.06.buff</v>
      </c>
      <c r="H43" s="43" t="s">
        <v>1759</v>
      </c>
    </row>
    <row r="44" spans="1:8">
      <c r="A44" s="40"/>
      <c r="B44" s="40">
        <v>40</v>
      </c>
      <c r="C44" s="40">
        <v>1</v>
      </c>
      <c r="D44" s="41">
        <v>11114001</v>
      </c>
      <c r="E44" s="42" t="s">
        <v>1019</v>
      </c>
      <c r="F44" s="40">
        <v>1010530001</v>
      </c>
      <c r="G44" s="40" t="str">
        <f t="shared" si="0"/>
        <v>Buff.Attribute.Red.Area.06.buff</v>
      </c>
      <c r="H44" s="43" t="s">
        <v>1759</v>
      </c>
    </row>
    <row r="45" spans="1:8">
      <c r="A45" s="40"/>
      <c r="B45" s="40">
        <v>41</v>
      </c>
      <c r="C45" s="40">
        <v>1</v>
      </c>
      <c r="D45" s="41">
        <v>11114101</v>
      </c>
      <c r="E45" s="42" t="s">
        <v>1020</v>
      </c>
      <c r="F45" s="40">
        <v>1010530001</v>
      </c>
      <c r="G45" s="40" t="str">
        <f t="shared" si="0"/>
        <v>Buff.Attribute.Red.Area.07.buff</v>
      </c>
      <c r="H45" s="43" t="s">
        <v>1760</v>
      </c>
    </row>
    <row r="46" spans="1:8">
      <c r="A46" s="40"/>
      <c r="B46" s="40">
        <v>42</v>
      </c>
      <c r="C46" s="40">
        <v>1</v>
      </c>
      <c r="D46" s="41">
        <v>11114201</v>
      </c>
      <c r="E46" s="42" t="s">
        <v>1021</v>
      </c>
      <c r="F46" s="40">
        <v>1010530001</v>
      </c>
      <c r="G46" s="40" t="str">
        <f t="shared" si="0"/>
        <v>Buff.Attribute.Red.Area.07.buff</v>
      </c>
      <c r="H46" s="43" t="s">
        <v>1760</v>
      </c>
    </row>
    <row r="47" spans="1:8">
      <c r="A47" s="40"/>
      <c r="B47" s="40">
        <v>43</v>
      </c>
      <c r="C47" s="40">
        <v>1</v>
      </c>
      <c r="D47" s="41">
        <v>11114301</v>
      </c>
      <c r="E47" s="42" t="s">
        <v>1022</v>
      </c>
      <c r="F47" s="40">
        <v>1010530001</v>
      </c>
      <c r="G47" s="40" t="str">
        <f t="shared" si="0"/>
        <v>Buff.Attribute.Red.Area.07.buff</v>
      </c>
      <c r="H47" s="43" t="s">
        <v>1760</v>
      </c>
    </row>
    <row r="48" spans="1:8">
      <c r="A48" s="40"/>
      <c r="B48" s="40">
        <v>44</v>
      </c>
      <c r="C48" s="40">
        <v>1</v>
      </c>
      <c r="D48" s="41">
        <v>11114401</v>
      </c>
      <c r="E48" s="42" t="s">
        <v>1023</v>
      </c>
      <c r="F48" s="40">
        <v>1010530001</v>
      </c>
      <c r="G48" s="40" t="str">
        <f t="shared" si="0"/>
        <v>Buff.Attribute.Red.Area.07.buff</v>
      </c>
      <c r="H48" s="43" t="s">
        <v>1760</v>
      </c>
    </row>
    <row r="49" spans="1:8">
      <c r="A49" s="40"/>
      <c r="B49" s="40">
        <v>45</v>
      </c>
      <c r="C49" s="40">
        <v>1</v>
      </c>
      <c r="D49" s="41">
        <v>11114501</v>
      </c>
      <c r="E49" s="42" t="s">
        <v>1024</v>
      </c>
      <c r="F49" s="40">
        <v>1010530001</v>
      </c>
      <c r="G49" s="40" t="str">
        <f t="shared" si="0"/>
        <v>Buff.Attribute.Red.Area.07.buff</v>
      </c>
      <c r="H49" s="43" t="s">
        <v>1760</v>
      </c>
    </row>
    <row r="50" spans="1:8">
      <c r="A50" s="40"/>
      <c r="B50" s="40">
        <v>46</v>
      </c>
      <c r="C50" s="40">
        <v>1</v>
      </c>
      <c r="D50" s="41">
        <v>11114601</v>
      </c>
      <c r="E50" s="42" t="s">
        <v>1025</v>
      </c>
      <c r="F50" s="40">
        <v>1010530001</v>
      </c>
      <c r="G50" s="40" t="str">
        <f t="shared" si="0"/>
        <v>Buff.Attribute.Red.Area.08.buff</v>
      </c>
      <c r="H50" s="43" t="s">
        <v>1760</v>
      </c>
    </row>
    <row r="51" spans="1:8">
      <c r="A51" s="40"/>
      <c r="B51" s="40">
        <v>47</v>
      </c>
      <c r="C51" s="40">
        <v>1</v>
      </c>
      <c r="D51" s="41">
        <v>11114701</v>
      </c>
      <c r="E51" s="42" t="s">
        <v>1026</v>
      </c>
      <c r="F51" s="40">
        <v>1010530001</v>
      </c>
      <c r="G51" s="40" t="str">
        <f t="shared" si="0"/>
        <v>Buff.Attribute.Red.Area.08.buff</v>
      </c>
      <c r="H51" s="43" t="s">
        <v>1760</v>
      </c>
    </row>
    <row r="52" spans="1:8">
      <c r="A52" s="40"/>
      <c r="B52" s="40">
        <v>48</v>
      </c>
      <c r="C52" s="40">
        <v>1</v>
      </c>
      <c r="D52" s="41">
        <v>11114801</v>
      </c>
      <c r="E52" s="42" t="s">
        <v>1027</v>
      </c>
      <c r="F52" s="40">
        <v>1010530001</v>
      </c>
      <c r="G52" s="40" t="str">
        <f t="shared" si="0"/>
        <v>Buff.Attribute.Red.Area.08.buff</v>
      </c>
      <c r="H52" s="43" t="s">
        <v>1760</v>
      </c>
    </row>
    <row r="53" spans="1:8">
      <c r="A53" s="40"/>
      <c r="B53" s="40">
        <v>49</v>
      </c>
      <c r="C53" s="40">
        <v>1</v>
      </c>
      <c r="D53" s="41">
        <v>11114901</v>
      </c>
      <c r="E53" s="42" t="s">
        <v>1028</v>
      </c>
      <c r="F53" s="40">
        <v>1010530001</v>
      </c>
      <c r="G53" s="40" t="str">
        <f t="shared" si="0"/>
        <v>Buff.Attribute.Red.Area.08.buff</v>
      </c>
      <c r="H53" s="43" t="s">
        <v>1760</v>
      </c>
    </row>
    <row r="54" spans="1:8">
      <c r="A54" s="40"/>
      <c r="B54" s="40">
        <v>50</v>
      </c>
      <c r="C54" s="40">
        <v>1</v>
      </c>
      <c r="D54" s="41">
        <v>11115001</v>
      </c>
      <c r="E54" s="42" t="s">
        <v>1029</v>
      </c>
      <c r="F54" s="40">
        <v>1010530001</v>
      </c>
      <c r="G54" s="40" t="str">
        <f t="shared" si="0"/>
        <v>Buff.Attribute.Red.Area.08.buff</v>
      </c>
      <c r="H54" s="43" t="s">
        <v>1760</v>
      </c>
    </row>
    <row r="55" spans="1:8">
      <c r="A55" s="44" t="s">
        <v>294</v>
      </c>
      <c r="B55" s="44"/>
      <c r="C55" s="44"/>
      <c r="D55" s="44"/>
      <c r="E55" s="44"/>
      <c r="F55" s="44"/>
      <c r="G55" s="44"/>
      <c r="H55" s="44"/>
    </row>
    <row r="56" spans="1:8">
      <c r="A56" s="44"/>
      <c r="B56" s="44">
        <v>1</v>
      </c>
      <c r="C56" s="44">
        <v>1</v>
      </c>
      <c r="D56" s="45">
        <v>11110102</v>
      </c>
      <c r="E56" s="44" t="s">
        <v>1080</v>
      </c>
      <c r="F56" s="44"/>
      <c r="G56" s="44"/>
      <c r="H56" s="44"/>
    </row>
    <row r="57" spans="1:8">
      <c r="A57" s="44"/>
      <c r="B57" s="44">
        <v>2</v>
      </c>
      <c r="C57" s="44">
        <v>1</v>
      </c>
      <c r="D57" s="45">
        <v>11110202</v>
      </c>
      <c r="E57" s="44" t="s">
        <v>1081</v>
      </c>
      <c r="F57" s="44"/>
      <c r="G57" s="44"/>
      <c r="H57" s="44"/>
    </row>
    <row r="58" spans="1:8">
      <c r="A58" s="44"/>
      <c r="B58" s="44">
        <v>3</v>
      </c>
      <c r="C58" s="44">
        <v>1</v>
      </c>
      <c r="D58" s="45">
        <v>11110302</v>
      </c>
      <c r="E58" s="44" t="s">
        <v>1082</v>
      </c>
      <c r="F58" s="44"/>
      <c r="G58" s="44"/>
      <c r="H58" s="44"/>
    </row>
    <row r="59" spans="1:8">
      <c r="A59" s="44"/>
      <c r="B59" s="44">
        <v>4</v>
      </c>
      <c r="C59" s="44">
        <v>1</v>
      </c>
      <c r="D59" s="45">
        <v>11110402</v>
      </c>
      <c r="E59" s="44" t="s">
        <v>1083</v>
      </c>
      <c r="F59" s="44"/>
      <c r="G59" s="44"/>
      <c r="H59" s="44"/>
    </row>
    <row r="60" spans="1:8">
      <c r="A60" s="44"/>
      <c r="B60" s="44">
        <v>5</v>
      </c>
      <c r="C60" s="44">
        <v>1</v>
      </c>
      <c r="D60" s="45">
        <v>11110502</v>
      </c>
      <c r="E60" s="44" t="s">
        <v>1084</v>
      </c>
      <c r="F60" s="44"/>
      <c r="G60" s="44"/>
      <c r="H60" s="44"/>
    </row>
    <row r="61" spans="1:8">
      <c r="A61" s="44"/>
      <c r="B61" s="44">
        <v>6</v>
      </c>
      <c r="C61" s="44">
        <v>1</v>
      </c>
      <c r="D61" s="45">
        <v>11110602</v>
      </c>
      <c r="E61" s="44" t="s">
        <v>1085</v>
      </c>
      <c r="F61" s="44"/>
      <c r="G61" s="44"/>
      <c r="H61" s="44"/>
    </row>
    <row r="62" spans="1:8">
      <c r="A62" s="44"/>
      <c r="B62" s="44">
        <v>7</v>
      </c>
      <c r="C62" s="44">
        <v>1</v>
      </c>
      <c r="D62" s="45">
        <v>11110702</v>
      </c>
      <c r="E62" s="44" t="s">
        <v>1086</v>
      </c>
      <c r="F62" s="44"/>
      <c r="G62" s="44"/>
      <c r="H62" s="44"/>
    </row>
    <row r="63" spans="1:8">
      <c r="A63" s="44"/>
      <c r="B63" s="44">
        <v>8</v>
      </c>
      <c r="C63" s="44">
        <v>1</v>
      </c>
      <c r="D63" s="45">
        <v>11110802</v>
      </c>
      <c r="E63" s="44" t="s">
        <v>1087</v>
      </c>
      <c r="F63" s="44"/>
      <c r="G63" s="44"/>
      <c r="H63" s="44"/>
    </row>
    <row r="64" spans="1:8">
      <c r="A64" s="44"/>
      <c r="B64" s="44">
        <v>9</v>
      </c>
      <c r="C64" s="44">
        <v>1</v>
      </c>
      <c r="D64" s="45">
        <v>11110902</v>
      </c>
      <c r="E64" s="44" t="s">
        <v>1088</v>
      </c>
      <c r="F64" s="44"/>
      <c r="G64" s="44"/>
      <c r="H64" s="44"/>
    </row>
    <row r="65" spans="1:8">
      <c r="A65" s="44"/>
      <c r="B65" s="44">
        <v>10</v>
      </c>
      <c r="C65" s="44">
        <v>1</v>
      </c>
      <c r="D65" s="45">
        <v>11111002</v>
      </c>
      <c r="E65" s="44" t="s">
        <v>1089</v>
      </c>
      <c r="F65" s="44"/>
      <c r="G65" s="44"/>
      <c r="H65" s="44"/>
    </row>
    <row r="66" spans="1:8">
      <c r="A66" s="44"/>
      <c r="B66" s="44">
        <v>11</v>
      </c>
      <c r="C66" s="44">
        <v>1</v>
      </c>
      <c r="D66" s="45">
        <v>11111102</v>
      </c>
      <c r="E66" s="44" t="s">
        <v>1090</v>
      </c>
      <c r="F66" s="44">
        <v>1010730005</v>
      </c>
      <c r="G66" s="44" t="str">
        <f t="shared" ref="G66:G105" si="1">"Buff.Attribute.Red.Far.0" &amp; INT( B66 / 5.1 ) -1 &amp;".buff"</f>
        <v>Buff.Attribute.Red.Far.01.buff</v>
      </c>
      <c r="H66" s="46" t="s">
        <v>1757</v>
      </c>
    </row>
    <row r="67" spans="1:8">
      <c r="A67" s="44"/>
      <c r="B67" s="44">
        <v>12</v>
      </c>
      <c r="C67" s="44">
        <v>1</v>
      </c>
      <c r="D67" s="45">
        <v>11111202</v>
      </c>
      <c r="E67" s="44" t="s">
        <v>1091</v>
      </c>
      <c r="F67" s="44">
        <v>1010730005</v>
      </c>
      <c r="G67" s="44" t="str">
        <f t="shared" si="1"/>
        <v>Buff.Attribute.Red.Far.01.buff</v>
      </c>
      <c r="H67" s="46" t="s">
        <v>1757</v>
      </c>
    </row>
    <row r="68" spans="1:8">
      <c r="A68" s="44"/>
      <c r="B68" s="44">
        <v>13</v>
      </c>
      <c r="C68" s="44">
        <v>1</v>
      </c>
      <c r="D68" s="45">
        <v>11111302</v>
      </c>
      <c r="E68" s="44" t="s">
        <v>1092</v>
      </c>
      <c r="F68" s="44">
        <v>1010730005</v>
      </c>
      <c r="G68" s="44" t="str">
        <f t="shared" si="1"/>
        <v>Buff.Attribute.Red.Far.01.buff</v>
      </c>
      <c r="H68" s="46" t="s">
        <v>1757</v>
      </c>
    </row>
    <row r="69" spans="1:8">
      <c r="A69" s="44"/>
      <c r="B69" s="44">
        <v>14</v>
      </c>
      <c r="C69" s="44">
        <v>1</v>
      </c>
      <c r="D69" s="45">
        <v>11111402</v>
      </c>
      <c r="E69" s="44" t="s">
        <v>1093</v>
      </c>
      <c r="F69" s="44">
        <v>1010730005</v>
      </c>
      <c r="G69" s="44" t="str">
        <f t="shared" si="1"/>
        <v>Buff.Attribute.Red.Far.01.buff</v>
      </c>
      <c r="H69" s="46" t="s">
        <v>1757</v>
      </c>
    </row>
    <row r="70" spans="1:8">
      <c r="A70" s="44"/>
      <c r="B70" s="44">
        <v>15</v>
      </c>
      <c r="C70" s="44">
        <v>1</v>
      </c>
      <c r="D70" s="45">
        <v>11111502</v>
      </c>
      <c r="E70" s="44" t="s">
        <v>1094</v>
      </c>
      <c r="F70" s="44">
        <v>1010730005</v>
      </c>
      <c r="G70" s="44" t="str">
        <f t="shared" si="1"/>
        <v>Buff.Attribute.Red.Far.01.buff</v>
      </c>
      <c r="H70" s="46" t="s">
        <v>1757</v>
      </c>
    </row>
    <row r="71" spans="1:8">
      <c r="A71" s="44"/>
      <c r="B71" s="44">
        <v>16</v>
      </c>
      <c r="C71" s="44">
        <v>1</v>
      </c>
      <c r="D71" s="45">
        <v>11111602</v>
      </c>
      <c r="E71" s="44" t="s">
        <v>1095</v>
      </c>
      <c r="F71" s="44">
        <v>1010730005</v>
      </c>
      <c r="G71" s="44" t="str">
        <f t="shared" si="1"/>
        <v>Buff.Attribute.Red.Far.02.buff</v>
      </c>
      <c r="H71" s="46" t="s">
        <v>1757</v>
      </c>
    </row>
    <row r="72" spans="1:8">
      <c r="A72" s="44"/>
      <c r="B72" s="44">
        <v>17</v>
      </c>
      <c r="C72" s="44">
        <v>1</v>
      </c>
      <c r="D72" s="45">
        <v>11111702</v>
      </c>
      <c r="E72" s="44" t="s">
        <v>1096</v>
      </c>
      <c r="F72" s="44">
        <v>1010730005</v>
      </c>
      <c r="G72" s="44" t="str">
        <f t="shared" si="1"/>
        <v>Buff.Attribute.Red.Far.02.buff</v>
      </c>
      <c r="H72" s="46" t="s">
        <v>1757</v>
      </c>
    </row>
    <row r="73" spans="1:8">
      <c r="A73" s="44"/>
      <c r="B73" s="44">
        <v>18</v>
      </c>
      <c r="C73" s="44">
        <v>1</v>
      </c>
      <c r="D73" s="45">
        <v>11111802</v>
      </c>
      <c r="E73" s="44" t="s">
        <v>1097</v>
      </c>
      <c r="F73" s="44">
        <v>1010730005</v>
      </c>
      <c r="G73" s="44" t="str">
        <f t="shared" si="1"/>
        <v>Buff.Attribute.Red.Far.02.buff</v>
      </c>
      <c r="H73" s="46" t="s">
        <v>1757</v>
      </c>
    </row>
    <row r="74" spans="1:8">
      <c r="A74" s="44"/>
      <c r="B74" s="44">
        <v>19</v>
      </c>
      <c r="C74" s="44">
        <v>1</v>
      </c>
      <c r="D74" s="45">
        <v>11111902</v>
      </c>
      <c r="E74" s="44" t="s">
        <v>1098</v>
      </c>
      <c r="F74" s="44">
        <v>1010730005</v>
      </c>
      <c r="G74" s="44" t="str">
        <f t="shared" si="1"/>
        <v>Buff.Attribute.Red.Far.02.buff</v>
      </c>
      <c r="H74" s="46" t="s">
        <v>1757</v>
      </c>
    </row>
    <row r="75" spans="1:8">
      <c r="A75" s="44"/>
      <c r="B75" s="44">
        <v>20</v>
      </c>
      <c r="C75" s="44">
        <v>1</v>
      </c>
      <c r="D75" s="45">
        <v>11112002</v>
      </c>
      <c r="E75" s="44" t="s">
        <v>1099</v>
      </c>
      <c r="F75" s="44">
        <v>1010730005</v>
      </c>
      <c r="G75" s="44" t="str">
        <f t="shared" si="1"/>
        <v>Buff.Attribute.Red.Far.02.buff</v>
      </c>
      <c r="H75" s="46" t="s">
        <v>1758</v>
      </c>
    </row>
    <row r="76" spans="1:8">
      <c r="A76" s="44"/>
      <c r="B76" s="44">
        <v>21</v>
      </c>
      <c r="C76" s="44">
        <v>1</v>
      </c>
      <c r="D76" s="45">
        <v>11112102</v>
      </c>
      <c r="E76" s="44" t="s">
        <v>1100</v>
      </c>
      <c r="F76" s="44">
        <v>1010730005</v>
      </c>
      <c r="G76" s="44" t="str">
        <f t="shared" si="1"/>
        <v>Buff.Attribute.Red.Far.03.buff</v>
      </c>
      <c r="H76" s="46" t="s">
        <v>1758</v>
      </c>
    </row>
    <row r="77" spans="1:8">
      <c r="A77" s="44"/>
      <c r="B77" s="44">
        <v>22</v>
      </c>
      <c r="C77" s="44">
        <v>1</v>
      </c>
      <c r="D77" s="45">
        <v>11112202</v>
      </c>
      <c r="E77" s="44" t="s">
        <v>1101</v>
      </c>
      <c r="F77" s="44">
        <v>1010730005</v>
      </c>
      <c r="G77" s="44" t="str">
        <f t="shared" si="1"/>
        <v>Buff.Attribute.Red.Far.03.buff</v>
      </c>
      <c r="H77" s="46" t="s">
        <v>1758</v>
      </c>
    </row>
    <row r="78" spans="1:8">
      <c r="A78" s="44"/>
      <c r="B78" s="44">
        <v>23</v>
      </c>
      <c r="C78" s="44">
        <v>1</v>
      </c>
      <c r="D78" s="45">
        <v>11112302</v>
      </c>
      <c r="E78" s="44" t="s">
        <v>1102</v>
      </c>
      <c r="F78" s="44">
        <v>1010730005</v>
      </c>
      <c r="G78" s="44" t="str">
        <f t="shared" si="1"/>
        <v>Buff.Attribute.Red.Far.03.buff</v>
      </c>
      <c r="H78" s="46" t="s">
        <v>1758</v>
      </c>
    </row>
    <row r="79" spans="1:8">
      <c r="A79" s="44"/>
      <c r="B79" s="44">
        <v>24</v>
      </c>
      <c r="C79" s="44">
        <v>1</v>
      </c>
      <c r="D79" s="45">
        <v>11112402</v>
      </c>
      <c r="E79" s="44" t="s">
        <v>1103</v>
      </c>
      <c r="F79" s="44">
        <v>1010730005</v>
      </c>
      <c r="G79" s="44" t="str">
        <f t="shared" si="1"/>
        <v>Buff.Attribute.Red.Far.03.buff</v>
      </c>
      <c r="H79" s="46" t="s">
        <v>1758</v>
      </c>
    </row>
    <row r="80" spans="1:8">
      <c r="A80" s="44"/>
      <c r="B80" s="44">
        <v>25</v>
      </c>
      <c r="C80" s="44">
        <v>1</v>
      </c>
      <c r="D80" s="45">
        <v>11112502</v>
      </c>
      <c r="E80" s="44" t="s">
        <v>1104</v>
      </c>
      <c r="F80" s="44">
        <v>1010730005</v>
      </c>
      <c r="G80" s="44" t="str">
        <f t="shared" si="1"/>
        <v>Buff.Attribute.Red.Far.03.buff</v>
      </c>
      <c r="H80" s="46" t="s">
        <v>1758</v>
      </c>
    </row>
    <row r="81" spans="1:8">
      <c r="A81" s="44"/>
      <c r="B81" s="44">
        <v>26</v>
      </c>
      <c r="C81" s="44">
        <v>1</v>
      </c>
      <c r="D81" s="45">
        <v>11112602</v>
      </c>
      <c r="E81" s="44" t="s">
        <v>1105</v>
      </c>
      <c r="F81" s="44">
        <v>1010730005</v>
      </c>
      <c r="G81" s="44" t="str">
        <f t="shared" si="1"/>
        <v>Buff.Attribute.Red.Far.04.buff</v>
      </c>
      <c r="H81" s="46" t="s">
        <v>1758</v>
      </c>
    </row>
    <row r="82" spans="1:8">
      <c r="A82" s="44"/>
      <c r="B82" s="44">
        <v>27</v>
      </c>
      <c r="C82" s="44">
        <v>1</v>
      </c>
      <c r="D82" s="45">
        <v>11112702</v>
      </c>
      <c r="E82" s="44" t="s">
        <v>1106</v>
      </c>
      <c r="F82" s="44">
        <v>1010730005</v>
      </c>
      <c r="G82" s="44" t="str">
        <f t="shared" si="1"/>
        <v>Buff.Attribute.Red.Far.04.buff</v>
      </c>
      <c r="H82" s="46" t="s">
        <v>1758</v>
      </c>
    </row>
    <row r="83" spans="1:8">
      <c r="A83" s="44"/>
      <c r="B83" s="44">
        <v>28</v>
      </c>
      <c r="C83" s="44">
        <v>1</v>
      </c>
      <c r="D83" s="45">
        <v>11112802</v>
      </c>
      <c r="E83" s="44" t="s">
        <v>1107</v>
      </c>
      <c r="F83" s="44">
        <v>1010730005</v>
      </c>
      <c r="G83" s="44" t="str">
        <f t="shared" si="1"/>
        <v>Buff.Attribute.Red.Far.04.buff</v>
      </c>
      <c r="H83" s="46" t="s">
        <v>1758</v>
      </c>
    </row>
    <row r="84" spans="1:8">
      <c r="A84" s="44"/>
      <c r="B84" s="44">
        <v>29</v>
      </c>
      <c r="C84" s="44">
        <v>1</v>
      </c>
      <c r="D84" s="45">
        <v>11112902</v>
      </c>
      <c r="E84" s="44" t="s">
        <v>1108</v>
      </c>
      <c r="F84" s="44">
        <v>1010730005</v>
      </c>
      <c r="G84" s="44" t="str">
        <f t="shared" si="1"/>
        <v>Buff.Attribute.Red.Far.04.buff</v>
      </c>
      <c r="H84" s="46" t="s">
        <v>1758</v>
      </c>
    </row>
    <row r="85" spans="1:8">
      <c r="A85" s="44"/>
      <c r="B85" s="44">
        <v>30</v>
      </c>
      <c r="C85" s="44">
        <v>1</v>
      </c>
      <c r="D85" s="45">
        <v>11113002</v>
      </c>
      <c r="E85" s="44" t="s">
        <v>1109</v>
      </c>
      <c r="F85" s="44">
        <v>1010730005</v>
      </c>
      <c r="G85" s="44" t="str">
        <f t="shared" si="1"/>
        <v>Buff.Attribute.Red.Far.04.buff</v>
      </c>
      <c r="H85" s="46" t="s">
        <v>1758</v>
      </c>
    </row>
    <row r="86" spans="1:8">
      <c r="A86" s="44"/>
      <c r="B86" s="44">
        <v>31</v>
      </c>
      <c r="C86" s="44">
        <v>1</v>
      </c>
      <c r="D86" s="45">
        <v>11113102</v>
      </c>
      <c r="E86" s="44" t="s">
        <v>1110</v>
      </c>
      <c r="F86" s="44">
        <v>1010730005</v>
      </c>
      <c r="G86" s="44" t="str">
        <f t="shared" si="1"/>
        <v>Buff.Attribute.Red.Far.05.buff</v>
      </c>
      <c r="H86" s="46" t="s">
        <v>1759</v>
      </c>
    </row>
    <row r="87" spans="1:8">
      <c r="A87" s="44"/>
      <c r="B87" s="44">
        <v>32</v>
      </c>
      <c r="C87" s="44">
        <v>1</v>
      </c>
      <c r="D87" s="45">
        <v>11113202</v>
      </c>
      <c r="E87" s="44" t="s">
        <v>1111</v>
      </c>
      <c r="F87" s="44">
        <v>1010730005</v>
      </c>
      <c r="G87" s="44" t="str">
        <f t="shared" si="1"/>
        <v>Buff.Attribute.Red.Far.05.buff</v>
      </c>
      <c r="H87" s="46" t="s">
        <v>1759</v>
      </c>
    </row>
    <row r="88" spans="1:8">
      <c r="A88" s="44"/>
      <c r="B88" s="44">
        <v>33</v>
      </c>
      <c r="C88" s="44">
        <v>1</v>
      </c>
      <c r="D88" s="45">
        <v>11113302</v>
      </c>
      <c r="E88" s="44" t="s">
        <v>1112</v>
      </c>
      <c r="F88" s="44">
        <v>1010730005</v>
      </c>
      <c r="G88" s="44" t="str">
        <f t="shared" si="1"/>
        <v>Buff.Attribute.Red.Far.05.buff</v>
      </c>
      <c r="H88" s="46" t="s">
        <v>1759</v>
      </c>
    </row>
    <row r="89" spans="1:8">
      <c r="A89" s="44"/>
      <c r="B89" s="44">
        <v>34</v>
      </c>
      <c r="C89" s="44">
        <v>1</v>
      </c>
      <c r="D89" s="45">
        <v>11113402</v>
      </c>
      <c r="E89" s="44" t="s">
        <v>1113</v>
      </c>
      <c r="F89" s="44">
        <v>1010730005</v>
      </c>
      <c r="G89" s="44" t="str">
        <f t="shared" si="1"/>
        <v>Buff.Attribute.Red.Far.05.buff</v>
      </c>
      <c r="H89" s="46" t="s">
        <v>1759</v>
      </c>
    </row>
    <row r="90" spans="1:8">
      <c r="A90" s="44"/>
      <c r="B90" s="44">
        <v>35</v>
      </c>
      <c r="C90" s="44">
        <v>1</v>
      </c>
      <c r="D90" s="45">
        <v>11113502</v>
      </c>
      <c r="E90" s="44" t="s">
        <v>1114</v>
      </c>
      <c r="F90" s="44">
        <v>1010730005</v>
      </c>
      <c r="G90" s="44" t="str">
        <f t="shared" si="1"/>
        <v>Buff.Attribute.Red.Far.05.buff</v>
      </c>
      <c r="H90" s="46" t="s">
        <v>1759</v>
      </c>
    </row>
    <row r="91" spans="1:8">
      <c r="A91" s="44"/>
      <c r="B91" s="44">
        <v>36</v>
      </c>
      <c r="C91" s="44">
        <v>1</v>
      </c>
      <c r="D91" s="45">
        <v>11113602</v>
      </c>
      <c r="E91" s="44" t="s">
        <v>1115</v>
      </c>
      <c r="F91" s="44">
        <v>1010730005</v>
      </c>
      <c r="G91" s="44" t="str">
        <f t="shared" si="1"/>
        <v>Buff.Attribute.Red.Far.06.buff</v>
      </c>
      <c r="H91" s="46" t="s">
        <v>1759</v>
      </c>
    </row>
    <row r="92" spans="1:8">
      <c r="A92" s="44"/>
      <c r="B92" s="44">
        <v>37</v>
      </c>
      <c r="C92" s="44">
        <v>1</v>
      </c>
      <c r="D92" s="45">
        <v>11113702</v>
      </c>
      <c r="E92" s="44" t="s">
        <v>1116</v>
      </c>
      <c r="F92" s="44">
        <v>1010730005</v>
      </c>
      <c r="G92" s="44" t="str">
        <f t="shared" si="1"/>
        <v>Buff.Attribute.Red.Far.06.buff</v>
      </c>
      <c r="H92" s="46" t="s">
        <v>1759</v>
      </c>
    </row>
    <row r="93" spans="1:8">
      <c r="A93" s="44"/>
      <c r="B93" s="44">
        <v>38</v>
      </c>
      <c r="C93" s="44">
        <v>1</v>
      </c>
      <c r="D93" s="45">
        <v>11113802</v>
      </c>
      <c r="E93" s="44" t="s">
        <v>1117</v>
      </c>
      <c r="F93" s="44">
        <v>1010730005</v>
      </c>
      <c r="G93" s="44" t="str">
        <f t="shared" si="1"/>
        <v>Buff.Attribute.Red.Far.06.buff</v>
      </c>
      <c r="H93" s="46" t="s">
        <v>1759</v>
      </c>
    </row>
    <row r="94" spans="1:8">
      <c r="A94" s="44"/>
      <c r="B94" s="44">
        <v>39</v>
      </c>
      <c r="C94" s="44">
        <v>1</v>
      </c>
      <c r="D94" s="45">
        <v>11113902</v>
      </c>
      <c r="E94" s="44" t="s">
        <v>1118</v>
      </c>
      <c r="F94" s="44">
        <v>1010730005</v>
      </c>
      <c r="G94" s="44" t="str">
        <f t="shared" si="1"/>
        <v>Buff.Attribute.Red.Far.06.buff</v>
      </c>
      <c r="H94" s="46" t="s">
        <v>1759</v>
      </c>
    </row>
    <row r="95" spans="1:8">
      <c r="A95" s="44"/>
      <c r="B95" s="44">
        <v>40</v>
      </c>
      <c r="C95" s="44">
        <v>1</v>
      </c>
      <c r="D95" s="45">
        <v>11114002</v>
      </c>
      <c r="E95" s="44" t="s">
        <v>1119</v>
      </c>
      <c r="F95" s="44">
        <v>1010730005</v>
      </c>
      <c r="G95" s="44" t="str">
        <f t="shared" si="1"/>
        <v>Buff.Attribute.Red.Far.06.buff</v>
      </c>
      <c r="H95" s="46" t="s">
        <v>1759</v>
      </c>
    </row>
    <row r="96" spans="1:8">
      <c r="A96" s="44"/>
      <c r="B96" s="44">
        <v>41</v>
      </c>
      <c r="C96" s="44">
        <v>1</v>
      </c>
      <c r="D96" s="45">
        <v>11114102</v>
      </c>
      <c r="E96" s="44" t="s">
        <v>1120</v>
      </c>
      <c r="F96" s="44">
        <v>1010730005</v>
      </c>
      <c r="G96" s="44" t="str">
        <f t="shared" si="1"/>
        <v>Buff.Attribute.Red.Far.07.buff</v>
      </c>
      <c r="H96" s="46" t="s">
        <v>1760</v>
      </c>
    </row>
    <row r="97" spans="1:8">
      <c r="A97" s="44"/>
      <c r="B97" s="44">
        <v>42</v>
      </c>
      <c r="C97" s="44">
        <v>1</v>
      </c>
      <c r="D97" s="45">
        <v>11114202</v>
      </c>
      <c r="E97" s="44" t="s">
        <v>1121</v>
      </c>
      <c r="F97" s="44">
        <v>1010730005</v>
      </c>
      <c r="G97" s="44" t="str">
        <f t="shared" si="1"/>
        <v>Buff.Attribute.Red.Far.07.buff</v>
      </c>
      <c r="H97" s="46" t="s">
        <v>1760</v>
      </c>
    </row>
    <row r="98" spans="1:8">
      <c r="A98" s="44"/>
      <c r="B98" s="44">
        <v>43</v>
      </c>
      <c r="C98" s="44">
        <v>1</v>
      </c>
      <c r="D98" s="45">
        <v>11114302</v>
      </c>
      <c r="E98" s="44" t="s">
        <v>1122</v>
      </c>
      <c r="F98" s="44">
        <v>1010730005</v>
      </c>
      <c r="G98" s="44" t="str">
        <f t="shared" si="1"/>
        <v>Buff.Attribute.Red.Far.07.buff</v>
      </c>
      <c r="H98" s="46" t="s">
        <v>1760</v>
      </c>
    </row>
    <row r="99" spans="1:8">
      <c r="A99" s="44"/>
      <c r="B99" s="44">
        <v>44</v>
      </c>
      <c r="C99" s="44">
        <v>1</v>
      </c>
      <c r="D99" s="45">
        <v>11114402</v>
      </c>
      <c r="E99" s="44" t="s">
        <v>1123</v>
      </c>
      <c r="F99" s="44">
        <v>1010730005</v>
      </c>
      <c r="G99" s="44" t="str">
        <f t="shared" si="1"/>
        <v>Buff.Attribute.Red.Far.07.buff</v>
      </c>
      <c r="H99" s="46" t="s">
        <v>1760</v>
      </c>
    </row>
    <row r="100" spans="1:8">
      <c r="A100" s="44"/>
      <c r="B100" s="44">
        <v>45</v>
      </c>
      <c r="C100" s="44">
        <v>1</v>
      </c>
      <c r="D100" s="45">
        <v>11114502</v>
      </c>
      <c r="E100" s="44" t="s">
        <v>1124</v>
      </c>
      <c r="F100" s="44">
        <v>1010730005</v>
      </c>
      <c r="G100" s="44" t="str">
        <f t="shared" si="1"/>
        <v>Buff.Attribute.Red.Far.07.buff</v>
      </c>
      <c r="H100" s="46" t="s">
        <v>1760</v>
      </c>
    </row>
    <row r="101" spans="1:8">
      <c r="A101" s="44"/>
      <c r="B101" s="44">
        <v>46</v>
      </c>
      <c r="C101" s="44">
        <v>1</v>
      </c>
      <c r="D101" s="45">
        <v>11114602</v>
      </c>
      <c r="E101" s="44" t="s">
        <v>1125</v>
      </c>
      <c r="F101" s="44">
        <v>1010730005</v>
      </c>
      <c r="G101" s="44" t="str">
        <f t="shared" si="1"/>
        <v>Buff.Attribute.Red.Far.08.buff</v>
      </c>
      <c r="H101" s="46" t="s">
        <v>1760</v>
      </c>
    </row>
    <row r="102" spans="1:8">
      <c r="A102" s="44"/>
      <c r="B102" s="44">
        <v>47</v>
      </c>
      <c r="C102" s="44">
        <v>1</v>
      </c>
      <c r="D102" s="45">
        <v>11114702</v>
      </c>
      <c r="E102" s="44" t="s">
        <v>1126</v>
      </c>
      <c r="F102" s="44">
        <v>1010730005</v>
      </c>
      <c r="G102" s="44" t="str">
        <f t="shared" si="1"/>
        <v>Buff.Attribute.Red.Far.08.buff</v>
      </c>
      <c r="H102" s="46" t="s">
        <v>1760</v>
      </c>
    </row>
    <row r="103" spans="1:8">
      <c r="A103" s="44"/>
      <c r="B103" s="44">
        <v>48</v>
      </c>
      <c r="C103" s="44">
        <v>1</v>
      </c>
      <c r="D103" s="45">
        <v>11114802</v>
      </c>
      <c r="E103" s="44" t="s">
        <v>1127</v>
      </c>
      <c r="F103" s="44">
        <v>1010730005</v>
      </c>
      <c r="G103" s="44" t="str">
        <f t="shared" si="1"/>
        <v>Buff.Attribute.Red.Far.08.buff</v>
      </c>
      <c r="H103" s="46" t="s">
        <v>1760</v>
      </c>
    </row>
    <row r="104" spans="1:8">
      <c r="A104" s="44"/>
      <c r="B104" s="44">
        <v>49</v>
      </c>
      <c r="C104" s="44">
        <v>1</v>
      </c>
      <c r="D104" s="45">
        <v>11114902</v>
      </c>
      <c r="E104" s="44" t="s">
        <v>1128</v>
      </c>
      <c r="F104" s="44">
        <v>1010730005</v>
      </c>
      <c r="G104" s="44" t="str">
        <f t="shared" si="1"/>
        <v>Buff.Attribute.Red.Far.08.buff</v>
      </c>
      <c r="H104" s="46" t="s">
        <v>1760</v>
      </c>
    </row>
    <row r="105" spans="1:8">
      <c r="A105" s="44"/>
      <c r="B105" s="44">
        <v>50</v>
      </c>
      <c r="C105" s="44">
        <v>1</v>
      </c>
      <c r="D105" s="45">
        <v>11115002</v>
      </c>
      <c r="E105" s="44" t="s">
        <v>1129</v>
      </c>
      <c r="F105" s="44">
        <v>1010730005</v>
      </c>
      <c r="G105" s="44" t="str">
        <f t="shared" si="1"/>
        <v>Buff.Attribute.Red.Far.08.buff</v>
      </c>
      <c r="H105" s="46" t="s">
        <v>1760</v>
      </c>
    </row>
    <row r="106" spans="1:8">
      <c r="A106" s="40" t="s">
        <v>295</v>
      </c>
      <c r="B106" s="40"/>
      <c r="C106" s="40"/>
      <c r="D106" s="40"/>
      <c r="E106" s="40"/>
      <c r="F106" s="40"/>
      <c r="G106" s="40"/>
      <c r="H106" s="40"/>
    </row>
    <row r="107" spans="1:8">
      <c r="A107" s="40"/>
      <c r="B107" s="40">
        <v>1</v>
      </c>
      <c r="C107" s="40">
        <v>1</v>
      </c>
      <c r="D107" s="41">
        <v>11110103</v>
      </c>
      <c r="E107" s="40" t="s">
        <v>1030</v>
      </c>
      <c r="F107" s="40"/>
      <c r="G107" s="40"/>
      <c r="H107" s="40"/>
    </row>
    <row r="108" spans="1:8">
      <c r="A108" s="40"/>
      <c r="B108" s="40">
        <v>2</v>
      </c>
      <c r="C108" s="40">
        <v>1</v>
      </c>
      <c r="D108" s="41">
        <v>11110203</v>
      </c>
      <c r="E108" s="40" t="s">
        <v>1031</v>
      </c>
      <c r="F108" s="40"/>
      <c r="G108" s="40"/>
      <c r="H108" s="40"/>
    </row>
    <row r="109" spans="1:8">
      <c r="A109" s="40"/>
      <c r="B109" s="40">
        <v>3</v>
      </c>
      <c r="C109" s="40">
        <v>1</v>
      </c>
      <c r="D109" s="41">
        <v>11110303</v>
      </c>
      <c r="E109" s="40" t="s">
        <v>1032</v>
      </c>
      <c r="F109" s="40"/>
      <c r="G109" s="40"/>
      <c r="H109" s="40"/>
    </row>
    <row r="110" spans="1:8">
      <c r="A110" s="40"/>
      <c r="B110" s="40">
        <v>4</v>
      </c>
      <c r="C110" s="40">
        <v>1</v>
      </c>
      <c r="D110" s="41">
        <v>11110403</v>
      </c>
      <c r="E110" s="40" t="s">
        <v>1033</v>
      </c>
      <c r="F110" s="40"/>
      <c r="G110" s="40"/>
      <c r="H110" s="40"/>
    </row>
    <row r="111" spans="1:8">
      <c r="A111" s="40"/>
      <c r="B111" s="40">
        <v>5</v>
      </c>
      <c r="C111" s="40">
        <v>1</v>
      </c>
      <c r="D111" s="41">
        <v>11110503</v>
      </c>
      <c r="E111" s="40" t="s">
        <v>1034</v>
      </c>
      <c r="F111" s="40"/>
      <c r="G111" s="40"/>
      <c r="H111" s="40"/>
    </row>
    <row r="112" spans="1:8">
      <c r="A112" s="40"/>
      <c r="B112" s="40">
        <v>6</v>
      </c>
      <c r="C112" s="40">
        <v>1</v>
      </c>
      <c r="D112" s="41">
        <v>11110603</v>
      </c>
      <c r="E112" s="40" t="s">
        <v>1035</v>
      </c>
      <c r="F112" s="40"/>
      <c r="G112" s="40"/>
      <c r="H112" s="40"/>
    </row>
    <row r="113" spans="1:8">
      <c r="A113" s="40"/>
      <c r="B113" s="40">
        <v>7</v>
      </c>
      <c r="C113" s="40">
        <v>1</v>
      </c>
      <c r="D113" s="41">
        <v>11110703</v>
      </c>
      <c r="E113" s="40" t="s">
        <v>1036</v>
      </c>
      <c r="F113" s="40"/>
      <c r="G113" s="40"/>
      <c r="H113" s="40"/>
    </row>
    <row r="114" spans="1:8">
      <c r="A114" s="40"/>
      <c r="B114" s="40">
        <v>8</v>
      </c>
      <c r="C114" s="40">
        <v>1</v>
      </c>
      <c r="D114" s="41">
        <v>11110803</v>
      </c>
      <c r="E114" s="40" t="s">
        <v>1037</v>
      </c>
      <c r="F114" s="40"/>
      <c r="G114" s="40"/>
      <c r="H114" s="40"/>
    </row>
    <row r="115" spans="1:8">
      <c r="A115" s="40"/>
      <c r="B115" s="40">
        <v>9</v>
      </c>
      <c r="C115" s="40">
        <v>1</v>
      </c>
      <c r="D115" s="41">
        <v>11110903</v>
      </c>
      <c r="E115" s="40" t="s">
        <v>1038</v>
      </c>
      <c r="F115" s="40"/>
      <c r="G115" s="40"/>
      <c r="H115" s="40"/>
    </row>
    <row r="116" spans="1:8">
      <c r="A116" s="40"/>
      <c r="B116" s="40">
        <v>10</v>
      </c>
      <c r="C116" s="40">
        <v>1</v>
      </c>
      <c r="D116" s="41">
        <v>11111003</v>
      </c>
      <c r="E116" s="40" t="s">
        <v>1039</v>
      </c>
      <c r="F116" s="40"/>
      <c r="G116" s="40"/>
      <c r="H116" s="40"/>
    </row>
    <row r="117" spans="1:8">
      <c r="A117" s="40"/>
      <c r="B117" s="40">
        <v>11</v>
      </c>
      <c r="C117" s="40">
        <v>1</v>
      </c>
      <c r="D117" s="41">
        <v>11111103</v>
      </c>
      <c r="E117" s="40" t="s">
        <v>1040</v>
      </c>
      <c r="F117" s="40">
        <v>1010720007</v>
      </c>
      <c r="G117" s="40" t="str">
        <f t="shared" ref="G117:G156" si="2">"Buff.Attribute.Red.Near.0" &amp; INT( B117 / 5.1 ) -1 &amp;".buff"</f>
        <v>Buff.Attribute.Red.Near.01.buff</v>
      </c>
      <c r="H117" s="43" t="s">
        <v>1757</v>
      </c>
    </row>
    <row r="118" spans="1:8">
      <c r="A118" s="40"/>
      <c r="B118" s="40">
        <v>12</v>
      </c>
      <c r="C118" s="40">
        <v>1</v>
      </c>
      <c r="D118" s="41">
        <v>11111203</v>
      </c>
      <c r="E118" s="40" t="s">
        <v>1041</v>
      </c>
      <c r="F118" s="40">
        <v>1010720007</v>
      </c>
      <c r="G118" s="40" t="str">
        <f t="shared" si="2"/>
        <v>Buff.Attribute.Red.Near.01.buff</v>
      </c>
      <c r="H118" s="43" t="s">
        <v>1757</v>
      </c>
    </row>
    <row r="119" spans="1:8">
      <c r="A119" s="40"/>
      <c r="B119" s="40">
        <v>13</v>
      </c>
      <c r="C119" s="40">
        <v>1</v>
      </c>
      <c r="D119" s="41">
        <v>11111303</v>
      </c>
      <c r="E119" s="40" t="s">
        <v>1042</v>
      </c>
      <c r="F119" s="40">
        <v>1010720007</v>
      </c>
      <c r="G119" s="40" t="str">
        <f t="shared" si="2"/>
        <v>Buff.Attribute.Red.Near.01.buff</v>
      </c>
      <c r="H119" s="43" t="s">
        <v>1757</v>
      </c>
    </row>
    <row r="120" spans="1:8">
      <c r="A120" s="40"/>
      <c r="B120" s="40">
        <v>14</v>
      </c>
      <c r="C120" s="40">
        <v>1</v>
      </c>
      <c r="D120" s="41">
        <v>11111403</v>
      </c>
      <c r="E120" s="40" t="s">
        <v>1043</v>
      </c>
      <c r="F120" s="40">
        <v>1010720007</v>
      </c>
      <c r="G120" s="40" t="str">
        <f t="shared" si="2"/>
        <v>Buff.Attribute.Red.Near.01.buff</v>
      </c>
      <c r="H120" s="43" t="s">
        <v>1757</v>
      </c>
    </row>
    <row r="121" spans="1:8">
      <c r="A121" s="40"/>
      <c r="B121" s="40">
        <v>15</v>
      </c>
      <c r="C121" s="40">
        <v>1</v>
      </c>
      <c r="D121" s="41">
        <v>11111503</v>
      </c>
      <c r="E121" s="40" t="s">
        <v>1044</v>
      </c>
      <c r="F121" s="40">
        <v>1010720007</v>
      </c>
      <c r="G121" s="40" t="str">
        <f t="shared" si="2"/>
        <v>Buff.Attribute.Red.Near.01.buff</v>
      </c>
      <c r="H121" s="43" t="s">
        <v>1757</v>
      </c>
    </row>
    <row r="122" spans="1:8">
      <c r="A122" s="40"/>
      <c r="B122" s="40">
        <v>16</v>
      </c>
      <c r="C122" s="40">
        <v>1</v>
      </c>
      <c r="D122" s="41">
        <v>11111603</v>
      </c>
      <c r="E122" s="40" t="s">
        <v>1045</v>
      </c>
      <c r="F122" s="40">
        <v>1010720007</v>
      </c>
      <c r="G122" s="40" t="str">
        <f t="shared" si="2"/>
        <v>Buff.Attribute.Red.Near.02.buff</v>
      </c>
      <c r="H122" s="43" t="s">
        <v>1757</v>
      </c>
    </row>
    <row r="123" spans="1:8">
      <c r="A123" s="40"/>
      <c r="B123" s="40">
        <v>17</v>
      </c>
      <c r="C123" s="40">
        <v>1</v>
      </c>
      <c r="D123" s="41">
        <v>11111703</v>
      </c>
      <c r="E123" s="40" t="s">
        <v>1046</v>
      </c>
      <c r="F123" s="40">
        <v>1010720007</v>
      </c>
      <c r="G123" s="40" t="str">
        <f t="shared" si="2"/>
        <v>Buff.Attribute.Red.Near.02.buff</v>
      </c>
      <c r="H123" s="43" t="s">
        <v>1757</v>
      </c>
    </row>
    <row r="124" spans="1:8">
      <c r="A124" s="40"/>
      <c r="B124" s="40">
        <v>18</v>
      </c>
      <c r="C124" s="40">
        <v>1</v>
      </c>
      <c r="D124" s="41">
        <v>11111803</v>
      </c>
      <c r="E124" s="40" t="s">
        <v>1047</v>
      </c>
      <c r="F124" s="40">
        <v>1010720007</v>
      </c>
      <c r="G124" s="40" t="str">
        <f t="shared" si="2"/>
        <v>Buff.Attribute.Red.Near.02.buff</v>
      </c>
      <c r="H124" s="43" t="s">
        <v>1757</v>
      </c>
    </row>
    <row r="125" spans="1:8">
      <c r="A125" s="40"/>
      <c r="B125" s="40">
        <v>19</v>
      </c>
      <c r="C125" s="40">
        <v>1</v>
      </c>
      <c r="D125" s="41">
        <v>11111903</v>
      </c>
      <c r="E125" s="40" t="s">
        <v>1048</v>
      </c>
      <c r="F125" s="40">
        <v>1010720007</v>
      </c>
      <c r="G125" s="40" t="str">
        <f t="shared" si="2"/>
        <v>Buff.Attribute.Red.Near.02.buff</v>
      </c>
      <c r="H125" s="43" t="s">
        <v>1757</v>
      </c>
    </row>
    <row r="126" spans="1:8">
      <c r="A126" s="40"/>
      <c r="B126" s="40">
        <v>20</v>
      </c>
      <c r="C126" s="40">
        <v>1</v>
      </c>
      <c r="D126" s="41">
        <v>11112003</v>
      </c>
      <c r="E126" s="40" t="s">
        <v>1049</v>
      </c>
      <c r="F126" s="40">
        <v>1010720007</v>
      </c>
      <c r="G126" s="40" t="str">
        <f t="shared" si="2"/>
        <v>Buff.Attribute.Red.Near.02.buff</v>
      </c>
      <c r="H126" s="43" t="s">
        <v>1758</v>
      </c>
    </row>
    <row r="127" spans="1:8">
      <c r="A127" s="40"/>
      <c r="B127" s="40">
        <v>21</v>
      </c>
      <c r="C127" s="40">
        <v>1</v>
      </c>
      <c r="D127" s="41">
        <v>11112103</v>
      </c>
      <c r="E127" s="40" t="s">
        <v>1050</v>
      </c>
      <c r="F127" s="40">
        <v>1010720007</v>
      </c>
      <c r="G127" s="40" t="str">
        <f t="shared" si="2"/>
        <v>Buff.Attribute.Red.Near.03.buff</v>
      </c>
      <c r="H127" s="43" t="s">
        <v>1758</v>
      </c>
    </row>
    <row r="128" spans="1:8">
      <c r="A128" s="40"/>
      <c r="B128" s="40">
        <v>22</v>
      </c>
      <c r="C128" s="40">
        <v>1</v>
      </c>
      <c r="D128" s="41">
        <v>11112203</v>
      </c>
      <c r="E128" s="40" t="s">
        <v>1051</v>
      </c>
      <c r="F128" s="40">
        <v>1010720007</v>
      </c>
      <c r="G128" s="40" t="str">
        <f t="shared" si="2"/>
        <v>Buff.Attribute.Red.Near.03.buff</v>
      </c>
      <c r="H128" s="43" t="s">
        <v>1758</v>
      </c>
    </row>
    <row r="129" spans="1:8">
      <c r="A129" s="40"/>
      <c r="B129" s="40">
        <v>23</v>
      </c>
      <c r="C129" s="40">
        <v>1</v>
      </c>
      <c r="D129" s="41">
        <v>11112303</v>
      </c>
      <c r="E129" s="40" t="s">
        <v>1052</v>
      </c>
      <c r="F129" s="40">
        <v>1010720007</v>
      </c>
      <c r="G129" s="40" t="str">
        <f t="shared" si="2"/>
        <v>Buff.Attribute.Red.Near.03.buff</v>
      </c>
      <c r="H129" s="43" t="s">
        <v>1758</v>
      </c>
    </row>
    <row r="130" spans="1:8">
      <c r="A130" s="40"/>
      <c r="B130" s="40">
        <v>24</v>
      </c>
      <c r="C130" s="40">
        <v>1</v>
      </c>
      <c r="D130" s="41">
        <v>11112403</v>
      </c>
      <c r="E130" s="40" t="s">
        <v>1053</v>
      </c>
      <c r="F130" s="40">
        <v>1010720007</v>
      </c>
      <c r="G130" s="40" t="str">
        <f t="shared" si="2"/>
        <v>Buff.Attribute.Red.Near.03.buff</v>
      </c>
      <c r="H130" s="43" t="s">
        <v>1758</v>
      </c>
    </row>
    <row r="131" spans="1:8">
      <c r="A131" s="40"/>
      <c r="B131" s="40">
        <v>25</v>
      </c>
      <c r="C131" s="40">
        <v>1</v>
      </c>
      <c r="D131" s="41">
        <v>11112503</v>
      </c>
      <c r="E131" s="40" t="s">
        <v>1054</v>
      </c>
      <c r="F131" s="40">
        <v>1010720007</v>
      </c>
      <c r="G131" s="40" t="str">
        <f t="shared" si="2"/>
        <v>Buff.Attribute.Red.Near.03.buff</v>
      </c>
      <c r="H131" s="43" t="s">
        <v>1758</v>
      </c>
    </row>
    <row r="132" spans="1:8">
      <c r="A132" s="40"/>
      <c r="B132" s="40">
        <v>26</v>
      </c>
      <c r="C132" s="40">
        <v>1</v>
      </c>
      <c r="D132" s="41">
        <v>11112603</v>
      </c>
      <c r="E132" s="40" t="s">
        <v>1055</v>
      </c>
      <c r="F132" s="40">
        <v>1010720007</v>
      </c>
      <c r="G132" s="40" t="str">
        <f t="shared" si="2"/>
        <v>Buff.Attribute.Red.Near.04.buff</v>
      </c>
      <c r="H132" s="43" t="s">
        <v>1758</v>
      </c>
    </row>
    <row r="133" spans="1:8">
      <c r="A133" s="40"/>
      <c r="B133" s="40">
        <v>27</v>
      </c>
      <c r="C133" s="40">
        <v>1</v>
      </c>
      <c r="D133" s="41">
        <v>11112703</v>
      </c>
      <c r="E133" s="40" t="s">
        <v>1056</v>
      </c>
      <c r="F133" s="40">
        <v>1010720007</v>
      </c>
      <c r="G133" s="40" t="str">
        <f t="shared" si="2"/>
        <v>Buff.Attribute.Red.Near.04.buff</v>
      </c>
      <c r="H133" s="43" t="s">
        <v>1758</v>
      </c>
    </row>
    <row r="134" spans="1:8">
      <c r="A134" s="40"/>
      <c r="B134" s="40">
        <v>28</v>
      </c>
      <c r="C134" s="40">
        <v>1</v>
      </c>
      <c r="D134" s="41">
        <v>11112803</v>
      </c>
      <c r="E134" s="40" t="s">
        <v>1057</v>
      </c>
      <c r="F134" s="40">
        <v>1010720007</v>
      </c>
      <c r="G134" s="40" t="str">
        <f t="shared" si="2"/>
        <v>Buff.Attribute.Red.Near.04.buff</v>
      </c>
      <c r="H134" s="43" t="s">
        <v>1758</v>
      </c>
    </row>
    <row r="135" spans="1:8">
      <c r="A135" s="40"/>
      <c r="B135" s="40">
        <v>29</v>
      </c>
      <c r="C135" s="40">
        <v>1</v>
      </c>
      <c r="D135" s="41">
        <v>11112903</v>
      </c>
      <c r="E135" s="40" t="s">
        <v>1058</v>
      </c>
      <c r="F135" s="40">
        <v>1010720007</v>
      </c>
      <c r="G135" s="40" t="str">
        <f t="shared" si="2"/>
        <v>Buff.Attribute.Red.Near.04.buff</v>
      </c>
      <c r="H135" s="43" t="s">
        <v>1758</v>
      </c>
    </row>
    <row r="136" spans="1:8">
      <c r="A136" s="40"/>
      <c r="B136" s="40">
        <v>30</v>
      </c>
      <c r="C136" s="40">
        <v>1</v>
      </c>
      <c r="D136" s="41">
        <v>11113003</v>
      </c>
      <c r="E136" s="40" t="s">
        <v>1059</v>
      </c>
      <c r="F136" s="40">
        <v>1010720007</v>
      </c>
      <c r="G136" s="40" t="str">
        <f t="shared" si="2"/>
        <v>Buff.Attribute.Red.Near.04.buff</v>
      </c>
      <c r="H136" s="43" t="s">
        <v>1758</v>
      </c>
    </row>
    <row r="137" spans="1:8">
      <c r="A137" s="40"/>
      <c r="B137" s="40">
        <v>31</v>
      </c>
      <c r="C137" s="40">
        <v>1</v>
      </c>
      <c r="D137" s="41">
        <v>11113103</v>
      </c>
      <c r="E137" s="40" t="s">
        <v>1060</v>
      </c>
      <c r="F137" s="40">
        <v>1010720007</v>
      </c>
      <c r="G137" s="40" t="str">
        <f t="shared" si="2"/>
        <v>Buff.Attribute.Red.Near.05.buff</v>
      </c>
      <c r="H137" s="43" t="s">
        <v>1759</v>
      </c>
    </row>
    <row r="138" spans="1:8">
      <c r="A138" s="40"/>
      <c r="B138" s="40">
        <v>32</v>
      </c>
      <c r="C138" s="40">
        <v>1</v>
      </c>
      <c r="D138" s="41">
        <v>11113203</v>
      </c>
      <c r="E138" s="40" t="s">
        <v>1061</v>
      </c>
      <c r="F138" s="40">
        <v>1010720007</v>
      </c>
      <c r="G138" s="40" t="str">
        <f t="shared" si="2"/>
        <v>Buff.Attribute.Red.Near.05.buff</v>
      </c>
      <c r="H138" s="43" t="s">
        <v>1759</v>
      </c>
    </row>
    <row r="139" spans="1:8">
      <c r="A139" s="40"/>
      <c r="B139" s="40">
        <v>33</v>
      </c>
      <c r="C139" s="40">
        <v>1</v>
      </c>
      <c r="D139" s="41">
        <v>11113303</v>
      </c>
      <c r="E139" s="40" t="s">
        <v>1062</v>
      </c>
      <c r="F139" s="40">
        <v>1010720007</v>
      </c>
      <c r="G139" s="40" t="str">
        <f t="shared" si="2"/>
        <v>Buff.Attribute.Red.Near.05.buff</v>
      </c>
      <c r="H139" s="43" t="s">
        <v>1759</v>
      </c>
    </row>
    <row r="140" spans="1:8">
      <c r="A140" s="40"/>
      <c r="B140" s="40">
        <v>34</v>
      </c>
      <c r="C140" s="40">
        <v>1</v>
      </c>
      <c r="D140" s="41">
        <v>11113403</v>
      </c>
      <c r="E140" s="40" t="s">
        <v>1063</v>
      </c>
      <c r="F140" s="40">
        <v>1010720007</v>
      </c>
      <c r="G140" s="40" t="str">
        <f t="shared" si="2"/>
        <v>Buff.Attribute.Red.Near.05.buff</v>
      </c>
      <c r="H140" s="43" t="s">
        <v>1759</v>
      </c>
    </row>
    <row r="141" spans="1:8">
      <c r="A141" s="40"/>
      <c r="B141" s="40">
        <v>35</v>
      </c>
      <c r="C141" s="40">
        <v>1</v>
      </c>
      <c r="D141" s="41">
        <v>11113503</v>
      </c>
      <c r="E141" s="40" t="s">
        <v>1064</v>
      </c>
      <c r="F141" s="40">
        <v>1010720007</v>
      </c>
      <c r="G141" s="40" t="str">
        <f t="shared" si="2"/>
        <v>Buff.Attribute.Red.Near.05.buff</v>
      </c>
      <c r="H141" s="43" t="s">
        <v>1759</v>
      </c>
    </row>
    <row r="142" spans="1:8">
      <c r="A142" s="40"/>
      <c r="B142" s="40">
        <v>36</v>
      </c>
      <c r="C142" s="40">
        <v>1</v>
      </c>
      <c r="D142" s="41">
        <v>11113603</v>
      </c>
      <c r="E142" s="40" t="s">
        <v>1065</v>
      </c>
      <c r="F142" s="40">
        <v>1010720007</v>
      </c>
      <c r="G142" s="40" t="str">
        <f t="shared" si="2"/>
        <v>Buff.Attribute.Red.Near.06.buff</v>
      </c>
      <c r="H142" s="43" t="s">
        <v>1759</v>
      </c>
    </row>
    <row r="143" spans="1:8">
      <c r="A143" s="40"/>
      <c r="B143" s="40">
        <v>37</v>
      </c>
      <c r="C143" s="40">
        <v>1</v>
      </c>
      <c r="D143" s="41">
        <v>11113703</v>
      </c>
      <c r="E143" s="40" t="s">
        <v>1066</v>
      </c>
      <c r="F143" s="40">
        <v>1010720007</v>
      </c>
      <c r="G143" s="40" t="str">
        <f t="shared" si="2"/>
        <v>Buff.Attribute.Red.Near.06.buff</v>
      </c>
      <c r="H143" s="43" t="s">
        <v>1759</v>
      </c>
    </row>
    <row r="144" spans="1:8">
      <c r="A144" s="40"/>
      <c r="B144" s="40">
        <v>38</v>
      </c>
      <c r="C144" s="40">
        <v>1</v>
      </c>
      <c r="D144" s="41">
        <v>11113803</v>
      </c>
      <c r="E144" s="40" t="s">
        <v>1067</v>
      </c>
      <c r="F144" s="40">
        <v>1010720007</v>
      </c>
      <c r="G144" s="40" t="str">
        <f t="shared" si="2"/>
        <v>Buff.Attribute.Red.Near.06.buff</v>
      </c>
      <c r="H144" s="43" t="s">
        <v>1759</v>
      </c>
    </row>
    <row r="145" spans="1:8">
      <c r="A145" s="40"/>
      <c r="B145" s="40">
        <v>39</v>
      </c>
      <c r="C145" s="40">
        <v>1</v>
      </c>
      <c r="D145" s="41">
        <v>11113903</v>
      </c>
      <c r="E145" s="40" t="s">
        <v>1068</v>
      </c>
      <c r="F145" s="40">
        <v>1010720007</v>
      </c>
      <c r="G145" s="40" t="str">
        <f t="shared" si="2"/>
        <v>Buff.Attribute.Red.Near.06.buff</v>
      </c>
      <c r="H145" s="43" t="s">
        <v>1759</v>
      </c>
    </row>
    <row r="146" spans="1:8">
      <c r="A146" s="40"/>
      <c r="B146" s="40">
        <v>40</v>
      </c>
      <c r="C146" s="40">
        <v>1</v>
      </c>
      <c r="D146" s="41">
        <v>11114003</v>
      </c>
      <c r="E146" s="40" t="s">
        <v>1069</v>
      </c>
      <c r="F146" s="40">
        <v>1010720007</v>
      </c>
      <c r="G146" s="40" t="str">
        <f t="shared" si="2"/>
        <v>Buff.Attribute.Red.Near.06.buff</v>
      </c>
      <c r="H146" s="43" t="s">
        <v>1759</v>
      </c>
    </row>
    <row r="147" spans="1:8">
      <c r="A147" s="40"/>
      <c r="B147" s="40">
        <v>41</v>
      </c>
      <c r="C147" s="40">
        <v>1</v>
      </c>
      <c r="D147" s="41">
        <v>11114103</v>
      </c>
      <c r="E147" s="40" t="s">
        <v>1070</v>
      </c>
      <c r="F147" s="40">
        <v>1010720007</v>
      </c>
      <c r="G147" s="40" t="str">
        <f t="shared" si="2"/>
        <v>Buff.Attribute.Red.Near.07.buff</v>
      </c>
      <c r="H147" s="43" t="s">
        <v>1760</v>
      </c>
    </row>
    <row r="148" spans="1:8">
      <c r="A148" s="40"/>
      <c r="B148" s="40">
        <v>42</v>
      </c>
      <c r="C148" s="40">
        <v>1</v>
      </c>
      <c r="D148" s="41">
        <v>11114203</v>
      </c>
      <c r="E148" s="40" t="s">
        <v>1071</v>
      </c>
      <c r="F148" s="40">
        <v>1010720007</v>
      </c>
      <c r="G148" s="40" t="str">
        <f t="shared" si="2"/>
        <v>Buff.Attribute.Red.Near.07.buff</v>
      </c>
      <c r="H148" s="43" t="s">
        <v>1760</v>
      </c>
    </row>
    <row r="149" spans="1:8">
      <c r="A149" s="40"/>
      <c r="B149" s="40">
        <v>43</v>
      </c>
      <c r="C149" s="40">
        <v>1</v>
      </c>
      <c r="D149" s="41">
        <v>11114303</v>
      </c>
      <c r="E149" s="40" t="s">
        <v>1072</v>
      </c>
      <c r="F149" s="40">
        <v>1010720007</v>
      </c>
      <c r="G149" s="40" t="str">
        <f t="shared" si="2"/>
        <v>Buff.Attribute.Red.Near.07.buff</v>
      </c>
      <c r="H149" s="43" t="s">
        <v>1760</v>
      </c>
    </row>
    <row r="150" spans="1:8">
      <c r="A150" s="40"/>
      <c r="B150" s="40">
        <v>44</v>
      </c>
      <c r="C150" s="40">
        <v>1</v>
      </c>
      <c r="D150" s="41">
        <v>11114403</v>
      </c>
      <c r="E150" s="40" t="s">
        <v>1073</v>
      </c>
      <c r="F150" s="40">
        <v>1010720007</v>
      </c>
      <c r="G150" s="40" t="str">
        <f t="shared" si="2"/>
        <v>Buff.Attribute.Red.Near.07.buff</v>
      </c>
      <c r="H150" s="43" t="s">
        <v>1760</v>
      </c>
    </row>
    <row r="151" spans="1:8">
      <c r="A151" s="40"/>
      <c r="B151" s="40">
        <v>45</v>
      </c>
      <c r="C151" s="40">
        <v>1</v>
      </c>
      <c r="D151" s="41">
        <v>11114503</v>
      </c>
      <c r="E151" s="40" t="s">
        <v>1074</v>
      </c>
      <c r="F151" s="40">
        <v>1010720007</v>
      </c>
      <c r="G151" s="40" t="str">
        <f t="shared" si="2"/>
        <v>Buff.Attribute.Red.Near.07.buff</v>
      </c>
      <c r="H151" s="43" t="s">
        <v>1760</v>
      </c>
    </row>
    <row r="152" spans="1:8">
      <c r="A152" s="40"/>
      <c r="B152" s="40">
        <v>46</v>
      </c>
      <c r="C152" s="40">
        <v>1</v>
      </c>
      <c r="D152" s="41">
        <v>11114603</v>
      </c>
      <c r="E152" s="40" t="s">
        <v>1075</v>
      </c>
      <c r="F152" s="40">
        <v>1010720007</v>
      </c>
      <c r="G152" s="40" t="str">
        <f t="shared" si="2"/>
        <v>Buff.Attribute.Red.Near.08.buff</v>
      </c>
      <c r="H152" s="43" t="s">
        <v>1760</v>
      </c>
    </row>
    <row r="153" spans="1:8">
      <c r="A153" s="40"/>
      <c r="B153" s="40">
        <v>47</v>
      </c>
      <c r="C153" s="40">
        <v>1</v>
      </c>
      <c r="D153" s="41">
        <v>11114703</v>
      </c>
      <c r="E153" s="40" t="s">
        <v>1076</v>
      </c>
      <c r="F153" s="40">
        <v>1010720007</v>
      </c>
      <c r="G153" s="40" t="str">
        <f t="shared" si="2"/>
        <v>Buff.Attribute.Red.Near.08.buff</v>
      </c>
      <c r="H153" s="43" t="s">
        <v>1760</v>
      </c>
    </row>
    <row r="154" spans="1:8">
      <c r="A154" s="40"/>
      <c r="B154" s="40">
        <v>48</v>
      </c>
      <c r="C154" s="40">
        <v>1</v>
      </c>
      <c r="D154" s="41">
        <v>11114803</v>
      </c>
      <c r="E154" s="40" t="s">
        <v>1077</v>
      </c>
      <c r="F154" s="40">
        <v>1010720007</v>
      </c>
      <c r="G154" s="40" t="str">
        <f t="shared" si="2"/>
        <v>Buff.Attribute.Red.Near.08.buff</v>
      </c>
      <c r="H154" s="43" t="s">
        <v>1760</v>
      </c>
    </row>
    <row r="155" spans="1:8">
      <c r="A155" s="40"/>
      <c r="B155" s="40">
        <v>49</v>
      </c>
      <c r="C155" s="40">
        <v>1</v>
      </c>
      <c r="D155" s="41">
        <v>11114903</v>
      </c>
      <c r="E155" s="40" t="s">
        <v>1078</v>
      </c>
      <c r="F155" s="40">
        <v>1010720007</v>
      </c>
      <c r="G155" s="40" t="str">
        <f t="shared" si="2"/>
        <v>Buff.Attribute.Red.Near.08.buff</v>
      </c>
      <c r="H155" s="43" t="s">
        <v>1760</v>
      </c>
    </row>
    <row r="156" spans="1:8">
      <c r="A156" s="40"/>
      <c r="B156" s="40">
        <v>50</v>
      </c>
      <c r="C156" s="40">
        <v>1</v>
      </c>
      <c r="D156" s="41">
        <v>11115003</v>
      </c>
      <c r="E156" s="40" t="s">
        <v>1079</v>
      </c>
      <c r="F156" s="40">
        <v>1010720007</v>
      </c>
      <c r="G156" s="40" t="str">
        <f t="shared" si="2"/>
        <v>Buff.Attribute.Red.Near.08.buff</v>
      </c>
      <c r="H156" s="43" t="s">
        <v>1760</v>
      </c>
    </row>
    <row r="157" spans="1:8">
      <c r="A157" s="44" t="s">
        <v>296</v>
      </c>
      <c r="B157" s="44"/>
      <c r="C157" s="44"/>
      <c r="D157" s="44"/>
      <c r="E157" s="44"/>
      <c r="F157" s="44"/>
      <c r="G157" s="44"/>
      <c r="H157" s="44"/>
    </row>
    <row r="158" spans="1:8">
      <c r="A158" s="44"/>
      <c r="B158" s="44">
        <v>1</v>
      </c>
      <c r="C158" s="44">
        <v>1</v>
      </c>
      <c r="D158" s="45">
        <v>11110104</v>
      </c>
      <c r="E158" s="44" t="s">
        <v>1130</v>
      </c>
      <c r="F158" s="44"/>
      <c r="G158" s="44"/>
      <c r="H158" s="44"/>
    </row>
    <row r="159" spans="1:8">
      <c r="A159" s="44"/>
      <c r="B159" s="44">
        <v>2</v>
      </c>
      <c r="C159" s="44">
        <v>1</v>
      </c>
      <c r="D159" s="45">
        <v>11110204</v>
      </c>
      <c r="E159" s="44" t="s">
        <v>1131</v>
      </c>
      <c r="F159" s="44"/>
      <c r="G159" s="44"/>
      <c r="H159" s="44"/>
    </row>
    <row r="160" spans="1:8">
      <c r="A160" s="44"/>
      <c r="B160" s="44">
        <v>3</v>
      </c>
      <c r="C160" s="44">
        <v>1</v>
      </c>
      <c r="D160" s="45">
        <v>11110304</v>
      </c>
      <c r="E160" s="44" t="s">
        <v>1132</v>
      </c>
      <c r="F160" s="44"/>
      <c r="G160" s="44"/>
      <c r="H160" s="44"/>
    </row>
    <row r="161" spans="1:8">
      <c r="A161" s="44"/>
      <c r="B161" s="44">
        <v>4</v>
      </c>
      <c r="C161" s="44">
        <v>1</v>
      </c>
      <c r="D161" s="45">
        <v>11110404</v>
      </c>
      <c r="E161" s="44" t="s">
        <v>1133</v>
      </c>
      <c r="F161" s="44"/>
      <c r="G161" s="44"/>
      <c r="H161" s="44"/>
    </row>
    <row r="162" spans="1:8">
      <c r="A162" s="44"/>
      <c r="B162" s="44">
        <v>5</v>
      </c>
      <c r="C162" s="44">
        <v>1</v>
      </c>
      <c r="D162" s="45">
        <v>11110504</v>
      </c>
      <c r="E162" s="44" t="s">
        <v>1134</v>
      </c>
      <c r="F162" s="44"/>
      <c r="G162" s="44"/>
      <c r="H162" s="44"/>
    </row>
    <row r="163" spans="1:8">
      <c r="A163" s="44"/>
      <c r="B163" s="44">
        <v>6</v>
      </c>
      <c r="C163" s="44">
        <v>1</v>
      </c>
      <c r="D163" s="45">
        <v>11110604</v>
      </c>
      <c r="E163" s="44" t="s">
        <v>1135</v>
      </c>
      <c r="F163" s="44"/>
      <c r="G163" s="44"/>
      <c r="H163" s="44"/>
    </row>
    <row r="164" spans="1:8">
      <c r="A164" s="44"/>
      <c r="B164" s="44">
        <v>7</v>
      </c>
      <c r="C164" s="44">
        <v>1</v>
      </c>
      <c r="D164" s="45">
        <v>11110704</v>
      </c>
      <c r="E164" s="44" t="s">
        <v>1136</v>
      </c>
      <c r="F164" s="44"/>
      <c r="G164" s="44"/>
      <c r="H164" s="44"/>
    </row>
    <row r="165" spans="1:8">
      <c r="A165" s="44"/>
      <c r="B165" s="44">
        <v>8</v>
      </c>
      <c r="C165" s="44">
        <v>1</v>
      </c>
      <c r="D165" s="45">
        <v>11110804</v>
      </c>
      <c r="E165" s="44" t="s">
        <v>1137</v>
      </c>
      <c r="F165" s="44"/>
      <c r="G165" s="44"/>
      <c r="H165" s="44"/>
    </row>
    <row r="166" spans="1:8">
      <c r="A166" s="44"/>
      <c r="B166" s="44">
        <v>9</v>
      </c>
      <c r="C166" s="44">
        <v>1</v>
      </c>
      <c r="D166" s="45">
        <v>11110904</v>
      </c>
      <c r="E166" s="44" t="s">
        <v>1138</v>
      </c>
      <c r="F166" s="44"/>
      <c r="G166" s="44"/>
      <c r="H166" s="44"/>
    </row>
    <row r="167" spans="1:8">
      <c r="A167" s="44"/>
      <c r="B167" s="44">
        <v>10</v>
      </c>
      <c r="C167" s="44">
        <v>1</v>
      </c>
      <c r="D167" s="45">
        <v>11111004</v>
      </c>
      <c r="E167" s="44" t="s">
        <v>1139</v>
      </c>
      <c r="F167" s="44"/>
      <c r="G167" s="44"/>
      <c r="H167" s="44"/>
    </row>
    <row r="168" spans="1:8">
      <c r="A168" s="44"/>
      <c r="B168" s="44">
        <v>11</v>
      </c>
      <c r="C168" s="44">
        <v>1</v>
      </c>
      <c r="D168" s="45">
        <v>11111104</v>
      </c>
      <c r="E168" s="44" t="s">
        <v>1140</v>
      </c>
      <c r="F168" s="44">
        <v>1010710002</v>
      </c>
      <c r="G168" s="44" t="str">
        <f t="shared" ref="G168:G207" si="3">"Buff.Attribute.Red.Alive.0" &amp; INT( B168 / 5.1 ) -1 &amp;".buff"</f>
        <v>Buff.Attribute.Red.Alive.01.buff</v>
      </c>
      <c r="H168" s="46" t="s">
        <v>1757</v>
      </c>
    </row>
    <row r="169" spans="1:8">
      <c r="A169" s="44"/>
      <c r="B169" s="44">
        <v>12</v>
      </c>
      <c r="C169" s="44">
        <v>1</v>
      </c>
      <c r="D169" s="45">
        <v>11111204</v>
      </c>
      <c r="E169" s="44" t="s">
        <v>1141</v>
      </c>
      <c r="F169" s="44">
        <v>1010710002</v>
      </c>
      <c r="G169" s="44" t="str">
        <f t="shared" si="3"/>
        <v>Buff.Attribute.Red.Alive.01.buff</v>
      </c>
      <c r="H169" s="46" t="s">
        <v>1757</v>
      </c>
    </row>
    <row r="170" spans="1:8">
      <c r="A170" s="44"/>
      <c r="B170" s="44">
        <v>13</v>
      </c>
      <c r="C170" s="44">
        <v>1</v>
      </c>
      <c r="D170" s="45">
        <v>11111304</v>
      </c>
      <c r="E170" s="44" t="s">
        <v>1142</v>
      </c>
      <c r="F170" s="44">
        <v>1010710002</v>
      </c>
      <c r="G170" s="44" t="str">
        <f t="shared" si="3"/>
        <v>Buff.Attribute.Red.Alive.01.buff</v>
      </c>
      <c r="H170" s="46" t="s">
        <v>1757</v>
      </c>
    </row>
    <row r="171" spans="1:8">
      <c r="A171" s="44"/>
      <c r="B171" s="44">
        <v>14</v>
      </c>
      <c r="C171" s="44">
        <v>1</v>
      </c>
      <c r="D171" s="45">
        <v>11111404</v>
      </c>
      <c r="E171" s="44" t="s">
        <v>1143</v>
      </c>
      <c r="F171" s="44">
        <v>1010710002</v>
      </c>
      <c r="G171" s="44" t="str">
        <f t="shared" si="3"/>
        <v>Buff.Attribute.Red.Alive.01.buff</v>
      </c>
      <c r="H171" s="46" t="s">
        <v>1757</v>
      </c>
    </row>
    <row r="172" spans="1:8">
      <c r="A172" s="44"/>
      <c r="B172" s="44">
        <v>15</v>
      </c>
      <c r="C172" s="44">
        <v>1</v>
      </c>
      <c r="D172" s="45">
        <v>11111504</v>
      </c>
      <c r="E172" s="44" t="s">
        <v>1144</v>
      </c>
      <c r="F172" s="44">
        <v>1010710002</v>
      </c>
      <c r="G172" s="44" t="str">
        <f t="shared" si="3"/>
        <v>Buff.Attribute.Red.Alive.01.buff</v>
      </c>
      <c r="H172" s="46" t="s">
        <v>1757</v>
      </c>
    </row>
    <row r="173" spans="1:8">
      <c r="A173" s="44"/>
      <c r="B173" s="44">
        <v>16</v>
      </c>
      <c r="C173" s="44">
        <v>1</v>
      </c>
      <c r="D173" s="45">
        <v>11111604</v>
      </c>
      <c r="E173" s="44" t="s">
        <v>1145</v>
      </c>
      <c r="F173" s="44">
        <v>1010710002</v>
      </c>
      <c r="G173" s="44" t="str">
        <f t="shared" si="3"/>
        <v>Buff.Attribute.Red.Alive.02.buff</v>
      </c>
      <c r="H173" s="46" t="s">
        <v>1757</v>
      </c>
    </row>
    <row r="174" spans="1:8">
      <c r="A174" s="44"/>
      <c r="B174" s="44">
        <v>17</v>
      </c>
      <c r="C174" s="44">
        <v>1</v>
      </c>
      <c r="D174" s="45">
        <v>11111704</v>
      </c>
      <c r="E174" s="44" t="s">
        <v>1146</v>
      </c>
      <c r="F174" s="44">
        <v>1010710002</v>
      </c>
      <c r="G174" s="44" t="str">
        <f t="shared" si="3"/>
        <v>Buff.Attribute.Red.Alive.02.buff</v>
      </c>
      <c r="H174" s="46" t="s">
        <v>1757</v>
      </c>
    </row>
    <row r="175" spans="1:8">
      <c r="A175" s="44"/>
      <c r="B175" s="44">
        <v>18</v>
      </c>
      <c r="C175" s="44">
        <v>1</v>
      </c>
      <c r="D175" s="45">
        <v>11111804</v>
      </c>
      <c r="E175" s="44" t="s">
        <v>1147</v>
      </c>
      <c r="F175" s="44">
        <v>1010710002</v>
      </c>
      <c r="G175" s="44" t="str">
        <f t="shared" si="3"/>
        <v>Buff.Attribute.Red.Alive.02.buff</v>
      </c>
      <c r="H175" s="46" t="s">
        <v>1757</v>
      </c>
    </row>
    <row r="176" spans="1:8">
      <c r="A176" s="44"/>
      <c r="B176" s="44">
        <v>19</v>
      </c>
      <c r="C176" s="44">
        <v>1</v>
      </c>
      <c r="D176" s="45">
        <v>11111904</v>
      </c>
      <c r="E176" s="44" t="s">
        <v>1148</v>
      </c>
      <c r="F176" s="44">
        <v>1010710002</v>
      </c>
      <c r="G176" s="44" t="str">
        <f t="shared" si="3"/>
        <v>Buff.Attribute.Red.Alive.02.buff</v>
      </c>
      <c r="H176" s="46" t="s">
        <v>1757</v>
      </c>
    </row>
    <row r="177" spans="1:8">
      <c r="A177" s="44"/>
      <c r="B177" s="44">
        <v>20</v>
      </c>
      <c r="C177" s="44">
        <v>1</v>
      </c>
      <c r="D177" s="45">
        <v>11112004</v>
      </c>
      <c r="E177" s="44" t="s">
        <v>1149</v>
      </c>
      <c r="F177" s="44">
        <v>1010710002</v>
      </c>
      <c r="G177" s="44" t="str">
        <f t="shared" si="3"/>
        <v>Buff.Attribute.Red.Alive.02.buff</v>
      </c>
      <c r="H177" s="46" t="s">
        <v>1758</v>
      </c>
    </row>
    <row r="178" spans="1:8">
      <c r="A178" s="44"/>
      <c r="B178" s="44">
        <v>21</v>
      </c>
      <c r="C178" s="44">
        <v>1</v>
      </c>
      <c r="D178" s="45">
        <v>11112104</v>
      </c>
      <c r="E178" s="44" t="s">
        <v>1150</v>
      </c>
      <c r="F178" s="44">
        <v>1010710002</v>
      </c>
      <c r="G178" s="44" t="str">
        <f t="shared" si="3"/>
        <v>Buff.Attribute.Red.Alive.03.buff</v>
      </c>
      <c r="H178" s="46" t="s">
        <v>1758</v>
      </c>
    </row>
    <row r="179" spans="1:8">
      <c r="A179" s="44"/>
      <c r="B179" s="44">
        <v>22</v>
      </c>
      <c r="C179" s="44">
        <v>1</v>
      </c>
      <c r="D179" s="45">
        <v>11112204</v>
      </c>
      <c r="E179" s="44" t="s">
        <v>1151</v>
      </c>
      <c r="F179" s="44">
        <v>1010710002</v>
      </c>
      <c r="G179" s="44" t="str">
        <f t="shared" si="3"/>
        <v>Buff.Attribute.Red.Alive.03.buff</v>
      </c>
      <c r="H179" s="46" t="s">
        <v>1758</v>
      </c>
    </row>
    <row r="180" spans="1:8">
      <c r="A180" s="44"/>
      <c r="B180" s="44">
        <v>23</v>
      </c>
      <c r="C180" s="44">
        <v>1</v>
      </c>
      <c r="D180" s="45">
        <v>11112304</v>
      </c>
      <c r="E180" s="44" t="s">
        <v>1152</v>
      </c>
      <c r="F180" s="44">
        <v>1010710002</v>
      </c>
      <c r="G180" s="44" t="str">
        <f t="shared" si="3"/>
        <v>Buff.Attribute.Red.Alive.03.buff</v>
      </c>
      <c r="H180" s="46" t="s">
        <v>1758</v>
      </c>
    </row>
    <row r="181" spans="1:8">
      <c r="A181" s="44"/>
      <c r="B181" s="44">
        <v>24</v>
      </c>
      <c r="C181" s="44">
        <v>1</v>
      </c>
      <c r="D181" s="45">
        <v>11112404</v>
      </c>
      <c r="E181" s="44" t="s">
        <v>1153</v>
      </c>
      <c r="F181" s="44">
        <v>1010710002</v>
      </c>
      <c r="G181" s="44" t="str">
        <f t="shared" si="3"/>
        <v>Buff.Attribute.Red.Alive.03.buff</v>
      </c>
      <c r="H181" s="46" t="s">
        <v>1758</v>
      </c>
    </row>
    <row r="182" spans="1:8">
      <c r="A182" s="44"/>
      <c r="B182" s="44">
        <v>25</v>
      </c>
      <c r="C182" s="44">
        <v>1</v>
      </c>
      <c r="D182" s="45">
        <v>11112504</v>
      </c>
      <c r="E182" s="44" t="s">
        <v>1154</v>
      </c>
      <c r="F182" s="44">
        <v>1010710002</v>
      </c>
      <c r="G182" s="44" t="str">
        <f t="shared" si="3"/>
        <v>Buff.Attribute.Red.Alive.03.buff</v>
      </c>
      <c r="H182" s="46" t="s">
        <v>1758</v>
      </c>
    </row>
    <row r="183" spans="1:8">
      <c r="A183" s="44"/>
      <c r="B183" s="44">
        <v>26</v>
      </c>
      <c r="C183" s="44">
        <v>1</v>
      </c>
      <c r="D183" s="45">
        <v>11112604</v>
      </c>
      <c r="E183" s="44" t="s">
        <v>1155</v>
      </c>
      <c r="F183" s="44">
        <v>1010710002</v>
      </c>
      <c r="G183" s="44" t="str">
        <f t="shared" si="3"/>
        <v>Buff.Attribute.Red.Alive.04.buff</v>
      </c>
      <c r="H183" s="46" t="s">
        <v>1758</v>
      </c>
    </row>
    <row r="184" spans="1:8">
      <c r="A184" s="44"/>
      <c r="B184" s="44">
        <v>27</v>
      </c>
      <c r="C184" s="44">
        <v>1</v>
      </c>
      <c r="D184" s="45">
        <v>11112704</v>
      </c>
      <c r="E184" s="44" t="s">
        <v>1156</v>
      </c>
      <c r="F184" s="44">
        <v>1010710002</v>
      </c>
      <c r="G184" s="44" t="str">
        <f t="shared" si="3"/>
        <v>Buff.Attribute.Red.Alive.04.buff</v>
      </c>
      <c r="H184" s="46" t="s">
        <v>1758</v>
      </c>
    </row>
    <row r="185" spans="1:8">
      <c r="A185" s="44"/>
      <c r="B185" s="44">
        <v>28</v>
      </c>
      <c r="C185" s="44">
        <v>1</v>
      </c>
      <c r="D185" s="45">
        <v>11112804</v>
      </c>
      <c r="E185" s="44" t="s">
        <v>1157</v>
      </c>
      <c r="F185" s="44">
        <v>1010710002</v>
      </c>
      <c r="G185" s="44" t="str">
        <f t="shared" si="3"/>
        <v>Buff.Attribute.Red.Alive.04.buff</v>
      </c>
      <c r="H185" s="46" t="s">
        <v>1758</v>
      </c>
    </row>
    <row r="186" spans="1:8">
      <c r="A186" s="44"/>
      <c r="B186" s="44">
        <v>29</v>
      </c>
      <c r="C186" s="44">
        <v>1</v>
      </c>
      <c r="D186" s="45">
        <v>11112904</v>
      </c>
      <c r="E186" s="44" t="s">
        <v>1158</v>
      </c>
      <c r="F186" s="44">
        <v>1010710002</v>
      </c>
      <c r="G186" s="44" t="str">
        <f t="shared" si="3"/>
        <v>Buff.Attribute.Red.Alive.04.buff</v>
      </c>
      <c r="H186" s="46" t="s">
        <v>1758</v>
      </c>
    </row>
    <row r="187" spans="1:8">
      <c r="A187" s="44"/>
      <c r="B187" s="44">
        <v>30</v>
      </c>
      <c r="C187" s="44">
        <v>1</v>
      </c>
      <c r="D187" s="45">
        <v>11113004</v>
      </c>
      <c r="E187" s="44" t="s">
        <v>1159</v>
      </c>
      <c r="F187" s="44">
        <v>1010710002</v>
      </c>
      <c r="G187" s="44" t="str">
        <f t="shared" si="3"/>
        <v>Buff.Attribute.Red.Alive.04.buff</v>
      </c>
      <c r="H187" s="46" t="s">
        <v>1758</v>
      </c>
    </row>
    <row r="188" spans="1:8">
      <c r="A188" s="44"/>
      <c r="B188" s="44">
        <v>31</v>
      </c>
      <c r="C188" s="44">
        <v>1</v>
      </c>
      <c r="D188" s="45">
        <v>11113104</v>
      </c>
      <c r="E188" s="44" t="s">
        <v>1160</v>
      </c>
      <c r="F188" s="44">
        <v>1010710002</v>
      </c>
      <c r="G188" s="44" t="str">
        <f t="shared" si="3"/>
        <v>Buff.Attribute.Red.Alive.05.buff</v>
      </c>
      <c r="H188" s="46" t="s">
        <v>1759</v>
      </c>
    </row>
    <row r="189" spans="1:8">
      <c r="A189" s="44"/>
      <c r="B189" s="44">
        <v>32</v>
      </c>
      <c r="C189" s="44">
        <v>1</v>
      </c>
      <c r="D189" s="45">
        <v>11113204</v>
      </c>
      <c r="E189" s="44" t="s">
        <v>1161</v>
      </c>
      <c r="F189" s="44">
        <v>1010710002</v>
      </c>
      <c r="G189" s="44" t="str">
        <f t="shared" si="3"/>
        <v>Buff.Attribute.Red.Alive.05.buff</v>
      </c>
      <c r="H189" s="46" t="s">
        <v>1759</v>
      </c>
    </row>
    <row r="190" spans="1:8">
      <c r="A190" s="44"/>
      <c r="B190" s="44">
        <v>33</v>
      </c>
      <c r="C190" s="44">
        <v>1</v>
      </c>
      <c r="D190" s="45">
        <v>11113304</v>
      </c>
      <c r="E190" s="44" t="s">
        <v>1162</v>
      </c>
      <c r="F190" s="44">
        <v>1010710002</v>
      </c>
      <c r="G190" s="44" t="str">
        <f t="shared" si="3"/>
        <v>Buff.Attribute.Red.Alive.05.buff</v>
      </c>
      <c r="H190" s="46" t="s">
        <v>1759</v>
      </c>
    </row>
    <row r="191" spans="1:8">
      <c r="A191" s="44"/>
      <c r="B191" s="44">
        <v>34</v>
      </c>
      <c r="C191" s="44">
        <v>1</v>
      </c>
      <c r="D191" s="45">
        <v>11113404</v>
      </c>
      <c r="E191" s="44" t="s">
        <v>1163</v>
      </c>
      <c r="F191" s="44">
        <v>1010710002</v>
      </c>
      <c r="G191" s="44" t="str">
        <f t="shared" si="3"/>
        <v>Buff.Attribute.Red.Alive.05.buff</v>
      </c>
      <c r="H191" s="46" t="s">
        <v>1759</v>
      </c>
    </row>
    <row r="192" spans="1:8">
      <c r="A192" s="44"/>
      <c r="B192" s="44">
        <v>35</v>
      </c>
      <c r="C192" s="44">
        <v>1</v>
      </c>
      <c r="D192" s="45">
        <v>11113504</v>
      </c>
      <c r="E192" s="44" t="s">
        <v>1164</v>
      </c>
      <c r="F192" s="44">
        <v>1010710002</v>
      </c>
      <c r="G192" s="44" t="str">
        <f t="shared" si="3"/>
        <v>Buff.Attribute.Red.Alive.05.buff</v>
      </c>
      <c r="H192" s="46" t="s">
        <v>1759</v>
      </c>
    </row>
    <row r="193" spans="1:8">
      <c r="A193" s="44"/>
      <c r="B193" s="44">
        <v>36</v>
      </c>
      <c r="C193" s="44">
        <v>1</v>
      </c>
      <c r="D193" s="45">
        <v>11113604</v>
      </c>
      <c r="E193" s="44" t="s">
        <v>1165</v>
      </c>
      <c r="F193" s="44">
        <v>1010710002</v>
      </c>
      <c r="G193" s="44" t="str">
        <f t="shared" si="3"/>
        <v>Buff.Attribute.Red.Alive.06.buff</v>
      </c>
      <c r="H193" s="46" t="s">
        <v>1759</v>
      </c>
    </row>
    <row r="194" spans="1:8">
      <c r="A194" s="44"/>
      <c r="B194" s="44">
        <v>37</v>
      </c>
      <c r="C194" s="44">
        <v>1</v>
      </c>
      <c r="D194" s="45">
        <v>11113704</v>
      </c>
      <c r="E194" s="44" t="s">
        <v>1166</v>
      </c>
      <c r="F194" s="44">
        <v>1010710002</v>
      </c>
      <c r="G194" s="44" t="str">
        <f t="shared" si="3"/>
        <v>Buff.Attribute.Red.Alive.06.buff</v>
      </c>
      <c r="H194" s="46" t="s">
        <v>1759</v>
      </c>
    </row>
    <row r="195" spans="1:8">
      <c r="A195" s="44"/>
      <c r="B195" s="44">
        <v>38</v>
      </c>
      <c r="C195" s="44">
        <v>1</v>
      </c>
      <c r="D195" s="45">
        <v>11113804</v>
      </c>
      <c r="E195" s="44" t="s">
        <v>1167</v>
      </c>
      <c r="F195" s="44">
        <v>1010710002</v>
      </c>
      <c r="G195" s="44" t="str">
        <f t="shared" si="3"/>
        <v>Buff.Attribute.Red.Alive.06.buff</v>
      </c>
      <c r="H195" s="46" t="s">
        <v>1759</v>
      </c>
    </row>
    <row r="196" spans="1:8">
      <c r="A196" s="44"/>
      <c r="B196" s="44">
        <v>39</v>
      </c>
      <c r="C196" s="44">
        <v>1</v>
      </c>
      <c r="D196" s="45">
        <v>11113904</v>
      </c>
      <c r="E196" s="44" t="s">
        <v>1168</v>
      </c>
      <c r="F196" s="44">
        <v>1010710002</v>
      </c>
      <c r="G196" s="44" t="str">
        <f t="shared" si="3"/>
        <v>Buff.Attribute.Red.Alive.06.buff</v>
      </c>
      <c r="H196" s="46" t="s">
        <v>1759</v>
      </c>
    </row>
    <row r="197" spans="1:8">
      <c r="A197" s="44"/>
      <c r="B197" s="44">
        <v>40</v>
      </c>
      <c r="C197" s="44">
        <v>1</v>
      </c>
      <c r="D197" s="45">
        <v>11114004</v>
      </c>
      <c r="E197" s="44" t="s">
        <v>1169</v>
      </c>
      <c r="F197" s="44">
        <v>1010710002</v>
      </c>
      <c r="G197" s="44" t="str">
        <f t="shared" si="3"/>
        <v>Buff.Attribute.Red.Alive.06.buff</v>
      </c>
      <c r="H197" s="46" t="s">
        <v>1759</v>
      </c>
    </row>
    <row r="198" spans="1:8">
      <c r="A198" s="44"/>
      <c r="B198" s="44">
        <v>41</v>
      </c>
      <c r="C198" s="44">
        <v>1</v>
      </c>
      <c r="D198" s="45">
        <v>11114104</v>
      </c>
      <c r="E198" s="44" t="s">
        <v>1170</v>
      </c>
      <c r="F198" s="44">
        <v>1010710002</v>
      </c>
      <c r="G198" s="44" t="str">
        <f t="shared" si="3"/>
        <v>Buff.Attribute.Red.Alive.07.buff</v>
      </c>
      <c r="H198" s="46" t="s">
        <v>1760</v>
      </c>
    </row>
    <row r="199" spans="1:8">
      <c r="A199" s="44"/>
      <c r="B199" s="44">
        <v>42</v>
      </c>
      <c r="C199" s="44">
        <v>1</v>
      </c>
      <c r="D199" s="45">
        <v>11114204</v>
      </c>
      <c r="E199" s="44" t="s">
        <v>1171</v>
      </c>
      <c r="F199" s="44">
        <v>1010710002</v>
      </c>
      <c r="G199" s="44" t="str">
        <f t="shared" si="3"/>
        <v>Buff.Attribute.Red.Alive.07.buff</v>
      </c>
      <c r="H199" s="46" t="s">
        <v>1760</v>
      </c>
    </row>
    <row r="200" spans="1:8">
      <c r="A200" s="44"/>
      <c r="B200" s="44">
        <v>43</v>
      </c>
      <c r="C200" s="44">
        <v>1</v>
      </c>
      <c r="D200" s="45">
        <v>11114304</v>
      </c>
      <c r="E200" s="44" t="s">
        <v>1172</v>
      </c>
      <c r="F200" s="44">
        <v>1010710002</v>
      </c>
      <c r="G200" s="44" t="str">
        <f t="shared" si="3"/>
        <v>Buff.Attribute.Red.Alive.07.buff</v>
      </c>
      <c r="H200" s="46" t="s">
        <v>1760</v>
      </c>
    </row>
    <row r="201" spans="1:8">
      <c r="A201" s="44"/>
      <c r="B201" s="44">
        <v>44</v>
      </c>
      <c r="C201" s="44">
        <v>1</v>
      </c>
      <c r="D201" s="45">
        <v>11114404</v>
      </c>
      <c r="E201" s="44" t="s">
        <v>1173</v>
      </c>
      <c r="F201" s="44">
        <v>1010710002</v>
      </c>
      <c r="G201" s="44" t="str">
        <f t="shared" si="3"/>
        <v>Buff.Attribute.Red.Alive.07.buff</v>
      </c>
      <c r="H201" s="46" t="s">
        <v>1760</v>
      </c>
    </row>
    <row r="202" spans="1:8">
      <c r="A202" s="44"/>
      <c r="B202" s="44">
        <v>45</v>
      </c>
      <c r="C202" s="44">
        <v>1</v>
      </c>
      <c r="D202" s="45">
        <v>11114504</v>
      </c>
      <c r="E202" s="44" t="s">
        <v>1174</v>
      </c>
      <c r="F202" s="44">
        <v>1010710002</v>
      </c>
      <c r="G202" s="44" t="str">
        <f t="shared" si="3"/>
        <v>Buff.Attribute.Red.Alive.07.buff</v>
      </c>
      <c r="H202" s="46" t="s">
        <v>1760</v>
      </c>
    </row>
    <row r="203" spans="1:8">
      <c r="A203" s="44"/>
      <c r="B203" s="44">
        <v>46</v>
      </c>
      <c r="C203" s="44">
        <v>1</v>
      </c>
      <c r="D203" s="45">
        <v>11114604</v>
      </c>
      <c r="E203" s="44" t="s">
        <v>1175</v>
      </c>
      <c r="F203" s="44">
        <v>1010710002</v>
      </c>
      <c r="G203" s="44" t="str">
        <f t="shared" si="3"/>
        <v>Buff.Attribute.Red.Alive.08.buff</v>
      </c>
      <c r="H203" s="46" t="s">
        <v>1760</v>
      </c>
    </row>
    <row r="204" spans="1:8">
      <c r="A204" s="44"/>
      <c r="B204" s="44">
        <v>47</v>
      </c>
      <c r="C204" s="44">
        <v>1</v>
      </c>
      <c r="D204" s="45">
        <v>11114704</v>
      </c>
      <c r="E204" s="44" t="s">
        <v>1176</v>
      </c>
      <c r="F204" s="44">
        <v>1010710002</v>
      </c>
      <c r="G204" s="44" t="str">
        <f t="shared" si="3"/>
        <v>Buff.Attribute.Red.Alive.08.buff</v>
      </c>
      <c r="H204" s="46" t="s">
        <v>1760</v>
      </c>
    </row>
    <row r="205" spans="1:8">
      <c r="A205" s="44"/>
      <c r="B205" s="44">
        <v>48</v>
      </c>
      <c r="C205" s="44">
        <v>1</v>
      </c>
      <c r="D205" s="45">
        <v>11114804</v>
      </c>
      <c r="E205" s="44" t="s">
        <v>1177</v>
      </c>
      <c r="F205" s="44">
        <v>1010710002</v>
      </c>
      <c r="G205" s="44" t="str">
        <f t="shared" si="3"/>
        <v>Buff.Attribute.Red.Alive.08.buff</v>
      </c>
      <c r="H205" s="46" t="s">
        <v>1760</v>
      </c>
    </row>
    <row r="206" spans="1:8">
      <c r="A206" s="44"/>
      <c r="B206" s="44">
        <v>49</v>
      </c>
      <c r="C206" s="44">
        <v>1</v>
      </c>
      <c r="D206" s="45">
        <v>11114904</v>
      </c>
      <c r="E206" s="44" t="s">
        <v>1178</v>
      </c>
      <c r="F206" s="44">
        <v>1010710002</v>
      </c>
      <c r="G206" s="44" t="str">
        <f t="shared" si="3"/>
        <v>Buff.Attribute.Red.Alive.08.buff</v>
      </c>
      <c r="H206" s="46" t="s">
        <v>1760</v>
      </c>
    </row>
    <row r="207" spans="1:8">
      <c r="A207" s="44"/>
      <c r="B207" s="44">
        <v>50</v>
      </c>
      <c r="C207" s="44">
        <v>1</v>
      </c>
      <c r="D207" s="45">
        <v>11115004</v>
      </c>
      <c r="E207" s="44" t="s">
        <v>1179</v>
      </c>
      <c r="F207" s="44">
        <v>1010710002</v>
      </c>
      <c r="G207" s="44" t="str">
        <f t="shared" si="3"/>
        <v>Buff.Attribute.Red.Alive.08.buff</v>
      </c>
      <c r="H207" s="46" t="s">
        <v>1760</v>
      </c>
    </row>
    <row r="208" spans="1:8">
      <c r="A208" s="36" t="s">
        <v>1180</v>
      </c>
      <c r="B208" s="36"/>
      <c r="C208" s="36"/>
      <c r="D208" s="36"/>
      <c r="E208" s="36"/>
      <c r="F208" s="36"/>
      <c r="G208" s="36"/>
      <c r="H208" s="36"/>
    </row>
    <row r="209" spans="1:8">
      <c r="A209" s="36"/>
      <c r="B209" s="36">
        <v>1</v>
      </c>
      <c r="C209" s="36">
        <v>1</v>
      </c>
      <c r="D209" s="37">
        <v>11120101</v>
      </c>
      <c r="E209" s="38" t="s">
        <v>1184</v>
      </c>
      <c r="F209" s="36"/>
      <c r="G209" s="36"/>
      <c r="H209" s="36"/>
    </row>
    <row r="210" spans="1:8">
      <c r="A210" s="36"/>
      <c r="B210" s="36">
        <v>2</v>
      </c>
      <c r="C210" s="36">
        <v>1</v>
      </c>
      <c r="D210" s="37">
        <v>11120201</v>
      </c>
      <c r="E210" s="38" t="s">
        <v>1185</v>
      </c>
      <c r="F210" s="36"/>
      <c r="G210" s="36"/>
      <c r="H210" s="36"/>
    </row>
    <row r="211" spans="1:8">
      <c r="A211" s="36"/>
      <c r="B211" s="36">
        <v>3</v>
      </c>
      <c r="C211" s="36">
        <v>1</v>
      </c>
      <c r="D211" s="37">
        <v>11120301</v>
      </c>
      <c r="E211" s="38" t="s">
        <v>1186</v>
      </c>
      <c r="F211" s="36"/>
      <c r="G211" s="36"/>
      <c r="H211" s="36"/>
    </row>
    <row r="212" spans="1:8">
      <c r="A212" s="36"/>
      <c r="B212" s="36">
        <v>4</v>
      </c>
      <c r="C212" s="36">
        <v>1</v>
      </c>
      <c r="D212" s="37">
        <v>11120401</v>
      </c>
      <c r="E212" s="38" t="s">
        <v>1187</v>
      </c>
      <c r="F212" s="36"/>
      <c r="G212" s="36"/>
      <c r="H212" s="36"/>
    </row>
    <row r="213" spans="1:8">
      <c r="A213" s="36"/>
      <c r="B213" s="36">
        <v>5</v>
      </c>
      <c r="C213" s="36">
        <v>1</v>
      </c>
      <c r="D213" s="37">
        <v>11120501</v>
      </c>
      <c r="E213" s="38" t="s">
        <v>1188</v>
      </c>
      <c r="F213" s="36"/>
      <c r="G213" s="36"/>
      <c r="H213" s="36"/>
    </row>
    <row r="214" spans="1:8">
      <c r="A214" s="36"/>
      <c r="B214" s="36">
        <v>6</v>
      </c>
      <c r="C214" s="36">
        <v>1</v>
      </c>
      <c r="D214" s="37">
        <v>11120601</v>
      </c>
      <c r="E214" s="38" t="s">
        <v>1189</v>
      </c>
      <c r="F214" s="36"/>
      <c r="G214" s="36"/>
      <c r="H214" s="36"/>
    </row>
    <row r="215" spans="1:8">
      <c r="A215" s="36"/>
      <c r="B215" s="36">
        <v>7</v>
      </c>
      <c r="C215" s="36">
        <v>1</v>
      </c>
      <c r="D215" s="37">
        <v>11120701</v>
      </c>
      <c r="E215" s="38" t="s">
        <v>1190</v>
      </c>
      <c r="F215" s="36"/>
      <c r="G215" s="36"/>
      <c r="H215" s="36"/>
    </row>
    <row r="216" spans="1:8">
      <c r="A216" s="36"/>
      <c r="B216" s="36">
        <v>8</v>
      </c>
      <c r="C216" s="36">
        <v>1</v>
      </c>
      <c r="D216" s="37">
        <v>11120801</v>
      </c>
      <c r="E216" s="38" t="s">
        <v>1191</v>
      </c>
      <c r="F216" s="36"/>
      <c r="G216" s="36"/>
      <c r="H216" s="36"/>
    </row>
    <row r="217" spans="1:8">
      <c r="A217" s="36"/>
      <c r="B217" s="36">
        <v>9</v>
      </c>
      <c r="C217" s="36">
        <v>1</v>
      </c>
      <c r="D217" s="37">
        <v>11120901</v>
      </c>
      <c r="E217" s="38" t="s">
        <v>1192</v>
      </c>
      <c r="F217" s="36"/>
      <c r="G217" s="36"/>
      <c r="H217" s="36"/>
    </row>
    <row r="218" spans="1:8">
      <c r="A218" s="36"/>
      <c r="B218" s="36">
        <v>10</v>
      </c>
      <c r="C218" s="36">
        <v>1</v>
      </c>
      <c r="D218" s="37">
        <v>11121001</v>
      </c>
      <c r="E218" s="38" t="s">
        <v>1193</v>
      </c>
      <c r="F218" s="36"/>
      <c r="G218" s="36"/>
      <c r="H218" s="36"/>
    </row>
    <row r="219" spans="1:8">
      <c r="A219" s="36"/>
      <c r="B219" s="36">
        <v>11</v>
      </c>
      <c r="C219" s="36">
        <v>1</v>
      </c>
      <c r="D219" s="37">
        <v>11121101</v>
      </c>
      <c r="E219" s="38" t="s">
        <v>1194</v>
      </c>
      <c r="F219" s="36">
        <v>1010320002</v>
      </c>
      <c r="G219" s="36" t="s">
        <v>1834</v>
      </c>
      <c r="H219" s="39" t="s">
        <v>1761</v>
      </c>
    </row>
    <row r="220" spans="1:8">
      <c r="A220" s="36"/>
      <c r="B220" s="36">
        <v>12</v>
      </c>
      <c r="C220" s="36">
        <v>1</v>
      </c>
      <c r="D220" s="37">
        <v>11121201</v>
      </c>
      <c r="E220" s="38" t="s">
        <v>1195</v>
      </c>
      <c r="F220" s="36">
        <v>1010320002</v>
      </c>
      <c r="G220" s="36" t="s">
        <v>1834</v>
      </c>
      <c r="H220" s="39" t="s">
        <v>1761</v>
      </c>
    </row>
    <row r="221" spans="1:8">
      <c r="A221" s="36"/>
      <c r="B221" s="36">
        <v>13</v>
      </c>
      <c r="C221" s="36">
        <v>1</v>
      </c>
      <c r="D221" s="37">
        <v>11121301</v>
      </c>
      <c r="E221" s="38" t="s">
        <v>1196</v>
      </c>
      <c r="F221" s="36">
        <v>1010320002</v>
      </c>
      <c r="G221" s="36" t="s">
        <v>1834</v>
      </c>
      <c r="H221" s="39" t="s">
        <v>1761</v>
      </c>
    </row>
    <row r="222" spans="1:8">
      <c r="A222" s="36"/>
      <c r="B222" s="36">
        <v>14</v>
      </c>
      <c r="C222" s="36">
        <v>1</v>
      </c>
      <c r="D222" s="37">
        <v>11121401</v>
      </c>
      <c r="E222" s="38" t="s">
        <v>1197</v>
      </c>
      <c r="F222" s="36">
        <v>1010320002</v>
      </c>
      <c r="G222" s="36" t="s">
        <v>1834</v>
      </c>
      <c r="H222" s="39" t="s">
        <v>1761</v>
      </c>
    </row>
    <row r="223" spans="1:8">
      <c r="A223" s="36"/>
      <c r="B223" s="36">
        <v>15</v>
      </c>
      <c r="C223" s="36">
        <v>1</v>
      </c>
      <c r="D223" s="37">
        <v>11121501</v>
      </c>
      <c r="E223" s="38" t="s">
        <v>1198</v>
      </c>
      <c r="F223" s="36">
        <v>1010320002</v>
      </c>
      <c r="G223" s="36" t="s">
        <v>1834</v>
      </c>
      <c r="H223" s="39" t="s">
        <v>1761</v>
      </c>
    </row>
    <row r="224" spans="1:8">
      <c r="A224" s="36"/>
      <c r="B224" s="36">
        <v>16</v>
      </c>
      <c r="C224" s="36">
        <v>1</v>
      </c>
      <c r="D224" s="37">
        <v>11121601</v>
      </c>
      <c r="E224" s="38" t="s">
        <v>1199</v>
      </c>
      <c r="F224" s="36">
        <v>1010320002</v>
      </c>
      <c r="G224" s="36" t="s">
        <v>1835</v>
      </c>
      <c r="H224" s="39" t="s">
        <v>1761</v>
      </c>
    </row>
    <row r="225" spans="1:8">
      <c r="A225" s="36"/>
      <c r="B225" s="36">
        <v>17</v>
      </c>
      <c r="C225" s="36">
        <v>1</v>
      </c>
      <c r="D225" s="37">
        <v>11121701</v>
      </c>
      <c r="E225" s="38" t="s">
        <v>1200</v>
      </c>
      <c r="F225" s="36">
        <v>1010320002</v>
      </c>
      <c r="G225" s="36" t="s">
        <v>1835</v>
      </c>
      <c r="H225" s="39" t="s">
        <v>1761</v>
      </c>
    </row>
    <row r="226" spans="1:8">
      <c r="A226" s="36"/>
      <c r="B226" s="36">
        <v>18</v>
      </c>
      <c r="C226" s="36">
        <v>1</v>
      </c>
      <c r="D226" s="37">
        <v>11121801</v>
      </c>
      <c r="E226" s="38" t="s">
        <v>1201</v>
      </c>
      <c r="F226" s="36">
        <v>1010320002</v>
      </c>
      <c r="G226" s="36" t="s">
        <v>1835</v>
      </c>
      <c r="H226" s="39" t="s">
        <v>1761</v>
      </c>
    </row>
    <row r="227" spans="1:8">
      <c r="A227" s="36"/>
      <c r="B227" s="36">
        <v>19</v>
      </c>
      <c r="C227" s="36">
        <v>1</v>
      </c>
      <c r="D227" s="37">
        <v>11121901</v>
      </c>
      <c r="E227" s="38" t="s">
        <v>1202</v>
      </c>
      <c r="F227" s="36">
        <v>1010320002</v>
      </c>
      <c r="G227" s="36" t="s">
        <v>1835</v>
      </c>
      <c r="H227" s="39" t="s">
        <v>1761</v>
      </c>
    </row>
    <row r="228" spans="1:8">
      <c r="A228" s="36"/>
      <c r="B228" s="36">
        <v>20</v>
      </c>
      <c r="C228" s="36">
        <v>1</v>
      </c>
      <c r="D228" s="37">
        <v>11122001</v>
      </c>
      <c r="E228" s="38" t="s">
        <v>1203</v>
      </c>
      <c r="F228" s="36">
        <v>1010320002</v>
      </c>
      <c r="G228" s="36" t="s">
        <v>1835</v>
      </c>
      <c r="H228" s="39" t="s">
        <v>1762</v>
      </c>
    </row>
    <row r="229" spans="1:8">
      <c r="A229" s="36"/>
      <c r="B229" s="36">
        <v>21</v>
      </c>
      <c r="C229" s="36">
        <v>1</v>
      </c>
      <c r="D229" s="37">
        <v>11122101</v>
      </c>
      <c r="E229" s="38" t="s">
        <v>1204</v>
      </c>
      <c r="F229" s="36">
        <v>1010320002</v>
      </c>
      <c r="G229" s="36" t="s">
        <v>1836</v>
      </c>
      <c r="H229" s="39" t="s">
        <v>1762</v>
      </c>
    </row>
    <row r="230" spans="1:8">
      <c r="A230" s="36"/>
      <c r="B230" s="36">
        <v>22</v>
      </c>
      <c r="C230" s="36">
        <v>1</v>
      </c>
      <c r="D230" s="37">
        <v>11122201</v>
      </c>
      <c r="E230" s="38" t="s">
        <v>1205</v>
      </c>
      <c r="F230" s="36">
        <v>1010320002</v>
      </c>
      <c r="G230" s="36" t="s">
        <v>1836</v>
      </c>
      <c r="H230" s="39" t="s">
        <v>1762</v>
      </c>
    </row>
    <row r="231" spans="1:8">
      <c r="A231" s="36"/>
      <c r="B231" s="36">
        <v>23</v>
      </c>
      <c r="C231" s="36">
        <v>1</v>
      </c>
      <c r="D231" s="37">
        <v>11122301</v>
      </c>
      <c r="E231" s="38" t="s">
        <v>1206</v>
      </c>
      <c r="F231" s="36">
        <v>1010320002</v>
      </c>
      <c r="G231" s="36" t="s">
        <v>1836</v>
      </c>
      <c r="H231" s="39" t="s">
        <v>1762</v>
      </c>
    </row>
    <row r="232" spans="1:8">
      <c r="A232" s="36"/>
      <c r="B232" s="36">
        <v>24</v>
      </c>
      <c r="C232" s="36">
        <v>1</v>
      </c>
      <c r="D232" s="37">
        <v>11122401</v>
      </c>
      <c r="E232" s="38" t="s">
        <v>1207</v>
      </c>
      <c r="F232" s="36">
        <v>1010320002</v>
      </c>
      <c r="G232" s="36" t="s">
        <v>1836</v>
      </c>
      <c r="H232" s="39" t="s">
        <v>1762</v>
      </c>
    </row>
    <row r="233" spans="1:8">
      <c r="A233" s="36"/>
      <c r="B233" s="36">
        <v>25</v>
      </c>
      <c r="C233" s="36">
        <v>1</v>
      </c>
      <c r="D233" s="37">
        <v>11122501</v>
      </c>
      <c r="E233" s="38" t="s">
        <v>1208</v>
      </c>
      <c r="F233" s="36">
        <v>1010320002</v>
      </c>
      <c r="G233" s="36" t="s">
        <v>1836</v>
      </c>
      <c r="H233" s="39" t="s">
        <v>1762</v>
      </c>
    </row>
    <row r="234" spans="1:8">
      <c r="A234" s="36"/>
      <c r="B234" s="36">
        <v>26</v>
      </c>
      <c r="C234" s="36">
        <v>1</v>
      </c>
      <c r="D234" s="37">
        <v>11122601</v>
      </c>
      <c r="E234" s="38" t="s">
        <v>1209</v>
      </c>
      <c r="F234" s="36">
        <v>1010320002</v>
      </c>
      <c r="G234" s="36" t="s">
        <v>1837</v>
      </c>
      <c r="H234" s="39" t="s">
        <v>1762</v>
      </c>
    </row>
    <row r="235" spans="1:8">
      <c r="A235" s="36"/>
      <c r="B235" s="36">
        <v>27</v>
      </c>
      <c r="C235" s="36">
        <v>1</v>
      </c>
      <c r="D235" s="37">
        <v>11122701</v>
      </c>
      <c r="E235" s="38" t="s">
        <v>1210</v>
      </c>
      <c r="F235" s="36">
        <v>1010320002</v>
      </c>
      <c r="G235" s="36" t="s">
        <v>1837</v>
      </c>
      <c r="H235" s="39" t="s">
        <v>1762</v>
      </c>
    </row>
    <row r="236" spans="1:8">
      <c r="A236" s="36"/>
      <c r="B236" s="36">
        <v>28</v>
      </c>
      <c r="C236" s="36">
        <v>1</v>
      </c>
      <c r="D236" s="37">
        <v>11122801</v>
      </c>
      <c r="E236" s="38" t="s">
        <v>1211</v>
      </c>
      <c r="F236" s="36">
        <v>1010320002</v>
      </c>
      <c r="G236" s="36" t="s">
        <v>1837</v>
      </c>
      <c r="H236" s="39" t="s">
        <v>1762</v>
      </c>
    </row>
    <row r="237" spans="1:8">
      <c r="A237" s="36"/>
      <c r="B237" s="36">
        <v>29</v>
      </c>
      <c r="C237" s="36">
        <v>1</v>
      </c>
      <c r="D237" s="37">
        <v>11122901</v>
      </c>
      <c r="E237" s="38" t="s">
        <v>1212</v>
      </c>
      <c r="F237" s="36">
        <v>1010320002</v>
      </c>
      <c r="G237" s="36" t="s">
        <v>1837</v>
      </c>
      <c r="H237" s="39" t="s">
        <v>1762</v>
      </c>
    </row>
    <row r="238" spans="1:8">
      <c r="A238" s="36"/>
      <c r="B238" s="36">
        <v>30</v>
      </c>
      <c r="C238" s="36">
        <v>1</v>
      </c>
      <c r="D238" s="37">
        <v>11123001</v>
      </c>
      <c r="E238" s="38" t="s">
        <v>1213</v>
      </c>
      <c r="F238" s="36">
        <v>1010320002</v>
      </c>
      <c r="G238" s="36" t="s">
        <v>1837</v>
      </c>
      <c r="H238" s="39" t="s">
        <v>1762</v>
      </c>
    </row>
    <row r="239" spans="1:8">
      <c r="A239" s="36"/>
      <c r="B239" s="36">
        <v>31</v>
      </c>
      <c r="C239" s="36">
        <v>1</v>
      </c>
      <c r="D239" s="37">
        <v>11123101</v>
      </c>
      <c r="E239" s="38" t="s">
        <v>1214</v>
      </c>
      <c r="F239" s="36">
        <v>1010320002</v>
      </c>
      <c r="G239" s="36" t="s">
        <v>1838</v>
      </c>
      <c r="H239" s="39" t="s">
        <v>1763</v>
      </c>
    </row>
    <row r="240" spans="1:8">
      <c r="A240" s="36"/>
      <c r="B240" s="36">
        <v>32</v>
      </c>
      <c r="C240" s="36">
        <v>1</v>
      </c>
      <c r="D240" s="37">
        <v>11123201</v>
      </c>
      <c r="E240" s="38" t="s">
        <v>1215</v>
      </c>
      <c r="F240" s="36">
        <v>1010320002</v>
      </c>
      <c r="G240" s="36" t="s">
        <v>1838</v>
      </c>
      <c r="H240" s="39" t="s">
        <v>1763</v>
      </c>
    </row>
    <row r="241" spans="1:8">
      <c r="A241" s="36"/>
      <c r="B241" s="36">
        <v>33</v>
      </c>
      <c r="C241" s="36">
        <v>1</v>
      </c>
      <c r="D241" s="37">
        <v>11123301</v>
      </c>
      <c r="E241" s="38" t="s">
        <v>1216</v>
      </c>
      <c r="F241" s="36">
        <v>1010320002</v>
      </c>
      <c r="G241" s="36" t="s">
        <v>1838</v>
      </c>
      <c r="H241" s="39" t="s">
        <v>1763</v>
      </c>
    </row>
    <row r="242" spans="1:8">
      <c r="A242" s="36"/>
      <c r="B242" s="36">
        <v>34</v>
      </c>
      <c r="C242" s="36">
        <v>1</v>
      </c>
      <c r="D242" s="37">
        <v>11123401</v>
      </c>
      <c r="E242" s="38" t="s">
        <v>1217</v>
      </c>
      <c r="F242" s="36">
        <v>1010320002</v>
      </c>
      <c r="G242" s="36" t="s">
        <v>1838</v>
      </c>
      <c r="H242" s="39" t="s">
        <v>1763</v>
      </c>
    </row>
    <row r="243" spans="1:8">
      <c r="A243" s="36"/>
      <c r="B243" s="36">
        <v>35</v>
      </c>
      <c r="C243" s="36">
        <v>1</v>
      </c>
      <c r="D243" s="37">
        <v>11123501</v>
      </c>
      <c r="E243" s="38" t="s">
        <v>1218</v>
      </c>
      <c r="F243" s="36">
        <v>1010320002</v>
      </c>
      <c r="G243" s="36" t="s">
        <v>1838</v>
      </c>
      <c r="H243" s="39" t="s">
        <v>1763</v>
      </c>
    </row>
    <row r="244" spans="1:8">
      <c r="A244" s="36"/>
      <c r="B244" s="36">
        <v>36</v>
      </c>
      <c r="C244" s="36">
        <v>1</v>
      </c>
      <c r="D244" s="37">
        <v>11123601</v>
      </c>
      <c r="E244" s="38" t="s">
        <v>1219</v>
      </c>
      <c r="F244" s="36">
        <v>1010320002</v>
      </c>
      <c r="G244" s="36" t="s">
        <v>1839</v>
      </c>
      <c r="H244" s="39" t="s">
        <v>1763</v>
      </c>
    </row>
    <row r="245" spans="1:8">
      <c r="A245" s="36"/>
      <c r="B245" s="36">
        <v>37</v>
      </c>
      <c r="C245" s="36">
        <v>1</v>
      </c>
      <c r="D245" s="37">
        <v>11123701</v>
      </c>
      <c r="E245" s="38" t="s">
        <v>1220</v>
      </c>
      <c r="F245" s="36">
        <v>1010320002</v>
      </c>
      <c r="G245" s="36" t="s">
        <v>1839</v>
      </c>
      <c r="H245" s="39" t="s">
        <v>1763</v>
      </c>
    </row>
    <row r="246" spans="1:8">
      <c r="A246" s="36"/>
      <c r="B246" s="36">
        <v>38</v>
      </c>
      <c r="C246" s="36">
        <v>1</v>
      </c>
      <c r="D246" s="37">
        <v>11123801</v>
      </c>
      <c r="E246" s="38" t="s">
        <v>1221</v>
      </c>
      <c r="F246" s="36">
        <v>1010320002</v>
      </c>
      <c r="G246" s="36" t="s">
        <v>1839</v>
      </c>
      <c r="H246" s="39" t="s">
        <v>1763</v>
      </c>
    </row>
    <row r="247" spans="1:8">
      <c r="A247" s="36"/>
      <c r="B247" s="36">
        <v>39</v>
      </c>
      <c r="C247" s="36">
        <v>1</v>
      </c>
      <c r="D247" s="37">
        <v>11123901</v>
      </c>
      <c r="E247" s="38" t="s">
        <v>1222</v>
      </c>
      <c r="F247" s="36">
        <v>1010320002</v>
      </c>
      <c r="G247" s="36" t="s">
        <v>1839</v>
      </c>
      <c r="H247" s="39" t="s">
        <v>1763</v>
      </c>
    </row>
    <row r="248" spans="1:8">
      <c r="A248" s="36"/>
      <c r="B248" s="36">
        <v>40</v>
      </c>
      <c r="C248" s="36">
        <v>1</v>
      </c>
      <c r="D248" s="37">
        <v>11124001</v>
      </c>
      <c r="E248" s="38" t="s">
        <v>1223</v>
      </c>
      <c r="F248" s="36">
        <v>1010320002</v>
      </c>
      <c r="G248" s="36" t="s">
        <v>1839</v>
      </c>
      <c r="H248" s="39" t="s">
        <v>1763</v>
      </c>
    </row>
    <row r="249" spans="1:8">
      <c r="A249" s="36"/>
      <c r="B249" s="36">
        <v>41</v>
      </c>
      <c r="C249" s="36">
        <v>1</v>
      </c>
      <c r="D249" s="37">
        <v>11124101</v>
      </c>
      <c r="E249" s="38" t="s">
        <v>1224</v>
      </c>
      <c r="F249" s="36">
        <v>1010320002</v>
      </c>
      <c r="G249" s="36" t="s">
        <v>1840</v>
      </c>
      <c r="H249" s="39" t="s">
        <v>1764</v>
      </c>
    </row>
    <row r="250" spans="1:8">
      <c r="A250" s="36"/>
      <c r="B250" s="36">
        <v>42</v>
      </c>
      <c r="C250" s="36">
        <v>1</v>
      </c>
      <c r="D250" s="37">
        <v>11124201</v>
      </c>
      <c r="E250" s="38" t="s">
        <v>1225</v>
      </c>
      <c r="F250" s="36">
        <v>1010320002</v>
      </c>
      <c r="G250" s="36" t="s">
        <v>1840</v>
      </c>
      <c r="H250" s="39" t="s">
        <v>1764</v>
      </c>
    </row>
    <row r="251" spans="1:8">
      <c r="A251" s="36"/>
      <c r="B251" s="36">
        <v>43</v>
      </c>
      <c r="C251" s="36">
        <v>1</v>
      </c>
      <c r="D251" s="37">
        <v>11124301</v>
      </c>
      <c r="E251" s="38" t="s">
        <v>1226</v>
      </c>
      <c r="F251" s="36">
        <v>1010320002</v>
      </c>
      <c r="G251" s="36" t="s">
        <v>1840</v>
      </c>
      <c r="H251" s="39" t="s">
        <v>1764</v>
      </c>
    </row>
    <row r="252" spans="1:8">
      <c r="A252" s="36"/>
      <c r="B252" s="36">
        <v>44</v>
      </c>
      <c r="C252" s="36">
        <v>1</v>
      </c>
      <c r="D252" s="37">
        <v>11124401</v>
      </c>
      <c r="E252" s="38" t="s">
        <v>1227</v>
      </c>
      <c r="F252" s="36">
        <v>1010320002</v>
      </c>
      <c r="G252" s="36" t="s">
        <v>1840</v>
      </c>
      <c r="H252" s="39" t="s">
        <v>1764</v>
      </c>
    </row>
    <row r="253" spans="1:8">
      <c r="A253" s="36"/>
      <c r="B253" s="36">
        <v>45</v>
      </c>
      <c r="C253" s="36">
        <v>1</v>
      </c>
      <c r="D253" s="37">
        <v>11124501</v>
      </c>
      <c r="E253" s="38" t="s">
        <v>1228</v>
      </c>
      <c r="F253" s="36">
        <v>1010320002</v>
      </c>
      <c r="G253" s="36" t="s">
        <v>1840</v>
      </c>
      <c r="H253" s="39" t="s">
        <v>1764</v>
      </c>
    </row>
    <row r="254" spans="1:8">
      <c r="A254" s="36"/>
      <c r="B254" s="36">
        <v>46</v>
      </c>
      <c r="C254" s="36">
        <v>1</v>
      </c>
      <c r="D254" s="37">
        <v>11124601</v>
      </c>
      <c r="E254" s="38" t="s">
        <v>1229</v>
      </c>
      <c r="F254" s="36">
        <v>1010320002</v>
      </c>
      <c r="G254" s="36" t="s">
        <v>1841</v>
      </c>
      <c r="H254" s="39" t="s">
        <v>1764</v>
      </c>
    </row>
    <row r="255" spans="1:8">
      <c r="A255" s="36"/>
      <c r="B255" s="36">
        <v>47</v>
      </c>
      <c r="C255" s="36">
        <v>1</v>
      </c>
      <c r="D255" s="37">
        <v>11124701</v>
      </c>
      <c r="E255" s="38" t="s">
        <v>1230</v>
      </c>
      <c r="F255" s="36">
        <v>1010320002</v>
      </c>
      <c r="G255" s="36" t="s">
        <v>1841</v>
      </c>
      <c r="H255" s="39" t="s">
        <v>1764</v>
      </c>
    </row>
    <row r="256" spans="1:8">
      <c r="A256" s="36"/>
      <c r="B256" s="36">
        <v>48</v>
      </c>
      <c r="C256" s="36">
        <v>1</v>
      </c>
      <c r="D256" s="37">
        <v>11124801</v>
      </c>
      <c r="E256" s="38" t="s">
        <v>1231</v>
      </c>
      <c r="F256" s="36">
        <v>1010320002</v>
      </c>
      <c r="G256" s="36" t="s">
        <v>1841</v>
      </c>
      <c r="H256" s="39" t="s">
        <v>1764</v>
      </c>
    </row>
    <row r="257" spans="1:8">
      <c r="A257" s="36"/>
      <c r="B257" s="36">
        <v>49</v>
      </c>
      <c r="C257" s="36">
        <v>1</v>
      </c>
      <c r="D257" s="37">
        <v>11124901</v>
      </c>
      <c r="E257" s="38" t="s">
        <v>1232</v>
      </c>
      <c r="F257" s="36">
        <v>1010320002</v>
      </c>
      <c r="G257" s="36" t="s">
        <v>1841</v>
      </c>
      <c r="H257" s="39" t="s">
        <v>1764</v>
      </c>
    </row>
    <row r="258" spans="1:8">
      <c r="A258" s="36"/>
      <c r="B258" s="36">
        <v>50</v>
      </c>
      <c r="C258" s="36">
        <v>1</v>
      </c>
      <c r="D258" s="37">
        <v>11125001</v>
      </c>
      <c r="E258" s="38" t="s">
        <v>1233</v>
      </c>
      <c r="F258" s="36">
        <v>1010320002</v>
      </c>
      <c r="G258" s="36" t="s">
        <v>1841</v>
      </c>
      <c r="H258" s="39" t="s">
        <v>1764</v>
      </c>
    </row>
    <row r="259" spans="1:8">
      <c r="A259" s="47" t="s">
        <v>1181</v>
      </c>
      <c r="B259" s="47"/>
      <c r="C259" s="47"/>
      <c r="D259" s="47"/>
      <c r="E259" s="47"/>
      <c r="F259" s="47"/>
      <c r="G259" s="47"/>
      <c r="H259" s="47"/>
    </row>
    <row r="260" spans="1:8">
      <c r="A260" s="47"/>
      <c r="B260" s="47">
        <v>1</v>
      </c>
      <c r="C260" s="47">
        <v>1</v>
      </c>
      <c r="D260" s="48">
        <v>11120102</v>
      </c>
      <c r="E260" s="47" t="s">
        <v>1234</v>
      </c>
      <c r="F260" s="47"/>
      <c r="G260" s="47"/>
      <c r="H260" s="47"/>
    </row>
    <row r="261" spans="1:8">
      <c r="A261" s="47"/>
      <c r="B261" s="47">
        <v>2</v>
      </c>
      <c r="C261" s="47">
        <v>1</v>
      </c>
      <c r="D261" s="48">
        <v>11120202</v>
      </c>
      <c r="E261" s="47" t="s">
        <v>1235</v>
      </c>
      <c r="F261" s="47"/>
      <c r="G261" s="47"/>
      <c r="H261" s="47"/>
    </row>
    <row r="262" spans="1:8">
      <c r="A262" s="47"/>
      <c r="B262" s="47">
        <v>3</v>
      </c>
      <c r="C262" s="47">
        <v>1</v>
      </c>
      <c r="D262" s="48">
        <v>11120302</v>
      </c>
      <c r="E262" s="47" t="s">
        <v>1236</v>
      </c>
      <c r="F262" s="47"/>
      <c r="G262" s="47"/>
      <c r="H262" s="47"/>
    </row>
    <row r="263" spans="1:8">
      <c r="A263" s="47"/>
      <c r="B263" s="47">
        <v>4</v>
      </c>
      <c r="C263" s="47">
        <v>1</v>
      </c>
      <c r="D263" s="48">
        <v>11120402</v>
      </c>
      <c r="E263" s="47" t="s">
        <v>1237</v>
      </c>
      <c r="F263" s="47"/>
      <c r="G263" s="47"/>
      <c r="H263" s="47"/>
    </row>
    <row r="264" spans="1:8">
      <c r="A264" s="47"/>
      <c r="B264" s="47">
        <v>5</v>
      </c>
      <c r="C264" s="47">
        <v>1</v>
      </c>
      <c r="D264" s="48">
        <v>11120502</v>
      </c>
      <c r="E264" s="47" t="s">
        <v>1238</v>
      </c>
      <c r="F264" s="47"/>
      <c r="G264" s="47"/>
      <c r="H264" s="47"/>
    </row>
    <row r="265" spans="1:8">
      <c r="A265" s="47"/>
      <c r="B265" s="47">
        <v>6</v>
      </c>
      <c r="C265" s="47">
        <v>1</v>
      </c>
      <c r="D265" s="48">
        <v>11120602</v>
      </c>
      <c r="E265" s="47" t="s">
        <v>1239</v>
      </c>
      <c r="F265" s="47"/>
      <c r="G265" s="47"/>
      <c r="H265" s="47"/>
    </row>
    <row r="266" spans="1:8">
      <c r="A266" s="47"/>
      <c r="B266" s="47">
        <v>7</v>
      </c>
      <c r="C266" s="47">
        <v>1</v>
      </c>
      <c r="D266" s="48">
        <v>11120702</v>
      </c>
      <c r="E266" s="47" t="s">
        <v>1240</v>
      </c>
      <c r="F266" s="47"/>
      <c r="G266" s="47"/>
      <c r="H266" s="47"/>
    </row>
    <row r="267" spans="1:8">
      <c r="A267" s="47"/>
      <c r="B267" s="47">
        <v>8</v>
      </c>
      <c r="C267" s="47">
        <v>1</v>
      </c>
      <c r="D267" s="48">
        <v>11120802</v>
      </c>
      <c r="E267" s="47" t="s">
        <v>1241</v>
      </c>
      <c r="F267" s="47"/>
      <c r="G267" s="47"/>
      <c r="H267" s="47"/>
    </row>
    <row r="268" spans="1:8">
      <c r="A268" s="47"/>
      <c r="B268" s="47">
        <v>9</v>
      </c>
      <c r="C268" s="47">
        <v>1</v>
      </c>
      <c r="D268" s="48">
        <v>11120902</v>
      </c>
      <c r="E268" s="47" t="s">
        <v>1242</v>
      </c>
      <c r="F268" s="47"/>
      <c r="G268" s="47"/>
      <c r="H268" s="47"/>
    </row>
    <row r="269" spans="1:8">
      <c r="A269" s="47"/>
      <c r="B269" s="47">
        <v>10</v>
      </c>
      <c r="C269" s="47">
        <v>1</v>
      </c>
      <c r="D269" s="48">
        <v>11121002</v>
      </c>
      <c r="E269" s="47" t="s">
        <v>1243</v>
      </c>
      <c r="F269" s="47"/>
      <c r="G269" s="47"/>
      <c r="H269" s="47"/>
    </row>
    <row r="270" spans="1:8">
      <c r="A270" s="47"/>
      <c r="B270" s="47">
        <v>11</v>
      </c>
      <c r="C270" s="47">
        <v>1</v>
      </c>
      <c r="D270" s="48">
        <v>11121102</v>
      </c>
      <c r="E270" s="47" t="s">
        <v>1244</v>
      </c>
      <c r="F270" s="47">
        <v>1010530002</v>
      </c>
      <c r="G270" s="47" t="s">
        <v>1842</v>
      </c>
      <c r="H270" s="49" t="s">
        <v>1761</v>
      </c>
    </row>
    <row r="271" spans="1:8">
      <c r="A271" s="47"/>
      <c r="B271" s="47">
        <v>12</v>
      </c>
      <c r="C271" s="47">
        <v>1</v>
      </c>
      <c r="D271" s="48">
        <v>11121202</v>
      </c>
      <c r="E271" s="47" t="s">
        <v>1245</v>
      </c>
      <c r="F271" s="47">
        <v>1010530002</v>
      </c>
      <c r="G271" s="47" t="s">
        <v>1842</v>
      </c>
      <c r="H271" s="49" t="s">
        <v>1761</v>
      </c>
    </row>
    <row r="272" spans="1:8">
      <c r="A272" s="47"/>
      <c r="B272" s="47">
        <v>13</v>
      </c>
      <c r="C272" s="47">
        <v>1</v>
      </c>
      <c r="D272" s="48">
        <v>11121302</v>
      </c>
      <c r="E272" s="47" t="s">
        <v>1246</v>
      </c>
      <c r="F272" s="47">
        <v>1010530002</v>
      </c>
      <c r="G272" s="47" t="s">
        <v>1842</v>
      </c>
      <c r="H272" s="49" t="s">
        <v>1761</v>
      </c>
    </row>
    <row r="273" spans="1:8">
      <c r="A273" s="47"/>
      <c r="B273" s="47">
        <v>14</v>
      </c>
      <c r="C273" s="47">
        <v>1</v>
      </c>
      <c r="D273" s="48">
        <v>11121402</v>
      </c>
      <c r="E273" s="47" t="s">
        <v>1247</v>
      </c>
      <c r="F273" s="47">
        <v>1010530002</v>
      </c>
      <c r="G273" s="47" t="s">
        <v>1842</v>
      </c>
      <c r="H273" s="49" t="s">
        <v>1761</v>
      </c>
    </row>
    <row r="274" spans="1:8">
      <c r="A274" s="47"/>
      <c r="B274" s="47">
        <v>15</v>
      </c>
      <c r="C274" s="47">
        <v>1</v>
      </c>
      <c r="D274" s="48">
        <v>11121502</v>
      </c>
      <c r="E274" s="47" t="s">
        <v>1248</v>
      </c>
      <c r="F274" s="47">
        <v>1010530002</v>
      </c>
      <c r="G274" s="47" t="s">
        <v>1842</v>
      </c>
      <c r="H274" s="49" t="s">
        <v>1761</v>
      </c>
    </row>
    <row r="275" spans="1:8">
      <c r="A275" s="47"/>
      <c r="B275" s="47">
        <v>16</v>
      </c>
      <c r="C275" s="47">
        <v>1</v>
      </c>
      <c r="D275" s="48">
        <v>11121602</v>
      </c>
      <c r="E275" s="47" t="s">
        <v>1249</v>
      </c>
      <c r="F275" s="47">
        <v>1010530002</v>
      </c>
      <c r="G275" s="47" t="s">
        <v>1843</v>
      </c>
      <c r="H275" s="49" t="s">
        <v>1761</v>
      </c>
    </row>
    <row r="276" spans="1:8">
      <c r="A276" s="47"/>
      <c r="B276" s="47">
        <v>17</v>
      </c>
      <c r="C276" s="47">
        <v>1</v>
      </c>
      <c r="D276" s="48">
        <v>11121702</v>
      </c>
      <c r="E276" s="47" t="s">
        <v>1250</v>
      </c>
      <c r="F276" s="47">
        <v>1010530002</v>
      </c>
      <c r="G276" s="47" t="s">
        <v>1843</v>
      </c>
      <c r="H276" s="49" t="s">
        <v>1761</v>
      </c>
    </row>
    <row r="277" spans="1:8">
      <c r="A277" s="47"/>
      <c r="B277" s="47">
        <v>18</v>
      </c>
      <c r="C277" s="47">
        <v>1</v>
      </c>
      <c r="D277" s="48">
        <v>11121802</v>
      </c>
      <c r="E277" s="47" t="s">
        <v>1251</v>
      </c>
      <c r="F277" s="47">
        <v>1010530002</v>
      </c>
      <c r="G277" s="47" t="s">
        <v>1843</v>
      </c>
      <c r="H277" s="49" t="s">
        <v>1761</v>
      </c>
    </row>
    <row r="278" spans="1:8">
      <c r="A278" s="47"/>
      <c r="B278" s="47">
        <v>19</v>
      </c>
      <c r="C278" s="47">
        <v>1</v>
      </c>
      <c r="D278" s="48">
        <v>11121902</v>
      </c>
      <c r="E278" s="47" t="s">
        <v>1252</v>
      </c>
      <c r="F278" s="47">
        <v>1010530002</v>
      </c>
      <c r="G278" s="47" t="s">
        <v>1843</v>
      </c>
      <c r="H278" s="49" t="s">
        <v>1761</v>
      </c>
    </row>
    <row r="279" spans="1:8">
      <c r="A279" s="47"/>
      <c r="B279" s="47">
        <v>20</v>
      </c>
      <c r="C279" s="47">
        <v>1</v>
      </c>
      <c r="D279" s="48">
        <v>11122002</v>
      </c>
      <c r="E279" s="47" t="s">
        <v>1253</v>
      </c>
      <c r="F279" s="47">
        <v>1010530002</v>
      </c>
      <c r="G279" s="47" t="s">
        <v>1843</v>
      </c>
      <c r="H279" s="49" t="s">
        <v>1762</v>
      </c>
    </row>
    <row r="280" spans="1:8">
      <c r="A280" s="47"/>
      <c r="B280" s="47">
        <v>21</v>
      </c>
      <c r="C280" s="47">
        <v>1</v>
      </c>
      <c r="D280" s="48">
        <v>11122102</v>
      </c>
      <c r="E280" s="47" t="s">
        <v>1254</v>
      </c>
      <c r="F280" s="47">
        <v>1010530002</v>
      </c>
      <c r="G280" s="47" t="s">
        <v>1844</v>
      </c>
      <c r="H280" s="49" t="s">
        <v>1762</v>
      </c>
    </row>
    <row r="281" spans="1:8">
      <c r="A281" s="47"/>
      <c r="B281" s="47">
        <v>22</v>
      </c>
      <c r="C281" s="47">
        <v>1</v>
      </c>
      <c r="D281" s="48">
        <v>11122202</v>
      </c>
      <c r="E281" s="47" t="s">
        <v>1255</v>
      </c>
      <c r="F281" s="47">
        <v>1010530002</v>
      </c>
      <c r="G281" s="47" t="s">
        <v>1844</v>
      </c>
      <c r="H281" s="49" t="s">
        <v>1762</v>
      </c>
    </row>
    <row r="282" spans="1:8">
      <c r="A282" s="47"/>
      <c r="B282" s="47">
        <v>23</v>
      </c>
      <c r="C282" s="47">
        <v>1</v>
      </c>
      <c r="D282" s="48">
        <v>11122302</v>
      </c>
      <c r="E282" s="47" t="s">
        <v>1256</v>
      </c>
      <c r="F282" s="47">
        <v>1010530002</v>
      </c>
      <c r="G282" s="47" t="s">
        <v>1844</v>
      </c>
      <c r="H282" s="49" t="s">
        <v>1762</v>
      </c>
    </row>
    <row r="283" spans="1:8">
      <c r="A283" s="47"/>
      <c r="B283" s="47">
        <v>24</v>
      </c>
      <c r="C283" s="47">
        <v>1</v>
      </c>
      <c r="D283" s="48">
        <v>11122402</v>
      </c>
      <c r="E283" s="47" t="s">
        <v>1257</v>
      </c>
      <c r="F283" s="47">
        <v>1010530002</v>
      </c>
      <c r="G283" s="47" t="s">
        <v>1844</v>
      </c>
      <c r="H283" s="49" t="s">
        <v>1762</v>
      </c>
    </row>
    <row r="284" spans="1:8">
      <c r="A284" s="47"/>
      <c r="B284" s="47">
        <v>25</v>
      </c>
      <c r="C284" s="47">
        <v>1</v>
      </c>
      <c r="D284" s="48">
        <v>11122502</v>
      </c>
      <c r="E284" s="47" t="s">
        <v>1258</v>
      </c>
      <c r="F284" s="47">
        <v>1010530002</v>
      </c>
      <c r="G284" s="47" t="s">
        <v>1844</v>
      </c>
      <c r="H284" s="49" t="s">
        <v>1762</v>
      </c>
    </row>
    <row r="285" spans="1:8">
      <c r="A285" s="47"/>
      <c r="B285" s="47">
        <v>26</v>
      </c>
      <c r="C285" s="47">
        <v>1</v>
      </c>
      <c r="D285" s="48">
        <v>11122602</v>
      </c>
      <c r="E285" s="47" t="s">
        <v>1259</v>
      </c>
      <c r="F285" s="47">
        <v>1010530002</v>
      </c>
      <c r="G285" s="47" t="s">
        <v>1845</v>
      </c>
      <c r="H285" s="49" t="s">
        <v>1762</v>
      </c>
    </row>
    <row r="286" spans="1:8">
      <c r="A286" s="47"/>
      <c r="B286" s="47">
        <v>27</v>
      </c>
      <c r="C286" s="47">
        <v>1</v>
      </c>
      <c r="D286" s="48">
        <v>11122702</v>
      </c>
      <c r="E286" s="47" t="s">
        <v>1260</v>
      </c>
      <c r="F286" s="47">
        <v>1010530002</v>
      </c>
      <c r="G286" s="47" t="s">
        <v>1845</v>
      </c>
      <c r="H286" s="49" t="s">
        <v>1762</v>
      </c>
    </row>
    <row r="287" spans="1:8">
      <c r="A287" s="47"/>
      <c r="B287" s="47">
        <v>28</v>
      </c>
      <c r="C287" s="47">
        <v>1</v>
      </c>
      <c r="D287" s="48">
        <v>11122802</v>
      </c>
      <c r="E287" s="47" t="s">
        <v>1261</v>
      </c>
      <c r="F287" s="47">
        <v>1010530002</v>
      </c>
      <c r="G287" s="47" t="s">
        <v>1845</v>
      </c>
      <c r="H287" s="49" t="s">
        <v>1762</v>
      </c>
    </row>
    <row r="288" spans="1:8">
      <c r="A288" s="47"/>
      <c r="B288" s="47">
        <v>29</v>
      </c>
      <c r="C288" s="47">
        <v>1</v>
      </c>
      <c r="D288" s="48">
        <v>11122902</v>
      </c>
      <c r="E288" s="47" t="s">
        <v>1262</v>
      </c>
      <c r="F288" s="47">
        <v>1010530002</v>
      </c>
      <c r="G288" s="47" t="s">
        <v>1845</v>
      </c>
      <c r="H288" s="49" t="s">
        <v>1762</v>
      </c>
    </row>
    <row r="289" spans="1:8">
      <c r="A289" s="47"/>
      <c r="B289" s="47">
        <v>30</v>
      </c>
      <c r="C289" s="47">
        <v>1</v>
      </c>
      <c r="D289" s="48">
        <v>11123002</v>
      </c>
      <c r="E289" s="47" t="s">
        <v>1263</v>
      </c>
      <c r="F289" s="47">
        <v>1010530002</v>
      </c>
      <c r="G289" s="47" t="s">
        <v>1845</v>
      </c>
      <c r="H289" s="49" t="s">
        <v>1762</v>
      </c>
    </row>
    <row r="290" spans="1:8">
      <c r="A290" s="47"/>
      <c r="B290" s="47">
        <v>31</v>
      </c>
      <c r="C290" s="47">
        <v>1</v>
      </c>
      <c r="D290" s="48">
        <v>11123102</v>
      </c>
      <c r="E290" s="47" t="s">
        <v>1264</v>
      </c>
      <c r="F290" s="47">
        <v>1010530002</v>
      </c>
      <c r="G290" s="47" t="s">
        <v>1846</v>
      </c>
      <c r="H290" s="49" t="s">
        <v>1763</v>
      </c>
    </row>
    <row r="291" spans="1:8">
      <c r="A291" s="47"/>
      <c r="B291" s="47">
        <v>32</v>
      </c>
      <c r="C291" s="47">
        <v>1</v>
      </c>
      <c r="D291" s="48">
        <v>11123202</v>
      </c>
      <c r="E291" s="47" t="s">
        <v>1265</v>
      </c>
      <c r="F291" s="47">
        <v>1010530002</v>
      </c>
      <c r="G291" s="47" t="s">
        <v>1846</v>
      </c>
      <c r="H291" s="49" t="s">
        <v>1763</v>
      </c>
    </row>
    <row r="292" spans="1:8">
      <c r="A292" s="47"/>
      <c r="B292" s="47">
        <v>33</v>
      </c>
      <c r="C292" s="47">
        <v>1</v>
      </c>
      <c r="D292" s="48">
        <v>11123302</v>
      </c>
      <c r="E292" s="47" t="s">
        <v>1266</v>
      </c>
      <c r="F292" s="47">
        <v>1010530002</v>
      </c>
      <c r="G292" s="47" t="s">
        <v>1846</v>
      </c>
      <c r="H292" s="49" t="s">
        <v>1763</v>
      </c>
    </row>
    <row r="293" spans="1:8">
      <c r="A293" s="47"/>
      <c r="B293" s="47">
        <v>34</v>
      </c>
      <c r="C293" s="47">
        <v>1</v>
      </c>
      <c r="D293" s="48">
        <v>11123402</v>
      </c>
      <c r="E293" s="47" t="s">
        <v>1267</v>
      </c>
      <c r="F293" s="47">
        <v>1010530002</v>
      </c>
      <c r="G293" s="47" t="s">
        <v>1846</v>
      </c>
      <c r="H293" s="49" t="s">
        <v>1763</v>
      </c>
    </row>
    <row r="294" spans="1:8">
      <c r="A294" s="47"/>
      <c r="B294" s="47">
        <v>35</v>
      </c>
      <c r="C294" s="47">
        <v>1</v>
      </c>
      <c r="D294" s="48">
        <v>11123502</v>
      </c>
      <c r="E294" s="47" t="s">
        <v>1268</v>
      </c>
      <c r="F294" s="47">
        <v>1010530002</v>
      </c>
      <c r="G294" s="47" t="s">
        <v>1846</v>
      </c>
      <c r="H294" s="49" t="s">
        <v>1763</v>
      </c>
    </row>
    <row r="295" spans="1:8">
      <c r="A295" s="47"/>
      <c r="B295" s="47">
        <v>36</v>
      </c>
      <c r="C295" s="47">
        <v>1</v>
      </c>
      <c r="D295" s="48">
        <v>11123602</v>
      </c>
      <c r="E295" s="47" t="s">
        <v>1269</v>
      </c>
      <c r="F295" s="47">
        <v>1010530002</v>
      </c>
      <c r="G295" s="47" t="s">
        <v>1847</v>
      </c>
      <c r="H295" s="49" t="s">
        <v>1763</v>
      </c>
    </row>
    <row r="296" spans="1:8">
      <c r="A296" s="47"/>
      <c r="B296" s="47">
        <v>37</v>
      </c>
      <c r="C296" s="47">
        <v>1</v>
      </c>
      <c r="D296" s="48">
        <v>11123702</v>
      </c>
      <c r="E296" s="47" t="s">
        <v>1270</v>
      </c>
      <c r="F296" s="47">
        <v>1010530002</v>
      </c>
      <c r="G296" s="47" t="s">
        <v>1847</v>
      </c>
      <c r="H296" s="49" t="s">
        <v>1763</v>
      </c>
    </row>
    <row r="297" spans="1:8">
      <c r="A297" s="47"/>
      <c r="B297" s="47">
        <v>38</v>
      </c>
      <c r="C297" s="47">
        <v>1</v>
      </c>
      <c r="D297" s="48">
        <v>11123802</v>
      </c>
      <c r="E297" s="47" t="s">
        <v>1271</v>
      </c>
      <c r="F297" s="47">
        <v>1010530002</v>
      </c>
      <c r="G297" s="47" t="s">
        <v>1847</v>
      </c>
      <c r="H297" s="49" t="s">
        <v>1763</v>
      </c>
    </row>
    <row r="298" spans="1:8">
      <c r="A298" s="47"/>
      <c r="B298" s="47">
        <v>39</v>
      </c>
      <c r="C298" s="47">
        <v>1</v>
      </c>
      <c r="D298" s="48">
        <v>11123902</v>
      </c>
      <c r="E298" s="47" t="s">
        <v>1272</v>
      </c>
      <c r="F298" s="47">
        <v>1010530002</v>
      </c>
      <c r="G298" s="47" t="s">
        <v>1847</v>
      </c>
      <c r="H298" s="49" t="s">
        <v>1763</v>
      </c>
    </row>
    <row r="299" spans="1:8">
      <c r="A299" s="47"/>
      <c r="B299" s="47">
        <v>40</v>
      </c>
      <c r="C299" s="47">
        <v>1</v>
      </c>
      <c r="D299" s="48">
        <v>11124002</v>
      </c>
      <c r="E299" s="47" t="s">
        <v>1273</v>
      </c>
      <c r="F299" s="47">
        <v>1010530002</v>
      </c>
      <c r="G299" s="47" t="s">
        <v>1847</v>
      </c>
      <c r="H299" s="49" t="s">
        <v>1763</v>
      </c>
    </row>
    <row r="300" spans="1:8">
      <c r="A300" s="47"/>
      <c r="B300" s="47">
        <v>41</v>
      </c>
      <c r="C300" s="47">
        <v>1</v>
      </c>
      <c r="D300" s="48">
        <v>11124102</v>
      </c>
      <c r="E300" s="47" t="s">
        <v>1274</v>
      </c>
      <c r="F300" s="47">
        <v>1010530002</v>
      </c>
      <c r="G300" s="47" t="s">
        <v>1848</v>
      </c>
      <c r="H300" s="49" t="s">
        <v>1764</v>
      </c>
    </row>
    <row r="301" spans="1:8">
      <c r="A301" s="47"/>
      <c r="B301" s="47">
        <v>42</v>
      </c>
      <c r="C301" s="47">
        <v>1</v>
      </c>
      <c r="D301" s="48">
        <v>11124202</v>
      </c>
      <c r="E301" s="47" t="s">
        <v>1275</v>
      </c>
      <c r="F301" s="47">
        <v>1010530002</v>
      </c>
      <c r="G301" s="47" t="s">
        <v>1848</v>
      </c>
      <c r="H301" s="49" t="s">
        <v>1764</v>
      </c>
    </row>
    <row r="302" spans="1:8">
      <c r="A302" s="47"/>
      <c r="B302" s="47">
        <v>43</v>
      </c>
      <c r="C302" s="47">
        <v>1</v>
      </c>
      <c r="D302" s="48">
        <v>11124302</v>
      </c>
      <c r="E302" s="47" t="s">
        <v>1276</v>
      </c>
      <c r="F302" s="47">
        <v>1010530002</v>
      </c>
      <c r="G302" s="47" t="s">
        <v>1848</v>
      </c>
      <c r="H302" s="49" t="s">
        <v>1764</v>
      </c>
    </row>
    <row r="303" spans="1:8">
      <c r="A303" s="47"/>
      <c r="B303" s="47">
        <v>44</v>
      </c>
      <c r="C303" s="47">
        <v>1</v>
      </c>
      <c r="D303" s="48">
        <v>11124402</v>
      </c>
      <c r="E303" s="47" t="s">
        <v>1277</v>
      </c>
      <c r="F303" s="47">
        <v>1010530002</v>
      </c>
      <c r="G303" s="47" t="s">
        <v>1848</v>
      </c>
      <c r="H303" s="49" t="s">
        <v>1764</v>
      </c>
    </row>
    <row r="304" spans="1:8">
      <c r="A304" s="47"/>
      <c r="B304" s="47">
        <v>45</v>
      </c>
      <c r="C304" s="47">
        <v>1</v>
      </c>
      <c r="D304" s="48">
        <v>11124502</v>
      </c>
      <c r="E304" s="47" t="s">
        <v>1278</v>
      </c>
      <c r="F304" s="47">
        <v>1010530002</v>
      </c>
      <c r="G304" s="47" t="s">
        <v>1848</v>
      </c>
      <c r="H304" s="49" t="s">
        <v>1764</v>
      </c>
    </row>
    <row r="305" spans="1:8">
      <c r="A305" s="47"/>
      <c r="B305" s="47">
        <v>46</v>
      </c>
      <c r="C305" s="47">
        <v>1</v>
      </c>
      <c r="D305" s="48">
        <v>11124602</v>
      </c>
      <c r="E305" s="47" t="s">
        <v>1279</v>
      </c>
      <c r="F305" s="47">
        <v>1010530002</v>
      </c>
      <c r="G305" s="47" t="s">
        <v>1849</v>
      </c>
      <c r="H305" s="49" t="s">
        <v>1764</v>
      </c>
    </row>
    <row r="306" spans="1:8">
      <c r="A306" s="47"/>
      <c r="B306" s="47">
        <v>47</v>
      </c>
      <c r="C306" s="47">
        <v>1</v>
      </c>
      <c r="D306" s="48">
        <v>11124702</v>
      </c>
      <c r="E306" s="47" t="s">
        <v>1280</v>
      </c>
      <c r="F306" s="47">
        <v>1010530002</v>
      </c>
      <c r="G306" s="47" t="s">
        <v>1849</v>
      </c>
      <c r="H306" s="49" t="s">
        <v>1764</v>
      </c>
    </row>
    <row r="307" spans="1:8">
      <c r="A307" s="47"/>
      <c r="B307" s="47">
        <v>48</v>
      </c>
      <c r="C307" s="47">
        <v>1</v>
      </c>
      <c r="D307" s="48">
        <v>11124802</v>
      </c>
      <c r="E307" s="47" t="s">
        <v>1281</v>
      </c>
      <c r="F307" s="47">
        <v>1010530002</v>
      </c>
      <c r="G307" s="47" t="s">
        <v>1849</v>
      </c>
      <c r="H307" s="49" t="s">
        <v>1764</v>
      </c>
    </row>
    <row r="308" spans="1:8">
      <c r="A308" s="47"/>
      <c r="B308" s="47">
        <v>49</v>
      </c>
      <c r="C308" s="47">
        <v>1</v>
      </c>
      <c r="D308" s="48">
        <v>11124902</v>
      </c>
      <c r="E308" s="47" t="s">
        <v>1282</v>
      </c>
      <c r="F308" s="47">
        <v>1010530002</v>
      </c>
      <c r="G308" s="47" t="s">
        <v>1849</v>
      </c>
      <c r="H308" s="49" t="s">
        <v>1764</v>
      </c>
    </row>
    <row r="309" spans="1:8">
      <c r="A309" s="47"/>
      <c r="B309" s="47">
        <v>50</v>
      </c>
      <c r="C309" s="47">
        <v>1</v>
      </c>
      <c r="D309" s="48">
        <v>11125002</v>
      </c>
      <c r="E309" s="47" t="s">
        <v>1283</v>
      </c>
      <c r="F309" s="47">
        <v>1010530002</v>
      </c>
      <c r="G309" s="47" t="s">
        <v>1849</v>
      </c>
      <c r="H309" s="49" t="s">
        <v>1764</v>
      </c>
    </row>
    <row r="310" spans="1:8">
      <c r="A310" s="36" t="s">
        <v>1182</v>
      </c>
      <c r="B310" s="36"/>
      <c r="C310" s="36"/>
      <c r="D310" s="36"/>
      <c r="E310" s="36"/>
      <c r="F310" s="36"/>
      <c r="G310" s="36"/>
      <c r="H310" s="36"/>
    </row>
    <row r="311" spans="1:8">
      <c r="A311" s="36"/>
      <c r="B311" s="36">
        <v>1</v>
      </c>
      <c r="C311" s="36">
        <v>1</v>
      </c>
      <c r="D311" s="37">
        <v>11120103</v>
      </c>
      <c r="E311" s="36" t="s">
        <v>1284</v>
      </c>
      <c r="F311" s="36"/>
      <c r="G311" s="36"/>
      <c r="H311" s="36"/>
    </row>
    <row r="312" spans="1:8">
      <c r="A312" s="36"/>
      <c r="B312" s="36">
        <v>2</v>
      </c>
      <c r="C312" s="36">
        <v>1</v>
      </c>
      <c r="D312" s="37">
        <v>11120203</v>
      </c>
      <c r="E312" s="36" t="s">
        <v>1285</v>
      </c>
      <c r="F312" s="36"/>
      <c r="G312" s="36"/>
      <c r="H312" s="36"/>
    </row>
    <row r="313" spans="1:8">
      <c r="A313" s="36"/>
      <c r="B313" s="36">
        <v>3</v>
      </c>
      <c r="C313" s="36">
        <v>1</v>
      </c>
      <c r="D313" s="37">
        <v>11120303</v>
      </c>
      <c r="E313" s="36" t="s">
        <v>1286</v>
      </c>
      <c r="F313" s="36"/>
      <c r="G313" s="36"/>
      <c r="H313" s="36"/>
    </row>
    <row r="314" spans="1:8">
      <c r="A314" s="36"/>
      <c r="B314" s="36">
        <v>4</v>
      </c>
      <c r="C314" s="36">
        <v>1</v>
      </c>
      <c r="D314" s="37">
        <v>11120403</v>
      </c>
      <c r="E314" s="36" t="s">
        <v>1287</v>
      </c>
      <c r="F314" s="36"/>
      <c r="G314" s="36"/>
      <c r="H314" s="36"/>
    </row>
    <row r="315" spans="1:8">
      <c r="A315" s="36"/>
      <c r="B315" s="36">
        <v>5</v>
      </c>
      <c r="C315" s="36">
        <v>1</v>
      </c>
      <c r="D315" s="37">
        <v>11120503</v>
      </c>
      <c r="E315" s="36" t="s">
        <v>1288</v>
      </c>
      <c r="F315" s="36"/>
      <c r="G315" s="36"/>
      <c r="H315" s="36"/>
    </row>
    <row r="316" spans="1:8">
      <c r="A316" s="36"/>
      <c r="B316" s="36">
        <v>6</v>
      </c>
      <c r="C316" s="36">
        <v>1</v>
      </c>
      <c r="D316" s="37">
        <v>11120603</v>
      </c>
      <c r="E316" s="36" t="s">
        <v>1289</v>
      </c>
      <c r="F316" s="36"/>
      <c r="G316" s="36"/>
      <c r="H316" s="36"/>
    </row>
    <row r="317" spans="1:8">
      <c r="A317" s="36"/>
      <c r="B317" s="36">
        <v>7</v>
      </c>
      <c r="C317" s="36">
        <v>1</v>
      </c>
      <c r="D317" s="37">
        <v>11120703</v>
      </c>
      <c r="E317" s="36" t="s">
        <v>1290</v>
      </c>
      <c r="F317" s="36"/>
      <c r="G317" s="36"/>
      <c r="H317" s="36"/>
    </row>
    <row r="318" spans="1:8">
      <c r="A318" s="36"/>
      <c r="B318" s="36">
        <v>8</v>
      </c>
      <c r="C318" s="36">
        <v>1</v>
      </c>
      <c r="D318" s="37">
        <v>11120803</v>
      </c>
      <c r="E318" s="36" t="s">
        <v>1291</v>
      </c>
      <c r="F318" s="36"/>
      <c r="G318" s="36"/>
      <c r="H318" s="36"/>
    </row>
    <row r="319" spans="1:8">
      <c r="A319" s="36"/>
      <c r="B319" s="36">
        <v>9</v>
      </c>
      <c r="C319" s="36">
        <v>1</v>
      </c>
      <c r="D319" s="37">
        <v>11120903</v>
      </c>
      <c r="E319" s="36" t="s">
        <v>1292</v>
      </c>
      <c r="F319" s="36"/>
      <c r="G319" s="36"/>
      <c r="H319" s="36"/>
    </row>
    <row r="320" spans="1:8">
      <c r="A320" s="36"/>
      <c r="B320" s="36">
        <v>10</v>
      </c>
      <c r="C320" s="36">
        <v>1</v>
      </c>
      <c r="D320" s="37">
        <v>11121003</v>
      </c>
      <c r="E320" s="36" t="s">
        <v>1293</v>
      </c>
      <c r="F320" s="36"/>
      <c r="G320" s="36"/>
      <c r="H320" s="36"/>
    </row>
    <row r="321" spans="1:8">
      <c r="A321" s="36"/>
      <c r="B321" s="36">
        <v>11</v>
      </c>
      <c r="C321" s="36">
        <v>1</v>
      </c>
      <c r="D321" s="37">
        <v>11121103</v>
      </c>
      <c r="E321" s="36" t="s">
        <v>1294</v>
      </c>
      <c r="F321" s="36">
        <v>1010720005</v>
      </c>
      <c r="G321" s="36" t="s">
        <v>1850</v>
      </c>
      <c r="H321" s="39" t="s">
        <v>1761</v>
      </c>
    </row>
    <row r="322" spans="1:8">
      <c r="A322" s="36"/>
      <c r="B322" s="36">
        <v>12</v>
      </c>
      <c r="C322" s="36">
        <v>1</v>
      </c>
      <c r="D322" s="37">
        <v>11121203</v>
      </c>
      <c r="E322" s="36" t="s">
        <v>1295</v>
      </c>
      <c r="F322" s="36">
        <v>1010720005</v>
      </c>
      <c r="G322" s="36" t="s">
        <v>1850</v>
      </c>
      <c r="H322" s="39" t="s">
        <v>1761</v>
      </c>
    </row>
    <row r="323" spans="1:8">
      <c r="A323" s="36"/>
      <c r="B323" s="36">
        <v>13</v>
      </c>
      <c r="C323" s="36">
        <v>1</v>
      </c>
      <c r="D323" s="37">
        <v>11121303</v>
      </c>
      <c r="E323" s="36" t="s">
        <v>1296</v>
      </c>
      <c r="F323" s="36">
        <v>1010720005</v>
      </c>
      <c r="G323" s="36" t="s">
        <v>1850</v>
      </c>
      <c r="H323" s="39" t="s">
        <v>1761</v>
      </c>
    </row>
    <row r="324" spans="1:8">
      <c r="A324" s="36"/>
      <c r="B324" s="36">
        <v>14</v>
      </c>
      <c r="C324" s="36">
        <v>1</v>
      </c>
      <c r="D324" s="37">
        <v>11121403</v>
      </c>
      <c r="E324" s="36" t="s">
        <v>1297</v>
      </c>
      <c r="F324" s="36">
        <v>1010720005</v>
      </c>
      <c r="G324" s="36" t="s">
        <v>1850</v>
      </c>
      <c r="H324" s="39" t="s">
        <v>1761</v>
      </c>
    </row>
    <row r="325" spans="1:8">
      <c r="A325" s="36"/>
      <c r="B325" s="36">
        <v>15</v>
      </c>
      <c r="C325" s="36">
        <v>1</v>
      </c>
      <c r="D325" s="37">
        <v>11121503</v>
      </c>
      <c r="E325" s="36" t="s">
        <v>1298</v>
      </c>
      <c r="F325" s="36">
        <v>1010720005</v>
      </c>
      <c r="G325" s="36" t="s">
        <v>1850</v>
      </c>
      <c r="H325" s="39" t="s">
        <v>1761</v>
      </c>
    </row>
    <row r="326" spans="1:8">
      <c r="A326" s="36"/>
      <c r="B326" s="36">
        <v>16</v>
      </c>
      <c r="C326" s="36">
        <v>1</v>
      </c>
      <c r="D326" s="37">
        <v>11121603</v>
      </c>
      <c r="E326" s="36" t="s">
        <v>1299</v>
      </c>
      <c r="F326" s="36">
        <v>1010720005</v>
      </c>
      <c r="G326" s="36" t="s">
        <v>1851</v>
      </c>
      <c r="H326" s="39" t="s">
        <v>1761</v>
      </c>
    </row>
    <row r="327" spans="1:8">
      <c r="A327" s="36"/>
      <c r="B327" s="36">
        <v>17</v>
      </c>
      <c r="C327" s="36">
        <v>1</v>
      </c>
      <c r="D327" s="37">
        <v>11121703</v>
      </c>
      <c r="E327" s="36" t="s">
        <v>1300</v>
      </c>
      <c r="F327" s="36">
        <v>1010720005</v>
      </c>
      <c r="G327" s="36" t="s">
        <v>1851</v>
      </c>
      <c r="H327" s="39" t="s">
        <v>1761</v>
      </c>
    </row>
    <row r="328" spans="1:8">
      <c r="A328" s="36"/>
      <c r="B328" s="36">
        <v>18</v>
      </c>
      <c r="C328" s="36">
        <v>1</v>
      </c>
      <c r="D328" s="37">
        <v>11121803</v>
      </c>
      <c r="E328" s="36" t="s">
        <v>1301</v>
      </c>
      <c r="F328" s="36">
        <v>1010720005</v>
      </c>
      <c r="G328" s="36" t="s">
        <v>1851</v>
      </c>
      <c r="H328" s="39" t="s">
        <v>1761</v>
      </c>
    </row>
    <row r="329" spans="1:8">
      <c r="A329" s="36"/>
      <c r="B329" s="36">
        <v>19</v>
      </c>
      <c r="C329" s="36">
        <v>1</v>
      </c>
      <c r="D329" s="37">
        <v>11121903</v>
      </c>
      <c r="E329" s="36" t="s">
        <v>1302</v>
      </c>
      <c r="F329" s="36">
        <v>1010720005</v>
      </c>
      <c r="G329" s="36" t="s">
        <v>1851</v>
      </c>
      <c r="H329" s="39" t="s">
        <v>1761</v>
      </c>
    </row>
    <row r="330" spans="1:8">
      <c r="A330" s="36"/>
      <c r="B330" s="36">
        <v>20</v>
      </c>
      <c r="C330" s="36">
        <v>1</v>
      </c>
      <c r="D330" s="37">
        <v>11122003</v>
      </c>
      <c r="E330" s="36" t="s">
        <v>1303</v>
      </c>
      <c r="F330" s="36">
        <v>1010720005</v>
      </c>
      <c r="G330" s="36" t="s">
        <v>1851</v>
      </c>
      <c r="H330" s="39" t="s">
        <v>1762</v>
      </c>
    </row>
    <row r="331" spans="1:8">
      <c r="A331" s="36"/>
      <c r="B331" s="36">
        <v>21</v>
      </c>
      <c r="C331" s="36">
        <v>1</v>
      </c>
      <c r="D331" s="37">
        <v>11122103</v>
      </c>
      <c r="E331" s="36" t="s">
        <v>1304</v>
      </c>
      <c r="F331" s="36">
        <v>1010720005</v>
      </c>
      <c r="G331" s="36" t="s">
        <v>1852</v>
      </c>
      <c r="H331" s="39" t="s">
        <v>1762</v>
      </c>
    </row>
    <row r="332" spans="1:8">
      <c r="A332" s="36"/>
      <c r="B332" s="36">
        <v>22</v>
      </c>
      <c r="C332" s="36">
        <v>1</v>
      </c>
      <c r="D332" s="37">
        <v>11122203</v>
      </c>
      <c r="E332" s="36" t="s">
        <v>1305</v>
      </c>
      <c r="F332" s="36">
        <v>1010720005</v>
      </c>
      <c r="G332" s="36" t="s">
        <v>1852</v>
      </c>
      <c r="H332" s="39" t="s">
        <v>1762</v>
      </c>
    </row>
    <row r="333" spans="1:8">
      <c r="A333" s="36"/>
      <c r="B333" s="36">
        <v>23</v>
      </c>
      <c r="C333" s="36">
        <v>1</v>
      </c>
      <c r="D333" s="37">
        <v>11122303</v>
      </c>
      <c r="E333" s="36" t="s">
        <v>1306</v>
      </c>
      <c r="F333" s="36">
        <v>1010720005</v>
      </c>
      <c r="G333" s="36" t="s">
        <v>1852</v>
      </c>
      <c r="H333" s="39" t="s">
        <v>1762</v>
      </c>
    </row>
    <row r="334" spans="1:8">
      <c r="A334" s="36"/>
      <c r="B334" s="36">
        <v>24</v>
      </c>
      <c r="C334" s="36">
        <v>1</v>
      </c>
      <c r="D334" s="37">
        <v>11122403</v>
      </c>
      <c r="E334" s="36" t="s">
        <v>1307</v>
      </c>
      <c r="F334" s="36">
        <v>1010720005</v>
      </c>
      <c r="G334" s="36" t="s">
        <v>1852</v>
      </c>
      <c r="H334" s="39" t="s">
        <v>1762</v>
      </c>
    </row>
    <row r="335" spans="1:8">
      <c r="A335" s="36"/>
      <c r="B335" s="36">
        <v>25</v>
      </c>
      <c r="C335" s="36">
        <v>1</v>
      </c>
      <c r="D335" s="37">
        <v>11122503</v>
      </c>
      <c r="E335" s="36" t="s">
        <v>1308</v>
      </c>
      <c r="F335" s="36">
        <v>1010720005</v>
      </c>
      <c r="G335" s="36" t="s">
        <v>1852</v>
      </c>
      <c r="H335" s="39" t="s">
        <v>1762</v>
      </c>
    </row>
    <row r="336" spans="1:8">
      <c r="A336" s="36"/>
      <c r="B336" s="36">
        <v>26</v>
      </c>
      <c r="C336" s="36">
        <v>1</v>
      </c>
      <c r="D336" s="37">
        <v>11122603</v>
      </c>
      <c r="E336" s="36" t="s">
        <v>1309</v>
      </c>
      <c r="F336" s="36">
        <v>1010720005</v>
      </c>
      <c r="G336" s="36" t="s">
        <v>1853</v>
      </c>
      <c r="H336" s="39" t="s">
        <v>1762</v>
      </c>
    </row>
    <row r="337" spans="1:8">
      <c r="A337" s="36"/>
      <c r="B337" s="36">
        <v>27</v>
      </c>
      <c r="C337" s="36">
        <v>1</v>
      </c>
      <c r="D337" s="37">
        <v>11122703</v>
      </c>
      <c r="E337" s="36" t="s">
        <v>1310</v>
      </c>
      <c r="F337" s="36">
        <v>1010720005</v>
      </c>
      <c r="G337" s="36" t="s">
        <v>1853</v>
      </c>
      <c r="H337" s="39" t="s">
        <v>1762</v>
      </c>
    </row>
    <row r="338" spans="1:8">
      <c r="A338" s="36"/>
      <c r="B338" s="36">
        <v>28</v>
      </c>
      <c r="C338" s="36">
        <v>1</v>
      </c>
      <c r="D338" s="37">
        <v>11122803</v>
      </c>
      <c r="E338" s="36" t="s">
        <v>1311</v>
      </c>
      <c r="F338" s="36">
        <v>1010720005</v>
      </c>
      <c r="G338" s="36" t="s">
        <v>1853</v>
      </c>
      <c r="H338" s="39" t="s">
        <v>1762</v>
      </c>
    </row>
    <row r="339" spans="1:8">
      <c r="A339" s="36"/>
      <c r="B339" s="36">
        <v>29</v>
      </c>
      <c r="C339" s="36">
        <v>1</v>
      </c>
      <c r="D339" s="37">
        <v>11122903</v>
      </c>
      <c r="E339" s="36" t="s">
        <v>1312</v>
      </c>
      <c r="F339" s="36">
        <v>1010720005</v>
      </c>
      <c r="G339" s="36" t="s">
        <v>1853</v>
      </c>
      <c r="H339" s="39" t="s">
        <v>1762</v>
      </c>
    </row>
    <row r="340" spans="1:8">
      <c r="A340" s="36"/>
      <c r="B340" s="36">
        <v>30</v>
      </c>
      <c r="C340" s="36">
        <v>1</v>
      </c>
      <c r="D340" s="37">
        <v>11123003</v>
      </c>
      <c r="E340" s="36" t="s">
        <v>1313</v>
      </c>
      <c r="F340" s="36">
        <v>1010720005</v>
      </c>
      <c r="G340" s="36" t="s">
        <v>1853</v>
      </c>
      <c r="H340" s="39" t="s">
        <v>1762</v>
      </c>
    </row>
    <row r="341" spans="1:8">
      <c r="A341" s="36"/>
      <c r="B341" s="36">
        <v>31</v>
      </c>
      <c r="C341" s="36">
        <v>1</v>
      </c>
      <c r="D341" s="37">
        <v>11123103</v>
      </c>
      <c r="E341" s="36" t="s">
        <v>1314</v>
      </c>
      <c r="F341" s="36">
        <v>1010720005</v>
      </c>
      <c r="G341" s="36" t="s">
        <v>1854</v>
      </c>
      <c r="H341" s="39" t="s">
        <v>1763</v>
      </c>
    </row>
    <row r="342" spans="1:8">
      <c r="A342" s="36"/>
      <c r="B342" s="36">
        <v>32</v>
      </c>
      <c r="C342" s="36">
        <v>1</v>
      </c>
      <c r="D342" s="37">
        <v>11123203</v>
      </c>
      <c r="E342" s="36" t="s">
        <v>1315</v>
      </c>
      <c r="F342" s="36">
        <v>1010720005</v>
      </c>
      <c r="G342" s="36" t="s">
        <v>1854</v>
      </c>
      <c r="H342" s="39" t="s">
        <v>1763</v>
      </c>
    </row>
    <row r="343" spans="1:8">
      <c r="A343" s="36"/>
      <c r="B343" s="36">
        <v>33</v>
      </c>
      <c r="C343" s="36">
        <v>1</v>
      </c>
      <c r="D343" s="37">
        <v>11123303</v>
      </c>
      <c r="E343" s="36" t="s">
        <v>1316</v>
      </c>
      <c r="F343" s="36">
        <v>1010720005</v>
      </c>
      <c r="G343" s="36" t="s">
        <v>1854</v>
      </c>
      <c r="H343" s="39" t="s">
        <v>1763</v>
      </c>
    </row>
    <row r="344" spans="1:8">
      <c r="A344" s="36"/>
      <c r="B344" s="36">
        <v>34</v>
      </c>
      <c r="C344" s="36">
        <v>1</v>
      </c>
      <c r="D344" s="37">
        <v>11123403</v>
      </c>
      <c r="E344" s="36" t="s">
        <v>1317</v>
      </c>
      <c r="F344" s="36">
        <v>1010720005</v>
      </c>
      <c r="G344" s="36" t="s">
        <v>1854</v>
      </c>
      <c r="H344" s="39" t="s">
        <v>1763</v>
      </c>
    </row>
    <row r="345" spans="1:8">
      <c r="A345" s="36"/>
      <c r="B345" s="36">
        <v>35</v>
      </c>
      <c r="C345" s="36">
        <v>1</v>
      </c>
      <c r="D345" s="37">
        <v>11123503</v>
      </c>
      <c r="E345" s="36" t="s">
        <v>1318</v>
      </c>
      <c r="F345" s="36">
        <v>1010720005</v>
      </c>
      <c r="G345" s="36" t="s">
        <v>1854</v>
      </c>
      <c r="H345" s="39" t="s">
        <v>1763</v>
      </c>
    </row>
    <row r="346" spans="1:8">
      <c r="A346" s="36"/>
      <c r="B346" s="36">
        <v>36</v>
      </c>
      <c r="C346" s="36">
        <v>1</v>
      </c>
      <c r="D346" s="37">
        <v>11123603</v>
      </c>
      <c r="E346" s="36" t="s">
        <v>1319</v>
      </c>
      <c r="F346" s="36">
        <v>1010720005</v>
      </c>
      <c r="G346" s="36" t="s">
        <v>1855</v>
      </c>
      <c r="H346" s="39" t="s">
        <v>1763</v>
      </c>
    </row>
    <row r="347" spans="1:8">
      <c r="A347" s="36"/>
      <c r="B347" s="36">
        <v>37</v>
      </c>
      <c r="C347" s="36">
        <v>1</v>
      </c>
      <c r="D347" s="37">
        <v>11123703</v>
      </c>
      <c r="E347" s="36" t="s">
        <v>1320</v>
      </c>
      <c r="F347" s="36">
        <v>1010720005</v>
      </c>
      <c r="G347" s="36" t="s">
        <v>1855</v>
      </c>
      <c r="H347" s="39" t="s">
        <v>1763</v>
      </c>
    </row>
    <row r="348" spans="1:8">
      <c r="A348" s="36"/>
      <c r="B348" s="36">
        <v>38</v>
      </c>
      <c r="C348" s="36">
        <v>1</v>
      </c>
      <c r="D348" s="37">
        <v>11123803</v>
      </c>
      <c r="E348" s="36" t="s">
        <v>1321</v>
      </c>
      <c r="F348" s="36">
        <v>1010720005</v>
      </c>
      <c r="G348" s="36" t="s">
        <v>1855</v>
      </c>
      <c r="H348" s="39" t="s">
        <v>1763</v>
      </c>
    </row>
    <row r="349" spans="1:8">
      <c r="A349" s="36"/>
      <c r="B349" s="36">
        <v>39</v>
      </c>
      <c r="C349" s="36">
        <v>1</v>
      </c>
      <c r="D349" s="37">
        <v>11123903</v>
      </c>
      <c r="E349" s="36" t="s">
        <v>1322</v>
      </c>
      <c r="F349" s="36">
        <v>1010720005</v>
      </c>
      <c r="G349" s="36" t="s">
        <v>1855</v>
      </c>
      <c r="H349" s="39" t="s">
        <v>1763</v>
      </c>
    </row>
    <row r="350" spans="1:8">
      <c r="A350" s="36"/>
      <c r="B350" s="36">
        <v>40</v>
      </c>
      <c r="C350" s="36">
        <v>1</v>
      </c>
      <c r="D350" s="37">
        <v>11124003</v>
      </c>
      <c r="E350" s="36" t="s">
        <v>1323</v>
      </c>
      <c r="F350" s="36">
        <v>1010720005</v>
      </c>
      <c r="G350" s="36" t="s">
        <v>1855</v>
      </c>
      <c r="H350" s="39" t="s">
        <v>1763</v>
      </c>
    </row>
    <row r="351" spans="1:8">
      <c r="A351" s="36"/>
      <c r="B351" s="36">
        <v>41</v>
      </c>
      <c r="C351" s="36">
        <v>1</v>
      </c>
      <c r="D351" s="37">
        <v>11124103</v>
      </c>
      <c r="E351" s="36" t="s">
        <v>1324</v>
      </c>
      <c r="F351" s="36">
        <v>1010720005</v>
      </c>
      <c r="G351" s="36" t="s">
        <v>1856</v>
      </c>
      <c r="H351" s="39" t="s">
        <v>1764</v>
      </c>
    </row>
    <row r="352" spans="1:8">
      <c r="A352" s="36"/>
      <c r="B352" s="36">
        <v>42</v>
      </c>
      <c r="C352" s="36">
        <v>1</v>
      </c>
      <c r="D352" s="37">
        <v>11124203</v>
      </c>
      <c r="E352" s="36" t="s">
        <v>1325</v>
      </c>
      <c r="F352" s="36">
        <v>1010720005</v>
      </c>
      <c r="G352" s="36" t="s">
        <v>1856</v>
      </c>
      <c r="H352" s="39" t="s">
        <v>1764</v>
      </c>
    </row>
    <row r="353" spans="1:8">
      <c r="A353" s="36"/>
      <c r="B353" s="36">
        <v>43</v>
      </c>
      <c r="C353" s="36">
        <v>1</v>
      </c>
      <c r="D353" s="37">
        <v>11124303</v>
      </c>
      <c r="E353" s="36" t="s">
        <v>1326</v>
      </c>
      <c r="F353" s="36">
        <v>1010720005</v>
      </c>
      <c r="G353" s="36" t="s">
        <v>1856</v>
      </c>
      <c r="H353" s="39" t="s">
        <v>1764</v>
      </c>
    </row>
    <row r="354" spans="1:8">
      <c r="A354" s="36"/>
      <c r="B354" s="36">
        <v>44</v>
      </c>
      <c r="C354" s="36">
        <v>1</v>
      </c>
      <c r="D354" s="37">
        <v>11124403</v>
      </c>
      <c r="E354" s="36" t="s">
        <v>1327</v>
      </c>
      <c r="F354" s="36">
        <v>1010720005</v>
      </c>
      <c r="G354" s="36" t="s">
        <v>1856</v>
      </c>
      <c r="H354" s="39" t="s">
        <v>1764</v>
      </c>
    </row>
    <row r="355" spans="1:8">
      <c r="A355" s="36"/>
      <c r="B355" s="36">
        <v>45</v>
      </c>
      <c r="C355" s="36">
        <v>1</v>
      </c>
      <c r="D355" s="37">
        <v>11124503</v>
      </c>
      <c r="E355" s="36" t="s">
        <v>1328</v>
      </c>
      <c r="F355" s="36">
        <v>1010720005</v>
      </c>
      <c r="G355" s="36" t="s">
        <v>1856</v>
      </c>
      <c r="H355" s="39" t="s">
        <v>1764</v>
      </c>
    </row>
    <row r="356" spans="1:8">
      <c r="A356" s="36"/>
      <c r="B356" s="36">
        <v>46</v>
      </c>
      <c r="C356" s="36">
        <v>1</v>
      </c>
      <c r="D356" s="37">
        <v>11124603</v>
      </c>
      <c r="E356" s="36" t="s">
        <v>1329</v>
      </c>
      <c r="F356" s="36">
        <v>1010720005</v>
      </c>
      <c r="G356" s="36" t="s">
        <v>1857</v>
      </c>
      <c r="H356" s="39" t="s">
        <v>1764</v>
      </c>
    </row>
    <row r="357" spans="1:8">
      <c r="A357" s="36"/>
      <c r="B357" s="36">
        <v>47</v>
      </c>
      <c r="C357" s="36">
        <v>1</v>
      </c>
      <c r="D357" s="37">
        <v>11124703</v>
      </c>
      <c r="E357" s="36" t="s">
        <v>1330</v>
      </c>
      <c r="F357" s="36">
        <v>1010720005</v>
      </c>
      <c r="G357" s="36" t="s">
        <v>1857</v>
      </c>
      <c r="H357" s="39" t="s">
        <v>1764</v>
      </c>
    </row>
    <row r="358" spans="1:8">
      <c r="A358" s="36"/>
      <c r="B358" s="36">
        <v>48</v>
      </c>
      <c r="C358" s="36">
        <v>1</v>
      </c>
      <c r="D358" s="37">
        <v>11124803</v>
      </c>
      <c r="E358" s="36" t="s">
        <v>1331</v>
      </c>
      <c r="F358" s="36">
        <v>1010720005</v>
      </c>
      <c r="G358" s="36" t="s">
        <v>1857</v>
      </c>
      <c r="H358" s="39" t="s">
        <v>1764</v>
      </c>
    </row>
    <row r="359" spans="1:8">
      <c r="A359" s="36"/>
      <c r="B359" s="36">
        <v>49</v>
      </c>
      <c r="C359" s="36">
        <v>1</v>
      </c>
      <c r="D359" s="37">
        <v>11124903</v>
      </c>
      <c r="E359" s="36" t="s">
        <v>1768</v>
      </c>
      <c r="F359" s="36">
        <v>1010720005</v>
      </c>
      <c r="G359" s="36" t="s">
        <v>1857</v>
      </c>
      <c r="H359" s="39" t="s">
        <v>1764</v>
      </c>
    </row>
    <row r="360" spans="1:8">
      <c r="A360" s="36"/>
      <c r="B360" s="36">
        <v>50</v>
      </c>
      <c r="C360" s="36">
        <v>1</v>
      </c>
      <c r="D360" s="37">
        <v>11125003</v>
      </c>
      <c r="E360" s="36" t="s">
        <v>1769</v>
      </c>
      <c r="F360" s="36">
        <v>1010720005</v>
      </c>
      <c r="G360" s="36" t="s">
        <v>1857</v>
      </c>
      <c r="H360" s="39" t="s">
        <v>1764</v>
      </c>
    </row>
    <row r="361" spans="1:8">
      <c r="A361" s="47" t="s">
        <v>1183</v>
      </c>
      <c r="B361" s="47"/>
      <c r="C361" s="47"/>
      <c r="D361" s="47"/>
      <c r="E361" s="47"/>
      <c r="F361" s="47"/>
      <c r="G361" s="47"/>
      <c r="H361" s="47"/>
    </row>
    <row r="362" spans="1:8">
      <c r="A362" s="47"/>
      <c r="B362" s="47">
        <v>1</v>
      </c>
      <c r="C362" s="47">
        <v>1</v>
      </c>
      <c r="D362" s="48">
        <v>11120104</v>
      </c>
      <c r="E362" s="47" t="s">
        <v>1332</v>
      </c>
      <c r="F362" s="47"/>
      <c r="G362" s="47"/>
      <c r="H362" s="47"/>
    </row>
    <row r="363" spans="1:8">
      <c r="A363" s="47"/>
      <c r="B363" s="47">
        <v>2</v>
      </c>
      <c r="C363" s="47">
        <v>1</v>
      </c>
      <c r="D363" s="48">
        <v>11120204</v>
      </c>
      <c r="E363" s="47" t="s">
        <v>1333</v>
      </c>
      <c r="F363" s="47"/>
      <c r="G363" s="47"/>
      <c r="H363" s="47"/>
    </row>
    <row r="364" spans="1:8">
      <c r="A364" s="47"/>
      <c r="B364" s="47">
        <v>3</v>
      </c>
      <c r="C364" s="47">
        <v>1</v>
      </c>
      <c r="D364" s="48">
        <v>11120304</v>
      </c>
      <c r="E364" s="47" t="s">
        <v>1334</v>
      </c>
      <c r="F364" s="47"/>
      <c r="G364" s="47"/>
      <c r="H364" s="47"/>
    </row>
    <row r="365" spans="1:8">
      <c r="A365" s="47"/>
      <c r="B365" s="47">
        <v>4</v>
      </c>
      <c r="C365" s="47">
        <v>1</v>
      </c>
      <c r="D365" s="48">
        <v>11120404</v>
      </c>
      <c r="E365" s="47" t="s">
        <v>1335</v>
      </c>
      <c r="F365" s="47"/>
      <c r="G365" s="47"/>
      <c r="H365" s="47"/>
    </row>
    <row r="366" spans="1:8">
      <c r="A366" s="47"/>
      <c r="B366" s="47">
        <v>5</v>
      </c>
      <c r="C366" s="47">
        <v>1</v>
      </c>
      <c r="D366" s="48">
        <v>11120504</v>
      </c>
      <c r="E366" s="47" t="s">
        <v>1336</v>
      </c>
      <c r="F366" s="47"/>
      <c r="G366" s="47"/>
      <c r="H366" s="47"/>
    </row>
    <row r="367" spans="1:8">
      <c r="A367" s="47"/>
      <c r="B367" s="47">
        <v>6</v>
      </c>
      <c r="C367" s="47">
        <v>1</v>
      </c>
      <c r="D367" s="48">
        <v>11120604</v>
      </c>
      <c r="E367" s="47" t="s">
        <v>1337</v>
      </c>
      <c r="F367" s="47"/>
      <c r="G367" s="47"/>
      <c r="H367" s="47"/>
    </row>
    <row r="368" spans="1:8">
      <c r="A368" s="47"/>
      <c r="B368" s="47">
        <v>7</v>
      </c>
      <c r="C368" s="47">
        <v>1</v>
      </c>
      <c r="D368" s="48">
        <v>11120704</v>
      </c>
      <c r="E368" s="47" t="s">
        <v>1338</v>
      </c>
      <c r="F368" s="47"/>
      <c r="G368" s="47"/>
      <c r="H368" s="47"/>
    </row>
    <row r="369" spans="1:8">
      <c r="A369" s="47"/>
      <c r="B369" s="47">
        <v>8</v>
      </c>
      <c r="C369" s="47">
        <v>1</v>
      </c>
      <c r="D369" s="48">
        <v>11120804</v>
      </c>
      <c r="E369" s="47" t="s">
        <v>1339</v>
      </c>
      <c r="F369" s="47"/>
      <c r="G369" s="47"/>
      <c r="H369" s="47"/>
    </row>
    <row r="370" spans="1:8">
      <c r="A370" s="47"/>
      <c r="B370" s="47">
        <v>9</v>
      </c>
      <c r="C370" s="47">
        <v>1</v>
      </c>
      <c r="D370" s="48">
        <v>11120904</v>
      </c>
      <c r="E370" s="47" t="s">
        <v>1340</v>
      </c>
      <c r="F370" s="47"/>
      <c r="G370" s="47"/>
      <c r="H370" s="47"/>
    </row>
    <row r="371" spans="1:8">
      <c r="A371" s="47"/>
      <c r="B371" s="47">
        <v>10</v>
      </c>
      <c r="C371" s="47">
        <v>1</v>
      </c>
      <c r="D371" s="48">
        <v>11121004</v>
      </c>
      <c r="E371" s="47" t="s">
        <v>1341</v>
      </c>
      <c r="F371" s="47"/>
      <c r="G371" s="47"/>
      <c r="H371" s="47"/>
    </row>
    <row r="372" spans="1:8">
      <c r="A372" s="47"/>
      <c r="B372" s="47">
        <v>11</v>
      </c>
      <c r="C372" s="47">
        <v>1</v>
      </c>
      <c r="D372" s="48">
        <v>11121104</v>
      </c>
      <c r="E372" s="47" t="s">
        <v>1342</v>
      </c>
      <c r="F372" s="47">
        <v>1010740001</v>
      </c>
      <c r="G372" s="47" t="s">
        <v>1858</v>
      </c>
      <c r="H372" s="49" t="s">
        <v>1761</v>
      </c>
    </row>
    <row r="373" spans="1:8">
      <c r="A373" s="47"/>
      <c r="B373" s="47">
        <v>12</v>
      </c>
      <c r="C373" s="47">
        <v>1</v>
      </c>
      <c r="D373" s="48">
        <v>11121204</v>
      </c>
      <c r="E373" s="47" t="s">
        <v>1343</v>
      </c>
      <c r="F373" s="47">
        <v>1010740001</v>
      </c>
      <c r="G373" s="47" t="s">
        <v>1858</v>
      </c>
      <c r="H373" s="49" t="s">
        <v>1761</v>
      </c>
    </row>
    <row r="374" spans="1:8">
      <c r="A374" s="47"/>
      <c r="B374" s="47">
        <v>13</v>
      </c>
      <c r="C374" s="47">
        <v>1</v>
      </c>
      <c r="D374" s="48">
        <v>11121304</v>
      </c>
      <c r="E374" s="47" t="s">
        <v>1344</v>
      </c>
      <c r="F374" s="47">
        <v>1010740001</v>
      </c>
      <c r="G374" s="47" t="s">
        <v>1858</v>
      </c>
      <c r="H374" s="49" t="s">
        <v>1761</v>
      </c>
    </row>
    <row r="375" spans="1:8">
      <c r="A375" s="47"/>
      <c r="B375" s="47">
        <v>14</v>
      </c>
      <c r="C375" s="47">
        <v>1</v>
      </c>
      <c r="D375" s="48">
        <v>11121404</v>
      </c>
      <c r="E375" s="47" t="s">
        <v>1345</v>
      </c>
      <c r="F375" s="47">
        <v>1010740001</v>
      </c>
      <c r="G375" s="47" t="s">
        <v>1858</v>
      </c>
      <c r="H375" s="49" t="s">
        <v>1761</v>
      </c>
    </row>
    <row r="376" spans="1:8">
      <c r="A376" s="47"/>
      <c r="B376" s="47">
        <v>15</v>
      </c>
      <c r="C376" s="47">
        <v>1</v>
      </c>
      <c r="D376" s="48">
        <v>11121504</v>
      </c>
      <c r="E376" s="47" t="s">
        <v>1346</v>
      </c>
      <c r="F376" s="47">
        <v>1010740001</v>
      </c>
      <c r="G376" s="47" t="s">
        <v>1858</v>
      </c>
      <c r="H376" s="49" t="s">
        <v>1761</v>
      </c>
    </row>
    <row r="377" spans="1:8">
      <c r="A377" s="47"/>
      <c r="B377" s="47">
        <v>16</v>
      </c>
      <c r="C377" s="47">
        <v>1</v>
      </c>
      <c r="D377" s="48">
        <v>11121604</v>
      </c>
      <c r="E377" s="47" t="s">
        <v>1347</v>
      </c>
      <c r="F377" s="47">
        <v>1010740001</v>
      </c>
      <c r="G377" s="47" t="s">
        <v>1859</v>
      </c>
      <c r="H377" s="49" t="s">
        <v>1761</v>
      </c>
    </row>
    <row r="378" spans="1:8">
      <c r="A378" s="47"/>
      <c r="B378" s="47">
        <v>17</v>
      </c>
      <c r="C378" s="47">
        <v>1</v>
      </c>
      <c r="D378" s="48">
        <v>11121704</v>
      </c>
      <c r="E378" s="47" t="s">
        <v>1348</v>
      </c>
      <c r="F378" s="47">
        <v>1010740001</v>
      </c>
      <c r="G378" s="47" t="s">
        <v>1859</v>
      </c>
      <c r="H378" s="49" t="s">
        <v>1761</v>
      </c>
    </row>
    <row r="379" spans="1:8">
      <c r="A379" s="47"/>
      <c r="B379" s="47">
        <v>18</v>
      </c>
      <c r="C379" s="47">
        <v>1</v>
      </c>
      <c r="D379" s="48">
        <v>11121804</v>
      </c>
      <c r="E379" s="47" t="s">
        <v>1349</v>
      </c>
      <c r="F379" s="47">
        <v>1010740001</v>
      </c>
      <c r="G379" s="47" t="s">
        <v>1859</v>
      </c>
      <c r="H379" s="49" t="s">
        <v>1761</v>
      </c>
    </row>
    <row r="380" spans="1:8">
      <c r="A380" s="47"/>
      <c r="B380" s="47">
        <v>19</v>
      </c>
      <c r="C380" s="47">
        <v>1</v>
      </c>
      <c r="D380" s="48">
        <v>11121904</v>
      </c>
      <c r="E380" s="47" t="s">
        <v>1350</v>
      </c>
      <c r="F380" s="47">
        <v>1010740001</v>
      </c>
      <c r="G380" s="47" t="s">
        <v>1859</v>
      </c>
      <c r="H380" s="49" t="s">
        <v>1761</v>
      </c>
    </row>
    <row r="381" spans="1:8">
      <c r="A381" s="47"/>
      <c r="B381" s="47">
        <v>20</v>
      </c>
      <c r="C381" s="47">
        <v>1</v>
      </c>
      <c r="D381" s="48">
        <v>11122004</v>
      </c>
      <c r="E381" s="47" t="s">
        <v>1351</v>
      </c>
      <c r="F381" s="47">
        <v>1010740001</v>
      </c>
      <c r="G381" s="47" t="s">
        <v>1859</v>
      </c>
      <c r="H381" s="49" t="s">
        <v>1762</v>
      </c>
    </row>
    <row r="382" spans="1:8">
      <c r="A382" s="47"/>
      <c r="B382" s="47">
        <v>21</v>
      </c>
      <c r="C382" s="47">
        <v>1</v>
      </c>
      <c r="D382" s="48">
        <v>11122104</v>
      </c>
      <c r="E382" s="47" t="s">
        <v>1352</v>
      </c>
      <c r="F382" s="47">
        <v>1010740001</v>
      </c>
      <c r="G382" s="47" t="s">
        <v>1860</v>
      </c>
      <c r="H382" s="49" t="s">
        <v>1762</v>
      </c>
    </row>
    <row r="383" spans="1:8">
      <c r="A383" s="47"/>
      <c r="B383" s="47">
        <v>22</v>
      </c>
      <c r="C383" s="47">
        <v>1</v>
      </c>
      <c r="D383" s="48">
        <v>11122204</v>
      </c>
      <c r="E383" s="47" t="s">
        <v>1353</v>
      </c>
      <c r="F383" s="47">
        <v>1010740001</v>
      </c>
      <c r="G383" s="47" t="s">
        <v>1860</v>
      </c>
      <c r="H383" s="49" t="s">
        <v>1762</v>
      </c>
    </row>
    <row r="384" spans="1:8">
      <c r="A384" s="47"/>
      <c r="B384" s="47">
        <v>23</v>
      </c>
      <c r="C384" s="47">
        <v>1</v>
      </c>
      <c r="D384" s="48">
        <v>11122304</v>
      </c>
      <c r="E384" s="47" t="s">
        <v>1354</v>
      </c>
      <c r="F384" s="47">
        <v>1010740001</v>
      </c>
      <c r="G384" s="47" t="s">
        <v>1860</v>
      </c>
      <c r="H384" s="49" t="s">
        <v>1762</v>
      </c>
    </row>
    <row r="385" spans="1:8">
      <c r="A385" s="47"/>
      <c r="B385" s="47">
        <v>24</v>
      </c>
      <c r="C385" s="47">
        <v>1</v>
      </c>
      <c r="D385" s="48">
        <v>11122404</v>
      </c>
      <c r="E385" s="47" t="s">
        <v>1355</v>
      </c>
      <c r="F385" s="47">
        <v>1010740001</v>
      </c>
      <c r="G385" s="47" t="s">
        <v>1860</v>
      </c>
      <c r="H385" s="49" t="s">
        <v>1762</v>
      </c>
    </row>
    <row r="386" spans="1:8">
      <c r="A386" s="47"/>
      <c r="B386" s="47">
        <v>25</v>
      </c>
      <c r="C386" s="47">
        <v>1</v>
      </c>
      <c r="D386" s="48">
        <v>11122504</v>
      </c>
      <c r="E386" s="47" t="s">
        <v>1356</v>
      </c>
      <c r="F386" s="47">
        <v>1010740001</v>
      </c>
      <c r="G386" s="47" t="s">
        <v>1860</v>
      </c>
      <c r="H386" s="49" t="s">
        <v>1762</v>
      </c>
    </row>
    <row r="387" spans="1:8">
      <c r="A387" s="47"/>
      <c r="B387" s="47">
        <v>26</v>
      </c>
      <c r="C387" s="47">
        <v>1</v>
      </c>
      <c r="D387" s="48">
        <v>11122604</v>
      </c>
      <c r="E387" s="47" t="s">
        <v>1357</v>
      </c>
      <c r="F387" s="47">
        <v>1010740001</v>
      </c>
      <c r="G387" s="47" t="s">
        <v>1861</v>
      </c>
      <c r="H387" s="49" t="s">
        <v>1762</v>
      </c>
    </row>
    <row r="388" spans="1:8">
      <c r="A388" s="47"/>
      <c r="B388" s="47">
        <v>27</v>
      </c>
      <c r="C388" s="47">
        <v>1</v>
      </c>
      <c r="D388" s="48">
        <v>11122704</v>
      </c>
      <c r="E388" s="47" t="s">
        <v>1358</v>
      </c>
      <c r="F388" s="47">
        <v>1010740001</v>
      </c>
      <c r="G388" s="47" t="s">
        <v>1861</v>
      </c>
      <c r="H388" s="49" t="s">
        <v>1762</v>
      </c>
    </row>
    <row r="389" spans="1:8">
      <c r="A389" s="47"/>
      <c r="B389" s="47">
        <v>28</v>
      </c>
      <c r="C389" s="47">
        <v>1</v>
      </c>
      <c r="D389" s="48">
        <v>11122804</v>
      </c>
      <c r="E389" s="47" t="s">
        <v>1359</v>
      </c>
      <c r="F389" s="47">
        <v>1010740001</v>
      </c>
      <c r="G389" s="47" t="s">
        <v>1861</v>
      </c>
      <c r="H389" s="49" t="s">
        <v>1762</v>
      </c>
    </row>
    <row r="390" spans="1:8">
      <c r="A390" s="47"/>
      <c r="B390" s="47">
        <v>29</v>
      </c>
      <c r="C390" s="47">
        <v>1</v>
      </c>
      <c r="D390" s="48">
        <v>11122904</v>
      </c>
      <c r="E390" s="47" t="s">
        <v>1360</v>
      </c>
      <c r="F390" s="47">
        <v>1010740001</v>
      </c>
      <c r="G390" s="47" t="s">
        <v>1861</v>
      </c>
      <c r="H390" s="49" t="s">
        <v>1762</v>
      </c>
    </row>
    <row r="391" spans="1:8">
      <c r="A391" s="47"/>
      <c r="B391" s="47">
        <v>30</v>
      </c>
      <c r="C391" s="47">
        <v>1</v>
      </c>
      <c r="D391" s="48">
        <v>11123004</v>
      </c>
      <c r="E391" s="47" t="s">
        <v>1361</v>
      </c>
      <c r="F391" s="47">
        <v>1010740001</v>
      </c>
      <c r="G391" s="47" t="s">
        <v>1861</v>
      </c>
      <c r="H391" s="49" t="s">
        <v>1762</v>
      </c>
    </row>
    <row r="392" spans="1:8">
      <c r="A392" s="47"/>
      <c r="B392" s="47">
        <v>31</v>
      </c>
      <c r="C392" s="47">
        <v>1</v>
      </c>
      <c r="D392" s="48">
        <v>11123104</v>
      </c>
      <c r="E392" s="47" t="s">
        <v>1362</v>
      </c>
      <c r="F392" s="47">
        <v>1010740001</v>
      </c>
      <c r="G392" s="47" t="s">
        <v>1862</v>
      </c>
      <c r="H392" s="49" t="s">
        <v>1763</v>
      </c>
    </row>
    <row r="393" spans="1:8">
      <c r="A393" s="47"/>
      <c r="B393" s="47">
        <v>32</v>
      </c>
      <c r="C393" s="47">
        <v>1</v>
      </c>
      <c r="D393" s="48">
        <v>11123204</v>
      </c>
      <c r="E393" s="47" t="s">
        <v>1363</v>
      </c>
      <c r="F393" s="47">
        <v>1010740001</v>
      </c>
      <c r="G393" s="47" t="s">
        <v>1862</v>
      </c>
      <c r="H393" s="49" t="s">
        <v>1763</v>
      </c>
    </row>
    <row r="394" spans="1:8">
      <c r="A394" s="47"/>
      <c r="B394" s="47">
        <v>33</v>
      </c>
      <c r="C394" s="47">
        <v>1</v>
      </c>
      <c r="D394" s="48">
        <v>11123304</v>
      </c>
      <c r="E394" s="47" t="s">
        <v>1364</v>
      </c>
      <c r="F394" s="47">
        <v>1010740001</v>
      </c>
      <c r="G394" s="47" t="s">
        <v>1862</v>
      </c>
      <c r="H394" s="49" t="s">
        <v>1763</v>
      </c>
    </row>
    <row r="395" spans="1:8">
      <c r="A395" s="47"/>
      <c r="B395" s="47">
        <v>34</v>
      </c>
      <c r="C395" s="47">
        <v>1</v>
      </c>
      <c r="D395" s="48">
        <v>11123404</v>
      </c>
      <c r="E395" s="47" t="s">
        <v>1365</v>
      </c>
      <c r="F395" s="47">
        <v>1010740001</v>
      </c>
      <c r="G395" s="47" t="s">
        <v>1862</v>
      </c>
      <c r="H395" s="49" t="s">
        <v>1763</v>
      </c>
    </row>
    <row r="396" spans="1:8">
      <c r="A396" s="47"/>
      <c r="B396" s="47">
        <v>35</v>
      </c>
      <c r="C396" s="47">
        <v>1</v>
      </c>
      <c r="D396" s="48">
        <v>11123504</v>
      </c>
      <c r="E396" s="47" t="s">
        <v>1366</v>
      </c>
      <c r="F396" s="47">
        <v>1010740001</v>
      </c>
      <c r="G396" s="47" t="s">
        <v>1862</v>
      </c>
      <c r="H396" s="49" t="s">
        <v>1763</v>
      </c>
    </row>
    <row r="397" spans="1:8">
      <c r="A397" s="47"/>
      <c r="B397" s="47">
        <v>36</v>
      </c>
      <c r="C397" s="47">
        <v>1</v>
      </c>
      <c r="D397" s="48">
        <v>11123604</v>
      </c>
      <c r="E397" s="47" t="s">
        <v>1367</v>
      </c>
      <c r="F397" s="47">
        <v>1010740001</v>
      </c>
      <c r="G397" s="47" t="s">
        <v>1863</v>
      </c>
      <c r="H397" s="49" t="s">
        <v>1763</v>
      </c>
    </row>
    <row r="398" spans="1:8">
      <c r="A398" s="47"/>
      <c r="B398" s="47">
        <v>37</v>
      </c>
      <c r="C398" s="47">
        <v>1</v>
      </c>
      <c r="D398" s="48">
        <v>11123704</v>
      </c>
      <c r="E398" s="47" t="s">
        <v>1368</v>
      </c>
      <c r="F398" s="47">
        <v>1010740001</v>
      </c>
      <c r="G398" s="47" t="s">
        <v>1863</v>
      </c>
      <c r="H398" s="49" t="s">
        <v>1763</v>
      </c>
    </row>
    <row r="399" spans="1:8">
      <c r="A399" s="47"/>
      <c r="B399" s="47">
        <v>38</v>
      </c>
      <c r="C399" s="47">
        <v>1</v>
      </c>
      <c r="D399" s="48">
        <v>11123804</v>
      </c>
      <c r="E399" s="47" t="s">
        <v>1369</v>
      </c>
      <c r="F399" s="47">
        <v>1010740001</v>
      </c>
      <c r="G399" s="47" t="s">
        <v>1863</v>
      </c>
      <c r="H399" s="49" t="s">
        <v>1763</v>
      </c>
    </row>
    <row r="400" spans="1:8">
      <c r="A400" s="47"/>
      <c r="B400" s="47">
        <v>39</v>
      </c>
      <c r="C400" s="47">
        <v>1</v>
      </c>
      <c r="D400" s="48">
        <v>11123904</v>
      </c>
      <c r="E400" s="47" t="s">
        <v>1370</v>
      </c>
      <c r="F400" s="47">
        <v>1010740001</v>
      </c>
      <c r="G400" s="47" t="s">
        <v>1863</v>
      </c>
      <c r="H400" s="49" t="s">
        <v>1763</v>
      </c>
    </row>
    <row r="401" spans="1:8">
      <c r="A401" s="47"/>
      <c r="B401" s="47">
        <v>40</v>
      </c>
      <c r="C401" s="47">
        <v>1</v>
      </c>
      <c r="D401" s="48">
        <v>11124004</v>
      </c>
      <c r="E401" s="47" t="s">
        <v>1371</v>
      </c>
      <c r="F401" s="47">
        <v>1010740001</v>
      </c>
      <c r="G401" s="47" t="s">
        <v>1863</v>
      </c>
      <c r="H401" s="49" t="s">
        <v>1763</v>
      </c>
    </row>
    <row r="402" spans="1:8">
      <c r="A402" s="47"/>
      <c r="B402" s="47">
        <v>41</v>
      </c>
      <c r="C402" s="47">
        <v>1</v>
      </c>
      <c r="D402" s="48">
        <v>11124104</v>
      </c>
      <c r="E402" s="47" t="s">
        <v>1372</v>
      </c>
      <c r="F402" s="47">
        <v>1010740001</v>
      </c>
      <c r="G402" s="47" t="s">
        <v>1864</v>
      </c>
      <c r="H402" s="49" t="s">
        <v>1764</v>
      </c>
    </row>
    <row r="403" spans="1:8">
      <c r="A403" s="47"/>
      <c r="B403" s="47">
        <v>42</v>
      </c>
      <c r="C403" s="47">
        <v>1</v>
      </c>
      <c r="D403" s="48">
        <v>11124204</v>
      </c>
      <c r="E403" s="47" t="s">
        <v>1373</v>
      </c>
      <c r="F403" s="47">
        <v>1010740001</v>
      </c>
      <c r="G403" s="47" t="s">
        <v>1864</v>
      </c>
      <c r="H403" s="49" t="s">
        <v>1764</v>
      </c>
    </row>
    <row r="404" spans="1:8">
      <c r="A404" s="47"/>
      <c r="B404" s="47">
        <v>43</v>
      </c>
      <c r="C404" s="47">
        <v>1</v>
      </c>
      <c r="D404" s="48">
        <v>11124304</v>
      </c>
      <c r="E404" s="47" t="s">
        <v>1374</v>
      </c>
      <c r="F404" s="47">
        <v>1010740001</v>
      </c>
      <c r="G404" s="47" t="s">
        <v>1864</v>
      </c>
      <c r="H404" s="49" t="s">
        <v>1764</v>
      </c>
    </row>
    <row r="405" spans="1:8">
      <c r="A405" s="47"/>
      <c r="B405" s="47">
        <v>44</v>
      </c>
      <c r="C405" s="47">
        <v>1</v>
      </c>
      <c r="D405" s="48">
        <v>11124404</v>
      </c>
      <c r="E405" s="47" t="s">
        <v>1375</v>
      </c>
      <c r="F405" s="47">
        <v>1010740001</v>
      </c>
      <c r="G405" s="47" t="s">
        <v>1864</v>
      </c>
      <c r="H405" s="49" t="s">
        <v>1764</v>
      </c>
    </row>
    <row r="406" spans="1:8">
      <c r="A406" s="47"/>
      <c r="B406" s="47">
        <v>45</v>
      </c>
      <c r="C406" s="47">
        <v>1</v>
      </c>
      <c r="D406" s="48">
        <v>11124504</v>
      </c>
      <c r="E406" s="47" t="s">
        <v>1376</v>
      </c>
      <c r="F406" s="47">
        <v>1010740001</v>
      </c>
      <c r="G406" s="47" t="s">
        <v>1864</v>
      </c>
      <c r="H406" s="49" t="s">
        <v>1764</v>
      </c>
    </row>
    <row r="407" spans="1:8">
      <c r="A407" s="47"/>
      <c r="B407" s="47">
        <v>46</v>
      </c>
      <c r="C407" s="47">
        <v>1</v>
      </c>
      <c r="D407" s="48">
        <v>11124604</v>
      </c>
      <c r="E407" s="47" t="s">
        <v>1377</v>
      </c>
      <c r="F407" s="47">
        <v>1010740001</v>
      </c>
      <c r="G407" s="47" t="s">
        <v>1865</v>
      </c>
      <c r="H407" s="49" t="s">
        <v>1764</v>
      </c>
    </row>
    <row r="408" spans="1:8">
      <c r="A408" s="47"/>
      <c r="B408" s="47">
        <v>47</v>
      </c>
      <c r="C408" s="47">
        <v>1</v>
      </c>
      <c r="D408" s="48">
        <v>11124704</v>
      </c>
      <c r="E408" s="47" t="s">
        <v>1378</v>
      </c>
      <c r="F408" s="47">
        <v>1010740001</v>
      </c>
      <c r="G408" s="47" t="s">
        <v>1865</v>
      </c>
      <c r="H408" s="49" t="s">
        <v>1764</v>
      </c>
    </row>
    <row r="409" spans="1:8">
      <c r="A409" s="47"/>
      <c r="B409" s="47">
        <v>48</v>
      </c>
      <c r="C409" s="47">
        <v>1</v>
      </c>
      <c r="D409" s="48">
        <v>11124804</v>
      </c>
      <c r="E409" s="47" t="s">
        <v>1379</v>
      </c>
      <c r="F409" s="47">
        <v>1010740001</v>
      </c>
      <c r="G409" s="47" t="s">
        <v>1865</v>
      </c>
      <c r="H409" s="49" t="s">
        <v>1764</v>
      </c>
    </row>
    <row r="410" spans="1:8">
      <c r="A410" s="47"/>
      <c r="B410" s="47">
        <v>49</v>
      </c>
      <c r="C410" s="47">
        <v>1</v>
      </c>
      <c r="D410" s="48">
        <v>11124904</v>
      </c>
      <c r="E410" s="47" t="s">
        <v>1380</v>
      </c>
      <c r="F410" s="47">
        <v>1010740001</v>
      </c>
      <c r="G410" s="47" t="s">
        <v>1865</v>
      </c>
      <c r="H410" s="49" t="s">
        <v>1764</v>
      </c>
    </row>
    <row r="411" spans="1:8">
      <c r="A411" s="47"/>
      <c r="B411" s="47">
        <v>50</v>
      </c>
      <c r="C411" s="47">
        <v>1</v>
      </c>
      <c r="D411" s="48">
        <v>11125004</v>
      </c>
      <c r="E411" s="47" t="s">
        <v>1381</v>
      </c>
      <c r="F411" s="47">
        <v>1010740001</v>
      </c>
      <c r="G411" s="47" t="s">
        <v>1865</v>
      </c>
      <c r="H411" s="49" t="s">
        <v>1764</v>
      </c>
    </row>
    <row r="412" spans="1:8">
      <c r="A412" s="50" t="s">
        <v>1582</v>
      </c>
      <c r="B412" s="50"/>
      <c r="C412" s="50"/>
      <c r="D412" s="50"/>
      <c r="E412" s="50"/>
      <c r="F412" s="50"/>
      <c r="G412" s="50"/>
      <c r="H412" s="50"/>
    </row>
    <row r="413" spans="1:8">
      <c r="A413" s="50"/>
      <c r="B413" s="50">
        <v>1</v>
      </c>
      <c r="C413" s="50">
        <v>1</v>
      </c>
      <c r="D413" s="51">
        <v>11130101</v>
      </c>
      <c r="E413" s="52" t="s">
        <v>1382</v>
      </c>
      <c r="F413" s="50"/>
      <c r="G413" s="50"/>
      <c r="H413" s="50"/>
    </row>
    <row r="414" spans="1:8">
      <c r="A414" s="50"/>
      <c r="B414" s="50">
        <v>2</v>
      </c>
      <c r="C414" s="50">
        <v>1</v>
      </c>
      <c r="D414" s="51">
        <v>11130201</v>
      </c>
      <c r="E414" s="52" t="s">
        <v>1383</v>
      </c>
      <c r="F414" s="50"/>
      <c r="G414" s="50"/>
      <c r="H414" s="50"/>
    </row>
    <row r="415" spans="1:8">
      <c r="A415" s="50"/>
      <c r="B415" s="50">
        <v>3</v>
      </c>
      <c r="C415" s="50">
        <v>1</v>
      </c>
      <c r="D415" s="51">
        <v>11130301</v>
      </c>
      <c r="E415" s="52" t="s">
        <v>1384</v>
      </c>
      <c r="F415" s="50"/>
      <c r="G415" s="50"/>
      <c r="H415" s="50"/>
    </row>
    <row r="416" spans="1:8">
      <c r="A416" s="50"/>
      <c r="B416" s="50">
        <v>4</v>
      </c>
      <c r="C416" s="50">
        <v>1</v>
      </c>
      <c r="D416" s="51">
        <v>11130401</v>
      </c>
      <c r="E416" s="52" t="s">
        <v>1385</v>
      </c>
      <c r="F416" s="50"/>
      <c r="G416" s="50"/>
      <c r="H416" s="50"/>
    </row>
    <row r="417" spans="1:8">
      <c r="A417" s="50"/>
      <c r="B417" s="50">
        <v>5</v>
      </c>
      <c r="C417" s="50">
        <v>1</v>
      </c>
      <c r="D417" s="51">
        <v>11130501</v>
      </c>
      <c r="E417" s="52" t="s">
        <v>1386</v>
      </c>
      <c r="F417" s="50"/>
      <c r="G417" s="50"/>
      <c r="H417" s="50"/>
    </row>
    <row r="418" spans="1:8">
      <c r="A418" s="50"/>
      <c r="B418" s="50">
        <v>6</v>
      </c>
      <c r="C418" s="50">
        <v>1</v>
      </c>
      <c r="D418" s="51">
        <v>11130601</v>
      </c>
      <c r="E418" s="52" t="s">
        <v>1387</v>
      </c>
      <c r="F418" s="50"/>
      <c r="G418" s="50"/>
      <c r="H418" s="50"/>
    </row>
    <row r="419" spans="1:8">
      <c r="A419" s="50"/>
      <c r="B419" s="50">
        <v>7</v>
      </c>
      <c r="C419" s="50">
        <v>1</v>
      </c>
      <c r="D419" s="51">
        <v>11130701</v>
      </c>
      <c r="E419" s="52" t="s">
        <v>1388</v>
      </c>
      <c r="F419" s="50"/>
      <c r="G419" s="50"/>
      <c r="H419" s="50"/>
    </row>
    <row r="420" spans="1:8">
      <c r="A420" s="50"/>
      <c r="B420" s="50">
        <v>8</v>
      </c>
      <c r="C420" s="50">
        <v>1</v>
      </c>
      <c r="D420" s="51">
        <v>11130801</v>
      </c>
      <c r="E420" s="52" t="s">
        <v>1389</v>
      </c>
      <c r="F420" s="50"/>
      <c r="G420" s="50"/>
      <c r="H420" s="50"/>
    </row>
    <row r="421" spans="1:8">
      <c r="A421" s="50"/>
      <c r="B421" s="50">
        <v>9</v>
      </c>
      <c r="C421" s="50">
        <v>1</v>
      </c>
      <c r="D421" s="51">
        <v>11130901</v>
      </c>
      <c r="E421" s="52" t="s">
        <v>1390</v>
      </c>
      <c r="F421" s="50"/>
      <c r="G421" s="50"/>
      <c r="H421" s="50"/>
    </row>
    <row r="422" spans="1:8">
      <c r="A422" s="50"/>
      <c r="B422" s="50">
        <v>10</v>
      </c>
      <c r="C422" s="50">
        <v>1</v>
      </c>
      <c r="D422" s="51">
        <v>11131001</v>
      </c>
      <c r="E422" s="52" t="s">
        <v>1391</v>
      </c>
      <c r="F422" s="50"/>
      <c r="G422" s="50"/>
      <c r="H422" s="50"/>
    </row>
    <row r="423" spans="1:8">
      <c r="A423" s="50"/>
      <c r="B423" s="50">
        <v>11</v>
      </c>
      <c r="C423" s="50">
        <v>1</v>
      </c>
      <c r="D423" s="51">
        <v>11131101</v>
      </c>
      <c r="E423" s="52" t="s">
        <v>1392</v>
      </c>
      <c r="F423" s="50">
        <v>1010720004</v>
      </c>
      <c r="G423" s="50" t="s">
        <v>1802</v>
      </c>
      <c r="H423" s="53" t="s">
        <v>1756</v>
      </c>
    </row>
    <row r="424" spans="1:8">
      <c r="A424" s="50"/>
      <c r="B424" s="50">
        <v>12</v>
      </c>
      <c r="C424" s="50">
        <v>1</v>
      </c>
      <c r="D424" s="51">
        <v>11131201</v>
      </c>
      <c r="E424" s="52" t="s">
        <v>1393</v>
      </c>
      <c r="F424" s="50">
        <v>1010720004</v>
      </c>
      <c r="G424" s="50" t="s">
        <v>1802</v>
      </c>
      <c r="H424" s="53" t="s">
        <v>1756</v>
      </c>
    </row>
    <row r="425" spans="1:8">
      <c r="A425" s="50"/>
      <c r="B425" s="50">
        <v>13</v>
      </c>
      <c r="C425" s="50">
        <v>1</v>
      </c>
      <c r="D425" s="51">
        <v>11131301</v>
      </c>
      <c r="E425" s="52" t="s">
        <v>1394</v>
      </c>
      <c r="F425" s="50">
        <v>1010720004</v>
      </c>
      <c r="G425" s="50" t="s">
        <v>1802</v>
      </c>
      <c r="H425" s="53" t="s">
        <v>1756</v>
      </c>
    </row>
    <row r="426" spans="1:8">
      <c r="A426" s="50"/>
      <c r="B426" s="50">
        <v>14</v>
      </c>
      <c r="C426" s="50">
        <v>1</v>
      </c>
      <c r="D426" s="51">
        <v>11131401</v>
      </c>
      <c r="E426" s="52" t="s">
        <v>1395</v>
      </c>
      <c r="F426" s="50">
        <v>1010720004</v>
      </c>
      <c r="G426" s="50" t="s">
        <v>1802</v>
      </c>
      <c r="H426" s="53" t="s">
        <v>1756</v>
      </c>
    </row>
    <row r="427" spans="1:8">
      <c r="A427" s="50"/>
      <c r="B427" s="50">
        <v>15</v>
      </c>
      <c r="C427" s="50">
        <v>1</v>
      </c>
      <c r="D427" s="51">
        <v>11131501</v>
      </c>
      <c r="E427" s="52" t="s">
        <v>1396</v>
      </c>
      <c r="F427" s="50">
        <v>1010720004</v>
      </c>
      <c r="G427" s="50" t="s">
        <v>1802</v>
      </c>
      <c r="H427" s="53" t="s">
        <v>1756</v>
      </c>
    </row>
    <row r="428" spans="1:8">
      <c r="A428" s="50"/>
      <c r="B428" s="50">
        <v>16</v>
      </c>
      <c r="C428" s="50">
        <v>1</v>
      </c>
      <c r="D428" s="51">
        <v>11131601</v>
      </c>
      <c r="E428" s="52" t="s">
        <v>1397</v>
      </c>
      <c r="F428" s="50">
        <v>1010720004</v>
      </c>
      <c r="G428" s="50" t="s">
        <v>1803</v>
      </c>
      <c r="H428" s="53" t="s">
        <v>1756</v>
      </c>
    </row>
    <row r="429" spans="1:8">
      <c r="A429" s="50"/>
      <c r="B429" s="50">
        <v>17</v>
      </c>
      <c r="C429" s="50">
        <v>1</v>
      </c>
      <c r="D429" s="51">
        <v>11131701</v>
      </c>
      <c r="E429" s="52" t="s">
        <v>1398</v>
      </c>
      <c r="F429" s="50">
        <v>1010720004</v>
      </c>
      <c r="G429" s="50" t="s">
        <v>1803</v>
      </c>
      <c r="H429" s="53" t="s">
        <v>1756</v>
      </c>
    </row>
    <row r="430" spans="1:8">
      <c r="A430" s="50"/>
      <c r="B430" s="50">
        <v>18</v>
      </c>
      <c r="C430" s="50">
        <v>1</v>
      </c>
      <c r="D430" s="51">
        <v>11131801</v>
      </c>
      <c r="E430" s="52" t="s">
        <v>1399</v>
      </c>
      <c r="F430" s="50">
        <v>1010720004</v>
      </c>
      <c r="G430" s="50" t="s">
        <v>1803</v>
      </c>
      <c r="H430" s="53" t="s">
        <v>1756</v>
      </c>
    </row>
    <row r="431" spans="1:8">
      <c r="A431" s="50"/>
      <c r="B431" s="50">
        <v>19</v>
      </c>
      <c r="C431" s="50">
        <v>1</v>
      </c>
      <c r="D431" s="51">
        <v>11131901</v>
      </c>
      <c r="E431" s="52" t="s">
        <v>1400</v>
      </c>
      <c r="F431" s="50">
        <v>1010720004</v>
      </c>
      <c r="G431" s="50" t="s">
        <v>1803</v>
      </c>
      <c r="H431" s="53" t="s">
        <v>1756</v>
      </c>
    </row>
    <row r="432" spans="1:8">
      <c r="A432" s="50"/>
      <c r="B432" s="50">
        <v>20</v>
      </c>
      <c r="C432" s="50">
        <v>1</v>
      </c>
      <c r="D432" s="51">
        <v>11132001</v>
      </c>
      <c r="E432" s="52" t="s">
        <v>1401</v>
      </c>
      <c r="F432" s="50">
        <v>1010720004</v>
      </c>
      <c r="G432" s="50" t="s">
        <v>1803</v>
      </c>
      <c r="H432" s="53" t="s">
        <v>1765</v>
      </c>
    </row>
    <row r="433" spans="1:8">
      <c r="A433" s="50"/>
      <c r="B433" s="50">
        <v>21</v>
      </c>
      <c r="C433" s="50">
        <v>1</v>
      </c>
      <c r="D433" s="51">
        <v>11132101</v>
      </c>
      <c r="E433" s="52" t="s">
        <v>1402</v>
      </c>
      <c r="F433" s="50">
        <v>1010720004</v>
      </c>
      <c r="G433" s="50" t="s">
        <v>1804</v>
      </c>
      <c r="H433" s="53" t="s">
        <v>1765</v>
      </c>
    </row>
    <row r="434" spans="1:8">
      <c r="A434" s="50"/>
      <c r="B434" s="50">
        <v>22</v>
      </c>
      <c r="C434" s="50">
        <v>1</v>
      </c>
      <c r="D434" s="51">
        <v>11132201</v>
      </c>
      <c r="E434" s="52" t="s">
        <v>1403</v>
      </c>
      <c r="F434" s="50">
        <v>1010720004</v>
      </c>
      <c r="G434" s="50" t="s">
        <v>1804</v>
      </c>
      <c r="H434" s="53" t="s">
        <v>1765</v>
      </c>
    </row>
    <row r="435" spans="1:8">
      <c r="A435" s="50"/>
      <c r="B435" s="50">
        <v>23</v>
      </c>
      <c r="C435" s="50">
        <v>1</v>
      </c>
      <c r="D435" s="51">
        <v>11132301</v>
      </c>
      <c r="E435" s="52" t="s">
        <v>1404</v>
      </c>
      <c r="F435" s="50">
        <v>1010720004</v>
      </c>
      <c r="G435" s="50" t="s">
        <v>1804</v>
      </c>
      <c r="H435" s="53" t="s">
        <v>1765</v>
      </c>
    </row>
    <row r="436" spans="1:8">
      <c r="A436" s="50"/>
      <c r="B436" s="50">
        <v>24</v>
      </c>
      <c r="C436" s="50">
        <v>1</v>
      </c>
      <c r="D436" s="51">
        <v>11132401</v>
      </c>
      <c r="E436" s="52" t="s">
        <v>1405</v>
      </c>
      <c r="F436" s="50">
        <v>1010720004</v>
      </c>
      <c r="G436" s="50" t="s">
        <v>1804</v>
      </c>
      <c r="H436" s="53" t="s">
        <v>1765</v>
      </c>
    </row>
    <row r="437" spans="1:8">
      <c r="A437" s="50"/>
      <c r="B437" s="50">
        <v>25</v>
      </c>
      <c r="C437" s="50">
        <v>1</v>
      </c>
      <c r="D437" s="51">
        <v>11132501</v>
      </c>
      <c r="E437" s="52" t="s">
        <v>1406</v>
      </c>
      <c r="F437" s="50">
        <v>1010720004</v>
      </c>
      <c r="G437" s="50" t="s">
        <v>1804</v>
      </c>
      <c r="H437" s="53" t="s">
        <v>1765</v>
      </c>
    </row>
    <row r="438" spans="1:8">
      <c r="A438" s="50"/>
      <c r="B438" s="50">
        <v>26</v>
      </c>
      <c r="C438" s="50">
        <v>1</v>
      </c>
      <c r="D438" s="51">
        <v>11132601</v>
      </c>
      <c r="E438" s="52" t="s">
        <v>1407</v>
      </c>
      <c r="F438" s="50">
        <v>1010720004</v>
      </c>
      <c r="G438" s="50" t="s">
        <v>1805</v>
      </c>
      <c r="H438" s="53" t="s">
        <v>1765</v>
      </c>
    </row>
    <row r="439" spans="1:8">
      <c r="A439" s="50"/>
      <c r="B439" s="50">
        <v>27</v>
      </c>
      <c r="C439" s="50">
        <v>1</v>
      </c>
      <c r="D439" s="51">
        <v>11132701</v>
      </c>
      <c r="E439" s="52" t="s">
        <v>1408</v>
      </c>
      <c r="F439" s="50">
        <v>1010720004</v>
      </c>
      <c r="G439" s="50" t="s">
        <v>1805</v>
      </c>
      <c r="H439" s="53" t="s">
        <v>1765</v>
      </c>
    </row>
    <row r="440" spans="1:8">
      <c r="A440" s="50"/>
      <c r="B440" s="50">
        <v>28</v>
      </c>
      <c r="C440" s="50">
        <v>1</v>
      </c>
      <c r="D440" s="51">
        <v>11132801</v>
      </c>
      <c r="E440" s="52" t="s">
        <v>1409</v>
      </c>
      <c r="F440" s="50">
        <v>1010720004</v>
      </c>
      <c r="G440" s="50" t="s">
        <v>1805</v>
      </c>
      <c r="H440" s="53" t="s">
        <v>1765</v>
      </c>
    </row>
    <row r="441" spans="1:8">
      <c r="A441" s="50"/>
      <c r="B441" s="50">
        <v>29</v>
      </c>
      <c r="C441" s="50">
        <v>1</v>
      </c>
      <c r="D441" s="51">
        <v>11132901</v>
      </c>
      <c r="E441" s="52" t="s">
        <v>1410</v>
      </c>
      <c r="F441" s="50">
        <v>1010720004</v>
      </c>
      <c r="G441" s="50" t="s">
        <v>1805</v>
      </c>
      <c r="H441" s="53" t="s">
        <v>1765</v>
      </c>
    </row>
    <row r="442" spans="1:8">
      <c r="A442" s="50"/>
      <c r="B442" s="50">
        <v>30</v>
      </c>
      <c r="C442" s="50">
        <v>1</v>
      </c>
      <c r="D442" s="51">
        <v>11133001</v>
      </c>
      <c r="E442" s="52" t="s">
        <v>1411</v>
      </c>
      <c r="F442" s="50">
        <v>1010720004</v>
      </c>
      <c r="G442" s="50" t="s">
        <v>1805</v>
      </c>
      <c r="H442" s="53" t="s">
        <v>1765</v>
      </c>
    </row>
    <row r="443" spans="1:8">
      <c r="A443" s="50"/>
      <c r="B443" s="50">
        <v>31</v>
      </c>
      <c r="C443" s="50">
        <v>1</v>
      </c>
      <c r="D443" s="51">
        <v>11133101</v>
      </c>
      <c r="E443" s="52" t="s">
        <v>1412</v>
      </c>
      <c r="F443" s="50">
        <v>1010720004</v>
      </c>
      <c r="G443" s="50" t="s">
        <v>1806</v>
      </c>
      <c r="H443" s="53" t="s">
        <v>1766</v>
      </c>
    </row>
    <row r="444" spans="1:8">
      <c r="A444" s="50"/>
      <c r="B444" s="50">
        <v>32</v>
      </c>
      <c r="C444" s="50">
        <v>1</v>
      </c>
      <c r="D444" s="51">
        <v>11133201</v>
      </c>
      <c r="E444" s="52" t="s">
        <v>1413</v>
      </c>
      <c r="F444" s="50">
        <v>1010720004</v>
      </c>
      <c r="G444" s="50" t="s">
        <v>1806</v>
      </c>
      <c r="H444" s="53" t="s">
        <v>1766</v>
      </c>
    </row>
    <row r="445" spans="1:8">
      <c r="A445" s="50"/>
      <c r="B445" s="50">
        <v>33</v>
      </c>
      <c r="C445" s="50">
        <v>1</v>
      </c>
      <c r="D445" s="51">
        <v>11133301</v>
      </c>
      <c r="E445" s="52" t="s">
        <v>1414</v>
      </c>
      <c r="F445" s="50">
        <v>1010720004</v>
      </c>
      <c r="G445" s="50" t="s">
        <v>1806</v>
      </c>
      <c r="H445" s="53" t="s">
        <v>1766</v>
      </c>
    </row>
    <row r="446" spans="1:8">
      <c r="A446" s="50"/>
      <c r="B446" s="50">
        <v>34</v>
      </c>
      <c r="C446" s="50">
        <v>1</v>
      </c>
      <c r="D446" s="51">
        <v>11133401</v>
      </c>
      <c r="E446" s="52" t="s">
        <v>1415</v>
      </c>
      <c r="F446" s="50">
        <v>1010720004</v>
      </c>
      <c r="G446" s="50" t="s">
        <v>1806</v>
      </c>
      <c r="H446" s="53" t="s">
        <v>1766</v>
      </c>
    </row>
    <row r="447" spans="1:8">
      <c r="A447" s="50"/>
      <c r="B447" s="50">
        <v>35</v>
      </c>
      <c r="C447" s="50">
        <v>1</v>
      </c>
      <c r="D447" s="51">
        <v>11133501</v>
      </c>
      <c r="E447" s="52" t="s">
        <v>1416</v>
      </c>
      <c r="F447" s="50">
        <v>1010720004</v>
      </c>
      <c r="G447" s="50" t="s">
        <v>1806</v>
      </c>
      <c r="H447" s="53" t="s">
        <v>1766</v>
      </c>
    </row>
    <row r="448" spans="1:8">
      <c r="A448" s="50"/>
      <c r="B448" s="50">
        <v>36</v>
      </c>
      <c r="C448" s="50">
        <v>1</v>
      </c>
      <c r="D448" s="51">
        <v>11133601</v>
      </c>
      <c r="E448" s="52" t="s">
        <v>1417</v>
      </c>
      <c r="F448" s="50">
        <v>1010720004</v>
      </c>
      <c r="G448" s="50" t="s">
        <v>1807</v>
      </c>
      <c r="H448" s="53" t="s">
        <v>1766</v>
      </c>
    </row>
    <row r="449" spans="1:8">
      <c r="A449" s="50"/>
      <c r="B449" s="50">
        <v>37</v>
      </c>
      <c r="C449" s="50">
        <v>1</v>
      </c>
      <c r="D449" s="51">
        <v>11133701</v>
      </c>
      <c r="E449" s="52" t="s">
        <v>1418</v>
      </c>
      <c r="F449" s="50">
        <v>1010720004</v>
      </c>
      <c r="G449" s="50" t="s">
        <v>1807</v>
      </c>
      <c r="H449" s="53" t="s">
        <v>1766</v>
      </c>
    </row>
    <row r="450" spans="1:8">
      <c r="A450" s="50"/>
      <c r="B450" s="50">
        <v>38</v>
      </c>
      <c r="C450" s="50">
        <v>1</v>
      </c>
      <c r="D450" s="51">
        <v>11133801</v>
      </c>
      <c r="E450" s="52" t="s">
        <v>1419</v>
      </c>
      <c r="F450" s="50">
        <v>1010720004</v>
      </c>
      <c r="G450" s="50" t="s">
        <v>1807</v>
      </c>
      <c r="H450" s="53" t="s">
        <v>1766</v>
      </c>
    </row>
    <row r="451" spans="1:8">
      <c r="A451" s="50"/>
      <c r="B451" s="50">
        <v>39</v>
      </c>
      <c r="C451" s="50">
        <v>1</v>
      </c>
      <c r="D451" s="51">
        <v>11133901</v>
      </c>
      <c r="E451" s="52" t="s">
        <v>1420</v>
      </c>
      <c r="F451" s="50">
        <v>1010720004</v>
      </c>
      <c r="G451" s="50" t="s">
        <v>1807</v>
      </c>
      <c r="H451" s="53" t="s">
        <v>1766</v>
      </c>
    </row>
    <row r="452" spans="1:8">
      <c r="A452" s="50"/>
      <c r="B452" s="50">
        <v>40</v>
      </c>
      <c r="C452" s="50">
        <v>1</v>
      </c>
      <c r="D452" s="51">
        <v>11134001</v>
      </c>
      <c r="E452" s="52" t="s">
        <v>1421</v>
      </c>
      <c r="F452" s="50">
        <v>1010720004</v>
      </c>
      <c r="G452" s="50" t="s">
        <v>1807</v>
      </c>
      <c r="H452" s="53" t="s">
        <v>1766</v>
      </c>
    </row>
    <row r="453" spans="1:8">
      <c r="A453" s="50"/>
      <c r="B453" s="50">
        <v>41</v>
      </c>
      <c r="C453" s="50">
        <v>1</v>
      </c>
      <c r="D453" s="51">
        <v>11134101</v>
      </c>
      <c r="E453" s="52" t="s">
        <v>1422</v>
      </c>
      <c r="F453" s="50">
        <v>1010720004</v>
      </c>
      <c r="G453" s="50" t="s">
        <v>1808</v>
      </c>
      <c r="H453" s="53" t="s">
        <v>1767</v>
      </c>
    </row>
    <row r="454" spans="1:8">
      <c r="A454" s="50"/>
      <c r="B454" s="50">
        <v>42</v>
      </c>
      <c r="C454" s="50">
        <v>1</v>
      </c>
      <c r="D454" s="51">
        <v>11134201</v>
      </c>
      <c r="E454" s="52" t="s">
        <v>1423</v>
      </c>
      <c r="F454" s="50">
        <v>1010720004</v>
      </c>
      <c r="G454" s="50" t="s">
        <v>1808</v>
      </c>
      <c r="H454" s="53" t="s">
        <v>1767</v>
      </c>
    </row>
    <row r="455" spans="1:8">
      <c r="A455" s="50"/>
      <c r="B455" s="50">
        <v>43</v>
      </c>
      <c r="C455" s="50">
        <v>1</v>
      </c>
      <c r="D455" s="51">
        <v>11134301</v>
      </c>
      <c r="E455" s="52" t="s">
        <v>1424</v>
      </c>
      <c r="F455" s="50">
        <v>1010720004</v>
      </c>
      <c r="G455" s="50" t="s">
        <v>1808</v>
      </c>
      <c r="H455" s="53" t="s">
        <v>1767</v>
      </c>
    </row>
    <row r="456" spans="1:8">
      <c r="A456" s="50"/>
      <c r="B456" s="50">
        <v>44</v>
      </c>
      <c r="C456" s="50">
        <v>1</v>
      </c>
      <c r="D456" s="51">
        <v>11134401</v>
      </c>
      <c r="E456" s="52" t="s">
        <v>1425</v>
      </c>
      <c r="F456" s="50">
        <v>1010720004</v>
      </c>
      <c r="G456" s="50" t="s">
        <v>1808</v>
      </c>
      <c r="H456" s="53" t="s">
        <v>1767</v>
      </c>
    </row>
    <row r="457" spans="1:8">
      <c r="A457" s="50"/>
      <c r="B457" s="50">
        <v>45</v>
      </c>
      <c r="C457" s="50">
        <v>1</v>
      </c>
      <c r="D457" s="51">
        <v>11134501</v>
      </c>
      <c r="E457" s="52" t="s">
        <v>1426</v>
      </c>
      <c r="F457" s="50">
        <v>1010720004</v>
      </c>
      <c r="G457" s="50" t="s">
        <v>1808</v>
      </c>
      <c r="H457" s="53" t="s">
        <v>1767</v>
      </c>
    </row>
    <row r="458" spans="1:8">
      <c r="A458" s="50"/>
      <c r="B458" s="50">
        <v>46</v>
      </c>
      <c r="C458" s="50">
        <v>1</v>
      </c>
      <c r="D458" s="51">
        <v>11134601</v>
      </c>
      <c r="E458" s="52" t="s">
        <v>1427</v>
      </c>
      <c r="F458" s="50">
        <v>1010720004</v>
      </c>
      <c r="G458" s="50" t="s">
        <v>1809</v>
      </c>
      <c r="H458" s="53" t="s">
        <v>1767</v>
      </c>
    </row>
    <row r="459" spans="1:8">
      <c r="A459" s="50"/>
      <c r="B459" s="50">
        <v>47</v>
      </c>
      <c r="C459" s="50">
        <v>1</v>
      </c>
      <c r="D459" s="51">
        <v>11134701</v>
      </c>
      <c r="E459" s="52" t="s">
        <v>1428</v>
      </c>
      <c r="F459" s="50">
        <v>1010720004</v>
      </c>
      <c r="G459" s="50" t="s">
        <v>1809</v>
      </c>
      <c r="H459" s="53" t="s">
        <v>1767</v>
      </c>
    </row>
    <row r="460" spans="1:8">
      <c r="A460" s="50"/>
      <c r="B460" s="50">
        <v>48</v>
      </c>
      <c r="C460" s="50">
        <v>1</v>
      </c>
      <c r="D460" s="51">
        <v>11134801</v>
      </c>
      <c r="E460" s="52" t="s">
        <v>1429</v>
      </c>
      <c r="F460" s="50">
        <v>1010720004</v>
      </c>
      <c r="G460" s="50" t="s">
        <v>1809</v>
      </c>
      <c r="H460" s="53" t="s">
        <v>1767</v>
      </c>
    </row>
    <row r="461" spans="1:8">
      <c r="A461" s="50"/>
      <c r="B461" s="50">
        <v>49</v>
      </c>
      <c r="C461" s="50">
        <v>1</v>
      </c>
      <c r="D461" s="51">
        <v>11134901</v>
      </c>
      <c r="E461" s="52" t="s">
        <v>1430</v>
      </c>
      <c r="F461" s="50">
        <v>1010720004</v>
      </c>
      <c r="G461" s="50" t="s">
        <v>1809</v>
      </c>
      <c r="H461" s="53" t="s">
        <v>1767</v>
      </c>
    </row>
    <row r="462" spans="1:8">
      <c r="A462" s="50"/>
      <c r="B462" s="50">
        <v>50</v>
      </c>
      <c r="C462" s="50">
        <v>1</v>
      </c>
      <c r="D462" s="51">
        <v>11135001</v>
      </c>
      <c r="E462" s="52" t="s">
        <v>1431</v>
      </c>
      <c r="F462" s="50">
        <v>1010720004</v>
      </c>
      <c r="G462" s="50" t="s">
        <v>1809</v>
      </c>
      <c r="H462" s="53" t="s">
        <v>1767</v>
      </c>
    </row>
    <row r="463" spans="1:8">
      <c r="A463" s="54" t="s">
        <v>1583</v>
      </c>
      <c r="B463" s="54"/>
      <c r="C463" s="54"/>
      <c r="D463" s="54"/>
      <c r="E463" s="54"/>
      <c r="F463" s="54"/>
      <c r="G463" s="54"/>
      <c r="H463" s="54"/>
    </row>
    <row r="464" spans="1:8">
      <c r="A464" s="54"/>
      <c r="B464" s="54">
        <v>1</v>
      </c>
      <c r="C464" s="54">
        <v>1</v>
      </c>
      <c r="D464" s="55">
        <v>11130102</v>
      </c>
      <c r="E464" s="54" t="s">
        <v>1432</v>
      </c>
      <c r="F464" s="54"/>
      <c r="G464" s="54"/>
      <c r="H464" s="54"/>
    </row>
    <row r="465" spans="1:8">
      <c r="A465" s="54"/>
      <c r="B465" s="54">
        <v>2</v>
      </c>
      <c r="C465" s="54">
        <v>1</v>
      </c>
      <c r="D465" s="55">
        <v>11130202</v>
      </c>
      <c r="E465" s="54" t="s">
        <v>1433</v>
      </c>
      <c r="F465" s="54"/>
      <c r="G465" s="54"/>
      <c r="H465" s="54"/>
    </row>
    <row r="466" spans="1:8">
      <c r="A466" s="54"/>
      <c r="B466" s="54">
        <v>3</v>
      </c>
      <c r="C466" s="54">
        <v>1</v>
      </c>
      <c r="D466" s="55">
        <v>11130302</v>
      </c>
      <c r="E466" s="54" t="s">
        <v>1434</v>
      </c>
      <c r="F466" s="54"/>
      <c r="G466" s="54"/>
      <c r="H466" s="54"/>
    </row>
    <row r="467" spans="1:8">
      <c r="A467" s="54"/>
      <c r="B467" s="54">
        <v>4</v>
      </c>
      <c r="C467" s="54">
        <v>1</v>
      </c>
      <c r="D467" s="55">
        <v>11130402</v>
      </c>
      <c r="E467" s="54" t="s">
        <v>1435</v>
      </c>
      <c r="F467" s="54"/>
      <c r="G467" s="54"/>
      <c r="H467" s="54"/>
    </row>
    <row r="468" spans="1:8">
      <c r="A468" s="54"/>
      <c r="B468" s="54">
        <v>5</v>
      </c>
      <c r="C468" s="54">
        <v>1</v>
      </c>
      <c r="D468" s="55">
        <v>11130502</v>
      </c>
      <c r="E468" s="54" t="s">
        <v>1436</v>
      </c>
      <c r="F468" s="54"/>
      <c r="G468" s="54"/>
      <c r="H468" s="54"/>
    </row>
    <row r="469" spans="1:8">
      <c r="A469" s="54"/>
      <c r="B469" s="54">
        <v>6</v>
      </c>
      <c r="C469" s="54">
        <v>1</v>
      </c>
      <c r="D469" s="55">
        <v>11130602</v>
      </c>
      <c r="E469" s="54" t="s">
        <v>1437</v>
      </c>
      <c r="F469" s="54"/>
      <c r="G469" s="54"/>
      <c r="H469" s="54"/>
    </row>
    <row r="470" spans="1:8">
      <c r="A470" s="54"/>
      <c r="B470" s="54">
        <v>7</v>
      </c>
      <c r="C470" s="54">
        <v>1</v>
      </c>
      <c r="D470" s="55">
        <v>11130702</v>
      </c>
      <c r="E470" s="54" t="s">
        <v>1438</v>
      </c>
      <c r="F470" s="54"/>
      <c r="G470" s="54"/>
      <c r="H470" s="54"/>
    </row>
    <row r="471" spans="1:8">
      <c r="A471" s="54"/>
      <c r="B471" s="54">
        <v>8</v>
      </c>
      <c r="C471" s="54">
        <v>1</v>
      </c>
      <c r="D471" s="55">
        <v>11130802</v>
      </c>
      <c r="E471" s="54" t="s">
        <v>1439</v>
      </c>
      <c r="F471" s="54"/>
      <c r="G471" s="54"/>
      <c r="H471" s="54"/>
    </row>
    <row r="472" spans="1:8">
      <c r="A472" s="54"/>
      <c r="B472" s="54">
        <v>9</v>
      </c>
      <c r="C472" s="54">
        <v>1</v>
      </c>
      <c r="D472" s="55">
        <v>11130902</v>
      </c>
      <c r="E472" s="54" t="s">
        <v>1440</v>
      </c>
      <c r="F472" s="54"/>
      <c r="G472" s="54"/>
      <c r="H472" s="54"/>
    </row>
    <row r="473" spans="1:8">
      <c r="A473" s="54"/>
      <c r="B473" s="54">
        <v>10</v>
      </c>
      <c r="C473" s="54">
        <v>1</v>
      </c>
      <c r="D473" s="55">
        <v>11131002</v>
      </c>
      <c r="E473" s="54" t="s">
        <v>1441</v>
      </c>
      <c r="F473" s="54"/>
      <c r="G473" s="54"/>
      <c r="H473" s="54"/>
    </row>
    <row r="474" spans="1:8">
      <c r="A474" s="54"/>
      <c r="B474" s="54">
        <v>11</v>
      </c>
      <c r="C474" s="54">
        <v>1</v>
      </c>
      <c r="D474" s="55">
        <v>11131102</v>
      </c>
      <c r="E474" s="54" t="s">
        <v>1442</v>
      </c>
      <c r="F474" s="54">
        <v>1010530003</v>
      </c>
      <c r="G474" s="54" t="s">
        <v>1810</v>
      </c>
      <c r="H474" s="56" t="s">
        <v>1756</v>
      </c>
    </row>
    <row r="475" spans="1:8">
      <c r="A475" s="54"/>
      <c r="B475" s="54">
        <v>12</v>
      </c>
      <c r="C475" s="54">
        <v>1</v>
      </c>
      <c r="D475" s="55">
        <v>11131202</v>
      </c>
      <c r="E475" s="54" t="s">
        <v>1443</v>
      </c>
      <c r="F475" s="54">
        <v>1010530003</v>
      </c>
      <c r="G475" s="54" t="s">
        <v>1810</v>
      </c>
      <c r="H475" s="56" t="s">
        <v>1756</v>
      </c>
    </row>
    <row r="476" spans="1:8">
      <c r="A476" s="54"/>
      <c r="B476" s="54">
        <v>13</v>
      </c>
      <c r="C476" s="54">
        <v>1</v>
      </c>
      <c r="D476" s="55">
        <v>11131302</v>
      </c>
      <c r="E476" s="54" t="s">
        <v>1444</v>
      </c>
      <c r="F476" s="54">
        <v>1010530003</v>
      </c>
      <c r="G476" s="54" t="s">
        <v>1810</v>
      </c>
      <c r="H476" s="56" t="s">
        <v>1756</v>
      </c>
    </row>
    <row r="477" spans="1:8">
      <c r="A477" s="54"/>
      <c r="B477" s="54">
        <v>14</v>
      </c>
      <c r="C477" s="54">
        <v>1</v>
      </c>
      <c r="D477" s="55">
        <v>11131402</v>
      </c>
      <c r="E477" s="54" t="s">
        <v>1445</v>
      </c>
      <c r="F477" s="54">
        <v>1010530003</v>
      </c>
      <c r="G477" s="54" t="s">
        <v>1810</v>
      </c>
      <c r="H477" s="56" t="s">
        <v>1756</v>
      </c>
    </row>
    <row r="478" spans="1:8">
      <c r="A478" s="54"/>
      <c r="B478" s="54">
        <v>15</v>
      </c>
      <c r="C478" s="54">
        <v>1</v>
      </c>
      <c r="D478" s="55">
        <v>11131502</v>
      </c>
      <c r="E478" s="54" t="s">
        <v>1446</v>
      </c>
      <c r="F478" s="54">
        <v>1010530003</v>
      </c>
      <c r="G478" s="54" t="s">
        <v>1810</v>
      </c>
      <c r="H478" s="56" t="s">
        <v>1756</v>
      </c>
    </row>
    <row r="479" spans="1:8">
      <c r="A479" s="54"/>
      <c r="B479" s="54">
        <v>16</v>
      </c>
      <c r="C479" s="54">
        <v>1</v>
      </c>
      <c r="D479" s="55">
        <v>11131602</v>
      </c>
      <c r="E479" s="54" t="s">
        <v>1447</v>
      </c>
      <c r="F479" s="54">
        <v>1010530003</v>
      </c>
      <c r="G479" s="54" t="s">
        <v>1811</v>
      </c>
      <c r="H479" s="56" t="s">
        <v>1756</v>
      </c>
    </row>
    <row r="480" spans="1:8">
      <c r="A480" s="54"/>
      <c r="B480" s="54">
        <v>17</v>
      </c>
      <c r="C480" s="54">
        <v>1</v>
      </c>
      <c r="D480" s="55">
        <v>11131702</v>
      </c>
      <c r="E480" s="54" t="s">
        <v>1448</v>
      </c>
      <c r="F480" s="54">
        <v>1010530003</v>
      </c>
      <c r="G480" s="54" t="s">
        <v>1811</v>
      </c>
      <c r="H480" s="56" t="s">
        <v>1756</v>
      </c>
    </row>
    <row r="481" spans="1:8">
      <c r="A481" s="54"/>
      <c r="B481" s="54">
        <v>18</v>
      </c>
      <c r="C481" s="54">
        <v>1</v>
      </c>
      <c r="D481" s="55">
        <v>11131802</v>
      </c>
      <c r="E481" s="54" t="s">
        <v>1449</v>
      </c>
      <c r="F481" s="54">
        <v>1010530003</v>
      </c>
      <c r="G481" s="54" t="s">
        <v>1811</v>
      </c>
      <c r="H481" s="56" t="s">
        <v>1756</v>
      </c>
    </row>
    <row r="482" spans="1:8">
      <c r="A482" s="54"/>
      <c r="B482" s="54">
        <v>19</v>
      </c>
      <c r="C482" s="54">
        <v>1</v>
      </c>
      <c r="D482" s="55">
        <v>11131902</v>
      </c>
      <c r="E482" s="54" t="s">
        <v>1450</v>
      </c>
      <c r="F482" s="54">
        <v>1010530003</v>
      </c>
      <c r="G482" s="54" t="s">
        <v>1811</v>
      </c>
      <c r="H482" s="56" t="s">
        <v>1756</v>
      </c>
    </row>
    <row r="483" spans="1:8">
      <c r="A483" s="54"/>
      <c r="B483" s="54">
        <v>20</v>
      </c>
      <c r="C483" s="54">
        <v>1</v>
      </c>
      <c r="D483" s="55">
        <v>11132002</v>
      </c>
      <c r="E483" s="54" t="s">
        <v>1451</v>
      </c>
      <c r="F483" s="54">
        <v>1010530003</v>
      </c>
      <c r="G483" s="54" t="s">
        <v>1811</v>
      </c>
      <c r="H483" s="56" t="s">
        <v>1765</v>
      </c>
    </row>
    <row r="484" spans="1:8">
      <c r="A484" s="54"/>
      <c r="B484" s="54">
        <v>21</v>
      </c>
      <c r="C484" s="54">
        <v>1</v>
      </c>
      <c r="D484" s="55">
        <v>11132102</v>
      </c>
      <c r="E484" s="54" t="s">
        <v>1452</v>
      </c>
      <c r="F484" s="54">
        <v>1010530003</v>
      </c>
      <c r="G484" s="54" t="s">
        <v>1812</v>
      </c>
      <c r="H484" s="56" t="s">
        <v>1765</v>
      </c>
    </row>
    <row r="485" spans="1:8">
      <c r="A485" s="54"/>
      <c r="B485" s="54">
        <v>22</v>
      </c>
      <c r="C485" s="54">
        <v>1</v>
      </c>
      <c r="D485" s="55">
        <v>11132202</v>
      </c>
      <c r="E485" s="54" t="s">
        <v>1453</v>
      </c>
      <c r="F485" s="54">
        <v>1010530003</v>
      </c>
      <c r="G485" s="54" t="s">
        <v>1812</v>
      </c>
      <c r="H485" s="56" t="s">
        <v>1765</v>
      </c>
    </row>
    <row r="486" spans="1:8">
      <c r="A486" s="54"/>
      <c r="B486" s="54">
        <v>23</v>
      </c>
      <c r="C486" s="54">
        <v>1</v>
      </c>
      <c r="D486" s="55">
        <v>11132302</v>
      </c>
      <c r="E486" s="54" t="s">
        <v>1454</v>
      </c>
      <c r="F486" s="54">
        <v>1010530003</v>
      </c>
      <c r="G486" s="54" t="s">
        <v>1812</v>
      </c>
      <c r="H486" s="56" t="s">
        <v>1765</v>
      </c>
    </row>
    <row r="487" spans="1:8">
      <c r="A487" s="54"/>
      <c r="B487" s="54">
        <v>24</v>
      </c>
      <c r="C487" s="54">
        <v>1</v>
      </c>
      <c r="D487" s="55">
        <v>11132402</v>
      </c>
      <c r="E487" s="54" t="s">
        <v>1455</v>
      </c>
      <c r="F487" s="54">
        <v>1010530003</v>
      </c>
      <c r="G487" s="54" t="s">
        <v>1812</v>
      </c>
      <c r="H487" s="56" t="s">
        <v>1765</v>
      </c>
    </row>
    <row r="488" spans="1:8">
      <c r="A488" s="54"/>
      <c r="B488" s="54">
        <v>25</v>
      </c>
      <c r="C488" s="54">
        <v>1</v>
      </c>
      <c r="D488" s="55">
        <v>11132502</v>
      </c>
      <c r="E488" s="54" t="s">
        <v>1456</v>
      </c>
      <c r="F488" s="54">
        <v>1010530003</v>
      </c>
      <c r="G488" s="54" t="s">
        <v>1812</v>
      </c>
      <c r="H488" s="56" t="s">
        <v>1765</v>
      </c>
    </row>
    <row r="489" spans="1:8">
      <c r="A489" s="54"/>
      <c r="B489" s="54">
        <v>26</v>
      </c>
      <c r="C489" s="54">
        <v>1</v>
      </c>
      <c r="D489" s="55">
        <v>11132602</v>
      </c>
      <c r="E489" s="54" t="s">
        <v>1457</v>
      </c>
      <c r="F489" s="54">
        <v>1010530003</v>
      </c>
      <c r="G489" s="54" t="s">
        <v>1813</v>
      </c>
      <c r="H489" s="56" t="s">
        <v>1765</v>
      </c>
    </row>
    <row r="490" spans="1:8">
      <c r="A490" s="54"/>
      <c r="B490" s="54">
        <v>27</v>
      </c>
      <c r="C490" s="54">
        <v>1</v>
      </c>
      <c r="D490" s="55">
        <v>11132702</v>
      </c>
      <c r="E490" s="54" t="s">
        <v>1458</v>
      </c>
      <c r="F490" s="54">
        <v>1010530003</v>
      </c>
      <c r="G490" s="54" t="s">
        <v>1813</v>
      </c>
      <c r="H490" s="56" t="s">
        <v>1765</v>
      </c>
    </row>
    <row r="491" spans="1:8">
      <c r="A491" s="54"/>
      <c r="B491" s="54">
        <v>28</v>
      </c>
      <c r="C491" s="54">
        <v>1</v>
      </c>
      <c r="D491" s="55">
        <v>11132802</v>
      </c>
      <c r="E491" s="54" t="s">
        <v>1459</v>
      </c>
      <c r="F491" s="54">
        <v>1010530003</v>
      </c>
      <c r="G491" s="54" t="s">
        <v>1813</v>
      </c>
      <c r="H491" s="56" t="s">
        <v>1765</v>
      </c>
    </row>
    <row r="492" spans="1:8">
      <c r="A492" s="54"/>
      <c r="B492" s="54">
        <v>29</v>
      </c>
      <c r="C492" s="54">
        <v>1</v>
      </c>
      <c r="D492" s="55">
        <v>11132902</v>
      </c>
      <c r="E492" s="54" t="s">
        <v>1460</v>
      </c>
      <c r="F492" s="54">
        <v>1010530003</v>
      </c>
      <c r="G492" s="54" t="s">
        <v>1813</v>
      </c>
      <c r="H492" s="56" t="s">
        <v>1765</v>
      </c>
    </row>
    <row r="493" spans="1:8">
      <c r="A493" s="54"/>
      <c r="B493" s="54">
        <v>30</v>
      </c>
      <c r="C493" s="54">
        <v>1</v>
      </c>
      <c r="D493" s="55">
        <v>11133002</v>
      </c>
      <c r="E493" s="54" t="s">
        <v>1461</v>
      </c>
      <c r="F493" s="54">
        <v>1010530003</v>
      </c>
      <c r="G493" s="54" t="s">
        <v>1813</v>
      </c>
      <c r="H493" s="56" t="s">
        <v>1765</v>
      </c>
    </row>
    <row r="494" spans="1:8">
      <c r="A494" s="54"/>
      <c r="B494" s="54">
        <v>31</v>
      </c>
      <c r="C494" s="54">
        <v>1</v>
      </c>
      <c r="D494" s="55">
        <v>11133102</v>
      </c>
      <c r="E494" s="54" t="s">
        <v>1462</v>
      </c>
      <c r="F494" s="54">
        <v>1010530003</v>
      </c>
      <c r="G494" s="54" t="s">
        <v>1814</v>
      </c>
      <c r="H494" s="56" t="s">
        <v>1766</v>
      </c>
    </row>
    <row r="495" spans="1:8">
      <c r="A495" s="54"/>
      <c r="B495" s="54">
        <v>32</v>
      </c>
      <c r="C495" s="54">
        <v>1</v>
      </c>
      <c r="D495" s="55">
        <v>11133202</v>
      </c>
      <c r="E495" s="54" t="s">
        <v>1463</v>
      </c>
      <c r="F495" s="54">
        <v>1010530003</v>
      </c>
      <c r="G495" s="54" t="s">
        <v>1814</v>
      </c>
      <c r="H495" s="56" t="s">
        <v>1766</v>
      </c>
    </row>
    <row r="496" spans="1:8">
      <c r="A496" s="54"/>
      <c r="B496" s="54">
        <v>33</v>
      </c>
      <c r="C496" s="54">
        <v>1</v>
      </c>
      <c r="D496" s="55">
        <v>11133302</v>
      </c>
      <c r="E496" s="54" t="s">
        <v>1464</v>
      </c>
      <c r="F496" s="54">
        <v>1010530003</v>
      </c>
      <c r="G496" s="54" t="s">
        <v>1814</v>
      </c>
      <c r="H496" s="56" t="s">
        <v>1766</v>
      </c>
    </row>
    <row r="497" spans="1:8">
      <c r="A497" s="54"/>
      <c r="B497" s="54">
        <v>34</v>
      </c>
      <c r="C497" s="54">
        <v>1</v>
      </c>
      <c r="D497" s="55">
        <v>11133402</v>
      </c>
      <c r="E497" s="54" t="s">
        <v>1465</v>
      </c>
      <c r="F497" s="54">
        <v>1010530003</v>
      </c>
      <c r="G497" s="54" t="s">
        <v>1814</v>
      </c>
      <c r="H497" s="56" t="s">
        <v>1766</v>
      </c>
    </row>
    <row r="498" spans="1:8">
      <c r="A498" s="54"/>
      <c r="B498" s="54">
        <v>35</v>
      </c>
      <c r="C498" s="54">
        <v>1</v>
      </c>
      <c r="D498" s="55">
        <v>11133502</v>
      </c>
      <c r="E498" s="54" t="s">
        <v>1466</v>
      </c>
      <c r="F498" s="54">
        <v>1010530003</v>
      </c>
      <c r="G498" s="54" t="s">
        <v>1814</v>
      </c>
      <c r="H498" s="56" t="s">
        <v>1766</v>
      </c>
    </row>
    <row r="499" spans="1:8">
      <c r="A499" s="54"/>
      <c r="B499" s="54">
        <v>36</v>
      </c>
      <c r="C499" s="54">
        <v>1</v>
      </c>
      <c r="D499" s="55">
        <v>11133602</v>
      </c>
      <c r="E499" s="54" t="s">
        <v>1467</v>
      </c>
      <c r="F499" s="54">
        <v>1010530003</v>
      </c>
      <c r="G499" s="54" t="s">
        <v>1815</v>
      </c>
      <c r="H499" s="56" t="s">
        <v>1766</v>
      </c>
    </row>
    <row r="500" spans="1:8">
      <c r="A500" s="54"/>
      <c r="B500" s="54">
        <v>37</v>
      </c>
      <c r="C500" s="54">
        <v>1</v>
      </c>
      <c r="D500" s="55">
        <v>11133702</v>
      </c>
      <c r="E500" s="54" t="s">
        <v>1468</v>
      </c>
      <c r="F500" s="54">
        <v>1010530003</v>
      </c>
      <c r="G500" s="54" t="s">
        <v>1815</v>
      </c>
      <c r="H500" s="56" t="s">
        <v>1766</v>
      </c>
    </row>
    <row r="501" spans="1:8">
      <c r="A501" s="54"/>
      <c r="B501" s="54">
        <v>38</v>
      </c>
      <c r="C501" s="54">
        <v>1</v>
      </c>
      <c r="D501" s="55">
        <v>11133802</v>
      </c>
      <c r="E501" s="54" t="s">
        <v>1469</v>
      </c>
      <c r="F501" s="54">
        <v>1010530003</v>
      </c>
      <c r="G501" s="54" t="s">
        <v>1815</v>
      </c>
      <c r="H501" s="56" t="s">
        <v>1766</v>
      </c>
    </row>
    <row r="502" spans="1:8">
      <c r="A502" s="54"/>
      <c r="B502" s="54">
        <v>39</v>
      </c>
      <c r="C502" s="54">
        <v>1</v>
      </c>
      <c r="D502" s="55">
        <v>11133902</v>
      </c>
      <c r="E502" s="54" t="s">
        <v>1470</v>
      </c>
      <c r="F502" s="54">
        <v>1010530003</v>
      </c>
      <c r="G502" s="54" t="s">
        <v>1815</v>
      </c>
      <c r="H502" s="56" t="s">
        <v>1766</v>
      </c>
    </row>
    <row r="503" spans="1:8">
      <c r="A503" s="54"/>
      <c r="B503" s="54">
        <v>40</v>
      </c>
      <c r="C503" s="54">
        <v>1</v>
      </c>
      <c r="D503" s="55">
        <v>11134002</v>
      </c>
      <c r="E503" s="54" t="s">
        <v>1471</v>
      </c>
      <c r="F503" s="54">
        <v>1010530003</v>
      </c>
      <c r="G503" s="54" t="s">
        <v>1815</v>
      </c>
      <c r="H503" s="56" t="s">
        <v>1766</v>
      </c>
    </row>
    <row r="504" spans="1:8">
      <c r="A504" s="54"/>
      <c r="B504" s="54">
        <v>41</v>
      </c>
      <c r="C504" s="54">
        <v>1</v>
      </c>
      <c r="D504" s="55">
        <v>11134102</v>
      </c>
      <c r="E504" s="54" t="s">
        <v>1472</v>
      </c>
      <c r="F504" s="54">
        <v>1010530003</v>
      </c>
      <c r="G504" s="54" t="s">
        <v>1816</v>
      </c>
      <c r="H504" s="56" t="s">
        <v>1767</v>
      </c>
    </row>
    <row r="505" spans="1:8">
      <c r="A505" s="54"/>
      <c r="B505" s="54">
        <v>42</v>
      </c>
      <c r="C505" s="54">
        <v>1</v>
      </c>
      <c r="D505" s="55">
        <v>11134202</v>
      </c>
      <c r="E505" s="54" t="s">
        <v>1473</v>
      </c>
      <c r="F505" s="54">
        <v>1010530003</v>
      </c>
      <c r="G505" s="54" t="s">
        <v>1816</v>
      </c>
      <c r="H505" s="56" t="s">
        <v>1767</v>
      </c>
    </row>
    <row r="506" spans="1:8">
      <c r="A506" s="54"/>
      <c r="B506" s="54">
        <v>43</v>
      </c>
      <c r="C506" s="54">
        <v>1</v>
      </c>
      <c r="D506" s="55">
        <v>11134302</v>
      </c>
      <c r="E506" s="54" t="s">
        <v>1474</v>
      </c>
      <c r="F506" s="54">
        <v>1010530003</v>
      </c>
      <c r="G506" s="54" t="s">
        <v>1816</v>
      </c>
      <c r="H506" s="56" t="s">
        <v>1767</v>
      </c>
    </row>
    <row r="507" spans="1:8">
      <c r="A507" s="54"/>
      <c r="B507" s="54">
        <v>44</v>
      </c>
      <c r="C507" s="54">
        <v>1</v>
      </c>
      <c r="D507" s="55">
        <v>11134402</v>
      </c>
      <c r="E507" s="54" t="s">
        <v>1475</v>
      </c>
      <c r="F507" s="54">
        <v>1010530003</v>
      </c>
      <c r="G507" s="54" t="s">
        <v>1816</v>
      </c>
      <c r="H507" s="56" t="s">
        <v>1767</v>
      </c>
    </row>
    <row r="508" spans="1:8">
      <c r="A508" s="54"/>
      <c r="B508" s="54">
        <v>45</v>
      </c>
      <c r="C508" s="54">
        <v>1</v>
      </c>
      <c r="D508" s="55">
        <v>11134502</v>
      </c>
      <c r="E508" s="54" t="s">
        <v>1476</v>
      </c>
      <c r="F508" s="54">
        <v>1010530003</v>
      </c>
      <c r="G508" s="54" t="s">
        <v>1816</v>
      </c>
      <c r="H508" s="56" t="s">
        <v>1767</v>
      </c>
    </row>
    <row r="509" spans="1:8">
      <c r="A509" s="54"/>
      <c r="B509" s="54">
        <v>46</v>
      </c>
      <c r="C509" s="54">
        <v>1</v>
      </c>
      <c r="D509" s="55">
        <v>11134602</v>
      </c>
      <c r="E509" s="54" t="s">
        <v>1477</v>
      </c>
      <c r="F509" s="54">
        <v>1010530003</v>
      </c>
      <c r="G509" s="54" t="s">
        <v>1817</v>
      </c>
      <c r="H509" s="56" t="s">
        <v>1767</v>
      </c>
    </row>
    <row r="510" spans="1:8">
      <c r="A510" s="54"/>
      <c r="B510" s="54">
        <v>47</v>
      </c>
      <c r="C510" s="54">
        <v>1</v>
      </c>
      <c r="D510" s="55">
        <v>11134702</v>
      </c>
      <c r="E510" s="54" t="s">
        <v>1478</v>
      </c>
      <c r="F510" s="54">
        <v>1010530003</v>
      </c>
      <c r="G510" s="54" t="s">
        <v>1817</v>
      </c>
      <c r="H510" s="56" t="s">
        <v>1767</v>
      </c>
    </row>
    <row r="511" spans="1:8">
      <c r="A511" s="54"/>
      <c r="B511" s="54">
        <v>48</v>
      </c>
      <c r="C511" s="54">
        <v>1</v>
      </c>
      <c r="D511" s="55">
        <v>11134802</v>
      </c>
      <c r="E511" s="54" t="s">
        <v>1479</v>
      </c>
      <c r="F511" s="54">
        <v>1010530003</v>
      </c>
      <c r="G511" s="54" t="s">
        <v>1817</v>
      </c>
      <c r="H511" s="56" t="s">
        <v>1767</v>
      </c>
    </row>
    <row r="512" spans="1:8">
      <c r="A512" s="54"/>
      <c r="B512" s="54">
        <v>49</v>
      </c>
      <c r="C512" s="54">
        <v>1</v>
      </c>
      <c r="D512" s="55">
        <v>11134902</v>
      </c>
      <c r="E512" s="54" t="s">
        <v>1480</v>
      </c>
      <c r="F512" s="54">
        <v>1010530003</v>
      </c>
      <c r="G512" s="54" t="s">
        <v>1817</v>
      </c>
      <c r="H512" s="56" t="s">
        <v>1767</v>
      </c>
    </row>
    <row r="513" spans="1:8">
      <c r="A513" s="54"/>
      <c r="B513" s="54">
        <v>50</v>
      </c>
      <c r="C513" s="54">
        <v>1</v>
      </c>
      <c r="D513" s="55">
        <v>11135002</v>
      </c>
      <c r="E513" s="54" t="s">
        <v>1481</v>
      </c>
      <c r="F513" s="54">
        <v>1010530003</v>
      </c>
      <c r="G513" s="54" t="s">
        <v>1817</v>
      </c>
      <c r="H513" s="56" t="s">
        <v>1767</v>
      </c>
    </row>
    <row r="514" spans="1:8">
      <c r="A514" s="50" t="s">
        <v>1584</v>
      </c>
      <c r="B514" s="50"/>
      <c r="C514" s="50"/>
      <c r="D514" s="50"/>
      <c r="E514" s="50"/>
      <c r="F514" s="50"/>
      <c r="G514" s="50"/>
      <c r="H514" s="50"/>
    </row>
    <row r="515" spans="1:8">
      <c r="A515" s="50"/>
      <c r="B515" s="50">
        <v>1</v>
      </c>
      <c r="C515" s="50">
        <v>1</v>
      </c>
      <c r="D515" s="51">
        <v>11130103</v>
      </c>
      <c r="E515" s="50" t="s">
        <v>1482</v>
      </c>
      <c r="F515" s="50"/>
      <c r="G515" s="50"/>
      <c r="H515" s="50"/>
    </row>
    <row r="516" spans="1:8">
      <c r="A516" s="50"/>
      <c r="B516" s="50">
        <v>2</v>
      </c>
      <c r="C516" s="50">
        <v>1</v>
      </c>
      <c r="D516" s="51">
        <v>11130203</v>
      </c>
      <c r="E516" s="50" t="s">
        <v>1483</v>
      </c>
      <c r="F516" s="50"/>
      <c r="G516" s="50"/>
      <c r="H516" s="50"/>
    </row>
    <row r="517" spans="1:8">
      <c r="A517" s="50"/>
      <c r="B517" s="50">
        <v>3</v>
      </c>
      <c r="C517" s="50">
        <v>1</v>
      </c>
      <c r="D517" s="51">
        <v>11130303</v>
      </c>
      <c r="E517" s="50" t="s">
        <v>1484</v>
      </c>
      <c r="F517" s="50"/>
      <c r="G517" s="50"/>
      <c r="H517" s="50"/>
    </row>
    <row r="518" spans="1:8">
      <c r="A518" s="50"/>
      <c r="B518" s="50">
        <v>4</v>
      </c>
      <c r="C518" s="50">
        <v>1</v>
      </c>
      <c r="D518" s="51">
        <v>11130403</v>
      </c>
      <c r="E518" s="50" t="s">
        <v>1485</v>
      </c>
      <c r="F518" s="50"/>
      <c r="G518" s="50"/>
      <c r="H518" s="50"/>
    </row>
    <row r="519" spans="1:8">
      <c r="A519" s="50"/>
      <c r="B519" s="50">
        <v>5</v>
      </c>
      <c r="C519" s="50">
        <v>1</v>
      </c>
      <c r="D519" s="51">
        <v>11130503</v>
      </c>
      <c r="E519" s="50" t="s">
        <v>1486</v>
      </c>
      <c r="F519" s="50"/>
      <c r="G519" s="50"/>
      <c r="H519" s="50"/>
    </row>
    <row r="520" spans="1:8">
      <c r="A520" s="50"/>
      <c r="B520" s="50">
        <v>6</v>
      </c>
      <c r="C520" s="50">
        <v>1</v>
      </c>
      <c r="D520" s="51">
        <v>11130603</v>
      </c>
      <c r="E520" s="50" t="s">
        <v>1487</v>
      </c>
      <c r="F520" s="50"/>
      <c r="G520" s="50"/>
      <c r="H520" s="50"/>
    </row>
    <row r="521" spans="1:8">
      <c r="A521" s="50"/>
      <c r="B521" s="50">
        <v>7</v>
      </c>
      <c r="C521" s="50">
        <v>1</v>
      </c>
      <c r="D521" s="51">
        <v>11130703</v>
      </c>
      <c r="E521" s="50" t="s">
        <v>1488</v>
      </c>
      <c r="F521" s="50"/>
      <c r="G521" s="50"/>
      <c r="H521" s="50"/>
    </row>
    <row r="522" spans="1:8">
      <c r="A522" s="50"/>
      <c r="B522" s="50">
        <v>8</v>
      </c>
      <c r="C522" s="50">
        <v>1</v>
      </c>
      <c r="D522" s="51">
        <v>11130803</v>
      </c>
      <c r="E522" s="50" t="s">
        <v>1489</v>
      </c>
      <c r="F522" s="50"/>
      <c r="G522" s="50"/>
      <c r="H522" s="50"/>
    </row>
    <row r="523" spans="1:8">
      <c r="A523" s="50"/>
      <c r="B523" s="50">
        <v>9</v>
      </c>
      <c r="C523" s="50">
        <v>1</v>
      </c>
      <c r="D523" s="51">
        <v>11130903</v>
      </c>
      <c r="E523" s="50" t="s">
        <v>1490</v>
      </c>
      <c r="F523" s="50"/>
      <c r="G523" s="50"/>
      <c r="H523" s="50"/>
    </row>
    <row r="524" spans="1:8">
      <c r="A524" s="50"/>
      <c r="B524" s="50">
        <v>10</v>
      </c>
      <c r="C524" s="50">
        <v>1</v>
      </c>
      <c r="D524" s="51">
        <v>11131003</v>
      </c>
      <c r="E524" s="50" t="s">
        <v>1491</v>
      </c>
      <c r="F524" s="50"/>
      <c r="G524" s="50"/>
      <c r="H524" s="50"/>
    </row>
    <row r="525" spans="1:8">
      <c r="A525" s="50"/>
      <c r="B525" s="50">
        <v>11</v>
      </c>
      <c r="C525" s="50">
        <v>1</v>
      </c>
      <c r="D525" s="51">
        <v>11131103</v>
      </c>
      <c r="E525" s="50" t="s">
        <v>1492</v>
      </c>
      <c r="F525" s="50">
        <v>1010520001</v>
      </c>
      <c r="G525" s="50" t="s">
        <v>1818</v>
      </c>
      <c r="H525" s="53" t="s">
        <v>1756</v>
      </c>
    </row>
    <row r="526" spans="1:8">
      <c r="A526" s="50"/>
      <c r="B526" s="50">
        <v>12</v>
      </c>
      <c r="C526" s="50">
        <v>1</v>
      </c>
      <c r="D526" s="51">
        <v>11131203</v>
      </c>
      <c r="E526" s="50" t="s">
        <v>1493</v>
      </c>
      <c r="F526" s="50">
        <v>1010520001</v>
      </c>
      <c r="G526" s="50" t="s">
        <v>1818</v>
      </c>
      <c r="H526" s="53" t="s">
        <v>1756</v>
      </c>
    </row>
    <row r="527" spans="1:8">
      <c r="A527" s="50"/>
      <c r="B527" s="50">
        <v>13</v>
      </c>
      <c r="C527" s="50">
        <v>1</v>
      </c>
      <c r="D527" s="51">
        <v>11131303</v>
      </c>
      <c r="E527" s="50" t="s">
        <v>1494</v>
      </c>
      <c r="F527" s="50">
        <v>1010520001</v>
      </c>
      <c r="G527" s="50" t="s">
        <v>1818</v>
      </c>
      <c r="H527" s="53" t="s">
        <v>1756</v>
      </c>
    </row>
    <row r="528" spans="1:8">
      <c r="A528" s="50"/>
      <c r="B528" s="50">
        <v>14</v>
      </c>
      <c r="C528" s="50">
        <v>1</v>
      </c>
      <c r="D528" s="51">
        <v>11131403</v>
      </c>
      <c r="E528" s="50" t="s">
        <v>1495</v>
      </c>
      <c r="F528" s="50">
        <v>1010520001</v>
      </c>
      <c r="G528" s="50" t="s">
        <v>1818</v>
      </c>
      <c r="H528" s="53" t="s">
        <v>1756</v>
      </c>
    </row>
    <row r="529" spans="1:8">
      <c r="A529" s="50"/>
      <c r="B529" s="50">
        <v>15</v>
      </c>
      <c r="C529" s="50">
        <v>1</v>
      </c>
      <c r="D529" s="51">
        <v>11131503</v>
      </c>
      <c r="E529" s="50" t="s">
        <v>1496</v>
      </c>
      <c r="F529" s="50">
        <v>1010520001</v>
      </c>
      <c r="G529" s="50" t="s">
        <v>1818</v>
      </c>
      <c r="H529" s="53" t="s">
        <v>1756</v>
      </c>
    </row>
    <row r="530" spans="1:8">
      <c r="A530" s="50"/>
      <c r="B530" s="50">
        <v>16</v>
      </c>
      <c r="C530" s="50">
        <v>1</v>
      </c>
      <c r="D530" s="51">
        <v>11131603</v>
      </c>
      <c r="E530" s="50" t="s">
        <v>1497</v>
      </c>
      <c r="F530" s="50">
        <v>1010520001</v>
      </c>
      <c r="G530" s="50" t="s">
        <v>1819</v>
      </c>
      <c r="H530" s="53" t="s">
        <v>1756</v>
      </c>
    </row>
    <row r="531" spans="1:8">
      <c r="A531" s="50"/>
      <c r="B531" s="50">
        <v>17</v>
      </c>
      <c r="C531" s="50">
        <v>1</v>
      </c>
      <c r="D531" s="51">
        <v>11131703</v>
      </c>
      <c r="E531" s="50" t="s">
        <v>1498</v>
      </c>
      <c r="F531" s="50">
        <v>1010520001</v>
      </c>
      <c r="G531" s="50" t="s">
        <v>1819</v>
      </c>
      <c r="H531" s="53" t="s">
        <v>1756</v>
      </c>
    </row>
    <row r="532" spans="1:8">
      <c r="A532" s="50"/>
      <c r="B532" s="50">
        <v>18</v>
      </c>
      <c r="C532" s="50">
        <v>1</v>
      </c>
      <c r="D532" s="51">
        <v>11131803</v>
      </c>
      <c r="E532" s="50" t="s">
        <v>1499</v>
      </c>
      <c r="F532" s="50">
        <v>1010520001</v>
      </c>
      <c r="G532" s="50" t="s">
        <v>1819</v>
      </c>
      <c r="H532" s="53" t="s">
        <v>1756</v>
      </c>
    </row>
    <row r="533" spans="1:8">
      <c r="A533" s="50"/>
      <c r="B533" s="50">
        <v>19</v>
      </c>
      <c r="C533" s="50">
        <v>1</v>
      </c>
      <c r="D533" s="51">
        <v>11131903</v>
      </c>
      <c r="E533" s="50" t="s">
        <v>1500</v>
      </c>
      <c r="F533" s="50">
        <v>1010520001</v>
      </c>
      <c r="G533" s="50" t="s">
        <v>1819</v>
      </c>
      <c r="H533" s="53" t="s">
        <v>1756</v>
      </c>
    </row>
    <row r="534" spans="1:8">
      <c r="A534" s="50"/>
      <c r="B534" s="50">
        <v>20</v>
      </c>
      <c r="C534" s="50">
        <v>1</v>
      </c>
      <c r="D534" s="51">
        <v>11132003</v>
      </c>
      <c r="E534" s="50" t="s">
        <v>1501</v>
      </c>
      <c r="F534" s="50">
        <v>1010520001</v>
      </c>
      <c r="G534" s="50" t="s">
        <v>1819</v>
      </c>
      <c r="H534" s="53" t="s">
        <v>1765</v>
      </c>
    </row>
    <row r="535" spans="1:8">
      <c r="A535" s="50"/>
      <c r="B535" s="50">
        <v>21</v>
      </c>
      <c r="C535" s="50">
        <v>1</v>
      </c>
      <c r="D535" s="51">
        <v>11132103</v>
      </c>
      <c r="E535" s="50" t="s">
        <v>1502</v>
      </c>
      <c r="F535" s="50">
        <v>1010520001</v>
      </c>
      <c r="G535" s="50" t="s">
        <v>1820</v>
      </c>
      <c r="H535" s="53" t="s">
        <v>1765</v>
      </c>
    </row>
    <row r="536" spans="1:8">
      <c r="A536" s="50"/>
      <c r="B536" s="50">
        <v>22</v>
      </c>
      <c r="C536" s="50">
        <v>1</v>
      </c>
      <c r="D536" s="51">
        <v>11132203</v>
      </c>
      <c r="E536" s="50" t="s">
        <v>1503</v>
      </c>
      <c r="F536" s="50">
        <v>1010520001</v>
      </c>
      <c r="G536" s="50" t="s">
        <v>1820</v>
      </c>
      <c r="H536" s="53" t="s">
        <v>1765</v>
      </c>
    </row>
    <row r="537" spans="1:8">
      <c r="A537" s="50"/>
      <c r="B537" s="50">
        <v>23</v>
      </c>
      <c r="C537" s="50">
        <v>1</v>
      </c>
      <c r="D537" s="51">
        <v>11132303</v>
      </c>
      <c r="E537" s="50" t="s">
        <v>1504</v>
      </c>
      <c r="F537" s="50">
        <v>1010520001</v>
      </c>
      <c r="G537" s="50" t="s">
        <v>1820</v>
      </c>
      <c r="H537" s="53" t="s">
        <v>1765</v>
      </c>
    </row>
    <row r="538" spans="1:8">
      <c r="A538" s="50"/>
      <c r="B538" s="50">
        <v>24</v>
      </c>
      <c r="C538" s="50">
        <v>1</v>
      </c>
      <c r="D538" s="51">
        <v>11132403</v>
      </c>
      <c r="E538" s="50" t="s">
        <v>1505</v>
      </c>
      <c r="F538" s="50">
        <v>1010520001</v>
      </c>
      <c r="G538" s="50" t="s">
        <v>1820</v>
      </c>
      <c r="H538" s="53" t="s">
        <v>1765</v>
      </c>
    </row>
    <row r="539" spans="1:8">
      <c r="A539" s="50"/>
      <c r="B539" s="50">
        <v>25</v>
      </c>
      <c r="C539" s="50">
        <v>1</v>
      </c>
      <c r="D539" s="51">
        <v>11132503</v>
      </c>
      <c r="E539" s="50" t="s">
        <v>1506</v>
      </c>
      <c r="F539" s="50">
        <v>1010520001</v>
      </c>
      <c r="G539" s="50" t="s">
        <v>1820</v>
      </c>
      <c r="H539" s="53" t="s">
        <v>1765</v>
      </c>
    </row>
    <row r="540" spans="1:8">
      <c r="A540" s="50"/>
      <c r="B540" s="50">
        <v>26</v>
      </c>
      <c r="C540" s="50">
        <v>1</v>
      </c>
      <c r="D540" s="51">
        <v>11132603</v>
      </c>
      <c r="E540" s="50" t="s">
        <v>1507</v>
      </c>
      <c r="F540" s="50">
        <v>1010520001</v>
      </c>
      <c r="G540" s="50" t="s">
        <v>1821</v>
      </c>
      <c r="H540" s="53" t="s">
        <v>1765</v>
      </c>
    </row>
    <row r="541" spans="1:8">
      <c r="A541" s="50"/>
      <c r="B541" s="50">
        <v>27</v>
      </c>
      <c r="C541" s="50">
        <v>1</v>
      </c>
      <c r="D541" s="51">
        <v>11132703</v>
      </c>
      <c r="E541" s="50" t="s">
        <v>1508</v>
      </c>
      <c r="F541" s="50">
        <v>1010520001</v>
      </c>
      <c r="G541" s="50" t="s">
        <v>1821</v>
      </c>
      <c r="H541" s="53" t="s">
        <v>1765</v>
      </c>
    </row>
    <row r="542" spans="1:8">
      <c r="A542" s="50"/>
      <c r="B542" s="50">
        <v>28</v>
      </c>
      <c r="C542" s="50">
        <v>1</v>
      </c>
      <c r="D542" s="51">
        <v>11132803</v>
      </c>
      <c r="E542" s="50" t="s">
        <v>1509</v>
      </c>
      <c r="F542" s="50">
        <v>1010520001</v>
      </c>
      <c r="G542" s="50" t="s">
        <v>1821</v>
      </c>
      <c r="H542" s="53" t="s">
        <v>1765</v>
      </c>
    </row>
    <row r="543" spans="1:8">
      <c r="A543" s="50"/>
      <c r="B543" s="50">
        <v>29</v>
      </c>
      <c r="C543" s="50">
        <v>1</v>
      </c>
      <c r="D543" s="51">
        <v>11132903</v>
      </c>
      <c r="E543" s="50" t="s">
        <v>1510</v>
      </c>
      <c r="F543" s="50">
        <v>1010520001</v>
      </c>
      <c r="G543" s="50" t="s">
        <v>1821</v>
      </c>
      <c r="H543" s="53" t="s">
        <v>1765</v>
      </c>
    </row>
    <row r="544" spans="1:8">
      <c r="A544" s="50"/>
      <c r="B544" s="50">
        <v>30</v>
      </c>
      <c r="C544" s="50">
        <v>1</v>
      </c>
      <c r="D544" s="51">
        <v>11133003</v>
      </c>
      <c r="E544" s="50" t="s">
        <v>1511</v>
      </c>
      <c r="F544" s="50">
        <v>1010520001</v>
      </c>
      <c r="G544" s="50" t="s">
        <v>1821</v>
      </c>
      <c r="H544" s="53" t="s">
        <v>1765</v>
      </c>
    </row>
    <row r="545" spans="1:8">
      <c r="A545" s="50"/>
      <c r="B545" s="50">
        <v>31</v>
      </c>
      <c r="C545" s="50">
        <v>1</v>
      </c>
      <c r="D545" s="51">
        <v>11133103</v>
      </c>
      <c r="E545" s="50" t="s">
        <v>1512</v>
      </c>
      <c r="F545" s="50">
        <v>1010520001</v>
      </c>
      <c r="G545" s="50" t="s">
        <v>1822</v>
      </c>
      <c r="H545" s="53" t="s">
        <v>1766</v>
      </c>
    </row>
    <row r="546" spans="1:8">
      <c r="A546" s="50"/>
      <c r="B546" s="50">
        <v>32</v>
      </c>
      <c r="C546" s="50">
        <v>1</v>
      </c>
      <c r="D546" s="51">
        <v>11133203</v>
      </c>
      <c r="E546" s="50" t="s">
        <v>1513</v>
      </c>
      <c r="F546" s="50">
        <v>1010520001</v>
      </c>
      <c r="G546" s="50" t="s">
        <v>1822</v>
      </c>
      <c r="H546" s="53" t="s">
        <v>1766</v>
      </c>
    </row>
    <row r="547" spans="1:8">
      <c r="A547" s="50"/>
      <c r="B547" s="50">
        <v>33</v>
      </c>
      <c r="C547" s="50">
        <v>1</v>
      </c>
      <c r="D547" s="51">
        <v>11133303</v>
      </c>
      <c r="E547" s="50" t="s">
        <v>1514</v>
      </c>
      <c r="F547" s="50">
        <v>1010520001</v>
      </c>
      <c r="G547" s="50" t="s">
        <v>1822</v>
      </c>
      <c r="H547" s="53" t="s">
        <v>1766</v>
      </c>
    </row>
    <row r="548" spans="1:8">
      <c r="A548" s="50"/>
      <c r="B548" s="50">
        <v>34</v>
      </c>
      <c r="C548" s="50">
        <v>1</v>
      </c>
      <c r="D548" s="51">
        <v>11133403</v>
      </c>
      <c r="E548" s="50" t="s">
        <v>1515</v>
      </c>
      <c r="F548" s="50">
        <v>1010520001</v>
      </c>
      <c r="G548" s="50" t="s">
        <v>1822</v>
      </c>
      <c r="H548" s="53" t="s">
        <v>1766</v>
      </c>
    </row>
    <row r="549" spans="1:8">
      <c r="A549" s="50"/>
      <c r="B549" s="50">
        <v>35</v>
      </c>
      <c r="C549" s="50">
        <v>1</v>
      </c>
      <c r="D549" s="51">
        <v>11133503</v>
      </c>
      <c r="E549" s="50" t="s">
        <v>1516</v>
      </c>
      <c r="F549" s="50">
        <v>1010520001</v>
      </c>
      <c r="G549" s="50" t="s">
        <v>1822</v>
      </c>
      <c r="H549" s="53" t="s">
        <v>1766</v>
      </c>
    </row>
    <row r="550" spans="1:8">
      <c r="A550" s="50"/>
      <c r="B550" s="50">
        <v>36</v>
      </c>
      <c r="C550" s="50">
        <v>1</v>
      </c>
      <c r="D550" s="51">
        <v>11133603</v>
      </c>
      <c r="E550" s="50" t="s">
        <v>1517</v>
      </c>
      <c r="F550" s="50">
        <v>1010520001</v>
      </c>
      <c r="G550" s="50" t="s">
        <v>1823</v>
      </c>
      <c r="H550" s="53" t="s">
        <v>1766</v>
      </c>
    </row>
    <row r="551" spans="1:8">
      <c r="A551" s="50"/>
      <c r="B551" s="50">
        <v>37</v>
      </c>
      <c r="C551" s="50">
        <v>1</v>
      </c>
      <c r="D551" s="51">
        <v>11133703</v>
      </c>
      <c r="E551" s="50" t="s">
        <v>1518</v>
      </c>
      <c r="F551" s="50">
        <v>1010520001</v>
      </c>
      <c r="G551" s="50" t="s">
        <v>1823</v>
      </c>
      <c r="H551" s="53" t="s">
        <v>1766</v>
      </c>
    </row>
    <row r="552" spans="1:8">
      <c r="A552" s="50"/>
      <c r="B552" s="50">
        <v>38</v>
      </c>
      <c r="C552" s="50">
        <v>1</v>
      </c>
      <c r="D552" s="51">
        <v>11133803</v>
      </c>
      <c r="E552" s="50" t="s">
        <v>1519</v>
      </c>
      <c r="F552" s="50">
        <v>1010520001</v>
      </c>
      <c r="G552" s="50" t="s">
        <v>1823</v>
      </c>
      <c r="H552" s="53" t="s">
        <v>1766</v>
      </c>
    </row>
    <row r="553" spans="1:8">
      <c r="A553" s="50"/>
      <c r="B553" s="50">
        <v>39</v>
      </c>
      <c r="C553" s="50">
        <v>1</v>
      </c>
      <c r="D553" s="51">
        <v>11133903</v>
      </c>
      <c r="E553" s="50" t="s">
        <v>1520</v>
      </c>
      <c r="F553" s="50">
        <v>1010520001</v>
      </c>
      <c r="G553" s="50" t="s">
        <v>1823</v>
      </c>
      <c r="H553" s="53" t="s">
        <v>1766</v>
      </c>
    </row>
    <row r="554" spans="1:8">
      <c r="A554" s="50"/>
      <c r="B554" s="50">
        <v>40</v>
      </c>
      <c r="C554" s="50">
        <v>1</v>
      </c>
      <c r="D554" s="51">
        <v>11134003</v>
      </c>
      <c r="E554" s="50" t="s">
        <v>1521</v>
      </c>
      <c r="F554" s="50">
        <v>1010520001</v>
      </c>
      <c r="G554" s="50" t="s">
        <v>1823</v>
      </c>
      <c r="H554" s="53" t="s">
        <v>1766</v>
      </c>
    </row>
    <row r="555" spans="1:8">
      <c r="A555" s="50"/>
      <c r="B555" s="50">
        <v>41</v>
      </c>
      <c r="C555" s="50">
        <v>1</v>
      </c>
      <c r="D555" s="51">
        <v>11134103</v>
      </c>
      <c r="E555" s="50" t="s">
        <v>1522</v>
      </c>
      <c r="F555" s="50">
        <v>1010520001</v>
      </c>
      <c r="G555" s="50" t="s">
        <v>1824</v>
      </c>
      <c r="H555" s="53" t="s">
        <v>1767</v>
      </c>
    </row>
    <row r="556" spans="1:8">
      <c r="A556" s="50"/>
      <c r="B556" s="50">
        <v>42</v>
      </c>
      <c r="C556" s="50">
        <v>1</v>
      </c>
      <c r="D556" s="51">
        <v>11134203</v>
      </c>
      <c r="E556" s="50" t="s">
        <v>1523</v>
      </c>
      <c r="F556" s="50">
        <v>1010520001</v>
      </c>
      <c r="G556" s="50" t="s">
        <v>1824</v>
      </c>
      <c r="H556" s="53" t="s">
        <v>1767</v>
      </c>
    </row>
    <row r="557" spans="1:8">
      <c r="A557" s="50"/>
      <c r="B557" s="50">
        <v>43</v>
      </c>
      <c r="C557" s="50">
        <v>1</v>
      </c>
      <c r="D557" s="51">
        <v>11134303</v>
      </c>
      <c r="E557" s="50" t="s">
        <v>1524</v>
      </c>
      <c r="F557" s="50">
        <v>1010520001</v>
      </c>
      <c r="G557" s="50" t="s">
        <v>1824</v>
      </c>
      <c r="H557" s="53" t="s">
        <v>1767</v>
      </c>
    </row>
    <row r="558" spans="1:8">
      <c r="A558" s="50"/>
      <c r="B558" s="50">
        <v>44</v>
      </c>
      <c r="C558" s="50">
        <v>1</v>
      </c>
      <c r="D558" s="51">
        <v>11134403</v>
      </c>
      <c r="E558" s="50" t="s">
        <v>1525</v>
      </c>
      <c r="F558" s="50">
        <v>1010520001</v>
      </c>
      <c r="G558" s="50" t="s">
        <v>1824</v>
      </c>
      <c r="H558" s="53" t="s">
        <v>1767</v>
      </c>
    </row>
    <row r="559" spans="1:8">
      <c r="A559" s="50"/>
      <c r="B559" s="50">
        <v>45</v>
      </c>
      <c r="C559" s="50">
        <v>1</v>
      </c>
      <c r="D559" s="51">
        <v>11134503</v>
      </c>
      <c r="E559" s="50" t="s">
        <v>1526</v>
      </c>
      <c r="F559" s="50">
        <v>1010520001</v>
      </c>
      <c r="G559" s="50" t="s">
        <v>1824</v>
      </c>
      <c r="H559" s="53" t="s">
        <v>1767</v>
      </c>
    </row>
    <row r="560" spans="1:8">
      <c r="A560" s="50"/>
      <c r="B560" s="50">
        <v>46</v>
      </c>
      <c r="C560" s="50">
        <v>1</v>
      </c>
      <c r="D560" s="51">
        <v>11134603</v>
      </c>
      <c r="E560" s="50" t="s">
        <v>1527</v>
      </c>
      <c r="F560" s="50">
        <v>1010520001</v>
      </c>
      <c r="G560" s="50" t="s">
        <v>1825</v>
      </c>
      <c r="H560" s="53" t="s">
        <v>1767</v>
      </c>
    </row>
    <row r="561" spans="1:8">
      <c r="A561" s="50"/>
      <c r="B561" s="50">
        <v>47</v>
      </c>
      <c r="C561" s="50">
        <v>1</v>
      </c>
      <c r="D561" s="51">
        <v>11134703</v>
      </c>
      <c r="E561" s="50" t="s">
        <v>1528</v>
      </c>
      <c r="F561" s="50">
        <v>1010520001</v>
      </c>
      <c r="G561" s="50" t="s">
        <v>1825</v>
      </c>
      <c r="H561" s="53" t="s">
        <v>1767</v>
      </c>
    </row>
    <row r="562" spans="1:8">
      <c r="A562" s="50"/>
      <c r="B562" s="50">
        <v>48</v>
      </c>
      <c r="C562" s="50">
        <v>1</v>
      </c>
      <c r="D562" s="51">
        <v>11134803</v>
      </c>
      <c r="E562" s="50" t="s">
        <v>1529</v>
      </c>
      <c r="F562" s="50">
        <v>1010520001</v>
      </c>
      <c r="G562" s="50" t="s">
        <v>1825</v>
      </c>
      <c r="H562" s="53" t="s">
        <v>1767</v>
      </c>
    </row>
    <row r="563" spans="1:8">
      <c r="A563" s="50"/>
      <c r="B563" s="50">
        <v>49</v>
      </c>
      <c r="C563" s="50">
        <v>1</v>
      </c>
      <c r="D563" s="51">
        <v>11134903</v>
      </c>
      <c r="E563" s="50" t="s">
        <v>1530</v>
      </c>
      <c r="F563" s="50">
        <v>1010520001</v>
      </c>
      <c r="G563" s="50" t="s">
        <v>1825</v>
      </c>
      <c r="H563" s="53" t="s">
        <v>1767</v>
      </c>
    </row>
    <row r="564" spans="1:8">
      <c r="A564" s="50"/>
      <c r="B564" s="50">
        <v>50</v>
      </c>
      <c r="C564" s="50">
        <v>1</v>
      </c>
      <c r="D564" s="51">
        <v>11135003</v>
      </c>
      <c r="E564" s="50" t="s">
        <v>1531</v>
      </c>
      <c r="F564" s="50">
        <v>1010520001</v>
      </c>
      <c r="G564" s="50" t="s">
        <v>1825</v>
      </c>
      <c r="H564" s="53" t="s">
        <v>1767</v>
      </c>
    </row>
    <row r="565" spans="1:8">
      <c r="A565" s="54" t="s">
        <v>1585</v>
      </c>
      <c r="B565" s="54"/>
      <c r="C565" s="54"/>
      <c r="D565" s="54"/>
      <c r="E565" s="54"/>
      <c r="F565" s="54"/>
      <c r="G565" s="54"/>
      <c r="H565" s="54"/>
    </row>
    <row r="566" spans="1:8">
      <c r="A566" s="54"/>
      <c r="B566" s="54">
        <v>1</v>
      </c>
      <c r="C566" s="54">
        <v>1</v>
      </c>
      <c r="D566" s="55">
        <v>11130104</v>
      </c>
      <c r="E566" s="54" t="s">
        <v>1532</v>
      </c>
      <c r="F566" s="54"/>
      <c r="G566" s="54"/>
      <c r="H566" s="54"/>
    </row>
    <row r="567" spans="1:8">
      <c r="A567" s="54"/>
      <c r="B567" s="54">
        <v>2</v>
      </c>
      <c r="C567" s="54">
        <v>1</v>
      </c>
      <c r="D567" s="55">
        <v>11130204</v>
      </c>
      <c r="E567" s="54" t="s">
        <v>1533</v>
      </c>
      <c r="F567" s="54"/>
      <c r="G567" s="54"/>
      <c r="H567" s="54"/>
    </row>
    <row r="568" spans="1:8">
      <c r="A568" s="54"/>
      <c r="B568" s="54">
        <v>3</v>
      </c>
      <c r="C568" s="54">
        <v>1</v>
      </c>
      <c r="D568" s="55">
        <v>11130304</v>
      </c>
      <c r="E568" s="54" t="s">
        <v>1534</v>
      </c>
      <c r="F568" s="54"/>
      <c r="G568" s="54"/>
      <c r="H568" s="54"/>
    </row>
    <row r="569" spans="1:8">
      <c r="A569" s="54"/>
      <c r="B569" s="54">
        <v>4</v>
      </c>
      <c r="C569" s="54">
        <v>1</v>
      </c>
      <c r="D569" s="55">
        <v>11130404</v>
      </c>
      <c r="E569" s="54" t="s">
        <v>1535</v>
      </c>
      <c r="F569" s="54"/>
      <c r="G569" s="54"/>
      <c r="H569" s="54"/>
    </row>
    <row r="570" spans="1:8">
      <c r="A570" s="54"/>
      <c r="B570" s="54">
        <v>5</v>
      </c>
      <c r="C570" s="54">
        <v>1</v>
      </c>
      <c r="D570" s="55">
        <v>11130504</v>
      </c>
      <c r="E570" s="54" t="s">
        <v>1536</v>
      </c>
      <c r="F570" s="54"/>
      <c r="G570" s="54"/>
      <c r="H570" s="54"/>
    </row>
    <row r="571" spans="1:8">
      <c r="A571" s="54"/>
      <c r="B571" s="54">
        <v>6</v>
      </c>
      <c r="C571" s="54">
        <v>1</v>
      </c>
      <c r="D571" s="55">
        <v>11130604</v>
      </c>
      <c r="E571" s="54" t="s">
        <v>1537</v>
      </c>
      <c r="F571" s="54"/>
      <c r="G571" s="54"/>
      <c r="H571" s="54"/>
    </row>
    <row r="572" spans="1:8">
      <c r="A572" s="54"/>
      <c r="B572" s="54">
        <v>7</v>
      </c>
      <c r="C572" s="54">
        <v>1</v>
      </c>
      <c r="D572" s="55">
        <v>11130704</v>
      </c>
      <c r="E572" s="54" t="s">
        <v>1538</v>
      </c>
      <c r="F572" s="54"/>
      <c r="G572" s="54"/>
      <c r="H572" s="54"/>
    </row>
    <row r="573" spans="1:8">
      <c r="A573" s="54"/>
      <c r="B573" s="54">
        <v>8</v>
      </c>
      <c r="C573" s="54">
        <v>1</v>
      </c>
      <c r="D573" s="55">
        <v>11130804</v>
      </c>
      <c r="E573" s="54" t="s">
        <v>1539</v>
      </c>
      <c r="F573" s="54"/>
      <c r="G573" s="54"/>
      <c r="H573" s="54"/>
    </row>
    <row r="574" spans="1:8">
      <c r="A574" s="54"/>
      <c r="B574" s="54">
        <v>9</v>
      </c>
      <c r="C574" s="54">
        <v>1</v>
      </c>
      <c r="D574" s="55">
        <v>11130904</v>
      </c>
      <c r="E574" s="54" t="s">
        <v>1540</v>
      </c>
      <c r="F574" s="54"/>
      <c r="G574" s="54"/>
      <c r="H574" s="54"/>
    </row>
    <row r="575" spans="1:8">
      <c r="A575" s="54"/>
      <c r="B575" s="54">
        <v>10</v>
      </c>
      <c r="C575" s="54">
        <v>1</v>
      </c>
      <c r="D575" s="55">
        <v>11131004</v>
      </c>
      <c r="E575" s="54" t="s">
        <v>1541</v>
      </c>
      <c r="F575" s="54"/>
      <c r="G575" s="54"/>
      <c r="H575" s="54"/>
    </row>
    <row r="576" spans="1:8">
      <c r="A576" s="54"/>
      <c r="B576" s="54">
        <v>11</v>
      </c>
      <c r="C576" s="54">
        <v>1</v>
      </c>
      <c r="D576" s="55">
        <v>11131104</v>
      </c>
      <c r="E576" s="54" t="s">
        <v>1542</v>
      </c>
      <c r="F576" s="54">
        <v>1010910002</v>
      </c>
      <c r="G576" s="54" t="s">
        <v>1826</v>
      </c>
      <c r="H576" s="56" t="s">
        <v>1756</v>
      </c>
    </row>
    <row r="577" spans="1:8">
      <c r="A577" s="54"/>
      <c r="B577" s="54">
        <v>12</v>
      </c>
      <c r="C577" s="54">
        <v>1</v>
      </c>
      <c r="D577" s="55">
        <v>11131204</v>
      </c>
      <c r="E577" s="54" t="s">
        <v>1543</v>
      </c>
      <c r="F577" s="54">
        <v>1010910002</v>
      </c>
      <c r="G577" s="54" t="s">
        <v>1826</v>
      </c>
      <c r="H577" s="56" t="s">
        <v>1756</v>
      </c>
    </row>
    <row r="578" spans="1:8">
      <c r="A578" s="54"/>
      <c r="B578" s="54">
        <v>13</v>
      </c>
      <c r="C578" s="54">
        <v>1</v>
      </c>
      <c r="D578" s="55">
        <v>11131304</v>
      </c>
      <c r="E578" s="54" t="s">
        <v>1544</v>
      </c>
      <c r="F578" s="54">
        <v>1010910002</v>
      </c>
      <c r="G578" s="54" t="s">
        <v>1826</v>
      </c>
      <c r="H578" s="56" t="s">
        <v>1756</v>
      </c>
    </row>
    <row r="579" spans="1:8">
      <c r="A579" s="54"/>
      <c r="B579" s="54">
        <v>14</v>
      </c>
      <c r="C579" s="54">
        <v>1</v>
      </c>
      <c r="D579" s="55">
        <v>11131404</v>
      </c>
      <c r="E579" s="54" t="s">
        <v>1545</v>
      </c>
      <c r="F579" s="54">
        <v>1010910002</v>
      </c>
      <c r="G579" s="54" t="s">
        <v>1826</v>
      </c>
      <c r="H579" s="56" t="s">
        <v>1756</v>
      </c>
    </row>
    <row r="580" spans="1:8">
      <c r="A580" s="54"/>
      <c r="B580" s="54">
        <v>15</v>
      </c>
      <c r="C580" s="54">
        <v>1</v>
      </c>
      <c r="D580" s="55">
        <v>11131504</v>
      </c>
      <c r="E580" s="54" t="s">
        <v>1546</v>
      </c>
      <c r="F580" s="54">
        <v>1010910002</v>
      </c>
      <c r="G580" s="54" t="s">
        <v>1826</v>
      </c>
      <c r="H580" s="56" t="s">
        <v>1756</v>
      </c>
    </row>
    <row r="581" spans="1:8">
      <c r="A581" s="54"/>
      <c r="B581" s="54">
        <v>16</v>
      </c>
      <c r="C581" s="54">
        <v>1</v>
      </c>
      <c r="D581" s="55">
        <v>11131604</v>
      </c>
      <c r="E581" s="54" t="s">
        <v>1547</v>
      </c>
      <c r="F581" s="54">
        <v>1010910002</v>
      </c>
      <c r="G581" s="54" t="s">
        <v>1827</v>
      </c>
      <c r="H581" s="56" t="s">
        <v>1756</v>
      </c>
    </row>
    <row r="582" spans="1:8">
      <c r="A582" s="54"/>
      <c r="B582" s="54">
        <v>17</v>
      </c>
      <c r="C582" s="54">
        <v>1</v>
      </c>
      <c r="D582" s="55">
        <v>11131704</v>
      </c>
      <c r="E582" s="54" t="s">
        <v>1548</v>
      </c>
      <c r="F582" s="54">
        <v>1010910002</v>
      </c>
      <c r="G582" s="54" t="s">
        <v>1827</v>
      </c>
      <c r="H582" s="56" t="s">
        <v>1756</v>
      </c>
    </row>
    <row r="583" spans="1:8">
      <c r="A583" s="54"/>
      <c r="B583" s="54">
        <v>18</v>
      </c>
      <c r="C583" s="54">
        <v>1</v>
      </c>
      <c r="D583" s="55">
        <v>11131804</v>
      </c>
      <c r="E583" s="54" t="s">
        <v>1549</v>
      </c>
      <c r="F583" s="54">
        <v>1010910002</v>
      </c>
      <c r="G583" s="54" t="s">
        <v>1827</v>
      </c>
      <c r="H583" s="56" t="s">
        <v>1756</v>
      </c>
    </row>
    <row r="584" spans="1:8">
      <c r="A584" s="54"/>
      <c r="B584" s="54">
        <v>19</v>
      </c>
      <c r="C584" s="54">
        <v>1</v>
      </c>
      <c r="D584" s="55">
        <v>11131904</v>
      </c>
      <c r="E584" s="54" t="s">
        <v>1550</v>
      </c>
      <c r="F584" s="54">
        <v>1010910002</v>
      </c>
      <c r="G584" s="54" t="s">
        <v>1827</v>
      </c>
      <c r="H584" s="56" t="s">
        <v>1756</v>
      </c>
    </row>
    <row r="585" spans="1:8">
      <c r="A585" s="54"/>
      <c r="B585" s="54">
        <v>20</v>
      </c>
      <c r="C585" s="54">
        <v>1</v>
      </c>
      <c r="D585" s="55">
        <v>11132004</v>
      </c>
      <c r="E585" s="54" t="s">
        <v>1551</v>
      </c>
      <c r="F585" s="54">
        <v>1010910002</v>
      </c>
      <c r="G585" s="54" t="s">
        <v>1827</v>
      </c>
      <c r="H585" s="56" t="s">
        <v>1765</v>
      </c>
    </row>
    <row r="586" spans="1:8">
      <c r="A586" s="54"/>
      <c r="B586" s="54">
        <v>21</v>
      </c>
      <c r="C586" s="54">
        <v>1</v>
      </c>
      <c r="D586" s="55">
        <v>11132104</v>
      </c>
      <c r="E586" s="54" t="s">
        <v>1552</v>
      </c>
      <c r="F586" s="54">
        <v>1010910002</v>
      </c>
      <c r="G586" s="54" t="s">
        <v>1828</v>
      </c>
      <c r="H586" s="56" t="s">
        <v>1765</v>
      </c>
    </row>
    <row r="587" spans="1:8">
      <c r="A587" s="54"/>
      <c r="B587" s="54">
        <v>22</v>
      </c>
      <c r="C587" s="54">
        <v>1</v>
      </c>
      <c r="D587" s="55">
        <v>11132204</v>
      </c>
      <c r="E587" s="54" t="s">
        <v>1553</v>
      </c>
      <c r="F587" s="54">
        <v>1010910002</v>
      </c>
      <c r="G587" s="54" t="s">
        <v>1828</v>
      </c>
      <c r="H587" s="56" t="s">
        <v>1765</v>
      </c>
    </row>
    <row r="588" spans="1:8">
      <c r="A588" s="54"/>
      <c r="B588" s="54">
        <v>23</v>
      </c>
      <c r="C588" s="54">
        <v>1</v>
      </c>
      <c r="D588" s="55">
        <v>11132304</v>
      </c>
      <c r="E588" s="54" t="s">
        <v>1554</v>
      </c>
      <c r="F588" s="54">
        <v>1010910002</v>
      </c>
      <c r="G588" s="54" t="s">
        <v>1828</v>
      </c>
      <c r="H588" s="56" t="s">
        <v>1765</v>
      </c>
    </row>
    <row r="589" spans="1:8">
      <c r="A589" s="54"/>
      <c r="B589" s="54">
        <v>24</v>
      </c>
      <c r="C589" s="54">
        <v>1</v>
      </c>
      <c r="D589" s="55">
        <v>11132404</v>
      </c>
      <c r="E589" s="54" t="s">
        <v>1555</v>
      </c>
      <c r="F589" s="54">
        <v>1010910002</v>
      </c>
      <c r="G589" s="54" t="s">
        <v>1828</v>
      </c>
      <c r="H589" s="56" t="s">
        <v>1765</v>
      </c>
    </row>
    <row r="590" spans="1:8">
      <c r="A590" s="54"/>
      <c r="B590" s="54">
        <v>25</v>
      </c>
      <c r="C590" s="54">
        <v>1</v>
      </c>
      <c r="D590" s="55">
        <v>11132504</v>
      </c>
      <c r="E590" s="54" t="s">
        <v>1556</v>
      </c>
      <c r="F590" s="54">
        <v>1010910002</v>
      </c>
      <c r="G590" s="54" t="s">
        <v>1828</v>
      </c>
      <c r="H590" s="56" t="s">
        <v>1765</v>
      </c>
    </row>
    <row r="591" spans="1:8">
      <c r="A591" s="54"/>
      <c r="B591" s="54">
        <v>26</v>
      </c>
      <c r="C591" s="54">
        <v>1</v>
      </c>
      <c r="D591" s="55">
        <v>11132604</v>
      </c>
      <c r="E591" s="54" t="s">
        <v>1557</v>
      </c>
      <c r="F591" s="54">
        <v>1010910002</v>
      </c>
      <c r="G591" s="54" t="s">
        <v>1829</v>
      </c>
      <c r="H591" s="56" t="s">
        <v>1765</v>
      </c>
    </row>
    <row r="592" spans="1:8">
      <c r="A592" s="54"/>
      <c r="B592" s="54">
        <v>27</v>
      </c>
      <c r="C592" s="54">
        <v>1</v>
      </c>
      <c r="D592" s="55">
        <v>11132704</v>
      </c>
      <c r="E592" s="54" t="s">
        <v>1558</v>
      </c>
      <c r="F592" s="54">
        <v>1010910002</v>
      </c>
      <c r="G592" s="54" t="s">
        <v>1829</v>
      </c>
      <c r="H592" s="56" t="s">
        <v>1765</v>
      </c>
    </row>
    <row r="593" spans="1:8">
      <c r="A593" s="54"/>
      <c r="B593" s="54">
        <v>28</v>
      </c>
      <c r="C593" s="54">
        <v>1</v>
      </c>
      <c r="D593" s="55">
        <v>11132804</v>
      </c>
      <c r="E593" s="54" t="s">
        <v>1559</v>
      </c>
      <c r="F593" s="54">
        <v>1010910002</v>
      </c>
      <c r="G593" s="54" t="s">
        <v>1829</v>
      </c>
      <c r="H593" s="56" t="s">
        <v>1765</v>
      </c>
    </row>
    <row r="594" spans="1:8">
      <c r="A594" s="54"/>
      <c r="B594" s="54">
        <v>29</v>
      </c>
      <c r="C594" s="54">
        <v>1</v>
      </c>
      <c r="D594" s="55">
        <v>11132904</v>
      </c>
      <c r="E594" s="54" t="s">
        <v>1560</v>
      </c>
      <c r="F594" s="54">
        <v>1010910002</v>
      </c>
      <c r="G594" s="54" t="s">
        <v>1829</v>
      </c>
      <c r="H594" s="56" t="s">
        <v>1765</v>
      </c>
    </row>
    <row r="595" spans="1:8">
      <c r="A595" s="54"/>
      <c r="B595" s="54">
        <v>30</v>
      </c>
      <c r="C595" s="54">
        <v>1</v>
      </c>
      <c r="D595" s="55">
        <v>11133004</v>
      </c>
      <c r="E595" s="54" t="s">
        <v>1561</v>
      </c>
      <c r="F595" s="54">
        <v>1010910002</v>
      </c>
      <c r="G595" s="54" t="s">
        <v>1829</v>
      </c>
      <c r="H595" s="56" t="s">
        <v>1765</v>
      </c>
    </row>
    <row r="596" spans="1:8">
      <c r="A596" s="54"/>
      <c r="B596" s="54">
        <v>31</v>
      </c>
      <c r="C596" s="54">
        <v>1</v>
      </c>
      <c r="D596" s="55">
        <v>11133104</v>
      </c>
      <c r="E596" s="54" t="s">
        <v>1562</v>
      </c>
      <c r="F596" s="54">
        <v>1010910002</v>
      </c>
      <c r="G596" s="54" t="s">
        <v>1830</v>
      </c>
      <c r="H596" s="56" t="s">
        <v>1766</v>
      </c>
    </row>
    <row r="597" spans="1:8">
      <c r="A597" s="54"/>
      <c r="B597" s="54">
        <v>32</v>
      </c>
      <c r="C597" s="54">
        <v>1</v>
      </c>
      <c r="D597" s="55">
        <v>11133204</v>
      </c>
      <c r="E597" s="54" t="s">
        <v>1563</v>
      </c>
      <c r="F597" s="54">
        <v>1010910002</v>
      </c>
      <c r="G597" s="54" t="s">
        <v>1830</v>
      </c>
      <c r="H597" s="56" t="s">
        <v>1766</v>
      </c>
    </row>
    <row r="598" spans="1:8">
      <c r="A598" s="54"/>
      <c r="B598" s="54">
        <v>33</v>
      </c>
      <c r="C598" s="54">
        <v>1</v>
      </c>
      <c r="D598" s="55">
        <v>11133304</v>
      </c>
      <c r="E598" s="54" t="s">
        <v>1564</v>
      </c>
      <c r="F598" s="54">
        <v>1010910002</v>
      </c>
      <c r="G598" s="54" t="s">
        <v>1830</v>
      </c>
      <c r="H598" s="56" t="s">
        <v>1766</v>
      </c>
    </row>
    <row r="599" spans="1:8">
      <c r="A599" s="54"/>
      <c r="B599" s="54">
        <v>34</v>
      </c>
      <c r="C599" s="54">
        <v>1</v>
      </c>
      <c r="D599" s="55">
        <v>11133404</v>
      </c>
      <c r="E599" s="54" t="s">
        <v>1565</v>
      </c>
      <c r="F599" s="54">
        <v>1010910002</v>
      </c>
      <c r="G599" s="54" t="s">
        <v>1830</v>
      </c>
      <c r="H599" s="56" t="s">
        <v>1766</v>
      </c>
    </row>
    <row r="600" spans="1:8">
      <c r="A600" s="54"/>
      <c r="B600" s="54">
        <v>35</v>
      </c>
      <c r="C600" s="54">
        <v>1</v>
      </c>
      <c r="D600" s="55">
        <v>11133504</v>
      </c>
      <c r="E600" s="54" t="s">
        <v>1566</v>
      </c>
      <c r="F600" s="54">
        <v>1010910002</v>
      </c>
      <c r="G600" s="54" t="s">
        <v>1830</v>
      </c>
      <c r="H600" s="56" t="s">
        <v>1766</v>
      </c>
    </row>
    <row r="601" spans="1:8">
      <c r="A601" s="54"/>
      <c r="B601" s="54">
        <v>36</v>
      </c>
      <c r="C601" s="54">
        <v>1</v>
      </c>
      <c r="D601" s="55">
        <v>11133604</v>
      </c>
      <c r="E601" s="54" t="s">
        <v>1567</v>
      </c>
      <c r="F601" s="54">
        <v>1010910002</v>
      </c>
      <c r="G601" s="54" t="s">
        <v>1831</v>
      </c>
      <c r="H601" s="56" t="s">
        <v>1766</v>
      </c>
    </row>
    <row r="602" spans="1:8">
      <c r="A602" s="54"/>
      <c r="B602" s="54">
        <v>37</v>
      </c>
      <c r="C602" s="54">
        <v>1</v>
      </c>
      <c r="D602" s="55">
        <v>11133704</v>
      </c>
      <c r="E602" s="54" t="s">
        <v>1568</v>
      </c>
      <c r="F602" s="54">
        <v>1010910002</v>
      </c>
      <c r="G602" s="54" t="s">
        <v>1831</v>
      </c>
      <c r="H602" s="56" t="s">
        <v>1766</v>
      </c>
    </row>
    <row r="603" spans="1:8">
      <c r="A603" s="54"/>
      <c r="B603" s="54">
        <v>38</v>
      </c>
      <c r="C603" s="54">
        <v>1</v>
      </c>
      <c r="D603" s="55">
        <v>11133804</v>
      </c>
      <c r="E603" s="54" t="s">
        <v>1569</v>
      </c>
      <c r="F603" s="54">
        <v>1010910002</v>
      </c>
      <c r="G603" s="54" t="s">
        <v>1831</v>
      </c>
      <c r="H603" s="56" t="s">
        <v>1766</v>
      </c>
    </row>
    <row r="604" spans="1:8">
      <c r="A604" s="54"/>
      <c r="B604" s="54">
        <v>39</v>
      </c>
      <c r="C604" s="54">
        <v>1</v>
      </c>
      <c r="D604" s="55">
        <v>11133904</v>
      </c>
      <c r="E604" s="54" t="s">
        <v>1570</v>
      </c>
      <c r="F604" s="54">
        <v>1010910002</v>
      </c>
      <c r="G604" s="54" t="s">
        <v>1831</v>
      </c>
      <c r="H604" s="56" t="s">
        <v>1766</v>
      </c>
    </row>
    <row r="605" spans="1:8">
      <c r="A605" s="54"/>
      <c r="B605" s="54">
        <v>40</v>
      </c>
      <c r="C605" s="54">
        <v>1</v>
      </c>
      <c r="D605" s="55">
        <v>11134004</v>
      </c>
      <c r="E605" s="54" t="s">
        <v>1571</v>
      </c>
      <c r="F605" s="54">
        <v>1010910002</v>
      </c>
      <c r="G605" s="54" t="s">
        <v>1831</v>
      </c>
      <c r="H605" s="56" t="s">
        <v>1766</v>
      </c>
    </row>
    <row r="606" spans="1:8">
      <c r="A606" s="54"/>
      <c r="B606" s="54">
        <v>41</v>
      </c>
      <c r="C606" s="54">
        <v>1</v>
      </c>
      <c r="D606" s="55">
        <v>11134104</v>
      </c>
      <c r="E606" s="54" t="s">
        <v>1572</v>
      </c>
      <c r="F606" s="54">
        <v>1010910002</v>
      </c>
      <c r="G606" s="54" t="s">
        <v>1832</v>
      </c>
      <c r="H606" s="56" t="s">
        <v>1767</v>
      </c>
    </row>
    <row r="607" spans="1:8">
      <c r="A607" s="54"/>
      <c r="B607" s="54">
        <v>42</v>
      </c>
      <c r="C607" s="54">
        <v>1</v>
      </c>
      <c r="D607" s="55">
        <v>11134204</v>
      </c>
      <c r="E607" s="54" t="s">
        <v>1573</v>
      </c>
      <c r="F607" s="54">
        <v>1010910002</v>
      </c>
      <c r="G607" s="54" t="s">
        <v>1832</v>
      </c>
      <c r="H607" s="56" t="s">
        <v>1767</v>
      </c>
    </row>
    <row r="608" spans="1:8">
      <c r="A608" s="54"/>
      <c r="B608" s="54">
        <v>43</v>
      </c>
      <c r="C608" s="54">
        <v>1</v>
      </c>
      <c r="D608" s="55">
        <v>11134304</v>
      </c>
      <c r="E608" s="54" t="s">
        <v>1574</v>
      </c>
      <c r="F608" s="54">
        <v>1010910002</v>
      </c>
      <c r="G608" s="54" t="s">
        <v>1832</v>
      </c>
      <c r="H608" s="56" t="s">
        <v>1767</v>
      </c>
    </row>
    <row r="609" spans="1:8">
      <c r="A609" s="54"/>
      <c r="B609" s="54">
        <v>44</v>
      </c>
      <c r="C609" s="54">
        <v>1</v>
      </c>
      <c r="D609" s="55">
        <v>11134404</v>
      </c>
      <c r="E609" s="54" t="s">
        <v>1575</v>
      </c>
      <c r="F609" s="54">
        <v>1010910002</v>
      </c>
      <c r="G609" s="54" t="s">
        <v>1832</v>
      </c>
      <c r="H609" s="56" t="s">
        <v>1767</v>
      </c>
    </row>
    <row r="610" spans="1:8">
      <c r="A610" s="54"/>
      <c r="B610" s="54">
        <v>45</v>
      </c>
      <c r="C610" s="54">
        <v>1</v>
      </c>
      <c r="D610" s="55">
        <v>11134504</v>
      </c>
      <c r="E610" s="54" t="s">
        <v>1576</v>
      </c>
      <c r="F610" s="54">
        <v>1010910002</v>
      </c>
      <c r="G610" s="54" t="s">
        <v>1832</v>
      </c>
      <c r="H610" s="56" t="s">
        <v>1767</v>
      </c>
    </row>
    <row r="611" spans="1:8">
      <c r="A611" s="54"/>
      <c r="B611" s="54">
        <v>46</v>
      </c>
      <c r="C611" s="54">
        <v>1</v>
      </c>
      <c r="D611" s="55">
        <v>11134604</v>
      </c>
      <c r="E611" s="54" t="s">
        <v>1577</v>
      </c>
      <c r="F611" s="54">
        <v>1010910002</v>
      </c>
      <c r="G611" s="54" t="s">
        <v>1833</v>
      </c>
      <c r="H611" s="56" t="s">
        <v>1767</v>
      </c>
    </row>
    <row r="612" spans="1:8">
      <c r="A612" s="54"/>
      <c r="B612" s="54">
        <v>47</v>
      </c>
      <c r="C612" s="54">
        <v>1</v>
      </c>
      <c r="D612" s="55">
        <v>11134704</v>
      </c>
      <c r="E612" s="54" t="s">
        <v>1578</v>
      </c>
      <c r="F612" s="54">
        <v>1010910002</v>
      </c>
      <c r="G612" s="54" t="s">
        <v>1833</v>
      </c>
      <c r="H612" s="56" t="s">
        <v>1767</v>
      </c>
    </row>
    <row r="613" spans="1:8">
      <c r="A613" s="54"/>
      <c r="B613" s="54">
        <v>48</v>
      </c>
      <c r="C613" s="54">
        <v>1</v>
      </c>
      <c r="D613" s="55">
        <v>11134804</v>
      </c>
      <c r="E613" s="54" t="s">
        <v>1579</v>
      </c>
      <c r="F613" s="54">
        <v>1010910002</v>
      </c>
      <c r="G613" s="54" t="s">
        <v>1833</v>
      </c>
      <c r="H613" s="56" t="s">
        <v>1767</v>
      </c>
    </row>
    <row r="614" spans="1:8">
      <c r="A614" s="54"/>
      <c r="B614" s="54">
        <v>49</v>
      </c>
      <c r="C614" s="54">
        <v>1</v>
      </c>
      <c r="D614" s="55">
        <v>11134904</v>
      </c>
      <c r="E614" s="54" t="s">
        <v>1580</v>
      </c>
      <c r="F614" s="54">
        <v>1010910002</v>
      </c>
      <c r="G614" s="54" t="s">
        <v>1833</v>
      </c>
      <c r="H614" s="56" t="s">
        <v>1767</v>
      </c>
    </row>
    <row r="615" spans="1:8">
      <c r="A615" s="54"/>
      <c r="B615" s="54">
        <v>50</v>
      </c>
      <c r="C615" s="54">
        <v>1</v>
      </c>
      <c r="D615" s="55">
        <v>11135004</v>
      </c>
      <c r="E615" s="54" t="s">
        <v>1581</v>
      </c>
      <c r="F615" s="54">
        <v>1010910002</v>
      </c>
      <c r="G615" s="54" t="s">
        <v>1833</v>
      </c>
      <c r="H615" s="56" t="s">
        <v>1767</v>
      </c>
    </row>
    <row r="616" spans="1:8">
      <c r="A616" s="31"/>
      <c r="B616" s="31"/>
      <c r="C616" s="31"/>
      <c r="D616" s="31"/>
      <c r="E616" s="31"/>
      <c r="F616" s="31"/>
      <c r="G616" s="31"/>
      <c r="H616" s="31"/>
    </row>
    <row r="617" spans="1:8">
      <c r="A617" s="31"/>
      <c r="B617" s="31"/>
      <c r="C617" s="31"/>
      <c r="D617" s="31"/>
      <c r="E617" s="31"/>
      <c r="F617" s="31"/>
      <c r="G617" s="31"/>
      <c r="H617" s="31"/>
    </row>
  </sheetData>
  <phoneticPr fontId="2" type="noConversion"/>
  <conditionalFormatting sqref="A4:H616">
    <cfRule type="containsBlanks" dxfId="16" priority="1">
      <formula>LEN(TRIM(A4))=0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workbookViewId="0">
      <selection activeCell="E12" sqref="E12"/>
    </sheetView>
  </sheetViews>
  <sheetFormatPr defaultRowHeight="13.5"/>
  <cols>
    <col min="1" max="1" width="17" style="22" bestFit="1" customWidth="1"/>
    <col min="2" max="2" width="12.375" style="22" bestFit="1" customWidth="1"/>
    <col min="3" max="3" width="13" style="22" bestFit="1" customWidth="1"/>
    <col min="4" max="4" width="23" style="22" bestFit="1" customWidth="1"/>
    <col min="5" max="5" width="16.75" style="22" bestFit="1" customWidth="1"/>
    <col min="6" max="6" width="17.125" style="22" bestFit="1" customWidth="1"/>
    <col min="7" max="16384" width="9" style="22"/>
  </cols>
  <sheetData>
    <row r="1" spans="1:6" s="21" customFormat="1">
      <c r="A1" s="33" t="s">
        <v>304</v>
      </c>
      <c r="B1" s="33" t="s">
        <v>305</v>
      </c>
      <c r="C1" s="33" t="s">
        <v>306</v>
      </c>
      <c r="D1" s="33" t="s">
        <v>307</v>
      </c>
      <c r="E1" s="10" t="s">
        <v>1735</v>
      </c>
      <c r="F1" s="10" t="s">
        <v>1736</v>
      </c>
    </row>
    <row r="2" spans="1:6" s="21" customFormat="1">
      <c r="A2" s="33" t="s">
        <v>795</v>
      </c>
      <c r="B2" s="33" t="s">
        <v>299</v>
      </c>
      <c r="C2" s="33" t="s">
        <v>289</v>
      </c>
      <c r="D2" s="33" t="s">
        <v>38</v>
      </c>
      <c r="E2" s="10" t="s">
        <v>1737</v>
      </c>
      <c r="F2" s="10" t="s">
        <v>1737</v>
      </c>
    </row>
    <row r="3" spans="1:6" s="21" customFormat="1">
      <c r="A3" s="33" t="s">
        <v>4</v>
      </c>
      <c r="B3" s="33" t="s">
        <v>4</v>
      </c>
      <c r="C3" s="33" t="s">
        <v>4</v>
      </c>
      <c r="D3" s="33" t="s">
        <v>50</v>
      </c>
      <c r="E3" s="10" t="s">
        <v>1738</v>
      </c>
      <c r="F3" s="10" t="s">
        <v>803</v>
      </c>
    </row>
    <row r="4" spans="1:6" s="21" customFormat="1">
      <c r="A4" s="41" t="s">
        <v>52</v>
      </c>
      <c r="B4" s="41">
        <v>1</v>
      </c>
      <c r="C4" s="41" t="s">
        <v>1747</v>
      </c>
      <c r="D4" s="41" t="s">
        <v>1614</v>
      </c>
      <c r="E4" s="41">
        <v>10</v>
      </c>
      <c r="F4" s="41">
        <v>0</v>
      </c>
    </row>
    <row r="5" spans="1:6" s="21" customFormat="1">
      <c r="A5" s="41" t="s">
        <v>52</v>
      </c>
      <c r="B5" s="63">
        <v>3</v>
      </c>
      <c r="C5" s="41" t="s">
        <v>309</v>
      </c>
      <c r="D5" s="41" t="s">
        <v>1586</v>
      </c>
      <c r="E5" s="14">
        <v>10</v>
      </c>
      <c r="F5" s="14">
        <v>10</v>
      </c>
    </row>
    <row r="6" spans="1:6" s="21" customFormat="1">
      <c r="A6" s="41" t="s">
        <v>52</v>
      </c>
      <c r="B6" s="63">
        <v>5</v>
      </c>
      <c r="C6" s="41" t="s">
        <v>310</v>
      </c>
      <c r="D6" s="41" t="s">
        <v>1587</v>
      </c>
      <c r="E6" s="14">
        <v>20</v>
      </c>
      <c r="F6" s="14">
        <v>10</v>
      </c>
    </row>
    <row r="7" spans="1:6" s="21" customFormat="1">
      <c r="A7" s="41" t="s">
        <v>52</v>
      </c>
      <c r="B7" s="63">
        <v>7</v>
      </c>
      <c r="C7" s="41" t="s">
        <v>311</v>
      </c>
      <c r="D7" s="41" t="s">
        <v>1588</v>
      </c>
      <c r="E7" s="14">
        <v>20</v>
      </c>
      <c r="F7" s="14">
        <v>20</v>
      </c>
    </row>
    <row r="8" spans="1:6">
      <c r="A8" s="41" t="s">
        <v>52</v>
      </c>
      <c r="B8" s="41">
        <v>10</v>
      </c>
      <c r="C8" s="41" t="s">
        <v>312</v>
      </c>
      <c r="D8" s="41" t="s">
        <v>1589</v>
      </c>
      <c r="E8" s="41">
        <v>30</v>
      </c>
      <c r="F8" s="41">
        <v>20</v>
      </c>
    </row>
    <row r="9" spans="1:6">
      <c r="A9" s="41" t="s">
        <v>52</v>
      </c>
      <c r="B9" s="41">
        <v>15</v>
      </c>
      <c r="C9" s="41" t="s">
        <v>313</v>
      </c>
      <c r="D9" s="41" t="s">
        <v>1590</v>
      </c>
      <c r="E9" s="41">
        <v>30</v>
      </c>
      <c r="F9" s="41">
        <v>30</v>
      </c>
    </row>
    <row r="10" spans="1:6">
      <c r="A10" s="41" t="s">
        <v>52</v>
      </c>
      <c r="B10" s="41">
        <v>25</v>
      </c>
      <c r="C10" s="41" t="s">
        <v>314</v>
      </c>
      <c r="D10" s="41" t="s">
        <v>1591</v>
      </c>
      <c r="E10" s="41">
        <v>40</v>
      </c>
      <c r="F10" s="41">
        <v>30</v>
      </c>
    </row>
    <row r="11" spans="1:6">
      <c r="A11" s="41" t="s">
        <v>52</v>
      </c>
      <c r="B11" s="41">
        <v>35</v>
      </c>
      <c r="C11" s="41" t="s">
        <v>315</v>
      </c>
      <c r="D11" s="41" t="s">
        <v>1592</v>
      </c>
      <c r="E11" s="41">
        <v>40</v>
      </c>
      <c r="F11" s="41">
        <v>40</v>
      </c>
    </row>
    <row r="12" spans="1:6">
      <c r="A12" s="41" t="s">
        <v>52</v>
      </c>
      <c r="B12" s="41">
        <v>40</v>
      </c>
      <c r="C12" s="41" t="s">
        <v>316</v>
      </c>
      <c r="D12" s="41" t="s">
        <v>1593</v>
      </c>
      <c r="E12" s="41">
        <v>50</v>
      </c>
      <c r="F12" s="41">
        <v>40</v>
      </c>
    </row>
    <row r="13" spans="1:6">
      <c r="A13" s="41" t="s">
        <v>52</v>
      </c>
      <c r="B13" s="41">
        <v>50</v>
      </c>
      <c r="C13" s="41" t="s">
        <v>317</v>
      </c>
      <c r="D13" s="41" t="s">
        <v>1594</v>
      </c>
      <c r="E13" s="41">
        <v>50</v>
      </c>
      <c r="F13" s="41">
        <v>50</v>
      </c>
    </row>
    <row r="14" spans="1:6">
      <c r="A14" s="41" t="s">
        <v>52</v>
      </c>
      <c r="B14" s="41">
        <v>60</v>
      </c>
      <c r="C14" s="41" t="s">
        <v>318</v>
      </c>
      <c r="D14" s="41" t="s">
        <v>1595</v>
      </c>
      <c r="E14" s="41">
        <v>60.000000000000007</v>
      </c>
      <c r="F14" s="41">
        <v>50</v>
      </c>
    </row>
    <row r="15" spans="1:6">
      <c r="A15" s="41" t="s">
        <v>52</v>
      </c>
      <c r="B15" s="41">
        <v>65</v>
      </c>
      <c r="C15" s="41" t="s">
        <v>319</v>
      </c>
      <c r="D15" s="41" t="s">
        <v>1596</v>
      </c>
      <c r="E15" s="41">
        <v>60.000000000000007</v>
      </c>
      <c r="F15" s="41">
        <v>60.000000000000007</v>
      </c>
    </row>
    <row r="16" spans="1:6">
      <c r="A16" s="41" t="s">
        <v>52</v>
      </c>
      <c r="B16" s="41">
        <v>75</v>
      </c>
      <c r="C16" s="41" t="s">
        <v>320</v>
      </c>
      <c r="D16" s="41" t="s">
        <v>1597</v>
      </c>
      <c r="E16" s="41">
        <v>70</v>
      </c>
      <c r="F16" s="41">
        <v>60.000000000000007</v>
      </c>
    </row>
    <row r="17" spans="1:6">
      <c r="A17" s="41" t="s">
        <v>52</v>
      </c>
      <c r="B17" s="41">
        <v>80</v>
      </c>
      <c r="C17" s="41" t="s">
        <v>321</v>
      </c>
      <c r="D17" s="41" t="s">
        <v>1598</v>
      </c>
      <c r="E17" s="41">
        <v>70</v>
      </c>
      <c r="F17" s="41">
        <v>70</v>
      </c>
    </row>
    <row r="18" spans="1:6">
      <c r="A18" s="41" t="s">
        <v>52</v>
      </c>
      <c r="B18" s="41">
        <v>90</v>
      </c>
      <c r="C18" s="41" t="s">
        <v>322</v>
      </c>
      <c r="D18" s="41" t="s">
        <v>1599</v>
      </c>
      <c r="E18" s="41">
        <v>80</v>
      </c>
      <c r="F18" s="41">
        <v>70</v>
      </c>
    </row>
    <row r="19" spans="1:6">
      <c r="A19" s="41" t="s">
        <v>52</v>
      </c>
      <c r="B19" s="41">
        <v>100</v>
      </c>
      <c r="C19" s="41" t="s">
        <v>323</v>
      </c>
      <c r="D19" s="41" t="s">
        <v>1600</v>
      </c>
      <c r="E19" s="41">
        <v>80</v>
      </c>
      <c r="F19" s="41">
        <v>80</v>
      </c>
    </row>
    <row r="20" spans="1:6">
      <c r="A20" s="41" t="s">
        <v>52</v>
      </c>
      <c r="B20" s="41">
        <v>105</v>
      </c>
      <c r="C20" s="41" t="s">
        <v>324</v>
      </c>
      <c r="D20" s="41" t="s">
        <v>1601</v>
      </c>
      <c r="E20" s="41">
        <v>90</v>
      </c>
      <c r="F20" s="41">
        <v>80</v>
      </c>
    </row>
    <row r="21" spans="1:6">
      <c r="A21" s="41" t="s">
        <v>52</v>
      </c>
      <c r="B21" s="41">
        <v>110</v>
      </c>
      <c r="C21" s="41" t="s">
        <v>325</v>
      </c>
      <c r="D21" s="41" t="s">
        <v>1602</v>
      </c>
      <c r="E21" s="41">
        <v>90</v>
      </c>
      <c r="F21" s="41">
        <v>90</v>
      </c>
    </row>
    <row r="22" spans="1:6">
      <c r="A22" s="41" t="s">
        <v>52</v>
      </c>
      <c r="B22" s="41">
        <v>120</v>
      </c>
      <c r="C22" s="41" t="s">
        <v>326</v>
      </c>
      <c r="D22" s="41" t="s">
        <v>1603</v>
      </c>
      <c r="E22" s="41">
        <v>99.999999999999986</v>
      </c>
      <c r="F22" s="41">
        <v>90</v>
      </c>
    </row>
    <row r="23" spans="1:6">
      <c r="A23" s="41" t="s">
        <v>52</v>
      </c>
      <c r="B23" s="41">
        <v>130</v>
      </c>
      <c r="C23" s="41" t="s">
        <v>327</v>
      </c>
      <c r="D23" s="41" t="s">
        <v>1604</v>
      </c>
      <c r="E23" s="41">
        <v>99.999999999999986</v>
      </c>
      <c r="F23" s="41">
        <v>99.999999999999986</v>
      </c>
    </row>
    <row r="24" spans="1:6">
      <c r="A24" s="41" t="s">
        <v>52</v>
      </c>
      <c r="B24" s="41">
        <v>135</v>
      </c>
      <c r="C24" s="41" t="s">
        <v>328</v>
      </c>
      <c r="D24" s="41" t="s">
        <v>1605</v>
      </c>
      <c r="E24" s="41">
        <v>109.99999999999999</v>
      </c>
      <c r="F24" s="41">
        <v>99.999999999999986</v>
      </c>
    </row>
    <row r="25" spans="1:6">
      <c r="A25" s="41" t="s">
        <v>52</v>
      </c>
      <c r="B25" s="41">
        <v>145</v>
      </c>
      <c r="C25" s="41" t="s">
        <v>329</v>
      </c>
      <c r="D25" s="41" t="s">
        <v>1606</v>
      </c>
      <c r="E25" s="41">
        <v>109.99999999999999</v>
      </c>
      <c r="F25" s="41">
        <v>109.99999999999999</v>
      </c>
    </row>
    <row r="26" spans="1:6">
      <c r="A26" s="41" t="s">
        <v>52</v>
      </c>
      <c r="B26" s="41">
        <v>155</v>
      </c>
      <c r="C26" s="41" t="s">
        <v>330</v>
      </c>
      <c r="D26" s="41" t="s">
        <v>1607</v>
      </c>
      <c r="E26" s="41">
        <v>119.99999999999999</v>
      </c>
      <c r="F26" s="41">
        <v>109.99999999999999</v>
      </c>
    </row>
    <row r="27" spans="1:6">
      <c r="A27" s="41" t="s">
        <v>52</v>
      </c>
      <c r="B27" s="41">
        <v>160</v>
      </c>
      <c r="C27" s="41" t="s">
        <v>331</v>
      </c>
      <c r="D27" s="41" t="s">
        <v>1608</v>
      </c>
      <c r="E27" s="41">
        <v>119.99999999999999</v>
      </c>
      <c r="F27" s="41">
        <v>119.99999999999999</v>
      </c>
    </row>
    <row r="28" spans="1:6">
      <c r="A28" s="41" t="s">
        <v>52</v>
      </c>
      <c r="B28" s="41">
        <v>170</v>
      </c>
      <c r="C28" s="41" t="s">
        <v>332</v>
      </c>
      <c r="D28" s="41" t="s">
        <v>1609</v>
      </c>
      <c r="E28" s="41">
        <v>129.99999999999997</v>
      </c>
      <c r="F28" s="41">
        <v>119.99999999999999</v>
      </c>
    </row>
    <row r="29" spans="1:6">
      <c r="A29" s="41" t="s">
        <v>52</v>
      </c>
      <c r="B29" s="41">
        <v>175</v>
      </c>
      <c r="C29" s="41" t="s">
        <v>333</v>
      </c>
      <c r="D29" s="41" t="s">
        <v>1610</v>
      </c>
      <c r="E29" s="41">
        <v>129.99999999999997</v>
      </c>
      <c r="F29" s="41">
        <v>129.99999999999997</v>
      </c>
    </row>
    <row r="30" spans="1:6">
      <c r="A30" s="41" t="s">
        <v>52</v>
      </c>
      <c r="B30" s="41">
        <v>185</v>
      </c>
      <c r="C30" s="41" t="s">
        <v>334</v>
      </c>
      <c r="D30" s="41" t="s">
        <v>1611</v>
      </c>
      <c r="E30" s="41">
        <v>139.99999999999997</v>
      </c>
      <c r="F30" s="41">
        <v>129.99999999999997</v>
      </c>
    </row>
    <row r="31" spans="1:6">
      <c r="A31" s="41" t="s">
        <v>52</v>
      </c>
      <c r="B31" s="41">
        <v>190</v>
      </c>
      <c r="C31" s="41" t="s">
        <v>335</v>
      </c>
      <c r="D31" s="41" t="s">
        <v>1612</v>
      </c>
      <c r="E31" s="41">
        <v>139.99999999999997</v>
      </c>
      <c r="F31" s="41">
        <v>139.99999999999997</v>
      </c>
    </row>
    <row r="32" spans="1:6">
      <c r="A32" s="41" t="s">
        <v>52</v>
      </c>
      <c r="B32" s="41">
        <v>200</v>
      </c>
      <c r="C32" s="41" t="s">
        <v>336</v>
      </c>
      <c r="D32" s="41" t="s">
        <v>1613</v>
      </c>
      <c r="E32" s="41">
        <v>150</v>
      </c>
      <c r="F32" s="41">
        <v>139.99999999999997</v>
      </c>
    </row>
    <row r="33" spans="1:6">
      <c r="A33" s="37" t="s">
        <v>53</v>
      </c>
      <c r="B33" s="37">
        <v>1</v>
      </c>
      <c r="C33" s="37" t="s">
        <v>337</v>
      </c>
      <c r="D33" s="37" t="s">
        <v>1615</v>
      </c>
      <c r="E33" s="37">
        <v>10</v>
      </c>
      <c r="F33" s="37">
        <v>0</v>
      </c>
    </row>
    <row r="34" spans="1:6">
      <c r="A34" s="37" t="s">
        <v>53</v>
      </c>
      <c r="B34" s="37">
        <v>3</v>
      </c>
      <c r="C34" s="37" t="s">
        <v>338</v>
      </c>
      <c r="D34" s="37" t="s">
        <v>1616</v>
      </c>
      <c r="E34" s="37">
        <v>10</v>
      </c>
      <c r="F34" s="37">
        <v>10</v>
      </c>
    </row>
    <row r="35" spans="1:6">
      <c r="A35" s="37" t="s">
        <v>53</v>
      </c>
      <c r="B35" s="37">
        <v>5</v>
      </c>
      <c r="C35" s="37" t="s">
        <v>339</v>
      </c>
      <c r="D35" s="37" t="s">
        <v>1617</v>
      </c>
      <c r="E35" s="37">
        <v>20</v>
      </c>
      <c r="F35" s="37">
        <v>10</v>
      </c>
    </row>
    <row r="36" spans="1:6">
      <c r="A36" s="37" t="s">
        <v>53</v>
      </c>
      <c r="B36" s="37">
        <v>7</v>
      </c>
      <c r="C36" s="37" t="s">
        <v>340</v>
      </c>
      <c r="D36" s="37" t="s">
        <v>1618</v>
      </c>
      <c r="E36" s="37">
        <v>20</v>
      </c>
      <c r="F36" s="37">
        <v>20</v>
      </c>
    </row>
    <row r="37" spans="1:6">
      <c r="A37" s="37" t="s">
        <v>53</v>
      </c>
      <c r="B37" s="37">
        <v>10</v>
      </c>
      <c r="C37" s="37" t="s">
        <v>341</v>
      </c>
      <c r="D37" s="37" t="s">
        <v>1619</v>
      </c>
      <c r="E37" s="37">
        <v>30</v>
      </c>
      <c r="F37" s="37">
        <v>20</v>
      </c>
    </row>
    <row r="38" spans="1:6">
      <c r="A38" s="37" t="s">
        <v>53</v>
      </c>
      <c r="B38" s="37">
        <v>15</v>
      </c>
      <c r="C38" s="37" t="s">
        <v>342</v>
      </c>
      <c r="D38" s="37" t="s">
        <v>1620</v>
      </c>
      <c r="E38" s="37">
        <v>30</v>
      </c>
      <c r="F38" s="37">
        <v>30</v>
      </c>
    </row>
    <row r="39" spans="1:6">
      <c r="A39" s="37" t="s">
        <v>53</v>
      </c>
      <c r="B39" s="37">
        <v>25</v>
      </c>
      <c r="C39" s="37" t="s">
        <v>343</v>
      </c>
      <c r="D39" s="37" t="s">
        <v>1621</v>
      </c>
      <c r="E39" s="37">
        <v>40</v>
      </c>
      <c r="F39" s="37">
        <v>30</v>
      </c>
    </row>
    <row r="40" spans="1:6">
      <c r="A40" s="37" t="s">
        <v>53</v>
      </c>
      <c r="B40" s="37">
        <v>35</v>
      </c>
      <c r="C40" s="37" t="s">
        <v>344</v>
      </c>
      <c r="D40" s="37" t="s">
        <v>1622</v>
      </c>
      <c r="E40" s="37">
        <v>40</v>
      </c>
      <c r="F40" s="37">
        <v>40</v>
      </c>
    </row>
    <row r="41" spans="1:6">
      <c r="A41" s="37" t="s">
        <v>53</v>
      </c>
      <c r="B41" s="37">
        <v>40</v>
      </c>
      <c r="C41" s="37" t="s">
        <v>345</v>
      </c>
      <c r="D41" s="37" t="s">
        <v>1623</v>
      </c>
      <c r="E41" s="37">
        <v>50</v>
      </c>
      <c r="F41" s="37">
        <v>40</v>
      </c>
    </row>
    <row r="42" spans="1:6">
      <c r="A42" s="37" t="s">
        <v>53</v>
      </c>
      <c r="B42" s="37">
        <v>50</v>
      </c>
      <c r="C42" s="37" t="s">
        <v>346</v>
      </c>
      <c r="D42" s="37" t="s">
        <v>1624</v>
      </c>
      <c r="E42" s="37">
        <v>50</v>
      </c>
      <c r="F42" s="37">
        <v>50</v>
      </c>
    </row>
    <row r="43" spans="1:6">
      <c r="A43" s="37" t="s">
        <v>53</v>
      </c>
      <c r="B43" s="37">
        <v>60</v>
      </c>
      <c r="C43" s="37" t="s">
        <v>347</v>
      </c>
      <c r="D43" s="37" t="s">
        <v>1625</v>
      </c>
      <c r="E43" s="37">
        <v>60.000000000000007</v>
      </c>
      <c r="F43" s="37">
        <v>50</v>
      </c>
    </row>
    <row r="44" spans="1:6">
      <c r="A44" s="37" t="s">
        <v>53</v>
      </c>
      <c r="B44" s="37">
        <v>65</v>
      </c>
      <c r="C44" s="37" t="s">
        <v>348</v>
      </c>
      <c r="D44" s="37" t="s">
        <v>1626</v>
      </c>
      <c r="E44" s="37">
        <v>60.000000000000007</v>
      </c>
      <c r="F44" s="37">
        <v>60.000000000000007</v>
      </c>
    </row>
    <row r="45" spans="1:6">
      <c r="A45" s="37" t="s">
        <v>53</v>
      </c>
      <c r="B45" s="37">
        <v>75</v>
      </c>
      <c r="C45" s="37" t="s">
        <v>349</v>
      </c>
      <c r="D45" s="37" t="s">
        <v>1627</v>
      </c>
      <c r="E45" s="37">
        <v>70</v>
      </c>
      <c r="F45" s="37">
        <v>60.000000000000007</v>
      </c>
    </row>
    <row r="46" spans="1:6">
      <c r="A46" s="37" t="s">
        <v>53</v>
      </c>
      <c r="B46" s="37">
        <v>80</v>
      </c>
      <c r="C46" s="37" t="s">
        <v>350</v>
      </c>
      <c r="D46" s="37" t="s">
        <v>1628</v>
      </c>
      <c r="E46" s="37">
        <v>70</v>
      </c>
      <c r="F46" s="37">
        <v>70</v>
      </c>
    </row>
    <row r="47" spans="1:6">
      <c r="A47" s="37" t="s">
        <v>53</v>
      </c>
      <c r="B47" s="37">
        <v>90</v>
      </c>
      <c r="C47" s="37" t="s">
        <v>351</v>
      </c>
      <c r="D47" s="37" t="s">
        <v>1629</v>
      </c>
      <c r="E47" s="37">
        <v>80</v>
      </c>
      <c r="F47" s="37">
        <v>70</v>
      </c>
    </row>
    <row r="48" spans="1:6">
      <c r="A48" s="37" t="s">
        <v>53</v>
      </c>
      <c r="B48" s="37">
        <v>100</v>
      </c>
      <c r="C48" s="37" t="s">
        <v>352</v>
      </c>
      <c r="D48" s="37" t="s">
        <v>1630</v>
      </c>
      <c r="E48" s="37">
        <v>80</v>
      </c>
      <c r="F48" s="37">
        <v>80</v>
      </c>
    </row>
    <row r="49" spans="1:6">
      <c r="A49" s="37" t="s">
        <v>53</v>
      </c>
      <c r="B49" s="37">
        <v>105</v>
      </c>
      <c r="C49" s="37" t="s">
        <v>353</v>
      </c>
      <c r="D49" s="37" t="s">
        <v>1631</v>
      </c>
      <c r="E49" s="37">
        <v>90</v>
      </c>
      <c r="F49" s="37">
        <v>80</v>
      </c>
    </row>
    <row r="50" spans="1:6">
      <c r="A50" s="37" t="s">
        <v>53</v>
      </c>
      <c r="B50" s="37">
        <v>110</v>
      </c>
      <c r="C50" s="37" t="s">
        <v>354</v>
      </c>
      <c r="D50" s="37" t="s">
        <v>1632</v>
      </c>
      <c r="E50" s="37">
        <v>90</v>
      </c>
      <c r="F50" s="37">
        <v>90</v>
      </c>
    </row>
    <row r="51" spans="1:6">
      <c r="A51" s="37" t="s">
        <v>53</v>
      </c>
      <c r="B51" s="37">
        <v>120</v>
      </c>
      <c r="C51" s="37" t="s">
        <v>355</v>
      </c>
      <c r="D51" s="37" t="s">
        <v>1633</v>
      </c>
      <c r="E51" s="37">
        <v>99.999999999999986</v>
      </c>
      <c r="F51" s="37">
        <v>90</v>
      </c>
    </row>
    <row r="52" spans="1:6">
      <c r="A52" s="37" t="s">
        <v>53</v>
      </c>
      <c r="B52" s="37">
        <v>130</v>
      </c>
      <c r="C52" s="37" t="s">
        <v>356</v>
      </c>
      <c r="D52" s="37" t="s">
        <v>1634</v>
      </c>
      <c r="E52" s="37">
        <v>99.999999999999986</v>
      </c>
      <c r="F52" s="37">
        <v>99.999999999999986</v>
      </c>
    </row>
    <row r="53" spans="1:6">
      <c r="A53" s="37" t="s">
        <v>53</v>
      </c>
      <c r="B53" s="37">
        <v>135</v>
      </c>
      <c r="C53" s="37" t="s">
        <v>357</v>
      </c>
      <c r="D53" s="37" t="s">
        <v>1635</v>
      </c>
      <c r="E53" s="37">
        <v>109.99999999999999</v>
      </c>
      <c r="F53" s="37">
        <v>99.999999999999986</v>
      </c>
    </row>
    <row r="54" spans="1:6">
      <c r="A54" s="37" t="s">
        <v>53</v>
      </c>
      <c r="B54" s="37">
        <v>145</v>
      </c>
      <c r="C54" s="37" t="s">
        <v>358</v>
      </c>
      <c r="D54" s="37" t="s">
        <v>1636</v>
      </c>
      <c r="E54" s="37">
        <v>109.99999999999999</v>
      </c>
      <c r="F54" s="37">
        <v>109.99999999999999</v>
      </c>
    </row>
    <row r="55" spans="1:6">
      <c r="A55" s="37" t="s">
        <v>53</v>
      </c>
      <c r="B55" s="37">
        <v>155</v>
      </c>
      <c r="C55" s="37" t="s">
        <v>359</v>
      </c>
      <c r="D55" s="37" t="s">
        <v>1637</v>
      </c>
      <c r="E55" s="37">
        <v>119.99999999999999</v>
      </c>
      <c r="F55" s="37">
        <v>109.99999999999999</v>
      </c>
    </row>
    <row r="56" spans="1:6">
      <c r="A56" s="37" t="s">
        <v>53</v>
      </c>
      <c r="B56" s="37">
        <v>160</v>
      </c>
      <c r="C56" s="37" t="s">
        <v>360</v>
      </c>
      <c r="D56" s="37" t="s">
        <v>1638</v>
      </c>
      <c r="E56" s="37">
        <v>119.99999999999999</v>
      </c>
      <c r="F56" s="37">
        <v>119.99999999999999</v>
      </c>
    </row>
    <row r="57" spans="1:6">
      <c r="A57" s="37" t="s">
        <v>53</v>
      </c>
      <c r="B57" s="37">
        <v>170</v>
      </c>
      <c r="C57" s="37" t="s">
        <v>361</v>
      </c>
      <c r="D57" s="37" t="s">
        <v>1639</v>
      </c>
      <c r="E57" s="37">
        <v>129.99999999999997</v>
      </c>
      <c r="F57" s="37">
        <v>119.99999999999999</v>
      </c>
    </row>
    <row r="58" spans="1:6">
      <c r="A58" s="37" t="s">
        <v>53</v>
      </c>
      <c r="B58" s="37">
        <v>175</v>
      </c>
      <c r="C58" s="37" t="s">
        <v>362</v>
      </c>
      <c r="D58" s="37" t="s">
        <v>1640</v>
      </c>
      <c r="E58" s="37">
        <v>129.99999999999997</v>
      </c>
      <c r="F58" s="37">
        <v>129.99999999999997</v>
      </c>
    </row>
    <row r="59" spans="1:6">
      <c r="A59" s="37" t="s">
        <v>53</v>
      </c>
      <c r="B59" s="37">
        <v>185</v>
      </c>
      <c r="C59" s="37" t="s">
        <v>363</v>
      </c>
      <c r="D59" s="37" t="s">
        <v>1641</v>
      </c>
      <c r="E59" s="37">
        <v>139.99999999999997</v>
      </c>
      <c r="F59" s="37">
        <v>129.99999999999997</v>
      </c>
    </row>
    <row r="60" spans="1:6">
      <c r="A60" s="37" t="s">
        <v>53</v>
      </c>
      <c r="B60" s="37">
        <v>190</v>
      </c>
      <c r="C60" s="37" t="s">
        <v>364</v>
      </c>
      <c r="D60" s="37" t="s">
        <v>1642</v>
      </c>
      <c r="E60" s="37">
        <v>139.99999999999997</v>
      </c>
      <c r="F60" s="37">
        <v>139.99999999999997</v>
      </c>
    </row>
    <row r="61" spans="1:6">
      <c r="A61" s="37" t="s">
        <v>53</v>
      </c>
      <c r="B61" s="37">
        <v>200</v>
      </c>
      <c r="C61" s="37" t="s">
        <v>365</v>
      </c>
      <c r="D61" s="37" t="s">
        <v>1643</v>
      </c>
      <c r="E61" s="37">
        <v>150</v>
      </c>
      <c r="F61" s="37">
        <v>139.99999999999997</v>
      </c>
    </row>
    <row r="62" spans="1:6">
      <c r="A62" s="35" t="s">
        <v>54</v>
      </c>
      <c r="B62" s="35">
        <v>1</v>
      </c>
      <c r="C62" s="35" t="s">
        <v>366</v>
      </c>
      <c r="D62" s="35" t="s">
        <v>1644</v>
      </c>
      <c r="E62" s="35">
        <v>10</v>
      </c>
      <c r="F62" s="35">
        <v>0</v>
      </c>
    </row>
    <row r="63" spans="1:6">
      <c r="A63" s="35" t="s">
        <v>54</v>
      </c>
      <c r="B63" s="35">
        <v>3</v>
      </c>
      <c r="C63" s="35" t="s">
        <v>367</v>
      </c>
      <c r="D63" s="35" t="s">
        <v>1645</v>
      </c>
      <c r="E63" s="35">
        <v>10</v>
      </c>
      <c r="F63" s="35">
        <v>10</v>
      </c>
    </row>
    <row r="64" spans="1:6">
      <c r="A64" s="35" t="s">
        <v>54</v>
      </c>
      <c r="B64" s="35">
        <v>5</v>
      </c>
      <c r="C64" s="35" t="s">
        <v>368</v>
      </c>
      <c r="D64" s="35" t="s">
        <v>1646</v>
      </c>
      <c r="E64" s="35">
        <v>20</v>
      </c>
      <c r="F64" s="35">
        <v>10</v>
      </c>
    </row>
    <row r="65" spans="1:6">
      <c r="A65" s="35" t="s">
        <v>54</v>
      </c>
      <c r="B65" s="35">
        <v>7</v>
      </c>
      <c r="C65" s="35" t="s">
        <v>369</v>
      </c>
      <c r="D65" s="35" t="s">
        <v>1647</v>
      </c>
      <c r="E65" s="35">
        <v>20</v>
      </c>
      <c r="F65" s="35">
        <v>20</v>
      </c>
    </row>
    <row r="66" spans="1:6">
      <c r="A66" s="35" t="s">
        <v>54</v>
      </c>
      <c r="B66" s="35">
        <v>10</v>
      </c>
      <c r="C66" s="35" t="s">
        <v>370</v>
      </c>
      <c r="D66" s="35" t="s">
        <v>1648</v>
      </c>
      <c r="E66" s="35">
        <v>30</v>
      </c>
      <c r="F66" s="35">
        <v>20</v>
      </c>
    </row>
    <row r="67" spans="1:6">
      <c r="A67" s="35" t="s">
        <v>54</v>
      </c>
      <c r="B67" s="35">
        <v>15</v>
      </c>
      <c r="C67" s="35" t="s">
        <v>371</v>
      </c>
      <c r="D67" s="35" t="s">
        <v>1649</v>
      </c>
      <c r="E67" s="35">
        <v>30</v>
      </c>
      <c r="F67" s="35">
        <v>30</v>
      </c>
    </row>
    <row r="68" spans="1:6">
      <c r="A68" s="35" t="s">
        <v>54</v>
      </c>
      <c r="B68" s="35">
        <v>25</v>
      </c>
      <c r="C68" s="35" t="s">
        <v>372</v>
      </c>
      <c r="D68" s="35" t="s">
        <v>1650</v>
      </c>
      <c r="E68" s="35">
        <v>40</v>
      </c>
      <c r="F68" s="35">
        <v>30</v>
      </c>
    </row>
    <row r="69" spans="1:6">
      <c r="A69" s="35" t="s">
        <v>54</v>
      </c>
      <c r="B69" s="35">
        <v>35</v>
      </c>
      <c r="C69" s="35" t="s">
        <v>373</v>
      </c>
      <c r="D69" s="35" t="s">
        <v>1651</v>
      </c>
      <c r="E69" s="35">
        <v>40</v>
      </c>
      <c r="F69" s="35">
        <v>40</v>
      </c>
    </row>
    <row r="70" spans="1:6">
      <c r="A70" s="35" t="s">
        <v>54</v>
      </c>
      <c r="B70" s="35">
        <v>40</v>
      </c>
      <c r="C70" s="35" t="s">
        <v>374</v>
      </c>
      <c r="D70" s="35" t="s">
        <v>1652</v>
      </c>
      <c r="E70" s="35">
        <v>50</v>
      </c>
      <c r="F70" s="35">
        <v>40</v>
      </c>
    </row>
    <row r="71" spans="1:6">
      <c r="A71" s="35" t="s">
        <v>54</v>
      </c>
      <c r="B71" s="35">
        <v>50</v>
      </c>
      <c r="C71" s="35" t="s">
        <v>375</v>
      </c>
      <c r="D71" s="35" t="s">
        <v>1653</v>
      </c>
      <c r="E71" s="35">
        <v>50</v>
      </c>
      <c r="F71" s="35">
        <v>50</v>
      </c>
    </row>
    <row r="72" spans="1:6">
      <c r="A72" s="35" t="s">
        <v>54</v>
      </c>
      <c r="B72" s="35">
        <v>60</v>
      </c>
      <c r="C72" s="35" t="s">
        <v>376</v>
      </c>
      <c r="D72" s="35" t="s">
        <v>1654</v>
      </c>
      <c r="E72" s="35">
        <v>60.000000000000007</v>
      </c>
      <c r="F72" s="35">
        <v>50</v>
      </c>
    </row>
    <row r="73" spans="1:6">
      <c r="A73" s="35" t="s">
        <v>54</v>
      </c>
      <c r="B73" s="35">
        <v>65</v>
      </c>
      <c r="C73" s="35" t="s">
        <v>377</v>
      </c>
      <c r="D73" s="35" t="s">
        <v>1655</v>
      </c>
      <c r="E73" s="35">
        <v>60.000000000000007</v>
      </c>
      <c r="F73" s="35">
        <v>60.000000000000007</v>
      </c>
    </row>
    <row r="74" spans="1:6">
      <c r="A74" s="35" t="s">
        <v>54</v>
      </c>
      <c r="B74" s="35">
        <v>75</v>
      </c>
      <c r="C74" s="35" t="s">
        <v>378</v>
      </c>
      <c r="D74" s="35" t="s">
        <v>1656</v>
      </c>
      <c r="E74" s="35">
        <v>70</v>
      </c>
      <c r="F74" s="35">
        <v>60.000000000000007</v>
      </c>
    </row>
    <row r="75" spans="1:6">
      <c r="A75" s="35" t="s">
        <v>54</v>
      </c>
      <c r="B75" s="35">
        <v>80</v>
      </c>
      <c r="C75" s="35" t="s">
        <v>379</v>
      </c>
      <c r="D75" s="35" t="s">
        <v>1657</v>
      </c>
      <c r="E75" s="35">
        <v>70</v>
      </c>
      <c r="F75" s="35">
        <v>70</v>
      </c>
    </row>
    <row r="76" spans="1:6">
      <c r="A76" s="35" t="s">
        <v>54</v>
      </c>
      <c r="B76" s="35">
        <v>90</v>
      </c>
      <c r="C76" s="35" t="s">
        <v>380</v>
      </c>
      <c r="D76" s="35" t="s">
        <v>1658</v>
      </c>
      <c r="E76" s="35">
        <v>80</v>
      </c>
      <c r="F76" s="35">
        <v>70</v>
      </c>
    </row>
    <row r="77" spans="1:6">
      <c r="A77" s="35" t="s">
        <v>54</v>
      </c>
      <c r="B77" s="35">
        <v>100</v>
      </c>
      <c r="C77" s="35" t="s">
        <v>381</v>
      </c>
      <c r="D77" s="35" t="s">
        <v>1659</v>
      </c>
      <c r="E77" s="35">
        <v>80</v>
      </c>
      <c r="F77" s="35">
        <v>80</v>
      </c>
    </row>
    <row r="78" spans="1:6">
      <c r="A78" s="35" t="s">
        <v>54</v>
      </c>
      <c r="B78" s="35">
        <v>105</v>
      </c>
      <c r="C78" s="35" t="s">
        <v>382</v>
      </c>
      <c r="D78" s="35" t="s">
        <v>1660</v>
      </c>
      <c r="E78" s="35">
        <v>90</v>
      </c>
      <c r="F78" s="35">
        <v>80</v>
      </c>
    </row>
    <row r="79" spans="1:6">
      <c r="A79" s="35" t="s">
        <v>54</v>
      </c>
      <c r="B79" s="35">
        <v>110</v>
      </c>
      <c r="C79" s="35" t="s">
        <v>383</v>
      </c>
      <c r="D79" s="35" t="s">
        <v>1661</v>
      </c>
      <c r="E79" s="35">
        <v>90</v>
      </c>
      <c r="F79" s="35">
        <v>90</v>
      </c>
    </row>
    <row r="80" spans="1:6">
      <c r="A80" s="35" t="s">
        <v>54</v>
      </c>
      <c r="B80" s="35">
        <v>120</v>
      </c>
      <c r="C80" s="35" t="s">
        <v>384</v>
      </c>
      <c r="D80" s="35" t="s">
        <v>1662</v>
      </c>
      <c r="E80" s="35">
        <v>99.999999999999986</v>
      </c>
      <c r="F80" s="35">
        <v>90</v>
      </c>
    </row>
    <row r="81" spans="1:6">
      <c r="A81" s="35" t="s">
        <v>54</v>
      </c>
      <c r="B81" s="35">
        <v>130</v>
      </c>
      <c r="C81" s="35" t="s">
        <v>385</v>
      </c>
      <c r="D81" s="35" t="s">
        <v>1663</v>
      </c>
      <c r="E81" s="35">
        <v>99.999999999999986</v>
      </c>
      <c r="F81" s="35">
        <v>99.999999999999986</v>
      </c>
    </row>
    <row r="82" spans="1:6">
      <c r="A82" s="35" t="s">
        <v>54</v>
      </c>
      <c r="B82" s="35">
        <v>135</v>
      </c>
      <c r="C82" s="35" t="s">
        <v>386</v>
      </c>
      <c r="D82" s="35" t="s">
        <v>1664</v>
      </c>
      <c r="E82" s="35">
        <v>109.99999999999999</v>
      </c>
      <c r="F82" s="35">
        <v>99.999999999999986</v>
      </c>
    </row>
    <row r="83" spans="1:6">
      <c r="A83" s="35" t="s">
        <v>54</v>
      </c>
      <c r="B83" s="35">
        <v>145</v>
      </c>
      <c r="C83" s="35" t="s">
        <v>387</v>
      </c>
      <c r="D83" s="35" t="s">
        <v>1665</v>
      </c>
      <c r="E83" s="35">
        <v>109.99999999999999</v>
      </c>
      <c r="F83" s="35">
        <v>109.99999999999999</v>
      </c>
    </row>
    <row r="84" spans="1:6">
      <c r="A84" s="35" t="s">
        <v>54</v>
      </c>
      <c r="B84" s="35">
        <v>155</v>
      </c>
      <c r="C84" s="35" t="s">
        <v>388</v>
      </c>
      <c r="D84" s="35" t="s">
        <v>1666</v>
      </c>
      <c r="E84" s="35">
        <v>119.99999999999999</v>
      </c>
      <c r="F84" s="35">
        <v>109.99999999999999</v>
      </c>
    </row>
    <row r="85" spans="1:6">
      <c r="A85" s="35" t="s">
        <v>54</v>
      </c>
      <c r="B85" s="35">
        <v>160</v>
      </c>
      <c r="C85" s="35" t="s">
        <v>389</v>
      </c>
      <c r="D85" s="35" t="s">
        <v>1667</v>
      </c>
      <c r="E85" s="35">
        <v>119.99999999999999</v>
      </c>
      <c r="F85" s="35">
        <v>119.99999999999999</v>
      </c>
    </row>
    <row r="86" spans="1:6">
      <c r="A86" s="35" t="s">
        <v>54</v>
      </c>
      <c r="B86" s="35">
        <v>170</v>
      </c>
      <c r="C86" s="35" t="s">
        <v>390</v>
      </c>
      <c r="D86" s="35" t="s">
        <v>1668</v>
      </c>
      <c r="E86" s="35">
        <v>129.99999999999997</v>
      </c>
      <c r="F86" s="35">
        <v>119.99999999999999</v>
      </c>
    </row>
    <row r="87" spans="1:6">
      <c r="A87" s="35" t="s">
        <v>54</v>
      </c>
      <c r="B87" s="35">
        <v>175</v>
      </c>
      <c r="C87" s="35" t="s">
        <v>391</v>
      </c>
      <c r="D87" s="35" t="s">
        <v>1669</v>
      </c>
      <c r="E87" s="35">
        <v>129.99999999999997</v>
      </c>
      <c r="F87" s="35">
        <v>129.99999999999997</v>
      </c>
    </row>
    <row r="88" spans="1:6">
      <c r="A88" s="35" t="s">
        <v>54</v>
      </c>
      <c r="B88" s="35">
        <v>185</v>
      </c>
      <c r="C88" s="35" t="s">
        <v>392</v>
      </c>
      <c r="D88" s="35" t="s">
        <v>1670</v>
      </c>
      <c r="E88" s="35">
        <v>139.99999999999997</v>
      </c>
      <c r="F88" s="35">
        <v>129.99999999999997</v>
      </c>
    </row>
    <row r="89" spans="1:6">
      <c r="A89" s="35" t="s">
        <v>54</v>
      </c>
      <c r="B89" s="35">
        <v>190</v>
      </c>
      <c r="C89" s="35" t="s">
        <v>393</v>
      </c>
      <c r="D89" s="35" t="s">
        <v>1671</v>
      </c>
      <c r="E89" s="35">
        <v>139.99999999999997</v>
      </c>
      <c r="F89" s="35">
        <v>139.99999999999997</v>
      </c>
    </row>
    <row r="90" spans="1:6">
      <c r="A90" s="35" t="s">
        <v>54</v>
      </c>
      <c r="B90" s="35">
        <v>200</v>
      </c>
      <c r="C90" s="35" t="s">
        <v>394</v>
      </c>
      <c r="D90" s="35" t="s">
        <v>1672</v>
      </c>
      <c r="E90" s="35">
        <v>150</v>
      </c>
      <c r="F90" s="35">
        <v>139.99999999999997</v>
      </c>
    </row>
    <row r="91" spans="1:6">
      <c r="A91" s="64" t="s">
        <v>793</v>
      </c>
      <c r="B91" s="64">
        <v>1</v>
      </c>
      <c r="C91" s="64" t="s">
        <v>395</v>
      </c>
      <c r="D91" s="64" t="s">
        <v>1673</v>
      </c>
      <c r="E91" s="64">
        <v>10</v>
      </c>
      <c r="F91" s="64">
        <v>0</v>
      </c>
    </row>
    <row r="92" spans="1:6">
      <c r="A92" s="64" t="s">
        <v>793</v>
      </c>
      <c r="B92" s="64">
        <v>3</v>
      </c>
      <c r="C92" s="64" t="s">
        <v>396</v>
      </c>
      <c r="D92" s="64" t="s">
        <v>1674</v>
      </c>
      <c r="E92" s="64">
        <v>10</v>
      </c>
      <c r="F92" s="64">
        <v>10</v>
      </c>
    </row>
    <row r="93" spans="1:6">
      <c r="A93" s="64" t="s">
        <v>793</v>
      </c>
      <c r="B93" s="64">
        <v>5</v>
      </c>
      <c r="C93" s="64" t="s">
        <v>397</v>
      </c>
      <c r="D93" s="64" t="s">
        <v>1675</v>
      </c>
      <c r="E93" s="64">
        <v>20</v>
      </c>
      <c r="F93" s="64">
        <v>10</v>
      </c>
    </row>
    <row r="94" spans="1:6">
      <c r="A94" s="64" t="s">
        <v>793</v>
      </c>
      <c r="B94" s="64">
        <v>7</v>
      </c>
      <c r="C94" s="64" t="s">
        <v>398</v>
      </c>
      <c r="D94" s="64" t="s">
        <v>1676</v>
      </c>
      <c r="E94" s="64">
        <v>20</v>
      </c>
      <c r="F94" s="64">
        <v>20</v>
      </c>
    </row>
    <row r="95" spans="1:6">
      <c r="A95" s="64" t="s">
        <v>793</v>
      </c>
      <c r="B95" s="64">
        <v>10</v>
      </c>
      <c r="C95" s="64" t="s">
        <v>399</v>
      </c>
      <c r="D95" s="64" t="s">
        <v>1677</v>
      </c>
      <c r="E95" s="64">
        <v>30</v>
      </c>
      <c r="F95" s="64">
        <v>20</v>
      </c>
    </row>
    <row r="96" spans="1:6">
      <c r="A96" s="64" t="s">
        <v>793</v>
      </c>
      <c r="B96" s="64">
        <v>15</v>
      </c>
      <c r="C96" s="64" t="s">
        <v>400</v>
      </c>
      <c r="D96" s="64" t="s">
        <v>1678</v>
      </c>
      <c r="E96" s="64">
        <v>30</v>
      </c>
      <c r="F96" s="64">
        <v>30</v>
      </c>
    </row>
    <row r="97" spans="1:6">
      <c r="A97" s="64" t="s">
        <v>793</v>
      </c>
      <c r="B97" s="64">
        <v>25</v>
      </c>
      <c r="C97" s="64" t="s">
        <v>401</v>
      </c>
      <c r="D97" s="64" t="s">
        <v>1679</v>
      </c>
      <c r="E97" s="64">
        <v>40</v>
      </c>
      <c r="F97" s="64">
        <v>30</v>
      </c>
    </row>
    <row r="98" spans="1:6">
      <c r="A98" s="64" t="s">
        <v>793</v>
      </c>
      <c r="B98" s="64">
        <v>35</v>
      </c>
      <c r="C98" s="64" t="s">
        <v>402</v>
      </c>
      <c r="D98" s="64" t="s">
        <v>1680</v>
      </c>
      <c r="E98" s="64">
        <v>40</v>
      </c>
      <c r="F98" s="64">
        <v>40</v>
      </c>
    </row>
    <row r="99" spans="1:6">
      <c r="A99" s="64" t="s">
        <v>793</v>
      </c>
      <c r="B99" s="64">
        <v>40</v>
      </c>
      <c r="C99" s="64" t="s">
        <v>403</v>
      </c>
      <c r="D99" s="64" t="s">
        <v>1681</v>
      </c>
      <c r="E99" s="64">
        <v>50</v>
      </c>
      <c r="F99" s="64">
        <v>40</v>
      </c>
    </row>
    <row r="100" spans="1:6">
      <c r="A100" s="64" t="s">
        <v>793</v>
      </c>
      <c r="B100" s="64">
        <v>50</v>
      </c>
      <c r="C100" s="64" t="s">
        <v>404</v>
      </c>
      <c r="D100" s="64" t="s">
        <v>1682</v>
      </c>
      <c r="E100" s="64">
        <v>50</v>
      </c>
      <c r="F100" s="64">
        <v>50</v>
      </c>
    </row>
    <row r="101" spans="1:6">
      <c r="A101" s="64" t="s">
        <v>793</v>
      </c>
      <c r="B101" s="64">
        <v>60</v>
      </c>
      <c r="C101" s="64" t="s">
        <v>405</v>
      </c>
      <c r="D101" s="64" t="s">
        <v>1683</v>
      </c>
      <c r="E101" s="64">
        <v>60.000000000000007</v>
      </c>
      <c r="F101" s="64">
        <v>50</v>
      </c>
    </row>
    <row r="102" spans="1:6">
      <c r="A102" s="64" t="s">
        <v>793</v>
      </c>
      <c r="B102" s="64">
        <v>65</v>
      </c>
      <c r="C102" s="64" t="s">
        <v>406</v>
      </c>
      <c r="D102" s="64" t="s">
        <v>1684</v>
      </c>
      <c r="E102" s="64">
        <v>60.000000000000007</v>
      </c>
      <c r="F102" s="64">
        <v>60.000000000000007</v>
      </c>
    </row>
    <row r="103" spans="1:6">
      <c r="A103" s="64" t="s">
        <v>793</v>
      </c>
      <c r="B103" s="64">
        <v>75</v>
      </c>
      <c r="C103" s="64" t="s">
        <v>407</v>
      </c>
      <c r="D103" s="64" t="s">
        <v>1685</v>
      </c>
      <c r="E103" s="64">
        <v>70</v>
      </c>
      <c r="F103" s="64">
        <v>60.000000000000007</v>
      </c>
    </row>
    <row r="104" spans="1:6">
      <c r="A104" s="64" t="s">
        <v>793</v>
      </c>
      <c r="B104" s="64">
        <v>80</v>
      </c>
      <c r="C104" s="64" t="s">
        <v>408</v>
      </c>
      <c r="D104" s="64" t="s">
        <v>1686</v>
      </c>
      <c r="E104" s="64">
        <v>70</v>
      </c>
      <c r="F104" s="64">
        <v>70</v>
      </c>
    </row>
    <row r="105" spans="1:6">
      <c r="A105" s="64" t="s">
        <v>793</v>
      </c>
      <c r="B105" s="64">
        <v>90</v>
      </c>
      <c r="C105" s="64" t="s">
        <v>409</v>
      </c>
      <c r="D105" s="64" t="s">
        <v>1687</v>
      </c>
      <c r="E105" s="64">
        <v>80</v>
      </c>
      <c r="F105" s="64">
        <v>70</v>
      </c>
    </row>
    <row r="106" spans="1:6">
      <c r="A106" s="64" t="s">
        <v>793</v>
      </c>
      <c r="B106" s="64">
        <v>100</v>
      </c>
      <c r="C106" s="64" t="s">
        <v>410</v>
      </c>
      <c r="D106" s="64" t="s">
        <v>1688</v>
      </c>
      <c r="E106" s="64">
        <v>80</v>
      </c>
      <c r="F106" s="64">
        <v>80</v>
      </c>
    </row>
    <row r="107" spans="1:6">
      <c r="A107" s="64" t="s">
        <v>793</v>
      </c>
      <c r="B107" s="64">
        <v>105</v>
      </c>
      <c r="C107" s="64" t="s">
        <v>411</v>
      </c>
      <c r="D107" s="64" t="s">
        <v>1689</v>
      </c>
      <c r="E107" s="64">
        <v>90</v>
      </c>
      <c r="F107" s="64">
        <v>80</v>
      </c>
    </row>
    <row r="108" spans="1:6">
      <c r="A108" s="64" t="s">
        <v>793</v>
      </c>
      <c r="B108" s="64">
        <v>110</v>
      </c>
      <c r="C108" s="64" t="s">
        <v>412</v>
      </c>
      <c r="D108" s="64" t="s">
        <v>1690</v>
      </c>
      <c r="E108" s="64">
        <v>90</v>
      </c>
      <c r="F108" s="64">
        <v>90</v>
      </c>
    </row>
    <row r="109" spans="1:6">
      <c r="A109" s="64" t="s">
        <v>793</v>
      </c>
      <c r="B109" s="64">
        <v>120</v>
      </c>
      <c r="C109" s="64" t="s">
        <v>413</v>
      </c>
      <c r="D109" s="64" t="s">
        <v>1691</v>
      </c>
      <c r="E109" s="64">
        <v>99.999999999999986</v>
      </c>
      <c r="F109" s="64">
        <v>90</v>
      </c>
    </row>
    <row r="110" spans="1:6">
      <c r="A110" s="64" t="s">
        <v>793</v>
      </c>
      <c r="B110" s="64">
        <v>130</v>
      </c>
      <c r="C110" s="64" t="s">
        <v>414</v>
      </c>
      <c r="D110" s="64" t="s">
        <v>1692</v>
      </c>
      <c r="E110" s="64">
        <v>99.999999999999986</v>
      </c>
      <c r="F110" s="64">
        <v>99.999999999999986</v>
      </c>
    </row>
    <row r="111" spans="1:6">
      <c r="A111" s="64" t="s">
        <v>793</v>
      </c>
      <c r="B111" s="64">
        <v>135</v>
      </c>
      <c r="C111" s="64" t="s">
        <v>415</v>
      </c>
      <c r="D111" s="64" t="s">
        <v>1693</v>
      </c>
      <c r="E111" s="64">
        <v>109.99999999999999</v>
      </c>
      <c r="F111" s="64">
        <v>99.999999999999986</v>
      </c>
    </row>
    <row r="112" spans="1:6">
      <c r="A112" s="64" t="s">
        <v>793</v>
      </c>
      <c r="B112" s="64">
        <v>145</v>
      </c>
      <c r="C112" s="64" t="s">
        <v>416</v>
      </c>
      <c r="D112" s="64" t="s">
        <v>1694</v>
      </c>
      <c r="E112" s="64">
        <v>109.99999999999999</v>
      </c>
      <c r="F112" s="64">
        <v>109.99999999999999</v>
      </c>
    </row>
    <row r="113" spans="1:6">
      <c r="A113" s="64" t="s">
        <v>793</v>
      </c>
      <c r="B113" s="64">
        <v>155</v>
      </c>
      <c r="C113" s="64" t="s">
        <v>417</v>
      </c>
      <c r="D113" s="64" t="s">
        <v>1695</v>
      </c>
      <c r="E113" s="64">
        <v>119.99999999999999</v>
      </c>
      <c r="F113" s="64">
        <v>109.99999999999999</v>
      </c>
    </row>
    <row r="114" spans="1:6">
      <c r="A114" s="64" t="s">
        <v>793</v>
      </c>
      <c r="B114" s="64">
        <v>160</v>
      </c>
      <c r="C114" s="64" t="s">
        <v>418</v>
      </c>
      <c r="D114" s="64" t="s">
        <v>1696</v>
      </c>
      <c r="E114" s="64">
        <v>119.99999999999999</v>
      </c>
      <c r="F114" s="64">
        <v>119.99999999999999</v>
      </c>
    </row>
    <row r="115" spans="1:6">
      <c r="A115" s="64" t="s">
        <v>793</v>
      </c>
      <c r="B115" s="64">
        <v>170</v>
      </c>
      <c r="C115" s="64" t="s">
        <v>419</v>
      </c>
      <c r="D115" s="64" t="s">
        <v>1697</v>
      </c>
      <c r="E115" s="64">
        <v>129.99999999999997</v>
      </c>
      <c r="F115" s="64">
        <v>119.99999999999999</v>
      </c>
    </row>
    <row r="116" spans="1:6">
      <c r="A116" s="64" t="s">
        <v>793</v>
      </c>
      <c r="B116" s="64">
        <v>175</v>
      </c>
      <c r="C116" s="64" t="s">
        <v>420</v>
      </c>
      <c r="D116" s="64" t="s">
        <v>1698</v>
      </c>
      <c r="E116" s="64">
        <v>129.99999999999997</v>
      </c>
      <c r="F116" s="64">
        <v>129.99999999999997</v>
      </c>
    </row>
    <row r="117" spans="1:6">
      <c r="A117" s="64" t="s">
        <v>793</v>
      </c>
      <c r="B117" s="64">
        <v>185</v>
      </c>
      <c r="C117" s="64" t="s">
        <v>421</v>
      </c>
      <c r="D117" s="64" t="s">
        <v>1699</v>
      </c>
      <c r="E117" s="64">
        <v>139.99999999999997</v>
      </c>
      <c r="F117" s="64">
        <v>129.99999999999997</v>
      </c>
    </row>
    <row r="118" spans="1:6">
      <c r="A118" s="64" t="s">
        <v>793</v>
      </c>
      <c r="B118" s="64">
        <v>190</v>
      </c>
      <c r="C118" s="64" t="s">
        <v>422</v>
      </c>
      <c r="D118" s="64" t="s">
        <v>1700</v>
      </c>
      <c r="E118" s="64">
        <v>139.99999999999997</v>
      </c>
      <c r="F118" s="64">
        <v>139.99999999999997</v>
      </c>
    </row>
    <row r="119" spans="1:6">
      <c r="A119" s="64" t="s">
        <v>793</v>
      </c>
      <c r="B119" s="64">
        <v>200</v>
      </c>
      <c r="C119" s="64" t="s">
        <v>423</v>
      </c>
      <c r="D119" s="64" t="s">
        <v>1701</v>
      </c>
      <c r="E119" s="64">
        <v>150</v>
      </c>
      <c r="F119" s="64">
        <v>139.99999999999997</v>
      </c>
    </row>
    <row r="120" spans="1:6">
      <c r="A120" s="62" t="s">
        <v>794</v>
      </c>
      <c r="B120" s="62">
        <v>1</v>
      </c>
      <c r="C120" s="62" t="s">
        <v>424</v>
      </c>
      <c r="D120" s="62" t="s">
        <v>1702</v>
      </c>
      <c r="E120" s="62">
        <v>10</v>
      </c>
      <c r="F120" s="62">
        <v>0</v>
      </c>
    </row>
    <row r="121" spans="1:6">
      <c r="A121" s="62" t="s">
        <v>794</v>
      </c>
      <c r="B121" s="62">
        <v>3</v>
      </c>
      <c r="C121" s="62" t="s">
        <v>425</v>
      </c>
      <c r="D121" s="62" t="s">
        <v>1703</v>
      </c>
      <c r="E121" s="62">
        <v>10</v>
      </c>
      <c r="F121" s="62">
        <v>10</v>
      </c>
    </row>
    <row r="122" spans="1:6">
      <c r="A122" s="62" t="s">
        <v>794</v>
      </c>
      <c r="B122" s="62">
        <v>5</v>
      </c>
      <c r="C122" s="62" t="s">
        <v>426</v>
      </c>
      <c r="D122" s="62" t="s">
        <v>1704</v>
      </c>
      <c r="E122" s="62">
        <v>20</v>
      </c>
      <c r="F122" s="62">
        <v>10</v>
      </c>
    </row>
    <row r="123" spans="1:6">
      <c r="A123" s="62" t="s">
        <v>794</v>
      </c>
      <c r="B123" s="62">
        <v>7</v>
      </c>
      <c r="C123" s="62" t="s">
        <v>427</v>
      </c>
      <c r="D123" s="62" t="s">
        <v>1705</v>
      </c>
      <c r="E123" s="62">
        <v>20</v>
      </c>
      <c r="F123" s="62">
        <v>20</v>
      </c>
    </row>
    <row r="124" spans="1:6">
      <c r="A124" s="62" t="s">
        <v>794</v>
      </c>
      <c r="B124" s="62">
        <v>10</v>
      </c>
      <c r="C124" s="62" t="s">
        <v>428</v>
      </c>
      <c r="D124" s="62" t="s">
        <v>1706</v>
      </c>
      <c r="E124" s="62">
        <v>30</v>
      </c>
      <c r="F124" s="62">
        <v>20</v>
      </c>
    </row>
    <row r="125" spans="1:6">
      <c r="A125" s="62" t="s">
        <v>794</v>
      </c>
      <c r="B125" s="62">
        <v>15</v>
      </c>
      <c r="C125" s="62" t="s">
        <v>429</v>
      </c>
      <c r="D125" s="62" t="s">
        <v>1707</v>
      </c>
      <c r="E125" s="62">
        <v>30</v>
      </c>
      <c r="F125" s="62">
        <v>30</v>
      </c>
    </row>
    <row r="126" spans="1:6">
      <c r="A126" s="62" t="s">
        <v>794</v>
      </c>
      <c r="B126" s="62">
        <v>25</v>
      </c>
      <c r="C126" s="62" t="s">
        <v>430</v>
      </c>
      <c r="D126" s="62" t="s">
        <v>1708</v>
      </c>
      <c r="E126" s="62">
        <v>40</v>
      </c>
      <c r="F126" s="62">
        <v>30</v>
      </c>
    </row>
    <row r="127" spans="1:6">
      <c r="A127" s="62" t="s">
        <v>794</v>
      </c>
      <c r="B127" s="62">
        <v>35</v>
      </c>
      <c r="C127" s="62" t="s">
        <v>431</v>
      </c>
      <c r="D127" s="62" t="s">
        <v>1709</v>
      </c>
      <c r="E127" s="62">
        <v>40</v>
      </c>
      <c r="F127" s="62">
        <v>40</v>
      </c>
    </row>
    <row r="128" spans="1:6">
      <c r="A128" s="62" t="s">
        <v>794</v>
      </c>
      <c r="B128" s="62">
        <v>40</v>
      </c>
      <c r="C128" s="62" t="s">
        <v>432</v>
      </c>
      <c r="D128" s="62" t="s">
        <v>1710</v>
      </c>
      <c r="E128" s="62">
        <v>50</v>
      </c>
      <c r="F128" s="62">
        <v>40</v>
      </c>
    </row>
    <row r="129" spans="1:6">
      <c r="A129" s="62" t="s">
        <v>794</v>
      </c>
      <c r="B129" s="62">
        <v>50</v>
      </c>
      <c r="C129" s="62" t="s">
        <v>433</v>
      </c>
      <c r="D129" s="62" t="s">
        <v>1711</v>
      </c>
      <c r="E129" s="62">
        <v>50</v>
      </c>
      <c r="F129" s="62">
        <v>50</v>
      </c>
    </row>
    <row r="130" spans="1:6">
      <c r="A130" s="62" t="s">
        <v>794</v>
      </c>
      <c r="B130" s="62">
        <v>60</v>
      </c>
      <c r="C130" s="62" t="s">
        <v>434</v>
      </c>
      <c r="D130" s="62" t="s">
        <v>1712</v>
      </c>
      <c r="E130" s="62">
        <v>60.000000000000007</v>
      </c>
      <c r="F130" s="62">
        <v>50</v>
      </c>
    </row>
    <row r="131" spans="1:6">
      <c r="A131" s="62" t="s">
        <v>794</v>
      </c>
      <c r="B131" s="62">
        <v>65</v>
      </c>
      <c r="C131" s="62" t="s">
        <v>435</v>
      </c>
      <c r="D131" s="62" t="s">
        <v>1713</v>
      </c>
      <c r="E131" s="62">
        <v>60.000000000000007</v>
      </c>
      <c r="F131" s="62">
        <v>60.000000000000007</v>
      </c>
    </row>
    <row r="132" spans="1:6">
      <c r="A132" s="62" t="s">
        <v>794</v>
      </c>
      <c r="B132" s="62">
        <v>75</v>
      </c>
      <c r="C132" s="62" t="s">
        <v>436</v>
      </c>
      <c r="D132" s="62" t="s">
        <v>1714</v>
      </c>
      <c r="E132" s="62">
        <v>70</v>
      </c>
      <c r="F132" s="62">
        <v>60.000000000000007</v>
      </c>
    </row>
    <row r="133" spans="1:6">
      <c r="A133" s="62" t="s">
        <v>794</v>
      </c>
      <c r="B133" s="62">
        <v>80</v>
      </c>
      <c r="C133" s="62" t="s">
        <v>437</v>
      </c>
      <c r="D133" s="62" t="s">
        <v>1715</v>
      </c>
      <c r="E133" s="62">
        <v>70</v>
      </c>
      <c r="F133" s="62">
        <v>70</v>
      </c>
    </row>
    <row r="134" spans="1:6">
      <c r="A134" s="62" t="s">
        <v>794</v>
      </c>
      <c r="B134" s="62">
        <v>90</v>
      </c>
      <c r="C134" s="62" t="s">
        <v>438</v>
      </c>
      <c r="D134" s="62" t="s">
        <v>1716</v>
      </c>
      <c r="E134" s="62">
        <v>80</v>
      </c>
      <c r="F134" s="62">
        <v>70</v>
      </c>
    </row>
    <row r="135" spans="1:6">
      <c r="A135" s="62" t="s">
        <v>794</v>
      </c>
      <c r="B135" s="62">
        <v>100</v>
      </c>
      <c r="C135" s="62" t="s">
        <v>439</v>
      </c>
      <c r="D135" s="62" t="s">
        <v>1717</v>
      </c>
      <c r="E135" s="62">
        <v>80</v>
      </c>
      <c r="F135" s="62">
        <v>80</v>
      </c>
    </row>
    <row r="136" spans="1:6">
      <c r="A136" s="62" t="s">
        <v>794</v>
      </c>
      <c r="B136" s="62">
        <v>105</v>
      </c>
      <c r="C136" s="62" t="s">
        <v>440</v>
      </c>
      <c r="D136" s="62" t="s">
        <v>1718</v>
      </c>
      <c r="E136" s="62">
        <v>90</v>
      </c>
      <c r="F136" s="62">
        <v>80</v>
      </c>
    </row>
    <row r="137" spans="1:6">
      <c r="A137" s="62" t="s">
        <v>794</v>
      </c>
      <c r="B137" s="62">
        <v>110</v>
      </c>
      <c r="C137" s="62" t="s">
        <v>441</v>
      </c>
      <c r="D137" s="62" t="s">
        <v>1719</v>
      </c>
      <c r="E137" s="62">
        <v>90</v>
      </c>
      <c r="F137" s="62">
        <v>90</v>
      </c>
    </row>
    <row r="138" spans="1:6">
      <c r="A138" s="62" t="s">
        <v>794</v>
      </c>
      <c r="B138" s="62">
        <v>120</v>
      </c>
      <c r="C138" s="62" t="s">
        <v>442</v>
      </c>
      <c r="D138" s="62" t="s">
        <v>1720</v>
      </c>
      <c r="E138" s="62">
        <v>99.999999999999986</v>
      </c>
      <c r="F138" s="62">
        <v>90</v>
      </c>
    </row>
    <row r="139" spans="1:6">
      <c r="A139" s="62" t="s">
        <v>794</v>
      </c>
      <c r="B139" s="62">
        <v>130</v>
      </c>
      <c r="C139" s="62" t="s">
        <v>443</v>
      </c>
      <c r="D139" s="62" t="s">
        <v>1721</v>
      </c>
      <c r="E139" s="62">
        <v>99.999999999999986</v>
      </c>
      <c r="F139" s="62">
        <v>99.999999999999986</v>
      </c>
    </row>
    <row r="140" spans="1:6">
      <c r="A140" s="62" t="s">
        <v>794</v>
      </c>
      <c r="B140" s="62">
        <v>135</v>
      </c>
      <c r="C140" s="62" t="s">
        <v>444</v>
      </c>
      <c r="D140" s="62" t="s">
        <v>1722</v>
      </c>
      <c r="E140" s="62">
        <v>109.99999999999999</v>
      </c>
      <c r="F140" s="62">
        <v>99.999999999999986</v>
      </c>
    </row>
    <row r="141" spans="1:6">
      <c r="A141" s="62" t="s">
        <v>794</v>
      </c>
      <c r="B141" s="62">
        <v>145</v>
      </c>
      <c r="C141" s="62" t="s">
        <v>445</v>
      </c>
      <c r="D141" s="62" t="s">
        <v>1723</v>
      </c>
      <c r="E141" s="62">
        <v>109.99999999999999</v>
      </c>
      <c r="F141" s="62">
        <v>109.99999999999999</v>
      </c>
    </row>
    <row r="142" spans="1:6">
      <c r="A142" s="62" t="s">
        <v>794</v>
      </c>
      <c r="B142" s="62">
        <v>155</v>
      </c>
      <c r="C142" s="62" t="s">
        <v>446</v>
      </c>
      <c r="D142" s="62" t="s">
        <v>1724</v>
      </c>
      <c r="E142" s="62">
        <v>119.99999999999999</v>
      </c>
      <c r="F142" s="62">
        <v>109.99999999999999</v>
      </c>
    </row>
    <row r="143" spans="1:6">
      <c r="A143" s="62" t="s">
        <v>794</v>
      </c>
      <c r="B143" s="62">
        <v>160</v>
      </c>
      <c r="C143" s="62" t="s">
        <v>447</v>
      </c>
      <c r="D143" s="62" t="s">
        <v>1725</v>
      </c>
      <c r="E143" s="62">
        <v>119.99999999999999</v>
      </c>
      <c r="F143" s="62">
        <v>119.99999999999999</v>
      </c>
    </row>
    <row r="144" spans="1:6">
      <c r="A144" s="62" t="s">
        <v>794</v>
      </c>
      <c r="B144" s="62">
        <v>170</v>
      </c>
      <c r="C144" s="62" t="s">
        <v>448</v>
      </c>
      <c r="D144" s="62" t="s">
        <v>1726</v>
      </c>
      <c r="E144" s="62">
        <v>129.99999999999997</v>
      </c>
      <c r="F144" s="62">
        <v>119.99999999999999</v>
      </c>
    </row>
    <row r="145" spans="1:6">
      <c r="A145" s="62" t="s">
        <v>794</v>
      </c>
      <c r="B145" s="62">
        <v>175</v>
      </c>
      <c r="C145" s="62" t="s">
        <v>449</v>
      </c>
      <c r="D145" s="62" t="s">
        <v>1727</v>
      </c>
      <c r="E145" s="62">
        <v>129.99999999999997</v>
      </c>
      <c r="F145" s="62">
        <v>129.99999999999997</v>
      </c>
    </row>
    <row r="146" spans="1:6">
      <c r="A146" s="62" t="s">
        <v>794</v>
      </c>
      <c r="B146" s="62">
        <v>185</v>
      </c>
      <c r="C146" s="62" t="s">
        <v>450</v>
      </c>
      <c r="D146" s="62" t="s">
        <v>1728</v>
      </c>
      <c r="E146" s="62">
        <v>139.99999999999997</v>
      </c>
      <c r="F146" s="62">
        <v>129.99999999999997</v>
      </c>
    </row>
    <row r="147" spans="1:6">
      <c r="A147" s="62" t="s">
        <v>794</v>
      </c>
      <c r="B147" s="62">
        <v>190</v>
      </c>
      <c r="C147" s="62" t="s">
        <v>451</v>
      </c>
      <c r="D147" s="62" t="s">
        <v>1729</v>
      </c>
      <c r="E147" s="62">
        <v>139.99999999999997</v>
      </c>
      <c r="F147" s="62">
        <v>139.99999999999997</v>
      </c>
    </row>
    <row r="148" spans="1:6">
      <c r="A148" s="62" t="s">
        <v>794</v>
      </c>
      <c r="B148" s="62">
        <v>200</v>
      </c>
      <c r="C148" s="62" t="s">
        <v>452</v>
      </c>
      <c r="D148" s="62" t="s">
        <v>1730</v>
      </c>
      <c r="E148" s="62">
        <v>150</v>
      </c>
      <c r="F148" s="62">
        <v>139.99999999999997</v>
      </c>
    </row>
    <row r="149" spans="1:6">
      <c r="A149" s="31"/>
      <c r="B149" s="31"/>
      <c r="C149" s="31"/>
      <c r="D149" s="31"/>
      <c r="E149" s="31"/>
      <c r="F149" s="31"/>
    </row>
    <row r="150" spans="1:6">
      <c r="A150" s="31"/>
      <c r="B150" s="31"/>
      <c r="C150" s="31"/>
      <c r="D150" s="31"/>
      <c r="E150" s="31"/>
      <c r="F150" s="31"/>
    </row>
    <row r="151" spans="1:6">
      <c r="A151" s="31"/>
      <c r="B151" s="31"/>
      <c r="C151" s="31"/>
      <c r="D151" s="31"/>
      <c r="E151" s="31"/>
      <c r="F151" s="31"/>
    </row>
    <row r="152" spans="1:6">
      <c r="A152" s="31"/>
      <c r="B152" s="31"/>
      <c r="C152" s="31"/>
      <c r="D152" s="31"/>
      <c r="E152" s="31"/>
      <c r="F152" s="3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4" sqref="G24"/>
    </sheetView>
  </sheetViews>
  <sheetFormatPr defaultRowHeight="13.5"/>
  <cols>
    <col min="1" max="1" width="27.625" style="21" bestFit="1" customWidth="1"/>
    <col min="2" max="2" width="14.25" style="21" bestFit="1" customWidth="1"/>
    <col min="3" max="3" width="13.125" style="21" bestFit="1" customWidth="1"/>
    <col min="4" max="4" width="9" style="21" bestFit="1" customWidth="1"/>
    <col min="5" max="6" width="8.5" style="21" bestFit="1" customWidth="1"/>
    <col min="7" max="7" width="67.625" style="21" bestFit="1" customWidth="1"/>
    <col min="8" max="8" width="10.25" style="21" bestFit="1" customWidth="1"/>
    <col min="9" max="9" width="10.5" style="21" bestFit="1" customWidth="1"/>
    <col min="10" max="10" width="11.375" style="21" bestFit="1" customWidth="1"/>
    <col min="11" max="11" width="8" style="21" bestFit="1" customWidth="1"/>
    <col min="12" max="12" width="7.375" style="21" bestFit="1" customWidth="1"/>
    <col min="13" max="13" width="22.25" style="21" bestFit="1" customWidth="1"/>
    <col min="14" max="14" width="27.625" style="21" bestFit="1" customWidth="1"/>
    <col min="15" max="15" width="37.5" style="21" bestFit="1" customWidth="1"/>
    <col min="16" max="16" width="11.5" style="21" bestFit="1" customWidth="1"/>
    <col min="17" max="17" width="8" style="21" bestFit="1" customWidth="1"/>
    <col min="18" max="16384" width="9" style="21"/>
  </cols>
  <sheetData>
    <row r="1" spans="1:17" ht="27">
      <c r="A1" s="23" t="s">
        <v>453</v>
      </c>
      <c r="B1" s="24" t="s">
        <v>454</v>
      </c>
      <c r="C1" s="24" t="s">
        <v>455</v>
      </c>
      <c r="D1" s="24" t="s">
        <v>456</v>
      </c>
      <c r="E1" s="25" t="s">
        <v>457</v>
      </c>
      <c r="F1" s="25" t="s">
        <v>458</v>
      </c>
      <c r="G1" s="26" t="s">
        <v>459</v>
      </c>
      <c r="H1" s="27" t="s">
        <v>460</v>
      </c>
      <c r="I1" s="27" t="s">
        <v>461</v>
      </c>
      <c r="J1" s="23" t="s">
        <v>462</v>
      </c>
      <c r="K1" s="23" t="s">
        <v>463</v>
      </c>
      <c r="L1" s="23" t="s">
        <v>464</v>
      </c>
      <c r="M1" s="23" t="s">
        <v>465</v>
      </c>
      <c r="N1" s="23" t="s">
        <v>466</v>
      </c>
      <c r="O1" s="23" t="s">
        <v>467</v>
      </c>
      <c r="P1" s="23" t="s">
        <v>468</v>
      </c>
      <c r="Q1" s="23" t="s">
        <v>469</v>
      </c>
    </row>
    <row r="2" spans="1:17">
      <c r="A2" s="23" t="s">
        <v>291</v>
      </c>
      <c r="B2" s="24" t="s">
        <v>470</v>
      </c>
      <c r="C2" s="24" t="s">
        <v>471</v>
      </c>
      <c r="D2" s="24" t="s">
        <v>1777</v>
      </c>
      <c r="E2" s="25" t="s">
        <v>472</v>
      </c>
      <c r="F2" s="25" t="s">
        <v>473</v>
      </c>
      <c r="G2" s="26" t="s">
        <v>474</v>
      </c>
      <c r="H2" s="27" t="s">
        <v>475</v>
      </c>
      <c r="I2" s="27" t="s">
        <v>476</v>
      </c>
      <c r="J2" s="23" t="s">
        <v>477</v>
      </c>
      <c r="K2" s="23" t="s">
        <v>478</v>
      </c>
      <c r="L2" s="23" t="s">
        <v>479</v>
      </c>
      <c r="M2" s="23" t="s">
        <v>480</v>
      </c>
      <c r="N2" s="23" t="s">
        <v>481</v>
      </c>
      <c r="O2" s="23" t="s">
        <v>307</v>
      </c>
      <c r="P2" s="23" t="s">
        <v>482</v>
      </c>
      <c r="Q2" s="23" t="s">
        <v>483</v>
      </c>
    </row>
    <row r="3" spans="1:17">
      <c r="A3" s="23" t="s">
        <v>293</v>
      </c>
      <c r="B3" s="24" t="s">
        <v>484</v>
      </c>
      <c r="C3" s="24" t="s">
        <v>38</v>
      </c>
      <c r="D3" s="24" t="s">
        <v>299</v>
      </c>
      <c r="E3" s="25" t="s">
        <v>299</v>
      </c>
      <c r="F3" s="25" t="s">
        <v>299</v>
      </c>
      <c r="G3" s="26" t="s">
        <v>485</v>
      </c>
      <c r="H3" s="27" t="s">
        <v>486</v>
      </c>
      <c r="I3" s="27" t="s">
        <v>487</v>
      </c>
      <c r="J3" s="23" t="s">
        <v>487</v>
      </c>
      <c r="K3" s="23" t="s">
        <v>487</v>
      </c>
      <c r="L3" s="23" t="s">
        <v>488</v>
      </c>
      <c r="M3" s="23" t="s">
        <v>38</v>
      </c>
      <c r="N3" s="23" t="s">
        <v>38</v>
      </c>
      <c r="O3" s="23" t="s">
        <v>38</v>
      </c>
      <c r="P3" s="23" t="s">
        <v>487</v>
      </c>
      <c r="Q3" s="23" t="s">
        <v>487</v>
      </c>
    </row>
    <row r="4" spans="1:17">
      <c r="A4" s="23" t="s">
        <v>4</v>
      </c>
      <c r="B4" s="24" t="s">
        <v>4</v>
      </c>
      <c r="C4" s="24" t="s">
        <v>4</v>
      </c>
      <c r="D4" s="24" t="s">
        <v>4</v>
      </c>
      <c r="E4" s="25" t="s">
        <v>4</v>
      </c>
      <c r="F4" s="25" t="s">
        <v>4</v>
      </c>
      <c r="G4" s="26" t="s">
        <v>4</v>
      </c>
      <c r="H4" s="27" t="s">
        <v>4</v>
      </c>
      <c r="I4" s="27" t="s">
        <v>4</v>
      </c>
      <c r="J4" s="23" t="s">
        <v>4</v>
      </c>
      <c r="K4" s="23" t="s">
        <v>4</v>
      </c>
      <c r="L4" s="23" t="s">
        <v>50</v>
      </c>
      <c r="M4" s="23" t="s">
        <v>50</v>
      </c>
      <c r="N4" s="23" t="s">
        <v>50</v>
      </c>
      <c r="O4" s="23" t="s">
        <v>50</v>
      </c>
      <c r="P4" s="23" t="s">
        <v>50</v>
      </c>
      <c r="Q4" s="23" t="s">
        <v>4</v>
      </c>
    </row>
    <row r="5" spans="1:17">
      <c r="A5" s="40" t="s">
        <v>308</v>
      </c>
      <c r="B5" s="65" t="s">
        <v>48</v>
      </c>
      <c r="C5" s="65" t="s">
        <v>52</v>
      </c>
      <c r="D5" s="65">
        <v>0</v>
      </c>
      <c r="E5" s="65">
        <v>0</v>
      </c>
      <c r="F5" s="65">
        <v>0</v>
      </c>
      <c r="G5" s="65" t="s">
        <v>490</v>
      </c>
      <c r="H5" s="65"/>
      <c r="I5" s="65" t="b">
        <v>0</v>
      </c>
      <c r="J5" s="65" t="b">
        <v>0</v>
      </c>
      <c r="K5" s="65" t="b">
        <v>1</v>
      </c>
      <c r="L5" s="65"/>
      <c r="M5" s="65"/>
      <c r="N5" s="65" t="s">
        <v>489</v>
      </c>
      <c r="O5" s="65"/>
      <c r="P5" s="65" t="b">
        <v>1</v>
      </c>
      <c r="Q5" s="65" t="b">
        <v>0</v>
      </c>
    </row>
    <row r="6" spans="1:17">
      <c r="A6" s="40" t="s">
        <v>309</v>
      </c>
      <c r="B6" s="65" t="s">
        <v>48</v>
      </c>
      <c r="C6" s="65" t="s">
        <v>52</v>
      </c>
      <c r="D6" s="65">
        <v>0</v>
      </c>
      <c r="E6" s="65">
        <v>0</v>
      </c>
      <c r="F6" s="65">
        <v>0</v>
      </c>
      <c r="G6" s="65" t="s">
        <v>491</v>
      </c>
      <c r="H6" s="65"/>
      <c r="I6" s="65" t="b">
        <v>0</v>
      </c>
      <c r="J6" s="65" t="b">
        <v>0</v>
      </c>
      <c r="K6" s="65" t="b">
        <v>1</v>
      </c>
      <c r="L6" s="65"/>
      <c r="M6" s="65"/>
      <c r="N6" s="65" t="s">
        <v>489</v>
      </c>
      <c r="O6" s="65"/>
      <c r="P6" s="65" t="b">
        <v>1</v>
      </c>
      <c r="Q6" s="65" t="b">
        <v>0</v>
      </c>
    </row>
    <row r="7" spans="1:17">
      <c r="A7" s="40" t="s">
        <v>310</v>
      </c>
      <c r="B7" s="65" t="s">
        <v>48</v>
      </c>
      <c r="C7" s="65" t="s">
        <v>52</v>
      </c>
      <c r="D7" s="65">
        <v>0</v>
      </c>
      <c r="E7" s="65">
        <v>0</v>
      </c>
      <c r="F7" s="65">
        <v>0</v>
      </c>
      <c r="G7" s="65" t="s">
        <v>492</v>
      </c>
      <c r="H7" s="65"/>
      <c r="I7" s="65" t="b">
        <v>0</v>
      </c>
      <c r="J7" s="65" t="b">
        <v>0</v>
      </c>
      <c r="K7" s="65" t="b">
        <v>1</v>
      </c>
      <c r="L7" s="65"/>
      <c r="M7" s="65"/>
      <c r="N7" s="65" t="s">
        <v>489</v>
      </c>
      <c r="O7" s="65"/>
      <c r="P7" s="65" t="b">
        <v>1</v>
      </c>
      <c r="Q7" s="65" t="b">
        <v>0</v>
      </c>
    </row>
    <row r="8" spans="1:17">
      <c r="A8" s="40" t="s">
        <v>311</v>
      </c>
      <c r="B8" s="65" t="s">
        <v>48</v>
      </c>
      <c r="C8" s="65" t="s">
        <v>52</v>
      </c>
      <c r="D8" s="65">
        <v>0</v>
      </c>
      <c r="E8" s="65">
        <v>0</v>
      </c>
      <c r="F8" s="65">
        <v>0</v>
      </c>
      <c r="G8" s="65" t="s">
        <v>493</v>
      </c>
      <c r="H8" s="65"/>
      <c r="I8" s="65" t="b">
        <v>0</v>
      </c>
      <c r="J8" s="65" t="b">
        <v>0</v>
      </c>
      <c r="K8" s="65" t="b">
        <v>1</v>
      </c>
      <c r="L8" s="65"/>
      <c r="M8" s="65"/>
      <c r="N8" s="65" t="s">
        <v>489</v>
      </c>
      <c r="O8" s="65"/>
      <c r="P8" s="65" t="b">
        <v>1</v>
      </c>
      <c r="Q8" s="65" t="b">
        <v>0</v>
      </c>
    </row>
    <row r="9" spans="1:17">
      <c r="A9" s="40" t="s">
        <v>312</v>
      </c>
      <c r="B9" s="65" t="s">
        <v>48</v>
      </c>
      <c r="C9" s="65" t="s">
        <v>52</v>
      </c>
      <c r="D9" s="65">
        <v>0</v>
      </c>
      <c r="E9" s="65">
        <v>0</v>
      </c>
      <c r="F9" s="65">
        <v>0</v>
      </c>
      <c r="G9" s="65" t="s">
        <v>494</v>
      </c>
      <c r="H9" s="65"/>
      <c r="I9" s="65" t="b">
        <v>0</v>
      </c>
      <c r="J9" s="65" t="b">
        <v>0</v>
      </c>
      <c r="K9" s="65" t="b">
        <v>1</v>
      </c>
      <c r="L9" s="65"/>
      <c r="M9" s="65"/>
      <c r="N9" s="65" t="s">
        <v>489</v>
      </c>
      <c r="O9" s="65"/>
      <c r="P9" s="65" t="b">
        <v>1</v>
      </c>
      <c r="Q9" s="65" t="b">
        <v>0</v>
      </c>
    </row>
    <row r="10" spans="1:17">
      <c r="A10" s="40" t="s">
        <v>313</v>
      </c>
      <c r="B10" s="65" t="s">
        <v>48</v>
      </c>
      <c r="C10" s="65" t="s">
        <v>52</v>
      </c>
      <c r="D10" s="65">
        <v>0</v>
      </c>
      <c r="E10" s="65">
        <v>0</v>
      </c>
      <c r="F10" s="65">
        <v>0</v>
      </c>
      <c r="G10" s="65" t="s">
        <v>495</v>
      </c>
      <c r="H10" s="65"/>
      <c r="I10" s="65" t="b">
        <v>0</v>
      </c>
      <c r="J10" s="65" t="b">
        <v>0</v>
      </c>
      <c r="K10" s="65" t="b">
        <v>1</v>
      </c>
      <c r="L10" s="65"/>
      <c r="M10" s="65"/>
      <c r="N10" s="65" t="s">
        <v>489</v>
      </c>
      <c r="O10" s="65"/>
      <c r="P10" s="65" t="b">
        <v>1</v>
      </c>
      <c r="Q10" s="65" t="b">
        <v>0</v>
      </c>
    </row>
    <row r="11" spans="1:17">
      <c r="A11" s="40" t="s">
        <v>314</v>
      </c>
      <c r="B11" s="65" t="s">
        <v>48</v>
      </c>
      <c r="C11" s="65" t="s">
        <v>52</v>
      </c>
      <c r="D11" s="65">
        <v>0</v>
      </c>
      <c r="E11" s="65">
        <v>0</v>
      </c>
      <c r="F11" s="65">
        <v>0</v>
      </c>
      <c r="G11" s="65" t="s">
        <v>496</v>
      </c>
      <c r="H11" s="65"/>
      <c r="I11" s="65" t="b">
        <v>0</v>
      </c>
      <c r="J11" s="65" t="b">
        <v>0</v>
      </c>
      <c r="K11" s="65" t="b">
        <v>1</v>
      </c>
      <c r="L11" s="65"/>
      <c r="M11" s="65"/>
      <c r="N11" s="65" t="s">
        <v>489</v>
      </c>
      <c r="O11" s="65"/>
      <c r="P11" s="65" t="b">
        <v>1</v>
      </c>
      <c r="Q11" s="65" t="b">
        <v>0</v>
      </c>
    </row>
    <row r="12" spans="1:17">
      <c r="A12" s="40" t="s">
        <v>315</v>
      </c>
      <c r="B12" s="65" t="s">
        <v>48</v>
      </c>
      <c r="C12" s="65" t="s">
        <v>52</v>
      </c>
      <c r="D12" s="65">
        <v>0</v>
      </c>
      <c r="E12" s="65">
        <v>0</v>
      </c>
      <c r="F12" s="65">
        <v>0</v>
      </c>
      <c r="G12" s="65" t="s">
        <v>497</v>
      </c>
      <c r="H12" s="65"/>
      <c r="I12" s="65" t="b">
        <v>0</v>
      </c>
      <c r="J12" s="65" t="b">
        <v>0</v>
      </c>
      <c r="K12" s="65" t="b">
        <v>1</v>
      </c>
      <c r="L12" s="65"/>
      <c r="M12" s="65"/>
      <c r="N12" s="65" t="s">
        <v>489</v>
      </c>
      <c r="O12" s="65"/>
      <c r="P12" s="65" t="b">
        <v>1</v>
      </c>
      <c r="Q12" s="65" t="b">
        <v>0</v>
      </c>
    </row>
    <row r="13" spans="1:17">
      <c r="A13" s="40" t="s">
        <v>316</v>
      </c>
      <c r="B13" s="65" t="s">
        <v>48</v>
      </c>
      <c r="C13" s="65" t="s">
        <v>52</v>
      </c>
      <c r="D13" s="65">
        <v>0</v>
      </c>
      <c r="E13" s="65">
        <v>0</v>
      </c>
      <c r="F13" s="65">
        <v>0</v>
      </c>
      <c r="G13" s="65" t="s">
        <v>498</v>
      </c>
      <c r="H13" s="65"/>
      <c r="I13" s="65" t="b">
        <v>0</v>
      </c>
      <c r="J13" s="65" t="b">
        <v>0</v>
      </c>
      <c r="K13" s="65" t="b">
        <v>1</v>
      </c>
      <c r="L13" s="65"/>
      <c r="M13" s="65"/>
      <c r="N13" s="65" t="s">
        <v>489</v>
      </c>
      <c r="O13" s="65"/>
      <c r="P13" s="65" t="b">
        <v>1</v>
      </c>
      <c r="Q13" s="65" t="b">
        <v>0</v>
      </c>
    </row>
    <row r="14" spans="1:17">
      <c r="A14" s="40" t="s">
        <v>317</v>
      </c>
      <c r="B14" s="65" t="s">
        <v>48</v>
      </c>
      <c r="C14" s="65" t="s">
        <v>52</v>
      </c>
      <c r="D14" s="65">
        <v>0</v>
      </c>
      <c r="E14" s="65">
        <v>0</v>
      </c>
      <c r="F14" s="65">
        <v>0</v>
      </c>
      <c r="G14" s="65" t="s">
        <v>499</v>
      </c>
      <c r="H14" s="65"/>
      <c r="I14" s="65" t="b">
        <v>0</v>
      </c>
      <c r="J14" s="65" t="b">
        <v>0</v>
      </c>
      <c r="K14" s="65" t="b">
        <v>1</v>
      </c>
      <c r="L14" s="65"/>
      <c r="M14" s="65"/>
      <c r="N14" s="65" t="s">
        <v>489</v>
      </c>
      <c r="O14" s="65"/>
      <c r="P14" s="65" t="b">
        <v>1</v>
      </c>
      <c r="Q14" s="65" t="b">
        <v>0</v>
      </c>
    </row>
    <row r="15" spans="1:17">
      <c r="A15" s="40" t="s">
        <v>318</v>
      </c>
      <c r="B15" s="65" t="s">
        <v>48</v>
      </c>
      <c r="C15" s="65" t="s">
        <v>52</v>
      </c>
      <c r="D15" s="65">
        <v>0</v>
      </c>
      <c r="E15" s="65">
        <v>0</v>
      </c>
      <c r="F15" s="65">
        <v>0</v>
      </c>
      <c r="G15" s="65" t="s">
        <v>500</v>
      </c>
      <c r="H15" s="65"/>
      <c r="I15" s="65" t="b">
        <v>0</v>
      </c>
      <c r="J15" s="65" t="b">
        <v>0</v>
      </c>
      <c r="K15" s="65" t="b">
        <v>1</v>
      </c>
      <c r="L15" s="65"/>
      <c r="M15" s="65"/>
      <c r="N15" s="65" t="s">
        <v>489</v>
      </c>
      <c r="O15" s="65"/>
      <c r="P15" s="65" t="b">
        <v>1</v>
      </c>
      <c r="Q15" s="65" t="b">
        <v>0</v>
      </c>
    </row>
    <row r="16" spans="1:17">
      <c r="A16" s="40" t="s">
        <v>319</v>
      </c>
      <c r="B16" s="65" t="s">
        <v>48</v>
      </c>
      <c r="C16" s="65" t="s">
        <v>52</v>
      </c>
      <c r="D16" s="65">
        <v>0</v>
      </c>
      <c r="E16" s="65">
        <v>0</v>
      </c>
      <c r="F16" s="65">
        <v>0</v>
      </c>
      <c r="G16" s="65" t="s">
        <v>501</v>
      </c>
      <c r="H16" s="65"/>
      <c r="I16" s="65" t="b">
        <v>0</v>
      </c>
      <c r="J16" s="65" t="b">
        <v>0</v>
      </c>
      <c r="K16" s="65" t="b">
        <v>1</v>
      </c>
      <c r="L16" s="65"/>
      <c r="M16" s="65"/>
      <c r="N16" s="65" t="s">
        <v>489</v>
      </c>
      <c r="O16" s="65"/>
      <c r="P16" s="65" t="b">
        <v>1</v>
      </c>
      <c r="Q16" s="65" t="b">
        <v>0</v>
      </c>
    </row>
    <row r="17" spans="1:17">
      <c r="A17" s="40" t="s">
        <v>320</v>
      </c>
      <c r="B17" s="65" t="s">
        <v>48</v>
      </c>
      <c r="C17" s="65" t="s">
        <v>52</v>
      </c>
      <c r="D17" s="65">
        <v>0</v>
      </c>
      <c r="E17" s="65">
        <v>0</v>
      </c>
      <c r="F17" s="65">
        <v>0</v>
      </c>
      <c r="G17" s="65" t="s">
        <v>502</v>
      </c>
      <c r="H17" s="65"/>
      <c r="I17" s="65" t="b">
        <v>0</v>
      </c>
      <c r="J17" s="65" t="b">
        <v>0</v>
      </c>
      <c r="K17" s="65" t="b">
        <v>1</v>
      </c>
      <c r="L17" s="65"/>
      <c r="M17" s="65"/>
      <c r="N17" s="65" t="s">
        <v>489</v>
      </c>
      <c r="O17" s="65"/>
      <c r="P17" s="65" t="b">
        <v>1</v>
      </c>
      <c r="Q17" s="65" t="b">
        <v>0</v>
      </c>
    </row>
    <row r="18" spans="1:17">
      <c r="A18" s="40" t="s">
        <v>321</v>
      </c>
      <c r="B18" s="65" t="s">
        <v>48</v>
      </c>
      <c r="C18" s="65" t="s">
        <v>52</v>
      </c>
      <c r="D18" s="65">
        <v>0</v>
      </c>
      <c r="E18" s="65">
        <v>0</v>
      </c>
      <c r="F18" s="65">
        <v>0</v>
      </c>
      <c r="G18" s="65" t="s">
        <v>503</v>
      </c>
      <c r="H18" s="65"/>
      <c r="I18" s="65" t="b">
        <v>0</v>
      </c>
      <c r="J18" s="65" t="b">
        <v>0</v>
      </c>
      <c r="K18" s="65" t="b">
        <v>1</v>
      </c>
      <c r="L18" s="65"/>
      <c r="M18" s="65"/>
      <c r="N18" s="65" t="s">
        <v>489</v>
      </c>
      <c r="O18" s="65"/>
      <c r="P18" s="65" t="b">
        <v>1</v>
      </c>
      <c r="Q18" s="65" t="b">
        <v>0</v>
      </c>
    </row>
    <row r="19" spans="1:17">
      <c r="A19" s="40" t="s">
        <v>322</v>
      </c>
      <c r="B19" s="65" t="s">
        <v>48</v>
      </c>
      <c r="C19" s="65" t="s">
        <v>52</v>
      </c>
      <c r="D19" s="65">
        <v>0</v>
      </c>
      <c r="E19" s="65">
        <v>0</v>
      </c>
      <c r="F19" s="65">
        <v>0</v>
      </c>
      <c r="G19" s="65" t="s">
        <v>504</v>
      </c>
      <c r="H19" s="65"/>
      <c r="I19" s="65" t="b">
        <v>0</v>
      </c>
      <c r="J19" s="65" t="b">
        <v>0</v>
      </c>
      <c r="K19" s="65" t="b">
        <v>1</v>
      </c>
      <c r="L19" s="65"/>
      <c r="M19" s="65"/>
      <c r="N19" s="65" t="s">
        <v>489</v>
      </c>
      <c r="O19" s="65"/>
      <c r="P19" s="65" t="b">
        <v>1</v>
      </c>
      <c r="Q19" s="65" t="b">
        <v>0</v>
      </c>
    </row>
    <row r="20" spans="1:17">
      <c r="A20" s="40" t="s">
        <v>323</v>
      </c>
      <c r="B20" s="65" t="s">
        <v>48</v>
      </c>
      <c r="C20" s="65" t="s">
        <v>52</v>
      </c>
      <c r="D20" s="65">
        <v>0</v>
      </c>
      <c r="E20" s="65">
        <v>0</v>
      </c>
      <c r="F20" s="65">
        <v>0</v>
      </c>
      <c r="G20" s="65" t="s">
        <v>505</v>
      </c>
      <c r="H20" s="65"/>
      <c r="I20" s="65" t="b">
        <v>0</v>
      </c>
      <c r="J20" s="65" t="b">
        <v>0</v>
      </c>
      <c r="K20" s="65" t="b">
        <v>1</v>
      </c>
      <c r="L20" s="65"/>
      <c r="M20" s="65"/>
      <c r="N20" s="65" t="s">
        <v>489</v>
      </c>
      <c r="O20" s="65"/>
      <c r="P20" s="65" t="b">
        <v>1</v>
      </c>
      <c r="Q20" s="65" t="b">
        <v>0</v>
      </c>
    </row>
    <row r="21" spans="1:17">
      <c r="A21" s="40" t="s">
        <v>324</v>
      </c>
      <c r="B21" s="65" t="s">
        <v>48</v>
      </c>
      <c r="C21" s="65" t="s">
        <v>52</v>
      </c>
      <c r="D21" s="65">
        <v>0</v>
      </c>
      <c r="E21" s="65">
        <v>0</v>
      </c>
      <c r="F21" s="65">
        <v>0</v>
      </c>
      <c r="G21" s="65" t="s">
        <v>506</v>
      </c>
      <c r="H21" s="65"/>
      <c r="I21" s="65" t="b">
        <v>0</v>
      </c>
      <c r="J21" s="65" t="b">
        <v>0</v>
      </c>
      <c r="K21" s="65" t="b">
        <v>1</v>
      </c>
      <c r="L21" s="65"/>
      <c r="M21" s="65"/>
      <c r="N21" s="65" t="s">
        <v>489</v>
      </c>
      <c r="O21" s="65"/>
      <c r="P21" s="65" t="b">
        <v>1</v>
      </c>
      <c r="Q21" s="65" t="b">
        <v>0</v>
      </c>
    </row>
    <row r="22" spans="1:17">
      <c r="A22" s="40" t="s">
        <v>325</v>
      </c>
      <c r="B22" s="65" t="s">
        <v>48</v>
      </c>
      <c r="C22" s="65" t="s">
        <v>52</v>
      </c>
      <c r="D22" s="65">
        <v>0</v>
      </c>
      <c r="E22" s="65">
        <v>0</v>
      </c>
      <c r="F22" s="65">
        <v>0</v>
      </c>
      <c r="G22" s="65" t="s">
        <v>507</v>
      </c>
      <c r="H22" s="65"/>
      <c r="I22" s="65" t="b">
        <v>0</v>
      </c>
      <c r="J22" s="65" t="b">
        <v>0</v>
      </c>
      <c r="K22" s="65" t="b">
        <v>1</v>
      </c>
      <c r="L22" s="65"/>
      <c r="M22" s="65"/>
      <c r="N22" s="65" t="s">
        <v>489</v>
      </c>
      <c r="O22" s="65"/>
      <c r="P22" s="65" t="b">
        <v>1</v>
      </c>
      <c r="Q22" s="65" t="b">
        <v>0</v>
      </c>
    </row>
    <row r="23" spans="1:17">
      <c r="A23" s="40" t="s">
        <v>326</v>
      </c>
      <c r="B23" s="65" t="s">
        <v>48</v>
      </c>
      <c r="C23" s="65" t="s">
        <v>52</v>
      </c>
      <c r="D23" s="65">
        <v>0</v>
      </c>
      <c r="E23" s="65">
        <v>0</v>
      </c>
      <c r="F23" s="65">
        <v>0</v>
      </c>
      <c r="G23" s="65" t="s">
        <v>508</v>
      </c>
      <c r="H23" s="65"/>
      <c r="I23" s="65" t="b">
        <v>0</v>
      </c>
      <c r="J23" s="65" t="b">
        <v>0</v>
      </c>
      <c r="K23" s="65" t="b">
        <v>1</v>
      </c>
      <c r="L23" s="65"/>
      <c r="M23" s="65"/>
      <c r="N23" s="65" t="s">
        <v>489</v>
      </c>
      <c r="O23" s="65"/>
      <c r="P23" s="65" t="b">
        <v>1</v>
      </c>
      <c r="Q23" s="65" t="b">
        <v>0</v>
      </c>
    </row>
    <row r="24" spans="1:17">
      <c r="A24" s="40" t="s">
        <v>327</v>
      </c>
      <c r="B24" s="65" t="s">
        <v>48</v>
      </c>
      <c r="C24" s="65" t="s">
        <v>52</v>
      </c>
      <c r="D24" s="65">
        <v>0</v>
      </c>
      <c r="E24" s="65">
        <v>0</v>
      </c>
      <c r="F24" s="65">
        <v>0</v>
      </c>
      <c r="G24" s="65" t="s">
        <v>509</v>
      </c>
      <c r="H24" s="65"/>
      <c r="I24" s="65" t="b">
        <v>0</v>
      </c>
      <c r="J24" s="65" t="b">
        <v>0</v>
      </c>
      <c r="K24" s="65" t="b">
        <v>1</v>
      </c>
      <c r="L24" s="65"/>
      <c r="M24" s="65"/>
      <c r="N24" s="65" t="s">
        <v>489</v>
      </c>
      <c r="O24" s="65"/>
      <c r="P24" s="65" t="b">
        <v>1</v>
      </c>
      <c r="Q24" s="65" t="b">
        <v>0</v>
      </c>
    </row>
    <row r="25" spans="1:17">
      <c r="A25" s="40" t="s">
        <v>328</v>
      </c>
      <c r="B25" s="65" t="s">
        <v>48</v>
      </c>
      <c r="C25" s="65" t="s">
        <v>52</v>
      </c>
      <c r="D25" s="65">
        <v>0</v>
      </c>
      <c r="E25" s="65">
        <v>0</v>
      </c>
      <c r="F25" s="65">
        <v>0</v>
      </c>
      <c r="G25" s="65" t="s">
        <v>510</v>
      </c>
      <c r="H25" s="65"/>
      <c r="I25" s="65" t="b">
        <v>0</v>
      </c>
      <c r="J25" s="65" t="b">
        <v>0</v>
      </c>
      <c r="K25" s="65" t="b">
        <v>1</v>
      </c>
      <c r="L25" s="65"/>
      <c r="M25" s="65"/>
      <c r="N25" s="65" t="s">
        <v>489</v>
      </c>
      <c r="O25" s="65"/>
      <c r="P25" s="65" t="b">
        <v>1</v>
      </c>
      <c r="Q25" s="65" t="b">
        <v>0</v>
      </c>
    </row>
    <row r="26" spans="1:17">
      <c r="A26" s="40" t="s">
        <v>329</v>
      </c>
      <c r="B26" s="65" t="s">
        <v>48</v>
      </c>
      <c r="C26" s="65" t="s">
        <v>52</v>
      </c>
      <c r="D26" s="65">
        <v>0</v>
      </c>
      <c r="E26" s="65">
        <v>0</v>
      </c>
      <c r="F26" s="65">
        <v>0</v>
      </c>
      <c r="G26" s="65" t="s">
        <v>511</v>
      </c>
      <c r="H26" s="65"/>
      <c r="I26" s="65" t="b">
        <v>0</v>
      </c>
      <c r="J26" s="65" t="b">
        <v>0</v>
      </c>
      <c r="K26" s="65" t="b">
        <v>1</v>
      </c>
      <c r="L26" s="65"/>
      <c r="M26" s="65"/>
      <c r="N26" s="65" t="s">
        <v>489</v>
      </c>
      <c r="O26" s="65"/>
      <c r="P26" s="65" t="b">
        <v>1</v>
      </c>
      <c r="Q26" s="65" t="b">
        <v>0</v>
      </c>
    </row>
    <row r="27" spans="1:17">
      <c r="A27" s="40" t="s">
        <v>330</v>
      </c>
      <c r="B27" s="65" t="s">
        <v>48</v>
      </c>
      <c r="C27" s="65" t="s">
        <v>52</v>
      </c>
      <c r="D27" s="65">
        <v>0</v>
      </c>
      <c r="E27" s="65">
        <v>0</v>
      </c>
      <c r="F27" s="65">
        <v>0</v>
      </c>
      <c r="G27" s="65" t="s">
        <v>512</v>
      </c>
      <c r="H27" s="65"/>
      <c r="I27" s="65" t="b">
        <v>0</v>
      </c>
      <c r="J27" s="65" t="b">
        <v>0</v>
      </c>
      <c r="K27" s="65" t="b">
        <v>1</v>
      </c>
      <c r="L27" s="65"/>
      <c r="M27" s="65"/>
      <c r="N27" s="65" t="s">
        <v>489</v>
      </c>
      <c r="O27" s="65"/>
      <c r="P27" s="65" t="b">
        <v>1</v>
      </c>
      <c r="Q27" s="65" t="b">
        <v>0</v>
      </c>
    </row>
    <row r="28" spans="1:17">
      <c r="A28" s="40" t="s">
        <v>331</v>
      </c>
      <c r="B28" s="65" t="s">
        <v>48</v>
      </c>
      <c r="C28" s="65" t="s">
        <v>52</v>
      </c>
      <c r="D28" s="65">
        <v>0</v>
      </c>
      <c r="E28" s="65">
        <v>0</v>
      </c>
      <c r="F28" s="65">
        <v>0</v>
      </c>
      <c r="G28" s="65" t="s">
        <v>513</v>
      </c>
      <c r="H28" s="65"/>
      <c r="I28" s="65" t="b">
        <v>0</v>
      </c>
      <c r="J28" s="65" t="b">
        <v>0</v>
      </c>
      <c r="K28" s="65" t="b">
        <v>1</v>
      </c>
      <c r="L28" s="65"/>
      <c r="M28" s="65"/>
      <c r="N28" s="65" t="s">
        <v>489</v>
      </c>
      <c r="O28" s="65"/>
      <c r="P28" s="65" t="b">
        <v>1</v>
      </c>
      <c r="Q28" s="65" t="b">
        <v>0</v>
      </c>
    </row>
    <row r="29" spans="1:17">
      <c r="A29" s="40" t="s">
        <v>332</v>
      </c>
      <c r="B29" s="65" t="s">
        <v>48</v>
      </c>
      <c r="C29" s="65" t="s">
        <v>52</v>
      </c>
      <c r="D29" s="65">
        <v>0</v>
      </c>
      <c r="E29" s="65">
        <v>0</v>
      </c>
      <c r="F29" s="65">
        <v>0</v>
      </c>
      <c r="G29" s="65" t="s">
        <v>514</v>
      </c>
      <c r="H29" s="65"/>
      <c r="I29" s="65" t="b">
        <v>0</v>
      </c>
      <c r="J29" s="65" t="b">
        <v>0</v>
      </c>
      <c r="K29" s="65" t="b">
        <v>1</v>
      </c>
      <c r="L29" s="65"/>
      <c r="M29" s="65"/>
      <c r="N29" s="65" t="s">
        <v>489</v>
      </c>
      <c r="O29" s="65"/>
      <c r="P29" s="65" t="b">
        <v>1</v>
      </c>
      <c r="Q29" s="65" t="b">
        <v>0</v>
      </c>
    </row>
    <row r="30" spans="1:17">
      <c r="A30" s="40" t="s">
        <v>333</v>
      </c>
      <c r="B30" s="65" t="s">
        <v>48</v>
      </c>
      <c r="C30" s="65" t="s">
        <v>52</v>
      </c>
      <c r="D30" s="65">
        <v>0</v>
      </c>
      <c r="E30" s="65">
        <v>0</v>
      </c>
      <c r="F30" s="65">
        <v>0</v>
      </c>
      <c r="G30" s="65" t="s">
        <v>515</v>
      </c>
      <c r="H30" s="65"/>
      <c r="I30" s="65" t="b">
        <v>0</v>
      </c>
      <c r="J30" s="65" t="b">
        <v>0</v>
      </c>
      <c r="K30" s="65" t="b">
        <v>1</v>
      </c>
      <c r="L30" s="65"/>
      <c r="M30" s="65"/>
      <c r="N30" s="65" t="s">
        <v>489</v>
      </c>
      <c r="O30" s="65"/>
      <c r="P30" s="65" t="b">
        <v>1</v>
      </c>
      <c r="Q30" s="65" t="b">
        <v>0</v>
      </c>
    </row>
    <row r="31" spans="1:17">
      <c r="A31" s="40" t="s">
        <v>334</v>
      </c>
      <c r="B31" s="65" t="s">
        <v>48</v>
      </c>
      <c r="C31" s="65" t="s">
        <v>52</v>
      </c>
      <c r="D31" s="65">
        <v>0</v>
      </c>
      <c r="E31" s="65">
        <v>0</v>
      </c>
      <c r="F31" s="65">
        <v>0</v>
      </c>
      <c r="G31" s="65" t="s">
        <v>516</v>
      </c>
      <c r="H31" s="65"/>
      <c r="I31" s="65" t="b">
        <v>0</v>
      </c>
      <c r="J31" s="65" t="b">
        <v>0</v>
      </c>
      <c r="K31" s="65" t="b">
        <v>1</v>
      </c>
      <c r="L31" s="65"/>
      <c r="M31" s="65"/>
      <c r="N31" s="65" t="s">
        <v>489</v>
      </c>
      <c r="O31" s="65"/>
      <c r="P31" s="65" t="b">
        <v>1</v>
      </c>
      <c r="Q31" s="65" t="b">
        <v>0</v>
      </c>
    </row>
    <row r="32" spans="1:17">
      <c r="A32" s="40" t="s">
        <v>335</v>
      </c>
      <c r="B32" s="65" t="s">
        <v>48</v>
      </c>
      <c r="C32" s="65" t="s">
        <v>52</v>
      </c>
      <c r="D32" s="65">
        <v>0</v>
      </c>
      <c r="E32" s="65">
        <v>0</v>
      </c>
      <c r="F32" s="65">
        <v>0</v>
      </c>
      <c r="G32" s="65" t="s">
        <v>517</v>
      </c>
      <c r="H32" s="65"/>
      <c r="I32" s="65" t="b">
        <v>0</v>
      </c>
      <c r="J32" s="65" t="b">
        <v>0</v>
      </c>
      <c r="K32" s="65" t="b">
        <v>1</v>
      </c>
      <c r="L32" s="65"/>
      <c r="M32" s="65"/>
      <c r="N32" s="65" t="s">
        <v>489</v>
      </c>
      <c r="O32" s="65"/>
      <c r="P32" s="65" t="b">
        <v>1</v>
      </c>
      <c r="Q32" s="65" t="b">
        <v>0</v>
      </c>
    </row>
    <row r="33" spans="1:17">
      <c r="A33" s="40" t="s">
        <v>336</v>
      </c>
      <c r="B33" s="65" t="s">
        <v>48</v>
      </c>
      <c r="C33" s="65" t="s">
        <v>52</v>
      </c>
      <c r="D33" s="65">
        <v>0</v>
      </c>
      <c r="E33" s="65">
        <v>0</v>
      </c>
      <c r="F33" s="65">
        <v>0</v>
      </c>
      <c r="G33" s="65" t="s">
        <v>518</v>
      </c>
      <c r="H33" s="65"/>
      <c r="I33" s="65" t="b">
        <v>0</v>
      </c>
      <c r="J33" s="65" t="b">
        <v>0</v>
      </c>
      <c r="K33" s="65" t="b">
        <v>1</v>
      </c>
      <c r="L33" s="65"/>
      <c r="M33" s="65"/>
      <c r="N33" s="65" t="s">
        <v>489</v>
      </c>
      <c r="O33" s="65"/>
      <c r="P33" s="65" t="b">
        <v>1</v>
      </c>
      <c r="Q33" s="65" t="b">
        <v>0</v>
      </c>
    </row>
    <row r="34" spans="1:17">
      <c r="A34" s="44" t="s">
        <v>1778</v>
      </c>
      <c r="B34" s="74" t="s">
        <v>48</v>
      </c>
      <c r="C34" s="74" t="s">
        <v>54</v>
      </c>
      <c r="D34" s="74">
        <v>0</v>
      </c>
      <c r="E34" s="74">
        <v>0</v>
      </c>
      <c r="F34" s="74">
        <v>0</v>
      </c>
      <c r="G34" s="74" t="str">
        <f>A34&amp;".buffeffect.01"</f>
        <v>Buff.Attribute.Red.Area.01.buff.buffeffect.01</v>
      </c>
      <c r="H34" s="74"/>
      <c r="I34" s="74" t="b">
        <v>0</v>
      </c>
      <c r="J34" s="74" t="b">
        <v>0</v>
      </c>
      <c r="K34" s="74" t="b">
        <v>1</v>
      </c>
      <c r="L34" s="74"/>
      <c r="M34" s="74" t="s">
        <v>2039</v>
      </c>
      <c r="N34" s="74" t="s">
        <v>1798</v>
      </c>
      <c r="O34" s="74" t="s">
        <v>2026</v>
      </c>
      <c r="P34" s="74" t="b">
        <v>1</v>
      </c>
      <c r="Q34" s="74" t="b">
        <v>0</v>
      </c>
    </row>
    <row r="35" spans="1:17">
      <c r="A35" s="44" t="s">
        <v>1779</v>
      </c>
      <c r="B35" s="74" t="s">
        <v>48</v>
      </c>
      <c r="C35" s="74" t="s">
        <v>54</v>
      </c>
      <c r="D35" s="74">
        <v>0</v>
      </c>
      <c r="E35" s="74">
        <v>0</v>
      </c>
      <c r="F35" s="74">
        <v>0</v>
      </c>
      <c r="G35" s="74" t="str">
        <f t="shared" ref="G35:G68" si="0">A35&amp;".buffeffect.01"</f>
        <v>Buff.Attribute.Red.Area.02.buff.buffeffect.01</v>
      </c>
      <c r="H35" s="74"/>
      <c r="I35" s="74" t="b">
        <v>0</v>
      </c>
      <c r="J35" s="74" t="b">
        <v>0</v>
      </c>
      <c r="K35" s="74" t="b">
        <v>1</v>
      </c>
      <c r="L35" s="74"/>
      <c r="M35" s="74" t="s">
        <v>2039</v>
      </c>
      <c r="N35" s="74" t="s">
        <v>1798</v>
      </c>
      <c r="O35" s="74" t="s">
        <v>2026</v>
      </c>
      <c r="P35" s="74" t="b">
        <v>1</v>
      </c>
      <c r="Q35" s="74" t="b">
        <v>0</v>
      </c>
    </row>
    <row r="36" spans="1:17">
      <c r="A36" s="44" t="s">
        <v>1780</v>
      </c>
      <c r="B36" s="74" t="s">
        <v>48</v>
      </c>
      <c r="C36" s="74" t="s">
        <v>54</v>
      </c>
      <c r="D36" s="74">
        <v>0</v>
      </c>
      <c r="E36" s="74">
        <v>0</v>
      </c>
      <c r="F36" s="74">
        <v>0</v>
      </c>
      <c r="G36" s="74" t="str">
        <f t="shared" si="0"/>
        <v>Buff.Attribute.Red.Area.03.buff.buffeffect.01</v>
      </c>
      <c r="H36" s="74"/>
      <c r="I36" s="74" t="b">
        <v>0</v>
      </c>
      <c r="J36" s="74" t="b">
        <v>0</v>
      </c>
      <c r="K36" s="74" t="b">
        <v>1</v>
      </c>
      <c r="L36" s="74"/>
      <c r="M36" s="74" t="s">
        <v>2039</v>
      </c>
      <c r="N36" s="74" t="s">
        <v>1798</v>
      </c>
      <c r="O36" s="74" t="s">
        <v>2026</v>
      </c>
      <c r="P36" s="74" t="b">
        <v>1</v>
      </c>
      <c r="Q36" s="74" t="b">
        <v>0</v>
      </c>
    </row>
    <row r="37" spans="1:17">
      <c r="A37" s="44" t="s">
        <v>1781</v>
      </c>
      <c r="B37" s="74" t="s">
        <v>48</v>
      </c>
      <c r="C37" s="74" t="s">
        <v>54</v>
      </c>
      <c r="D37" s="74">
        <v>0</v>
      </c>
      <c r="E37" s="74">
        <v>0</v>
      </c>
      <c r="F37" s="74">
        <v>0</v>
      </c>
      <c r="G37" s="74" t="str">
        <f t="shared" si="0"/>
        <v>Buff.Attribute.Red.Area.04.buff.buffeffect.01</v>
      </c>
      <c r="H37" s="74"/>
      <c r="I37" s="74" t="b">
        <v>0</v>
      </c>
      <c r="J37" s="74" t="b">
        <v>0</v>
      </c>
      <c r="K37" s="74" t="b">
        <v>1</v>
      </c>
      <c r="L37" s="74"/>
      <c r="M37" s="74" t="s">
        <v>2039</v>
      </c>
      <c r="N37" s="74" t="s">
        <v>1798</v>
      </c>
      <c r="O37" s="74" t="s">
        <v>2026</v>
      </c>
      <c r="P37" s="74" t="b">
        <v>1</v>
      </c>
      <c r="Q37" s="74" t="b">
        <v>0</v>
      </c>
    </row>
    <row r="38" spans="1:17">
      <c r="A38" s="44" t="s">
        <v>1782</v>
      </c>
      <c r="B38" s="74" t="s">
        <v>48</v>
      </c>
      <c r="C38" s="74" t="s">
        <v>54</v>
      </c>
      <c r="D38" s="74">
        <v>0</v>
      </c>
      <c r="E38" s="74">
        <v>0</v>
      </c>
      <c r="F38" s="74">
        <v>0</v>
      </c>
      <c r="G38" s="74" t="str">
        <f t="shared" si="0"/>
        <v>Buff.Attribute.Red.Area.05.buff.buffeffect.01</v>
      </c>
      <c r="H38" s="74"/>
      <c r="I38" s="74" t="b">
        <v>0</v>
      </c>
      <c r="J38" s="74" t="b">
        <v>0</v>
      </c>
      <c r="K38" s="74" t="b">
        <v>1</v>
      </c>
      <c r="L38" s="74"/>
      <c r="M38" s="74" t="s">
        <v>2039</v>
      </c>
      <c r="N38" s="74" t="s">
        <v>1798</v>
      </c>
      <c r="O38" s="74" t="s">
        <v>2026</v>
      </c>
      <c r="P38" s="74" t="b">
        <v>1</v>
      </c>
      <c r="Q38" s="74" t="b">
        <v>0</v>
      </c>
    </row>
    <row r="39" spans="1:17">
      <c r="A39" s="44" t="s">
        <v>1930</v>
      </c>
      <c r="B39" s="74" t="s">
        <v>48</v>
      </c>
      <c r="C39" s="74" t="s">
        <v>54</v>
      </c>
      <c r="D39" s="74">
        <v>0</v>
      </c>
      <c r="E39" s="74">
        <v>0</v>
      </c>
      <c r="F39" s="74">
        <v>0</v>
      </c>
      <c r="G39" s="74" t="str">
        <f t="shared" ref="G39:G43" si="1">A39&amp;".buffeffect.01"</f>
        <v>Buff.Attribute.Red.Area.06.buff.buffeffect.01</v>
      </c>
      <c r="H39" s="74"/>
      <c r="I39" s="74" t="b">
        <v>0</v>
      </c>
      <c r="J39" s="74" t="b">
        <v>0</v>
      </c>
      <c r="K39" s="74" t="b">
        <v>1</v>
      </c>
      <c r="L39" s="74"/>
      <c r="M39" s="74" t="s">
        <v>2039</v>
      </c>
      <c r="N39" s="74" t="s">
        <v>1798</v>
      </c>
      <c r="O39" s="74" t="s">
        <v>2026</v>
      </c>
      <c r="P39" s="74" t="b">
        <v>1</v>
      </c>
      <c r="Q39" s="74" t="b">
        <v>0</v>
      </c>
    </row>
    <row r="40" spans="1:17">
      <c r="A40" s="44" t="s">
        <v>1931</v>
      </c>
      <c r="B40" s="74" t="s">
        <v>48</v>
      </c>
      <c r="C40" s="74" t="s">
        <v>54</v>
      </c>
      <c r="D40" s="74">
        <v>0</v>
      </c>
      <c r="E40" s="74">
        <v>0</v>
      </c>
      <c r="F40" s="74">
        <v>0</v>
      </c>
      <c r="G40" s="74" t="str">
        <f t="shared" si="1"/>
        <v>Buff.Attribute.Red.Area.07.buff.buffeffect.01</v>
      </c>
      <c r="H40" s="74"/>
      <c r="I40" s="74" t="b">
        <v>0</v>
      </c>
      <c r="J40" s="74" t="b">
        <v>0</v>
      </c>
      <c r="K40" s="74" t="b">
        <v>1</v>
      </c>
      <c r="L40" s="74"/>
      <c r="M40" s="74" t="s">
        <v>2039</v>
      </c>
      <c r="N40" s="74" t="s">
        <v>1798</v>
      </c>
      <c r="O40" s="74" t="s">
        <v>2026</v>
      </c>
      <c r="P40" s="74" t="b">
        <v>1</v>
      </c>
      <c r="Q40" s="74" t="b">
        <v>0</v>
      </c>
    </row>
    <row r="41" spans="1:17">
      <c r="A41" s="44" t="s">
        <v>1932</v>
      </c>
      <c r="B41" s="74" t="s">
        <v>48</v>
      </c>
      <c r="C41" s="74" t="s">
        <v>54</v>
      </c>
      <c r="D41" s="74">
        <v>0</v>
      </c>
      <c r="E41" s="74">
        <v>0</v>
      </c>
      <c r="F41" s="74">
        <v>0</v>
      </c>
      <c r="G41" s="74" t="str">
        <f t="shared" si="1"/>
        <v>Buff.Attribute.Red.Area.08.buff.buffeffect.01</v>
      </c>
      <c r="H41" s="74"/>
      <c r="I41" s="74" t="b">
        <v>0</v>
      </c>
      <c r="J41" s="74" t="b">
        <v>0</v>
      </c>
      <c r="K41" s="74" t="b">
        <v>1</v>
      </c>
      <c r="L41" s="74"/>
      <c r="M41" s="74" t="s">
        <v>2039</v>
      </c>
      <c r="N41" s="74" t="s">
        <v>1798</v>
      </c>
      <c r="O41" s="74" t="s">
        <v>2026</v>
      </c>
      <c r="P41" s="74" t="b">
        <v>1</v>
      </c>
      <c r="Q41" s="74" t="b">
        <v>0</v>
      </c>
    </row>
    <row r="42" spans="1:17">
      <c r="A42" s="44" t="s">
        <v>1933</v>
      </c>
      <c r="B42" s="74" t="s">
        <v>48</v>
      </c>
      <c r="C42" s="74" t="s">
        <v>54</v>
      </c>
      <c r="D42" s="74">
        <v>0</v>
      </c>
      <c r="E42" s="74">
        <v>0</v>
      </c>
      <c r="F42" s="74">
        <v>0</v>
      </c>
      <c r="G42" s="74" t="str">
        <f t="shared" si="1"/>
        <v>Buff.Attribute.Red.Area.09.buff.buffeffect.01</v>
      </c>
      <c r="H42" s="74"/>
      <c r="I42" s="74" t="b">
        <v>0</v>
      </c>
      <c r="J42" s="74" t="b">
        <v>0</v>
      </c>
      <c r="K42" s="74" t="b">
        <v>1</v>
      </c>
      <c r="L42" s="74"/>
      <c r="M42" s="74" t="s">
        <v>2039</v>
      </c>
      <c r="N42" s="74" t="s">
        <v>1798</v>
      </c>
      <c r="O42" s="74" t="s">
        <v>2026</v>
      </c>
      <c r="P42" s="74" t="b">
        <v>1</v>
      </c>
      <c r="Q42" s="74" t="b">
        <v>0</v>
      </c>
    </row>
    <row r="43" spans="1:17">
      <c r="A43" s="44" t="s">
        <v>1934</v>
      </c>
      <c r="B43" s="74" t="s">
        <v>48</v>
      </c>
      <c r="C43" s="74" t="s">
        <v>54</v>
      </c>
      <c r="D43" s="74">
        <v>0</v>
      </c>
      <c r="E43" s="74">
        <v>0</v>
      </c>
      <c r="F43" s="74">
        <v>0</v>
      </c>
      <c r="G43" s="74" t="str">
        <f t="shared" si="1"/>
        <v>Buff.Attribute.Red.Area.10.buff.buffeffect.01</v>
      </c>
      <c r="H43" s="74"/>
      <c r="I43" s="74" t="b">
        <v>0</v>
      </c>
      <c r="J43" s="74" t="b">
        <v>0</v>
      </c>
      <c r="K43" s="74" t="b">
        <v>1</v>
      </c>
      <c r="L43" s="74"/>
      <c r="M43" s="74" t="s">
        <v>2039</v>
      </c>
      <c r="N43" s="74" t="s">
        <v>1798</v>
      </c>
      <c r="O43" s="74" t="s">
        <v>2026</v>
      </c>
      <c r="P43" s="74" t="b">
        <v>1</v>
      </c>
      <c r="Q43" s="74" t="b">
        <v>0</v>
      </c>
    </row>
    <row r="44" spans="1:17">
      <c r="A44" s="40" t="s">
        <v>1788</v>
      </c>
      <c r="B44" s="65" t="s">
        <v>48</v>
      </c>
      <c r="C44" s="65" t="s">
        <v>54</v>
      </c>
      <c r="D44" s="65">
        <v>0</v>
      </c>
      <c r="E44" s="65">
        <v>0</v>
      </c>
      <c r="F44" s="65">
        <v>0</v>
      </c>
      <c r="G44" s="65" t="str">
        <f t="shared" si="0"/>
        <v>Buff.Attribute.Red.Far.01.buff.buffeffect.01</v>
      </c>
      <c r="H44" s="65"/>
      <c r="I44" s="65" t="b">
        <v>0</v>
      </c>
      <c r="J44" s="65" t="b">
        <v>0</v>
      </c>
      <c r="K44" s="65" t="b">
        <v>1</v>
      </c>
      <c r="L44" s="65"/>
      <c r="M44" s="65" t="s">
        <v>2040</v>
      </c>
      <c r="N44" s="65" t="s">
        <v>1799</v>
      </c>
      <c r="O44" s="65" t="s">
        <v>2027</v>
      </c>
      <c r="P44" s="65" t="b">
        <v>1</v>
      </c>
      <c r="Q44" s="65" t="b">
        <v>0</v>
      </c>
    </row>
    <row r="45" spans="1:17">
      <c r="A45" s="40" t="s">
        <v>1789</v>
      </c>
      <c r="B45" s="65" t="s">
        <v>48</v>
      </c>
      <c r="C45" s="65" t="s">
        <v>54</v>
      </c>
      <c r="D45" s="65">
        <v>0</v>
      </c>
      <c r="E45" s="65">
        <v>0</v>
      </c>
      <c r="F45" s="65">
        <v>0</v>
      </c>
      <c r="G45" s="65" t="str">
        <f t="shared" si="0"/>
        <v>Buff.Attribute.Red.Far.02.buff.buffeffect.01</v>
      </c>
      <c r="H45" s="65"/>
      <c r="I45" s="65" t="b">
        <v>0</v>
      </c>
      <c r="J45" s="65" t="b">
        <v>0</v>
      </c>
      <c r="K45" s="65" t="b">
        <v>1</v>
      </c>
      <c r="L45" s="65"/>
      <c r="M45" s="65" t="s">
        <v>2040</v>
      </c>
      <c r="N45" s="65" t="s">
        <v>1799</v>
      </c>
      <c r="O45" s="65" t="s">
        <v>2027</v>
      </c>
      <c r="P45" s="65" t="b">
        <v>1</v>
      </c>
      <c r="Q45" s="65" t="b">
        <v>0</v>
      </c>
    </row>
    <row r="46" spans="1:17">
      <c r="A46" s="40" t="s">
        <v>1790</v>
      </c>
      <c r="B46" s="65" t="s">
        <v>48</v>
      </c>
      <c r="C46" s="65" t="s">
        <v>54</v>
      </c>
      <c r="D46" s="65">
        <v>0</v>
      </c>
      <c r="E46" s="65">
        <v>0</v>
      </c>
      <c r="F46" s="65">
        <v>0</v>
      </c>
      <c r="G46" s="65" t="str">
        <f t="shared" si="0"/>
        <v>Buff.Attribute.Red.Far.03.buff.buffeffect.01</v>
      </c>
      <c r="H46" s="65"/>
      <c r="I46" s="65" t="b">
        <v>0</v>
      </c>
      <c r="J46" s="65" t="b">
        <v>0</v>
      </c>
      <c r="K46" s="65" t="b">
        <v>1</v>
      </c>
      <c r="L46" s="65"/>
      <c r="M46" s="65" t="s">
        <v>2040</v>
      </c>
      <c r="N46" s="65" t="s">
        <v>1799</v>
      </c>
      <c r="O46" s="65" t="s">
        <v>2027</v>
      </c>
      <c r="P46" s="65" t="b">
        <v>1</v>
      </c>
      <c r="Q46" s="65" t="b">
        <v>0</v>
      </c>
    </row>
    <row r="47" spans="1:17">
      <c r="A47" s="40" t="s">
        <v>1791</v>
      </c>
      <c r="B47" s="65" t="s">
        <v>48</v>
      </c>
      <c r="C47" s="65" t="s">
        <v>54</v>
      </c>
      <c r="D47" s="65">
        <v>0</v>
      </c>
      <c r="E47" s="65">
        <v>0</v>
      </c>
      <c r="F47" s="65">
        <v>0</v>
      </c>
      <c r="G47" s="65" t="str">
        <f t="shared" si="0"/>
        <v>Buff.Attribute.Red.Far.04.buff.buffeffect.01</v>
      </c>
      <c r="H47" s="65"/>
      <c r="I47" s="65" t="b">
        <v>0</v>
      </c>
      <c r="J47" s="65" t="b">
        <v>0</v>
      </c>
      <c r="K47" s="65" t="b">
        <v>1</v>
      </c>
      <c r="L47" s="65"/>
      <c r="M47" s="65" t="s">
        <v>2040</v>
      </c>
      <c r="N47" s="65" t="s">
        <v>1799</v>
      </c>
      <c r="O47" s="65" t="s">
        <v>2027</v>
      </c>
      <c r="P47" s="65" t="b">
        <v>1</v>
      </c>
      <c r="Q47" s="65" t="b">
        <v>0</v>
      </c>
    </row>
    <row r="48" spans="1:17">
      <c r="A48" s="40" t="s">
        <v>1792</v>
      </c>
      <c r="B48" s="65" t="s">
        <v>48</v>
      </c>
      <c r="C48" s="65" t="s">
        <v>54</v>
      </c>
      <c r="D48" s="65">
        <v>0</v>
      </c>
      <c r="E48" s="65">
        <v>0</v>
      </c>
      <c r="F48" s="65">
        <v>0</v>
      </c>
      <c r="G48" s="65" t="str">
        <f t="shared" si="0"/>
        <v>Buff.Attribute.Red.Far.05.buff.buffeffect.01</v>
      </c>
      <c r="H48" s="65"/>
      <c r="I48" s="65" t="b">
        <v>0</v>
      </c>
      <c r="J48" s="65" t="b">
        <v>0</v>
      </c>
      <c r="K48" s="65" t="b">
        <v>1</v>
      </c>
      <c r="L48" s="65"/>
      <c r="M48" s="65" t="s">
        <v>2040</v>
      </c>
      <c r="N48" s="65" t="s">
        <v>1799</v>
      </c>
      <c r="O48" s="65" t="s">
        <v>2027</v>
      </c>
      <c r="P48" s="65" t="b">
        <v>1</v>
      </c>
      <c r="Q48" s="65" t="b">
        <v>0</v>
      </c>
    </row>
    <row r="49" spans="1:17">
      <c r="A49" s="40" t="s">
        <v>1935</v>
      </c>
      <c r="B49" s="65" t="s">
        <v>48</v>
      </c>
      <c r="C49" s="65" t="s">
        <v>54</v>
      </c>
      <c r="D49" s="65">
        <v>0</v>
      </c>
      <c r="E49" s="65">
        <v>0</v>
      </c>
      <c r="F49" s="65">
        <v>0</v>
      </c>
      <c r="G49" s="65" t="str">
        <f t="shared" ref="G49:G53" si="2">A49&amp;".buffeffect.01"</f>
        <v>Buff.Attribute.Red.Far.06.buff.buffeffect.01</v>
      </c>
      <c r="H49" s="65"/>
      <c r="I49" s="65" t="b">
        <v>0</v>
      </c>
      <c r="J49" s="65" t="b">
        <v>0</v>
      </c>
      <c r="K49" s="65" t="b">
        <v>1</v>
      </c>
      <c r="L49" s="65"/>
      <c r="M49" s="65" t="s">
        <v>2040</v>
      </c>
      <c r="N49" s="65" t="s">
        <v>1799</v>
      </c>
      <c r="O49" s="65" t="s">
        <v>2027</v>
      </c>
      <c r="P49" s="65" t="b">
        <v>1</v>
      </c>
      <c r="Q49" s="65" t="b">
        <v>0</v>
      </c>
    </row>
    <row r="50" spans="1:17">
      <c r="A50" s="40" t="s">
        <v>1936</v>
      </c>
      <c r="B50" s="65" t="s">
        <v>48</v>
      </c>
      <c r="C50" s="65" t="s">
        <v>54</v>
      </c>
      <c r="D50" s="65">
        <v>0</v>
      </c>
      <c r="E50" s="65">
        <v>0</v>
      </c>
      <c r="F50" s="65">
        <v>0</v>
      </c>
      <c r="G50" s="65" t="str">
        <f t="shared" si="2"/>
        <v>Buff.Attribute.Red.Far.07.buff.buffeffect.01</v>
      </c>
      <c r="H50" s="65"/>
      <c r="I50" s="65" t="b">
        <v>0</v>
      </c>
      <c r="J50" s="65" t="b">
        <v>0</v>
      </c>
      <c r="K50" s="65" t="b">
        <v>1</v>
      </c>
      <c r="L50" s="65"/>
      <c r="M50" s="65" t="s">
        <v>2040</v>
      </c>
      <c r="N50" s="65" t="s">
        <v>1799</v>
      </c>
      <c r="O50" s="65" t="s">
        <v>2027</v>
      </c>
      <c r="P50" s="65" t="b">
        <v>1</v>
      </c>
      <c r="Q50" s="65" t="b">
        <v>0</v>
      </c>
    </row>
    <row r="51" spans="1:17">
      <c r="A51" s="40" t="s">
        <v>1937</v>
      </c>
      <c r="B51" s="65" t="s">
        <v>48</v>
      </c>
      <c r="C51" s="65" t="s">
        <v>54</v>
      </c>
      <c r="D51" s="65">
        <v>0</v>
      </c>
      <c r="E51" s="65">
        <v>0</v>
      </c>
      <c r="F51" s="65">
        <v>0</v>
      </c>
      <c r="G51" s="65" t="str">
        <f t="shared" si="2"/>
        <v>Buff.Attribute.Red.Far.08.buff.buffeffect.01</v>
      </c>
      <c r="H51" s="65"/>
      <c r="I51" s="65" t="b">
        <v>0</v>
      </c>
      <c r="J51" s="65" t="b">
        <v>0</v>
      </c>
      <c r="K51" s="65" t="b">
        <v>1</v>
      </c>
      <c r="L51" s="65"/>
      <c r="M51" s="65" t="s">
        <v>2040</v>
      </c>
      <c r="N51" s="65" t="s">
        <v>1799</v>
      </c>
      <c r="O51" s="65" t="s">
        <v>2027</v>
      </c>
      <c r="P51" s="65" t="b">
        <v>1</v>
      </c>
      <c r="Q51" s="65" t="b">
        <v>0</v>
      </c>
    </row>
    <row r="52" spans="1:17">
      <c r="A52" s="40" t="s">
        <v>1938</v>
      </c>
      <c r="B52" s="65" t="s">
        <v>48</v>
      </c>
      <c r="C52" s="65" t="s">
        <v>54</v>
      </c>
      <c r="D52" s="65">
        <v>0</v>
      </c>
      <c r="E52" s="65">
        <v>0</v>
      </c>
      <c r="F52" s="65">
        <v>0</v>
      </c>
      <c r="G52" s="65" t="str">
        <f t="shared" si="2"/>
        <v>Buff.Attribute.Red.Far.09.buff.buffeffect.01</v>
      </c>
      <c r="H52" s="65"/>
      <c r="I52" s="65" t="b">
        <v>0</v>
      </c>
      <c r="J52" s="65" t="b">
        <v>0</v>
      </c>
      <c r="K52" s="65" t="b">
        <v>1</v>
      </c>
      <c r="L52" s="65"/>
      <c r="M52" s="65" t="s">
        <v>2040</v>
      </c>
      <c r="N52" s="65" t="s">
        <v>1799</v>
      </c>
      <c r="O52" s="65" t="s">
        <v>2027</v>
      </c>
      <c r="P52" s="65" t="b">
        <v>1</v>
      </c>
      <c r="Q52" s="65" t="b">
        <v>0</v>
      </c>
    </row>
    <row r="53" spans="1:17">
      <c r="A53" s="40" t="s">
        <v>1939</v>
      </c>
      <c r="B53" s="65" t="s">
        <v>48</v>
      </c>
      <c r="C53" s="65" t="s">
        <v>54</v>
      </c>
      <c r="D53" s="65">
        <v>0</v>
      </c>
      <c r="E53" s="65">
        <v>0</v>
      </c>
      <c r="F53" s="65">
        <v>0</v>
      </c>
      <c r="G53" s="65" t="str">
        <f t="shared" si="2"/>
        <v>Buff.Attribute.Red.Far.10.buff.buffeffect.01</v>
      </c>
      <c r="H53" s="65"/>
      <c r="I53" s="65" t="b">
        <v>0</v>
      </c>
      <c r="J53" s="65" t="b">
        <v>0</v>
      </c>
      <c r="K53" s="65" t="b">
        <v>1</v>
      </c>
      <c r="L53" s="65"/>
      <c r="M53" s="65" t="s">
        <v>2040</v>
      </c>
      <c r="N53" s="65" t="s">
        <v>1799</v>
      </c>
      <c r="O53" s="65" t="s">
        <v>2027</v>
      </c>
      <c r="P53" s="65" t="b">
        <v>1</v>
      </c>
      <c r="Q53" s="65" t="b">
        <v>0</v>
      </c>
    </row>
    <row r="54" spans="1:17">
      <c r="A54" s="44" t="s">
        <v>1783</v>
      </c>
      <c r="B54" s="74" t="s">
        <v>48</v>
      </c>
      <c r="C54" s="74" t="s">
        <v>54</v>
      </c>
      <c r="D54" s="74">
        <v>0</v>
      </c>
      <c r="E54" s="74">
        <v>0</v>
      </c>
      <c r="F54" s="74">
        <v>0</v>
      </c>
      <c r="G54" s="74" t="str">
        <f t="shared" si="0"/>
        <v>Buff.Attribute.Red.Near.01.buff.buffeffect.01</v>
      </c>
      <c r="H54" s="74"/>
      <c r="I54" s="74" t="b">
        <v>0</v>
      </c>
      <c r="J54" s="74" t="b">
        <v>0</v>
      </c>
      <c r="K54" s="74" t="b">
        <v>1</v>
      </c>
      <c r="L54" s="74"/>
      <c r="M54" s="74" t="s">
        <v>2043</v>
      </c>
      <c r="N54" s="74" t="s">
        <v>1800</v>
      </c>
      <c r="O54" s="74" t="s">
        <v>2028</v>
      </c>
      <c r="P54" s="74" t="b">
        <v>1</v>
      </c>
      <c r="Q54" s="74" t="b">
        <v>0</v>
      </c>
    </row>
    <row r="55" spans="1:17">
      <c r="A55" s="44" t="s">
        <v>1784</v>
      </c>
      <c r="B55" s="74" t="s">
        <v>48</v>
      </c>
      <c r="C55" s="74" t="s">
        <v>54</v>
      </c>
      <c r="D55" s="74">
        <v>0</v>
      </c>
      <c r="E55" s="74">
        <v>0</v>
      </c>
      <c r="F55" s="74">
        <v>0</v>
      </c>
      <c r="G55" s="74" t="str">
        <f t="shared" si="0"/>
        <v>Buff.Attribute.Red.Near.02.buff.buffeffect.01</v>
      </c>
      <c r="H55" s="74"/>
      <c r="I55" s="74" t="b">
        <v>0</v>
      </c>
      <c r="J55" s="74" t="b">
        <v>0</v>
      </c>
      <c r="K55" s="74" t="b">
        <v>1</v>
      </c>
      <c r="L55" s="74"/>
      <c r="M55" s="74" t="s">
        <v>2043</v>
      </c>
      <c r="N55" s="74" t="s">
        <v>1800</v>
      </c>
      <c r="O55" s="74" t="s">
        <v>2028</v>
      </c>
      <c r="P55" s="74" t="b">
        <v>1</v>
      </c>
      <c r="Q55" s="74" t="b">
        <v>0</v>
      </c>
    </row>
    <row r="56" spans="1:17">
      <c r="A56" s="44" t="s">
        <v>1785</v>
      </c>
      <c r="B56" s="74" t="s">
        <v>48</v>
      </c>
      <c r="C56" s="74" t="s">
        <v>54</v>
      </c>
      <c r="D56" s="74">
        <v>0</v>
      </c>
      <c r="E56" s="74">
        <v>0</v>
      </c>
      <c r="F56" s="74">
        <v>0</v>
      </c>
      <c r="G56" s="74" t="str">
        <f t="shared" si="0"/>
        <v>Buff.Attribute.Red.Near.03.buff.buffeffect.01</v>
      </c>
      <c r="H56" s="74"/>
      <c r="I56" s="74" t="b">
        <v>0</v>
      </c>
      <c r="J56" s="74" t="b">
        <v>0</v>
      </c>
      <c r="K56" s="74" t="b">
        <v>1</v>
      </c>
      <c r="L56" s="74"/>
      <c r="M56" s="74" t="s">
        <v>2043</v>
      </c>
      <c r="N56" s="74" t="s">
        <v>1800</v>
      </c>
      <c r="O56" s="74" t="s">
        <v>2028</v>
      </c>
      <c r="P56" s="74" t="b">
        <v>1</v>
      </c>
      <c r="Q56" s="74" t="b">
        <v>0</v>
      </c>
    </row>
    <row r="57" spans="1:17">
      <c r="A57" s="44" t="s">
        <v>1786</v>
      </c>
      <c r="B57" s="74" t="s">
        <v>48</v>
      </c>
      <c r="C57" s="74" t="s">
        <v>54</v>
      </c>
      <c r="D57" s="74">
        <v>0</v>
      </c>
      <c r="E57" s="74">
        <v>0</v>
      </c>
      <c r="F57" s="74">
        <v>0</v>
      </c>
      <c r="G57" s="74" t="str">
        <f t="shared" si="0"/>
        <v>Buff.Attribute.Red.Near.04.buff.buffeffect.01</v>
      </c>
      <c r="H57" s="74"/>
      <c r="I57" s="74" t="b">
        <v>0</v>
      </c>
      <c r="J57" s="74" t="b">
        <v>0</v>
      </c>
      <c r="K57" s="74" t="b">
        <v>1</v>
      </c>
      <c r="L57" s="74"/>
      <c r="M57" s="74" t="s">
        <v>2043</v>
      </c>
      <c r="N57" s="74" t="s">
        <v>1800</v>
      </c>
      <c r="O57" s="74" t="s">
        <v>2028</v>
      </c>
      <c r="P57" s="74" t="b">
        <v>1</v>
      </c>
      <c r="Q57" s="74" t="b">
        <v>0</v>
      </c>
    </row>
    <row r="58" spans="1:17">
      <c r="A58" s="44" t="s">
        <v>1787</v>
      </c>
      <c r="B58" s="74" t="s">
        <v>48</v>
      </c>
      <c r="C58" s="74" t="s">
        <v>54</v>
      </c>
      <c r="D58" s="74">
        <v>0</v>
      </c>
      <c r="E58" s="74">
        <v>0</v>
      </c>
      <c r="F58" s="74">
        <v>0</v>
      </c>
      <c r="G58" s="74" t="str">
        <f t="shared" si="0"/>
        <v>Buff.Attribute.Red.Near.05.buff.buffeffect.01</v>
      </c>
      <c r="H58" s="74"/>
      <c r="I58" s="74" t="b">
        <v>0</v>
      </c>
      <c r="J58" s="74" t="b">
        <v>0</v>
      </c>
      <c r="K58" s="74" t="b">
        <v>1</v>
      </c>
      <c r="L58" s="74"/>
      <c r="M58" s="74" t="s">
        <v>2043</v>
      </c>
      <c r="N58" s="74" t="s">
        <v>1800</v>
      </c>
      <c r="O58" s="74" t="s">
        <v>2028</v>
      </c>
      <c r="P58" s="74" t="b">
        <v>1</v>
      </c>
      <c r="Q58" s="74" t="b">
        <v>0</v>
      </c>
    </row>
    <row r="59" spans="1:17">
      <c r="A59" s="44" t="s">
        <v>1940</v>
      </c>
      <c r="B59" s="74" t="s">
        <v>48</v>
      </c>
      <c r="C59" s="74" t="s">
        <v>54</v>
      </c>
      <c r="D59" s="74">
        <v>0</v>
      </c>
      <c r="E59" s="74">
        <v>0</v>
      </c>
      <c r="F59" s="74">
        <v>0</v>
      </c>
      <c r="G59" s="74" t="str">
        <f t="shared" ref="G59:G63" si="3">A59&amp;".buffeffect.01"</f>
        <v>Buff.Attribute.Red.Near.06.buff.buffeffect.01</v>
      </c>
      <c r="H59" s="74"/>
      <c r="I59" s="74" t="b">
        <v>0</v>
      </c>
      <c r="J59" s="74" t="b">
        <v>0</v>
      </c>
      <c r="K59" s="74" t="b">
        <v>1</v>
      </c>
      <c r="L59" s="74"/>
      <c r="M59" s="74" t="s">
        <v>2043</v>
      </c>
      <c r="N59" s="74" t="s">
        <v>1800</v>
      </c>
      <c r="O59" s="74" t="s">
        <v>2028</v>
      </c>
      <c r="P59" s="74" t="b">
        <v>1</v>
      </c>
      <c r="Q59" s="74" t="b">
        <v>0</v>
      </c>
    </row>
    <row r="60" spans="1:17">
      <c r="A60" s="44" t="s">
        <v>1941</v>
      </c>
      <c r="B60" s="74" t="s">
        <v>48</v>
      </c>
      <c r="C60" s="74" t="s">
        <v>54</v>
      </c>
      <c r="D60" s="74">
        <v>0</v>
      </c>
      <c r="E60" s="74">
        <v>0</v>
      </c>
      <c r="F60" s="74">
        <v>0</v>
      </c>
      <c r="G60" s="74" t="str">
        <f t="shared" si="3"/>
        <v>Buff.Attribute.Red.Near.07.buff.buffeffect.01</v>
      </c>
      <c r="H60" s="74"/>
      <c r="I60" s="74" t="b">
        <v>0</v>
      </c>
      <c r="J60" s="74" t="b">
        <v>0</v>
      </c>
      <c r="K60" s="74" t="b">
        <v>1</v>
      </c>
      <c r="L60" s="74"/>
      <c r="M60" s="74" t="s">
        <v>2043</v>
      </c>
      <c r="N60" s="74" t="s">
        <v>1800</v>
      </c>
      <c r="O60" s="74" t="s">
        <v>2028</v>
      </c>
      <c r="P60" s="74" t="b">
        <v>1</v>
      </c>
      <c r="Q60" s="74" t="b">
        <v>0</v>
      </c>
    </row>
    <row r="61" spans="1:17">
      <c r="A61" s="44" t="s">
        <v>1942</v>
      </c>
      <c r="B61" s="74" t="s">
        <v>48</v>
      </c>
      <c r="C61" s="74" t="s">
        <v>54</v>
      </c>
      <c r="D61" s="74">
        <v>0</v>
      </c>
      <c r="E61" s="74">
        <v>0</v>
      </c>
      <c r="F61" s="74">
        <v>0</v>
      </c>
      <c r="G61" s="74" t="str">
        <f t="shared" si="3"/>
        <v>Buff.Attribute.Red.Near.08.buff.buffeffect.01</v>
      </c>
      <c r="H61" s="74"/>
      <c r="I61" s="74" t="b">
        <v>0</v>
      </c>
      <c r="J61" s="74" t="b">
        <v>0</v>
      </c>
      <c r="K61" s="74" t="b">
        <v>1</v>
      </c>
      <c r="L61" s="74"/>
      <c r="M61" s="74" t="s">
        <v>2043</v>
      </c>
      <c r="N61" s="74" t="s">
        <v>1800</v>
      </c>
      <c r="O61" s="74" t="s">
        <v>2028</v>
      </c>
      <c r="P61" s="74" t="b">
        <v>1</v>
      </c>
      <c r="Q61" s="74" t="b">
        <v>0</v>
      </c>
    </row>
    <row r="62" spans="1:17">
      <c r="A62" s="44" t="s">
        <v>1943</v>
      </c>
      <c r="B62" s="74" t="s">
        <v>48</v>
      </c>
      <c r="C62" s="74" t="s">
        <v>54</v>
      </c>
      <c r="D62" s="74">
        <v>0</v>
      </c>
      <c r="E62" s="74">
        <v>0</v>
      </c>
      <c r="F62" s="74">
        <v>0</v>
      </c>
      <c r="G62" s="74" t="str">
        <f t="shared" si="3"/>
        <v>Buff.Attribute.Red.Near.09.buff.buffeffect.01</v>
      </c>
      <c r="H62" s="74"/>
      <c r="I62" s="74" t="b">
        <v>0</v>
      </c>
      <c r="J62" s="74" t="b">
        <v>0</v>
      </c>
      <c r="K62" s="74" t="b">
        <v>1</v>
      </c>
      <c r="L62" s="74"/>
      <c r="M62" s="74" t="s">
        <v>2043</v>
      </c>
      <c r="N62" s="74" t="s">
        <v>1800</v>
      </c>
      <c r="O62" s="74" t="s">
        <v>2028</v>
      </c>
      <c r="P62" s="74" t="b">
        <v>1</v>
      </c>
      <c r="Q62" s="74" t="b">
        <v>0</v>
      </c>
    </row>
    <row r="63" spans="1:17">
      <c r="A63" s="44" t="s">
        <v>1944</v>
      </c>
      <c r="B63" s="74" t="s">
        <v>48</v>
      </c>
      <c r="C63" s="74" t="s">
        <v>54</v>
      </c>
      <c r="D63" s="74">
        <v>0</v>
      </c>
      <c r="E63" s="74">
        <v>0</v>
      </c>
      <c r="F63" s="74">
        <v>0</v>
      </c>
      <c r="G63" s="74" t="str">
        <f t="shared" si="3"/>
        <v>Buff.Attribute.Red.Near.10.buff.buffeffect.01</v>
      </c>
      <c r="H63" s="74"/>
      <c r="I63" s="74" t="b">
        <v>0</v>
      </c>
      <c r="J63" s="74" t="b">
        <v>0</v>
      </c>
      <c r="K63" s="74" t="b">
        <v>1</v>
      </c>
      <c r="L63" s="74"/>
      <c r="M63" s="74" t="s">
        <v>2043</v>
      </c>
      <c r="N63" s="74" t="s">
        <v>1800</v>
      </c>
      <c r="O63" s="74" t="s">
        <v>2028</v>
      </c>
      <c r="P63" s="74" t="b">
        <v>1</v>
      </c>
      <c r="Q63" s="74" t="b">
        <v>0</v>
      </c>
    </row>
    <row r="64" spans="1:17">
      <c r="A64" s="40" t="s">
        <v>1794</v>
      </c>
      <c r="B64" s="65" t="s">
        <v>48</v>
      </c>
      <c r="C64" s="65" t="s">
        <v>54</v>
      </c>
      <c r="D64" s="65">
        <v>0</v>
      </c>
      <c r="E64" s="65">
        <v>0</v>
      </c>
      <c r="F64" s="65">
        <v>0</v>
      </c>
      <c r="G64" s="65" t="str">
        <f t="shared" si="0"/>
        <v>Buff.Attribute.Red.Alive.01.buff.buffeffect.01</v>
      </c>
      <c r="H64" s="65"/>
      <c r="I64" s="65" t="b">
        <v>0</v>
      </c>
      <c r="J64" s="65" t="b">
        <v>0</v>
      </c>
      <c r="K64" s="65" t="b">
        <v>1</v>
      </c>
      <c r="L64" s="65"/>
      <c r="M64" s="65" t="s">
        <v>2044</v>
      </c>
      <c r="N64" s="65" t="s">
        <v>1801</v>
      </c>
      <c r="O64" s="65" t="s">
        <v>2029</v>
      </c>
      <c r="P64" s="65" t="b">
        <v>1</v>
      </c>
      <c r="Q64" s="65" t="b">
        <v>0</v>
      </c>
    </row>
    <row r="65" spans="1:17">
      <c r="A65" s="40" t="s">
        <v>1795</v>
      </c>
      <c r="B65" s="65" t="s">
        <v>48</v>
      </c>
      <c r="C65" s="65" t="s">
        <v>54</v>
      </c>
      <c r="D65" s="65">
        <v>0</v>
      </c>
      <c r="E65" s="65">
        <v>0</v>
      </c>
      <c r="F65" s="65">
        <v>0</v>
      </c>
      <c r="G65" s="65" t="str">
        <f t="shared" si="0"/>
        <v>Buff.Attribute.Red.Alive.02.buff.buffeffect.01</v>
      </c>
      <c r="H65" s="65"/>
      <c r="I65" s="65" t="b">
        <v>0</v>
      </c>
      <c r="J65" s="65" t="b">
        <v>0</v>
      </c>
      <c r="K65" s="65" t="b">
        <v>1</v>
      </c>
      <c r="L65" s="65"/>
      <c r="M65" s="65" t="s">
        <v>2044</v>
      </c>
      <c r="N65" s="65" t="s">
        <v>1801</v>
      </c>
      <c r="O65" s="65" t="s">
        <v>2029</v>
      </c>
      <c r="P65" s="65" t="b">
        <v>1</v>
      </c>
      <c r="Q65" s="65" t="b">
        <v>0</v>
      </c>
    </row>
    <row r="66" spans="1:17">
      <c r="A66" s="40" t="s">
        <v>1796</v>
      </c>
      <c r="B66" s="65" t="s">
        <v>48</v>
      </c>
      <c r="C66" s="65" t="s">
        <v>54</v>
      </c>
      <c r="D66" s="65">
        <v>0</v>
      </c>
      <c r="E66" s="65">
        <v>0</v>
      </c>
      <c r="F66" s="65">
        <v>0</v>
      </c>
      <c r="G66" s="65" t="str">
        <f t="shared" si="0"/>
        <v>Buff.Attribute.Red.Alive.03.buff.buffeffect.01</v>
      </c>
      <c r="H66" s="65"/>
      <c r="I66" s="65" t="b">
        <v>0</v>
      </c>
      <c r="J66" s="65" t="b">
        <v>0</v>
      </c>
      <c r="K66" s="65" t="b">
        <v>1</v>
      </c>
      <c r="L66" s="65"/>
      <c r="M66" s="65" t="s">
        <v>2044</v>
      </c>
      <c r="N66" s="65" t="s">
        <v>1801</v>
      </c>
      <c r="O66" s="65" t="s">
        <v>2029</v>
      </c>
      <c r="P66" s="65" t="b">
        <v>1</v>
      </c>
      <c r="Q66" s="65" t="b">
        <v>0</v>
      </c>
    </row>
    <row r="67" spans="1:17">
      <c r="A67" s="40" t="s">
        <v>1797</v>
      </c>
      <c r="B67" s="65" t="s">
        <v>48</v>
      </c>
      <c r="C67" s="65" t="s">
        <v>54</v>
      </c>
      <c r="D67" s="65">
        <v>0</v>
      </c>
      <c r="E67" s="65">
        <v>0</v>
      </c>
      <c r="F67" s="65">
        <v>0</v>
      </c>
      <c r="G67" s="65" t="str">
        <f t="shared" si="0"/>
        <v>Buff.Attribute.Red.Alive.04.buff.buffeffect.01</v>
      </c>
      <c r="H67" s="65"/>
      <c r="I67" s="65" t="b">
        <v>0</v>
      </c>
      <c r="J67" s="65" t="b">
        <v>0</v>
      </c>
      <c r="K67" s="65" t="b">
        <v>1</v>
      </c>
      <c r="L67" s="65"/>
      <c r="M67" s="65" t="s">
        <v>2044</v>
      </c>
      <c r="N67" s="65" t="s">
        <v>1801</v>
      </c>
      <c r="O67" s="65" t="s">
        <v>2029</v>
      </c>
      <c r="P67" s="65" t="b">
        <v>1</v>
      </c>
      <c r="Q67" s="65" t="b">
        <v>0</v>
      </c>
    </row>
    <row r="68" spans="1:17">
      <c r="A68" s="40" t="s">
        <v>1793</v>
      </c>
      <c r="B68" s="65" t="s">
        <v>48</v>
      </c>
      <c r="C68" s="65" t="s">
        <v>54</v>
      </c>
      <c r="D68" s="65">
        <v>0</v>
      </c>
      <c r="E68" s="65">
        <v>0</v>
      </c>
      <c r="F68" s="65">
        <v>0</v>
      </c>
      <c r="G68" s="65" t="str">
        <f t="shared" si="0"/>
        <v>Buff.Attribute.Red.Alive.05.buff.buffeffect.01</v>
      </c>
      <c r="H68" s="65"/>
      <c r="I68" s="65" t="b">
        <v>0</v>
      </c>
      <c r="J68" s="65" t="b">
        <v>0</v>
      </c>
      <c r="K68" s="65" t="b">
        <v>1</v>
      </c>
      <c r="L68" s="65"/>
      <c r="M68" s="65" t="s">
        <v>2044</v>
      </c>
      <c r="N68" s="65" t="s">
        <v>1801</v>
      </c>
      <c r="O68" s="65" t="s">
        <v>2029</v>
      </c>
      <c r="P68" s="65" t="b">
        <v>1</v>
      </c>
      <c r="Q68" s="65" t="b">
        <v>0</v>
      </c>
    </row>
    <row r="69" spans="1:17">
      <c r="A69" s="40" t="s">
        <v>1945</v>
      </c>
      <c r="B69" s="65" t="s">
        <v>48</v>
      </c>
      <c r="C69" s="65" t="s">
        <v>54</v>
      </c>
      <c r="D69" s="65">
        <v>0</v>
      </c>
      <c r="E69" s="65">
        <v>0</v>
      </c>
      <c r="F69" s="65">
        <v>0</v>
      </c>
      <c r="G69" s="65" t="str">
        <f t="shared" ref="G69:G73" si="4">A69&amp;".buffeffect.01"</f>
        <v>Buff.Attribute.Red.Alive.06.buff.buffeffect.01</v>
      </c>
      <c r="H69" s="65"/>
      <c r="I69" s="65" t="b">
        <v>0</v>
      </c>
      <c r="J69" s="65" t="b">
        <v>0</v>
      </c>
      <c r="K69" s="65" t="b">
        <v>1</v>
      </c>
      <c r="L69" s="65"/>
      <c r="M69" s="65" t="s">
        <v>2044</v>
      </c>
      <c r="N69" s="65" t="s">
        <v>1801</v>
      </c>
      <c r="O69" s="65" t="s">
        <v>2029</v>
      </c>
      <c r="P69" s="65" t="b">
        <v>1</v>
      </c>
      <c r="Q69" s="65" t="b">
        <v>0</v>
      </c>
    </row>
    <row r="70" spans="1:17">
      <c r="A70" s="40" t="s">
        <v>1946</v>
      </c>
      <c r="B70" s="65" t="s">
        <v>48</v>
      </c>
      <c r="C70" s="65" t="s">
        <v>54</v>
      </c>
      <c r="D70" s="65">
        <v>0</v>
      </c>
      <c r="E70" s="65">
        <v>0</v>
      </c>
      <c r="F70" s="65">
        <v>0</v>
      </c>
      <c r="G70" s="65" t="str">
        <f t="shared" si="4"/>
        <v>Buff.Attribute.Red.Alive.07.buff.buffeffect.01</v>
      </c>
      <c r="H70" s="65"/>
      <c r="I70" s="65" t="b">
        <v>0</v>
      </c>
      <c r="J70" s="65" t="b">
        <v>0</v>
      </c>
      <c r="K70" s="65" t="b">
        <v>1</v>
      </c>
      <c r="L70" s="65"/>
      <c r="M70" s="65" t="s">
        <v>2044</v>
      </c>
      <c r="N70" s="65" t="s">
        <v>1801</v>
      </c>
      <c r="O70" s="65" t="s">
        <v>2029</v>
      </c>
      <c r="P70" s="65" t="b">
        <v>1</v>
      </c>
      <c r="Q70" s="65" t="b">
        <v>0</v>
      </c>
    </row>
    <row r="71" spans="1:17">
      <c r="A71" s="40" t="s">
        <v>1947</v>
      </c>
      <c r="B71" s="65" t="s">
        <v>48</v>
      </c>
      <c r="C71" s="65" t="s">
        <v>54</v>
      </c>
      <c r="D71" s="65">
        <v>0</v>
      </c>
      <c r="E71" s="65">
        <v>0</v>
      </c>
      <c r="F71" s="65">
        <v>0</v>
      </c>
      <c r="G71" s="65" t="str">
        <f t="shared" si="4"/>
        <v>Buff.Attribute.Red.Alive.08.buff.buffeffect.01</v>
      </c>
      <c r="H71" s="65"/>
      <c r="I71" s="65" t="b">
        <v>0</v>
      </c>
      <c r="J71" s="65" t="b">
        <v>0</v>
      </c>
      <c r="K71" s="65" t="b">
        <v>1</v>
      </c>
      <c r="L71" s="65"/>
      <c r="M71" s="65" t="s">
        <v>2044</v>
      </c>
      <c r="N71" s="65" t="s">
        <v>1801</v>
      </c>
      <c r="O71" s="65" t="s">
        <v>2029</v>
      </c>
      <c r="P71" s="65" t="b">
        <v>1</v>
      </c>
      <c r="Q71" s="65" t="b">
        <v>0</v>
      </c>
    </row>
    <row r="72" spans="1:17">
      <c r="A72" s="40" t="s">
        <v>1948</v>
      </c>
      <c r="B72" s="65" t="s">
        <v>48</v>
      </c>
      <c r="C72" s="65" t="s">
        <v>54</v>
      </c>
      <c r="D72" s="65">
        <v>0</v>
      </c>
      <c r="E72" s="65">
        <v>0</v>
      </c>
      <c r="F72" s="65">
        <v>0</v>
      </c>
      <c r="G72" s="65" t="str">
        <f t="shared" si="4"/>
        <v>Buff.Attribute.Red.Alive.09.buff.buffeffect.01</v>
      </c>
      <c r="H72" s="65"/>
      <c r="I72" s="65" t="b">
        <v>0</v>
      </c>
      <c r="J72" s="65" t="b">
        <v>0</v>
      </c>
      <c r="K72" s="65" t="b">
        <v>1</v>
      </c>
      <c r="L72" s="65"/>
      <c r="M72" s="65" t="s">
        <v>2044</v>
      </c>
      <c r="N72" s="65" t="s">
        <v>1801</v>
      </c>
      <c r="O72" s="65" t="s">
        <v>2029</v>
      </c>
      <c r="P72" s="65" t="b">
        <v>1</v>
      </c>
      <c r="Q72" s="65" t="b">
        <v>0</v>
      </c>
    </row>
    <row r="73" spans="1:17">
      <c r="A73" s="40" t="s">
        <v>1949</v>
      </c>
      <c r="B73" s="65" t="s">
        <v>48</v>
      </c>
      <c r="C73" s="65" t="s">
        <v>54</v>
      </c>
      <c r="D73" s="65">
        <v>0</v>
      </c>
      <c r="E73" s="65">
        <v>0</v>
      </c>
      <c r="F73" s="65">
        <v>0</v>
      </c>
      <c r="G73" s="65" t="str">
        <f t="shared" si="4"/>
        <v>Buff.Attribute.Red.Alive.10.buff.buffeffect.01</v>
      </c>
      <c r="H73" s="65"/>
      <c r="I73" s="65" t="b">
        <v>0</v>
      </c>
      <c r="J73" s="65" t="b">
        <v>0</v>
      </c>
      <c r="K73" s="65" t="b">
        <v>1</v>
      </c>
      <c r="L73" s="65"/>
      <c r="M73" s="65" t="s">
        <v>2044</v>
      </c>
      <c r="N73" s="65" t="s">
        <v>1801</v>
      </c>
      <c r="O73" s="65" t="s">
        <v>2029</v>
      </c>
      <c r="P73" s="65" t="b">
        <v>1</v>
      </c>
      <c r="Q73" s="65" t="b">
        <v>0</v>
      </c>
    </row>
    <row r="74" spans="1:17">
      <c r="A74" s="36" t="s">
        <v>337</v>
      </c>
      <c r="B74" s="70" t="s">
        <v>48</v>
      </c>
      <c r="C74" s="70" t="s">
        <v>53</v>
      </c>
      <c r="D74" s="70">
        <v>0</v>
      </c>
      <c r="E74" s="70">
        <v>0</v>
      </c>
      <c r="F74" s="70">
        <v>0</v>
      </c>
      <c r="G74" s="70" t="s">
        <v>519</v>
      </c>
      <c r="H74" s="70"/>
      <c r="I74" s="70" t="b">
        <v>0</v>
      </c>
      <c r="J74" s="70" t="b">
        <v>0</v>
      </c>
      <c r="K74" s="70" t="b">
        <v>1</v>
      </c>
      <c r="L74" s="70"/>
      <c r="M74" s="70"/>
      <c r="N74" s="70" t="s">
        <v>489</v>
      </c>
      <c r="O74" s="70"/>
      <c r="P74" s="70" t="b">
        <v>1</v>
      </c>
      <c r="Q74" s="70" t="b">
        <v>0</v>
      </c>
    </row>
    <row r="75" spans="1:17">
      <c r="A75" s="36" t="s">
        <v>338</v>
      </c>
      <c r="B75" s="70" t="s">
        <v>48</v>
      </c>
      <c r="C75" s="70" t="s">
        <v>53</v>
      </c>
      <c r="D75" s="70">
        <v>0</v>
      </c>
      <c r="E75" s="70">
        <v>0</v>
      </c>
      <c r="F75" s="70">
        <v>0</v>
      </c>
      <c r="G75" s="70" t="s">
        <v>520</v>
      </c>
      <c r="H75" s="70"/>
      <c r="I75" s="70" t="b">
        <v>0</v>
      </c>
      <c r="J75" s="70" t="b">
        <v>0</v>
      </c>
      <c r="K75" s="70" t="b">
        <v>1</v>
      </c>
      <c r="L75" s="70"/>
      <c r="M75" s="70"/>
      <c r="N75" s="70" t="s">
        <v>489</v>
      </c>
      <c r="O75" s="70"/>
      <c r="P75" s="70" t="b">
        <v>1</v>
      </c>
      <c r="Q75" s="70" t="b">
        <v>0</v>
      </c>
    </row>
    <row r="76" spans="1:17">
      <c r="A76" s="36" t="s">
        <v>339</v>
      </c>
      <c r="B76" s="70" t="s">
        <v>48</v>
      </c>
      <c r="C76" s="70" t="s">
        <v>53</v>
      </c>
      <c r="D76" s="70">
        <v>0</v>
      </c>
      <c r="E76" s="70">
        <v>0</v>
      </c>
      <c r="F76" s="70">
        <v>0</v>
      </c>
      <c r="G76" s="70" t="s">
        <v>521</v>
      </c>
      <c r="H76" s="70"/>
      <c r="I76" s="70" t="b">
        <v>0</v>
      </c>
      <c r="J76" s="70" t="b">
        <v>0</v>
      </c>
      <c r="K76" s="70" t="b">
        <v>1</v>
      </c>
      <c r="L76" s="70"/>
      <c r="M76" s="70"/>
      <c r="N76" s="70" t="s">
        <v>489</v>
      </c>
      <c r="O76" s="70"/>
      <c r="P76" s="70" t="b">
        <v>1</v>
      </c>
      <c r="Q76" s="70" t="b">
        <v>0</v>
      </c>
    </row>
    <row r="77" spans="1:17">
      <c r="A77" s="36" t="s">
        <v>340</v>
      </c>
      <c r="B77" s="70" t="s">
        <v>48</v>
      </c>
      <c r="C77" s="70" t="s">
        <v>53</v>
      </c>
      <c r="D77" s="70">
        <v>0</v>
      </c>
      <c r="E77" s="70">
        <v>0</v>
      </c>
      <c r="F77" s="70">
        <v>0</v>
      </c>
      <c r="G77" s="70" t="s">
        <v>522</v>
      </c>
      <c r="H77" s="70"/>
      <c r="I77" s="70" t="b">
        <v>0</v>
      </c>
      <c r="J77" s="70" t="b">
        <v>0</v>
      </c>
      <c r="K77" s="70" t="b">
        <v>1</v>
      </c>
      <c r="L77" s="70"/>
      <c r="M77" s="70"/>
      <c r="N77" s="70" t="s">
        <v>489</v>
      </c>
      <c r="O77" s="70"/>
      <c r="P77" s="70" t="b">
        <v>1</v>
      </c>
      <c r="Q77" s="70" t="b">
        <v>0</v>
      </c>
    </row>
    <row r="78" spans="1:17">
      <c r="A78" s="36" t="s">
        <v>341</v>
      </c>
      <c r="B78" s="70" t="s">
        <v>48</v>
      </c>
      <c r="C78" s="70" t="s">
        <v>53</v>
      </c>
      <c r="D78" s="70">
        <v>0</v>
      </c>
      <c r="E78" s="70">
        <v>0</v>
      </c>
      <c r="F78" s="70">
        <v>0</v>
      </c>
      <c r="G78" s="70" t="s">
        <v>523</v>
      </c>
      <c r="H78" s="70"/>
      <c r="I78" s="70" t="b">
        <v>0</v>
      </c>
      <c r="J78" s="70" t="b">
        <v>0</v>
      </c>
      <c r="K78" s="70" t="b">
        <v>1</v>
      </c>
      <c r="L78" s="70"/>
      <c r="M78" s="70"/>
      <c r="N78" s="70" t="s">
        <v>489</v>
      </c>
      <c r="O78" s="70"/>
      <c r="P78" s="70" t="b">
        <v>1</v>
      </c>
      <c r="Q78" s="70" t="b">
        <v>0</v>
      </c>
    </row>
    <row r="79" spans="1:17">
      <c r="A79" s="36" t="s">
        <v>342</v>
      </c>
      <c r="B79" s="70" t="s">
        <v>48</v>
      </c>
      <c r="C79" s="70" t="s">
        <v>53</v>
      </c>
      <c r="D79" s="70">
        <v>0</v>
      </c>
      <c r="E79" s="70">
        <v>0</v>
      </c>
      <c r="F79" s="70">
        <v>0</v>
      </c>
      <c r="G79" s="70" t="s">
        <v>524</v>
      </c>
      <c r="H79" s="70"/>
      <c r="I79" s="70" t="b">
        <v>0</v>
      </c>
      <c r="J79" s="70" t="b">
        <v>0</v>
      </c>
      <c r="K79" s="70" t="b">
        <v>1</v>
      </c>
      <c r="L79" s="70"/>
      <c r="M79" s="70"/>
      <c r="N79" s="70" t="s">
        <v>489</v>
      </c>
      <c r="O79" s="70"/>
      <c r="P79" s="70" t="b">
        <v>1</v>
      </c>
      <c r="Q79" s="70" t="b">
        <v>0</v>
      </c>
    </row>
    <row r="80" spans="1:17">
      <c r="A80" s="36" t="s">
        <v>343</v>
      </c>
      <c r="B80" s="70" t="s">
        <v>48</v>
      </c>
      <c r="C80" s="70" t="s">
        <v>53</v>
      </c>
      <c r="D80" s="70">
        <v>0</v>
      </c>
      <c r="E80" s="70">
        <v>0</v>
      </c>
      <c r="F80" s="70">
        <v>0</v>
      </c>
      <c r="G80" s="70" t="s">
        <v>525</v>
      </c>
      <c r="H80" s="70"/>
      <c r="I80" s="70" t="b">
        <v>0</v>
      </c>
      <c r="J80" s="70" t="b">
        <v>0</v>
      </c>
      <c r="K80" s="70" t="b">
        <v>1</v>
      </c>
      <c r="L80" s="70"/>
      <c r="M80" s="70"/>
      <c r="N80" s="70" t="s">
        <v>489</v>
      </c>
      <c r="O80" s="70"/>
      <c r="P80" s="70" t="b">
        <v>1</v>
      </c>
      <c r="Q80" s="70" t="b">
        <v>0</v>
      </c>
    </row>
    <row r="81" spans="1:17">
      <c r="A81" s="36" t="s">
        <v>344</v>
      </c>
      <c r="B81" s="70" t="s">
        <v>48</v>
      </c>
      <c r="C81" s="70" t="s">
        <v>53</v>
      </c>
      <c r="D81" s="70">
        <v>0</v>
      </c>
      <c r="E81" s="70">
        <v>0</v>
      </c>
      <c r="F81" s="70">
        <v>0</v>
      </c>
      <c r="G81" s="70" t="s">
        <v>526</v>
      </c>
      <c r="H81" s="70"/>
      <c r="I81" s="70" t="b">
        <v>0</v>
      </c>
      <c r="J81" s="70" t="b">
        <v>0</v>
      </c>
      <c r="K81" s="70" t="b">
        <v>1</v>
      </c>
      <c r="L81" s="70"/>
      <c r="M81" s="70"/>
      <c r="N81" s="70" t="s">
        <v>489</v>
      </c>
      <c r="O81" s="70"/>
      <c r="P81" s="70" t="b">
        <v>1</v>
      </c>
      <c r="Q81" s="70" t="b">
        <v>0</v>
      </c>
    </row>
    <row r="82" spans="1:17">
      <c r="A82" s="36" t="s">
        <v>345</v>
      </c>
      <c r="B82" s="70" t="s">
        <v>48</v>
      </c>
      <c r="C82" s="70" t="s">
        <v>53</v>
      </c>
      <c r="D82" s="70">
        <v>0</v>
      </c>
      <c r="E82" s="70">
        <v>0</v>
      </c>
      <c r="F82" s="70">
        <v>0</v>
      </c>
      <c r="G82" s="70" t="s">
        <v>527</v>
      </c>
      <c r="H82" s="70"/>
      <c r="I82" s="70" t="b">
        <v>0</v>
      </c>
      <c r="J82" s="70" t="b">
        <v>0</v>
      </c>
      <c r="K82" s="70" t="b">
        <v>1</v>
      </c>
      <c r="L82" s="70"/>
      <c r="M82" s="70"/>
      <c r="N82" s="70" t="s">
        <v>489</v>
      </c>
      <c r="O82" s="70"/>
      <c r="P82" s="70" t="b">
        <v>1</v>
      </c>
      <c r="Q82" s="70" t="b">
        <v>0</v>
      </c>
    </row>
    <row r="83" spans="1:17">
      <c r="A83" s="36" t="s">
        <v>346</v>
      </c>
      <c r="B83" s="70" t="s">
        <v>48</v>
      </c>
      <c r="C83" s="70" t="s">
        <v>53</v>
      </c>
      <c r="D83" s="70">
        <v>0</v>
      </c>
      <c r="E83" s="70">
        <v>0</v>
      </c>
      <c r="F83" s="70">
        <v>0</v>
      </c>
      <c r="G83" s="70" t="s">
        <v>528</v>
      </c>
      <c r="H83" s="70"/>
      <c r="I83" s="70" t="b">
        <v>0</v>
      </c>
      <c r="J83" s="70" t="b">
        <v>0</v>
      </c>
      <c r="K83" s="70" t="b">
        <v>1</v>
      </c>
      <c r="L83" s="70"/>
      <c r="M83" s="70"/>
      <c r="N83" s="70" t="s">
        <v>489</v>
      </c>
      <c r="O83" s="70"/>
      <c r="P83" s="70" t="b">
        <v>1</v>
      </c>
      <c r="Q83" s="70" t="b">
        <v>0</v>
      </c>
    </row>
    <row r="84" spans="1:17">
      <c r="A84" s="36" t="s">
        <v>347</v>
      </c>
      <c r="B84" s="70" t="s">
        <v>48</v>
      </c>
      <c r="C84" s="70" t="s">
        <v>53</v>
      </c>
      <c r="D84" s="70">
        <v>0</v>
      </c>
      <c r="E84" s="70">
        <v>0</v>
      </c>
      <c r="F84" s="70">
        <v>0</v>
      </c>
      <c r="G84" s="70" t="s">
        <v>529</v>
      </c>
      <c r="H84" s="70"/>
      <c r="I84" s="70" t="b">
        <v>0</v>
      </c>
      <c r="J84" s="70" t="b">
        <v>0</v>
      </c>
      <c r="K84" s="70" t="b">
        <v>1</v>
      </c>
      <c r="L84" s="70"/>
      <c r="M84" s="70"/>
      <c r="N84" s="70" t="s">
        <v>489</v>
      </c>
      <c r="O84" s="70"/>
      <c r="P84" s="70" t="b">
        <v>1</v>
      </c>
      <c r="Q84" s="70" t="b">
        <v>0</v>
      </c>
    </row>
    <row r="85" spans="1:17">
      <c r="A85" s="36" t="s">
        <v>348</v>
      </c>
      <c r="B85" s="70" t="s">
        <v>48</v>
      </c>
      <c r="C85" s="70" t="s">
        <v>53</v>
      </c>
      <c r="D85" s="70">
        <v>0</v>
      </c>
      <c r="E85" s="70">
        <v>0</v>
      </c>
      <c r="F85" s="70">
        <v>0</v>
      </c>
      <c r="G85" s="70" t="s">
        <v>530</v>
      </c>
      <c r="H85" s="70"/>
      <c r="I85" s="70" t="b">
        <v>0</v>
      </c>
      <c r="J85" s="70" t="b">
        <v>0</v>
      </c>
      <c r="K85" s="70" t="b">
        <v>1</v>
      </c>
      <c r="L85" s="70"/>
      <c r="M85" s="70"/>
      <c r="N85" s="70" t="s">
        <v>489</v>
      </c>
      <c r="O85" s="70"/>
      <c r="P85" s="70" t="b">
        <v>1</v>
      </c>
      <c r="Q85" s="70" t="b">
        <v>0</v>
      </c>
    </row>
    <row r="86" spans="1:17">
      <c r="A86" s="36" t="s">
        <v>349</v>
      </c>
      <c r="B86" s="70" t="s">
        <v>48</v>
      </c>
      <c r="C86" s="70" t="s">
        <v>53</v>
      </c>
      <c r="D86" s="70">
        <v>0</v>
      </c>
      <c r="E86" s="70">
        <v>0</v>
      </c>
      <c r="F86" s="70">
        <v>0</v>
      </c>
      <c r="G86" s="70" t="s">
        <v>531</v>
      </c>
      <c r="H86" s="70"/>
      <c r="I86" s="70" t="b">
        <v>0</v>
      </c>
      <c r="J86" s="70" t="b">
        <v>0</v>
      </c>
      <c r="K86" s="70" t="b">
        <v>1</v>
      </c>
      <c r="L86" s="70"/>
      <c r="M86" s="70"/>
      <c r="N86" s="70" t="s">
        <v>489</v>
      </c>
      <c r="O86" s="70"/>
      <c r="P86" s="70" t="b">
        <v>1</v>
      </c>
      <c r="Q86" s="70" t="b">
        <v>0</v>
      </c>
    </row>
    <row r="87" spans="1:17">
      <c r="A87" s="36" t="s">
        <v>350</v>
      </c>
      <c r="B87" s="70" t="s">
        <v>48</v>
      </c>
      <c r="C87" s="70" t="s">
        <v>53</v>
      </c>
      <c r="D87" s="70">
        <v>0</v>
      </c>
      <c r="E87" s="70">
        <v>0</v>
      </c>
      <c r="F87" s="70">
        <v>0</v>
      </c>
      <c r="G87" s="70" t="s">
        <v>532</v>
      </c>
      <c r="H87" s="70"/>
      <c r="I87" s="70" t="b">
        <v>0</v>
      </c>
      <c r="J87" s="70" t="b">
        <v>0</v>
      </c>
      <c r="K87" s="70" t="b">
        <v>1</v>
      </c>
      <c r="L87" s="70"/>
      <c r="M87" s="70"/>
      <c r="N87" s="70" t="s">
        <v>489</v>
      </c>
      <c r="O87" s="70"/>
      <c r="P87" s="70" t="b">
        <v>1</v>
      </c>
      <c r="Q87" s="70" t="b">
        <v>0</v>
      </c>
    </row>
    <row r="88" spans="1:17">
      <c r="A88" s="36" t="s">
        <v>351</v>
      </c>
      <c r="B88" s="70" t="s">
        <v>48</v>
      </c>
      <c r="C88" s="70" t="s">
        <v>53</v>
      </c>
      <c r="D88" s="70">
        <v>0</v>
      </c>
      <c r="E88" s="70">
        <v>0</v>
      </c>
      <c r="F88" s="70">
        <v>0</v>
      </c>
      <c r="G88" s="70" t="s">
        <v>533</v>
      </c>
      <c r="H88" s="70"/>
      <c r="I88" s="70" t="b">
        <v>0</v>
      </c>
      <c r="J88" s="70" t="b">
        <v>0</v>
      </c>
      <c r="K88" s="70" t="b">
        <v>1</v>
      </c>
      <c r="L88" s="70"/>
      <c r="M88" s="70"/>
      <c r="N88" s="70" t="s">
        <v>489</v>
      </c>
      <c r="O88" s="70"/>
      <c r="P88" s="70" t="b">
        <v>1</v>
      </c>
      <c r="Q88" s="70" t="b">
        <v>0</v>
      </c>
    </row>
    <row r="89" spans="1:17">
      <c r="A89" s="36" t="s">
        <v>352</v>
      </c>
      <c r="B89" s="70" t="s">
        <v>48</v>
      </c>
      <c r="C89" s="70" t="s">
        <v>53</v>
      </c>
      <c r="D89" s="70">
        <v>0</v>
      </c>
      <c r="E89" s="70">
        <v>0</v>
      </c>
      <c r="F89" s="70">
        <v>0</v>
      </c>
      <c r="G89" s="70" t="s">
        <v>534</v>
      </c>
      <c r="H89" s="70"/>
      <c r="I89" s="70" t="b">
        <v>0</v>
      </c>
      <c r="J89" s="70" t="b">
        <v>0</v>
      </c>
      <c r="K89" s="70" t="b">
        <v>1</v>
      </c>
      <c r="L89" s="70"/>
      <c r="M89" s="70"/>
      <c r="N89" s="70" t="s">
        <v>489</v>
      </c>
      <c r="O89" s="70"/>
      <c r="P89" s="70" t="b">
        <v>1</v>
      </c>
      <c r="Q89" s="70" t="b">
        <v>0</v>
      </c>
    </row>
    <row r="90" spans="1:17">
      <c r="A90" s="36" t="s">
        <v>353</v>
      </c>
      <c r="B90" s="70" t="s">
        <v>48</v>
      </c>
      <c r="C90" s="70" t="s">
        <v>53</v>
      </c>
      <c r="D90" s="70">
        <v>0</v>
      </c>
      <c r="E90" s="70">
        <v>0</v>
      </c>
      <c r="F90" s="70">
        <v>0</v>
      </c>
      <c r="G90" s="70" t="s">
        <v>535</v>
      </c>
      <c r="H90" s="70"/>
      <c r="I90" s="70" t="b">
        <v>0</v>
      </c>
      <c r="J90" s="70" t="b">
        <v>0</v>
      </c>
      <c r="K90" s="70" t="b">
        <v>1</v>
      </c>
      <c r="L90" s="70"/>
      <c r="M90" s="70"/>
      <c r="N90" s="70" t="s">
        <v>489</v>
      </c>
      <c r="O90" s="70"/>
      <c r="P90" s="70" t="b">
        <v>1</v>
      </c>
      <c r="Q90" s="70" t="b">
        <v>0</v>
      </c>
    </row>
    <row r="91" spans="1:17">
      <c r="A91" s="36" t="s">
        <v>354</v>
      </c>
      <c r="B91" s="70" t="s">
        <v>48</v>
      </c>
      <c r="C91" s="70" t="s">
        <v>53</v>
      </c>
      <c r="D91" s="70">
        <v>0</v>
      </c>
      <c r="E91" s="70">
        <v>0</v>
      </c>
      <c r="F91" s="70">
        <v>0</v>
      </c>
      <c r="G91" s="70" t="s">
        <v>536</v>
      </c>
      <c r="H91" s="70"/>
      <c r="I91" s="70" t="b">
        <v>0</v>
      </c>
      <c r="J91" s="70" t="b">
        <v>0</v>
      </c>
      <c r="K91" s="70" t="b">
        <v>1</v>
      </c>
      <c r="L91" s="70"/>
      <c r="M91" s="70"/>
      <c r="N91" s="70" t="s">
        <v>489</v>
      </c>
      <c r="O91" s="70"/>
      <c r="P91" s="70" t="b">
        <v>1</v>
      </c>
      <c r="Q91" s="70" t="b">
        <v>0</v>
      </c>
    </row>
    <row r="92" spans="1:17">
      <c r="A92" s="36" t="s">
        <v>355</v>
      </c>
      <c r="B92" s="70" t="s">
        <v>48</v>
      </c>
      <c r="C92" s="70" t="s">
        <v>53</v>
      </c>
      <c r="D92" s="70">
        <v>0</v>
      </c>
      <c r="E92" s="70">
        <v>0</v>
      </c>
      <c r="F92" s="70">
        <v>0</v>
      </c>
      <c r="G92" s="70" t="s">
        <v>537</v>
      </c>
      <c r="H92" s="70"/>
      <c r="I92" s="70" t="b">
        <v>0</v>
      </c>
      <c r="J92" s="70" t="b">
        <v>0</v>
      </c>
      <c r="K92" s="70" t="b">
        <v>1</v>
      </c>
      <c r="L92" s="70"/>
      <c r="M92" s="70"/>
      <c r="N92" s="70" t="s">
        <v>489</v>
      </c>
      <c r="O92" s="70"/>
      <c r="P92" s="70" t="b">
        <v>1</v>
      </c>
      <c r="Q92" s="70" t="b">
        <v>0</v>
      </c>
    </row>
    <row r="93" spans="1:17">
      <c r="A93" s="36" t="s">
        <v>356</v>
      </c>
      <c r="B93" s="70" t="s">
        <v>48</v>
      </c>
      <c r="C93" s="70" t="s">
        <v>53</v>
      </c>
      <c r="D93" s="70">
        <v>0</v>
      </c>
      <c r="E93" s="70">
        <v>0</v>
      </c>
      <c r="F93" s="70">
        <v>0</v>
      </c>
      <c r="G93" s="70" t="s">
        <v>538</v>
      </c>
      <c r="H93" s="70"/>
      <c r="I93" s="70" t="b">
        <v>0</v>
      </c>
      <c r="J93" s="70" t="b">
        <v>0</v>
      </c>
      <c r="K93" s="70" t="b">
        <v>1</v>
      </c>
      <c r="L93" s="70"/>
      <c r="M93" s="70"/>
      <c r="N93" s="70" t="s">
        <v>489</v>
      </c>
      <c r="O93" s="70"/>
      <c r="P93" s="70" t="b">
        <v>1</v>
      </c>
      <c r="Q93" s="70" t="b">
        <v>0</v>
      </c>
    </row>
    <row r="94" spans="1:17">
      <c r="A94" s="36" t="s">
        <v>357</v>
      </c>
      <c r="B94" s="70" t="s">
        <v>48</v>
      </c>
      <c r="C94" s="70" t="s">
        <v>53</v>
      </c>
      <c r="D94" s="70">
        <v>0</v>
      </c>
      <c r="E94" s="70">
        <v>0</v>
      </c>
      <c r="F94" s="70">
        <v>0</v>
      </c>
      <c r="G94" s="70" t="s">
        <v>539</v>
      </c>
      <c r="H94" s="70"/>
      <c r="I94" s="70" t="b">
        <v>0</v>
      </c>
      <c r="J94" s="70" t="b">
        <v>0</v>
      </c>
      <c r="K94" s="70" t="b">
        <v>1</v>
      </c>
      <c r="L94" s="70"/>
      <c r="M94" s="70"/>
      <c r="N94" s="70" t="s">
        <v>489</v>
      </c>
      <c r="O94" s="70"/>
      <c r="P94" s="70" t="b">
        <v>1</v>
      </c>
      <c r="Q94" s="70" t="b">
        <v>0</v>
      </c>
    </row>
    <row r="95" spans="1:17">
      <c r="A95" s="36" t="s">
        <v>358</v>
      </c>
      <c r="B95" s="70" t="s">
        <v>48</v>
      </c>
      <c r="C95" s="70" t="s">
        <v>53</v>
      </c>
      <c r="D95" s="70">
        <v>0</v>
      </c>
      <c r="E95" s="70">
        <v>0</v>
      </c>
      <c r="F95" s="70">
        <v>0</v>
      </c>
      <c r="G95" s="70" t="s">
        <v>540</v>
      </c>
      <c r="H95" s="70"/>
      <c r="I95" s="70" t="b">
        <v>0</v>
      </c>
      <c r="J95" s="70" t="b">
        <v>0</v>
      </c>
      <c r="K95" s="70" t="b">
        <v>1</v>
      </c>
      <c r="L95" s="70"/>
      <c r="M95" s="70"/>
      <c r="N95" s="70" t="s">
        <v>489</v>
      </c>
      <c r="O95" s="70"/>
      <c r="P95" s="70" t="b">
        <v>1</v>
      </c>
      <c r="Q95" s="70" t="b">
        <v>0</v>
      </c>
    </row>
    <row r="96" spans="1:17">
      <c r="A96" s="36" t="s">
        <v>359</v>
      </c>
      <c r="B96" s="70" t="s">
        <v>48</v>
      </c>
      <c r="C96" s="70" t="s">
        <v>53</v>
      </c>
      <c r="D96" s="70">
        <v>0</v>
      </c>
      <c r="E96" s="70">
        <v>0</v>
      </c>
      <c r="F96" s="70">
        <v>0</v>
      </c>
      <c r="G96" s="70" t="s">
        <v>541</v>
      </c>
      <c r="H96" s="70"/>
      <c r="I96" s="70" t="b">
        <v>0</v>
      </c>
      <c r="J96" s="70" t="b">
        <v>0</v>
      </c>
      <c r="K96" s="70" t="b">
        <v>1</v>
      </c>
      <c r="L96" s="70"/>
      <c r="M96" s="70"/>
      <c r="N96" s="70" t="s">
        <v>489</v>
      </c>
      <c r="O96" s="70"/>
      <c r="P96" s="70" t="b">
        <v>1</v>
      </c>
      <c r="Q96" s="70" t="b">
        <v>0</v>
      </c>
    </row>
    <row r="97" spans="1:17">
      <c r="A97" s="36" t="s">
        <v>360</v>
      </c>
      <c r="B97" s="70" t="s">
        <v>48</v>
      </c>
      <c r="C97" s="70" t="s">
        <v>53</v>
      </c>
      <c r="D97" s="70">
        <v>0</v>
      </c>
      <c r="E97" s="70">
        <v>0</v>
      </c>
      <c r="F97" s="70">
        <v>0</v>
      </c>
      <c r="G97" s="70" t="s">
        <v>542</v>
      </c>
      <c r="H97" s="70"/>
      <c r="I97" s="70" t="b">
        <v>0</v>
      </c>
      <c r="J97" s="70" t="b">
        <v>0</v>
      </c>
      <c r="K97" s="70" t="b">
        <v>1</v>
      </c>
      <c r="L97" s="70"/>
      <c r="M97" s="70"/>
      <c r="N97" s="70" t="s">
        <v>489</v>
      </c>
      <c r="O97" s="70"/>
      <c r="P97" s="70" t="b">
        <v>1</v>
      </c>
      <c r="Q97" s="70" t="b">
        <v>0</v>
      </c>
    </row>
    <row r="98" spans="1:17">
      <c r="A98" s="36" t="s">
        <v>361</v>
      </c>
      <c r="B98" s="70" t="s">
        <v>48</v>
      </c>
      <c r="C98" s="70" t="s">
        <v>53</v>
      </c>
      <c r="D98" s="70">
        <v>0</v>
      </c>
      <c r="E98" s="70">
        <v>0</v>
      </c>
      <c r="F98" s="70">
        <v>0</v>
      </c>
      <c r="G98" s="70" t="s">
        <v>543</v>
      </c>
      <c r="H98" s="70"/>
      <c r="I98" s="70" t="b">
        <v>0</v>
      </c>
      <c r="J98" s="70" t="b">
        <v>0</v>
      </c>
      <c r="K98" s="70" t="b">
        <v>1</v>
      </c>
      <c r="L98" s="70"/>
      <c r="M98" s="70"/>
      <c r="N98" s="70" t="s">
        <v>489</v>
      </c>
      <c r="O98" s="70"/>
      <c r="P98" s="70" t="b">
        <v>1</v>
      </c>
      <c r="Q98" s="70" t="b">
        <v>0</v>
      </c>
    </row>
    <row r="99" spans="1:17">
      <c r="A99" s="36" t="s">
        <v>362</v>
      </c>
      <c r="B99" s="70" t="s">
        <v>48</v>
      </c>
      <c r="C99" s="70" t="s">
        <v>53</v>
      </c>
      <c r="D99" s="70">
        <v>0</v>
      </c>
      <c r="E99" s="70">
        <v>0</v>
      </c>
      <c r="F99" s="70">
        <v>0</v>
      </c>
      <c r="G99" s="70" t="s">
        <v>544</v>
      </c>
      <c r="H99" s="70"/>
      <c r="I99" s="70" t="b">
        <v>0</v>
      </c>
      <c r="J99" s="70" t="b">
        <v>0</v>
      </c>
      <c r="K99" s="70" t="b">
        <v>1</v>
      </c>
      <c r="L99" s="70"/>
      <c r="M99" s="70"/>
      <c r="N99" s="70" t="s">
        <v>489</v>
      </c>
      <c r="O99" s="70"/>
      <c r="P99" s="70" t="b">
        <v>1</v>
      </c>
      <c r="Q99" s="70" t="b">
        <v>0</v>
      </c>
    </row>
    <row r="100" spans="1:17">
      <c r="A100" s="36" t="s">
        <v>363</v>
      </c>
      <c r="B100" s="70" t="s">
        <v>48</v>
      </c>
      <c r="C100" s="70" t="s">
        <v>53</v>
      </c>
      <c r="D100" s="70">
        <v>0</v>
      </c>
      <c r="E100" s="70">
        <v>0</v>
      </c>
      <c r="F100" s="70">
        <v>0</v>
      </c>
      <c r="G100" s="70" t="s">
        <v>545</v>
      </c>
      <c r="H100" s="70"/>
      <c r="I100" s="70" t="b">
        <v>0</v>
      </c>
      <c r="J100" s="70" t="b">
        <v>0</v>
      </c>
      <c r="K100" s="70" t="b">
        <v>1</v>
      </c>
      <c r="L100" s="70"/>
      <c r="M100" s="70"/>
      <c r="N100" s="70" t="s">
        <v>489</v>
      </c>
      <c r="O100" s="70"/>
      <c r="P100" s="70" t="b">
        <v>1</v>
      </c>
      <c r="Q100" s="70" t="b">
        <v>0</v>
      </c>
    </row>
    <row r="101" spans="1:17">
      <c r="A101" s="36" t="s">
        <v>364</v>
      </c>
      <c r="B101" s="70" t="s">
        <v>48</v>
      </c>
      <c r="C101" s="70" t="s">
        <v>53</v>
      </c>
      <c r="D101" s="70">
        <v>0</v>
      </c>
      <c r="E101" s="70">
        <v>0</v>
      </c>
      <c r="F101" s="70">
        <v>0</v>
      </c>
      <c r="G101" s="70" t="s">
        <v>546</v>
      </c>
      <c r="H101" s="70"/>
      <c r="I101" s="70" t="b">
        <v>0</v>
      </c>
      <c r="J101" s="70" t="b">
        <v>0</v>
      </c>
      <c r="K101" s="70" t="b">
        <v>1</v>
      </c>
      <c r="L101" s="70"/>
      <c r="M101" s="70"/>
      <c r="N101" s="70" t="s">
        <v>489</v>
      </c>
      <c r="O101" s="70"/>
      <c r="P101" s="70" t="b">
        <v>1</v>
      </c>
      <c r="Q101" s="70" t="b">
        <v>0</v>
      </c>
    </row>
    <row r="102" spans="1:17">
      <c r="A102" s="36" t="s">
        <v>365</v>
      </c>
      <c r="B102" s="70" t="s">
        <v>48</v>
      </c>
      <c r="C102" s="70" t="s">
        <v>53</v>
      </c>
      <c r="D102" s="70">
        <v>0</v>
      </c>
      <c r="E102" s="70">
        <v>0</v>
      </c>
      <c r="F102" s="70">
        <v>0</v>
      </c>
      <c r="G102" s="70" t="s">
        <v>547</v>
      </c>
      <c r="H102" s="70"/>
      <c r="I102" s="70" t="b">
        <v>0</v>
      </c>
      <c r="J102" s="70" t="b">
        <v>0</v>
      </c>
      <c r="K102" s="70" t="b">
        <v>1</v>
      </c>
      <c r="L102" s="70"/>
      <c r="M102" s="70"/>
      <c r="N102" s="70" t="s">
        <v>489</v>
      </c>
      <c r="O102" s="70"/>
      <c r="P102" s="70" t="b">
        <v>1</v>
      </c>
      <c r="Q102" s="70" t="b">
        <v>0</v>
      </c>
    </row>
    <row r="103" spans="1:17">
      <c r="A103" s="47" t="s">
        <v>1834</v>
      </c>
      <c r="B103" s="69" t="s">
        <v>48</v>
      </c>
      <c r="C103" s="69" t="s">
        <v>52</v>
      </c>
      <c r="D103" s="69">
        <v>0</v>
      </c>
      <c r="E103" s="69">
        <v>0</v>
      </c>
      <c r="F103" s="69">
        <v>0</v>
      </c>
      <c r="G103" s="69" t="str">
        <f>A103&amp;".buffeffect.01"</f>
        <v>Buff.Attribute.Green.Area.01.buff.buffeffect.01</v>
      </c>
      <c r="H103" s="69"/>
      <c r="I103" s="69" t="b">
        <v>0</v>
      </c>
      <c r="J103" s="69" t="b">
        <v>0</v>
      </c>
      <c r="K103" s="69" t="b">
        <v>1</v>
      </c>
      <c r="L103" s="69"/>
      <c r="M103" s="69" t="s">
        <v>2039</v>
      </c>
      <c r="N103" s="69" t="s">
        <v>1798</v>
      </c>
      <c r="O103" s="69" t="s">
        <v>2030</v>
      </c>
      <c r="P103" s="69" t="b">
        <v>1</v>
      </c>
      <c r="Q103" s="69" t="b">
        <v>0</v>
      </c>
    </row>
    <row r="104" spans="1:17">
      <c r="A104" s="47" t="s">
        <v>1835</v>
      </c>
      <c r="B104" s="69" t="s">
        <v>48</v>
      </c>
      <c r="C104" s="69" t="s">
        <v>52</v>
      </c>
      <c r="D104" s="69">
        <v>0</v>
      </c>
      <c r="E104" s="69">
        <v>0</v>
      </c>
      <c r="F104" s="69">
        <v>0</v>
      </c>
      <c r="G104" s="69" t="str">
        <f t="shared" ref="G104:G137" si="5">A104&amp;".buffeffect.01"</f>
        <v>Buff.Attribute.Green.Area.02.buff.buffeffect.01</v>
      </c>
      <c r="H104" s="69"/>
      <c r="I104" s="69" t="b">
        <v>0</v>
      </c>
      <c r="J104" s="69" t="b">
        <v>0</v>
      </c>
      <c r="K104" s="69" t="b">
        <v>1</v>
      </c>
      <c r="L104" s="69"/>
      <c r="M104" s="69" t="s">
        <v>2039</v>
      </c>
      <c r="N104" s="69" t="s">
        <v>1798</v>
      </c>
      <c r="O104" s="69" t="s">
        <v>2030</v>
      </c>
      <c r="P104" s="69" t="b">
        <v>1</v>
      </c>
      <c r="Q104" s="69" t="b">
        <v>0</v>
      </c>
    </row>
    <row r="105" spans="1:17">
      <c r="A105" s="47" t="s">
        <v>1836</v>
      </c>
      <c r="B105" s="69" t="s">
        <v>48</v>
      </c>
      <c r="C105" s="69" t="s">
        <v>52</v>
      </c>
      <c r="D105" s="69">
        <v>0</v>
      </c>
      <c r="E105" s="69">
        <v>0</v>
      </c>
      <c r="F105" s="69">
        <v>0</v>
      </c>
      <c r="G105" s="69" t="str">
        <f t="shared" si="5"/>
        <v>Buff.Attribute.Green.Area.03.buff.buffeffect.01</v>
      </c>
      <c r="H105" s="69"/>
      <c r="I105" s="69" t="b">
        <v>0</v>
      </c>
      <c r="J105" s="69" t="b">
        <v>0</v>
      </c>
      <c r="K105" s="69" t="b">
        <v>1</v>
      </c>
      <c r="L105" s="69"/>
      <c r="M105" s="69" t="s">
        <v>2039</v>
      </c>
      <c r="N105" s="69" t="s">
        <v>1798</v>
      </c>
      <c r="O105" s="69" t="s">
        <v>2030</v>
      </c>
      <c r="P105" s="69" t="b">
        <v>1</v>
      </c>
      <c r="Q105" s="69" t="b">
        <v>0</v>
      </c>
    </row>
    <row r="106" spans="1:17">
      <c r="A106" s="47" t="s">
        <v>1837</v>
      </c>
      <c r="B106" s="69" t="s">
        <v>48</v>
      </c>
      <c r="C106" s="69" t="s">
        <v>52</v>
      </c>
      <c r="D106" s="69">
        <v>0</v>
      </c>
      <c r="E106" s="69">
        <v>0</v>
      </c>
      <c r="F106" s="69">
        <v>0</v>
      </c>
      <c r="G106" s="69" t="str">
        <f t="shared" si="5"/>
        <v>Buff.Attribute.Green.Area.04.buff.buffeffect.01</v>
      </c>
      <c r="H106" s="69"/>
      <c r="I106" s="69" t="b">
        <v>0</v>
      </c>
      <c r="J106" s="69" t="b">
        <v>0</v>
      </c>
      <c r="K106" s="69" t="b">
        <v>1</v>
      </c>
      <c r="L106" s="69"/>
      <c r="M106" s="69" t="s">
        <v>2039</v>
      </c>
      <c r="N106" s="69" t="s">
        <v>1798</v>
      </c>
      <c r="O106" s="69" t="s">
        <v>2030</v>
      </c>
      <c r="P106" s="69" t="b">
        <v>1</v>
      </c>
      <c r="Q106" s="69" t="b">
        <v>0</v>
      </c>
    </row>
    <row r="107" spans="1:17">
      <c r="A107" s="47" t="s">
        <v>1838</v>
      </c>
      <c r="B107" s="69" t="s">
        <v>48</v>
      </c>
      <c r="C107" s="69" t="s">
        <v>52</v>
      </c>
      <c r="D107" s="69">
        <v>0</v>
      </c>
      <c r="E107" s="69">
        <v>0</v>
      </c>
      <c r="F107" s="69">
        <v>0</v>
      </c>
      <c r="G107" s="69" t="str">
        <f t="shared" si="5"/>
        <v>Buff.Attribute.Green.Area.05.buff.buffeffect.01</v>
      </c>
      <c r="H107" s="69"/>
      <c r="I107" s="69" t="b">
        <v>0</v>
      </c>
      <c r="J107" s="69" t="b">
        <v>0</v>
      </c>
      <c r="K107" s="69" t="b">
        <v>1</v>
      </c>
      <c r="L107" s="69"/>
      <c r="M107" s="69" t="s">
        <v>2039</v>
      </c>
      <c r="N107" s="69" t="s">
        <v>1798</v>
      </c>
      <c r="O107" s="69" t="s">
        <v>2030</v>
      </c>
      <c r="P107" s="69" t="b">
        <v>1</v>
      </c>
      <c r="Q107" s="69" t="b">
        <v>0</v>
      </c>
    </row>
    <row r="108" spans="1:17">
      <c r="A108" s="47" t="s">
        <v>1839</v>
      </c>
      <c r="B108" s="69" t="s">
        <v>48</v>
      </c>
      <c r="C108" s="69" t="s">
        <v>52</v>
      </c>
      <c r="D108" s="69">
        <v>0</v>
      </c>
      <c r="E108" s="69">
        <v>0</v>
      </c>
      <c r="F108" s="69">
        <v>0</v>
      </c>
      <c r="G108" s="69" t="str">
        <f t="shared" ref="G108:G112" si="6">A108&amp;".buffeffect.01"</f>
        <v>Buff.Attribute.Green.Area.06.buff.buffeffect.01</v>
      </c>
      <c r="H108" s="69"/>
      <c r="I108" s="69" t="b">
        <v>0</v>
      </c>
      <c r="J108" s="69" t="b">
        <v>0</v>
      </c>
      <c r="K108" s="69" t="b">
        <v>1</v>
      </c>
      <c r="L108" s="69"/>
      <c r="M108" s="69" t="s">
        <v>2039</v>
      </c>
      <c r="N108" s="69" t="s">
        <v>1798</v>
      </c>
      <c r="O108" s="69" t="s">
        <v>2030</v>
      </c>
      <c r="P108" s="69" t="b">
        <v>1</v>
      </c>
      <c r="Q108" s="69" t="b">
        <v>0</v>
      </c>
    </row>
    <row r="109" spans="1:17">
      <c r="A109" s="47" t="s">
        <v>1840</v>
      </c>
      <c r="B109" s="69" t="s">
        <v>48</v>
      </c>
      <c r="C109" s="69" t="s">
        <v>52</v>
      </c>
      <c r="D109" s="69">
        <v>0</v>
      </c>
      <c r="E109" s="69">
        <v>0</v>
      </c>
      <c r="F109" s="69">
        <v>0</v>
      </c>
      <c r="G109" s="69" t="str">
        <f t="shared" si="6"/>
        <v>Buff.Attribute.Green.Area.07.buff.buffeffect.01</v>
      </c>
      <c r="H109" s="69"/>
      <c r="I109" s="69" t="b">
        <v>0</v>
      </c>
      <c r="J109" s="69" t="b">
        <v>0</v>
      </c>
      <c r="K109" s="69" t="b">
        <v>1</v>
      </c>
      <c r="L109" s="69"/>
      <c r="M109" s="69" t="s">
        <v>2039</v>
      </c>
      <c r="N109" s="69" t="s">
        <v>1798</v>
      </c>
      <c r="O109" s="69" t="s">
        <v>2030</v>
      </c>
      <c r="P109" s="69" t="b">
        <v>1</v>
      </c>
      <c r="Q109" s="69" t="b">
        <v>0</v>
      </c>
    </row>
    <row r="110" spans="1:17">
      <c r="A110" s="47" t="s">
        <v>1841</v>
      </c>
      <c r="B110" s="69" t="s">
        <v>48</v>
      </c>
      <c r="C110" s="69" t="s">
        <v>52</v>
      </c>
      <c r="D110" s="69">
        <v>0</v>
      </c>
      <c r="E110" s="69">
        <v>0</v>
      </c>
      <c r="F110" s="69">
        <v>0</v>
      </c>
      <c r="G110" s="69" t="str">
        <f t="shared" si="6"/>
        <v>Buff.Attribute.Green.Area.08.buff.buffeffect.01</v>
      </c>
      <c r="H110" s="69"/>
      <c r="I110" s="69" t="b">
        <v>0</v>
      </c>
      <c r="J110" s="69" t="b">
        <v>0</v>
      </c>
      <c r="K110" s="69" t="b">
        <v>1</v>
      </c>
      <c r="L110" s="69"/>
      <c r="M110" s="69" t="s">
        <v>2039</v>
      </c>
      <c r="N110" s="69" t="s">
        <v>1798</v>
      </c>
      <c r="O110" s="69" t="s">
        <v>2030</v>
      </c>
      <c r="P110" s="69" t="b">
        <v>1</v>
      </c>
      <c r="Q110" s="69" t="b">
        <v>0</v>
      </c>
    </row>
    <row r="111" spans="1:17">
      <c r="A111" s="47" t="s">
        <v>1950</v>
      </c>
      <c r="B111" s="69" t="s">
        <v>48</v>
      </c>
      <c r="C111" s="69" t="s">
        <v>52</v>
      </c>
      <c r="D111" s="69">
        <v>0</v>
      </c>
      <c r="E111" s="69">
        <v>0</v>
      </c>
      <c r="F111" s="69">
        <v>0</v>
      </c>
      <c r="G111" s="69" t="str">
        <f t="shared" si="6"/>
        <v>Buff.Attribute.Green.Area.09.buff.buffeffect.01</v>
      </c>
      <c r="H111" s="69"/>
      <c r="I111" s="69" t="b">
        <v>0</v>
      </c>
      <c r="J111" s="69" t="b">
        <v>0</v>
      </c>
      <c r="K111" s="69" t="b">
        <v>1</v>
      </c>
      <c r="L111" s="69"/>
      <c r="M111" s="69" t="s">
        <v>2039</v>
      </c>
      <c r="N111" s="69" t="s">
        <v>1798</v>
      </c>
      <c r="O111" s="69" t="s">
        <v>2030</v>
      </c>
      <c r="P111" s="69" t="b">
        <v>1</v>
      </c>
      <c r="Q111" s="69" t="b">
        <v>0</v>
      </c>
    </row>
    <row r="112" spans="1:17">
      <c r="A112" s="47" t="s">
        <v>1951</v>
      </c>
      <c r="B112" s="69" t="s">
        <v>48</v>
      </c>
      <c r="C112" s="69" t="s">
        <v>52</v>
      </c>
      <c r="D112" s="69">
        <v>0</v>
      </c>
      <c r="E112" s="69">
        <v>0</v>
      </c>
      <c r="F112" s="69">
        <v>0</v>
      </c>
      <c r="G112" s="69" t="str">
        <f t="shared" si="6"/>
        <v>Buff.Attribute.Green.Area.10.buff.buffeffect.01</v>
      </c>
      <c r="H112" s="69"/>
      <c r="I112" s="69" t="b">
        <v>0</v>
      </c>
      <c r="J112" s="69" t="b">
        <v>0</v>
      </c>
      <c r="K112" s="69" t="b">
        <v>1</v>
      </c>
      <c r="L112" s="69"/>
      <c r="M112" s="69" t="s">
        <v>2039</v>
      </c>
      <c r="N112" s="69" t="s">
        <v>1798</v>
      </c>
      <c r="O112" s="69" t="s">
        <v>2030</v>
      </c>
      <c r="P112" s="69" t="b">
        <v>1</v>
      </c>
      <c r="Q112" s="69" t="b">
        <v>0</v>
      </c>
    </row>
    <row r="113" spans="1:17">
      <c r="A113" s="36" t="s">
        <v>1842</v>
      </c>
      <c r="B113" s="70" t="s">
        <v>48</v>
      </c>
      <c r="C113" s="70" t="s">
        <v>52</v>
      </c>
      <c r="D113" s="70">
        <v>0</v>
      </c>
      <c r="E113" s="70">
        <v>0</v>
      </c>
      <c r="F113" s="70">
        <v>0</v>
      </c>
      <c r="G113" s="70" t="str">
        <f t="shared" si="5"/>
        <v>Buff.Attribute.Green.Far.01.buff.buffeffect.01</v>
      </c>
      <c r="H113" s="70"/>
      <c r="I113" s="70" t="b">
        <v>0</v>
      </c>
      <c r="J113" s="70" t="b">
        <v>0</v>
      </c>
      <c r="K113" s="70" t="b">
        <v>1</v>
      </c>
      <c r="L113" s="70"/>
      <c r="M113" s="70" t="s">
        <v>2040</v>
      </c>
      <c r="N113" s="70" t="s">
        <v>1799</v>
      </c>
      <c r="O113" s="70" t="s">
        <v>2031</v>
      </c>
      <c r="P113" s="70" t="b">
        <v>1</v>
      </c>
      <c r="Q113" s="70" t="b">
        <v>0</v>
      </c>
    </row>
    <row r="114" spans="1:17">
      <c r="A114" s="36" t="s">
        <v>1843</v>
      </c>
      <c r="B114" s="70" t="s">
        <v>48</v>
      </c>
      <c r="C114" s="70" t="s">
        <v>52</v>
      </c>
      <c r="D114" s="70">
        <v>0</v>
      </c>
      <c r="E114" s="70">
        <v>0</v>
      </c>
      <c r="F114" s="70">
        <v>0</v>
      </c>
      <c r="G114" s="70" t="str">
        <f t="shared" si="5"/>
        <v>Buff.Attribute.Green.Far.02.buff.buffeffect.01</v>
      </c>
      <c r="H114" s="70"/>
      <c r="I114" s="70" t="b">
        <v>0</v>
      </c>
      <c r="J114" s="70" t="b">
        <v>0</v>
      </c>
      <c r="K114" s="70" t="b">
        <v>1</v>
      </c>
      <c r="L114" s="70"/>
      <c r="M114" s="70" t="s">
        <v>2040</v>
      </c>
      <c r="N114" s="70" t="s">
        <v>1799</v>
      </c>
      <c r="O114" s="70" t="s">
        <v>2031</v>
      </c>
      <c r="P114" s="70" t="b">
        <v>1</v>
      </c>
      <c r="Q114" s="70" t="b">
        <v>0</v>
      </c>
    </row>
    <row r="115" spans="1:17">
      <c r="A115" s="36" t="s">
        <v>1844</v>
      </c>
      <c r="B115" s="70" t="s">
        <v>48</v>
      </c>
      <c r="C115" s="70" t="s">
        <v>52</v>
      </c>
      <c r="D115" s="70">
        <v>0</v>
      </c>
      <c r="E115" s="70">
        <v>0</v>
      </c>
      <c r="F115" s="70">
        <v>0</v>
      </c>
      <c r="G115" s="70" t="str">
        <f t="shared" si="5"/>
        <v>Buff.Attribute.Green.Far.03.buff.buffeffect.01</v>
      </c>
      <c r="H115" s="70"/>
      <c r="I115" s="70" t="b">
        <v>0</v>
      </c>
      <c r="J115" s="70" t="b">
        <v>0</v>
      </c>
      <c r="K115" s="70" t="b">
        <v>1</v>
      </c>
      <c r="L115" s="70"/>
      <c r="M115" s="70" t="s">
        <v>2040</v>
      </c>
      <c r="N115" s="70" t="s">
        <v>1799</v>
      </c>
      <c r="O115" s="70" t="s">
        <v>2031</v>
      </c>
      <c r="P115" s="70" t="b">
        <v>1</v>
      </c>
      <c r="Q115" s="70" t="b">
        <v>0</v>
      </c>
    </row>
    <row r="116" spans="1:17">
      <c r="A116" s="36" t="s">
        <v>1845</v>
      </c>
      <c r="B116" s="70" t="s">
        <v>48</v>
      </c>
      <c r="C116" s="70" t="s">
        <v>52</v>
      </c>
      <c r="D116" s="70">
        <v>0</v>
      </c>
      <c r="E116" s="70">
        <v>0</v>
      </c>
      <c r="F116" s="70">
        <v>0</v>
      </c>
      <c r="G116" s="70" t="str">
        <f t="shared" si="5"/>
        <v>Buff.Attribute.Green.Far.04.buff.buffeffect.01</v>
      </c>
      <c r="H116" s="70"/>
      <c r="I116" s="70" t="b">
        <v>0</v>
      </c>
      <c r="J116" s="70" t="b">
        <v>0</v>
      </c>
      <c r="K116" s="70" t="b">
        <v>1</v>
      </c>
      <c r="L116" s="70"/>
      <c r="M116" s="70" t="s">
        <v>2040</v>
      </c>
      <c r="N116" s="70" t="s">
        <v>1799</v>
      </c>
      <c r="O116" s="70" t="s">
        <v>2031</v>
      </c>
      <c r="P116" s="70" t="b">
        <v>1</v>
      </c>
      <c r="Q116" s="70" t="b">
        <v>0</v>
      </c>
    </row>
    <row r="117" spans="1:17">
      <c r="A117" s="36" t="s">
        <v>1846</v>
      </c>
      <c r="B117" s="70" t="s">
        <v>48</v>
      </c>
      <c r="C117" s="70" t="s">
        <v>52</v>
      </c>
      <c r="D117" s="70">
        <v>0</v>
      </c>
      <c r="E117" s="70">
        <v>0</v>
      </c>
      <c r="F117" s="70">
        <v>0</v>
      </c>
      <c r="G117" s="70" t="str">
        <f t="shared" si="5"/>
        <v>Buff.Attribute.Green.Far.05.buff.buffeffect.01</v>
      </c>
      <c r="H117" s="70"/>
      <c r="I117" s="70" t="b">
        <v>0</v>
      </c>
      <c r="J117" s="70" t="b">
        <v>0</v>
      </c>
      <c r="K117" s="70" t="b">
        <v>1</v>
      </c>
      <c r="L117" s="70"/>
      <c r="M117" s="70" t="s">
        <v>2040</v>
      </c>
      <c r="N117" s="70" t="s">
        <v>1799</v>
      </c>
      <c r="O117" s="70" t="s">
        <v>2031</v>
      </c>
      <c r="P117" s="70" t="b">
        <v>1</v>
      </c>
      <c r="Q117" s="70" t="b">
        <v>0</v>
      </c>
    </row>
    <row r="118" spans="1:17">
      <c r="A118" s="36" t="s">
        <v>1847</v>
      </c>
      <c r="B118" s="70" t="s">
        <v>48</v>
      </c>
      <c r="C118" s="70" t="s">
        <v>52</v>
      </c>
      <c r="D118" s="70">
        <v>0</v>
      </c>
      <c r="E118" s="70">
        <v>0</v>
      </c>
      <c r="F118" s="70">
        <v>0</v>
      </c>
      <c r="G118" s="70" t="str">
        <f t="shared" ref="G118:G122" si="7">A118&amp;".buffeffect.01"</f>
        <v>Buff.Attribute.Green.Far.06.buff.buffeffect.01</v>
      </c>
      <c r="H118" s="70"/>
      <c r="I118" s="70" t="b">
        <v>0</v>
      </c>
      <c r="J118" s="70" t="b">
        <v>0</v>
      </c>
      <c r="K118" s="70" t="b">
        <v>1</v>
      </c>
      <c r="L118" s="70"/>
      <c r="M118" s="70" t="s">
        <v>2040</v>
      </c>
      <c r="N118" s="70" t="s">
        <v>1799</v>
      </c>
      <c r="O118" s="70" t="s">
        <v>2031</v>
      </c>
      <c r="P118" s="70" t="b">
        <v>1</v>
      </c>
      <c r="Q118" s="70" t="b">
        <v>0</v>
      </c>
    </row>
    <row r="119" spans="1:17">
      <c r="A119" s="36" t="s">
        <v>1848</v>
      </c>
      <c r="B119" s="70" t="s">
        <v>48</v>
      </c>
      <c r="C119" s="70" t="s">
        <v>52</v>
      </c>
      <c r="D119" s="70">
        <v>0</v>
      </c>
      <c r="E119" s="70">
        <v>0</v>
      </c>
      <c r="F119" s="70">
        <v>0</v>
      </c>
      <c r="G119" s="70" t="str">
        <f t="shared" si="7"/>
        <v>Buff.Attribute.Green.Far.07.buff.buffeffect.01</v>
      </c>
      <c r="H119" s="70"/>
      <c r="I119" s="70" t="b">
        <v>0</v>
      </c>
      <c r="J119" s="70" t="b">
        <v>0</v>
      </c>
      <c r="K119" s="70" t="b">
        <v>1</v>
      </c>
      <c r="L119" s="70"/>
      <c r="M119" s="70" t="s">
        <v>2040</v>
      </c>
      <c r="N119" s="70" t="s">
        <v>1799</v>
      </c>
      <c r="O119" s="70" t="s">
        <v>2031</v>
      </c>
      <c r="P119" s="70" t="b">
        <v>1</v>
      </c>
      <c r="Q119" s="70" t="b">
        <v>0</v>
      </c>
    </row>
    <row r="120" spans="1:17">
      <c r="A120" s="36" t="s">
        <v>1849</v>
      </c>
      <c r="B120" s="70" t="s">
        <v>48</v>
      </c>
      <c r="C120" s="70" t="s">
        <v>52</v>
      </c>
      <c r="D120" s="70">
        <v>0</v>
      </c>
      <c r="E120" s="70">
        <v>0</v>
      </c>
      <c r="F120" s="70">
        <v>0</v>
      </c>
      <c r="G120" s="70" t="str">
        <f t="shared" si="7"/>
        <v>Buff.Attribute.Green.Far.08.buff.buffeffect.01</v>
      </c>
      <c r="H120" s="70"/>
      <c r="I120" s="70" t="b">
        <v>0</v>
      </c>
      <c r="J120" s="70" t="b">
        <v>0</v>
      </c>
      <c r="K120" s="70" t="b">
        <v>1</v>
      </c>
      <c r="L120" s="70"/>
      <c r="M120" s="70" t="s">
        <v>2040</v>
      </c>
      <c r="N120" s="70" t="s">
        <v>1799</v>
      </c>
      <c r="O120" s="70" t="s">
        <v>2031</v>
      </c>
      <c r="P120" s="70" t="b">
        <v>1</v>
      </c>
      <c r="Q120" s="70" t="b">
        <v>0</v>
      </c>
    </row>
    <row r="121" spans="1:17">
      <c r="A121" s="36" t="s">
        <v>1952</v>
      </c>
      <c r="B121" s="70" t="s">
        <v>48</v>
      </c>
      <c r="C121" s="70" t="s">
        <v>52</v>
      </c>
      <c r="D121" s="70">
        <v>0</v>
      </c>
      <c r="E121" s="70">
        <v>0</v>
      </c>
      <c r="F121" s="70">
        <v>0</v>
      </c>
      <c r="G121" s="70" t="str">
        <f t="shared" si="7"/>
        <v>Buff.Attribute.Green.Far.09.buff.buffeffect.01</v>
      </c>
      <c r="H121" s="70"/>
      <c r="I121" s="70" t="b">
        <v>0</v>
      </c>
      <c r="J121" s="70" t="b">
        <v>0</v>
      </c>
      <c r="K121" s="70" t="b">
        <v>1</v>
      </c>
      <c r="L121" s="70"/>
      <c r="M121" s="70" t="s">
        <v>2040</v>
      </c>
      <c r="N121" s="70" t="s">
        <v>1799</v>
      </c>
      <c r="O121" s="70" t="s">
        <v>2031</v>
      </c>
      <c r="P121" s="70" t="b">
        <v>1</v>
      </c>
      <c r="Q121" s="70" t="b">
        <v>0</v>
      </c>
    </row>
    <row r="122" spans="1:17">
      <c r="A122" s="36" t="s">
        <v>1953</v>
      </c>
      <c r="B122" s="70" t="s">
        <v>48</v>
      </c>
      <c r="C122" s="70" t="s">
        <v>52</v>
      </c>
      <c r="D122" s="70">
        <v>0</v>
      </c>
      <c r="E122" s="70">
        <v>0</v>
      </c>
      <c r="F122" s="70">
        <v>0</v>
      </c>
      <c r="G122" s="70" t="str">
        <f t="shared" si="7"/>
        <v>Buff.Attribute.Green.Far.10.buff.buffeffect.01</v>
      </c>
      <c r="H122" s="70"/>
      <c r="I122" s="70" t="b">
        <v>0</v>
      </c>
      <c r="J122" s="70" t="b">
        <v>0</v>
      </c>
      <c r="K122" s="70" t="b">
        <v>1</v>
      </c>
      <c r="L122" s="70"/>
      <c r="M122" s="70" t="s">
        <v>2040</v>
      </c>
      <c r="N122" s="70" t="s">
        <v>1799</v>
      </c>
      <c r="O122" s="70" t="s">
        <v>2031</v>
      </c>
      <c r="P122" s="70" t="b">
        <v>1</v>
      </c>
      <c r="Q122" s="70" t="b">
        <v>0</v>
      </c>
    </row>
    <row r="123" spans="1:17">
      <c r="A123" s="47" t="s">
        <v>1850</v>
      </c>
      <c r="B123" s="69" t="s">
        <v>48</v>
      </c>
      <c r="C123" s="69" t="s">
        <v>52</v>
      </c>
      <c r="D123" s="69">
        <v>0</v>
      </c>
      <c r="E123" s="69">
        <v>0</v>
      </c>
      <c r="F123" s="69">
        <v>0</v>
      </c>
      <c r="G123" s="69" t="str">
        <f t="shared" si="5"/>
        <v>Buff.Attribute.Green.Near.01.buff.buffeffect.01</v>
      </c>
      <c r="H123" s="69"/>
      <c r="I123" s="69" t="b">
        <v>0</v>
      </c>
      <c r="J123" s="69" t="b">
        <v>0</v>
      </c>
      <c r="K123" s="69" t="b">
        <v>1</v>
      </c>
      <c r="L123" s="69"/>
      <c r="M123" s="69" t="s">
        <v>2041</v>
      </c>
      <c r="N123" s="69" t="s">
        <v>1800</v>
      </c>
      <c r="O123" s="69" t="s">
        <v>2032</v>
      </c>
      <c r="P123" s="69" t="b">
        <v>1</v>
      </c>
      <c r="Q123" s="69" t="b">
        <v>0</v>
      </c>
    </row>
    <row r="124" spans="1:17">
      <c r="A124" s="47" t="s">
        <v>1851</v>
      </c>
      <c r="B124" s="69" t="s">
        <v>48</v>
      </c>
      <c r="C124" s="69" t="s">
        <v>52</v>
      </c>
      <c r="D124" s="69">
        <v>0</v>
      </c>
      <c r="E124" s="69">
        <v>0</v>
      </c>
      <c r="F124" s="69">
        <v>0</v>
      </c>
      <c r="G124" s="69" t="str">
        <f t="shared" si="5"/>
        <v>Buff.Attribute.Green.Near.02.buff.buffeffect.01</v>
      </c>
      <c r="H124" s="69"/>
      <c r="I124" s="69" t="b">
        <v>0</v>
      </c>
      <c r="J124" s="69" t="b">
        <v>0</v>
      </c>
      <c r="K124" s="69" t="b">
        <v>1</v>
      </c>
      <c r="L124" s="69"/>
      <c r="M124" s="69" t="s">
        <v>2041</v>
      </c>
      <c r="N124" s="69" t="s">
        <v>1800</v>
      </c>
      <c r="O124" s="69" t="s">
        <v>2032</v>
      </c>
      <c r="P124" s="69" t="b">
        <v>1</v>
      </c>
      <c r="Q124" s="69" t="b">
        <v>0</v>
      </c>
    </row>
    <row r="125" spans="1:17">
      <c r="A125" s="47" t="s">
        <v>1852</v>
      </c>
      <c r="B125" s="69" t="s">
        <v>48</v>
      </c>
      <c r="C125" s="69" t="s">
        <v>52</v>
      </c>
      <c r="D125" s="69">
        <v>0</v>
      </c>
      <c r="E125" s="69">
        <v>0</v>
      </c>
      <c r="F125" s="69">
        <v>0</v>
      </c>
      <c r="G125" s="69" t="str">
        <f t="shared" si="5"/>
        <v>Buff.Attribute.Green.Near.03.buff.buffeffect.01</v>
      </c>
      <c r="H125" s="69"/>
      <c r="I125" s="69" t="b">
        <v>0</v>
      </c>
      <c r="J125" s="69" t="b">
        <v>0</v>
      </c>
      <c r="K125" s="69" t="b">
        <v>1</v>
      </c>
      <c r="L125" s="69"/>
      <c r="M125" s="69" t="s">
        <v>2041</v>
      </c>
      <c r="N125" s="69" t="s">
        <v>1800</v>
      </c>
      <c r="O125" s="69" t="s">
        <v>2032</v>
      </c>
      <c r="P125" s="69" t="b">
        <v>1</v>
      </c>
      <c r="Q125" s="69" t="b">
        <v>0</v>
      </c>
    </row>
    <row r="126" spans="1:17">
      <c r="A126" s="47" t="s">
        <v>1853</v>
      </c>
      <c r="B126" s="69" t="s">
        <v>48</v>
      </c>
      <c r="C126" s="69" t="s">
        <v>52</v>
      </c>
      <c r="D126" s="69">
        <v>0</v>
      </c>
      <c r="E126" s="69">
        <v>0</v>
      </c>
      <c r="F126" s="69">
        <v>0</v>
      </c>
      <c r="G126" s="69" t="str">
        <f t="shared" si="5"/>
        <v>Buff.Attribute.Green.Near.04.buff.buffeffect.01</v>
      </c>
      <c r="H126" s="69"/>
      <c r="I126" s="69" t="b">
        <v>0</v>
      </c>
      <c r="J126" s="69" t="b">
        <v>0</v>
      </c>
      <c r="K126" s="69" t="b">
        <v>1</v>
      </c>
      <c r="L126" s="69"/>
      <c r="M126" s="69" t="s">
        <v>2041</v>
      </c>
      <c r="N126" s="69" t="s">
        <v>1800</v>
      </c>
      <c r="O126" s="69" t="s">
        <v>2032</v>
      </c>
      <c r="P126" s="69" t="b">
        <v>1</v>
      </c>
      <c r="Q126" s="69" t="b">
        <v>0</v>
      </c>
    </row>
    <row r="127" spans="1:17">
      <c r="A127" s="47" t="s">
        <v>1854</v>
      </c>
      <c r="B127" s="69" t="s">
        <v>48</v>
      </c>
      <c r="C127" s="69" t="s">
        <v>52</v>
      </c>
      <c r="D127" s="69">
        <v>0</v>
      </c>
      <c r="E127" s="69">
        <v>0</v>
      </c>
      <c r="F127" s="69">
        <v>0</v>
      </c>
      <c r="G127" s="69" t="str">
        <f t="shared" si="5"/>
        <v>Buff.Attribute.Green.Near.05.buff.buffeffect.01</v>
      </c>
      <c r="H127" s="69"/>
      <c r="I127" s="69" t="b">
        <v>0</v>
      </c>
      <c r="J127" s="69" t="b">
        <v>0</v>
      </c>
      <c r="K127" s="69" t="b">
        <v>1</v>
      </c>
      <c r="L127" s="69"/>
      <c r="M127" s="69" t="s">
        <v>2041</v>
      </c>
      <c r="N127" s="69" t="s">
        <v>1800</v>
      </c>
      <c r="O127" s="69" t="s">
        <v>2032</v>
      </c>
      <c r="P127" s="69" t="b">
        <v>1</v>
      </c>
      <c r="Q127" s="69" t="b">
        <v>0</v>
      </c>
    </row>
    <row r="128" spans="1:17">
      <c r="A128" s="47" t="s">
        <v>1855</v>
      </c>
      <c r="B128" s="69" t="s">
        <v>48</v>
      </c>
      <c r="C128" s="69" t="s">
        <v>52</v>
      </c>
      <c r="D128" s="69">
        <v>0</v>
      </c>
      <c r="E128" s="69">
        <v>0</v>
      </c>
      <c r="F128" s="69">
        <v>0</v>
      </c>
      <c r="G128" s="69" t="str">
        <f t="shared" ref="G128:G132" si="8">A128&amp;".buffeffect.01"</f>
        <v>Buff.Attribute.Green.Near.06.buff.buffeffect.01</v>
      </c>
      <c r="H128" s="69"/>
      <c r="I128" s="69" t="b">
        <v>0</v>
      </c>
      <c r="J128" s="69" t="b">
        <v>0</v>
      </c>
      <c r="K128" s="69" t="b">
        <v>1</v>
      </c>
      <c r="L128" s="69"/>
      <c r="M128" s="69" t="s">
        <v>2041</v>
      </c>
      <c r="N128" s="69" t="s">
        <v>1800</v>
      </c>
      <c r="O128" s="69" t="s">
        <v>2032</v>
      </c>
      <c r="P128" s="69" t="b">
        <v>1</v>
      </c>
      <c r="Q128" s="69" t="b">
        <v>0</v>
      </c>
    </row>
    <row r="129" spans="1:17">
      <c r="A129" s="47" t="s">
        <v>1856</v>
      </c>
      <c r="B129" s="69" t="s">
        <v>48</v>
      </c>
      <c r="C129" s="69" t="s">
        <v>52</v>
      </c>
      <c r="D129" s="69">
        <v>0</v>
      </c>
      <c r="E129" s="69">
        <v>0</v>
      </c>
      <c r="F129" s="69">
        <v>0</v>
      </c>
      <c r="G129" s="69" t="str">
        <f t="shared" si="8"/>
        <v>Buff.Attribute.Green.Near.07.buff.buffeffect.01</v>
      </c>
      <c r="H129" s="69"/>
      <c r="I129" s="69" t="b">
        <v>0</v>
      </c>
      <c r="J129" s="69" t="b">
        <v>0</v>
      </c>
      <c r="K129" s="69" t="b">
        <v>1</v>
      </c>
      <c r="L129" s="69"/>
      <c r="M129" s="69" t="s">
        <v>2041</v>
      </c>
      <c r="N129" s="69" t="s">
        <v>1800</v>
      </c>
      <c r="O129" s="69" t="s">
        <v>2032</v>
      </c>
      <c r="P129" s="69" t="b">
        <v>1</v>
      </c>
      <c r="Q129" s="69" t="b">
        <v>0</v>
      </c>
    </row>
    <row r="130" spans="1:17">
      <c r="A130" s="47" t="s">
        <v>1857</v>
      </c>
      <c r="B130" s="69" t="s">
        <v>48</v>
      </c>
      <c r="C130" s="69" t="s">
        <v>52</v>
      </c>
      <c r="D130" s="69">
        <v>0</v>
      </c>
      <c r="E130" s="69">
        <v>0</v>
      </c>
      <c r="F130" s="69">
        <v>0</v>
      </c>
      <c r="G130" s="69" t="str">
        <f t="shared" si="8"/>
        <v>Buff.Attribute.Green.Near.08.buff.buffeffect.01</v>
      </c>
      <c r="H130" s="69"/>
      <c r="I130" s="69" t="b">
        <v>0</v>
      </c>
      <c r="J130" s="69" t="b">
        <v>0</v>
      </c>
      <c r="K130" s="69" t="b">
        <v>1</v>
      </c>
      <c r="L130" s="69"/>
      <c r="M130" s="69" t="s">
        <v>2041</v>
      </c>
      <c r="N130" s="69" t="s">
        <v>1800</v>
      </c>
      <c r="O130" s="69" t="s">
        <v>2032</v>
      </c>
      <c r="P130" s="69" t="b">
        <v>1</v>
      </c>
      <c r="Q130" s="69" t="b">
        <v>0</v>
      </c>
    </row>
    <row r="131" spans="1:17">
      <c r="A131" s="47" t="s">
        <v>1954</v>
      </c>
      <c r="B131" s="69" t="s">
        <v>48</v>
      </c>
      <c r="C131" s="69" t="s">
        <v>52</v>
      </c>
      <c r="D131" s="69">
        <v>0</v>
      </c>
      <c r="E131" s="69">
        <v>0</v>
      </c>
      <c r="F131" s="69">
        <v>0</v>
      </c>
      <c r="G131" s="69" t="str">
        <f t="shared" si="8"/>
        <v>Buff.Attribute.Green.Near.09.buff.buffeffect.01</v>
      </c>
      <c r="H131" s="69"/>
      <c r="I131" s="69" t="b">
        <v>0</v>
      </c>
      <c r="J131" s="69" t="b">
        <v>0</v>
      </c>
      <c r="K131" s="69" t="b">
        <v>1</v>
      </c>
      <c r="L131" s="69"/>
      <c r="M131" s="69" t="s">
        <v>2041</v>
      </c>
      <c r="N131" s="69" t="s">
        <v>1800</v>
      </c>
      <c r="O131" s="69" t="s">
        <v>2032</v>
      </c>
      <c r="P131" s="69" t="b">
        <v>1</v>
      </c>
      <c r="Q131" s="69" t="b">
        <v>0</v>
      </c>
    </row>
    <row r="132" spans="1:17">
      <c r="A132" s="47" t="s">
        <v>1955</v>
      </c>
      <c r="B132" s="69" t="s">
        <v>48</v>
      </c>
      <c r="C132" s="69" t="s">
        <v>52</v>
      </c>
      <c r="D132" s="69">
        <v>0</v>
      </c>
      <c r="E132" s="69">
        <v>0</v>
      </c>
      <c r="F132" s="69">
        <v>0</v>
      </c>
      <c r="G132" s="69" t="str">
        <f t="shared" si="8"/>
        <v>Buff.Attribute.Green.Near.10.buff.buffeffect.01</v>
      </c>
      <c r="H132" s="69"/>
      <c r="I132" s="69" t="b">
        <v>0</v>
      </c>
      <c r="J132" s="69" t="b">
        <v>0</v>
      </c>
      <c r="K132" s="69" t="b">
        <v>1</v>
      </c>
      <c r="L132" s="69"/>
      <c r="M132" s="69" t="s">
        <v>2041</v>
      </c>
      <c r="N132" s="69" t="s">
        <v>1800</v>
      </c>
      <c r="O132" s="69" t="s">
        <v>2032</v>
      </c>
      <c r="P132" s="69" t="b">
        <v>1</v>
      </c>
      <c r="Q132" s="69" t="b">
        <v>0</v>
      </c>
    </row>
    <row r="133" spans="1:17">
      <c r="A133" s="36" t="s">
        <v>1858</v>
      </c>
      <c r="B133" s="70" t="s">
        <v>48</v>
      </c>
      <c r="C133" s="70" t="s">
        <v>52</v>
      </c>
      <c r="D133" s="70">
        <v>0</v>
      </c>
      <c r="E133" s="70">
        <v>0</v>
      </c>
      <c r="F133" s="70">
        <v>0</v>
      </c>
      <c r="G133" s="70" t="str">
        <f t="shared" si="5"/>
        <v>Buff.Attribute.Green.Alive.01.buff.buffeffect.01</v>
      </c>
      <c r="H133" s="70"/>
      <c r="I133" s="70" t="b">
        <v>0</v>
      </c>
      <c r="J133" s="70" t="b">
        <v>0</v>
      </c>
      <c r="K133" s="70" t="b">
        <v>1</v>
      </c>
      <c r="L133" s="70"/>
      <c r="M133" s="70" t="s">
        <v>2042</v>
      </c>
      <c r="N133" s="70" t="s">
        <v>1801</v>
      </c>
      <c r="O133" s="70" t="s">
        <v>2033</v>
      </c>
      <c r="P133" s="70" t="b">
        <v>1</v>
      </c>
      <c r="Q133" s="70" t="b">
        <v>0</v>
      </c>
    </row>
    <row r="134" spans="1:17">
      <c r="A134" s="36" t="s">
        <v>1859</v>
      </c>
      <c r="B134" s="70" t="s">
        <v>48</v>
      </c>
      <c r="C134" s="70" t="s">
        <v>52</v>
      </c>
      <c r="D134" s="70">
        <v>0</v>
      </c>
      <c r="E134" s="70">
        <v>0</v>
      </c>
      <c r="F134" s="70">
        <v>0</v>
      </c>
      <c r="G134" s="70" t="str">
        <f t="shared" si="5"/>
        <v>Buff.Attribute.Green.Alive.02.buff.buffeffect.01</v>
      </c>
      <c r="H134" s="70"/>
      <c r="I134" s="70" t="b">
        <v>0</v>
      </c>
      <c r="J134" s="70" t="b">
        <v>0</v>
      </c>
      <c r="K134" s="70" t="b">
        <v>1</v>
      </c>
      <c r="L134" s="70"/>
      <c r="M134" s="70" t="s">
        <v>2042</v>
      </c>
      <c r="N134" s="70" t="s">
        <v>1801</v>
      </c>
      <c r="O134" s="70" t="s">
        <v>2033</v>
      </c>
      <c r="P134" s="70" t="b">
        <v>1</v>
      </c>
      <c r="Q134" s="70" t="b">
        <v>0</v>
      </c>
    </row>
    <row r="135" spans="1:17">
      <c r="A135" s="36" t="s">
        <v>1860</v>
      </c>
      <c r="B135" s="70" t="s">
        <v>48</v>
      </c>
      <c r="C135" s="70" t="s">
        <v>52</v>
      </c>
      <c r="D135" s="70">
        <v>0</v>
      </c>
      <c r="E135" s="70">
        <v>0</v>
      </c>
      <c r="F135" s="70">
        <v>0</v>
      </c>
      <c r="G135" s="70" t="str">
        <f t="shared" si="5"/>
        <v>Buff.Attribute.Green.Alive.03.buff.buffeffect.01</v>
      </c>
      <c r="H135" s="70"/>
      <c r="I135" s="70" t="b">
        <v>0</v>
      </c>
      <c r="J135" s="70" t="b">
        <v>0</v>
      </c>
      <c r="K135" s="70" t="b">
        <v>1</v>
      </c>
      <c r="L135" s="70"/>
      <c r="M135" s="70" t="s">
        <v>2042</v>
      </c>
      <c r="N135" s="70" t="s">
        <v>1801</v>
      </c>
      <c r="O135" s="70" t="s">
        <v>2033</v>
      </c>
      <c r="P135" s="70" t="b">
        <v>1</v>
      </c>
      <c r="Q135" s="70" t="b">
        <v>0</v>
      </c>
    </row>
    <row r="136" spans="1:17">
      <c r="A136" s="36" t="s">
        <v>1861</v>
      </c>
      <c r="B136" s="70" t="s">
        <v>48</v>
      </c>
      <c r="C136" s="70" t="s">
        <v>52</v>
      </c>
      <c r="D136" s="70">
        <v>0</v>
      </c>
      <c r="E136" s="70">
        <v>0</v>
      </c>
      <c r="F136" s="70">
        <v>0</v>
      </c>
      <c r="G136" s="70" t="str">
        <f t="shared" si="5"/>
        <v>Buff.Attribute.Green.Alive.04.buff.buffeffect.01</v>
      </c>
      <c r="H136" s="70"/>
      <c r="I136" s="70" t="b">
        <v>0</v>
      </c>
      <c r="J136" s="70" t="b">
        <v>0</v>
      </c>
      <c r="K136" s="70" t="b">
        <v>1</v>
      </c>
      <c r="L136" s="70"/>
      <c r="M136" s="70" t="s">
        <v>2042</v>
      </c>
      <c r="N136" s="70" t="s">
        <v>1801</v>
      </c>
      <c r="O136" s="70" t="s">
        <v>2033</v>
      </c>
      <c r="P136" s="70" t="b">
        <v>1</v>
      </c>
      <c r="Q136" s="70" t="b">
        <v>0</v>
      </c>
    </row>
    <row r="137" spans="1:17">
      <c r="A137" s="36" t="s">
        <v>1862</v>
      </c>
      <c r="B137" s="70" t="s">
        <v>48</v>
      </c>
      <c r="C137" s="70" t="s">
        <v>52</v>
      </c>
      <c r="D137" s="70">
        <v>0</v>
      </c>
      <c r="E137" s="70">
        <v>0</v>
      </c>
      <c r="F137" s="70">
        <v>0</v>
      </c>
      <c r="G137" s="70" t="str">
        <f t="shared" si="5"/>
        <v>Buff.Attribute.Green.Alive.05.buff.buffeffect.01</v>
      </c>
      <c r="H137" s="70"/>
      <c r="I137" s="70" t="b">
        <v>0</v>
      </c>
      <c r="J137" s="70" t="b">
        <v>0</v>
      </c>
      <c r="K137" s="70" t="b">
        <v>1</v>
      </c>
      <c r="L137" s="70"/>
      <c r="M137" s="70" t="s">
        <v>2042</v>
      </c>
      <c r="N137" s="70" t="s">
        <v>1801</v>
      </c>
      <c r="O137" s="70" t="s">
        <v>2033</v>
      </c>
      <c r="P137" s="70" t="b">
        <v>1</v>
      </c>
      <c r="Q137" s="70" t="b">
        <v>0</v>
      </c>
    </row>
    <row r="138" spans="1:17">
      <c r="A138" s="36" t="s">
        <v>1863</v>
      </c>
      <c r="B138" s="70" t="s">
        <v>48</v>
      </c>
      <c r="C138" s="70" t="s">
        <v>52</v>
      </c>
      <c r="D138" s="70">
        <v>0</v>
      </c>
      <c r="E138" s="70">
        <v>0</v>
      </c>
      <c r="F138" s="70">
        <v>0</v>
      </c>
      <c r="G138" s="70" t="str">
        <f t="shared" ref="G138:G142" si="9">A138&amp;".buffeffect.01"</f>
        <v>Buff.Attribute.Green.Alive.06.buff.buffeffect.01</v>
      </c>
      <c r="H138" s="70"/>
      <c r="I138" s="70" t="b">
        <v>0</v>
      </c>
      <c r="J138" s="70" t="b">
        <v>0</v>
      </c>
      <c r="K138" s="70" t="b">
        <v>1</v>
      </c>
      <c r="L138" s="70"/>
      <c r="M138" s="70" t="s">
        <v>2042</v>
      </c>
      <c r="N138" s="70" t="s">
        <v>1801</v>
      </c>
      <c r="O138" s="70" t="s">
        <v>2033</v>
      </c>
      <c r="P138" s="70" t="b">
        <v>1</v>
      </c>
      <c r="Q138" s="70" t="b">
        <v>0</v>
      </c>
    </row>
    <row r="139" spans="1:17">
      <c r="A139" s="36" t="s">
        <v>1864</v>
      </c>
      <c r="B139" s="70" t="s">
        <v>48</v>
      </c>
      <c r="C139" s="70" t="s">
        <v>52</v>
      </c>
      <c r="D139" s="70">
        <v>0</v>
      </c>
      <c r="E139" s="70">
        <v>0</v>
      </c>
      <c r="F139" s="70">
        <v>0</v>
      </c>
      <c r="G139" s="70" t="str">
        <f t="shared" si="9"/>
        <v>Buff.Attribute.Green.Alive.07.buff.buffeffect.01</v>
      </c>
      <c r="H139" s="70"/>
      <c r="I139" s="70" t="b">
        <v>0</v>
      </c>
      <c r="J139" s="70" t="b">
        <v>0</v>
      </c>
      <c r="K139" s="70" t="b">
        <v>1</v>
      </c>
      <c r="L139" s="70"/>
      <c r="M139" s="70" t="s">
        <v>2042</v>
      </c>
      <c r="N139" s="70" t="s">
        <v>1801</v>
      </c>
      <c r="O139" s="70" t="s">
        <v>2033</v>
      </c>
      <c r="P139" s="70" t="b">
        <v>1</v>
      </c>
      <c r="Q139" s="70" t="b">
        <v>0</v>
      </c>
    </row>
    <row r="140" spans="1:17">
      <c r="A140" s="36" t="s">
        <v>1865</v>
      </c>
      <c r="B140" s="70" t="s">
        <v>48</v>
      </c>
      <c r="C140" s="70" t="s">
        <v>52</v>
      </c>
      <c r="D140" s="70">
        <v>0</v>
      </c>
      <c r="E140" s="70">
        <v>0</v>
      </c>
      <c r="F140" s="70">
        <v>0</v>
      </c>
      <c r="G140" s="70" t="str">
        <f t="shared" si="9"/>
        <v>Buff.Attribute.Green.Alive.08.buff.buffeffect.01</v>
      </c>
      <c r="H140" s="70"/>
      <c r="I140" s="70" t="b">
        <v>0</v>
      </c>
      <c r="J140" s="70" t="b">
        <v>0</v>
      </c>
      <c r="K140" s="70" t="b">
        <v>1</v>
      </c>
      <c r="L140" s="70"/>
      <c r="M140" s="70" t="s">
        <v>2042</v>
      </c>
      <c r="N140" s="70" t="s">
        <v>1801</v>
      </c>
      <c r="O140" s="70" t="s">
        <v>2033</v>
      </c>
      <c r="P140" s="70" t="b">
        <v>1</v>
      </c>
      <c r="Q140" s="70" t="b">
        <v>0</v>
      </c>
    </row>
    <row r="141" spans="1:17">
      <c r="A141" s="36" t="s">
        <v>1956</v>
      </c>
      <c r="B141" s="70" t="s">
        <v>48</v>
      </c>
      <c r="C141" s="70" t="s">
        <v>52</v>
      </c>
      <c r="D141" s="70">
        <v>0</v>
      </c>
      <c r="E141" s="70">
        <v>0</v>
      </c>
      <c r="F141" s="70">
        <v>0</v>
      </c>
      <c r="G141" s="70" t="str">
        <f t="shared" si="9"/>
        <v>Buff.Attribute.Green.Alive.09.buff.buffeffect.01</v>
      </c>
      <c r="H141" s="70"/>
      <c r="I141" s="70" t="b">
        <v>0</v>
      </c>
      <c r="J141" s="70" t="b">
        <v>0</v>
      </c>
      <c r="K141" s="70" t="b">
        <v>1</v>
      </c>
      <c r="L141" s="70"/>
      <c r="M141" s="70" t="s">
        <v>2042</v>
      </c>
      <c r="N141" s="70" t="s">
        <v>1801</v>
      </c>
      <c r="O141" s="70" t="s">
        <v>2033</v>
      </c>
      <c r="P141" s="70" t="b">
        <v>1</v>
      </c>
      <c r="Q141" s="70" t="b">
        <v>0</v>
      </c>
    </row>
    <row r="142" spans="1:17">
      <c r="A142" s="36" t="s">
        <v>1957</v>
      </c>
      <c r="B142" s="70" t="s">
        <v>48</v>
      </c>
      <c r="C142" s="70" t="s">
        <v>52</v>
      </c>
      <c r="D142" s="70">
        <v>0</v>
      </c>
      <c r="E142" s="70">
        <v>0</v>
      </c>
      <c r="F142" s="70">
        <v>0</v>
      </c>
      <c r="G142" s="70" t="str">
        <f t="shared" si="9"/>
        <v>Buff.Attribute.Green.Alive.10.buff.buffeffect.01</v>
      </c>
      <c r="H142" s="70"/>
      <c r="I142" s="70" t="b">
        <v>0</v>
      </c>
      <c r="J142" s="70" t="b">
        <v>0</v>
      </c>
      <c r="K142" s="70" t="b">
        <v>1</v>
      </c>
      <c r="L142" s="70"/>
      <c r="M142" s="70" t="s">
        <v>2042</v>
      </c>
      <c r="N142" s="70" t="s">
        <v>1801</v>
      </c>
      <c r="O142" s="70" t="s">
        <v>2033</v>
      </c>
      <c r="P142" s="70" t="b">
        <v>1</v>
      </c>
      <c r="Q142" s="70" t="b">
        <v>0</v>
      </c>
    </row>
    <row r="143" spans="1:17">
      <c r="A143" s="34" t="s">
        <v>366</v>
      </c>
      <c r="B143" s="71" t="s">
        <v>48</v>
      </c>
      <c r="C143" s="71" t="s">
        <v>54</v>
      </c>
      <c r="D143" s="71">
        <v>0</v>
      </c>
      <c r="E143" s="71">
        <v>0</v>
      </c>
      <c r="F143" s="71">
        <v>0</v>
      </c>
      <c r="G143" s="71" t="s">
        <v>548</v>
      </c>
      <c r="H143" s="71"/>
      <c r="I143" s="71" t="b">
        <v>0</v>
      </c>
      <c r="J143" s="71" t="b">
        <v>0</v>
      </c>
      <c r="K143" s="71" t="b">
        <v>1</v>
      </c>
      <c r="L143" s="71"/>
      <c r="M143" s="71"/>
      <c r="N143" s="71" t="s">
        <v>489</v>
      </c>
      <c r="O143" s="71"/>
      <c r="P143" s="71" t="b">
        <v>1</v>
      </c>
      <c r="Q143" s="71" t="b">
        <v>0</v>
      </c>
    </row>
    <row r="144" spans="1:17">
      <c r="A144" s="34" t="s">
        <v>367</v>
      </c>
      <c r="B144" s="71" t="s">
        <v>48</v>
      </c>
      <c r="C144" s="71" t="s">
        <v>54</v>
      </c>
      <c r="D144" s="71">
        <v>0</v>
      </c>
      <c r="E144" s="71">
        <v>0</v>
      </c>
      <c r="F144" s="71">
        <v>0</v>
      </c>
      <c r="G144" s="71" t="s">
        <v>549</v>
      </c>
      <c r="H144" s="71"/>
      <c r="I144" s="71" t="b">
        <v>0</v>
      </c>
      <c r="J144" s="71" t="b">
        <v>0</v>
      </c>
      <c r="K144" s="71" t="b">
        <v>1</v>
      </c>
      <c r="L144" s="71"/>
      <c r="M144" s="71"/>
      <c r="N144" s="71" t="s">
        <v>489</v>
      </c>
      <c r="O144" s="71"/>
      <c r="P144" s="71" t="b">
        <v>1</v>
      </c>
      <c r="Q144" s="71" t="b">
        <v>0</v>
      </c>
    </row>
    <row r="145" spans="1:17">
      <c r="A145" s="34" t="s">
        <v>368</v>
      </c>
      <c r="B145" s="71" t="s">
        <v>48</v>
      </c>
      <c r="C145" s="71" t="s">
        <v>54</v>
      </c>
      <c r="D145" s="71">
        <v>0</v>
      </c>
      <c r="E145" s="71">
        <v>0</v>
      </c>
      <c r="F145" s="71">
        <v>0</v>
      </c>
      <c r="G145" s="71" t="s">
        <v>550</v>
      </c>
      <c r="H145" s="71"/>
      <c r="I145" s="71" t="b">
        <v>0</v>
      </c>
      <c r="J145" s="71" t="b">
        <v>0</v>
      </c>
      <c r="K145" s="71" t="b">
        <v>1</v>
      </c>
      <c r="L145" s="71"/>
      <c r="M145" s="71"/>
      <c r="N145" s="71" t="s">
        <v>489</v>
      </c>
      <c r="O145" s="71"/>
      <c r="P145" s="71" t="b">
        <v>1</v>
      </c>
      <c r="Q145" s="71" t="b">
        <v>0</v>
      </c>
    </row>
    <row r="146" spans="1:17">
      <c r="A146" s="34" t="s">
        <v>369</v>
      </c>
      <c r="B146" s="71" t="s">
        <v>48</v>
      </c>
      <c r="C146" s="71" t="s">
        <v>54</v>
      </c>
      <c r="D146" s="71">
        <v>0</v>
      </c>
      <c r="E146" s="71">
        <v>0</v>
      </c>
      <c r="F146" s="71">
        <v>0</v>
      </c>
      <c r="G146" s="71" t="s">
        <v>551</v>
      </c>
      <c r="H146" s="71"/>
      <c r="I146" s="71" t="b">
        <v>0</v>
      </c>
      <c r="J146" s="71" t="b">
        <v>0</v>
      </c>
      <c r="K146" s="71" t="b">
        <v>1</v>
      </c>
      <c r="L146" s="71"/>
      <c r="M146" s="71"/>
      <c r="N146" s="71" t="s">
        <v>489</v>
      </c>
      <c r="O146" s="71"/>
      <c r="P146" s="71" t="b">
        <v>1</v>
      </c>
      <c r="Q146" s="71" t="b">
        <v>0</v>
      </c>
    </row>
    <row r="147" spans="1:17">
      <c r="A147" s="34" t="s">
        <v>370</v>
      </c>
      <c r="B147" s="71" t="s">
        <v>48</v>
      </c>
      <c r="C147" s="71" t="s">
        <v>54</v>
      </c>
      <c r="D147" s="71">
        <v>0</v>
      </c>
      <c r="E147" s="71">
        <v>0</v>
      </c>
      <c r="F147" s="71">
        <v>0</v>
      </c>
      <c r="G147" s="71" t="s">
        <v>552</v>
      </c>
      <c r="H147" s="71"/>
      <c r="I147" s="71" t="b">
        <v>0</v>
      </c>
      <c r="J147" s="71" t="b">
        <v>0</v>
      </c>
      <c r="K147" s="71" t="b">
        <v>1</v>
      </c>
      <c r="L147" s="71"/>
      <c r="M147" s="71"/>
      <c r="N147" s="71" t="s">
        <v>489</v>
      </c>
      <c r="O147" s="71"/>
      <c r="P147" s="71" t="b">
        <v>1</v>
      </c>
      <c r="Q147" s="71" t="b">
        <v>0</v>
      </c>
    </row>
    <row r="148" spans="1:17">
      <c r="A148" s="34" t="s">
        <v>371</v>
      </c>
      <c r="B148" s="71" t="s">
        <v>48</v>
      </c>
      <c r="C148" s="71" t="s">
        <v>54</v>
      </c>
      <c r="D148" s="71">
        <v>0</v>
      </c>
      <c r="E148" s="71">
        <v>0</v>
      </c>
      <c r="F148" s="71">
        <v>0</v>
      </c>
      <c r="G148" s="71" t="s">
        <v>553</v>
      </c>
      <c r="H148" s="71"/>
      <c r="I148" s="71" t="b">
        <v>0</v>
      </c>
      <c r="J148" s="71" t="b">
        <v>0</v>
      </c>
      <c r="K148" s="71" t="b">
        <v>1</v>
      </c>
      <c r="L148" s="71"/>
      <c r="M148" s="71"/>
      <c r="N148" s="71" t="s">
        <v>489</v>
      </c>
      <c r="O148" s="71"/>
      <c r="P148" s="71" t="b">
        <v>1</v>
      </c>
      <c r="Q148" s="71" t="b">
        <v>0</v>
      </c>
    </row>
    <row r="149" spans="1:17">
      <c r="A149" s="34" t="s">
        <v>372</v>
      </c>
      <c r="B149" s="71" t="s">
        <v>48</v>
      </c>
      <c r="C149" s="71" t="s">
        <v>54</v>
      </c>
      <c r="D149" s="71">
        <v>0</v>
      </c>
      <c r="E149" s="71">
        <v>0</v>
      </c>
      <c r="F149" s="71">
        <v>0</v>
      </c>
      <c r="G149" s="71" t="s">
        <v>554</v>
      </c>
      <c r="H149" s="71"/>
      <c r="I149" s="71" t="b">
        <v>0</v>
      </c>
      <c r="J149" s="71" t="b">
        <v>0</v>
      </c>
      <c r="K149" s="71" t="b">
        <v>1</v>
      </c>
      <c r="L149" s="71"/>
      <c r="M149" s="71"/>
      <c r="N149" s="71" t="s">
        <v>489</v>
      </c>
      <c r="O149" s="71"/>
      <c r="P149" s="71" t="b">
        <v>1</v>
      </c>
      <c r="Q149" s="71" t="b">
        <v>0</v>
      </c>
    </row>
    <row r="150" spans="1:17">
      <c r="A150" s="34" t="s">
        <v>373</v>
      </c>
      <c r="B150" s="71" t="s">
        <v>48</v>
      </c>
      <c r="C150" s="71" t="s">
        <v>54</v>
      </c>
      <c r="D150" s="71">
        <v>0</v>
      </c>
      <c r="E150" s="71">
        <v>0</v>
      </c>
      <c r="F150" s="71">
        <v>0</v>
      </c>
      <c r="G150" s="71" t="s">
        <v>555</v>
      </c>
      <c r="H150" s="71"/>
      <c r="I150" s="71" t="b">
        <v>0</v>
      </c>
      <c r="J150" s="71" t="b">
        <v>0</v>
      </c>
      <c r="K150" s="71" t="b">
        <v>1</v>
      </c>
      <c r="L150" s="71"/>
      <c r="M150" s="71"/>
      <c r="N150" s="71" t="s">
        <v>489</v>
      </c>
      <c r="O150" s="71"/>
      <c r="P150" s="71" t="b">
        <v>1</v>
      </c>
      <c r="Q150" s="71" t="b">
        <v>0</v>
      </c>
    </row>
    <row r="151" spans="1:17">
      <c r="A151" s="34" t="s">
        <v>374</v>
      </c>
      <c r="B151" s="71" t="s">
        <v>48</v>
      </c>
      <c r="C151" s="71" t="s">
        <v>54</v>
      </c>
      <c r="D151" s="71">
        <v>0</v>
      </c>
      <c r="E151" s="71">
        <v>0</v>
      </c>
      <c r="F151" s="71">
        <v>0</v>
      </c>
      <c r="G151" s="71" t="s">
        <v>556</v>
      </c>
      <c r="H151" s="71"/>
      <c r="I151" s="71" t="b">
        <v>0</v>
      </c>
      <c r="J151" s="71" t="b">
        <v>0</v>
      </c>
      <c r="K151" s="71" t="b">
        <v>1</v>
      </c>
      <c r="L151" s="71"/>
      <c r="M151" s="71"/>
      <c r="N151" s="71" t="s">
        <v>489</v>
      </c>
      <c r="O151" s="71"/>
      <c r="P151" s="71" t="b">
        <v>1</v>
      </c>
      <c r="Q151" s="71" t="b">
        <v>0</v>
      </c>
    </row>
    <row r="152" spans="1:17">
      <c r="A152" s="34" t="s">
        <v>375</v>
      </c>
      <c r="B152" s="71" t="s">
        <v>48</v>
      </c>
      <c r="C152" s="71" t="s">
        <v>54</v>
      </c>
      <c r="D152" s="71">
        <v>0</v>
      </c>
      <c r="E152" s="71">
        <v>0</v>
      </c>
      <c r="F152" s="71">
        <v>0</v>
      </c>
      <c r="G152" s="71" t="s">
        <v>557</v>
      </c>
      <c r="H152" s="71"/>
      <c r="I152" s="71" t="b">
        <v>0</v>
      </c>
      <c r="J152" s="71" t="b">
        <v>0</v>
      </c>
      <c r="K152" s="71" t="b">
        <v>1</v>
      </c>
      <c r="L152" s="71"/>
      <c r="M152" s="71"/>
      <c r="N152" s="71" t="s">
        <v>489</v>
      </c>
      <c r="O152" s="71"/>
      <c r="P152" s="71" t="b">
        <v>1</v>
      </c>
      <c r="Q152" s="71" t="b">
        <v>0</v>
      </c>
    </row>
    <row r="153" spans="1:17">
      <c r="A153" s="34" t="s">
        <v>376</v>
      </c>
      <c r="B153" s="71" t="s">
        <v>48</v>
      </c>
      <c r="C153" s="71" t="s">
        <v>54</v>
      </c>
      <c r="D153" s="71">
        <v>0</v>
      </c>
      <c r="E153" s="71">
        <v>0</v>
      </c>
      <c r="F153" s="71">
        <v>0</v>
      </c>
      <c r="G153" s="71" t="s">
        <v>558</v>
      </c>
      <c r="H153" s="71"/>
      <c r="I153" s="71" t="b">
        <v>0</v>
      </c>
      <c r="J153" s="71" t="b">
        <v>0</v>
      </c>
      <c r="K153" s="71" t="b">
        <v>1</v>
      </c>
      <c r="L153" s="71"/>
      <c r="M153" s="71"/>
      <c r="N153" s="71" t="s">
        <v>489</v>
      </c>
      <c r="O153" s="71"/>
      <c r="P153" s="71" t="b">
        <v>1</v>
      </c>
      <c r="Q153" s="71" t="b">
        <v>0</v>
      </c>
    </row>
    <row r="154" spans="1:17">
      <c r="A154" s="34" t="s">
        <v>377</v>
      </c>
      <c r="B154" s="71" t="s">
        <v>48</v>
      </c>
      <c r="C154" s="71" t="s">
        <v>54</v>
      </c>
      <c r="D154" s="71">
        <v>0</v>
      </c>
      <c r="E154" s="71">
        <v>0</v>
      </c>
      <c r="F154" s="71">
        <v>0</v>
      </c>
      <c r="G154" s="71" t="s">
        <v>559</v>
      </c>
      <c r="H154" s="71"/>
      <c r="I154" s="71" t="b">
        <v>0</v>
      </c>
      <c r="J154" s="71" t="b">
        <v>0</v>
      </c>
      <c r="K154" s="71" t="b">
        <v>1</v>
      </c>
      <c r="L154" s="71"/>
      <c r="M154" s="71"/>
      <c r="N154" s="71" t="s">
        <v>489</v>
      </c>
      <c r="O154" s="71"/>
      <c r="P154" s="71" t="b">
        <v>1</v>
      </c>
      <c r="Q154" s="71" t="b">
        <v>0</v>
      </c>
    </row>
    <row r="155" spans="1:17">
      <c r="A155" s="34" t="s">
        <v>378</v>
      </c>
      <c r="B155" s="71" t="s">
        <v>48</v>
      </c>
      <c r="C155" s="71" t="s">
        <v>54</v>
      </c>
      <c r="D155" s="71">
        <v>0</v>
      </c>
      <c r="E155" s="71">
        <v>0</v>
      </c>
      <c r="F155" s="71">
        <v>0</v>
      </c>
      <c r="G155" s="71" t="s">
        <v>560</v>
      </c>
      <c r="H155" s="71"/>
      <c r="I155" s="71" t="b">
        <v>0</v>
      </c>
      <c r="J155" s="71" t="b">
        <v>0</v>
      </c>
      <c r="K155" s="71" t="b">
        <v>1</v>
      </c>
      <c r="L155" s="71"/>
      <c r="M155" s="71"/>
      <c r="N155" s="71" t="s">
        <v>489</v>
      </c>
      <c r="O155" s="71"/>
      <c r="P155" s="71" t="b">
        <v>1</v>
      </c>
      <c r="Q155" s="71" t="b">
        <v>0</v>
      </c>
    </row>
    <row r="156" spans="1:17">
      <c r="A156" s="34" t="s">
        <v>379</v>
      </c>
      <c r="B156" s="71" t="s">
        <v>48</v>
      </c>
      <c r="C156" s="71" t="s">
        <v>54</v>
      </c>
      <c r="D156" s="71">
        <v>0</v>
      </c>
      <c r="E156" s="71">
        <v>0</v>
      </c>
      <c r="F156" s="71">
        <v>0</v>
      </c>
      <c r="G156" s="71" t="s">
        <v>561</v>
      </c>
      <c r="H156" s="71"/>
      <c r="I156" s="71" t="b">
        <v>0</v>
      </c>
      <c r="J156" s="71" t="b">
        <v>0</v>
      </c>
      <c r="K156" s="71" t="b">
        <v>1</v>
      </c>
      <c r="L156" s="71"/>
      <c r="M156" s="71"/>
      <c r="N156" s="71" t="s">
        <v>489</v>
      </c>
      <c r="O156" s="71"/>
      <c r="P156" s="71" t="b">
        <v>1</v>
      </c>
      <c r="Q156" s="71" t="b">
        <v>0</v>
      </c>
    </row>
    <row r="157" spans="1:17">
      <c r="A157" s="34" t="s">
        <v>380</v>
      </c>
      <c r="B157" s="71" t="s">
        <v>48</v>
      </c>
      <c r="C157" s="71" t="s">
        <v>54</v>
      </c>
      <c r="D157" s="71">
        <v>0</v>
      </c>
      <c r="E157" s="71">
        <v>0</v>
      </c>
      <c r="F157" s="71">
        <v>0</v>
      </c>
      <c r="G157" s="71" t="s">
        <v>562</v>
      </c>
      <c r="H157" s="71"/>
      <c r="I157" s="71" t="b">
        <v>0</v>
      </c>
      <c r="J157" s="71" t="b">
        <v>0</v>
      </c>
      <c r="K157" s="71" t="b">
        <v>1</v>
      </c>
      <c r="L157" s="71"/>
      <c r="M157" s="71"/>
      <c r="N157" s="71" t="s">
        <v>489</v>
      </c>
      <c r="O157" s="71"/>
      <c r="P157" s="71" t="b">
        <v>1</v>
      </c>
      <c r="Q157" s="71" t="b">
        <v>0</v>
      </c>
    </row>
    <row r="158" spans="1:17">
      <c r="A158" s="34" t="s">
        <v>381</v>
      </c>
      <c r="B158" s="71" t="s">
        <v>48</v>
      </c>
      <c r="C158" s="71" t="s">
        <v>54</v>
      </c>
      <c r="D158" s="71">
        <v>0</v>
      </c>
      <c r="E158" s="71">
        <v>0</v>
      </c>
      <c r="F158" s="71">
        <v>0</v>
      </c>
      <c r="G158" s="71" t="s">
        <v>563</v>
      </c>
      <c r="H158" s="71"/>
      <c r="I158" s="71" t="b">
        <v>0</v>
      </c>
      <c r="J158" s="71" t="b">
        <v>0</v>
      </c>
      <c r="K158" s="71" t="b">
        <v>1</v>
      </c>
      <c r="L158" s="71"/>
      <c r="M158" s="71"/>
      <c r="N158" s="71" t="s">
        <v>489</v>
      </c>
      <c r="O158" s="71"/>
      <c r="P158" s="71" t="b">
        <v>1</v>
      </c>
      <c r="Q158" s="71" t="b">
        <v>0</v>
      </c>
    </row>
    <row r="159" spans="1:17">
      <c r="A159" s="34" t="s">
        <v>382</v>
      </c>
      <c r="B159" s="71" t="s">
        <v>48</v>
      </c>
      <c r="C159" s="71" t="s">
        <v>54</v>
      </c>
      <c r="D159" s="71">
        <v>0</v>
      </c>
      <c r="E159" s="71">
        <v>0</v>
      </c>
      <c r="F159" s="71">
        <v>0</v>
      </c>
      <c r="G159" s="71" t="s">
        <v>564</v>
      </c>
      <c r="H159" s="71"/>
      <c r="I159" s="71" t="b">
        <v>0</v>
      </c>
      <c r="J159" s="71" t="b">
        <v>0</v>
      </c>
      <c r="K159" s="71" t="b">
        <v>1</v>
      </c>
      <c r="L159" s="71"/>
      <c r="M159" s="71"/>
      <c r="N159" s="71" t="s">
        <v>489</v>
      </c>
      <c r="O159" s="71"/>
      <c r="P159" s="71" t="b">
        <v>1</v>
      </c>
      <c r="Q159" s="71" t="b">
        <v>0</v>
      </c>
    </row>
    <row r="160" spans="1:17">
      <c r="A160" s="34" t="s">
        <v>383</v>
      </c>
      <c r="B160" s="71" t="s">
        <v>48</v>
      </c>
      <c r="C160" s="71" t="s">
        <v>54</v>
      </c>
      <c r="D160" s="71">
        <v>0</v>
      </c>
      <c r="E160" s="71">
        <v>0</v>
      </c>
      <c r="F160" s="71">
        <v>0</v>
      </c>
      <c r="G160" s="71" t="s">
        <v>565</v>
      </c>
      <c r="H160" s="71"/>
      <c r="I160" s="71" t="b">
        <v>0</v>
      </c>
      <c r="J160" s="71" t="b">
        <v>0</v>
      </c>
      <c r="K160" s="71" t="b">
        <v>1</v>
      </c>
      <c r="L160" s="71"/>
      <c r="M160" s="71"/>
      <c r="N160" s="71" t="s">
        <v>489</v>
      </c>
      <c r="O160" s="71"/>
      <c r="P160" s="71" t="b">
        <v>1</v>
      </c>
      <c r="Q160" s="71" t="b">
        <v>0</v>
      </c>
    </row>
    <row r="161" spans="1:17">
      <c r="A161" s="34" t="s">
        <v>384</v>
      </c>
      <c r="B161" s="71" t="s">
        <v>48</v>
      </c>
      <c r="C161" s="71" t="s">
        <v>54</v>
      </c>
      <c r="D161" s="71">
        <v>0</v>
      </c>
      <c r="E161" s="71">
        <v>0</v>
      </c>
      <c r="F161" s="71">
        <v>0</v>
      </c>
      <c r="G161" s="71" t="s">
        <v>566</v>
      </c>
      <c r="H161" s="71"/>
      <c r="I161" s="71" t="b">
        <v>0</v>
      </c>
      <c r="J161" s="71" t="b">
        <v>0</v>
      </c>
      <c r="K161" s="71" t="b">
        <v>1</v>
      </c>
      <c r="L161" s="71"/>
      <c r="M161" s="71"/>
      <c r="N161" s="71" t="s">
        <v>489</v>
      </c>
      <c r="O161" s="71"/>
      <c r="P161" s="71" t="b">
        <v>1</v>
      </c>
      <c r="Q161" s="71" t="b">
        <v>0</v>
      </c>
    </row>
    <row r="162" spans="1:17">
      <c r="A162" s="34" t="s">
        <v>385</v>
      </c>
      <c r="B162" s="71" t="s">
        <v>48</v>
      </c>
      <c r="C162" s="71" t="s">
        <v>54</v>
      </c>
      <c r="D162" s="71">
        <v>0</v>
      </c>
      <c r="E162" s="71">
        <v>0</v>
      </c>
      <c r="F162" s="71">
        <v>0</v>
      </c>
      <c r="G162" s="71" t="s">
        <v>567</v>
      </c>
      <c r="H162" s="71"/>
      <c r="I162" s="71" t="b">
        <v>0</v>
      </c>
      <c r="J162" s="71" t="b">
        <v>0</v>
      </c>
      <c r="K162" s="71" t="b">
        <v>1</v>
      </c>
      <c r="L162" s="71"/>
      <c r="M162" s="71"/>
      <c r="N162" s="71" t="s">
        <v>489</v>
      </c>
      <c r="O162" s="71"/>
      <c r="P162" s="71" t="b">
        <v>1</v>
      </c>
      <c r="Q162" s="71" t="b">
        <v>0</v>
      </c>
    </row>
    <row r="163" spans="1:17">
      <c r="A163" s="34" t="s">
        <v>386</v>
      </c>
      <c r="B163" s="71" t="s">
        <v>48</v>
      </c>
      <c r="C163" s="71" t="s">
        <v>54</v>
      </c>
      <c r="D163" s="71">
        <v>0</v>
      </c>
      <c r="E163" s="71">
        <v>0</v>
      </c>
      <c r="F163" s="71">
        <v>0</v>
      </c>
      <c r="G163" s="71" t="s">
        <v>568</v>
      </c>
      <c r="H163" s="71"/>
      <c r="I163" s="71" t="b">
        <v>0</v>
      </c>
      <c r="J163" s="71" t="b">
        <v>0</v>
      </c>
      <c r="K163" s="71" t="b">
        <v>1</v>
      </c>
      <c r="L163" s="71"/>
      <c r="M163" s="71"/>
      <c r="N163" s="71" t="s">
        <v>489</v>
      </c>
      <c r="O163" s="71"/>
      <c r="P163" s="71" t="b">
        <v>1</v>
      </c>
      <c r="Q163" s="71" t="b">
        <v>0</v>
      </c>
    </row>
    <row r="164" spans="1:17">
      <c r="A164" s="34" t="s">
        <v>387</v>
      </c>
      <c r="B164" s="71" t="s">
        <v>48</v>
      </c>
      <c r="C164" s="71" t="s">
        <v>54</v>
      </c>
      <c r="D164" s="71">
        <v>0</v>
      </c>
      <c r="E164" s="71">
        <v>0</v>
      </c>
      <c r="F164" s="71">
        <v>0</v>
      </c>
      <c r="G164" s="71" t="s">
        <v>569</v>
      </c>
      <c r="H164" s="71"/>
      <c r="I164" s="71" t="b">
        <v>0</v>
      </c>
      <c r="J164" s="71" t="b">
        <v>0</v>
      </c>
      <c r="K164" s="71" t="b">
        <v>1</v>
      </c>
      <c r="L164" s="71"/>
      <c r="M164" s="71"/>
      <c r="N164" s="71" t="s">
        <v>489</v>
      </c>
      <c r="O164" s="71"/>
      <c r="P164" s="71" t="b">
        <v>1</v>
      </c>
      <c r="Q164" s="71" t="b">
        <v>0</v>
      </c>
    </row>
    <row r="165" spans="1:17">
      <c r="A165" s="34" t="s">
        <v>388</v>
      </c>
      <c r="B165" s="71" t="s">
        <v>48</v>
      </c>
      <c r="C165" s="71" t="s">
        <v>54</v>
      </c>
      <c r="D165" s="71">
        <v>0</v>
      </c>
      <c r="E165" s="71">
        <v>0</v>
      </c>
      <c r="F165" s="71">
        <v>0</v>
      </c>
      <c r="G165" s="71" t="s">
        <v>570</v>
      </c>
      <c r="H165" s="71"/>
      <c r="I165" s="71" t="b">
        <v>0</v>
      </c>
      <c r="J165" s="71" t="b">
        <v>0</v>
      </c>
      <c r="K165" s="71" t="b">
        <v>1</v>
      </c>
      <c r="L165" s="71"/>
      <c r="M165" s="71"/>
      <c r="N165" s="71" t="s">
        <v>489</v>
      </c>
      <c r="O165" s="71"/>
      <c r="P165" s="71" t="b">
        <v>1</v>
      </c>
      <c r="Q165" s="71" t="b">
        <v>0</v>
      </c>
    </row>
    <row r="166" spans="1:17">
      <c r="A166" s="34" t="s">
        <v>389</v>
      </c>
      <c r="B166" s="71" t="s">
        <v>48</v>
      </c>
      <c r="C166" s="71" t="s">
        <v>54</v>
      </c>
      <c r="D166" s="71">
        <v>0</v>
      </c>
      <c r="E166" s="71">
        <v>0</v>
      </c>
      <c r="F166" s="71">
        <v>0</v>
      </c>
      <c r="G166" s="71" t="s">
        <v>571</v>
      </c>
      <c r="H166" s="71"/>
      <c r="I166" s="71" t="b">
        <v>0</v>
      </c>
      <c r="J166" s="71" t="b">
        <v>0</v>
      </c>
      <c r="K166" s="71" t="b">
        <v>1</v>
      </c>
      <c r="L166" s="71"/>
      <c r="M166" s="71"/>
      <c r="N166" s="71" t="s">
        <v>489</v>
      </c>
      <c r="O166" s="71"/>
      <c r="P166" s="71" t="b">
        <v>1</v>
      </c>
      <c r="Q166" s="71" t="b">
        <v>0</v>
      </c>
    </row>
    <row r="167" spans="1:17">
      <c r="A167" s="34" t="s">
        <v>390</v>
      </c>
      <c r="B167" s="71" t="s">
        <v>48</v>
      </c>
      <c r="C167" s="71" t="s">
        <v>54</v>
      </c>
      <c r="D167" s="71">
        <v>0</v>
      </c>
      <c r="E167" s="71">
        <v>0</v>
      </c>
      <c r="F167" s="71">
        <v>0</v>
      </c>
      <c r="G167" s="71" t="s">
        <v>572</v>
      </c>
      <c r="H167" s="71"/>
      <c r="I167" s="71" t="b">
        <v>0</v>
      </c>
      <c r="J167" s="71" t="b">
        <v>0</v>
      </c>
      <c r="K167" s="71" t="b">
        <v>1</v>
      </c>
      <c r="L167" s="71"/>
      <c r="M167" s="71"/>
      <c r="N167" s="71" t="s">
        <v>489</v>
      </c>
      <c r="O167" s="71"/>
      <c r="P167" s="71" t="b">
        <v>1</v>
      </c>
      <c r="Q167" s="71" t="b">
        <v>0</v>
      </c>
    </row>
    <row r="168" spans="1:17">
      <c r="A168" s="34" t="s">
        <v>391</v>
      </c>
      <c r="B168" s="71" t="s">
        <v>48</v>
      </c>
      <c r="C168" s="71" t="s">
        <v>54</v>
      </c>
      <c r="D168" s="71">
        <v>0</v>
      </c>
      <c r="E168" s="71">
        <v>0</v>
      </c>
      <c r="F168" s="71">
        <v>0</v>
      </c>
      <c r="G168" s="71" t="s">
        <v>573</v>
      </c>
      <c r="H168" s="71"/>
      <c r="I168" s="71" t="b">
        <v>0</v>
      </c>
      <c r="J168" s="71" t="b">
        <v>0</v>
      </c>
      <c r="K168" s="71" t="b">
        <v>1</v>
      </c>
      <c r="L168" s="71"/>
      <c r="M168" s="71"/>
      <c r="N168" s="71" t="s">
        <v>489</v>
      </c>
      <c r="O168" s="71"/>
      <c r="P168" s="71" t="b">
        <v>1</v>
      </c>
      <c r="Q168" s="71" t="b">
        <v>0</v>
      </c>
    </row>
    <row r="169" spans="1:17">
      <c r="A169" s="34" t="s">
        <v>392</v>
      </c>
      <c r="B169" s="71" t="s">
        <v>48</v>
      </c>
      <c r="C169" s="71" t="s">
        <v>54</v>
      </c>
      <c r="D169" s="71">
        <v>0</v>
      </c>
      <c r="E169" s="71">
        <v>0</v>
      </c>
      <c r="F169" s="71">
        <v>0</v>
      </c>
      <c r="G169" s="71" t="s">
        <v>574</v>
      </c>
      <c r="H169" s="71"/>
      <c r="I169" s="71" t="b">
        <v>0</v>
      </c>
      <c r="J169" s="71" t="b">
        <v>0</v>
      </c>
      <c r="K169" s="71" t="b">
        <v>1</v>
      </c>
      <c r="L169" s="71"/>
      <c r="M169" s="71"/>
      <c r="N169" s="71" t="s">
        <v>489</v>
      </c>
      <c r="O169" s="71"/>
      <c r="P169" s="71" t="b">
        <v>1</v>
      </c>
      <c r="Q169" s="71" t="b">
        <v>0</v>
      </c>
    </row>
    <row r="170" spans="1:17">
      <c r="A170" s="34" t="s">
        <v>393</v>
      </c>
      <c r="B170" s="71" t="s">
        <v>48</v>
      </c>
      <c r="C170" s="71" t="s">
        <v>54</v>
      </c>
      <c r="D170" s="71">
        <v>0</v>
      </c>
      <c r="E170" s="71">
        <v>0</v>
      </c>
      <c r="F170" s="71">
        <v>0</v>
      </c>
      <c r="G170" s="71" t="s">
        <v>575</v>
      </c>
      <c r="H170" s="71"/>
      <c r="I170" s="71" t="b">
        <v>0</v>
      </c>
      <c r="J170" s="71" t="b">
        <v>0</v>
      </c>
      <c r="K170" s="71" t="b">
        <v>1</v>
      </c>
      <c r="L170" s="71"/>
      <c r="M170" s="71"/>
      <c r="N170" s="71" t="s">
        <v>489</v>
      </c>
      <c r="O170" s="71"/>
      <c r="P170" s="71" t="b">
        <v>1</v>
      </c>
      <c r="Q170" s="71" t="b">
        <v>0</v>
      </c>
    </row>
    <row r="171" spans="1:17">
      <c r="A171" s="34" t="s">
        <v>394</v>
      </c>
      <c r="B171" s="71" t="s">
        <v>48</v>
      </c>
      <c r="C171" s="71" t="s">
        <v>54</v>
      </c>
      <c r="D171" s="71">
        <v>0</v>
      </c>
      <c r="E171" s="71">
        <v>0</v>
      </c>
      <c r="F171" s="71">
        <v>0</v>
      </c>
      <c r="G171" s="71" t="s">
        <v>576</v>
      </c>
      <c r="H171" s="71"/>
      <c r="I171" s="71" t="b">
        <v>0</v>
      </c>
      <c r="J171" s="71" t="b">
        <v>0</v>
      </c>
      <c r="K171" s="71" t="b">
        <v>1</v>
      </c>
      <c r="L171" s="71"/>
      <c r="M171" s="71"/>
      <c r="N171" s="71" t="s">
        <v>489</v>
      </c>
      <c r="O171" s="71"/>
      <c r="P171" s="71" t="b">
        <v>1</v>
      </c>
      <c r="Q171" s="71" t="b">
        <v>0</v>
      </c>
    </row>
    <row r="172" spans="1:17">
      <c r="A172" s="67" t="s">
        <v>1802</v>
      </c>
      <c r="B172" s="68" t="s">
        <v>48</v>
      </c>
      <c r="C172" s="68" t="s">
        <v>53</v>
      </c>
      <c r="D172" s="68">
        <v>0</v>
      </c>
      <c r="E172" s="68">
        <v>0</v>
      </c>
      <c r="F172" s="68">
        <v>0</v>
      </c>
      <c r="G172" s="68" t="str">
        <f>A172&amp;".buffeffect.01"</f>
        <v>Buff.Attribute.Blue.Area.01.buff.buffeffect.01</v>
      </c>
      <c r="H172" s="68"/>
      <c r="I172" s="68" t="b">
        <v>0</v>
      </c>
      <c r="J172" s="68" t="b">
        <v>0</v>
      </c>
      <c r="K172" s="68" t="b">
        <v>1</v>
      </c>
      <c r="L172" s="68"/>
      <c r="M172" s="68" t="s">
        <v>2039</v>
      </c>
      <c r="N172" s="68" t="s">
        <v>1798</v>
      </c>
      <c r="O172" s="68" t="s">
        <v>2034</v>
      </c>
      <c r="P172" s="68" t="b">
        <v>1</v>
      </c>
      <c r="Q172" s="68" t="b">
        <v>0</v>
      </c>
    </row>
    <row r="173" spans="1:17">
      <c r="A173" s="67" t="s">
        <v>1803</v>
      </c>
      <c r="B173" s="68" t="s">
        <v>48</v>
      </c>
      <c r="C173" s="68" t="s">
        <v>53</v>
      </c>
      <c r="D173" s="68">
        <v>0</v>
      </c>
      <c r="E173" s="68">
        <v>0</v>
      </c>
      <c r="F173" s="68">
        <v>0</v>
      </c>
      <c r="G173" s="68" t="str">
        <f t="shared" ref="G173:G206" si="10">A173&amp;".buffeffect.01"</f>
        <v>Buff.Attribute.Blue.Area.02.buff.buffeffect.01</v>
      </c>
      <c r="H173" s="68"/>
      <c r="I173" s="68" t="b">
        <v>0</v>
      </c>
      <c r="J173" s="68" t="b">
        <v>0</v>
      </c>
      <c r="K173" s="68" t="b">
        <v>1</v>
      </c>
      <c r="L173" s="68"/>
      <c r="M173" s="68" t="s">
        <v>2039</v>
      </c>
      <c r="N173" s="68" t="s">
        <v>1798</v>
      </c>
      <c r="O173" s="68" t="s">
        <v>2034</v>
      </c>
      <c r="P173" s="68" t="b">
        <v>1</v>
      </c>
      <c r="Q173" s="68" t="b">
        <v>0</v>
      </c>
    </row>
    <row r="174" spans="1:17">
      <c r="A174" s="67" t="s">
        <v>1804</v>
      </c>
      <c r="B174" s="68" t="s">
        <v>48</v>
      </c>
      <c r="C174" s="68" t="s">
        <v>53</v>
      </c>
      <c r="D174" s="68">
        <v>0</v>
      </c>
      <c r="E174" s="68">
        <v>0</v>
      </c>
      <c r="F174" s="68">
        <v>0</v>
      </c>
      <c r="G174" s="68" t="str">
        <f t="shared" si="10"/>
        <v>Buff.Attribute.Blue.Area.03.buff.buffeffect.01</v>
      </c>
      <c r="H174" s="68"/>
      <c r="I174" s="68" t="b">
        <v>0</v>
      </c>
      <c r="J174" s="68" t="b">
        <v>0</v>
      </c>
      <c r="K174" s="68" t="b">
        <v>1</v>
      </c>
      <c r="L174" s="68"/>
      <c r="M174" s="68" t="s">
        <v>2039</v>
      </c>
      <c r="N174" s="68" t="s">
        <v>1798</v>
      </c>
      <c r="O174" s="68" t="s">
        <v>2034</v>
      </c>
      <c r="P174" s="68" t="b">
        <v>1</v>
      </c>
      <c r="Q174" s="68" t="b">
        <v>0</v>
      </c>
    </row>
    <row r="175" spans="1:17">
      <c r="A175" s="67" t="s">
        <v>1805</v>
      </c>
      <c r="B175" s="68" t="s">
        <v>48</v>
      </c>
      <c r="C175" s="68" t="s">
        <v>53</v>
      </c>
      <c r="D175" s="68">
        <v>0</v>
      </c>
      <c r="E175" s="68">
        <v>0</v>
      </c>
      <c r="F175" s="68">
        <v>0</v>
      </c>
      <c r="G175" s="68" t="str">
        <f t="shared" si="10"/>
        <v>Buff.Attribute.Blue.Area.04.buff.buffeffect.01</v>
      </c>
      <c r="H175" s="68"/>
      <c r="I175" s="68" t="b">
        <v>0</v>
      </c>
      <c r="J175" s="68" t="b">
        <v>0</v>
      </c>
      <c r="K175" s="68" t="b">
        <v>1</v>
      </c>
      <c r="L175" s="68"/>
      <c r="M175" s="68" t="s">
        <v>2039</v>
      </c>
      <c r="N175" s="68" t="s">
        <v>1798</v>
      </c>
      <c r="O175" s="68" t="s">
        <v>2034</v>
      </c>
      <c r="P175" s="68" t="b">
        <v>1</v>
      </c>
      <c r="Q175" s="68" t="b">
        <v>0</v>
      </c>
    </row>
    <row r="176" spans="1:17">
      <c r="A176" s="67" t="s">
        <v>1806</v>
      </c>
      <c r="B176" s="68" t="s">
        <v>48</v>
      </c>
      <c r="C176" s="68" t="s">
        <v>53</v>
      </c>
      <c r="D176" s="68">
        <v>0</v>
      </c>
      <c r="E176" s="68">
        <v>0</v>
      </c>
      <c r="F176" s="68">
        <v>0</v>
      </c>
      <c r="G176" s="68" t="str">
        <f t="shared" si="10"/>
        <v>Buff.Attribute.Blue.Area.05.buff.buffeffect.01</v>
      </c>
      <c r="H176" s="68"/>
      <c r="I176" s="68" t="b">
        <v>0</v>
      </c>
      <c r="J176" s="68" t="b">
        <v>0</v>
      </c>
      <c r="K176" s="68" t="b">
        <v>1</v>
      </c>
      <c r="L176" s="68"/>
      <c r="M176" s="68" t="s">
        <v>2039</v>
      </c>
      <c r="N176" s="68" t="s">
        <v>1798</v>
      </c>
      <c r="O176" s="68" t="s">
        <v>2034</v>
      </c>
      <c r="P176" s="68" t="b">
        <v>1</v>
      </c>
      <c r="Q176" s="68" t="b">
        <v>0</v>
      </c>
    </row>
    <row r="177" spans="1:17">
      <c r="A177" s="67" t="s">
        <v>1807</v>
      </c>
      <c r="B177" s="68" t="s">
        <v>48</v>
      </c>
      <c r="C177" s="68" t="s">
        <v>53</v>
      </c>
      <c r="D177" s="68">
        <v>0</v>
      </c>
      <c r="E177" s="68">
        <v>0</v>
      </c>
      <c r="F177" s="68">
        <v>0</v>
      </c>
      <c r="G177" s="68" t="str">
        <f t="shared" ref="G177:G181" si="11">A177&amp;".buffeffect.01"</f>
        <v>Buff.Attribute.Blue.Area.06.buff.buffeffect.01</v>
      </c>
      <c r="H177" s="68"/>
      <c r="I177" s="68" t="b">
        <v>0</v>
      </c>
      <c r="J177" s="68" t="b">
        <v>0</v>
      </c>
      <c r="K177" s="68" t="b">
        <v>1</v>
      </c>
      <c r="L177" s="68"/>
      <c r="M177" s="68" t="s">
        <v>2039</v>
      </c>
      <c r="N177" s="68" t="s">
        <v>1798</v>
      </c>
      <c r="O177" s="68" t="s">
        <v>2034</v>
      </c>
      <c r="P177" s="68" t="b">
        <v>1</v>
      </c>
      <c r="Q177" s="68" t="b">
        <v>0</v>
      </c>
    </row>
    <row r="178" spans="1:17">
      <c r="A178" s="67" t="s">
        <v>1808</v>
      </c>
      <c r="B178" s="68" t="s">
        <v>48</v>
      </c>
      <c r="C178" s="68" t="s">
        <v>53</v>
      </c>
      <c r="D178" s="68">
        <v>0</v>
      </c>
      <c r="E178" s="68">
        <v>0</v>
      </c>
      <c r="F178" s="68">
        <v>0</v>
      </c>
      <c r="G178" s="68" t="str">
        <f t="shared" si="11"/>
        <v>Buff.Attribute.Blue.Area.07.buff.buffeffect.01</v>
      </c>
      <c r="H178" s="68"/>
      <c r="I178" s="68" t="b">
        <v>0</v>
      </c>
      <c r="J178" s="68" t="b">
        <v>0</v>
      </c>
      <c r="K178" s="68" t="b">
        <v>1</v>
      </c>
      <c r="L178" s="68"/>
      <c r="M178" s="68" t="s">
        <v>2039</v>
      </c>
      <c r="N178" s="68" t="s">
        <v>1798</v>
      </c>
      <c r="O178" s="68" t="s">
        <v>2034</v>
      </c>
      <c r="P178" s="68" t="b">
        <v>1</v>
      </c>
      <c r="Q178" s="68" t="b">
        <v>0</v>
      </c>
    </row>
    <row r="179" spans="1:17">
      <c r="A179" s="67" t="s">
        <v>1809</v>
      </c>
      <c r="B179" s="68" t="s">
        <v>48</v>
      </c>
      <c r="C179" s="68" t="s">
        <v>53</v>
      </c>
      <c r="D179" s="68">
        <v>0</v>
      </c>
      <c r="E179" s="68">
        <v>0</v>
      </c>
      <c r="F179" s="68">
        <v>0</v>
      </c>
      <c r="G179" s="68" t="str">
        <f t="shared" si="11"/>
        <v>Buff.Attribute.Blue.Area.08.buff.buffeffect.01</v>
      </c>
      <c r="H179" s="68"/>
      <c r="I179" s="68" t="b">
        <v>0</v>
      </c>
      <c r="J179" s="68" t="b">
        <v>0</v>
      </c>
      <c r="K179" s="68" t="b">
        <v>1</v>
      </c>
      <c r="L179" s="68"/>
      <c r="M179" s="68" t="s">
        <v>2039</v>
      </c>
      <c r="N179" s="68" t="s">
        <v>1798</v>
      </c>
      <c r="O179" s="68" t="s">
        <v>2034</v>
      </c>
      <c r="P179" s="68" t="b">
        <v>1</v>
      </c>
      <c r="Q179" s="68" t="b">
        <v>0</v>
      </c>
    </row>
    <row r="180" spans="1:17">
      <c r="A180" s="67" t="s">
        <v>1958</v>
      </c>
      <c r="B180" s="68" t="s">
        <v>48</v>
      </c>
      <c r="C180" s="68" t="s">
        <v>53</v>
      </c>
      <c r="D180" s="68">
        <v>0</v>
      </c>
      <c r="E180" s="68">
        <v>0</v>
      </c>
      <c r="F180" s="68">
        <v>0</v>
      </c>
      <c r="G180" s="68" t="str">
        <f t="shared" si="11"/>
        <v>Buff.Attribute.Blue.Area.09.buff.buffeffect.01</v>
      </c>
      <c r="H180" s="68"/>
      <c r="I180" s="68" t="b">
        <v>0</v>
      </c>
      <c r="J180" s="68" t="b">
        <v>0</v>
      </c>
      <c r="K180" s="68" t="b">
        <v>1</v>
      </c>
      <c r="L180" s="68"/>
      <c r="M180" s="68" t="s">
        <v>2039</v>
      </c>
      <c r="N180" s="68" t="s">
        <v>1798</v>
      </c>
      <c r="O180" s="68" t="s">
        <v>2034</v>
      </c>
      <c r="P180" s="68" t="b">
        <v>1</v>
      </c>
      <c r="Q180" s="68" t="b">
        <v>0</v>
      </c>
    </row>
    <row r="181" spans="1:17">
      <c r="A181" s="67" t="s">
        <v>1959</v>
      </c>
      <c r="B181" s="68" t="s">
        <v>48</v>
      </c>
      <c r="C181" s="68" t="s">
        <v>53</v>
      </c>
      <c r="D181" s="68">
        <v>0</v>
      </c>
      <c r="E181" s="68">
        <v>0</v>
      </c>
      <c r="F181" s="68">
        <v>0</v>
      </c>
      <c r="G181" s="68" t="str">
        <f t="shared" si="11"/>
        <v>Buff.Attribute.Blue.Area.10.buff.buffeffect.01</v>
      </c>
      <c r="H181" s="68"/>
      <c r="I181" s="68" t="b">
        <v>0</v>
      </c>
      <c r="J181" s="68" t="b">
        <v>0</v>
      </c>
      <c r="K181" s="68" t="b">
        <v>1</v>
      </c>
      <c r="L181" s="68"/>
      <c r="M181" s="68" t="s">
        <v>2039</v>
      </c>
      <c r="N181" s="68" t="s">
        <v>1798</v>
      </c>
      <c r="O181" s="68" t="s">
        <v>2034</v>
      </c>
      <c r="P181" s="68" t="b">
        <v>1</v>
      </c>
      <c r="Q181" s="68" t="b">
        <v>0</v>
      </c>
    </row>
    <row r="182" spans="1:17">
      <c r="A182" s="34" t="s">
        <v>1810</v>
      </c>
      <c r="B182" s="71" t="s">
        <v>48</v>
      </c>
      <c r="C182" s="71" t="s">
        <v>53</v>
      </c>
      <c r="D182" s="71">
        <v>0</v>
      </c>
      <c r="E182" s="71">
        <v>0</v>
      </c>
      <c r="F182" s="71">
        <v>0</v>
      </c>
      <c r="G182" s="71" t="str">
        <f t="shared" si="10"/>
        <v>Buff.Attribute.Blue.Far.01.buff.buffeffect.01</v>
      </c>
      <c r="H182" s="71"/>
      <c r="I182" s="71" t="b">
        <v>0</v>
      </c>
      <c r="J182" s="71" t="b">
        <v>0</v>
      </c>
      <c r="K182" s="71" t="b">
        <v>1</v>
      </c>
      <c r="L182" s="71"/>
      <c r="M182" s="71" t="s">
        <v>2040</v>
      </c>
      <c r="N182" s="71" t="s">
        <v>1799</v>
      </c>
      <c r="O182" s="71" t="s">
        <v>2035</v>
      </c>
      <c r="P182" s="71" t="b">
        <v>1</v>
      </c>
      <c r="Q182" s="71" t="b">
        <v>0</v>
      </c>
    </row>
    <row r="183" spans="1:17">
      <c r="A183" s="34" t="s">
        <v>1811</v>
      </c>
      <c r="B183" s="71" t="s">
        <v>48</v>
      </c>
      <c r="C183" s="71" t="s">
        <v>53</v>
      </c>
      <c r="D183" s="71">
        <v>0</v>
      </c>
      <c r="E183" s="71">
        <v>0</v>
      </c>
      <c r="F183" s="71">
        <v>0</v>
      </c>
      <c r="G183" s="71" t="str">
        <f t="shared" si="10"/>
        <v>Buff.Attribute.Blue.Far.02.buff.buffeffect.01</v>
      </c>
      <c r="H183" s="71"/>
      <c r="I183" s="71" t="b">
        <v>0</v>
      </c>
      <c r="J183" s="71" t="b">
        <v>0</v>
      </c>
      <c r="K183" s="71" t="b">
        <v>1</v>
      </c>
      <c r="L183" s="71"/>
      <c r="M183" s="71" t="s">
        <v>2040</v>
      </c>
      <c r="N183" s="71" t="s">
        <v>1799</v>
      </c>
      <c r="O183" s="71" t="s">
        <v>2035</v>
      </c>
      <c r="P183" s="71" t="b">
        <v>1</v>
      </c>
      <c r="Q183" s="71" t="b">
        <v>0</v>
      </c>
    </row>
    <row r="184" spans="1:17">
      <c r="A184" s="34" t="s">
        <v>1812</v>
      </c>
      <c r="B184" s="71" t="s">
        <v>48</v>
      </c>
      <c r="C184" s="71" t="s">
        <v>53</v>
      </c>
      <c r="D184" s="71">
        <v>0</v>
      </c>
      <c r="E184" s="71">
        <v>0</v>
      </c>
      <c r="F184" s="71">
        <v>0</v>
      </c>
      <c r="G184" s="71" t="str">
        <f t="shared" si="10"/>
        <v>Buff.Attribute.Blue.Far.03.buff.buffeffect.01</v>
      </c>
      <c r="H184" s="71"/>
      <c r="I184" s="71" t="b">
        <v>0</v>
      </c>
      <c r="J184" s="71" t="b">
        <v>0</v>
      </c>
      <c r="K184" s="71" t="b">
        <v>1</v>
      </c>
      <c r="L184" s="71"/>
      <c r="M184" s="71" t="s">
        <v>2040</v>
      </c>
      <c r="N184" s="71" t="s">
        <v>1799</v>
      </c>
      <c r="O184" s="71" t="s">
        <v>2035</v>
      </c>
      <c r="P184" s="71" t="b">
        <v>1</v>
      </c>
      <c r="Q184" s="71" t="b">
        <v>0</v>
      </c>
    </row>
    <row r="185" spans="1:17">
      <c r="A185" s="34" t="s">
        <v>1813</v>
      </c>
      <c r="B185" s="71" t="s">
        <v>48</v>
      </c>
      <c r="C185" s="71" t="s">
        <v>53</v>
      </c>
      <c r="D185" s="71">
        <v>0</v>
      </c>
      <c r="E185" s="71">
        <v>0</v>
      </c>
      <c r="F185" s="71">
        <v>0</v>
      </c>
      <c r="G185" s="71" t="str">
        <f t="shared" si="10"/>
        <v>Buff.Attribute.Blue.Far.04.buff.buffeffect.01</v>
      </c>
      <c r="H185" s="71"/>
      <c r="I185" s="71" t="b">
        <v>0</v>
      </c>
      <c r="J185" s="71" t="b">
        <v>0</v>
      </c>
      <c r="K185" s="71" t="b">
        <v>1</v>
      </c>
      <c r="L185" s="71"/>
      <c r="M185" s="71" t="s">
        <v>2040</v>
      </c>
      <c r="N185" s="71" t="s">
        <v>1799</v>
      </c>
      <c r="O185" s="71" t="s">
        <v>2035</v>
      </c>
      <c r="P185" s="71" t="b">
        <v>1</v>
      </c>
      <c r="Q185" s="71" t="b">
        <v>0</v>
      </c>
    </row>
    <row r="186" spans="1:17">
      <c r="A186" s="34" t="s">
        <v>1814</v>
      </c>
      <c r="B186" s="71" t="s">
        <v>48</v>
      </c>
      <c r="C186" s="71" t="s">
        <v>53</v>
      </c>
      <c r="D186" s="71">
        <v>0</v>
      </c>
      <c r="E186" s="71">
        <v>0</v>
      </c>
      <c r="F186" s="71">
        <v>0</v>
      </c>
      <c r="G186" s="71" t="str">
        <f t="shared" si="10"/>
        <v>Buff.Attribute.Blue.Far.05.buff.buffeffect.01</v>
      </c>
      <c r="H186" s="71"/>
      <c r="I186" s="71" t="b">
        <v>0</v>
      </c>
      <c r="J186" s="71" t="b">
        <v>0</v>
      </c>
      <c r="K186" s="71" t="b">
        <v>1</v>
      </c>
      <c r="L186" s="71"/>
      <c r="M186" s="71" t="s">
        <v>2040</v>
      </c>
      <c r="N186" s="71" t="s">
        <v>1799</v>
      </c>
      <c r="O186" s="71" t="s">
        <v>2035</v>
      </c>
      <c r="P186" s="71" t="b">
        <v>1</v>
      </c>
      <c r="Q186" s="71" t="b">
        <v>0</v>
      </c>
    </row>
    <row r="187" spans="1:17">
      <c r="A187" s="34" t="s">
        <v>1815</v>
      </c>
      <c r="B187" s="71" t="s">
        <v>48</v>
      </c>
      <c r="C187" s="71" t="s">
        <v>53</v>
      </c>
      <c r="D187" s="71">
        <v>0</v>
      </c>
      <c r="E187" s="71">
        <v>0</v>
      </c>
      <c r="F187" s="71">
        <v>0</v>
      </c>
      <c r="G187" s="71" t="str">
        <f t="shared" ref="G187:G191" si="12">A187&amp;".buffeffect.01"</f>
        <v>Buff.Attribute.Blue.Far.06.buff.buffeffect.01</v>
      </c>
      <c r="H187" s="71"/>
      <c r="I187" s="71" t="b">
        <v>0</v>
      </c>
      <c r="J187" s="71" t="b">
        <v>0</v>
      </c>
      <c r="K187" s="71" t="b">
        <v>1</v>
      </c>
      <c r="L187" s="71"/>
      <c r="M187" s="71" t="s">
        <v>2040</v>
      </c>
      <c r="N187" s="71" t="s">
        <v>1799</v>
      </c>
      <c r="O187" s="71" t="s">
        <v>2035</v>
      </c>
      <c r="P187" s="71" t="b">
        <v>1</v>
      </c>
      <c r="Q187" s="71" t="b">
        <v>0</v>
      </c>
    </row>
    <row r="188" spans="1:17">
      <c r="A188" s="34" t="s">
        <v>1816</v>
      </c>
      <c r="B188" s="71" t="s">
        <v>48</v>
      </c>
      <c r="C188" s="71" t="s">
        <v>53</v>
      </c>
      <c r="D188" s="71">
        <v>0</v>
      </c>
      <c r="E188" s="71">
        <v>0</v>
      </c>
      <c r="F188" s="71">
        <v>0</v>
      </c>
      <c r="G188" s="71" t="str">
        <f t="shared" si="12"/>
        <v>Buff.Attribute.Blue.Far.07.buff.buffeffect.01</v>
      </c>
      <c r="H188" s="71"/>
      <c r="I188" s="71" t="b">
        <v>0</v>
      </c>
      <c r="J188" s="71" t="b">
        <v>0</v>
      </c>
      <c r="K188" s="71" t="b">
        <v>1</v>
      </c>
      <c r="L188" s="71"/>
      <c r="M188" s="71" t="s">
        <v>2040</v>
      </c>
      <c r="N188" s="71" t="s">
        <v>1799</v>
      </c>
      <c r="O188" s="71" t="s">
        <v>2035</v>
      </c>
      <c r="P188" s="71" t="b">
        <v>1</v>
      </c>
      <c r="Q188" s="71" t="b">
        <v>0</v>
      </c>
    </row>
    <row r="189" spans="1:17">
      <c r="A189" s="34" t="s">
        <v>1817</v>
      </c>
      <c r="B189" s="71" t="s">
        <v>48</v>
      </c>
      <c r="C189" s="71" t="s">
        <v>53</v>
      </c>
      <c r="D189" s="71">
        <v>0</v>
      </c>
      <c r="E189" s="71">
        <v>0</v>
      </c>
      <c r="F189" s="71">
        <v>0</v>
      </c>
      <c r="G189" s="71" t="str">
        <f t="shared" si="12"/>
        <v>Buff.Attribute.Blue.Far.08.buff.buffeffect.01</v>
      </c>
      <c r="H189" s="71"/>
      <c r="I189" s="71" t="b">
        <v>0</v>
      </c>
      <c r="J189" s="71" t="b">
        <v>0</v>
      </c>
      <c r="K189" s="71" t="b">
        <v>1</v>
      </c>
      <c r="L189" s="71"/>
      <c r="M189" s="71" t="s">
        <v>2040</v>
      </c>
      <c r="N189" s="71" t="s">
        <v>1799</v>
      </c>
      <c r="O189" s="71" t="s">
        <v>2035</v>
      </c>
      <c r="P189" s="71" t="b">
        <v>1</v>
      </c>
      <c r="Q189" s="71" t="b">
        <v>0</v>
      </c>
    </row>
    <row r="190" spans="1:17">
      <c r="A190" s="34" t="s">
        <v>1960</v>
      </c>
      <c r="B190" s="71" t="s">
        <v>48</v>
      </c>
      <c r="C190" s="71" t="s">
        <v>53</v>
      </c>
      <c r="D190" s="71">
        <v>0</v>
      </c>
      <c r="E190" s="71">
        <v>0</v>
      </c>
      <c r="F190" s="71">
        <v>0</v>
      </c>
      <c r="G190" s="71" t="str">
        <f t="shared" si="12"/>
        <v>Buff.Attribute.Blue.Far.09.buff.buffeffect.01</v>
      </c>
      <c r="H190" s="71"/>
      <c r="I190" s="71" t="b">
        <v>0</v>
      </c>
      <c r="J190" s="71" t="b">
        <v>0</v>
      </c>
      <c r="K190" s="71" t="b">
        <v>1</v>
      </c>
      <c r="L190" s="71"/>
      <c r="M190" s="71" t="s">
        <v>2040</v>
      </c>
      <c r="N190" s="71" t="s">
        <v>1799</v>
      </c>
      <c r="O190" s="71" t="s">
        <v>2035</v>
      </c>
      <c r="P190" s="71" t="b">
        <v>1</v>
      </c>
      <c r="Q190" s="71" t="b">
        <v>0</v>
      </c>
    </row>
    <row r="191" spans="1:17">
      <c r="A191" s="34" t="s">
        <v>1961</v>
      </c>
      <c r="B191" s="71" t="s">
        <v>48</v>
      </c>
      <c r="C191" s="71" t="s">
        <v>53</v>
      </c>
      <c r="D191" s="71">
        <v>0</v>
      </c>
      <c r="E191" s="71">
        <v>0</v>
      </c>
      <c r="F191" s="71">
        <v>0</v>
      </c>
      <c r="G191" s="71" t="str">
        <f t="shared" si="12"/>
        <v>Buff.Attribute.Blue.Far.10.buff.buffeffect.01</v>
      </c>
      <c r="H191" s="71"/>
      <c r="I191" s="71" t="b">
        <v>0</v>
      </c>
      <c r="J191" s="71" t="b">
        <v>0</v>
      </c>
      <c r="K191" s="71" t="b">
        <v>1</v>
      </c>
      <c r="L191" s="71"/>
      <c r="M191" s="71" t="s">
        <v>2040</v>
      </c>
      <c r="N191" s="71" t="s">
        <v>1799</v>
      </c>
      <c r="O191" s="71" t="s">
        <v>2035</v>
      </c>
      <c r="P191" s="71" t="b">
        <v>1</v>
      </c>
      <c r="Q191" s="71" t="b">
        <v>0</v>
      </c>
    </row>
    <row r="192" spans="1:17">
      <c r="A192" s="67" t="s">
        <v>1818</v>
      </c>
      <c r="B192" s="68" t="s">
        <v>48</v>
      </c>
      <c r="C192" s="68" t="s">
        <v>53</v>
      </c>
      <c r="D192" s="68">
        <v>0</v>
      </c>
      <c r="E192" s="68">
        <v>0</v>
      </c>
      <c r="F192" s="68">
        <v>0</v>
      </c>
      <c r="G192" s="68" t="str">
        <f t="shared" si="10"/>
        <v>Buff.Attribute.Blue.Near.01.buff.buffeffect.01</v>
      </c>
      <c r="H192" s="68"/>
      <c r="I192" s="68" t="b">
        <v>0</v>
      </c>
      <c r="J192" s="68" t="b">
        <v>0</v>
      </c>
      <c r="K192" s="68" t="b">
        <v>1</v>
      </c>
      <c r="L192" s="68"/>
      <c r="M192" s="68" t="s">
        <v>2041</v>
      </c>
      <c r="N192" s="68" t="s">
        <v>1800</v>
      </c>
      <c r="O192" s="68" t="s">
        <v>2036</v>
      </c>
      <c r="P192" s="68" t="b">
        <v>1</v>
      </c>
      <c r="Q192" s="68" t="b">
        <v>0</v>
      </c>
    </row>
    <row r="193" spans="1:17">
      <c r="A193" s="67" t="s">
        <v>1819</v>
      </c>
      <c r="B193" s="68" t="s">
        <v>48</v>
      </c>
      <c r="C193" s="68" t="s">
        <v>53</v>
      </c>
      <c r="D193" s="68">
        <v>0</v>
      </c>
      <c r="E193" s="68">
        <v>0</v>
      </c>
      <c r="F193" s="68">
        <v>0</v>
      </c>
      <c r="G193" s="68" t="str">
        <f t="shared" si="10"/>
        <v>Buff.Attribute.Blue.Near.02.buff.buffeffect.01</v>
      </c>
      <c r="H193" s="68"/>
      <c r="I193" s="68" t="b">
        <v>0</v>
      </c>
      <c r="J193" s="68" t="b">
        <v>0</v>
      </c>
      <c r="K193" s="68" t="b">
        <v>1</v>
      </c>
      <c r="L193" s="68"/>
      <c r="M193" s="68" t="s">
        <v>2041</v>
      </c>
      <c r="N193" s="68" t="s">
        <v>1800</v>
      </c>
      <c r="O193" s="68" t="s">
        <v>2036</v>
      </c>
      <c r="P193" s="68" t="b">
        <v>1</v>
      </c>
      <c r="Q193" s="68" t="b">
        <v>0</v>
      </c>
    </row>
    <row r="194" spans="1:17">
      <c r="A194" s="67" t="s">
        <v>1820</v>
      </c>
      <c r="B194" s="68" t="s">
        <v>48</v>
      </c>
      <c r="C194" s="68" t="s">
        <v>53</v>
      </c>
      <c r="D194" s="68">
        <v>0</v>
      </c>
      <c r="E194" s="68">
        <v>0</v>
      </c>
      <c r="F194" s="68">
        <v>0</v>
      </c>
      <c r="G194" s="68" t="str">
        <f t="shared" si="10"/>
        <v>Buff.Attribute.Blue.Near.03.buff.buffeffect.01</v>
      </c>
      <c r="H194" s="68"/>
      <c r="I194" s="68" t="b">
        <v>0</v>
      </c>
      <c r="J194" s="68" t="b">
        <v>0</v>
      </c>
      <c r="K194" s="68" t="b">
        <v>1</v>
      </c>
      <c r="L194" s="68"/>
      <c r="M194" s="68" t="s">
        <v>2041</v>
      </c>
      <c r="N194" s="68" t="s">
        <v>1800</v>
      </c>
      <c r="O194" s="68" t="s">
        <v>2036</v>
      </c>
      <c r="P194" s="68" t="b">
        <v>1</v>
      </c>
      <c r="Q194" s="68" t="b">
        <v>0</v>
      </c>
    </row>
    <row r="195" spans="1:17">
      <c r="A195" s="67" t="s">
        <v>1821</v>
      </c>
      <c r="B195" s="68" t="s">
        <v>48</v>
      </c>
      <c r="C195" s="68" t="s">
        <v>53</v>
      </c>
      <c r="D195" s="68">
        <v>0</v>
      </c>
      <c r="E195" s="68">
        <v>0</v>
      </c>
      <c r="F195" s="68">
        <v>0</v>
      </c>
      <c r="G195" s="68" t="str">
        <f t="shared" si="10"/>
        <v>Buff.Attribute.Blue.Near.04.buff.buffeffect.01</v>
      </c>
      <c r="H195" s="68"/>
      <c r="I195" s="68" t="b">
        <v>0</v>
      </c>
      <c r="J195" s="68" t="b">
        <v>0</v>
      </c>
      <c r="K195" s="68" t="b">
        <v>1</v>
      </c>
      <c r="L195" s="68"/>
      <c r="M195" s="68" t="s">
        <v>2041</v>
      </c>
      <c r="N195" s="68" t="s">
        <v>1800</v>
      </c>
      <c r="O195" s="68" t="s">
        <v>2036</v>
      </c>
      <c r="P195" s="68" t="b">
        <v>1</v>
      </c>
      <c r="Q195" s="68" t="b">
        <v>0</v>
      </c>
    </row>
    <row r="196" spans="1:17">
      <c r="A196" s="67" t="s">
        <v>1822</v>
      </c>
      <c r="B196" s="68" t="s">
        <v>48</v>
      </c>
      <c r="C196" s="68" t="s">
        <v>53</v>
      </c>
      <c r="D196" s="68">
        <v>0</v>
      </c>
      <c r="E196" s="68">
        <v>0</v>
      </c>
      <c r="F196" s="68">
        <v>0</v>
      </c>
      <c r="G196" s="68" t="str">
        <f t="shared" si="10"/>
        <v>Buff.Attribute.Blue.Near.05.buff.buffeffect.01</v>
      </c>
      <c r="H196" s="68"/>
      <c r="I196" s="68" t="b">
        <v>0</v>
      </c>
      <c r="J196" s="68" t="b">
        <v>0</v>
      </c>
      <c r="K196" s="68" t="b">
        <v>1</v>
      </c>
      <c r="L196" s="68"/>
      <c r="M196" s="68" t="s">
        <v>2041</v>
      </c>
      <c r="N196" s="68" t="s">
        <v>1800</v>
      </c>
      <c r="O196" s="68" t="s">
        <v>2036</v>
      </c>
      <c r="P196" s="68" t="b">
        <v>1</v>
      </c>
      <c r="Q196" s="68" t="b">
        <v>0</v>
      </c>
    </row>
    <row r="197" spans="1:17">
      <c r="A197" s="67" t="s">
        <v>1823</v>
      </c>
      <c r="B197" s="68" t="s">
        <v>48</v>
      </c>
      <c r="C197" s="68" t="s">
        <v>53</v>
      </c>
      <c r="D197" s="68">
        <v>0</v>
      </c>
      <c r="E197" s="68">
        <v>0</v>
      </c>
      <c r="F197" s="68">
        <v>0</v>
      </c>
      <c r="G197" s="68" t="str">
        <f t="shared" ref="G197:G201" si="13">A197&amp;".buffeffect.01"</f>
        <v>Buff.Attribute.Blue.Near.06.buff.buffeffect.01</v>
      </c>
      <c r="H197" s="68"/>
      <c r="I197" s="68" t="b">
        <v>0</v>
      </c>
      <c r="J197" s="68" t="b">
        <v>0</v>
      </c>
      <c r="K197" s="68" t="b">
        <v>1</v>
      </c>
      <c r="L197" s="68"/>
      <c r="M197" s="68" t="s">
        <v>2041</v>
      </c>
      <c r="N197" s="68" t="s">
        <v>1800</v>
      </c>
      <c r="O197" s="68" t="s">
        <v>2036</v>
      </c>
      <c r="P197" s="68" t="b">
        <v>1</v>
      </c>
      <c r="Q197" s="68" t="b">
        <v>0</v>
      </c>
    </row>
    <row r="198" spans="1:17">
      <c r="A198" s="67" t="s">
        <v>1824</v>
      </c>
      <c r="B198" s="68" t="s">
        <v>48</v>
      </c>
      <c r="C198" s="68" t="s">
        <v>53</v>
      </c>
      <c r="D198" s="68">
        <v>0</v>
      </c>
      <c r="E198" s="68">
        <v>0</v>
      </c>
      <c r="F198" s="68">
        <v>0</v>
      </c>
      <c r="G198" s="68" t="str">
        <f t="shared" si="13"/>
        <v>Buff.Attribute.Blue.Near.07.buff.buffeffect.01</v>
      </c>
      <c r="H198" s="68"/>
      <c r="I198" s="68" t="b">
        <v>0</v>
      </c>
      <c r="J198" s="68" t="b">
        <v>0</v>
      </c>
      <c r="K198" s="68" t="b">
        <v>1</v>
      </c>
      <c r="L198" s="68"/>
      <c r="M198" s="68" t="s">
        <v>2041</v>
      </c>
      <c r="N198" s="68" t="s">
        <v>1800</v>
      </c>
      <c r="O198" s="68" t="s">
        <v>2036</v>
      </c>
      <c r="P198" s="68" t="b">
        <v>1</v>
      </c>
      <c r="Q198" s="68" t="b">
        <v>0</v>
      </c>
    </row>
    <row r="199" spans="1:17">
      <c r="A199" s="67" t="s">
        <v>1825</v>
      </c>
      <c r="B199" s="68" t="s">
        <v>48</v>
      </c>
      <c r="C199" s="68" t="s">
        <v>53</v>
      </c>
      <c r="D199" s="68">
        <v>0</v>
      </c>
      <c r="E199" s="68">
        <v>0</v>
      </c>
      <c r="F199" s="68">
        <v>0</v>
      </c>
      <c r="G199" s="68" t="str">
        <f t="shared" si="13"/>
        <v>Buff.Attribute.Blue.Near.08.buff.buffeffect.01</v>
      </c>
      <c r="H199" s="68"/>
      <c r="I199" s="68" t="b">
        <v>0</v>
      </c>
      <c r="J199" s="68" t="b">
        <v>0</v>
      </c>
      <c r="K199" s="68" t="b">
        <v>1</v>
      </c>
      <c r="L199" s="68"/>
      <c r="M199" s="68" t="s">
        <v>2041</v>
      </c>
      <c r="N199" s="68" t="s">
        <v>1800</v>
      </c>
      <c r="O199" s="68" t="s">
        <v>2036</v>
      </c>
      <c r="P199" s="68" t="b">
        <v>1</v>
      </c>
      <c r="Q199" s="68" t="b">
        <v>0</v>
      </c>
    </row>
    <row r="200" spans="1:17">
      <c r="A200" s="67" t="s">
        <v>1962</v>
      </c>
      <c r="B200" s="68" t="s">
        <v>48</v>
      </c>
      <c r="C200" s="68" t="s">
        <v>53</v>
      </c>
      <c r="D200" s="68">
        <v>0</v>
      </c>
      <c r="E200" s="68">
        <v>0</v>
      </c>
      <c r="F200" s="68">
        <v>0</v>
      </c>
      <c r="G200" s="68" t="str">
        <f t="shared" si="13"/>
        <v>Buff.Attribute.Blue.Near.09.buff.buffeffect.01</v>
      </c>
      <c r="H200" s="68"/>
      <c r="I200" s="68" t="b">
        <v>0</v>
      </c>
      <c r="J200" s="68" t="b">
        <v>0</v>
      </c>
      <c r="K200" s="68" t="b">
        <v>1</v>
      </c>
      <c r="L200" s="68"/>
      <c r="M200" s="68" t="s">
        <v>2041</v>
      </c>
      <c r="N200" s="68" t="s">
        <v>1800</v>
      </c>
      <c r="O200" s="68" t="s">
        <v>2036</v>
      </c>
      <c r="P200" s="68" t="b">
        <v>1</v>
      </c>
      <c r="Q200" s="68" t="b">
        <v>0</v>
      </c>
    </row>
    <row r="201" spans="1:17">
      <c r="A201" s="67" t="s">
        <v>1963</v>
      </c>
      <c r="B201" s="68" t="s">
        <v>48</v>
      </c>
      <c r="C201" s="68" t="s">
        <v>53</v>
      </c>
      <c r="D201" s="68">
        <v>0</v>
      </c>
      <c r="E201" s="68">
        <v>0</v>
      </c>
      <c r="F201" s="68">
        <v>0</v>
      </c>
      <c r="G201" s="68" t="str">
        <f t="shared" si="13"/>
        <v>Buff.Attribute.Blue.Near.10.buff.buffeffect.01</v>
      </c>
      <c r="H201" s="68"/>
      <c r="I201" s="68" t="b">
        <v>0</v>
      </c>
      <c r="J201" s="68" t="b">
        <v>0</v>
      </c>
      <c r="K201" s="68" t="b">
        <v>1</v>
      </c>
      <c r="L201" s="68"/>
      <c r="M201" s="68" t="s">
        <v>2041</v>
      </c>
      <c r="N201" s="68" t="s">
        <v>1800</v>
      </c>
      <c r="O201" s="68" t="s">
        <v>2036</v>
      </c>
      <c r="P201" s="68" t="b">
        <v>1</v>
      </c>
      <c r="Q201" s="68" t="b">
        <v>0</v>
      </c>
    </row>
    <row r="202" spans="1:17">
      <c r="A202" s="34" t="s">
        <v>1826</v>
      </c>
      <c r="B202" s="71" t="s">
        <v>48</v>
      </c>
      <c r="C202" s="71" t="s">
        <v>53</v>
      </c>
      <c r="D202" s="71">
        <v>0</v>
      </c>
      <c r="E202" s="71">
        <v>0</v>
      </c>
      <c r="F202" s="71">
        <v>0</v>
      </c>
      <c r="G202" s="71" t="str">
        <f t="shared" si="10"/>
        <v>Buff.Attribute.Blue.Alive.01.buff.buffeffect.01</v>
      </c>
      <c r="H202" s="71"/>
      <c r="I202" s="71" t="b">
        <v>0</v>
      </c>
      <c r="J202" s="71" t="b">
        <v>0</v>
      </c>
      <c r="K202" s="71" t="b">
        <v>1</v>
      </c>
      <c r="L202" s="71"/>
      <c r="M202" s="71" t="s">
        <v>2042</v>
      </c>
      <c r="N202" s="71" t="s">
        <v>1801</v>
      </c>
      <c r="O202" s="71" t="s">
        <v>2037</v>
      </c>
      <c r="P202" s="71" t="b">
        <v>1</v>
      </c>
      <c r="Q202" s="71" t="b">
        <v>0</v>
      </c>
    </row>
    <row r="203" spans="1:17">
      <c r="A203" s="34" t="s">
        <v>1827</v>
      </c>
      <c r="B203" s="71" t="s">
        <v>48</v>
      </c>
      <c r="C203" s="71" t="s">
        <v>53</v>
      </c>
      <c r="D203" s="71">
        <v>0</v>
      </c>
      <c r="E203" s="71">
        <v>0</v>
      </c>
      <c r="F203" s="71">
        <v>0</v>
      </c>
      <c r="G203" s="71" t="str">
        <f t="shared" si="10"/>
        <v>Buff.Attribute.Blue.Alive.02.buff.buffeffect.01</v>
      </c>
      <c r="H203" s="71"/>
      <c r="I203" s="71" t="b">
        <v>0</v>
      </c>
      <c r="J203" s="71" t="b">
        <v>0</v>
      </c>
      <c r="K203" s="71" t="b">
        <v>1</v>
      </c>
      <c r="L203" s="71"/>
      <c r="M203" s="71" t="s">
        <v>2042</v>
      </c>
      <c r="N203" s="71" t="s">
        <v>1801</v>
      </c>
      <c r="O203" s="71" t="s">
        <v>2037</v>
      </c>
      <c r="P203" s="71" t="b">
        <v>1</v>
      </c>
      <c r="Q203" s="71" t="b">
        <v>0</v>
      </c>
    </row>
    <row r="204" spans="1:17">
      <c r="A204" s="34" t="s">
        <v>1828</v>
      </c>
      <c r="B204" s="71" t="s">
        <v>48</v>
      </c>
      <c r="C204" s="71" t="s">
        <v>53</v>
      </c>
      <c r="D204" s="71">
        <v>0</v>
      </c>
      <c r="E204" s="71">
        <v>0</v>
      </c>
      <c r="F204" s="71">
        <v>0</v>
      </c>
      <c r="G204" s="71" t="str">
        <f t="shared" si="10"/>
        <v>Buff.Attribute.Blue.Alive.03.buff.buffeffect.01</v>
      </c>
      <c r="H204" s="71"/>
      <c r="I204" s="71" t="b">
        <v>0</v>
      </c>
      <c r="J204" s="71" t="b">
        <v>0</v>
      </c>
      <c r="K204" s="71" t="b">
        <v>1</v>
      </c>
      <c r="L204" s="71"/>
      <c r="M204" s="71" t="s">
        <v>2042</v>
      </c>
      <c r="N204" s="71" t="s">
        <v>1801</v>
      </c>
      <c r="O204" s="71" t="s">
        <v>2037</v>
      </c>
      <c r="P204" s="71" t="b">
        <v>1</v>
      </c>
      <c r="Q204" s="71" t="b">
        <v>0</v>
      </c>
    </row>
    <row r="205" spans="1:17">
      <c r="A205" s="34" t="s">
        <v>1829</v>
      </c>
      <c r="B205" s="71" t="s">
        <v>48</v>
      </c>
      <c r="C205" s="71" t="s">
        <v>53</v>
      </c>
      <c r="D205" s="71">
        <v>0</v>
      </c>
      <c r="E205" s="71">
        <v>0</v>
      </c>
      <c r="F205" s="71">
        <v>0</v>
      </c>
      <c r="G205" s="71" t="str">
        <f t="shared" si="10"/>
        <v>Buff.Attribute.Blue.Alive.04.buff.buffeffect.01</v>
      </c>
      <c r="H205" s="71"/>
      <c r="I205" s="71" t="b">
        <v>0</v>
      </c>
      <c r="J205" s="71" t="b">
        <v>0</v>
      </c>
      <c r="K205" s="71" t="b">
        <v>1</v>
      </c>
      <c r="L205" s="71"/>
      <c r="M205" s="71" t="s">
        <v>2042</v>
      </c>
      <c r="N205" s="71" t="s">
        <v>1801</v>
      </c>
      <c r="O205" s="71" t="s">
        <v>2037</v>
      </c>
      <c r="P205" s="71" t="b">
        <v>1</v>
      </c>
      <c r="Q205" s="71" t="b">
        <v>0</v>
      </c>
    </row>
    <row r="206" spans="1:17">
      <c r="A206" s="34" t="s">
        <v>1830</v>
      </c>
      <c r="B206" s="71" t="s">
        <v>48</v>
      </c>
      <c r="C206" s="71" t="s">
        <v>53</v>
      </c>
      <c r="D206" s="71">
        <v>0</v>
      </c>
      <c r="E206" s="71">
        <v>0</v>
      </c>
      <c r="F206" s="71">
        <v>0</v>
      </c>
      <c r="G206" s="71" t="str">
        <f t="shared" si="10"/>
        <v>Buff.Attribute.Blue.Alive.05.buff.buffeffect.01</v>
      </c>
      <c r="H206" s="71"/>
      <c r="I206" s="71" t="b">
        <v>0</v>
      </c>
      <c r="J206" s="71" t="b">
        <v>0</v>
      </c>
      <c r="K206" s="71" t="b">
        <v>1</v>
      </c>
      <c r="L206" s="71"/>
      <c r="M206" s="71" t="s">
        <v>2042</v>
      </c>
      <c r="N206" s="71" t="s">
        <v>1801</v>
      </c>
      <c r="O206" s="71" t="s">
        <v>2037</v>
      </c>
      <c r="P206" s="71" t="b">
        <v>1</v>
      </c>
      <c r="Q206" s="71" t="b">
        <v>0</v>
      </c>
    </row>
    <row r="207" spans="1:17">
      <c r="A207" s="34" t="s">
        <v>1831</v>
      </c>
      <c r="B207" s="71" t="s">
        <v>48</v>
      </c>
      <c r="C207" s="71" t="s">
        <v>53</v>
      </c>
      <c r="D207" s="71">
        <v>0</v>
      </c>
      <c r="E207" s="71">
        <v>0</v>
      </c>
      <c r="F207" s="71">
        <v>0</v>
      </c>
      <c r="G207" s="71" t="str">
        <f t="shared" ref="G207:G211" si="14">A207&amp;".buffeffect.01"</f>
        <v>Buff.Attribute.Blue.Alive.06.buff.buffeffect.01</v>
      </c>
      <c r="H207" s="71"/>
      <c r="I207" s="71" t="b">
        <v>0</v>
      </c>
      <c r="J207" s="71" t="b">
        <v>0</v>
      </c>
      <c r="K207" s="71" t="b">
        <v>1</v>
      </c>
      <c r="L207" s="71"/>
      <c r="M207" s="71" t="s">
        <v>2042</v>
      </c>
      <c r="N207" s="71" t="s">
        <v>1801</v>
      </c>
      <c r="O207" s="71" t="s">
        <v>2037</v>
      </c>
      <c r="P207" s="71" t="b">
        <v>1</v>
      </c>
      <c r="Q207" s="71" t="b">
        <v>0</v>
      </c>
    </row>
    <row r="208" spans="1:17">
      <c r="A208" s="34" t="s">
        <v>1832</v>
      </c>
      <c r="B208" s="71" t="s">
        <v>48</v>
      </c>
      <c r="C208" s="71" t="s">
        <v>53</v>
      </c>
      <c r="D208" s="71">
        <v>0</v>
      </c>
      <c r="E208" s="71">
        <v>0</v>
      </c>
      <c r="F208" s="71">
        <v>0</v>
      </c>
      <c r="G208" s="71" t="str">
        <f t="shared" si="14"/>
        <v>Buff.Attribute.Blue.Alive.07.buff.buffeffect.01</v>
      </c>
      <c r="H208" s="71"/>
      <c r="I208" s="71" t="b">
        <v>0</v>
      </c>
      <c r="J208" s="71" t="b">
        <v>0</v>
      </c>
      <c r="K208" s="71" t="b">
        <v>1</v>
      </c>
      <c r="L208" s="71"/>
      <c r="M208" s="71" t="s">
        <v>2042</v>
      </c>
      <c r="N208" s="71" t="s">
        <v>1801</v>
      </c>
      <c r="O208" s="71" t="s">
        <v>2037</v>
      </c>
      <c r="P208" s="71" t="b">
        <v>1</v>
      </c>
      <c r="Q208" s="71" t="b">
        <v>0</v>
      </c>
    </row>
    <row r="209" spans="1:17">
      <c r="A209" s="34" t="s">
        <v>1833</v>
      </c>
      <c r="B209" s="71" t="s">
        <v>48</v>
      </c>
      <c r="C209" s="71" t="s">
        <v>53</v>
      </c>
      <c r="D209" s="71">
        <v>0</v>
      </c>
      <c r="E209" s="71">
        <v>0</v>
      </c>
      <c r="F209" s="71">
        <v>0</v>
      </c>
      <c r="G209" s="71" t="str">
        <f t="shared" si="14"/>
        <v>Buff.Attribute.Blue.Alive.08.buff.buffeffect.01</v>
      </c>
      <c r="H209" s="71"/>
      <c r="I209" s="71" t="b">
        <v>0</v>
      </c>
      <c r="J209" s="71" t="b">
        <v>0</v>
      </c>
      <c r="K209" s="71" t="b">
        <v>1</v>
      </c>
      <c r="L209" s="71"/>
      <c r="M209" s="71" t="s">
        <v>2042</v>
      </c>
      <c r="N209" s="71" t="s">
        <v>1801</v>
      </c>
      <c r="O209" s="71" t="s">
        <v>2037</v>
      </c>
      <c r="P209" s="71" t="b">
        <v>1</v>
      </c>
      <c r="Q209" s="71" t="b">
        <v>0</v>
      </c>
    </row>
    <row r="210" spans="1:17">
      <c r="A210" s="34" t="s">
        <v>1964</v>
      </c>
      <c r="B210" s="71" t="s">
        <v>48</v>
      </c>
      <c r="C210" s="71" t="s">
        <v>53</v>
      </c>
      <c r="D210" s="71">
        <v>0</v>
      </c>
      <c r="E210" s="71">
        <v>0</v>
      </c>
      <c r="F210" s="71">
        <v>0</v>
      </c>
      <c r="G210" s="71" t="str">
        <f t="shared" si="14"/>
        <v>Buff.Attribute.Blue.Alive.09.buff.buffeffect.01</v>
      </c>
      <c r="H210" s="71"/>
      <c r="I210" s="71" t="b">
        <v>0</v>
      </c>
      <c r="J210" s="71" t="b">
        <v>0</v>
      </c>
      <c r="K210" s="71" t="b">
        <v>1</v>
      </c>
      <c r="L210" s="71"/>
      <c r="M210" s="71" t="s">
        <v>2042</v>
      </c>
      <c r="N210" s="71" t="s">
        <v>1801</v>
      </c>
      <c r="O210" s="71" t="s">
        <v>2037</v>
      </c>
      <c r="P210" s="71" t="b">
        <v>1</v>
      </c>
      <c r="Q210" s="71" t="b">
        <v>0</v>
      </c>
    </row>
    <row r="211" spans="1:17">
      <c r="A211" s="34" t="s">
        <v>1965</v>
      </c>
      <c r="B211" s="71" t="s">
        <v>48</v>
      </c>
      <c r="C211" s="71" t="s">
        <v>53</v>
      </c>
      <c r="D211" s="71">
        <v>0</v>
      </c>
      <c r="E211" s="71">
        <v>0</v>
      </c>
      <c r="F211" s="71">
        <v>0</v>
      </c>
      <c r="G211" s="71" t="str">
        <f t="shared" si="14"/>
        <v>Buff.Attribute.Blue.Alive.10.buff.buffeffect.01</v>
      </c>
      <c r="H211" s="71"/>
      <c r="I211" s="71" t="b">
        <v>0</v>
      </c>
      <c r="J211" s="71" t="b">
        <v>0</v>
      </c>
      <c r="K211" s="71" t="b">
        <v>1</v>
      </c>
      <c r="L211" s="71"/>
      <c r="M211" s="71" t="s">
        <v>2042</v>
      </c>
      <c r="N211" s="71" t="s">
        <v>1801</v>
      </c>
      <c r="O211" s="71" t="s">
        <v>2037</v>
      </c>
      <c r="P211" s="71" t="b">
        <v>1</v>
      </c>
      <c r="Q211" s="71" t="b">
        <v>0</v>
      </c>
    </row>
    <row r="212" spans="1:17">
      <c r="A212" s="40" t="s">
        <v>395</v>
      </c>
      <c r="B212" s="65" t="s">
        <v>48</v>
      </c>
      <c r="C212" s="65" t="s">
        <v>804</v>
      </c>
      <c r="D212" s="65">
        <v>0</v>
      </c>
      <c r="E212" s="65">
        <v>0</v>
      </c>
      <c r="F212" s="65">
        <v>0</v>
      </c>
      <c r="G212" s="65" t="s">
        <v>806</v>
      </c>
      <c r="H212" s="65"/>
      <c r="I212" s="65" t="b">
        <v>0</v>
      </c>
      <c r="J212" s="65" t="b">
        <v>0</v>
      </c>
      <c r="K212" s="65" t="b">
        <v>1</v>
      </c>
      <c r="L212" s="65"/>
      <c r="M212" s="65"/>
      <c r="N212" s="65" t="s">
        <v>489</v>
      </c>
      <c r="O212" s="65"/>
      <c r="P212" s="65" t="b">
        <v>1</v>
      </c>
      <c r="Q212" s="65" t="b">
        <v>0</v>
      </c>
    </row>
    <row r="213" spans="1:17">
      <c r="A213" s="40" t="s">
        <v>396</v>
      </c>
      <c r="B213" s="65" t="s">
        <v>48</v>
      </c>
      <c r="C213" s="65" t="s">
        <v>804</v>
      </c>
      <c r="D213" s="65">
        <v>0</v>
      </c>
      <c r="E213" s="65">
        <v>0</v>
      </c>
      <c r="F213" s="65">
        <v>0</v>
      </c>
      <c r="G213" s="65" t="s">
        <v>807</v>
      </c>
      <c r="H213" s="65"/>
      <c r="I213" s="65" t="b">
        <v>0</v>
      </c>
      <c r="J213" s="65" t="b">
        <v>0</v>
      </c>
      <c r="K213" s="65" t="b">
        <v>1</v>
      </c>
      <c r="L213" s="65"/>
      <c r="M213" s="65"/>
      <c r="N213" s="65" t="s">
        <v>489</v>
      </c>
      <c r="O213" s="65"/>
      <c r="P213" s="65" t="b">
        <v>1</v>
      </c>
      <c r="Q213" s="65" t="b">
        <v>0</v>
      </c>
    </row>
    <row r="214" spans="1:17">
      <c r="A214" s="40" t="s">
        <v>397</v>
      </c>
      <c r="B214" s="65" t="s">
        <v>48</v>
      </c>
      <c r="C214" s="65" t="s">
        <v>804</v>
      </c>
      <c r="D214" s="65">
        <v>0</v>
      </c>
      <c r="E214" s="65">
        <v>0</v>
      </c>
      <c r="F214" s="65">
        <v>0</v>
      </c>
      <c r="G214" s="65" t="s">
        <v>808</v>
      </c>
      <c r="H214" s="65"/>
      <c r="I214" s="65" t="b">
        <v>0</v>
      </c>
      <c r="J214" s="65" t="b">
        <v>0</v>
      </c>
      <c r="K214" s="65" t="b">
        <v>1</v>
      </c>
      <c r="L214" s="65"/>
      <c r="M214" s="65"/>
      <c r="N214" s="65" t="s">
        <v>489</v>
      </c>
      <c r="O214" s="65"/>
      <c r="P214" s="65" t="b">
        <v>1</v>
      </c>
      <c r="Q214" s="65" t="b">
        <v>0</v>
      </c>
    </row>
    <row r="215" spans="1:17">
      <c r="A215" s="40" t="s">
        <v>398</v>
      </c>
      <c r="B215" s="65" t="s">
        <v>48</v>
      </c>
      <c r="C215" s="65" t="s">
        <v>804</v>
      </c>
      <c r="D215" s="65">
        <v>0</v>
      </c>
      <c r="E215" s="65">
        <v>0</v>
      </c>
      <c r="F215" s="65">
        <v>0</v>
      </c>
      <c r="G215" s="65" t="s">
        <v>809</v>
      </c>
      <c r="H215" s="65"/>
      <c r="I215" s="65" t="b">
        <v>0</v>
      </c>
      <c r="J215" s="65" t="b">
        <v>0</v>
      </c>
      <c r="K215" s="65" t="b">
        <v>1</v>
      </c>
      <c r="L215" s="65"/>
      <c r="M215" s="65"/>
      <c r="N215" s="65" t="s">
        <v>489</v>
      </c>
      <c r="O215" s="65"/>
      <c r="P215" s="65" t="b">
        <v>1</v>
      </c>
      <c r="Q215" s="65" t="b">
        <v>0</v>
      </c>
    </row>
    <row r="216" spans="1:17">
      <c r="A216" s="40" t="s">
        <v>399</v>
      </c>
      <c r="B216" s="65" t="s">
        <v>48</v>
      </c>
      <c r="C216" s="65" t="s">
        <v>804</v>
      </c>
      <c r="D216" s="65">
        <v>0</v>
      </c>
      <c r="E216" s="65">
        <v>0</v>
      </c>
      <c r="F216" s="65">
        <v>0</v>
      </c>
      <c r="G216" s="65" t="s">
        <v>810</v>
      </c>
      <c r="H216" s="65"/>
      <c r="I216" s="65" t="b">
        <v>0</v>
      </c>
      <c r="J216" s="65" t="b">
        <v>0</v>
      </c>
      <c r="K216" s="65" t="b">
        <v>1</v>
      </c>
      <c r="L216" s="65"/>
      <c r="M216" s="65"/>
      <c r="N216" s="65" t="s">
        <v>489</v>
      </c>
      <c r="O216" s="65"/>
      <c r="P216" s="65" t="b">
        <v>1</v>
      </c>
      <c r="Q216" s="65" t="b">
        <v>0</v>
      </c>
    </row>
    <row r="217" spans="1:17">
      <c r="A217" s="40" t="s">
        <v>400</v>
      </c>
      <c r="B217" s="65" t="s">
        <v>48</v>
      </c>
      <c r="C217" s="65" t="s">
        <v>804</v>
      </c>
      <c r="D217" s="65">
        <v>0</v>
      </c>
      <c r="E217" s="65">
        <v>0</v>
      </c>
      <c r="F217" s="65">
        <v>0</v>
      </c>
      <c r="G217" s="65" t="s">
        <v>811</v>
      </c>
      <c r="H217" s="65"/>
      <c r="I217" s="65" t="b">
        <v>0</v>
      </c>
      <c r="J217" s="65" t="b">
        <v>0</v>
      </c>
      <c r="K217" s="65" t="b">
        <v>1</v>
      </c>
      <c r="L217" s="65"/>
      <c r="M217" s="65"/>
      <c r="N217" s="65" t="s">
        <v>489</v>
      </c>
      <c r="O217" s="65"/>
      <c r="P217" s="65" t="b">
        <v>1</v>
      </c>
      <c r="Q217" s="65" t="b">
        <v>0</v>
      </c>
    </row>
    <row r="218" spans="1:17">
      <c r="A218" s="40" t="s">
        <v>401</v>
      </c>
      <c r="B218" s="65" t="s">
        <v>48</v>
      </c>
      <c r="C218" s="65" t="s">
        <v>804</v>
      </c>
      <c r="D218" s="65">
        <v>0</v>
      </c>
      <c r="E218" s="65">
        <v>0</v>
      </c>
      <c r="F218" s="65">
        <v>0</v>
      </c>
      <c r="G218" s="65" t="s">
        <v>812</v>
      </c>
      <c r="H218" s="65"/>
      <c r="I218" s="65" t="b">
        <v>0</v>
      </c>
      <c r="J218" s="65" t="b">
        <v>0</v>
      </c>
      <c r="K218" s="65" t="b">
        <v>1</v>
      </c>
      <c r="L218" s="65"/>
      <c r="M218" s="65"/>
      <c r="N218" s="65" t="s">
        <v>489</v>
      </c>
      <c r="O218" s="65"/>
      <c r="P218" s="65" t="b">
        <v>1</v>
      </c>
      <c r="Q218" s="65" t="b">
        <v>0</v>
      </c>
    </row>
    <row r="219" spans="1:17">
      <c r="A219" s="40" t="s">
        <v>402</v>
      </c>
      <c r="B219" s="65" t="s">
        <v>48</v>
      </c>
      <c r="C219" s="65" t="s">
        <v>804</v>
      </c>
      <c r="D219" s="65">
        <v>0</v>
      </c>
      <c r="E219" s="65">
        <v>0</v>
      </c>
      <c r="F219" s="65">
        <v>0</v>
      </c>
      <c r="G219" s="65" t="s">
        <v>813</v>
      </c>
      <c r="H219" s="65"/>
      <c r="I219" s="65" t="b">
        <v>0</v>
      </c>
      <c r="J219" s="65" t="b">
        <v>0</v>
      </c>
      <c r="K219" s="65" t="b">
        <v>1</v>
      </c>
      <c r="L219" s="65"/>
      <c r="M219" s="65"/>
      <c r="N219" s="65" t="s">
        <v>489</v>
      </c>
      <c r="O219" s="65"/>
      <c r="P219" s="65" t="b">
        <v>1</v>
      </c>
      <c r="Q219" s="65" t="b">
        <v>0</v>
      </c>
    </row>
    <row r="220" spans="1:17">
      <c r="A220" s="40" t="s">
        <v>403</v>
      </c>
      <c r="B220" s="65" t="s">
        <v>48</v>
      </c>
      <c r="C220" s="65" t="s">
        <v>804</v>
      </c>
      <c r="D220" s="65">
        <v>0</v>
      </c>
      <c r="E220" s="65">
        <v>0</v>
      </c>
      <c r="F220" s="65">
        <v>0</v>
      </c>
      <c r="G220" s="65" t="s">
        <v>814</v>
      </c>
      <c r="H220" s="65"/>
      <c r="I220" s="65" t="b">
        <v>0</v>
      </c>
      <c r="J220" s="65" t="b">
        <v>0</v>
      </c>
      <c r="K220" s="65" t="b">
        <v>1</v>
      </c>
      <c r="L220" s="65"/>
      <c r="M220" s="65"/>
      <c r="N220" s="65" t="s">
        <v>489</v>
      </c>
      <c r="O220" s="65"/>
      <c r="P220" s="65" t="b">
        <v>1</v>
      </c>
      <c r="Q220" s="65" t="b">
        <v>0</v>
      </c>
    </row>
    <row r="221" spans="1:17">
      <c r="A221" s="40" t="s">
        <v>404</v>
      </c>
      <c r="B221" s="65" t="s">
        <v>48</v>
      </c>
      <c r="C221" s="65" t="s">
        <v>804</v>
      </c>
      <c r="D221" s="65">
        <v>0</v>
      </c>
      <c r="E221" s="65">
        <v>0</v>
      </c>
      <c r="F221" s="65">
        <v>0</v>
      </c>
      <c r="G221" s="65" t="s">
        <v>815</v>
      </c>
      <c r="H221" s="65"/>
      <c r="I221" s="65" t="b">
        <v>0</v>
      </c>
      <c r="J221" s="65" t="b">
        <v>0</v>
      </c>
      <c r="K221" s="65" t="b">
        <v>1</v>
      </c>
      <c r="L221" s="65"/>
      <c r="M221" s="65"/>
      <c r="N221" s="65" t="s">
        <v>489</v>
      </c>
      <c r="O221" s="65"/>
      <c r="P221" s="65" t="b">
        <v>1</v>
      </c>
      <c r="Q221" s="65" t="b">
        <v>0</v>
      </c>
    </row>
    <row r="222" spans="1:17">
      <c r="A222" s="40" t="s">
        <v>405</v>
      </c>
      <c r="B222" s="65" t="s">
        <v>48</v>
      </c>
      <c r="C222" s="65" t="s">
        <v>804</v>
      </c>
      <c r="D222" s="65">
        <v>0</v>
      </c>
      <c r="E222" s="65">
        <v>0</v>
      </c>
      <c r="F222" s="65">
        <v>0</v>
      </c>
      <c r="G222" s="65" t="s">
        <v>816</v>
      </c>
      <c r="H222" s="65"/>
      <c r="I222" s="65" t="b">
        <v>0</v>
      </c>
      <c r="J222" s="65" t="b">
        <v>0</v>
      </c>
      <c r="K222" s="65" t="b">
        <v>1</v>
      </c>
      <c r="L222" s="65"/>
      <c r="M222" s="65"/>
      <c r="N222" s="65" t="s">
        <v>489</v>
      </c>
      <c r="O222" s="65"/>
      <c r="P222" s="65" t="b">
        <v>1</v>
      </c>
      <c r="Q222" s="65" t="b">
        <v>0</v>
      </c>
    </row>
    <row r="223" spans="1:17">
      <c r="A223" s="40" t="s">
        <v>406</v>
      </c>
      <c r="B223" s="65" t="s">
        <v>48</v>
      </c>
      <c r="C223" s="65" t="s">
        <v>804</v>
      </c>
      <c r="D223" s="65">
        <v>0</v>
      </c>
      <c r="E223" s="65">
        <v>0</v>
      </c>
      <c r="F223" s="65">
        <v>0</v>
      </c>
      <c r="G223" s="65" t="s">
        <v>817</v>
      </c>
      <c r="H223" s="65"/>
      <c r="I223" s="65" t="b">
        <v>0</v>
      </c>
      <c r="J223" s="65" t="b">
        <v>0</v>
      </c>
      <c r="K223" s="65" t="b">
        <v>1</v>
      </c>
      <c r="L223" s="65"/>
      <c r="M223" s="65"/>
      <c r="N223" s="65" t="s">
        <v>489</v>
      </c>
      <c r="O223" s="65"/>
      <c r="P223" s="65" t="b">
        <v>1</v>
      </c>
      <c r="Q223" s="65" t="b">
        <v>0</v>
      </c>
    </row>
    <row r="224" spans="1:17">
      <c r="A224" s="40" t="s">
        <v>407</v>
      </c>
      <c r="B224" s="65" t="s">
        <v>48</v>
      </c>
      <c r="C224" s="65" t="s">
        <v>804</v>
      </c>
      <c r="D224" s="65">
        <v>0</v>
      </c>
      <c r="E224" s="65">
        <v>0</v>
      </c>
      <c r="F224" s="65">
        <v>0</v>
      </c>
      <c r="G224" s="65" t="s">
        <v>818</v>
      </c>
      <c r="H224" s="65"/>
      <c r="I224" s="65" t="b">
        <v>0</v>
      </c>
      <c r="J224" s="65" t="b">
        <v>0</v>
      </c>
      <c r="K224" s="65" t="b">
        <v>1</v>
      </c>
      <c r="L224" s="65"/>
      <c r="M224" s="65"/>
      <c r="N224" s="65" t="s">
        <v>489</v>
      </c>
      <c r="O224" s="65"/>
      <c r="P224" s="65" t="b">
        <v>1</v>
      </c>
      <c r="Q224" s="65" t="b">
        <v>0</v>
      </c>
    </row>
    <row r="225" spans="1:17">
      <c r="A225" s="40" t="s">
        <v>408</v>
      </c>
      <c r="B225" s="65" t="s">
        <v>48</v>
      </c>
      <c r="C225" s="65" t="s">
        <v>804</v>
      </c>
      <c r="D225" s="65">
        <v>0</v>
      </c>
      <c r="E225" s="65">
        <v>0</v>
      </c>
      <c r="F225" s="65">
        <v>0</v>
      </c>
      <c r="G225" s="65" t="s">
        <v>819</v>
      </c>
      <c r="H225" s="65"/>
      <c r="I225" s="65" t="b">
        <v>0</v>
      </c>
      <c r="J225" s="65" t="b">
        <v>0</v>
      </c>
      <c r="K225" s="65" t="b">
        <v>1</v>
      </c>
      <c r="L225" s="65"/>
      <c r="M225" s="65"/>
      <c r="N225" s="65" t="s">
        <v>489</v>
      </c>
      <c r="O225" s="65"/>
      <c r="P225" s="65" t="b">
        <v>1</v>
      </c>
      <c r="Q225" s="65" t="b">
        <v>0</v>
      </c>
    </row>
    <row r="226" spans="1:17">
      <c r="A226" s="40" t="s">
        <v>409</v>
      </c>
      <c r="B226" s="65" t="s">
        <v>48</v>
      </c>
      <c r="C226" s="65" t="s">
        <v>804</v>
      </c>
      <c r="D226" s="65">
        <v>0</v>
      </c>
      <c r="E226" s="65">
        <v>0</v>
      </c>
      <c r="F226" s="65">
        <v>0</v>
      </c>
      <c r="G226" s="65" t="s">
        <v>820</v>
      </c>
      <c r="H226" s="65"/>
      <c r="I226" s="65" t="b">
        <v>0</v>
      </c>
      <c r="J226" s="65" t="b">
        <v>0</v>
      </c>
      <c r="K226" s="65" t="b">
        <v>1</v>
      </c>
      <c r="L226" s="65"/>
      <c r="M226" s="65"/>
      <c r="N226" s="65" t="s">
        <v>489</v>
      </c>
      <c r="O226" s="65"/>
      <c r="P226" s="65" t="b">
        <v>1</v>
      </c>
      <c r="Q226" s="65" t="b">
        <v>0</v>
      </c>
    </row>
    <row r="227" spans="1:17">
      <c r="A227" s="40" t="s">
        <v>410</v>
      </c>
      <c r="B227" s="65" t="s">
        <v>48</v>
      </c>
      <c r="C227" s="65" t="s">
        <v>804</v>
      </c>
      <c r="D227" s="65">
        <v>0</v>
      </c>
      <c r="E227" s="65">
        <v>0</v>
      </c>
      <c r="F227" s="65">
        <v>0</v>
      </c>
      <c r="G227" s="65" t="s">
        <v>821</v>
      </c>
      <c r="H227" s="65"/>
      <c r="I227" s="65" t="b">
        <v>0</v>
      </c>
      <c r="J227" s="65" t="b">
        <v>0</v>
      </c>
      <c r="K227" s="65" t="b">
        <v>1</v>
      </c>
      <c r="L227" s="65"/>
      <c r="M227" s="65"/>
      <c r="N227" s="65" t="s">
        <v>489</v>
      </c>
      <c r="O227" s="65"/>
      <c r="P227" s="65" t="b">
        <v>1</v>
      </c>
      <c r="Q227" s="65" t="b">
        <v>0</v>
      </c>
    </row>
    <row r="228" spans="1:17">
      <c r="A228" s="40" t="s">
        <v>411</v>
      </c>
      <c r="B228" s="65" t="s">
        <v>48</v>
      </c>
      <c r="C228" s="65" t="s">
        <v>804</v>
      </c>
      <c r="D228" s="65">
        <v>0</v>
      </c>
      <c r="E228" s="65">
        <v>0</v>
      </c>
      <c r="F228" s="65">
        <v>0</v>
      </c>
      <c r="G228" s="65" t="s">
        <v>822</v>
      </c>
      <c r="H228" s="65"/>
      <c r="I228" s="65" t="b">
        <v>0</v>
      </c>
      <c r="J228" s="65" t="b">
        <v>0</v>
      </c>
      <c r="K228" s="65" t="b">
        <v>1</v>
      </c>
      <c r="L228" s="65"/>
      <c r="M228" s="65"/>
      <c r="N228" s="65" t="s">
        <v>489</v>
      </c>
      <c r="O228" s="65"/>
      <c r="P228" s="65" t="b">
        <v>1</v>
      </c>
      <c r="Q228" s="65" t="b">
        <v>0</v>
      </c>
    </row>
    <row r="229" spans="1:17">
      <c r="A229" s="40" t="s">
        <v>412</v>
      </c>
      <c r="B229" s="65" t="s">
        <v>48</v>
      </c>
      <c r="C229" s="65" t="s">
        <v>804</v>
      </c>
      <c r="D229" s="65">
        <v>0</v>
      </c>
      <c r="E229" s="65">
        <v>0</v>
      </c>
      <c r="F229" s="65">
        <v>0</v>
      </c>
      <c r="G229" s="65" t="s">
        <v>823</v>
      </c>
      <c r="H229" s="65"/>
      <c r="I229" s="65" t="b">
        <v>0</v>
      </c>
      <c r="J229" s="65" t="b">
        <v>0</v>
      </c>
      <c r="K229" s="65" t="b">
        <v>1</v>
      </c>
      <c r="L229" s="65"/>
      <c r="M229" s="65"/>
      <c r="N229" s="65" t="s">
        <v>489</v>
      </c>
      <c r="O229" s="65"/>
      <c r="P229" s="65" t="b">
        <v>1</v>
      </c>
      <c r="Q229" s="65" t="b">
        <v>0</v>
      </c>
    </row>
    <row r="230" spans="1:17">
      <c r="A230" s="40" t="s">
        <v>413</v>
      </c>
      <c r="B230" s="65" t="s">
        <v>48</v>
      </c>
      <c r="C230" s="65" t="s">
        <v>804</v>
      </c>
      <c r="D230" s="65">
        <v>0</v>
      </c>
      <c r="E230" s="65">
        <v>0</v>
      </c>
      <c r="F230" s="65">
        <v>0</v>
      </c>
      <c r="G230" s="65" t="s">
        <v>824</v>
      </c>
      <c r="H230" s="65"/>
      <c r="I230" s="65" t="b">
        <v>0</v>
      </c>
      <c r="J230" s="65" t="b">
        <v>0</v>
      </c>
      <c r="K230" s="65" t="b">
        <v>1</v>
      </c>
      <c r="L230" s="65"/>
      <c r="M230" s="65"/>
      <c r="N230" s="65" t="s">
        <v>489</v>
      </c>
      <c r="O230" s="65"/>
      <c r="P230" s="65" t="b">
        <v>1</v>
      </c>
      <c r="Q230" s="65" t="b">
        <v>0</v>
      </c>
    </row>
    <row r="231" spans="1:17">
      <c r="A231" s="40" t="s">
        <v>414</v>
      </c>
      <c r="B231" s="65" t="s">
        <v>48</v>
      </c>
      <c r="C231" s="65" t="s">
        <v>804</v>
      </c>
      <c r="D231" s="65">
        <v>0</v>
      </c>
      <c r="E231" s="65">
        <v>0</v>
      </c>
      <c r="F231" s="65">
        <v>0</v>
      </c>
      <c r="G231" s="65" t="s">
        <v>825</v>
      </c>
      <c r="H231" s="65"/>
      <c r="I231" s="65" t="b">
        <v>0</v>
      </c>
      <c r="J231" s="65" t="b">
        <v>0</v>
      </c>
      <c r="K231" s="65" t="b">
        <v>1</v>
      </c>
      <c r="L231" s="65"/>
      <c r="M231" s="65"/>
      <c r="N231" s="65" t="s">
        <v>489</v>
      </c>
      <c r="O231" s="65"/>
      <c r="P231" s="65" t="b">
        <v>1</v>
      </c>
      <c r="Q231" s="65" t="b">
        <v>0</v>
      </c>
    </row>
    <row r="232" spans="1:17">
      <c r="A232" s="40" t="s">
        <v>415</v>
      </c>
      <c r="B232" s="65" t="s">
        <v>48</v>
      </c>
      <c r="C232" s="65" t="s">
        <v>804</v>
      </c>
      <c r="D232" s="65">
        <v>0</v>
      </c>
      <c r="E232" s="65">
        <v>0</v>
      </c>
      <c r="F232" s="65">
        <v>0</v>
      </c>
      <c r="G232" s="65" t="s">
        <v>826</v>
      </c>
      <c r="H232" s="65"/>
      <c r="I232" s="65" t="b">
        <v>0</v>
      </c>
      <c r="J232" s="65" t="b">
        <v>0</v>
      </c>
      <c r="K232" s="65" t="b">
        <v>1</v>
      </c>
      <c r="L232" s="65"/>
      <c r="M232" s="65"/>
      <c r="N232" s="65" t="s">
        <v>489</v>
      </c>
      <c r="O232" s="65"/>
      <c r="P232" s="65" t="b">
        <v>1</v>
      </c>
      <c r="Q232" s="65" t="b">
        <v>0</v>
      </c>
    </row>
    <row r="233" spans="1:17">
      <c r="A233" s="40" t="s">
        <v>416</v>
      </c>
      <c r="B233" s="65" t="s">
        <v>48</v>
      </c>
      <c r="C233" s="65" t="s">
        <v>804</v>
      </c>
      <c r="D233" s="65">
        <v>0</v>
      </c>
      <c r="E233" s="65">
        <v>0</v>
      </c>
      <c r="F233" s="65">
        <v>0</v>
      </c>
      <c r="G233" s="65" t="s">
        <v>827</v>
      </c>
      <c r="H233" s="65"/>
      <c r="I233" s="65" t="b">
        <v>0</v>
      </c>
      <c r="J233" s="65" t="b">
        <v>0</v>
      </c>
      <c r="K233" s="65" t="b">
        <v>1</v>
      </c>
      <c r="L233" s="65"/>
      <c r="M233" s="65"/>
      <c r="N233" s="65" t="s">
        <v>489</v>
      </c>
      <c r="O233" s="65"/>
      <c r="P233" s="65" t="b">
        <v>1</v>
      </c>
      <c r="Q233" s="65" t="b">
        <v>0</v>
      </c>
    </row>
    <row r="234" spans="1:17">
      <c r="A234" s="40" t="s">
        <v>417</v>
      </c>
      <c r="B234" s="65" t="s">
        <v>48</v>
      </c>
      <c r="C234" s="65" t="s">
        <v>804</v>
      </c>
      <c r="D234" s="65">
        <v>0</v>
      </c>
      <c r="E234" s="65">
        <v>0</v>
      </c>
      <c r="F234" s="65">
        <v>0</v>
      </c>
      <c r="G234" s="65" t="s">
        <v>828</v>
      </c>
      <c r="H234" s="65"/>
      <c r="I234" s="65" t="b">
        <v>0</v>
      </c>
      <c r="J234" s="65" t="b">
        <v>0</v>
      </c>
      <c r="K234" s="65" t="b">
        <v>1</v>
      </c>
      <c r="L234" s="65"/>
      <c r="M234" s="65"/>
      <c r="N234" s="65" t="s">
        <v>489</v>
      </c>
      <c r="O234" s="65"/>
      <c r="P234" s="65" t="b">
        <v>1</v>
      </c>
      <c r="Q234" s="65" t="b">
        <v>0</v>
      </c>
    </row>
    <row r="235" spans="1:17">
      <c r="A235" s="40" t="s">
        <v>418</v>
      </c>
      <c r="B235" s="65" t="s">
        <v>48</v>
      </c>
      <c r="C235" s="65" t="s">
        <v>804</v>
      </c>
      <c r="D235" s="65">
        <v>0</v>
      </c>
      <c r="E235" s="65">
        <v>0</v>
      </c>
      <c r="F235" s="65">
        <v>0</v>
      </c>
      <c r="G235" s="65" t="s">
        <v>829</v>
      </c>
      <c r="H235" s="65"/>
      <c r="I235" s="65" t="b">
        <v>0</v>
      </c>
      <c r="J235" s="65" t="b">
        <v>0</v>
      </c>
      <c r="K235" s="65" t="b">
        <v>1</v>
      </c>
      <c r="L235" s="65"/>
      <c r="M235" s="65"/>
      <c r="N235" s="65" t="s">
        <v>489</v>
      </c>
      <c r="O235" s="65"/>
      <c r="P235" s="65" t="b">
        <v>1</v>
      </c>
      <c r="Q235" s="65" t="b">
        <v>0</v>
      </c>
    </row>
    <row r="236" spans="1:17">
      <c r="A236" s="40" t="s">
        <v>419</v>
      </c>
      <c r="B236" s="65" t="s">
        <v>48</v>
      </c>
      <c r="C236" s="65" t="s">
        <v>804</v>
      </c>
      <c r="D236" s="65">
        <v>0</v>
      </c>
      <c r="E236" s="65">
        <v>0</v>
      </c>
      <c r="F236" s="65">
        <v>0</v>
      </c>
      <c r="G236" s="65" t="s">
        <v>830</v>
      </c>
      <c r="H236" s="65"/>
      <c r="I236" s="65" t="b">
        <v>0</v>
      </c>
      <c r="J236" s="65" t="b">
        <v>0</v>
      </c>
      <c r="K236" s="65" t="b">
        <v>1</v>
      </c>
      <c r="L236" s="65"/>
      <c r="M236" s="65"/>
      <c r="N236" s="65" t="s">
        <v>489</v>
      </c>
      <c r="O236" s="65"/>
      <c r="P236" s="65" t="b">
        <v>1</v>
      </c>
      <c r="Q236" s="65" t="b">
        <v>0</v>
      </c>
    </row>
    <row r="237" spans="1:17">
      <c r="A237" s="40" t="s">
        <v>420</v>
      </c>
      <c r="B237" s="65" t="s">
        <v>48</v>
      </c>
      <c r="C237" s="65" t="s">
        <v>804</v>
      </c>
      <c r="D237" s="65">
        <v>0</v>
      </c>
      <c r="E237" s="65">
        <v>0</v>
      </c>
      <c r="F237" s="65">
        <v>0</v>
      </c>
      <c r="G237" s="65" t="s">
        <v>831</v>
      </c>
      <c r="H237" s="65"/>
      <c r="I237" s="65" t="b">
        <v>0</v>
      </c>
      <c r="J237" s="65" t="b">
        <v>0</v>
      </c>
      <c r="K237" s="65" t="b">
        <v>1</v>
      </c>
      <c r="L237" s="65"/>
      <c r="M237" s="65"/>
      <c r="N237" s="65" t="s">
        <v>489</v>
      </c>
      <c r="O237" s="65"/>
      <c r="P237" s="65" t="b">
        <v>1</v>
      </c>
      <c r="Q237" s="65" t="b">
        <v>0</v>
      </c>
    </row>
    <row r="238" spans="1:17">
      <c r="A238" s="40" t="s">
        <v>421</v>
      </c>
      <c r="B238" s="65" t="s">
        <v>48</v>
      </c>
      <c r="C238" s="65" t="s">
        <v>804</v>
      </c>
      <c r="D238" s="65">
        <v>0</v>
      </c>
      <c r="E238" s="65">
        <v>0</v>
      </c>
      <c r="F238" s="65">
        <v>0</v>
      </c>
      <c r="G238" s="65" t="s">
        <v>832</v>
      </c>
      <c r="H238" s="65"/>
      <c r="I238" s="65" t="b">
        <v>0</v>
      </c>
      <c r="J238" s="65" t="b">
        <v>0</v>
      </c>
      <c r="K238" s="65" t="b">
        <v>1</v>
      </c>
      <c r="L238" s="65"/>
      <c r="M238" s="65"/>
      <c r="N238" s="65" t="s">
        <v>489</v>
      </c>
      <c r="O238" s="65"/>
      <c r="P238" s="65" t="b">
        <v>1</v>
      </c>
      <c r="Q238" s="65" t="b">
        <v>0</v>
      </c>
    </row>
    <row r="239" spans="1:17">
      <c r="A239" s="40" t="s">
        <v>422</v>
      </c>
      <c r="B239" s="65" t="s">
        <v>48</v>
      </c>
      <c r="C239" s="65" t="s">
        <v>804</v>
      </c>
      <c r="D239" s="65">
        <v>0</v>
      </c>
      <c r="E239" s="65">
        <v>0</v>
      </c>
      <c r="F239" s="65">
        <v>0</v>
      </c>
      <c r="G239" s="65" t="s">
        <v>833</v>
      </c>
      <c r="H239" s="65"/>
      <c r="I239" s="65" t="b">
        <v>0</v>
      </c>
      <c r="J239" s="65" t="b">
        <v>0</v>
      </c>
      <c r="K239" s="65" t="b">
        <v>1</v>
      </c>
      <c r="L239" s="65"/>
      <c r="M239" s="65"/>
      <c r="N239" s="65" t="s">
        <v>489</v>
      </c>
      <c r="O239" s="65"/>
      <c r="P239" s="65" t="b">
        <v>1</v>
      </c>
      <c r="Q239" s="65" t="b">
        <v>0</v>
      </c>
    </row>
    <row r="240" spans="1:17">
      <c r="A240" s="40" t="s">
        <v>423</v>
      </c>
      <c r="B240" s="65" t="s">
        <v>48</v>
      </c>
      <c r="C240" s="65" t="s">
        <v>804</v>
      </c>
      <c r="D240" s="65">
        <v>0</v>
      </c>
      <c r="E240" s="65">
        <v>0</v>
      </c>
      <c r="F240" s="65">
        <v>0</v>
      </c>
      <c r="G240" s="65" t="s">
        <v>834</v>
      </c>
      <c r="H240" s="65"/>
      <c r="I240" s="65" t="b">
        <v>0</v>
      </c>
      <c r="J240" s="65" t="b">
        <v>0</v>
      </c>
      <c r="K240" s="65" t="b">
        <v>1</v>
      </c>
      <c r="L240" s="65"/>
      <c r="M240" s="65"/>
      <c r="N240" s="65" t="s">
        <v>489</v>
      </c>
      <c r="O240" s="65"/>
      <c r="P240" s="65" t="b">
        <v>1</v>
      </c>
      <c r="Q240" s="65" t="b">
        <v>0</v>
      </c>
    </row>
    <row r="241" spans="1:17">
      <c r="A241" s="36" t="s">
        <v>424</v>
      </c>
      <c r="B241" s="70" t="s">
        <v>48</v>
      </c>
      <c r="C241" s="70" t="s">
        <v>805</v>
      </c>
      <c r="D241" s="70">
        <v>0</v>
      </c>
      <c r="E241" s="70">
        <v>0</v>
      </c>
      <c r="F241" s="70">
        <v>0</v>
      </c>
      <c r="G241" s="70" t="s">
        <v>835</v>
      </c>
      <c r="H241" s="70"/>
      <c r="I241" s="70" t="b">
        <v>0</v>
      </c>
      <c r="J241" s="70" t="b">
        <v>0</v>
      </c>
      <c r="K241" s="70" t="b">
        <v>1</v>
      </c>
      <c r="L241" s="70"/>
      <c r="M241" s="70"/>
      <c r="N241" s="70" t="s">
        <v>489</v>
      </c>
      <c r="O241" s="70"/>
      <c r="P241" s="70" t="b">
        <v>1</v>
      </c>
      <c r="Q241" s="70" t="b">
        <v>0</v>
      </c>
    </row>
    <row r="242" spans="1:17">
      <c r="A242" s="36" t="s">
        <v>425</v>
      </c>
      <c r="B242" s="70" t="s">
        <v>48</v>
      </c>
      <c r="C242" s="70" t="s">
        <v>805</v>
      </c>
      <c r="D242" s="70">
        <v>0</v>
      </c>
      <c r="E242" s="70">
        <v>0</v>
      </c>
      <c r="F242" s="70">
        <v>0</v>
      </c>
      <c r="G242" s="70" t="s">
        <v>836</v>
      </c>
      <c r="H242" s="70"/>
      <c r="I242" s="70" t="b">
        <v>0</v>
      </c>
      <c r="J242" s="70" t="b">
        <v>0</v>
      </c>
      <c r="K242" s="70" t="b">
        <v>1</v>
      </c>
      <c r="L242" s="70"/>
      <c r="M242" s="70"/>
      <c r="N242" s="70" t="s">
        <v>489</v>
      </c>
      <c r="O242" s="70"/>
      <c r="P242" s="70" t="b">
        <v>1</v>
      </c>
      <c r="Q242" s="70" t="b">
        <v>0</v>
      </c>
    </row>
    <row r="243" spans="1:17">
      <c r="A243" s="36" t="s">
        <v>426</v>
      </c>
      <c r="B243" s="70" t="s">
        <v>48</v>
      </c>
      <c r="C243" s="70" t="s">
        <v>805</v>
      </c>
      <c r="D243" s="70">
        <v>0</v>
      </c>
      <c r="E243" s="70">
        <v>0</v>
      </c>
      <c r="F243" s="70">
        <v>0</v>
      </c>
      <c r="G243" s="70" t="s">
        <v>837</v>
      </c>
      <c r="H243" s="70"/>
      <c r="I243" s="70" t="b">
        <v>0</v>
      </c>
      <c r="J243" s="70" t="b">
        <v>0</v>
      </c>
      <c r="K243" s="70" t="b">
        <v>1</v>
      </c>
      <c r="L243" s="70"/>
      <c r="M243" s="70"/>
      <c r="N243" s="70" t="s">
        <v>489</v>
      </c>
      <c r="O243" s="70"/>
      <c r="P243" s="70" t="b">
        <v>1</v>
      </c>
      <c r="Q243" s="70" t="b">
        <v>0</v>
      </c>
    </row>
    <row r="244" spans="1:17">
      <c r="A244" s="36" t="s">
        <v>427</v>
      </c>
      <c r="B244" s="70" t="s">
        <v>48</v>
      </c>
      <c r="C244" s="70" t="s">
        <v>805</v>
      </c>
      <c r="D244" s="70">
        <v>0</v>
      </c>
      <c r="E244" s="70">
        <v>0</v>
      </c>
      <c r="F244" s="70">
        <v>0</v>
      </c>
      <c r="G244" s="70" t="s">
        <v>838</v>
      </c>
      <c r="H244" s="70"/>
      <c r="I244" s="70" t="b">
        <v>0</v>
      </c>
      <c r="J244" s="70" t="b">
        <v>0</v>
      </c>
      <c r="K244" s="70" t="b">
        <v>1</v>
      </c>
      <c r="L244" s="70"/>
      <c r="M244" s="70"/>
      <c r="N244" s="70" t="s">
        <v>489</v>
      </c>
      <c r="O244" s="70"/>
      <c r="P244" s="70" t="b">
        <v>1</v>
      </c>
      <c r="Q244" s="70" t="b">
        <v>0</v>
      </c>
    </row>
    <row r="245" spans="1:17">
      <c r="A245" s="36" t="s">
        <v>428</v>
      </c>
      <c r="B245" s="70" t="s">
        <v>48</v>
      </c>
      <c r="C245" s="70" t="s">
        <v>805</v>
      </c>
      <c r="D245" s="70">
        <v>0</v>
      </c>
      <c r="E245" s="70">
        <v>0</v>
      </c>
      <c r="F245" s="70">
        <v>0</v>
      </c>
      <c r="G245" s="70" t="s">
        <v>839</v>
      </c>
      <c r="H245" s="70"/>
      <c r="I245" s="70" t="b">
        <v>0</v>
      </c>
      <c r="J245" s="70" t="b">
        <v>0</v>
      </c>
      <c r="K245" s="70" t="b">
        <v>1</v>
      </c>
      <c r="L245" s="70"/>
      <c r="M245" s="70"/>
      <c r="N245" s="70" t="s">
        <v>489</v>
      </c>
      <c r="O245" s="70"/>
      <c r="P245" s="70" t="b">
        <v>1</v>
      </c>
      <c r="Q245" s="70" t="b">
        <v>0</v>
      </c>
    </row>
    <row r="246" spans="1:17">
      <c r="A246" s="36" t="s">
        <v>429</v>
      </c>
      <c r="B246" s="70" t="s">
        <v>48</v>
      </c>
      <c r="C246" s="70" t="s">
        <v>805</v>
      </c>
      <c r="D246" s="70">
        <v>0</v>
      </c>
      <c r="E246" s="70">
        <v>0</v>
      </c>
      <c r="F246" s="70">
        <v>0</v>
      </c>
      <c r="G246" s="70" t="s">
        <v>840</v>
      </c>
      <c r="H246" s="70"/>
      <c r="I246" s="70" t="b">
        <v>0</v>
      </c>
      <c r="J246" s="70" t="b">
        <v>0</v>
      </c>
      <c r="K246" s="70" t="b">
        <v>1</v>
      </c>
      <c r="L246" s="70"/>
      <c r="M246" s="70"/>
      <c r="N246" s="70" t="s">
        <v>489</v>
      </c>
      <c r="O246" s="70"/>
      <c r="P246" s="70" t="b">
        <v>1</v>
      </c>
      <c r="Q246" s="70" t="b">
        <v>0</v>
      </c>
    </row>
    <row r="247" spans="1:17">
      <c r="A247" s="36" t="s">
        <v>430</v>
      </c>
      <c r="B247" s="70" t="s">
        <v>48</v>
      </c>
      <c r="C247" s="70" t="s">
        <v>805</v>
      </c>
      <c r="D247" s="70">
        <v>0</v>
      </c>
      <c r="E247" s="70">
        <v>0</v>
      </c>
      <c r="F247" s="70">
        <v>0</v>
      </c>
      <c r="G247" s="70" t="s">
        <v>841</v>
      </c>
      <c r="H247" s="70"/>
      <c r="I247" s="70" t="b">
        <v>0</v>
      </c>
      <c r="J247" s="70" t="b">
        <v>0</v>
      </c>
      <c r="K247" s="70" t="b">
        <v>1</v>
      </c>
      <c r="L247" s="70"/>
      <c r="M247" s="70"/>
      <c r="N247" s="70" t="s">
        <v>489</v>
      </c>
      <c r="O247" s="70"/>
      <c r="P247" s="70" t="b">
        <v>1</v>
      </c>
      <c r="Q247" s="70" t="b">
        <v>0</v>
      </c>
    </row>
    <row r="248" spans="1:17">
      <c r="A248" s="36" t="s">
        <v>431</v>
      </c>
      <c r="B248" s="70" t="s">
        <v>48</v>
      </c>
      <c r="C248" s="70" t="s">
        <v>805</v>
      </c>
      <c r="D248" s="70">
        <v>0</v>
      </c>
      <c r="E248" s="70">
        <v>0</v>
      </c>
      <c r="F248" s="70">
        <v>0</v>
      </c>
      <c r="G248" s="70" t="s">
        <v>842</v>
      </c>
      <c r="H248" s="70"/>
      <c r="I248" s="70" t="b">
        <v>0</v>
      </c>
      <c r="J248" s="70" t="b">
        <v>0</v>
      </c>
      <c r="K248" s="70" t="b">
        <v>1</v>
      </c>
      <c r="L248" s="70"/>
      <c r="M248" s="70"/>
      <c r="N248" s="70" t="s">
        <v>489</v>
      </c>
      <c r="O248" s="70"/>
      <c r="P248" s="70" t="b">
        <v>1</v>
      </c>
      <c r="Q248" s="70" t="b">
        <v>0</v>
      </c>
    </row>
    <row r="249" spans="1:17">
      <c r="A249" s="36" t="s">
        <v>432</v>
      </c>
      <c r="B249" s="70" t="s">
        <v>48</v>
      </c>
      <c r="C249" s="70" t="s">
        <v>805</v>
      </c>
      <c r="D249" s="70">
        <v>0</v>
      </c>
      <c r="E249" s="70">
        <v>0</v>
      </c>
      <c r="F249" s="70">
        <v>0</v>
      </c>
      <c r="G249" s="70" t="s">
        <v>843</v>
      </c>
      <c r="H249" s="70"/>
      <c r="I249" s="70" t="b">
        <v>0</v>
      </c>
      <c r="J249" s="70" t="b">
        <v>0</v>
      </c>
      <c r="K249" s="70" t="b">
        <v>1</v>
      </c>
      <c r="L249" s="70"/>
      <c r="M249" s="70"/>
      <c r="N249" s="70" t="s">
        <v>489</v>
      </c>
      <c r="O249" s="70"/>
      <c r="P249" s="70" t="b">
        <v>1</v>
      </c>
      <c r="Q249" s="70" t="b">
        <v>0</v>
      </c>
    </row>
    <row r="250" spans="1:17">
      <c r="A250" s="36" t="s">
        <v>433</v>
      </c>
      <c r="B250" s="70" t="s">
        <v>48</v>
      </c>
      <c r="C250" s="70" t="s">
        <v>805</v>
      </c>
      <c r="D250" s="70">
        <v>0</v>
      </c>
      <c r="E250" s="70">
        <v>0</v>
      </c>
      <c r="F250" s="70">
        <v>0</v>
      </c>
      <c r="G250" s="70" t="s">
        <v>844</v>
      </c>
      <c r="H250" s="70"/>
      <c r="I250" s="70" t="b">
        <v>0</v>
      </c>
      <c r="J250" s="70" t="b">
        <v>0</v>
      </c>
      <c r="K250" s="70" t="b">
        <v>1</v>
      </c>
      <c r="L250" s="70"/>
      <c r="M250" s="70"/>
      <c r="N250" s="70" t="s">
        <v>489</v>
      </c>
      <c r="O250" s="70"/>
      <c r="P250" s="70" t="b">
        <v>1</v>
      </c>
      <c r="Q250" s="70" t="b">
        <v>0</v>
      </c>
    </row>
    <row r="251" spans="1:17">
      <c r="A251" s="36" t="s">
        <v>434</v>
      </c>
      <c r="B251" s="70" t="s">
        <v>48</v>
      </c>
      <c r="C251" s="70" t="s">
        <v>805</v>
      </c>
      <c r="D251" s="70">
        <v>0</v>
      </c>
      <c r="E251" s="70">
        <v>0</v>
      </c>
      <c r="F251" s="70">
        <v>0</v>
      </c>
      <c r="G251" s="70" t="s">
        <v>845</v>
      </c>
      <c r="H251" s="70"/>
      <c r="I251" s="70" t="b">
        <v>0</v>
      </c>
      <c r="J251" s="70" t="b">
        <v>0</v>
      </c>
      <c r="K251" s="70" t="b">
        <v>1</v>
      </c>
      <c r="L251" s="70"/>
      <c r="M251" s="70"/>
      <c r="N251" s="70" t="s">
        <v>489</v>
      </c>
      <c r="O251" s="70"/>
      <c r="P251" s="70" t="b">
        <v>1</v>
      </c>
      <c r="Q251" s="70" t="b">
        <v>0</v>
      </c>
    </row>
    <row r="252" spans="1:17">
      <c r="A252" s="36" t="s">
        <v>435</v>
      </c>
      <c r="B252" s="70" t="s">
        <v>48</v>
      </c>
      <c r="C252" s="70" t="s">
        <v>805</v>
      </c>
      <c r="D252" s="70">
        <v>0</v>
      </c>
      <c r="E252" s="70">
        <v>0</v>
      </c>
      <c r="F252" s="70">
        <v>0</v>
      </c>
      <c r="G252" s="70" t="s">
        <v>846</v>
      </c>
      <c r="H252" s="70"/>
      <c r="I252" s="70" t="b">
        <v>0</v>
      </c>
      <c r="J252" s="70" t="b">
        <v>0</v>
      </c>
      <c r="K252" s="70" t="b">
        <v>1</v>
      </c>
      <c r="L252" s="70"/>
      <c r="M252" s="70"/>
      <c r="N252" s="70" t="s">
        <v>489</v>
      </c>
      <c r="O252" s="70"/>
      <c r="P252" s="70" t="b">
        <v>1</v>
      </c>
      <c r="Q252" s="70" t="b">
        <v>0</v>
      </c>
    </row>
    <row r="253" spans="1:17">
      <c r="A253" s="36" t="s">
        <v>436</v>
      </c>
      <c r="B253" s="70" t="s">
        <v>48</v>
      </c>
      <c r="C253" s="70" t="s">
        <v>805</v>
      </c>
      <c r="D253" s="70">
        <v>0</v>
      </c>
      <c r="E253" s="70">
        <v>0</v>
      </c>
      <c r="F253" s="70">
        <v>0</v>
      </c>
      <c r="G253" s="70" t="s">
        <v>847</v>
      </c>
      <c r="H253" s="70"/>
      <c r="I253" s="70" t="b">
        <v>0</v>
      </c>
      <c r="J253" s="70" t="b">
        <v>0</v>
      </c>
      <c r="K253" s="70" t="b">
        <v>1</v>
      </c>
      <c r="L253" s="70"/>
      <c r="M253" s="70"/>
      <c r="N253" s="70" t="s">
        <v>489</v>
      </c>
      <c r="O253" s="70"/>
      <c r="P253" s="70" t="b">
        <v>1</v>
      </c>
      <c r="Q253" s="70" t="b">
        <v>0</v>
      </c>
    </row>
    <row r="254" spans="1:17">
      <c r="A254" s="36" t="s">
        <v>437</v>
      </c>
      <c r="B254" s="70" t="s">
        <v>48</v>
      </c>
      <c r="C254" s="70" t="s">
        <v>805</v>
      </c>
      <c r="D254" s="70">
        <v>0</v>
      </c>
      <c r="E254" s="70">
        <v>0</v>
      </c>
      <c r="F254" s="70">
        <v>0</v>
      </c>
      <c r="G254" s="70" t="s">
        <v>848</v>
      </c>
      <c r="H254" s="70"/>
      <c r="I254" s="70" t="b">
        <v>0</v>
      </c>
      <c r="J254" s="70" t="b">
        <v>0</v>
      </c>
      <c r="K254" s="70" t="b">
        <v>1</v>
      </c>
      <c r="L254" s="70"/>
      <c r="M254" s="70"/>
      <c r="N254" s="70" t="s">
        <v>489</v>
      </c>
      <c r="O254" s="70"/>
      <c r="P254" s="70" t="b">
        <v>1</v>
      </c>
      <c r="Q254" s="70" t="b">
        <v>0</v>
      </c>
    </row>
    <row r="255" spans="1:17">
      <c r="A255" s="36" t="s">
        <v>438</v>
      </c>
      <c r="B255" s="70" t="s">
        <v>48</v>
      </c>
      <c r="C255" s="70" t="s">
        <v>805</v>
      </c>
      <c r="D255" s="70">
        <v>0</v>
      </c>
      <c r="E255" s="70">
        <v>0</v>
      </c>
      <c r="F255" s="70">
        <v>0</v>
      </c>
      <c r="G255" s="70" t="s">
        <v>849</v>
      </c>
      <c r="H255" s="70"/>
      <c r="I255" s="70" t="b">
        <v>0</v>
      </c>
      <c r="J255" s="70" t="b">
        <v>0</v>
      </c>
      <c r="K255" s="70" t="b">
        <v>1</v>
      </c>
      <c r="L255" s="70"/>
      <c r="M255" s="70"/>
      <c r="N255" s="70" t="s">
        <v>489</v>
      </c>
      <c r="O255" s="70"/>
      <c r="P255" s="70" t="b">
        <v>1</v>
      </c>
      <c r="Q255" s="70" t="b">
        <v>0</v>
      </c>
    </row>
    <row r="256" spans="1:17">
      <c r="A256" s="36" t="s">
        <v>439</v>
      </c>
      <c r="B256" s="70" t="s">
        <v>48</v>
      </c>
      <c r="C256" s="70" t="s">
        <v>805</v>
      </c>
      <c r="D256" s="70">
        <v>0</v>
      </c>
      <c r="E256" s="70">
        <v>0</v>
      </c>
      <c r="F256" s="70">
        <v>0</v>
      </c>
      <c r="G256" s="70" t="s">
        <v>850</v>
      </c>
      <c r="H256" s="70"/>
      <c r="I256" s="70" t="b">
        <v>0</v>
      </c>
      <c r="J256" s="70" t="b">
        <v>0</v>
      </c>
      <c r="K256" s="70" t="b">
        <v>1</v>
      </c>
      <c r="L256" s="70"/>
      <c r="M256" s="70"/>
      <c r="N256" s="70" t="s">
        <v>489</v>
      </c>
      <c r="O256" s="70"/>
      <c r="P256" s="70" t="b">
        <v>1</v>
      </c>
      <c r="Q256" s="70" t="b">
        <v>0</v>
      </c>
    </row>
    <row r="257" spans="1:17">
      <c r="A257" s="36" t="s">
        <v>440</v>
      </c>
      <c r="B257" s="70" t="s">
        <v>48</v>
      </c>
      <c r="C257" s="70" t="s">
        <v>805</v>
      </c>
      <c r="D257" s="70">
        <v>0</v>
      </c>
      <c r="E257" s="70">
        <v>0</v>
      </c>
      <c r="F257" s="70">
        <v>0</v>
      </c>
      <c r="G257" s="70" t="s">
        <v>851</v>
      </c>
      <c r="H257" s="70"/>
      <c r="I257" s="70" t="b">
        <v>0</v>
      </c>
      <c r="J257" s="70" t="b">
        <v>0</v>
      </c>
      <c r="K257" s="70" t="b">
        <v>1</v>
      </c>
      <c r="L257" s="70"/>
      <c r="M257" s="70"/>
      <c r="N257" s="70" t="s">
        <v>489</v>
      </c>
      <c r="O257" s="70"/>
      <c r="P257" s="70" t="b">
        <v>1</v>
      </c>
      <c r="Q257" s="70" t="b">
        <v>0</v>
      </c>
    </row>
    <row r="258" spans="1:17">
      <c r="A258" s="36" t="s">
        <v>441</v>
      </c>
      <c r="B258" s="70" t="s">
        <v>48</v>
      </c>
      <c r="C258" s="70" t="s">
        <v>805</v>
      </c>
      <c r="D258" s="70">
        <v>0</v>
      </c>
      <c r="E258" s="70">
        <v>0</v>
      </c>
      <c r="F258" s="70">
        <v>0</v>
      </c>
      <c r="G258" s="70" t="s">
        <v>852</v>
      </c>
      <c r="H258" s="70"/>
      <c r="I258" s="70" t="b">
        <v>0</v>
      </c>
      <c r="J258" s="70" t="b">
        <v>0</v>
      </c>
      <c r="K258" s="70" t="b">
        <v>1</v>
      </c>
      <c r="L258" s="70"/>
      <c r="M258" s="70"/>
      <c r="N258" s="70" t="s">
        <v>489</v>
      </c>
      <c r="O258" s="70"/>
      <c r="P258" s="70" t="b">
        <v>1</v>
      </c>
      <c r="Q258" s="70" t="b">
        <v>0</v>
      </c>
    </row>
    <row r="259" spans="1:17">
      <c r="A259" s="36" t="s">
        <v>442</v>
      </c>
      <c r="B259" s="70" t="s">
        <v>48</v>
      </c>
      <c r="C259" s="70" t="s">
        <v>805</v>
      </c>
      <c r="D259" s="70">
        <v>0</v>
      </c>
      <c r="E259" s="70">
        <v>0</v>
      </c>
      <c r="F259" s="70">
        <v>0</v>
      </c>
      <c r="G259" s="70" t="s">
        <v>853</v>
      </c>
      <c r="H259" s="70"/>
      <c r="I259" s="70" t="b">
        <v>0</v>
      </c>
      <c r="J259" s="70" t="b">
        <v>0</v>
      </c>
      <c r="K259" s="70" t="b">
        <v>1</v>
      </c>
      <c r="L259" s="70"/>
      <c r="M259" s="70"/>
      <c r="N259" s="70" t="s">
        <v>489</v>
      </c>
      <c r="O259" s="70"/>
      <c r="P259" s="70" t="b">
        <v>1</v>
      </c>
      <c r="Q259" s="70" t="b">
        <v>0</v>
      </c>
    </row>
    <row r="260" spans="1:17">
      <c r="A260" s="36" t="s">
        <v>443</v>
      </c>
      <c r="B260" s="70" t="s">
        <v>48</v>
      </c>
      <c r="C260" s="70" t="s">
        <v>805</v>
      </c>
      <c r="D260" s="70">
        <v>0</v>
      </c>
      <c r="E260" s="70">
        <v>0</v>
      </c>
      <c r="F260" s="70">
        <v>0</v>
      </c>
      <c r="G260" s="70" t="s">
        <v>854</v>
      </c>
      <c r="H260" s="70"/>
      <c r="I260" s="70" t="b">
        <v>0</v>
      </c>
      <c r="J260" s="70" t="b">
        <v>0</v>
      </c>
      <c r="K260" s="70" t="b">
        <v>1</v>
      </c>
      <c r="L260" s="70"/>
      <c r="M260" s="70"/>
      <c r="N260" s="70" t="s">
        <v>489</v>
      </c>
      <c r="O260" s="70"/>
      <c r="P260" s="70" t="b">
        <v>1</v>
      </c>
      <c r="Q260" s="70" t="b">
        <v>0</v>
      </c>
    </row>
    <row r="261" spans="1:17">
      <c r="A261" s="36" t="s">
        <v>444</v>
      </c>
      <c r="B261" s="70" t="s">
        <v>48</v>
      </c>
      <c r="C261" s="70" t="s">
        <v>805</v>
      </c>
      <c r="D261" s="70">
        <v>0</v>
      </c>
      <c r="E261" s="70">
        <v>0</v>
      </c>
      <c r="F261" s="70">
        <v>0</v>
      </c>
      <c r="G261" s="70" t="s">
        <v>855</v>
      </c>
      <c r="H261" s="70"/>
      <c r="I261" s="70" t="b">
        <v>0</v>
      </c>
      <c r="J261" s="70" t="b">
        <v>0</v>
      </c>
      <c r="K261" s="70" t="b">
        <v>1</v>
      </c>
      <c r="L261" s="70"/>
      <c r="M261" s="70"/>
      <c r="N261" s="70" t="s">
        <v>489</v>
      </c>
      <c r="O261" s="70"/>
      <c r="P261" s="70" t="b">
        <v>1</v>
      </c>
      <c r="Q261" s="70" t="b">
        <v>0</v>
      </c>
    </row>
    <row r="262" spans="1:17">
      <c r="A262" s="36" t="s">
        <v>445</v>
      </c>
      <c r="B262" s="70" t="s">
        <v>48</v>
      </c>
      <c r="C262" s="70" t="s">
        <v>805</v>
      </c>
      <c r="D262" s="70">
        <v>0</v>
      </c>
      <c r="E262" s="70">
        <v>0</v>
      </c>
      <c r="F262" s="70">
        <v>0</v>
      </c>
      <c r="G262" s="70" t="s">
        <v>856</v>
      </c>
      <c r="H262" s="70"/>
      <c r="I262" s="70" t="b">
        <v>0</v>
      </c>
      <c r="J262" s="70" t="b">
        <v>0</v>
      </c>
      <c r="K262" s="70" t="b">
        <v>1</v>
      </c>
      <c r="L262" s="70"/>
      <c r="M262" s="70"/>
      <c r="N262" s="70" t="s">
        <v>489</v>
      </c>
      <c r="O262" s="70"/>
      <c r="P262" s="70" t="b">
        <v>1</v>
      </c>
      <c r="Q262" s="70" t="b">
        <v>0</v>
      </c>
    </row>
    <row r="263" spans="1:17">
      <c r="A263" s="36" t="s">
        <v>446</v>
      </c>
      <c r="B263" s="70" t="s">
        <v>48</v>
      </c>
      <c r="C263" s="70" t="s">
        <v>805</v>
      </c>
      <c r="D263" s="70">
        <v>0</v>
      </c>
      <c r="E263" s="70">
        <v>0</v>
      </c>
      <c r="F263" s="70">
        <v>0</v>
      </c>
      <c r="G263" s="70" t="s">
        <v>857</v>
      </c>
      <c r="H263" s="70"/>
      <c r="I263" s="70" t="b">
        <v>0</v>
      </c>
      <c r="J263" s="70" t="b">
        <v>0</v>
      </c>
      <c r="K263" s="70" t="b">
        <v>1</v>
      </c>
      <c r="L263" s="70"/>
      <c r="M263" s="70"/>
      <c r="N263" s="70" t="s">
        <v>489</v>
      </c>
      <c r="O263" s="70"/>
      <c r="P263" s="70" t="b">
        <v>1</v>
      </c>
      <c r="Q263" s="70" t="b">
        <v>0</v>
      </c>
    </row>
    <row r="264" spans="1:17">
      <c r="A264" s="36" t="s">
        <v>447</v>
      </c>
      <c r="B264" s="70" t="s">
        <v>48</v>
      </c>
      <c r="C264" s="70" t="s">
        <v>805</v>
      </c>
      <c r="D264" s="70">
        <v>0</v>
      </c>
      <c r="E264" s="70">
        <v>0</v>
      </c>
      <c r="F264" s="70">
        <v>0</v>
      </c>
      <c r="G264" s="70" t="s">
        <v>858</v>
      </c>
      <c r="H264" s="70"/>
      <c r="I264" s="70" t="b">
        <v>0</v>
      </c>
      <c r="J264" s="70" t="b">
        <v>0</v>
      </c>
      <c r="K264" s="70" t="b">
        <v>1</v>
      </c>
      <c r="L264" s="70"/>
      <c r="M264" s="70"/>
      <c r="N264" s="70" t="s">
        <v>489</v>
      </c>
      <c r="O264" s="70"/>
      <c r="P264" s="70" t="b">
        <v>1</v>
      </c>
      <c r="Q264" s="70" t="b">
        <v>0</v>
      </c>
    </row>
    <row r="265" spans="1:17">
      <c r="A265" s="36" t="s">
        <v>448</v>
      </c>
      <c r="B265" s="70" t="s">
        <v>48</v>
      </c>
      <c r="C265" s="70" t="s">
        <v>805</v>
      </c>
      <c r="D265" s="70">
        <v>0</v>
      </c>
      <c r="E265" s="70">
        <v>0</v>
      </c>
      <c r="F265" s="70">
        <v>0</v>
      </c>
      <c r="G265" s="70" t="s">
        <v>859</v>
      </c>
      <c r="H265" s="70"/>
      <c r="I265" s="70" t="b">
        <v>0</v>
      </c>
      <c r="J265" s="70" t="b">
        <v>0</v>
      </c>
      <c r="K265" s="70" t="b">
        <v>1</v>
      </c>
      <c r="L265" s="70"/>
      <c r="M265" s="70"/>
      <c r="N265" s="70" t="s">
        <v>489</v>
      </c>
      <c r="O265" s="70"/>
      <c r="P265" s="70" t="b">
        <v>1</v>
      </c>
      <c r="Q265" s="70" t="b">
        <v>0</v>
      </c>
    </row>
    <row r="266" spans="1:17">
      <c r="A266" s="36" t="s">
        <v>449</v>
      </c>
      <c r="B266" s="70" t="s">
        <v>48</v>
      </c>
      <c r="C266" s="70" t="s">
        <v>805</v>
      </c>
      <c r="D266" s="70">
        <v>0</v>
      </c>
      <c r="E266" s="70">
        <v>0</v>
      </c>
      <c r="F266" s="70">
        <v>0</v>
      </c>
      <c r="G266" s="70" t="s">
        <v>860</v>
      </c>
      <c r="H266" s="70"/>
      <c r="I266" s="70" t="b">
        <v>0</v>
      </c>
      <c r="J266" s="70" t="b">
        <v>0</v>
      </c>
      <c r="K266" s="70" t="b">
        <v>1</v>
      </c>
      <c r="L266" s="70"/>
      <c r="M266" s="70"/>
      <c r="N266" s="70" t="s">
        <v>489</v>
      </c>
      <c r="O266" s="70"/>
      <c r="P266" s="70" t="b">
        <v>1</v>
      </c>
      <c r="Q266" s="70" t="b">
        <v>0</v>
      </c>
    </row>
    <row r="267" spans="1:17">
      <c r="A267" s="36" t="s">
        <v>450</v>
      </c>
      <c r="B267" s="70" t="s">
        <v>48</v>
      </c>
      <c r="C267" s="70" t="s">
        <v>805</v>
      </c>
      <c r="D267" s="70">
        <v>0</v>
      </c>
      <c r="E267" s="70">
        <v>0</v>
      </c>
      <c r="F267" s="70">
        <v>0</v>
      </c>
      <c r="G267" s="70" t="s">
        <v>861</v>
      </c>
      <c r="H267" s="70"/>
      <c r="I267" s="70" t="b">
        <v>0</v>
      </c>
      <c r="J267" s="70" t="b">
        <v>0</v>
      </c>
      <c r="K267" s="70" t="b">
        <v>1</v>
      </c>
      <c r="L267" s="70"/>
      <c r="M267" s="70"/>
      <c r="N267" s="70" t="s">
        <v>489</v>
      </c>
      <c r="O267" s="70"/>
      <c r="P267" s="70" t="b">
        <v>1</v>
      </c>
      <c r="Q267" s="70" t="b">
        <v>0</v>
      </c>
    </row>
    <row r="268" spans="1:17">
      <c r="A268" s="36" t="s">
        <v>451</v>
      </c>
      <c r="B268" s="70" t="s">
        <v>48</v>
      </c>
      <c r="C268" s="70" t="s">
        <v>805</v>
      </c>
      <c r="D268" s="70">
        <v>0</v>
      </c>
      <c r="E268" s="70">
        <v>0</v>
      </c>
      <c r="F268" s="70">
        <v>0</v>
      </c>
      <c r="G268" s="70" t="s">
        <v>862</v>
      </c>
      <c r="H268" s="70"/>
      <c r="I268" s="70" t="b">
        <v>0</v>
      </c>
      <c r="J268" s="70" t="b">
        <v>0</v>
      </c>
      <c r="K268" s="70" t="b">
        <v>1</v>
      </c>
      <c r="L268" s="70"/>
      <c r="M268" s="70"/>
      <c r="N268" s="70" t="s">
        <v>489</v>
      </c>
      <c r="O268" s="70"/>
      <c r="P268" s="70" t="b">
        <v>1</v>
      </c>
      <c r="Q268" s="70" t="b">
        <v>0</v>
      </c>
    </row>
    <row r="269" spans="1:17">
      <c r="A269" s="36" t="s">
        <v>452</v>
      </c>
      <c r="B269" s="70" t="s">
        <v>48</v>
      </c>
      <c r="C269" s="70" t="s">
        <v>805</v>
      </c>
      <c r="D269" s="70">
        <v>0</v>
      </c>
      <c r="E269" s="70">
        <v>0</v>
      </c>
      <c r="F269" s="70">
        <v>0</v>
      </c>
      <c r="G269" s="70" t="s">
        <v>863</v>
      </c>
      <c r="H269" s="70"/>
      <c r="I269" s="70" t="b">
        <v>0</v>
      </c>
      <c r="J269" s="70" t="b">
        <v>0</v>
      </c>
      <c r="K269" s="70" t="b">
        <v>1</v>
      </c>
      <c r="L269" s="70"/>
      <c r="M269" s="70"/>
      <c r="N269" s="70" t="s">
        <v>489</v>
      </c>
      <c r="O269" s="70"/>
      <c r="P269" s="70" t="b">
        <v>1</v>
      </c>
      <c r="Q269" s="70" t="b">
        <v>0</v>
      </c>
    </row>
    <row r="270" spans="1:17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</row>
    <row r="271" spans="1:17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</row>
    <row r="272" spans="1:17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</row>
    <row r="273" spans="1:17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</row>
    <row r="274" spans="1:17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</row>
    <row r="275" spans="1:17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</row>
  </sheetData>
  <phoneticPr fontId="2" type="noConversion"/>
  <conditionalFormatting sqref="A1:A1048576">
    <cfRule type="duplicateValues" dxfId="15" priority="5"/>
  </conditionalFormatting>
  <conditionalFormatting sqref="A1:Q4 A212:Q275 A5:L211 N5:Q211">
    <cfRule type="containsText" dxfId="14" priority="6" operator="containsText" text="debuff">
      <formula>NOT(ISERROR(SEARCH("debuff",A1)))</formula>
    </cfRule>
    <cfRule type="cellIs" dxfId="13" priority="7" operator="equal">
      <formula>TRUE</formula>
    </cfRule>
    <cfRule type="cellIs" dxfId="12" priority="8" operator="equal">
      <formula>FALSE</formula>
    </cfRule>
    <cfRule type="cellIs" dxfId="11" priority="9" operator="equal">
      <formula>0</formula>
    </cfRule>
  </conditionalFormatting>
  <conditionalFormatting sqref="M5:M211">
    <cfRule type="containsText" dxfId="10" priority="1" operator="containsText" text="debuff">
      <formula>NOT(ISERROR(SEARCH("debuff",M5)))</formula>
    </cfRule>
    <cfRule type="cellIs" dxfId="9" priority="2" operator="equal">
      <formula>TRUE</formula>
    </cfRule>
    <cfRule type="cellIs" dxfId="8" priority="3" operator="equal">
      <formula>FALSE</formula>
    </cfRule>
    <cfRule type="cellIs" dxfId="7" priority="4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14"/>
  <sheetViews>
    <sheetView workbookViewId="0">
      <pane xSplit="1" ySplit="4" topLeftCell="E35" activePane="bottomRight" state="frozen"/>
      <selection pane="topRight" activeCell="B1" sqref="B1"/>
      <selection pane="bottomLeft" activeCell="A5" sqref="A5"/>
      <selection pane="bottomRight" activeCell="L34" sqref="L34:L62"/>
    </sheetView>
  </sheetViews>
  <sheetFormatPr defaultRowHeight="13.5"/>
  <cols>
    <col min="1" max="1" width="36.25" style="21" bestFit="1" customWidth="1"/>
    <col min="2" max="2" width="14.25" style="21" bestFit="1" customWidth="1"/>
    <col min="3" max="3" width="13.125" style="21" bestFit="1" customWidth="1"/>
    <col min="4" max="4" width="9" style="21" bestFit="1" customWidth="1"/>
    <col min="5" max="5" width="16.125" style="21" bestFit="1" customWidth="1"/>
    <col min="6" max="6" width="13.75" style="21" bestFit="1" customWidth="1"/>
    <col min="7" max="7" width="8.5" style="21" bestFit="1" customWidth="1"/>
    <col min="8" max="8" width="9.125" style="21" bestFit="1" customWidth="1"/>
    <col min="9" max="9" width="10.875" style="21" bestFit="1" customWidth="1"/>
    <col min="10" max="10" width="20" style="21" bestFit="1" customWidth="1"/>
    <col min="11" max="11" width="12.75" style="21" bestFit="1" customWidth="1"/>
    <col min="12" max="13" width="7.5" style="21" bestFit="1" customWidth="1"/>
    <col min="14" max="14" width="33.625" style="21" bestFit="1" customWidth="1"/>
    <col min="15" max="15" width="8.125" style="21" bestFit="1" customWidth="1"/>
    <col min="16" max="16" width="8" style="21" bestFit="1" customWidth="1"/>
    <col min="17" max="17" width="7.375" style="21" bestFit="1" customWidth="1"/>
    <col min="18" max="18" width="8" style="21" bestFit="1" customWidth="1"/>
    <col min="19" max="16384" width="9" style="21"/>
  </cols>
  <sheetData>
    <row r="1" spans="1:18" ht="27">
      <c r="A1" s="23" t="s">
        <v>453</v>
      </c>
      <c r="B1" s="24" t="s">
        <v>454</v>
      </c>
      <c r="C1" s="24" t="s">
        <v>455</v>
      </c>
      <c r="D1" s="24" t="s">
        <v>577</v>
      </c>
      <c r="E1" s="24" t="s">
        <v>578</v>
      </c>
      <c r="F1" s="25" t="s">
        <v>579</v>
      </c>
      <c r="G1" s="25" t="s">
        <v>580</v>
      </c>
      <c r="H1" s="25" t="s">
        <v>581</v>
      </c>
      <c r="I1" s="25" t="s">
        <v>582</v>
      </c>
      <c r="J1" s="28" t="s">
        <v>583</v>
      </c>
      <c r="K1" s="28" t="s">
        <v>581</v>
      </c>
      <c r="L1" s="28" t="s">
        <v>584</v>
      </c>
      <c r="M1" s="28" t="s">
        <v>585</v>
      </c>
      <c r="N1" s="29" t="s">
        <v>586</v>
      </c>
      <c r="O1" s="23" t="s">
        <v>587</v>
      </c>
      <c r="P1" s="23" t="s">
        <v>588</v>
      </c>
      <c r="Q1" s="23" t="s">
        <v>589</v>
      </c>
      <c r="R1" s="23" t="s">
        <v>590</v>
      </c>
    </row>
    <row r="2" spans="1:18">
      <c r="A2" s="23" t="s">
        <v>291</v>
      </c>
      <c r="B2" s="24" t="s">
        <v>470</v>
      </c>
      <c r="C2" s="24" t="s">
        <v>471</v>
      </c>
      <c r="D2" s="24" t="s">
        <v>591</v>
      </c>
      <c r="E2" s="24" t="s">
        <v>592</v>
      </c>
      <c r="F2" s="25" t="s">
        <v>593</v>
      </c>
      <c r="G2" s="25" t="s">
        <v>594</v>
      </c>
      <c r="H2" s="25" t="s">
        <v>595</v>
      </c>
      <c r="I2" s="25" t="s">
        <v>596</v>
      </c>
      <c r="J2" s="28" t="s">
        <v>597</v>
      </c>
      <c r="K2" s="28" t="s">
        <v>598</v>
      </c>
      <c r="L2" s="28" t="s">
        <v>599</v>
      </c>
      <c r="M2" s="28" t="s">
        <v>600</v>
      </c>
      <c r="N2" s="29" t="s">
        <v>601</v>
      </c>
      <c r="O2" s="23" t="s">
        <v>602</v>
      </c>
      <c r="P2" s="23" t="s">
        <v>603</v>
      </c>
      <c r="Q2" s="23" t="s">
        <v>481</v>
      </c>
      <c r="R2" s="23" t="s">
        <v>604</v>
      </c>
    </row>
    <row r="3" spans="1:18">
      <c r="A3" s="23" t="s">
        <v>293</v>
      </c>
      <c r="B3" s="24" t="s">
        <v>484</v>
      </c>
      <c r="C3" s="24" t="s">
        <v>38</v>
      </c>
      <c r="D3" s="24" t="s">
        <v>299</v>
      </c>
      <c r="E3" s="24" t="s">
        <v>283</v>
      </c>
      <c r="F3" s="25" t="s">
        <v>593</v>
      </c>
      <c r="G3" s="25" t="s">
        <v>594</v>
      </c>
      <c r="H3" s="25" t="s">
        <v>605</v>
      </c>
      <c r="I3" s="25" t="s">
        <v>299</v>
      </c>
      <c r="J3" s="28" t="s">
        <v>606</v>
      </c>
      <c r="K3" s="28" t="s">
        <v>607</v>
      </c>
      <c r="L3" s="28" t="s">
        <v>607</v>
      </c>
      <c r="M3" s="28" t="s">
        <v>607</v>
      </c>
      <c r="N3" s="29" t="s">
        <v>608</v>
      </c>
      <c r="O3" s="23" t="s">
        <v>299</v>
      </c>
      <c r="P3" s="23" t="s">
        <v>299</v>
      </c>
      <c r="Q3" s="23" t="s">
        <v>38</v>
      </c>
      <c r="R3" s="23" t="s">
        <v>487</v>
      </c>
    </row>
    <row r="4" spans="1:18">
      <c r="A4" s="23" t="s">
        <v>4</v>
      </c>
      <c r="B4" s="24" t="s">
        <v>4</v>
      </c>
      <c r="C4" s="24" t="s">
        <v>4</v>
      </c>
      <c r="D4" s="24" t="s">
        <v>4</v>
      </c>
      <c r="E4" s="24" t="s">
        <v>4</v>
      </c>
      <c r="F4" s="25" t="s">
        <v>4</v>
      </c>
      <c r="G4" s="25" t="s">
        <v>4</v>
      </c>
      <c r="H4" s="25" t="s">
        <v>4</v>
      </c>
      <c r="I4" s="25" t="s">
        <v>4</v>
      </c>
      <c r="J4" s="28" t="s">
        <v>609</v>
      </c>
      <c r="K4" s="28" t="s">
        <v>609</v>
      </c>
      <c r="L4" s="28" t="s">
        <v>609</v>
      </c>
      <c r="M4" s="28" t="s">
        <v>609</v>
      </c>
      <c r="N4" s="29" t="s">
        <v>4</v>
      </c>
      <c r="O4" s="23" t="s">
        <v>4</v>
      </c>
      <c r="P4" s="23" t="s">
        <v>4</v>
      </c>
      <c r="Q4" s="23" t="s">
        <v>50</v>
      </c>
      <c r="R4" s="23" t="s">
        <v>4</v>
      </c>
    </row>
    <row r="5" spans="1:18">
      <c r="A5" s="65" t="s">
        <v>610</v>
      </c>
      <c r="B5" s="73"/>
      <c r="C5" s="73"/>
      <c r="D5" s="65">
        <v>0</v>
      </c>
      <c r="E5" s="65">
        <v>1</v>
      </c>
      <c r="F5" s="65" t="s">
        <v>611</v>
      </c>
      <c r="G5" s="65" t="s">
        <v>612</v>
      </c>
      <c r="H5" s="65"/>
      <c r="I5" s="65">
        <v>0</v>
      </c>
      <c r="J5" s="65" t="s">
        <v>1742</v>
      </c>
      <c r="K5" s="65" t="s">
        <v>788</v>
      </c>
      <c r="L5" s="65">
        <v>10</v>
      </c>
      <c r="M5" s="65"/>
      <c r="N5" s="65" t="str">
        <f>J5&amp;"("&amp;IF(K5="","",K5)&amp;IF(L5="","",", "&amp;L5)&amp;IF(M5="","",", "&amp;M5)&amp;")"</f>
        <v>AttributeDamageRate(AttributeGreen, 10)</v>
      </c>
      <c r="O5" s="65">
        <v>0</v>
      </c>
      <c r="P5" s="65">
        <v>0</v>
      </c>
      <c r="Q5" s="65"/>
      <c r="R5" s="65" t="b">
        <v>0</v>
      </c>
    </row>
    <row r="6" spans="1:18">
      <c r="A6" s="65" t="s">
        <v>613</v>
      </c>
      <c r="B6" s="73"/>
      <c r="C6" s="73"/>
      <c r="D6" s="65">
        <v>0</v>
      </c>
      <c r="E6" s="65">
        <v>1</v>
      </c>
      <c r="F6" s="65" t="s">
        <v>611</v>
      </c>
      <c r="G6" s="65" t="s">
        <v>612</v>
      </c>
      <c r="H6" s="65"/>
      <c r="I6" s="65">
        <v>0</v>
      </c>
      <c r="J6" s="65" t="s">
        <v>1742</v>
      </c>
      <c r="K6" s="65" t="s">
        <v>788</v>
      </c>
      <c r="L6" s="65">
        <v>10</v>
      </c>
      <c r="M6" s="65"/>
      <c r="N6" s="65" t="str">
        <f t="shared" ref="N6:N44" si="0">J6&amp;"("&amp;IF(K6="","",K6)&amp;IF(L6="","",", "&amp;L6)&amp;IF(M6="","",", "&amp;M6)&amp;")"</f>
        <v>AttributeDamageRate(AttributeGreen, 10)</v>
      </c>
      <c r="O6" s="65">
        <v>0</v>
      </c>
      <c r="P6" s="65">
        <v>0</v>
      </c>
      <c r="Q6" s="65"/>
      <c r="R6" s="65" t="b">
        <v>0</v>
      </c>
    </row>
    <row r="7" spans="1:18">
      <c r="A7" s="65" t="s">
        <v>614</v>
      </c>
      <c r="B7" s="73"/>
      <c r="C7" s="73"/>
      <c r="D7" s="65">
        <v>0</v>
      </c>
      <c r="E7" s="65">
        <v>1</v>
      </c>
      <c r="F7" s="65" t="s">
        <v>611</v>
      </c>
      <c r="G7" s="65" t="s">
        <v>612</v>
      </c>
      <c r="H7" s="65"/>
      <c r="I7" s="65">
        <v>0</v>
      </c>
      <c r="J7" s="65" t="s">
        <v>1742</v>
      </c>
      <c r="K7" s="65" t="s">
        <v>788</v>
      </c>
      <c r="L7" s="65">
        <v>20</v>
      </c>
      <c r="M7" s="65"/>
      <c r="N7" s="65" t="str">
        <f t="shared" si="0"/>
        <v>AttributeDamageRate(AttributeGreen, 20)</v>
      </c>
      <c r="O7" s="65">
        <v>0</v>
      </c>
      <c r="P7" s="65">
        <v>0</v>
      </c>
      <c r="Q7" s="65"/>
      <c r="R7" s="65" t="b">
        <v>0</v>
      </c>
    </row>
    <row r="8" spans="1:18">
      <c r="A8" s="65" t="s">
        <v>615</v>
      </c>
      <c r="B8" s="73"/>
      <c r="C8" s="73"/>
      <c r="D8" s="65">
        <v>0</v>
      </c>
      <c r="E8" s="65">
        <v>1</v>
      </c>
      <c r="F8" s="65" t="s">
        <v>611</v>
      </c>
      <c r="G8" s="65" t="s">
        <v>612</v>
      </c>
      <c r="H8" s="65"/>
      <c r="I8" s="65">
        <v>0</v>
      </c>
      <c r="J8" s="65" t="s">
        <v>1742</v>
      </c>
      <c r="K8" s="65" t="s">
        <v>788</v>
      </c>
      <c r="L8" s="65">
        <v>20</v>
      </c>
      <c r="M8" s="65"/>
      <c r="N8" s="65" t="str">
        <f t="shared" si="0"/>
        <v>AttributeDamageRate(AttributeGreen, 20)</v>
      </c>
      <c r="O8" s="65">
        <v>0</v>
      </c>
      <c r="P8" s="65">
        <v>0</v>
      </c>
      <c r="Q8" s="65"/>
      <c r="R8" s="65" t="b">
        <v>0</v>
      </c>
    </row>
    <row r="9" spans="1:18">
      <c r="A9" s="65" t="s">
        <v>616</v>
      </c>
      <c r="B9" s="65"/>
      <c r="C9" s="65"/>
      <c r="D9" s="65">
        <v>0</v>
      </c>
      <c r="E9" s="65">
        <v>1</v>
      </c>
      <c r="F9" s="65" t="s">
        <v>611</v>
      </c>
      <c r="G9" s="65" t="s">
        <v>612</v>
      </c>
      <c r="H9" s="65"/>
      <c r="I9" s="65">
        <v>0</v>
      </c>
      <c r="J9" s="65" t="s">
        <v>1742</v>
      </c>
      <c r="K9" s="65" t="s">
        <v>1743</v>
      </c>
      <c r="L9" s="65">
        <v>30</v>
      </c>
      <c r="M9" s="65"/>
      <c r="N9" s="65" t="str">
        <f t="shared" si="0"/>
        <v>AttributeDamageRate(AttributeGreen, 30)</v>
      </c>
      <c r="O9" s="65">
        <v>0</v>
      </c>
      <c r="P9" s="65">
        <v>0</v>
      </c>
      <c r="Q9" s="65"/>
      <c r="R9" s="65" t="b">
        <v>0</v>
      </c>
    </row>
    <row r="10" spans="1:18">
      <c r="A10" s="65" t="s">
        <v>617</v>
      </c>
      <c r="B10" s="65"/>
      <c r="C10" s="65"/>
      <c r="D10" s="65">
        <v>0</v>
      </c>
      <c r="E10" s="65">
        <v>1</v>
      </c>
      <c r="F10" s="65" t="s">
        <v>611</v>
      </c>
      <c r="G10" s="65" t="s">
        <v>612</v>
      </c>
      <c r="H10" s="65"/>
      <c r="I10" s="65">
        <v>0</v>
      </c>
      <c r="J10" s="65" t="s">
        <v>1742</v>
      </c>
      <c r="K10" s="65" t="s">
        <v>1743</v>
      </c>
      <c r="L10" s="65">
        <v>30</v>
      </c>
      <c r="M10" s="65"/>
      <c r="N10" s="65" t="str">
        <f t="shared" si="0"/>
        <v>AttributeDamageRate(AttributeGreen, 30)</v>
      </c>
      <c r="O10" s="65">
        <v>0</v>
      </c>
      <c r="P10" s="65">
        <v>0</v>
      </c>
      <c r="Q10" s="65"/>
      <c r="R10" s="65" t="b">
        <v>0</v>
      </c>
    </row>
    <row r="11" spans="1:18">
      <c r="A11" s="65" t="s">
        <v>618</v>
      </c>
      <c r="B11" s="65"/>
      <c r="C11" s="65"/>
      <c r="D11" s="65">
        <v>0</v>
      </c>
      <c r="E11" s="65">
        <v>1</v>
      </c>
      <c r="F11" s="65" t="s">
        <v>611</v>
      </c>
      <c r="G11" s="65" t="s">
        <v>612</v>
      </c>
      <c r="H11" s="65"/>
      <c r="I11" s="65">
        <v>0</v>
      </c>
      <c r="J11" s="65" t="s">
        <v>1742</v>
      </c>
      <c r="K11" s="65" t="s">
        <v>1743</v>
      </c>
      <c r="L11" s="65">
        <v>40</v>
      </c>
      <c r="M11" s="65"/>
      <c r="N11" s="65" t="str">
        <f t="shared" si="0"/>
        <v>AttributeDamageRate(AttributeGreen, 40)</v>
      </c>
      <c r="O11" s="65">
        <v>0</v>
      </c>
      <c r="P11" s="65">
        <v>0</v>
      </c>
      <c r="Q11" s="65"/>
      <c r="R11" s="65" t="b">
        <v>0</v>
      </c>
    </row>
    <row r="12" spans="1:18">
      <c r="A12" s="65" t="s">
        <v>619</v>
      </c>
      <c r="B12" s="65"/>
      <c r="C12" s="65"/>
      <c r="D12" s="65">
        <v>0</v>
      </c>
      <c r="E12" s="65">
        <v>1</v>
      </c>
      <c r="F12" s="65" t="s">
        <v>611</v>
      </c>
      <c r="G12" s="65" t="s">
        <v>612</v>
      </c>
      <c r="H12" s="65"/>
      <c r="I12" s="65">
        <v>0</v>
      </c>
      <c r="J12" s="65" t="s">
        <v>1742</v>
      </c>
      <c r="K12" s="65" t="s">
        <v>1743</v>
      </c>
      <c r="L12" s="65">
        <v>40</v>
      </c>
      <c r="M12" s="65"/>
      <c r="N12" s="65" t="str">
        <f t="shared" si="0"/>
        <v>AttributeDamageRate(AttributeGreen, 40)</v>
      </c>
      <c r="O12" s="65">
        <v>0</v>
      </c>
      <c r="P12" s="65">
        <v>0</v>
      </c>
      <c r="Q12" s="65"/>
      <c r="R12" s="65" t="b">
        <v>0</v>
      </c>
    </row>
    <row r="13" spans="1:18">
      <c r="A13" s="65" t="s">
        <v>620</v>
      </c>
      <c r="B13" s="65"/>
      <c r="C13" s="65"/>
      <c r="D13" s="65">
        <v>0</v>
      </c>
      <c r="E13" s="65">
        <v>1</v>
      </c>
      <c r="F13" s="65" t="s">
        <v>611</v>
      </c>
      <c r="G13" s="65" t="s">
        <v>612</v>
      </c>
      <c r="H13" s="65"/>
      <c r="I13" s="65">
        <v>0</v>
      </c>
      <c r="J13" s="65" t="s">
        <v>1742</v>
      </c>
      <c r="K13" s="65" t="s">
        <v>1743</v>
      </c>
      <c r="L13" s="65">
        <v>50</v>
      </c>
      <c r="M13" s="65"/>
      <c r="N13" s="65" t="str">
        <f t="shared" si="0"/>
        <v>AttributeDamageRate(AttributeGreen, 50)</v>
      </c>
      <c r="O13" s="65">
        <v>0</v>
      </c>
      <c r="P13" s="65">
        <v>0</v>
      </c>
      <c r="Q13" s="65"/>
      <c r="R13" s="65" t="b">
        <v>0</v>
      </c>
    </row>
    <row r="14" spans="1:18">
      <c r="A14" s="65" t="s">
        <v>621</v>
      </c>
      <c r="B14" s="65"/>
      <c r="C14" s="65"/>
      <c r="D14" s="65">
        <v>0</v>
      </c>
      <c r="E14" s="65">
        <v>1</v>
      </c>
      <c r="F14" s="65" t="s">
        <v>611</v>
      </c>
      <c r="G14" s="65" t="s">
        <v>612</v>
      </c>
      <c r="H14" s="65"/>
      <c r="I14" s="65">
        <v>0</v>
      </c>
      <c r="J14" s="65" t="s">
        <v>1742</v>
      </c>
      <c r="K14" s="65" t="s">
        <v>1743</v>
      </c>
      <c r="L14" s="65">
        <v>50</v>
      </c>
      <c r="M14" s="65"/>
      <c r="N14" s="65" t="str">
        <f t="shared" si="0"/>
        <v>AttributeDamageRate(AttributeGreen, 50)</v>
      </c>
      <c r="O14" s="65">
        <v>0</v>
      </c>
      <c r="P14" s="65">
        <v>0</v>
      </c>
      <c r="Q14" s="65"/>
      <c r="R14" s="65" t="b">
        <v>0</v>
      </c>
    </row>
    <row r="15" spans="1:18">
      <c r="A15" s="65" t="s">
        <v>622</v>
      </c>
      <c r="B15" s="65"/>
      <c r="C15" s="65"/>
      <c r="D15" s="65">
        <v>0</v>
      </c>
      <c r="E15" s="65">
        <v>1</v>
      </c>
      <c r="F15" s="65" t="s">
        <v>611</v>
      </c>
      <c r="G15" s="65" t="s">
        <v>612</v>
      </c>
      <c r="H15" s="65"/>
      <c r="I15" s="65">
        <v>0</v>
      </c>
      <c r="J15" s="65" t="s">
        <v>1742</v>
      </c>
      <c r="K15" s="65" t="s">
        <v>1743</v>
      </c>
      <c r="L15" s="65">
        <v>60.000000000000007</v>
      </c>
      <c r="M15" s="65"/>
      <c r="N15" s="65" t="str">
        <f t="shared" si="0"/>
        <v>AttributeDamageRate(AttributeGreen, 60)</v>
      </c>
      <c r="O15" s="65">
        <v>0</v>
      </c>
      <c r="P15" s="65">
        <v>0</v>
      </c>
      <c r="Q15" s="65"/>
      <c r="R15" s="65" t="b">
        <v>0</v>
      </c>
    </row>
    <row r="16" spans="1:18">
      <c r="A16" s="65" t="s">
        <v>623</v>
      </c>
      <c r="B16" s="65"/>
      <c r="C16" s="65"/>
      <c r="D16" s="65">
        <v>0</v>
      </c>
      <c r="E16" s="65">
        <v>1</v>
      </c>
      <c r="F16" s="65" t="s">
        <v>611</v>
      </c>
      <c r="G16" s="65" t="s">
        <v>612</v>
      </c>
      <c r="H16" s="65"/>
      <c r="I16" s="65">
        <v>0</v>
      </c>
      <c r="J16" s="65" t="s">
        <v>1742</v>
      </c>
      <c r="K16" s="65" t="s">
        <v>1743</v>
      </c>
      <c r="L16" s="65">
        <v>60.000000000000007</v>
      </c>
      <c r="M16" s="65"/>
      <c r="N16" s="65" t="str">
        <f t="shared" si="0"/>
        <v>AttributeDamageRate(AttributeGreen, 60)</v>
      </c>
      <c r="O16" s="65">
        <v>0</v>
      </c>
      <c r="P16" s="65">
        <v>0</v>
      </c>
      <c r="Q16" s="65"/>
      <c r="R16" s="65" t="b">
        <v>0</v>
      </c>
    </row>
    <row r="17" spans="1:18">
      <c r="A17" s="65" t="s">
        <v>624</v>
      </c>
      <c r="B17" s="65"/>
      <c r="C17" s="65"/>
      <c r="D17" s="65">
        <v>0</v>
      </c>
      <c r="E17" s="65">
        <v>1</v>
      </c>
      <c r="F17" s="65" t="s">
        <v>611</v>
      </c>
      <c r="G17" s="65" t="s">
        <v>612</v>
      </c>
      <c r="H17" s="65"/>
      <c r="I17" s="65">
        <v>0</v>
      </c>
      <c r="J17" s="65" t="s">
        <v>1742</v>
      </c>
      <c r="K17" s="65" t="s">
        <v>1743</v>
      </c>
      <c r="L17" s="65">
        <v>70</v>
      </c>
      <c r="M17" s="65"/>
      <c r="N17" s="65" t="str">
        <f t="shared" si="0"/>
        <v>AttributeDamageRate(AttributeGreen, 70)</v>
      </c>
      <c r="O17" s="65">
        <v>0</v>
      </c>
      <c r="P17" s="65">
        <v>0</v>
      </c>
      <c r="Q17" s="65"/>
      <c r="R17" s="65" t="b">
        <v>0</v>
      </c>
    </row>
    <row r="18" spans="1:18">
      <c r="A18" s="65" t="s">
        <v>625</v>
      </c>
      <c r="B18" s="65"/>
      <c r="C18" s="65"/>
      <c r="D18" s="65">
        <v>0</v>
      </c>
      <c r="E18" s="65">
        <v>1</v>
      </c>
      <c r="F18" s="65" t="s">
        <v>611</v>
      </c>
      <c r="G18" s="65" t="s">
        <v>612</v>
      </c>
      <c r="H18" s="65"/>
      <c r="I18" s="65">
        <v>0</v>
      </c>
      <c r="J18" s="65" t="s">
        <v>1742</v>
      </c>
      <c r="K18" s="65" t="s">
        <v>1743</v>
      </c>
      <c r="L18" s="65">
        <v>70</v>
      </c>
      <c r="M18" s="65"/>
      <c r="N18" s="65" t="str">
        <f t="shared" si="0"/>
        <v>AttributeDamageRate(AttributeGreen, 70)</v>
      </c>
      <c r="O18" s="65">
        <v>0</v>
      </c>
      <c r="P18" s="65">
        <v>0</v>
      </c>
      <c r="Q18" s="65"/>
      <c r="R18" s="65" t="b">
        <v>0</v>
      </c>
    </row>
    <row r="19" spans="1:18">
      <c r="A19" s="65" t="s">
        <v>626</v>
      </c>
      <c r="B19" s="65"/>
      <c r="C19" s="65"/>
      <c r="D19" s="65">
        <v>0</v>
      </c>
      <c r="E19" s="65">
        <v>1</v>
      </c>
      <c r="F19" s="65" t="s">
        <v>611</v>
      </c>
      <c r="G19" s="65" t="s">
        <v>612</v>
      </c>
      <c r="H19" s="65"/>
      <c r="I19" s="65">
        <v>0</v>
      </c>
      <c r="J19" s="65" t="s">
        <v>1742</v>
      </c>
      <c r="K19" s="65" t="s">
        <v>1743</v>
      </c>
      <c r="L19" s="65">
        <v>80</v>
      </c>
      <c r="M19" s="65"/>
      <c r="N19" s="65" t="str">
        <f t="shared" si="0"/>
        <v>AttributeDamageRate(AttributeGreen, 80)</v>
      </c>
      <c r="O19" s="65">
        <v>0</v>
      </c>
      <c r="P19" s="65">
        <v>0</v>
      </c>
      <c r="Q19" s="65"/>
      <c r="R19" s="65" t="b">
        <v>0</v>
      </c>
    </row>
    <row r="20" spans="1:18">
      <c r="A20" s="65" t="s">
        <v>627</v>
      </c>
      <c r="B20" s="65"/>
      <c r="C20" s="65"/>
      <c r="D20" s="65">
        <v>0</v>
      </c>
      <c r="E20" s="65">
        <v>1</v>
      </c>
      <c r="F20" s="65" t="s">
        <v>611</v>
      </c>
      <c r="G20" s="65" t="s">
        <v>612</v>
      </c>
      <c r="H20" s="65"/>
      <c r="I20" s="65">
        <v>0</v>
      </c>
      <c r="J20" s="65" t="s">
        <v>1742</v>
      </c>
      <c r="K20" s="65" t="s">
        <v>1743</v>
      </c>
      <c r="L20" s="65">
        <v>80</v>
      </c>
      <c r="M20" s="65"/>
      <c r="N20" s="65" t="str">
        <f t="shared" si="0"/>
        <v>AttributeDamageRate(AttributeGreen, 80)</v>
      </c>
      <c r="O20" s="65">
        <v>0</v>
      </c>
      <c r="P20" s="65">
        <v>0</v>
      </c>
      <c r="Q20" s="65"/>
      <c r="R20" s="65" t="b">
        <v>0</v>
      </c>
    </row>
    <row r="21" spans="1:18">
      <c r="A21" s="65" t="s">
        <v>628</v>
      </c>
      <c r="B21" s="65"/>
      <c r="C21" s="65"/>
      <c r="D21" s="65">
        <v>0</v>
      </c>
      <c r="E21" s="65">
        <v>1</v>
      </c>
      <c r="F21" s="65" t="s">
        <v>611</v>
      </c>
      <c r="G21" s="65" t="s">
        <v>612</v>
      </c>
      <c r="H21" s="65"/>
      <c r="I21" s="65">
        <v>0</v>
      </c>
      <c r="J21" s="65" t="s">
        <v>1742</v>
      </c>
      <c r="K21" s="65" t="s">
        <v>1743</v>
      </c>
      <c r="L21" s="65">
        <v>90</v>
      </c>
      <c r="M21" s="65"/>
      <c r="N21" s="65" t="str">
        <f t="shared" si="0"/>
        <v>AttributeDamageRate(AttributeGreen, 90)</v>
      </c>
      <c r="O21" s="65">
        <v>0</v>
      </c>
      <c r="P21" s="65">
        <v>0</v>
      </c>
      <c r="Q21" s="65"/>
      <c r="R21" s="65" t="b">
        <v>0</v>
      </c>
    </row>
    <row r="22" spans="1:18">
      <c r="A22" s="65" t="s">
        <v>629</v>
      </c>
      <c r="B22" s="65"/>
      <c r="C22" s="65"/>
      <c r="D22" s="65">
        <v>0</v>
      </c>
      <c r="E22" s="65">
        <v>1</v>
      </c>
      <c r="F22" s="65" t="s">
        <v>611</v>
      </c>
      <c r="G22" s="65" t="s">
        <v>612</v>
      </c>
      <c r="H22" s="65"/>
      <c r="I22" s="65">
        <v>0</v>
      </c>
      <c r="J22" s="65" t="s">
        <v>1742</v>
      </c>
      <c r="K22" s="65" t="s">
        <v>1743</v>
      </c>
      <c r="L22" s="65">
        <v>90</v>
      </c>
      <c r="M22" s="65"/>
      <c r="N22" s="65" t="str">
        <f t="shared" si="0"/>
        <v>AttributeDamageRate(AttributeGreen, 90)</v>
      </c>
      <c r="O22" s="65">
        <v>0</v>
      </c>
      <c r="P22" s="65">
        <v>0</v>
      </c>
      <c r="Q22" s="65"/>
      <c r="R22" s="65" t="b">
        <v>0</v>
      </c>
    </row>
    <row r="23" spans="1:18">
      <c r="A23" s="65" t="s">
        <v>630</v>
      </c>
      <c r="B23" s="65"/>
      <c r="C23" s="65"/>
      <c r="D23" s="65">
        <v>0</v>
      </c>
      <c r="E23" s="65">
        <v>1</v>
      </c>
      <c r="F23" s="65" t="s">
        <v>611</v>
      </c>
      <c r="G23" s="65" t="s">
        <v>612</v>
      </c>
      <c r="H23" s="65"/>
      <c r="I23" s="65">
        <v>0</v>
      </c>
      <c r="J23" s="65" t="s">
        <v>1742</v>
      </c>
      <c r="K23" s="65" t="s">
        <v>1743</v>
      </c>
      <c r="L23" s="65">
        <v>99.999999999999986</v>
      </c>
      <c r="M23" s="65"/>
      <c r="N23" s="65" t="str">
        <f t="shared" si="0"/>
        <v>AttributeDamageRate(AttributeGreen, 100)</v>
      </c>
      <c r="O23" s="65">
        <v>0</v>
      </c>
      <c r="P23" s="65">
        <v>0</v>
      </c>
      <c r="Q23" s="65"/>
      <c r="R23" s="65" t="b">
        <v>0</v>
      </c>
    </row>
    <row r="24" spans="1:18">
      <c r="A24" s="65" t="s">
        <v>631</v>
      </c>
      <c r="B24" s="65"/>
      <c r="C24" s="65"/>
      <c r="D24" s="65">
        <v>0</v>
      </c>
      <c r="E24" s="65">
        <v>1</v>
      </c>
      <c r="F24" s="65" t="s">
        <v>611</v>
      </c>
      <c r="G24" s="65" t="s">
        <v>612</v>
      </c>
      <c r="H24" s="65"/>
      <c r="I24" s="65">
        <v>0</v>
      </c>
      <c r="J24" s="65" t="s">
        <v>1742</v>
      </c>
      <c r="K24" s="65" t="s">
        <v>1743</v>
      </c>
      <c r="L24" s="65">
        <v>99.999999999999986</v>
      </c>
      <c r="M24" s="65"/>
      <c r="N24" s="65" t="str">
        <f t="shared" si="0"/>
        <v>AttributeDamageRate(AttributeGreen, 100)</v>
      </c>
      <c r="O24" s="65">
        <v>0</v>
      </c>
      <c r="P24" s="65">
        <v>0</v>
      </c>
      <c r="Q24" s="65"/>
      <c r="R24" s="65" t="b">
        <v>0</v>
      </c>
    </row>
    <row r="25" spans="1:18">
      <c r="A25" s="65" t="s">
        <v>632</v>
      </c>
      <c r="B25" s="65"/>
      <c r="C25" s="65"/>
      <c r="D25" s="65">
        <v>0</v>
      </c>
      <c r="E25" s="65">
        <v>1</v>
      </c>
      <c r="F25" s="65" t="s">
        <v>611</v>
      </c>
      <c r="G25" s="65" t="s">
        <v>612</v>
      </c>
      <c r="H25" s="65"/>
      <c r="I25" s="65">
        <v>0</v>
      </c>
      <c r="J25" s="65" t="s">
        <v>1742</v>
      </c>
      <c r="K25" s="65" t="s">
        <v>1743</v>
      </c>
      <c r="L25" s="65">
        <v>109.99999999999999</v>
      </c>
      <c r="M25" s="65"/>
      <c r="N25" s="65" t="str">
        <f t="shared" si="0"/>
        <v>AttributeDamageRate(AttributeGreen, 110)</v>
      </c>
      <c r="O25" s="65">
        <v>0</v>
      </c>
      <c r="P25" s="65">
        <v>0</v>
      </c>
      <c r="Q25" s="65"/>
      <c r="R25" s="65" t="b">
        <v>0</v>
      </c>
    </row>
    <row r="26" spans="1:18">
      <c r="A26" s="65" t="s">
        <v>633</v>
      </c>
      <c r="B26" s="65"/>
      <c r="C26" s="65"/>
      <c r="D26" s="65">
        <v>0</v>
      </c>
      <c r="E26" s="65">
        <v>1</v>
      </c>
      <c r="F26" s="65" t="s">
        <v>611</v>
      </c>
      <c r="G26" s="65" t="s">
        <v>612</v>
      </c>
      <c r="H26" s="65"/>
      <c r="I26" s="65">
        <v>0</v>
      </c>
      <c r="J26" s="65" t="s">
        <v>1742</v>
      </c>
      <c r="K26" s="65" t="s">
        <v>1743</v>
      </c>
      <c r="L26" s="65">
        <v>109.99999999999999</v>
      </c>
      <c r="M26" s="65"/>
      <c r="N26" s="65" t="str">
        <f t="shared" si="0"/>
        <v>AttributeDamageRate(AttributeGreen, 110)</v>
      </c>
      <c r="O26" s="65">
        <v>0</v>
      </c>
      <c r="P26" s="65">
        <v>0</v>
      </c>
      <c r="Q26" s="65"/>
      <c r="R26" s="65" t="b">
        <v>0</v>
      </c>
    </row>
    <row r="27" spans="1:18">
      <c r="A27" s="65" t="s">
        <v>634</v>
      </c>
      <c r="B27" s="65"/>
      <c r="C27" s="65"/>
      <c r="D27" s="65">
        <v>0</v>
      </c>
      <c r="E27" s="65">
        <v>1</v>
      </c>
      <c r="F27" s="65" t="s">
        <v>611</v>
      </c>
      <c r="G27" s="65" t="s">
        <v>612</v>
      </c>
      <c r="H27" s="65"/>
      <c r="I27" s="65">
        <v>0</v>
      </c>
      <c r="J27" s="65" t="s">
        <v>1742</v>
      </c>
      <c r="K27" s="65" t="s">
        <v>1743</v>
      </c>
      <c r="L27" s="65">
        <v>119.99999999999999</v>
      </c>
      <c r="M27" s="65"/>
      <c r="N27" s="65" t="str">
        <f t="shared" si="0"/>
        <v>AttributeDamageRate(AttributeGreen, 120)</v>
      </c>
      <c r="O27" s="65">
        <v>0</v>
      </c>
      <c r="P27" s="65">
        <v>0</v>
      </c>
      <c r="Q27" s="65"/>
      <c r="R27" s="65" t="b">
        <v>0</v>
      </c>
    </row>
    <row r="28" spans="1:18">
      <c r="A28" s="65" t="s">
        <v>635</v>
      </c>
      <c r="B28" s="65"/>
      <c r="C28" s="65"/>
      <c r="D28" s="65">
        <v>0</v>
      </c>
      <c r="E28" s="65">
        <v>1</v>
      </c>
      <c r="F28" s="65" t="s">
        <v>611</v>
      </c>
      <c r="G28" s="65" t="s">
        <v>612</v>
      </c>
      <c r="H28" s="65"/>
      <c r="I28" s="65">
        <v>0</v>
      </c>
      <c r="J28" s="65" t="s">
        <v>1742</v>
      </c>
      <c r="K28" s="65" t="s">
        <v>1743</v>
      </c>
      <c r="L28" s="65">
        <v>119.99999999999999</v>
      </c>
      <c r="M28" s="65"/>
      <c r="N28" s="65" t="str">
        <f t="shared" si="0"/>
        <v>AttributeDamageRate(AttributeGreen, 120)</v>
      </c>
      <c r="O28" s="65">
        <v>0</v>
      </c>
      <c r="P28" s="65">
        <v>0</v>
      </c>
      <c r="Q28" s="65"/>
      <c r="R28" s="65" t="b">
        <v>0</v>
      </c>
    </row>
    <row r="29" spans="1:18">
      <c r="A29" s="65" t="s">
        <v>636</v>
      </c>
      <c r="B29" s="65"/>
      <c r="C29" s="65"/>
      <c r="D29" s="65">
        <v>0</v>
      </c>
      <c r="E29" s="65">
        <v>1</v>
      </c>
      <c r="F29" s="65" t="s">
        <v>611</v>
      </c>
      <c r="G29" s="65" t="s">
        <v>612</v>
      </c>
      <c r="H29" s="65"/>
      <c r="I29" s="65">
        <v>0</v>
      </c>
      <c r="J29" s="65" t="s">
        <v>1742</v>
      </c>
      <c r="K29" s="65" t="s">
        <v>1743</v>
      </c>
      <c r="L29" s="65">
        <v>129.99999999999997</v>
      </c>
      <c r="M29" s="65"/>
      <c r="N29" s="65" t="str">
        <f t="shared" si="0"/>
        <v>AttributeDamageRate(AttributeGreen, 130)</v>
      </c>
      <c r="O29" s="65">
        <v>0</v>
      </c>
      <c r="P29" s="65">
        <v>0</v>
      </c>
      <c r="Q29" s="65"/>
      <c r="R29" s="65" t="b">
        <v>0</v>
      </c>
    </row>
    <row r="30" spans="1:18">
      <c r="A30" s="65" t="s">
        <v>637</v>
      </c>
      <c r="B30" s="65"/>
      <c r="C30" s="65"/>
      <c r="D30" s="65">
        <v>0</v>
      </c>
      <c r="E30" s="65">
        <v>1</v>
      </c>
      <c r="F30" s="65" t="s">
        <v>611</v>
      </c>
      <c r="G30" s="65" t="s">
        <v>612</v>
      </c>
      <c r="H30" s="65"/>
      <c r="I30" s="65">
        <v>0</v>
      </c>
      <c r="J30" s="65" t="s">
        <v>1742</v>
      </c>
      <c r="K30" s="65" t="s">
        <v>1743</v>
      </c>
      <c r="L30" s="65">
        <v>129.99999999999997</v>
      </c>
      <c r="M30" s="65"/>
      <c r="N30" s="65" t="str">
        <f t="shared" si="0"/>
        <v>AttributeDamageRate(AttributeGreen, 130)</v>
      </c>
      <c r="O30" s="65">
        <v>0</v>
      </c>
      <c r="P30" s="65">
        <v>0</v>
      </c>
      <c r="Q30" s="65"/>
      <c r="R30" s="65" t="b">
        <v>0</v>
      </c>
    </row>
    <row r="31" spans="1:18">
      <c r="A31" s="65" t="s">
        <v>638</v>
      </c>
      <c r="B31" s="65"/>
      <c r="C31" s="65"/>
      <c r="D31" s="65">
        <v>0</v>
      </c>
      <c r="E31" s="65">
        <v>1</v>
      </c>
      <c r="F31" s="65" t="s">
        <v>611</v>
      </c>
      <c r="G31" s="65" t="s">
        <v>612</v>
      </c>
      <c r="H31" s="65"/>
      <c r="I31" s="65">
        <v>0</v>
      </c>
      <c r="J31" s="65" t="s">
        <v>1742</v>
      </c>
      <c r="K31" s="65" t="s">
        <v>1743</v>
      </c>
      <c r="L31" s="65">
        <v>139.99999999999997</v>
      </c>
      <c r="M31" s="65"/>
      <c r="N31" s="65" t="str">
        <f t="shared" si="0"/>
        <v>AttributeDamageRate(AttributeGreen, 140)</v>
      </c>
      <c r="O31" s="65">
        <v>0</v>
      </c>
      <c r="P31" s="65">
        <v>0</v>
      </c>
      <c r="Q31" s="65"/>
      <c r="R31" s="65" t="b">
        <v>0</v>
      </c>
    </row>
    <row r="32" spans="1:18">
      <c r="A32" s="65" t="s">
        <v>639</v>
      </c>
      <c r="B32" s="65"/>
      <c r="C32" s="65"/>
      <c r="D32" s="65">
        <v>0</v>
      </c>
      <c r="E32" s="65">
        <v>1</v>
      </c>
      <c r="F32" s="65" t="s">
        <v>611</v>
      </c>
      <c r="G32" s="65" t="s">
        <v>612</v>
      </c>
      <c r="H32" s="65"/>
      <c r="I32" s="65">
        <v>0</v>
      </c>
      <c r="J32" s="65" t="s">
        <v>1742</v>
      </c>
      <c r="K32" s="65" t="s">
        <v>1743</v>
      </c>
      <c r="L32" s="65">
        <v>139.99999999999997</v>
      </c>
      <c r="M32" s="65"/>
      <c r="N32" s="65" t="str">
        <f t="shared" si="0"/>
        <v>AttributeDamageRate(AttributeGreen, 140)</v>
      </c>
      <c r="O32" s="65">
        <v>0</v>
      </c>
      <c r="P32" s="65">
        <v>0</v>
      </c>
      <c r="Q32" s="65"/>
      <c r="R32" s="65" t="b">
        <v>0</v>
      </c>
    </row>
    <row r="33" spans="1:18">
      <c r="A33" s="65" t="s">
        <v>640</v>
      </c>
      <c r="B33" s="65"/>
      <c r="C33" s="65"/>
      <c r="D33" s="65">
        <v>0</v>
      </c>
      <c r="E33" s="65">
        <v>1</v>
      </c>
      <c r="F33" s="65" t="s">
        <v>611</v>
      </c>
      <c r="G33" s="65" t="s">
        <v>612</v>
      </c>
      <c r="H33" s="65"/>
      <c r="I33" s="65">
        <v>0</v>
      </c>
      <c r="J33" s="65" t="s">
        <v>1742</v>
      </c>
      <c r="K33" s="65" t="s">
        <v>1743</v>
      </c>
      <c r="L33" s="65">
        <v>150</v>
      </c>
      <c r="M33" s="65"/>
      <c r="N33" s="65" t="str">
        <f t="shared" si="0"/>
        <v>AttributeDamageRate(AttributeGreen, 150)</v>
      </c>
      <c r="O33" s="65">
        <v>0</v>
      </c>
      <c r="P33" s="65">
        <v>0</v>
      </c>
      <c r="Q33" s="65"/>
      <c r="R33" s="65" t="b">
        <v>0</v>
      </c>
    </row>
    <row r="34" spans="1:18">
      <c r="A34" s="74" t="s">
        <v>641</v>
      </c>
      <c r="B34" s="74"/>
      <c r="C34" s="74"/>
      <c r="D34" s="74">
        <v>0</v>
      </c>
      <c r="E34" s="74">
        <v>1</v>
      </c>
      <c r="F34" s="74" t="s">
        <v>611</v>
      </c>
      <c r="G34" s="74" t="s">
        <v>612</v>
      </c>
      <c r="H34" s="74"/>
      <c r="I34" s="74">
        <v>0</v>
      </c>
      <c r="J34" s="74" t="s">
        <v>1746</v>
      </c>
      <c r="K34" s="74" t="s">
        <v>789</v>
      </c>
      <c r="L34" s="74">
        <v>0</v>
      </c>
      <c r="M34" s="74"/>
      <c r="N34" s="74" t="str">
        <f t="shared" si="0"/>
        <v>AttributeDamageDerate(AttributeBlue, 0)</v>
      </c>
      <c r="O34" s="74">
        <v>0</v>
      </c>
      <c r="P34" s="74">
        <v>0</v>
      </c>
      <c r="Q34" s="74"/>
      <c r="R34" s="74" t="b">
        <v>0</v>
      </c>
    </row>
    <row r="35" spans="1:18">
      <c r="A35" s="74" t="s">
        <v>642</v>
      </c>
      <c r="B35" s="74"/>
      <c r="C35" s="74"/>
      <c r="D35" s="74">
        <v>0</v>
      </c>
      <c r="E35" s="74">
        <v>1</v>
      </c>
      <c r="F35" s="74" t="s">
        <v>611</v>
      </c>
      <c r="G35" s="74" t="s">
        <v>612</v>
      </c>
      <c r="H35" s="74"/>
      <c r="I35" s="74">
        <v>0</v>
      </c>
      <c r="J35" s="74" t="s">
        <v>1746</v>
      </c>
      <c r="K35" s="74" t="s">
        <v>789</v>
      </c>
      <c r="L35" s="74">
        <v>10</v>
      </c>
      <c r="M35" s="74"/>
      <c r="N35" s="74" t="str">
        <f t="shared" si="0"/>
        <v>AttributeDamageDerate(AttributeBlue, 10)</v>
      </c>
      <c r="O35" s="74">
        <v>0</v>
      </c>
      <c r="P35" s="74">
        <v>0</v>
      </c>
      <c r="Q35" s="74"/>
      <c r="R35" s="74" t="b">
        <v>0</v>
      </c>
    </row>
    <row r="36" spans="1:18">
      <c r="A36" s="74" t="s">
        <v>643</v>
      </c>
      <c r="B36" s="74"/>
      <c r="C36" s="74"/>
      <c r="D36" s="74">
        <v>0</v>
      </c>
      <c r="E36" s="74">
        <v>1</v>
      </c>
      <c r="F36" s="74" t="s">
        <v>611</v>
      </c>
      <c r="G36" s="74" t="s">
        <v>612</v>
      </c>
      <c r="H36" s="74"/>
      <c r="I36" s="74">
        <v>0</v>
      </c>
      <c r="J36" s="74" t="s">
        <v>1746</v>
      </c>
      <c r="K36" s="74" t="s">
        <v>789</v>
      </c>
      <c r="L36" s="74">
        <v>10</v>
      </c>
      <c r="M36" s="74"/>
      <c r="N36" s="74" t="str">
        <f t="shared" si="0"/>
        <v>AttributeDamageDerate(AttributeBlue, 10)</v>
      </c>
      <c r="O36" s="74">
        <v>0</v>
      </c>
      <c r="P36" s="74">
        <v>0</v>
      </c>
      <c r="Q36" s="74"/>
      <c r="R36" s="74" t="b">
        <v>0</v>
      </c>
    </row>
    <row r="37" spans="1:18">
      <c r="A37" s="74" t="s">
        <v>644</v>
      </c>
      <c r="B37" s="74"/>
      <c r="C37" s="74"/>
      <c r="D37" s="74">
        <v>0</v>
      </c>
      <c r="E37" s="74">
        <v>1</v>
      </c>
      <c r="F37" s="74" t="s">
        <v>611</v>
      </c>
      <c r="G37" s="74" t="s">
        <v>612</v>
      </c>
      <c r="H37" s="74"/>
      <c r="I37" s="74">
        <v>0</v>
      </c>
      <c r="J37" s="74" t="s">
        <v>1746</v>
      </c>
      <c r="K37" s="74" t="s">
        <v>789</v>
      </c>
      <c r="L37" s="74">
        <v>20</v>
      </c>
      <c r="M37" s="74"/>
      <c r="N37" s="74" t="str">
        <f t="shared" si="0"/>
        <v>AttributeDamageDerate(AttributeBlue, 20)</v>
      </c>
      <c r="O37" s="74">
        <v>0</v>
      </c>
      <c r="P37" s="74">
        <v>0</v>
      </c>
      <c r="Q37" s="74"/>
      <c r="R37" s="74" t="b">
        <v>0</v>
      </c>
    </row>
    <row r="38" spans="1:18">
      <c r="A38" s="74" t="s">
        <v>645</v>
      </c>
      <c r="B38" s="74"/>
      <c r="C38" s="74"/>
      <c r="D38" s="74">
        <v>0</v>
      </c>
      <c r="E38" s="74">
        <v>1</v>
      </c>
      <c r="F38" s="74" t="s">
        <v>611</v>
      </c>
      <c r="G38" s="74" t="s">
        <v>612</v>
      </c>
      <c r="H38" s="74"/>
      <c r="I38" s="74">
        <v>0</v>
      </c>
      <c r="J38" s="74" t="s">
        <v>1746</v>
      </c>
      <c r="K38" s="74" t="s">
        <v>1744</v>
      </c>
      <c r="L38" s="74">
        <v>20</v>
      </c>
      <c r="M38" s="74"/>
      <c r="N38" s="74" t="str">
        <f t="shared" si="0"/>
        <v>AttributeDamageDerate(AttributeBlue, 20)</v>
      </c>
      <c r="O38" s="74">
        <v>0</v>
      </c>
      <c r="P38" s="74">
        <v>0</v>
      </c>
      <c r="Q38" s="74"/>
      <c r="R38" s="74" t="b">
        <v>0</v>
      </c>
    </row>
    <row r="39" spans="1:18">
      <c r="A39" s="74" t="s">
        <v>646</v>
      </c>
      <c r="B39" s="74"/>
      <c r="C39" s="74"/>
      <c r="D39" s="74">
        <v>0</v>
      </c>
      <c r="E39" s="74">
        <v>1</v>
      </c>
      <c r="F39" s="74" t="s">
        <v>611</v>
      </c>
      <c r="G39" s="74" t="s">
        <v>612</v>
      </c>
      <c r="H39" s="74"/>
      <c r="I39" s="74">
        <v>0</v>
      </c>
      <c r="J39" s="74" t="s">
        <v>1746</v>
      </c>
      <c r="K39" s="74" t="s">
        <v>1744</v>
      </c>
      <c r="L39" s="74">
        <v>30</v>
      </c>
      <c r="M39" s="74"/>
      <c r="N39" s="74" t="str">
        <f t="shared" si="0"/>
        <v>AttributeDamageDerate(AttributeBlue, 30)</v>
      </c>
      <c r="O39" s="74">
        <v>0</v>
      </c>
      <c r="P39" s="74">
        <v>0</v>
      </c>
      <c r="Q39" s="74"/>
      <c r="R39" s="74" t="b">
        <v>0</v>
      </c>
    </row>
    <row r="40" spans="1:18">
      <c r="A40" s="74" t="s">
        <v>647</v>
      </c>
      <c r="B40" s="74"/>
      <c r="C40" s="74"/>
      <c r="D40" s="74">
        <v>0</v>
      </c>
      <c r="E40" s="74">
        <v>1</v>
      </c>
      <c r="F40" s="74" t="s">
        <v>611</v>
      </c>
      <c r="G40" s="74" t="s">
        <v>612</v>
      </c>
      <c r="H40" s="74"/>
      <c r="I40" s="74">
        <v>0</v>
      </c>
      <c r="J40" s="74" t="s">
        <v>1746</v>
      </c>
      <c r="K40" s="74" t="s">
        <v>1744</v>
      </c>
      <c r="L40" s="74">
        <v>30</v>
      </c>
      <c r="M40" s="74"/>
      <c r="N40" s="74" t="str">
        <f t="shared" si="0"/>
        <v>AttributeDamageDerate(AttributeBlue, 30)</v>
      </c>
      <c r="O40" s="74">
        <v>0</v>
      </c>
      <c r="P40" s="74">
        <v>0</v>
      </c>
      <c r="Q40" s="74"/>
      <c r="R40" s="74" t="b">
        <v>0</v>
      </c>
    </row>
    <row r="41" spans="1:18">
      <c r="A41" s="74" t="s">
        <v>648</v>
      </c>
      <c r="B41" s="74"/>
      <c r="C41" s="74"/>
      <c r="D41" s="74">
        <v>0</v>
      </c>
      <c r="E41" s="74">
        <v>1</v>
      </c>
      <c r="F41" s="74" t="s">
        <v>611</v>
      </c>
      <c r="G41" s="74" t="s">
        <v>612</v>
      </c>
      <c r="H41" s="74"/>
      <c r="I41" s="74">
        <v>0</v>
      </c>
      <c r="J41" s="74" t="s">
        <v>1746</v>
      </c>
      <c r="K41" s="74" t="s">
        <v>1744</v>
      </c>
      <c r="L41" s="74">
        <v>40</v>
      </c>
      <c r="M41" s="74"/>
      <c r="N41" s="74" t="str">
        <f t="shared" si="0"/>
        <v>AttributeDamageDerate(AttributeBlue, 40)</v>
      </c>
      <c r="O41" s="74">
        <v>0</v>
      </c>
      <c r="P41" s="74">
        <v>0</v>
      </c>
      <c r="Q41" s="74"/>
      <c r="R41" s="74" t="b">
        <v>0</v>
      </c>
    </row>
    <row r="42" spans="1:18">
      <c r="A42" s="74" t="s">
        <v>649</v>
      </c>
      <c r="B42" s="74"/>
      <c r="C42" s="74"/>
      <c r="D42" s="74">
        <v>0</v>
      </c>
      <c r="E42" s="74">
        <v>1</v>
      </c>
      <c r="F42" s="74" t="s">
        <v>611</v>
      </c>
      <c r="G42" s="74" t="s">
        <v>612</v>
      </c>
      <c r="H42" s="74"/>
      <c r="I42" s="74">
        <v>0</v>
      </c>
      <c r="J42" s="74" t="s">
        <v>1746</v>
      </c>
      <c r="K42" s="74" t="s">
        <v>1744</v>
      </c>
      <c r="L42" s="74">
        <v>40</v>
      </c>
      <c r="M42" s="74"/>
      <c r="N42" s="74" t="str">
        <f t="shared" si="0"/>
        <v>AttributeDamageDerate(AttributeBlue, 40)</v>
      </c>
      <c r="O42" s="74">
        <v>0</v>
      </c>
      <c r="P42" s="74">
        <v>0</v>
      </c>
      <c r="Q42" s="74"/>
      <c r="R42" s="74" t="b">
        <v>0</v>
      </c>
    </row>
    <row r="43" spans="1:18">
      <c r="A43" s="74" t="s">
        <v>650</v>
      </c>
      <c r="B43" s="74"/>
      <c r="C43" s="74"/>
      <c r="D43" s="74">
        <v>0</v>
      </c>
      <c r="E43" s="74">
        <v>1</v>
      </c>
      <c r="F43" s="74" t="s">
        <v>611</v>
      </c>
      <c r="G43" s="74" t="s">
        <v>612</v>
      </c>
      <c r="H43" s="74"/>
      <c r="I43" s="74">
        <v>0</v>
      </c>
      <c r="J43" s="74" t="s">
        <v>1746</v>
      </c>
      <c r="K43" s="74" t="s">
        <v>1744</v>
      </c>
      <c r="L43" s="74">
        <v>50</v>
      </c>
      <c r="M43" s="74"/>
      <c r="N43" s="74" t="str">
        <f t="shared" si="0"/>
        <v>AttributeDamageDerate(AttributeBlue, 50)</v>
      </c>
      <c r="O43" s="74">
        <v>0</v>
      </c>
      <c r="P43" s="74">
        <v>0</v>
      </c>
      <c r="Q43" s="74"/>
      <c r="R43" s="74" t="b">
        <v>0</v>
      </c>
    </row>
    <row r="44" spans="1:18">
      <c r="A44" s="74" t="s">
        <v>651</v>
      </c>
      <c r="B44" s="74"/>
      <c r="C44" s="74"/>
      <c r="D44" s="74">
        <v>0</v>
      </c>
      <c r="E44" s="74">
        <v>1</v>
      </c>
      <c r="F44" s="74" t="s">
        <v>611</v>
      </c>
      <c r="G44" s="74" t="s">
        <v>612</v>
      </c>
      <c r="H44" s="74"/>
      <c r="I44" s="74">
        <v>0</v>
      </c>
      <c r="J44" s="74" t="s">
        <v>1746</v>
      </c>
      <c r="K44" s="74" t="s">
        <v>1744</v>
      </c>
      <c r="L44" s="74">
        <v>50</v>
      </c>
      <c r="M44" s="74"/>
      <c r="N44" s="74" t="str">
        <f t="shared" si="0"/>
        <v>AttributeDamageDerate(AttributeBlue, 50)</v>
      </c>
      <c r="O44" s="74">
        <v>0</v>
      </c>
      <c r="P44" s="74">
        <v>0</v>
      </c>
      <c r="Q44" s="74"/>
      <c r="R44" s="74" t="b">
        <v>0</v>
      </c>
    </row>
    <row r="45" spans="1:18">
      <c r="A45" s="74" t="s">
        <v>652</v>
      </c>
      <c r="B45" s="74"/>
      <c r="C45" s="74"/>
      <c r="D45" s="74">
        <v>0</v>
      </c>
      <c r="E45" s="74">
        <v>1</v>
      </c>
      <c r="F45" s="74" t="s">
        <v>611</v>
      </c>
      <c r="G45" s="74" t="s">
        <v>612</v>
      </c>
      <c r="H45" s="74"/>
      <c r="I45" s="74">
        <v>0</v>
      </c>
      <c r="J45" s="74" t="s">
        <v>1746</v>
      </c>
      <c r="K45" s="74" t="s">
        <v>1744</v>
      </c>
      <c r="L45" s="74">
        <v>60.000000000000007</v>
      </c>
      <c r="M45" s="74"/>
      <c r="N45" s="74" t="str">
        <f t="shared" ref="N45:N123" si="1">J45&amp;"("&amp;IF(K45="","",K45)&amp;IF(L45="","",", "&amp;L45)&amp;IF(M45="","",", "&amp;M45)&amp;")"</f>
        <v>AttributeDamageDerate(AttributeBlue, 60)</v>
      </c>
      <c r="O45" s="74">
        <v>0</v>
      </c>
      <c r="P45" s="74">
        <v>0</v>
      </c>
      <c r="Q45" s="74"/>
      <c r="R45" s="74" t="b">
        <v>0</v>
      </c>
    </row>
    <row r="46" spans="1:18">
      <c r="A46" s="74" t="s">
        <v>653</v>
      </c>
      <c r="B46" s="74"/>
      <c r="C46" s="74"/>
      <c r="D46" s="74">
        <v>0</v>
      </c>
      <c r="E46" s="74">
        <v>1</v>
      </c>
      <c r="F46" s="74" t="s">
        <v>611</v>
      </c>
      <c r="G46" s="74" t="s">
        <v>612</v>
      </c>
      <c r="H46" s="74"/>
      <c r="I46" s="74">
        <v>0</v>
      </c>
      <c r="J46" s="74" t="s">
        <v>1746</v>
      </c>
      <c r="K46" s="74" t="s">
        <v>1744</v>
      </c>
      <c r="L46" s="74">
        <v>60.000000000000007</v>
      </c>
      <c r="M46" s="74"/>
      <c r="N46" s="74" t="str">
        <f t="shared" si="1"/>
        <v>AttributeDamageDerate(AttributeBlue, 60)</v>
      </c>
      <c r="O46" s="74">
        <v>0</v>
      </c>
      <c r="P46" s="74">
        <v>0</v>
      </c>
      <c r="Q46" s="74"/>
      <c r="R46" s="74" t="b">
        <v>0</v>
      </c>
    </row>
    <row r="47" spans="1:18">
      <c r="A47" s="74" t="s">
        <v>654</v>
      </c>
      <c r="B47" s="74"/>
      <c r="C47" s="74"/>
      <c r="D47" s="74">
        <v>0</v>
      </c>
      <c r="E47" s="74">
        <v>1</v>
      </c>
      <c r="F47" s="74" t="s">
        <v>611</v>
      </c>
      <c r="G47" s="74" t="s">
        <v>612</v>
      </c>
      <c r="H47" s="74"/>
      <c r="I47" s="74">
        <v>0</v>
      </c>
      <c r="J47" s="74" t="s">
        <v>1746</v>
      </c>
      <c r="K47" s="74" t="s">
        <v>1744</v>
      </c>
      <c r="L47" s="74">
        <v>70</v>
      </c>
      <c r="M47" s="74"/>
      <c r="N47" s="74" t="str">
        <f t="shared" si="1"/>
        <v>AttributeDamageDerate(AttributeBlue, 70)</v>
      </c>
      <c r="O47" s="74">
        <v>0</v>
      </c>
      <c r="P47" s="74">
        <v>0</v>
      </c>
      <c r="Q47" s="74"/>
      <c r="R47" s="74" t="b">
        <v>0</v>
      </c>
    </row>
    <row r="48" spans="1:18">
      <c r="A48" s="74" t="s">
        <v>655</v>
      </c>
      <c r="B48" s="74"/>
      <c r="C48" s="74"/>
      <c r="D48" s="74">
        <v>0</v>
      </c>
      <c r="E48" s="74">
        <v>1</v>
      </c>
      <c r="F48" s="74" t="s">
        <v>611</v>
      </c>
      <c r="G48" s="74" t="s">
        <v>612</v>
      </c>
      <c r="H48" s="74"/>
      <c r="I48" s="74">
        <v>0</v>
      </c>
      <c r="J48" s="74" t="s">
        <v>1746</v>
      </c>
      <c r="K48" s="74" t="s">
        <v>1744</v>
      </c>
      <c r="L48" s="74">
        <v>70</v>
      </c>
      <c r="M48" s="74"/>
      <c r="N48" s="74" t="str">
        <f t="shared" si="1"/>
        <v>AttributeDamageDerate(AttributeBlue, 70)</v>
      </c>
      <c r="O48" s="74">
        <v>0</v>
      </c>
      <c r="P48" s="74">
        <v>0</v>
      </c>
      <c r="Q48" s="74"/>
      <c r="R48" s="74" t="b">
        <v>0</v>
      </c>
    </row>
    <row r="49" spans="1:18">
      <c r="A49" s="74" t="s">
        <v>656</v>
      </c>
      <c r="B49" s="74"/>
      <c r="C49" s="74"/>
      <c r="D49" s="74">
        <v>0</v>
      </c>
      <c r="E49" s="74">
        <v>1</v>
      </c>
      <c r="F49" s="74" t="s">
        <v>611</v>
      </c>
      <c r="G49" s="74" t="s">
        <v>612</v>
      </c>
      <c r="H49" s="74"/>
      <c r="I49" s="74">
        <v>0</v>
      </c>
      <c r="J49" s="74" t="s">
        <v>1746</v>
      </c>
      <c r="K49" s="74" t="s">
        <v>1744</v>
      </c>
      <c r="L49" s="74">
        <v>80</v>
      </c>
      <c r="M49" s="74"/>
      <c r="N49" s="74" t="str">
        <f t="shared" si="1"/>
        <v>AttributeDamageDerate(AttributeBlue, 80)</v>
      </c>
      <c r="O49" s="74">
        <v>0</v>
      </c>
      <c r="P49" s="74">
        <v>0</v>
      </c>
      <c r="Q49" s="74"/>
      <c r="R49" s="74" t="b">
        <v>0</v>
      </c>
    </row>
    <row r="50" spans="1:18">
      <c r="A50" s="74" t="s">
        <v>657</v>
      </c>
      <c r="B50" s="74"/>
      <c r="C50" s="74"/>
      <c r="D50" s="74">
        <v>0</v>
      </c>
      <c r="E50" s="74">
        <v>1</v>
      </c>
      <c r="F50" s="74" t="s">
        <v>611</v>
      </c>
      <c r="G50" s="74" t="s">
        <v>612</v>
      </c>
      <c r="H50" s="74"/>
      <c r="I50" s="74">
        <v>0</v>
      </c>
      <c r="J50" s="74" t="s">
        <v>1746</v>
      </c>
      <c r="K50" s="74" t="s">
        <v>1744</v>
      </c>
      <c r="L50" s="74">
        <v>80</v>
      </c>
      <c r="M50" s="74"/>
      <c r="N50" s="74" t="str">
        <f t="shared" si="1"/>
        <v>AttributeDamageDerate(AttributeBlue, 80)</v>
      </c>
      <c r="O50" s="74">
        <v>0</v>
      </c>
      <c r="P50" s="74">
        <v>0</v>
      </c>
      <c r="Q50" s="74"/>
      <c r="R50" s="74" t="b">
        <v>0</v>
      </c>
    </row>
    <row r="51" spans="1:18">
      <c r="A51" s="74" t="s">
        <v>658</v>
      </c>
      <c r="B51" s="74"/>
      <c r="C51" s="74"/>
      <c r="D51" s="74">
        <v>0</v>
      </c>
      <c r="E51" s="74">
        <v>1</v>
      </c>
      <c r="F51" s="74" t="s">
        <v>611</v>
      </c>
      <c r="G51" s="74" t="s">
        <v>612</v>
      </c>
      <c r="H51" s="74"/>
      <c r="I51" s="74">
        <v>0</v>
      </c>
      <c r="J51" s="74" t="s">
        <v>1746</v>
      </c>
      <c r="K51" s="74" t="s">
        <v>1744</v>
      </c>
      <c r="L51" s="74">
        <v>90</v>
      </c>
      <c r="M51" s="74"/>
      <c r="N51" s="74" t="str">
        <f t="shared" si="1"/>
        <v>AttributeDamageDerate(AttributeBlue, 90)</v>
      </c>
      <c r="O51" s="74">
        <v>0</v>
      </c>
      <c r="P51" s="74">
        <v>0</v>
      </c>
      <c r="Q51" s="74"/>
      <c r="R51" s="74" t="b">
        <v>0</v>
      </c>
    </row>
    <row r="52" spans="1:18">
      <c r="A52" s="74" t="s">
        <v>659</v>
      </c>
      <c r="B52" s="74"/>
      <c r="C52" s="74"/>
      <c r="D52" s="74">
        <v>0</v>
      </c>
      <c r="E52" s="74">
        <v>1</v>
      </c>
      <c r="F52" s="74" t="s">
        <v>611</v>
      </c>
      <c r="G52" s="74" t="s">
        <v>612</v>
      </c>
      <c r="H52" s="74"/>
      <c r="I52" s="74">
        <v>0</v>
      </c>
      <c r="J52" s="74" t="s">
        <v>1746</v>
      </c>
      <c r="K52" s="74" t="s">
        <v>1744</v>
      </c>
      <c r="L52" s="74">
        <v>90</v>
      </c>
      <c r="M52" s="74"/>
      <c r="N52" s="74" t="str">
        <f t="shared" si="1"/>
        <v>AttributeDamageDerate(AttributeBlue, 90)</v>
      </c>
      <c r="O52" s="74">
        <v>0</v>
      </c>
      <c r="P52" s="74">
        <v>0</v>
      </c>
      <c r="Q52" s="74"/>
      <c r="R52" s="74" t="b">
        <v>0</v>
      </c>
    </row>
    <row r="53" spans="1:18">
      <c r="A53" s="74" t="s">
        <v>660</v>
      </c>
      <c r="B53" s="74"/>
      <c r="C53" s="74"/>
      <c r="D53" s="74">
        <v>0</v>
      </c>
      <c r="E53" s="74">
        <v>1</v>
      </c>
      <c r="F53" s="74" t="s">
        <v>611</v>
      </c>
      <c r="G53" s="74" t="s">
        <v>612</v>
      </c>
      <c r="H53" s="74"/>
      <c r="I53" s="74">
        <v>0</v>
      </c>
      <c r="J53" s="74" t="s">
        <v>1746</v>
      </c>
      <c r="K53" s="74" t="s">
        <v>1744</v>
      </c>
      <c r="L53" s="74">
        <v>99.999999999999986</v>
      </c>
      <c r="M53" s="74"/>
      <c r="N53" s="74" t="str">
        <f t="shared" si="1"/>
        <v>AttributeDamageDerate(AttributeBlue, 100)</v>
      </c>
      <c r="O53" s="74">
        <v>0</v>
      </c>
      <c r="P53" s="74">
        <v>0</v>
      </c>
      <c r="Q53" s="74"/>
      <c r="R53" s="74" t="b">
        <v>0</v>
      </c>
    </row>
    <row r="54" spans="1:18">
      <c r="A54" s="74" t="s">
        <v>661</v>
      </c>
      <c r="B54" s="74"/>
      <c r="C54" s="74"/>
      <c r="D54" s="74">
        <v>0</v>
      </c>
      <c r="E54" s="74">
        <v>1</v>
      </c>
      <c r="F54" s="74" t="s">
        <v>611</v>
      </c>
      <c r="G54" s="74" t="s">
        <v>612</v>
      </c>
      <c r="H54" s="74"/>
      <c r="I54" s="74">
        <v>0</v>
      </c>
      <c r="J54" s="74" t="s">
        <v>1746</v>
      </c>
      <c r="K54" s="74" t="s">
        <v>1744</v>
      </c>
      <c r="L54" s="74">
        <v>99.999999999999986</v>
      </c>
      <c r="M54" s="74"/>
      <c r="N54" s="74" t="str">
        <f t="shared" si="1"/>
        <v>AttributeDamageDerate(AttributeBlue, 100)</v>
      </c>
      <c r="O54" s="74">
        <v>0</v>
      </c>
      <c r="P54" s="74">
        <v>0</v>
      </c>
      <c r="Q54" s="74"/>
      <c r="R54" s="74" t="b">
        <v>0</v>
      </c>
    </row>
    <row r="55" spans="1:18">
      <c r="A55" s="74" t="s">
        <v>662</v>
      </c>
      <c r="B55" s="74"/>
      <c r="C55" s="74"/>
      <c r="D55" s="74">
        <v>0</v>
      </c>
      <c r="E55" s="74">
        <v>1</v>
      </c>
      <c r="F55" s="74" t="s">
        <v>611</v>
      </c>
      <c r="G55" s="74" t="s">
        <v>612</v>
      </c>
      <c r="H55" s="74"/>
      <c r="I55" s="74">
        <v>0</v>
      </c>
      <c r="J55" s="74" t="s">
        <v>1746</v>
      </c>
      <c r="K55" s="74" t="s">
        <v>1744</v>
      </c>
      <c r="L55" s="74">
        <v>109.99999999999999</v>
      </c>
      <c r="M55" s="74"/>
      <c r="N55" s="74" t="str">
        <f t="shared" si="1"/>
        <v>AttributeDamageDerate(AttributeBlue, 110)</v>
      </c>
      <c r="O55" s="74">
        <v>0</v>
      </c>
      <c r="P55" s="74">
        <v>0</v>
      </c>
      <c r="Q55" s="74"/>
      <c r="R55" s="74" t="b">
        <v>0</v>
      </c>
    </row>
    <row r="56" spans="1:18">
      <c r="A56" s="74" t="s">
        <v>663</v>
      </c>
      <c r="B56" s="74"/>
      <c r="C56" s="74"/>
      <c r="D56" s="74">
        <v>0</v>
      </c>
      <c r="E56" s="74">
        <v>1</v>
      </c>
      <c r="F56" s="74" t="s">
        <v>611</v>
      </c>
      <c r="G56" s="74" t="s">
        <v>612</v>
      </c>
      <c r="H56" s="74"/>
      <c r="I56" s="74">
        <v>0</v>
      </c>
      <c r="J56" s="74" t="s">
        <v>1746</v>
      </c>
      <c r="K56" s="74" t="s">
        <v>1744</v>
      </c>
      <c r="L56" s="74">
        <v>109.99999999999999</v>
      </c>
      <c r="M56" s="74"/>
      <c r="N56" s="74" t="str">
        <f t="shared" si="1"/>
        <v>AttributeDamageDerate(AttributeBlue, 110)</v>
      </c>
      <c r="O56" s="74">
        <v>0</v>
      </c>
      <c r="P56" s="74">
        <v>0</v>
      </c>
      <c r="Q56" s="74"/>
      <c r="R56" s="74" t="b">
        <v>0</v>
      </c>
    </row>
    <row r="57" spans="1:18">
      <c r="A57" s="74" t="s">
        <v>664</v>
      </c>
      <c r="B57" s="74"/>
      <c r="C57" s="74"/>
      <c r="D57" s="74">
        <v>0</v>
      </c>
      <c r="E57" s="74">
        <v>1</v>
      </c>
      <c r="F57" s="74" t="s">
        <v>611</v>
      </c>
      <c r="G57" s="74" t="s">
        <v>612</v>
      </c>
      <c r="H57" s="74"/>
      <c r="I57" s="74">
        <v>0</v>
      </c>
      <c r="J57" s="74" t="s">
        <v>1746</v>
      </c>
      <c r="K57" s="74" t="s">
        <v>1744</v>
      </c>
      <c r="L57" s="74">
        <v>119.99999999999999</v>
      </c>
      <c r="M57" s="74"/>
      <c r="N57" s="74" t="str">
        <f t="shared" si="1"/>
        <v>AttributeDamageDerate(AttributeBlue, 120)</v>
      </c>
      <c r="O57" s="74">
        <v>0</v>
      </c>
      <c r="P57" s="74">
        <v>0</v>
      </c>
      <c r="Q57" s="74"/>
      <c r="R57" s="74" t="b">
        <v>0</v>
      </c>
    </row>
    <row r="58" spans="1:18">
      <c r="A58" s="74" t="s">
        <v>665</v>
      </c>
      <c r="B58" s="74"/>
      <c r="C58" s="74"/>
      <c r="D58" s="74">
        <v>0</v>
      </c>
      <c r="E58" s="74">
        <v>1</v>
      </c>
      <c r="F58" s="74" t="s">
        <v>611</v>
      </c>
      <c r="G58" s="74" t="s">
        <v>612</v>
      </c>
      <c r="H58" s="74"/>
      <c r="I58" s="74">
        <v>0</v>
      </c>
      <c r="J58" s="74" t="s">
        <v>1746</v>
      </c>
      <c r="K58" s="74" t="s">
        <v>1744</v>
      </c>
      <c r="L58" s="74">
        <v>119.99999999999999</v>
      </c>
      <c r="M58" s="74"/>
      <c r="N58" s="74" t="str">
        <f t="shared" si="1"/>
        <v>AttributeDamageDerate(AttributeBlue, 120)</v>
      </c>
      <c r="O58" s="74">
        <v>0</v>
      </c>
      <c r="P58" s="74">
        <v>0</v>
      </c>
      <c r="Q58" s="74"/>
      <c r="R58" s="74" t="b">
        <v>0</v>
      </c>
    </row>
    <row r="59" spans="1:18">
      <c r="A59" s="74" t="s">
        <v>666</v>
      </c>
      <c r="B59" s="74"/>
      <c r="C59" s="74"/>
      <c r="D59" s="74">
        <v>0</v>
      </c>
      <c r="E59" s="74">
        <v>1</v>
      </c>
      <c r="F59" s="74" t="s">
        <v>611</v>
      </c>
      <c r="G59" s="74" t="s">
        <v>612</v>
      </c>
      <c r="H59" s="74"/>
      <c r="I59" s="74">
        <v>0</v>
      </c>
      <c r="J59" s="74" t="s">
        <v>1746</v>
      </c>
      <c r="K59" s="74" t="s">
        <v>1744</v>
      </c>
      <c r="L59" s="74">
        <v>129.99999999999997</v>
      </c>
      <c r="M59" s="74"/>
      <c r="N59" s="74" t="str">
        <f t="shared" si="1"/>
        <v>AttributeDamageDerate(AttributeBlue, 130)</v>
      </c>
      <c r="O59" s="74">
        <v>0</v>
      </c>
      <c r="P59" s="74">
        <v>0</v>
      </c>
      <c r="Q59" s="74"/>
      <c r="R59" s="74" t="b">
        <v>0</v>
      </c>
    </row>
    <row r="60" spans="1:18">
      <c r="A60" s="74" t="s">
        <v>667</v>
      </c>
      <c r="B60" s="74"/>
      <c r="C60" s="74"/>
      <c r="D60" s="74">
        <v>0</v>
      </c>
      <c r="E60" s="74">
        <v>1</v>
      </c>
      <c r="F60" s="74" t="s">
        <v>611</v>
      </c>
      <c r="G60" s="74" t="s">
        <v>612</v>
      </c>
      <c r="H60" s="74"/>
      <c r="I60" s="74">
        <v>0</v>
      </c>
      <c r="J60" s="74" t="s">
        <v>1746</v>
      </c>
      <c r="K60" s="74" t="s">
        <v>1744</v>
      </c>
      <c r="L60" s="74">
        <v>129.99999999999997</v>
      </c>
      <c r="M60" s="74"/>
      <c r="N60" s="74" t="str">
        <f t="shared" si="1"/>
        <v>AttributeDamageDerate(AttributeBlue, 130)</v>
      </c>
      <c r="O60" s="74">
        <v>0</v>
      </c>
      <c r="P60" s="74">
        <v>0</v>
      </c>
      <c r="Q60" s="74"/>
      <c r="R60" s="74" t="b">
        <v>0</v>
      </c>
    </row>
    <row r="61" spans="1:18">
      <c r="A61" s="74" t="s">
        <v>668</v>
      </c>
      <c r="B61" s="74"/>
      <c r="C61" s="74"/>
      <c r="D61" s="74">
        <v>0</v>
      </c>
      <c r="E61" s="74">
        <v>1</v>
      </c>
      <c r="F61" s="74" t="s">
        <v>611</v>
      </c>
      <c r="G61" s="74" t="s">
        <v>612</v>
      </c>
      <c r="H61" s="74"/>
      <c r="I61" s="74">
        <v>0</v>
      </c>
      <c r="J61" s="74" t="s">
        <v>1746</v>
      </c>
      <c r="K61" s="74" t="s">
        <v>1744</v>
      </c>
      <c r="L61" s="74">
        <v>139.99999999999997</v>
      </c>
      <c r="M61" s="74"/>
      <c r="N61" s="74" t="str">
        <f t="shared" si="1"/>
        <v>AttributeDamageDerate(AttributeBlue, 140)</v>
      </c>
      <c r="O61" s="74">
        <v>0</v>
      </c>
      <c r="P61" s="74">
        <v>0</v>
      </c>
      <c r="Q61" s="74"/>
      <c r="R61" s="74" t="b">
        <v>0</v>
      </c>
    </row>
    <row r="62" spans="1:18">
      <c r="A62" s="74" t="s">
        <v>669</v>
      </c>
      <c r="B62" s="74"/>
      <c r="C62" s="74"/>
      <c r="D62" s="74">
        <v>0</v>
      </c>
      <c r="E62" s="74">
        <v>1</v>
      </c>
      <c r="F62" s="74" t="s">
        <v>611</v>
      </c>
      <c r="G62" s="74" t="s">
        <v>612</v>
      </c>
      <c r="H62" s="74"/>
      <c r="I62" s="74">
        <v>0</v>
      </c>
      <c r="J62" s="74" t="s">
        <v>1746</v>
      </c>
      <c r="K62" s="74" t="s">
        <v>1744</v>
      </c>
      <c r="L62" s="74">
        <v>139.99999999999997</v>
      </c>
      <c r="M62" s="74"/>
      <c r="N62" s="74" t="str">
        <f t="shared" si="1"/>
        <v>AttributeDamageDerate(AttributeBlue, 140)</v>
      </c>
      <c r="O62" s="74">
        <v>0</v>
      </c>
      <c r="P62" s="74">
        <v>0</v>
      </c>
      <c r="Q62" s="74"/>
      <c r="R62" s="74" t="b">
        <v>0</v>
      </c>
    </row>
    <row r="63" spans="1:18">
      <c r="A63" s="65" t="s">
        <v>1866</v>
      </c>
      <c r="B63" s="65"/>
      <c r="C63" s="65"/>
      <c r="D63" s="65">
        <v>0</v>
      </c>
      <c r="E63" s="65">
        <v>1</v>
      </c>
      <c r="F63" s="65" t="s">
        <v>611</v>
      </c>
      <c r="G63" s="65" t="s">
        <v>612</v>
      </c>
      <c r="H63" s="65"/>
      <c r="I63" s="65">
        <v>0</v>
      </c>
      <c r="J63" s="65" t="s">
        <v>2038</v>
      </c>
      <c r="K63" s="65" t="s">
        <v>1886</v>
      </c>
      <c r="L63" s="65">
        <v>100</v>
      </c>
      <c r="M63" s="65"/>
      <c r="N63" s="65" t="str">
        <f t="shared" ref="N63:N97" si="2">J63&amp;"("&amp;IF(K63="","",K63)&amp;IF(L63="","",", "&amp;L63)&amp;IF(M63="","",", "&amp;M63)&amp;")"</f>
        <v>Status(AreaDamageRate, 100)</v>
      </c>
      <c r="O63" s="65">
        <v>0</v>
      </c>
      <c r="P63" s="65">
        <v>0</v>
      </c>
      <c r="Q63" s="65"/>
      <c r="R63" s="65" t="b">
        <v>0</v>
      </c>
    </row>
    <row r="64" spans="1:18">
      <c r="A64" s="65" t="s">
        <v>1867</v>
      </c>
      <c r="B64" s="65"/>
      <c r="C64" s="65"/>
      <c r="D64" s="65">
        <v>0</v>
      </c>
      <c r="E64" s="65">
        <v>1</v>
      </c>
      <c r="F64" s="65" t="s">
        <v>611</v>
      </c>
      <c r="G64" s="65" t="s">
        <v>612</v>
      </c>
      <c r="H64" s="65"/>
      <c r="I64" s="65">
        <v>0</v>
      </c>
      <c r="J64" s="65" t="s">
        <v>2038</v>
      </c>
      <c r="K64" s="65" t="s">
        <v>1886</v>
      </c>
      <c r="L64" s="65">
        <v>200</v>
      </c>
      <c r="M64" s="65"/>
      <c r="N64" s="65" t="str">
        <f t="shared" si="2"/>
        <v>Status(AreaDamageRate, 200)</v>
      </c>
      <c r="O64" s="65">
        <v>0</v>
      </c>
      <c r="P64" s="65">
        <v>0</v>
      </c>
      <c r="Q64" s="65"/>
      <c r="R64" s="65" t="b">
        <v>0</v>
      </c>
    </row>
    <row r="65" spans="1:18">
      <c r="A65" s="65" t="s">
        <v>1868</v>
      </c>
      <c r="B65" s="65"/>
      <c r="C65" s="65"/>
      <c r="D65" s="65">
        <v>0</v>
      </c>
      <c r="E65" s="65">
        <v>1</v>
      </c>
      <c r="F65" s="65" t="s">
        <v>611</v>
      </c>
      <c r="G65" s="65" t="s">
        <v>612</v>
      </c>
      <c r="H65" s="65"/>
      <c r="I65" s="65">
        <v>0</v>
      </c>
      <c r="J65" s="65" t="s">
        <v>2038</v>
      </c>
      <c r="K65" s="65" t="s">
        <v>1886</v>
      </c>
      <c r="L65" s="65">
        <v>300</v>
      </c>
      <c r="M65" s="65"/>
      <c r="N65" s="65" t="str">
        <f t="shared" si="2"/>
        <v>Status(AreaDamageRate, 300)</v>
      </c>
      <c r="O65" s="65">
        <v>0</v>
      </c>
      <c r="P65" s="65">
        <v>0</v>
      </c>
      <c r="Q65" s="65"/>
      <c r="R65" s="65" t="b">
        <v>0</v>
      </c>
    </row>
    <row r="66" spans="1:18">
      <c r="A66" s="65" t="s">
        <v>1869</v>
      </c>
      <c r="B66" s="65"/>
      <c r="C66" s="65"/>
      <c r="D66" s="65">
        <v>0</v>
      </c>
      <c r="E66" s="65">
        <v>1</v>
      </c>
      <c r="F66" s="65" t="s">
        <v>611</v>
      </c>
      <c r="G66" s="65" t="s">
        <v>612</v>
      </c>
      <c r="H66" s="65"/>
      <c r="I66" s="65">
        <v>0</v>
      </c>
      <c r="J66" s="65" t="s">
        <v>2038</v>
      </c>
      <c r="K66" s="65" t="s">
        <v>1886</v>
      </c>
      <c r="L66" s="65">
        <v>400</v>
      </c>
      <c r="M66" s="65"/>
      <c r="N66" s="65" t="str">
        <f t="shared" si="2"/>
        <v>Status(AreaDamageRate, 400)</v>
      </c>
      <c r="O66" s="65">
        <v>0</v>
      </c>
      <c r="P66" s="65">
        <v>0</v>
      </c>
      <c r="Q66" s="65"/>
      <c r="R66" s="65" t="b">
        <v>0</v>
      </c>
    </row>
    <row r="67" spans="1:18">
      <c r="A67" s="65" t="s">
        <v>1870</v>
      </c>
      <c r="B67" s="65"/>
      <c r="C67" s="65"/>
      <c r="D67" s="65">
        <v>0</v>
      </c>
      <c r="E67" s="65">
        <v>1</v>
      </c>
      <c r="F67" s="65" t="s">
        <v>611</v>
      </c>
      <c r="G67" s="65" t="s">
        <v>612</v>
      </c>
      <c r="H67" s="65"/>
      <c r="I67" s="65">
        <v>0</v>
      </c>
      <c r="J67" s="65" t="s">
        <v>2038</v>
      </c>
      <c r="K67" s="65" t="s">
        <v>1886</v>
      </c>
      <c r="L67" s="65">
        <v>500</v>
      </c>
      <c r="M67" s="65"/>
      <c r="N67" s="65" t="str">
        <f t="shared" si="2"/>
        <v>Status(AreaDamageRate, 500)</v>
      </c>
      <c r="O67" s="65">
        <v>0</v>
      </c>
      <c r="P67" s="65">
        <v>0</v>
      </c>
      <c r="Q67" s="65"/>
      <c r="R67" s="65" t="b">
        <v>0</v>
      </c>
    </row>
    <row r="68" spans="1:18">
      <c r="A68" s="65" t="s">
        <v>2006</v>
      </c>
      <c r="B68" s="65"/>
      <c r="C68" s="65"/>
      <c r="D68" s="65">
        <v>0</v>
      </c>
      <c r="E68" s="65">
        <v>1</v>
      </c>
      <c r="F68" s="65" t="s">
        <v>611</v>
      </c>
      <c r="G68" s="65" t="s">
        <v>612</v>
      </c>
      <c r="H68" s="65"/>
      <c r="I68" s="65">
        <v>0</v>
      </c>
      <c r="J68" s="65" t="s">
        <v>2038</v>
      </c>
      <c r="K68" s="65" t="s">
        <v>1886</v>
      </c>
      <c r="L68" s="65">
        <v>600</v>
      </c>
      <c r="M68" s="65"/>
      <c r="N68" s="65" t="str">
        <f t="shared" ref="N68:N72" si="3">J68&amp;"("&amp;IF(K68="","",K68)&amp;IF(L68="","",", "&amp;L68)&amp;IF(M68="","",", "&amp;M68)&amp;")"</f>
        <v>Status(AreaDamageRate, 600)</v>
      </c>
      <c r="O68" s="65">
        <v>0</v>
      </c>
      <c r="P68" s="65">
        <v>0</v>
      </c>
      <c r="Q68" s="65"/>
      <c r="R68" s="65" t="b">
        <v>0</v>
      </c>
    </row>
    <row r="69" spans="1:18">
      <c r="A69" s="65" t="s">
        <v>2007</v>
      </c>
      <c r="B69" s="65"/>
      <c r="C69" s="65"/>
      <c r="D69" s="65">
        <v>0</v>
      </c>
      <c r="E69" s="65">
        <v>1</v>
      </c>
      <c r="F69" s="65" t="s">
        <v>611</v>
      </c>
      <c r="G69" s="65" t="s">
        <v>612</v>
      </c>
      <c r="H69" s="65"/>
      <c r="I69" s="65">
        <v>0</v>
      </c>
      <c r="J69" s="65" t="s">
        <v>2038</v>
      </c>
      <c r="K69" s="65" t="s">
        <v>1886</v>
      </c>
      <c r="L69" s="65">
        <v>700</v>
      </c>
      <c r="M69" s="65"/>
      <c r="N69" s="65" t="str">
        <f t="shared" si="3"/>
        <v>Status(AreaDamageRate, 700)</v>
      </c>
      <c r="O69" s="65">
        <v>0</v>
      </c>
      <c r="P69" s="65">
        <v>0</v>
      </c>
      <c r="Q69" s="65"/>
      <c r="R69" s="65" t="b">
        <v>0</v>
      </c>
    </row>
    <row r="70" spans="1:18">
      <c r="A70" s="65" t="s">
        <v>2008</v>
      </c>
      <c r="B70" s="65"/>
      <c r="C70" s="65"/>
      <c r="D70" s="65">
        <v>0</v>
      </c>
      <c r="E70" s="65">
        <v>1</v>
      </c>
      <c r="F70" s="65" t="s">
        <v>611</v>
      </c>
      <c r="G70" s="65" t="s">
        <v>612</v>
      </c>
      <c r="H70" s="65"/>
      <c r="I70" s="65">
        <v>0</v>
      </c>
      <c r="J70" s="65" t="s">
        <v>2038</v>
      </c>
      <c r="K70" s="65" t="s">
        <v>1886</v>
      </c>
      <c r="L70" s="65">
        <v>800</v>
      </c>
      <c r="M70" s="65"/>
      <c r="N70" s="65" t="str">
        <f t="shared" si="3"/>
        <v>Status(AreaDamageRate, 800)</v>
      </c>
      <c r="O70" s="65">
        <v>0</v>
      </c>
      <c r="P70" s="65">
        <v>0</v>
      </c>
      <c r="Q70" s="65"/>
      <c r="R70" s="65" t="b">
        <v>0</v>
      </c>
    </row>
    <row r="71" spans="1:18">
      <c r="A71" s="65" t="s">
        <v>2009</v>
      </c>
      <c r="B71" s="65"/>
      <c r="C71" s="65"/>
      <c r="D71" s="65">
        <v>0</v>
      </c>
      <c r="E71" s="65">
        <v>1</v>
      </c>
      <c r="F71" s="65" t="s">
        <v>611</v>
      </c>
      <c r="G71" s="65" t="s">
        <v>612</v>
      </c>
      <c r="H71" s="65"/>
      <c r="I71" s="65">
        <v>0</v>
      </c>
      <c r="J71" s="65" t="s">
        <v>2038</v>
      </c>
      <c r="K71" s="65" t="s">
        <v>1886</v>
      </c>
      <c r="L71" s="65">
        <v>900</v>
      </c>
      <c r="M71" s="65"/>
      <c r="N71" s="65" t="str">
        <f t="shared" si="3"/>
        <v>Status(AreaDamageRate, 900)</v>
      </c>
      <c r="O71" s="65">
        <v>0</v>
      </c>
      <c r="P71" s="65">
        <v>0</v>
      </c>
      <c r="Q71" s="65"/>
      <c r="R71" s="65" t="b">
        <v>0</v>
      </c>
    </row>
    <row r="72" spans="1:18">
      <c r="A72" s="65" t="s">
        <v>2010</v>
      </c>
      <c r="B72" s="65"/>
      <c r="C72" s="65"/>
      <c r="D72" s="65">
        <v>0</v>
      </c>
      <c r="E72" s="65">
        <v>1</v>
      </c>
      <c r="F72" s="65" t="s">
        <v>611</v>
      </c>
      <c r="G72" s="65" t="s">
        <v>612</v>
      </c>
      <c r="H72" s="65"/>
      <c r="I72" s="65">
        <v>0</v>
      </c>
      <c r="J72" s="65" t="s">
        <v>2038</v>
      </c>
      <c r="K72" s="65" t="s">
        <v>1886</v>
      </c>
      <c r="L72" s="65">
        <v>1000</v>
      </c>
      <c r="M72" s="65"/>
      <c r="N72" s="65" t="str">
        <f t="shared" si="3"/>
        <v>Status(AreaDamageRate, 1000)</v>
      </c>
      <c r="O72" s="65">
        <v>0</v>
      </c>
      <c r="P72" s="65">
        <v>0</v>
      </c>
      <c r="Q72" s="65"/>
      <c r="R72" s="65" t="b">
        <v>0</v>
      </c>
    </row>
    <row r="73" spans="1:18">
      <c r="A73" s="74" t="s">
        <v>1871</v>
      </c>
      <c r="B73" s="74"/>
      <c r="C73" s="74"/>
      <c r="D73" s="74">
        <v>0</v>
      </c>
      <c r="E73" s="74">
        <v>1</v>
      </c>
      <c r="F73" s="74" t="s">
        <v>611</v>
      </c>
      <c r="G73" s="74" t="s">
        <v>612</v>
      </c>
      <c r="H73" s="74"/>
      <c r="I73" s="74">
        <v>0</v>
      </c>
      <c r="J73" s="74" t="s">
        <v>2038</v>
      </c>
      <c r="K73" s="74" t="s">
        <v>1888</v>
      </c>
      <c r="L73" s="74">
        <v>100</v>
      </c>
      <c r="M73" s="74"/>
      <c r="N73" s="74" t="str">
        <f t="shared" si="2"/>
        <v>Status(RangeDamageRate, 100)</v>
      </c>
      <c r="O73" s="74">
        <v>0</v>
      </c>
      <c r="P73" s="74">
        <v>0</v>
      </c>
      <c r="Q73" s="74"/>
      <c r="R73" s="74" t="b">
        <v>0</v>
      </c>
    </row>
    <row r="74" spans="1:18">
      <c r="A74" s="74" t="s">
        <v>1872</v>
      </c>
      <c r="B74" s="74"/>
      <c r="C74" s="74"/>
      <c r="D74" s="74">
        <v>0</v>
      </c>
      <c r="E74" s="74">
        <v>1</v>
      </c>
      <c r="F74" s="74" t="s">
        <v>611</v>
      </c>
      <c r="G74" s="74" t="s">
        <v>612</v>
      </c>
      <c r="H74" s="74"/>
      <c r="I74" s="74">
        <v>0</v>
      </c>
      <c r="J74" s="74" t="s">
        <v>2038</v>
      </c>
      <c r="K74" s="74" t="s">
        <v>1888</v>
      </c>
      <c r="L74" s="74">
        <v>200</v>
      </c>
      <c r="M74" s="74"/>
      <c r="N74" s="74" t="str">
        <f t="shared" si="2"/>
        <v>Status(RangeDamageRate, 200)</v>
      </c>
      <c r="O74" s="74">
        <v>0</v>
      </c>
      <c r="P74" s="74">
        <v>0</v>
      </c>
      <c r="Q74" s="74"/>
      <c r="R74" s="74" t="b">
        <v>0</v>
      </c>
    </row>
    <row r="75" spans="1:18">
      <c r="A75" s="74" t="s">
        <v>1873</v>
      </c>
      <c r="B75" s="74"/>
      <c r="C75" s="74"/>
      <c r="D75" s="74">
        <v>0</v>
      </c>
      <c r="E75" s="74">
        <v>1</v>
      </c>
      <c r="F75" s="74" t="s">
        <v>611</v>
      </c>
      <c r="G75" s="74" t="s">
        <v>612</v>
      </c>
      <c r="H75" s="74"/>
      <c r="I75" s="74">
        <v>0</v>
      </c>
      <c r="J75" s="74" t="s">
        <v>2038</v>
      </c>
      <c r="K75" s="74" t="s">
        <v>1888</v>
      </c>
      <c r="L75" s="74">
        <v>300</v>
      </c>
      <c r="M75" s="74"/>
      <c r="N75" s="74" t="str">
        <f t="shared" si="2"/>
        <v>Status(RangeDamageRate, 300)</v>
      </c>
      <c r="O75" s="74">
        <v>0</v>
      </c>
      <c r="P75" s="74">
        <v>0</v>
      </c>
      <c r="Q75" s="74"/>
      <c r="R75" s="74" t="b">
        <v>0</v>
      </c>
    </row>
    <row r="76" spans="1:18">
      <c r="A76" s="74" t="s">
        <v>1874</v>
      </c>
      <c r="B76" s="74"/>
      <c r="C76" s="74"/>
      <c r="D76" s="74">
        <v>0</v>
      </c>
      <c r="E76" s="74">
        <v>1</v>
      </c>
      <c r="F76" s="74" t="s">
        <v>611</v>
      </c>
      <c r="G76" s="74" t="s">
        <v>612</v>
      </c>
      <c r="H76" s="74"/>
      <c r="I76" s="74">
        <v>0</v>
      </c>
      <c r="J76" s="74" t="s">
        <v>2038</v>
      </c>
      <c r="K76" s="74" t="s">
        <v>1888</v>
      </c>
      <c r="L76" s="74">
        <v>400</v>
      </c>
      <c r="M76" s="74"/>
      <c r="N76" s="74" t="str">
        <f t="shared" si="2"/>
        <v>Status(RangeDamageRate, 400)</v>
      </c>
      <c r="O76" s="74">
        <v>0</v>
      </c>
      <c r="P76" s="74">
        <v>0</v>
      </c>
      <c r="Q76" s="74"/>
      <c r="R76" s="74" t="b">
        <v>0</v>
      </c>
    </row>
    <row r="77" spans="1:18">
      <c r="A77" s="74" t="s">
        <v>1875</v>
      </c>
      <c r="B77" s="74"/>
      <c r="C77" s="74"/>
      <c r="D77" s="74">
        <v>0</v>
      </c>
      <c r="E77" s="74">
        <v>1</v>
      </c>
      <c r="F77" s="74" t="s">
        <v>611</v>
      </c>
      <c r="G77" s="74" t="s">
        <v>612</v>
      </c>
      <c r="H77" s="74"/>
      <c r="I77" s="74">
        <v>0</v>
      </c>
      <c r="J77" s="74" t="s">
        <v>2038</v>
      </c>
      <c r="K77" s="74" t="s">
        <v>1888</v>
      </c>
      <c r="L77" s="74">
        <v>500</v>
      </c>
      <c r="M77" s="74"/>
      <c r="N77" s="74" t="str">
        <f t="shared" si="2"/>
        <v>Status(RangeDamageRate, 500)</v>
      </c>
      <c r="O77" s="74">
        <v>0</v>
      </c>
      <c r="P77" s="74">
        <v>0</v>
      </c>
      <c r="Q77" s="74"/>
      <c r="R77" s="74" t="b">
        <v>0</v>
      </c>
    </row>
    <row r="78" spans="1:18">
      <c r="A78" s="74" t="s">
        <v>2011</v>
      </c>
      <c r="B78" s="74"/>
      <c r="C78" s="74"/>
      <c r="D78" s="74">
        <v>0</v>
      </c>
      <c r="E78" s="74">
        <v>1</v>
      </c>
      <c r="F78" s="74" t="s">
        <v>611</v>
      </c>
      <c r="G78" s="74" t="s">
        <v>612</v>
      </c>
      <c r="H78" s="74"/>
      <c r="I78" s="74">
        <v>0</v>
      </c>
      <c r="J78" s="74" t="s">
        <v>2038</v>
      </c>
      <c r="K78" s="74" t="s">
        <v>1888</v>
      </c>
      <c r="L78" s="74">
        <v>600</v>
      </c>
      <c r="M78" s="74"/>
      <c r="N78" s="74" t="str">
        <f t="shared" ref="N78:N82" si="4">J78&amp;"("&amp;IF(K78="","",K78)&amp;IF(L78="","",", "&amp;L78)&amp;IF(M78="","",", "&amp;M78)&amp;")"</f>
        <v>Status(RangeDamageRate, 600)</v>
      </c>
      <c r="O78" s="74">
        <v>0</v>
      </c>
      <c r="P78" s="74">
        <v>0</v>
      </c>
      <c r="Q78" s="74"/>
      <c r="R78" s="74" t="b">
        <v>0</v>
      </c>
    </row>
    <row r="79" spans="1:18">
      <c r="A79" s="74" t="s">
        <v>2012</v>
      </c>
      <c r="B79" s="74"/>
      <c r="C79" s="74"/>
      <c r="D79" s="74">
        <v>0</v>
      </c>
      <c r="E79" s="74">
        <v>1</v>
      </c>
      <c r="F79" s="74" t="s">
        <v>611</v>
      </c>
      <c r="G79" s="74" t="s">
        <v>612</v>
      </c>
      <c r="H79" s="74"/>
      <c r="I79" s="74">
        <v>0</v>
      </c>
      <c r="J79" s="74" t="s">
        <v>2038</v>
      </c>
      <c r="K79" s="74" t="s">
        <v>1888</v>
      </c>
      <c r="L79" s="74">
        <v>700</v>
      </c>
      <c r="M79" s="74"/>
      <c r="N79" s="74" t="str">
        <f t="shared" si="4"/>
        <v>Status(RangeDamageRate, 700)</v>
      </c>
      <c r="O79" s="74">
        <v>0</v>
      </c>
      <c r="P79" s="74">
        <v>0</v>
      </c>
      <c r="Q79" s="74"/>
      <c r="R79" s="74" t="b">
        <v>0</v>
      </c>
    </row>
    <row r="80" spans="1:18">
      <c r="A80" s="74" t="s">
        <v>2013</v>
      </c>
      <c r="B80" s="74"/>
      <c r="C80" s="74"/>
      <c r="D80" s="74">
        <v>0</v>
      </c>
      <c r="E80" s="74">
        <v>1</v>
      </c>
      <c r="F80" s="74" t="s">
        <v>611</v>
      </c>
      <c r="G80" s="74" t="s">
        <v>612</v>
      </c>
      <c r="H80" s="74"/>
      <c r="I80" s="74">
        <v>0</v>
      </c>
      <c r="J80" s="74" t="s">
        <v>2038</v>
      </c>
      <c r="K80" s="74" t="s">
        <v>1888</v>
      </c>
      <c r="L80" s="74">
        <v>800</v>
      </c>
      <c r="M80" s="74"/>
      <c r="N80" s="74" t="str">
        <f t="shared" si="4"/>
        <v>Status(RangeDamageRate, 800)</v>
      </c>
      <c r="O80" s="74">
        <v>0</v>
      </c>
      <c r="P80" s="74">
        <v>0</v>
      </c>
      <c r="Q80" s="74"/>
      <c r="R80" s="74" t="b">
        <v>0</v>
      </c>
    </row>
    <row r="81" spans="1:18">
      <c r="A81" s="74" t="s">
        <v>2014</v>
      </c>
      <c r="B81" s="74"/>
      <c r="C81" s="74"/>
      <c r="D81" s="74">
        <v>0</v>
      </c>
      <c r="E81" s="74">
        <v>1</v>
      </c>
      <c r="F81" s="74" t="s">
        <v>611</v>
      </c>
      <c r="G81" s="74" t="s">
        <v>612</v>
      </c>
      <c r="H81" s="74"/>
      <c r="I81" s="74">
        <v>0</v>
      </c>
      <c r="J81" s="74" t="s">
        <v>2038</v>
      </c>
      <c r="K81" s="74" t="s">
        <v>1888</v>
      </c>
      <c r="L81" s="74">
        <v>900</v>
      </c>
      <c r="M81" s="74"/>
      <c r="N81" s="74" t="str">
        <f t="shared" si="4"/>
        <v>Status(RangeDamageRate, 900)</v>
      </c>
      <c r="O81" s="74">
        <v>0</v>
      </c>
      <c r="P81" s="74">
        <v>0</v>
      </c>
      <c r="Q81" s="74"/>
      <c r="R81" s="74" t="b">
        <v>0</v>
      </c>
    </row>
    <row r="82" spans="1:18">
      <c r="A82" s="74" t="s">
        <v>2015</v>
      </c>
      <c r="B82" s="74"/>
      <c r="C82" s="74"/>
      <c r="D82" s="74">
        <v>0</v>
      </c>
      <c r="E82" s="74">
        <v>1</v>
      </c>
      <c r="F82" s="74" t="s">
        <v>611</v>
      </c>
      <c r="G82" s="74" t="s">
        <v>612</v>
      </c>
      <c r="H82" s="74"/>
      <c r="I82" s="74">
        <v>0</v>
      </c>
      <c r="J82" s="74" t="s">
        <v>2038</v>
      </c>
      <c r="K82" s="74" t="s">
        <v>1888</v>
      </c>
      <c r="L82" s="74">
        <v>1000</v>
      </c>
      <c r="M82" s="74"/>
      <c r="N82" s="74" t="str">
        <f t="shared" si="4"/>
        <v>Status(RangeDamageRate, 1000)</v>
      </c>
      <c r="O82" s="74">
        <v>0</v>
      </c>
      <c r="P82" s="74">
        <v>0</v>
      </c>
      <c r="Q82" s="74"/>
      <c r="R82" s="74" t="b">
        <v>0</v>
      </c>
    </row>
    <row r="83" spans="1:18">
      <c r="A83" s="65" t="s">
        <v>1876</v>
      </c>
      <c r="B83" s="65"/>
      <c r="C83" s="65"/>
      <c r="D83" s="65">
        <v>0</v>
      </c>
      <c r="E83" s="65">
        <v>1</v>
      </c>
      <c r="F83" s="65" t="s">
        <v>611</v>
      </c>
      <c r="G83" s="65" t="s">
        <v>612</v>
      </c>
      <c r="H83" s="65"/>
      <c r="I83" s="65">
        <v>0</v>
      </c>
      <c r="J83" s="65" t="s">
        <v>2038</v>
      </c>
      <c r="K83" s="65" t="s">
        <v>1889</v>
      </c>
      <c r="L83" s="65">
        <v>100</v>
      </c>
      <c r="M83" s="65"/>
      <c r="N83" s="65" t="str">
        <f t="shared" si="2"/>
        <v>Status(MeleeDamageRate, 100)</v>
      </c>
      <c r="O83" s="65">
        <v>0</v>
      </c>
      <c r="P83" s="65">
        <v>0</v>
      </c>
      <c r="Q83" s="65"/>
      <c r="R83" s="65" t="b">
        <v>0</v>
      </c>
    </row>
    <row r="84" spans="1:18">
      <c r="A84" s="65" t="s">
        <v>1877</v>
      </c>
      <c r="B84" s="65"/>
      <c r="C84" s="65"/>
      <c r="D84" s="65">
        <v>0</v>
      </c>
      <c r="E84" s="65">
        <v>1</v>
      </c>
      <c r="F84" s="65" t="s">
        <v>611</v>
      </c>
      <c r="G84" s="65" t="s">
        <v>612</v>
      </c>
      <c r="H84" s="65"/>
      <c r="I84" s="65">
        <v>0</v>
      </c>
      <c r="J84" s="65" t="s">
        <v>2038</v>
      </c>
      <c r="K84" s="65" t="s">
        <v>1889</v>
      </c>
      <c r="L84" s="65">
        <v>200</v>
      </c>
      <c r="M84" s="65"/>
      <c r="N84" s="65" t="str">
        <f t="shared" si="2"/>
        <v>Status(MeleeDamageRate, 200)</v>
      </c>
      <c r="O84" s="65">
        <v>0</v>
      </c>
      <c r="P84" s="65">
        <v>0</v>
      </c>
      <c r="Q84" s="65"/>
      <c r="R84" s="65" t="b">
        <v>0</v>
      </c>
    </row>
    <row r="85" spans="1:18">
      <c r="A85" s="65" t="s">
        <v>1878</v>
      </c>
      <c r="B85" s="65"/>
      <c r="C85" s="65"/>
      <c r="D85" s="65">
        <v>0</v>
      </c>
      <c r="E85" s="65">
        <v>1</v>
      </c>
      <c r="F85" s="65" t="s">
        <v>611</v>
      </c>
      <c r="G85" s="65" t="s">
        <v>612</v>
      </c>
      <c r="H85" s="65"/>
      <c r="I85" s="65">
        <v>0</v>
      </c>
      <c r="J85" s="65" t="s">
        <v>2038</v>
      </c>
      <c r="K85" s="65" t="s">
        <v>1889</v>
      </c>
      <c r="L85" s="65">
        <v>300</v>
      </c>
      <c r="M85" s="65"/>
      <c r="N85" s="65" t="str">
        <f t="shared" si="2"/>
        <v>Status(MeleeDamageRate, 300)</v>
      </c>
      <c r="O85" s="65">
        <v>0</v>
      </c>
      <c r="P85" s="65">
        <v>0</v>
      </c>
      <c r="Q85" s="65"/>
      <c r="R85" s="65" t="b">
        <v>0</v>
      </c>
    </row>
    <row r="86" spans="1:18">
      <c r="A86" s="65" t="s">
        <v>1879</v>
      </c>
      <c r="B86" s="65"/>
      <c r="C86" s="65"/>
      <c r="D86" s="65">
        <v>0</v>
      </c>
      <c r="E86" s="65">
        <v>1</v>
      </c>
      <c r="F86" s="65" t="s">
        <v>611</v>
      </c>
      <c r="G86" s="65" t="s">
        <v>612</v>
      </c>
      <c r="H86" s="65"/>
      <c r="I86" s="65">
        <v>0</v>
      </c>
      <c r="J86" s="65" t="s">
        <v>2038</v>
      </c>
      <c r="K86" s="65" t="s">
        <v>1889</v>
      </c>
      <c r="L86" s="65">
        <v>400</v>
      </c>
      <c r="M86" s="65"/>
      <c r="N86" s="65" t="str">
        <f t="shared" si="2"/>
        <v>Status(MeleeDamageRate, 400)</v>
      </c>
      <c r="O86" s="65">
        <v>0</v>
      </c>
      <c r="P86" s="65">
        <v>0</v>
      </c>
      <c r="Q86" s="65"/>
      <c r="R86" s="65" t="b">
        <v>0</v>
      </c>
    </row>
    <row r="87" spans="1:18">
      <c r="A87" s="65" t="s">
        <v>1880</v>
      </c>
      <c r="B87" s="65"/>
      <c r="C87" s="65"/>
      <c r="D87" s="65">
        <v>0</v>
      </c>
      <c r="E87" s="65">
        <v>1</v>
      </c>
      <c r="F87" s="65" t="s">
        <v>611</v>
      </c>
      <c r="G87" s="65" t="s">
        <v>612</v>
      </c>
      <c r="H87" s="65"/>
      <c r="I87" s="65">
        <v>0</v>
      </c>
      <c r="J87" s="65" t="s">
        <v>2038</v>
      </c>
      <c r="K87" s="65" t="s">
        <v>1889</v>
      </c>
      <c r="L87" s="65">
        <v>500</v>
      </c>
      <c r="M87" s="65"/>
      <c r="N87" s="65" t="str">
        <f t="shared" si="2"/>
        <v>Status(MeleeDamageRate, 500)</v>
      </c>
      <c r="O87" s="65">
        <v>0</v>
      </c>
      <c r="P87" s="65">
        <v>0</v>
      </c>
      <c r="Q87" s="65"/>
      <c r="R87" s="65" t="b">
        <v>0</v>
      </c>
    </row>
    <row r="88" spans="1:18">
      <c r="A88" s="65" t="s">
        <v>2016</v>
      </c>
      <c r="B88" s="65"/>
      <c r="C88" s="65"/>
      <c r="D88" s="65">
        <v>0</v>
      </c>
      <c r="E88" s="65">
        <v>1</v>
      </c>
      <c r="F88" s="65" t="s">
        <v>611</v>
      </c>
      <c r="G88" s="65" t="s">
        <v>612</v>
      </c>
      <c r="H88" s="65"/>
      <c r="I88" s="65">
        <v>0</v>
      </c>
      <c r="J88" s="65" t="s">
        <v>2038</v>
      </c>
      <c r="K88" s="65" t="s">
        <v>1889</v>
      </c>
      <c r="L88" s="65">
        <v>600</v>
      </c>
      <c r="M88" s="65"/>
      <c r="N88" s="65" t="str">
        <f t="shared" ref="N88:N92" si="5">J88&amp;"("&amp;IF(K88="","",K88)&amp;IF(L88="","",", "&amp;L88)&amp;IF(M88="","",", "&amp;M88)&amp;")"</f>
        <v>Status(MeleeDamageRate, 600)</v>
      </c>
      <c r="O88" s="65">
        <v>0</v>
      </c>
      <c r="P88" s="65">
        <v>0</v>
      </c>
      <c r="Q88" s="65"/>
      <c r="R88" s="65" t="b">
        <v>0</v>
      </c>
    </row>
    <row r="89" spans="1:18">
      <c r="A89" s="65" t="s">
        <v>2017</v>
      </c>
      <c r="B89" s="65"/>
      <c r="C89" s="65"/>
      <c r="D89" s="65">
        <v>0</v>
      </c>
      <c r="E89" s="65">
        <v>1</v>
      </c>
      <c r="F89" s="65" t="s">
        <v>611</v>
      </c>
      <c r="G89" s="65" t="s">
        <v>612</v>
      </c>
      <c r="H89" s="65"/>
      <c r="I89" s="65">
        <v>0</v>
      </c>
      <c r="J89" s="65" t="s">
        <v>2038</v>
      </c>
      <c r="K89" s="65" t="s">
        <v>1889</v>
      </c>
      <c r="L89" s="65">
        <v>700</v>
      </c>
      <c r="M89" s="65"/>
      <c r="N89" s="65" t="str">
        <f t="shared" si="5"/>
        <v>Status(MeleeDamageRate, 700)</v>
      </c>
      <c r="O89" s="65">
        <v>0</v>
      </c>
      <c r="P89" s="65">
        <v>0</v>
      </c>
      <c r="Q89" s="65"/>
      <c r="R89" s="65" t="b">
        <v>0</v>
      </c>
    </row>
    <row r="90" spans="1:18">
      <c r="A90" s="65" t="s">
        <v>2018</v>
      </c>
      <c r="B90" s="65"/>
      <c r="C90" s="65"/>
      <c r="D90" s="65">
        <v>0</v>
      </c>
      <c r="E90" s="65">
        <v>1</v>
      </c>
      <c r="F90" s="65" t="s">
        <v>611</v>
      </c>
      <c r="G90" s="65" t="s">
        <v>612</v>
      </c>
      <c r="H90" s="65"/>
      <c r="I90" s="65">
        <v>0</v>
      </c>
      <c r="J90" s="65" t="s">
        <v>2038</v>
      </c>
      <c r="K90" s="65" t="s">
        <v>1889</v>
      </c>
      <c r="L90" s="65">
        <v>800</v>
      </c>
      <c r="M90" s="65"/>
      <c r="N90" s="65" t="str">
        <f t="shared" si="5"/>
        <v>Status(MeleeDamageRate, 800)</v>
      </c>
      <c r="O90" s="65">
        <v>0</v>
      </c>
      <c r="P90" s="65">
        <v>0</v>
      </c>
      <c r="Q90" s="65"/>
      <c r="R90" s="65" t="b">
        <v>0</v>
      </c>
    </row>
    <row r="91" spans="1:18">
      <c r="A91" s="65" t="s">
        <v>2019</v>
      </c>
      <c r="B91" s="65"/>
      <c r="C91" s="65"/>
      <c r="D91" s="65">
        <v>0</v>
      </c>
      <c r="E91" s="65">
        <v>1</v>
      </c>
      <c r="F91" s="65" t="s">
        <v>611</v>
      </c>
      <c r="G91" s="65" t="s">
        <v>612</v>
      </c>
      <c r="H91" s="65"/>
      <c r="I91" s="65">
        <v>0</v>
      </c>
      <c r="J91" s="65" t="s">
        <v>2038</v>
      </c>
      <c r="K91" s="65" t="s">
        <v>1889</v>
      </c>
      <c r="L91" s="65">
        <v>900</v>
      </c>
      <c r="M91" s="65"/>
      <c r="N91" s="65" t="str">
        <f t="shared" si="5"/>
        <v>Status(MeleeDamageRate, 900)</v>
      </c>
      <c r="O91" s="65">
        <v>0</v>
      </c>
      <c r="P91" s="65">
        <v>0</v>
      </c>
      <c r="Q91" s="65"/>
      <c r="R91" s="65" t="b">
        <v>0</v>
      </c>
    </row>
    <row r="92" spans="1:18">
      <c r="A92" s="65" t="s">
        <v>2020</v>
      </c>
      <c r="B92" s="65"/>
      <c r="C92" s="65"/>
      <c r="D92" s="65">
        <v>0</v>
      </c>
      <c r="E92" s="65">
        <v>1</v>
      </c>
      <c r="F92" s="65" t="s">
        <v>611</v>
      </c>
      <c r="G92" s="65" t="s">
        <v>612</v>
      </c>
      <c r="H92" s="65"/>
      <c r="I92" s="65">
        <v>0</v>
      </c>
      <c r="J92" s="65" t="s">
        <v>2038</v>
      </c>
      <c r="K92" s="65" t="s">
        <v>1889</v>
      </c>
      <c r="L92" s="65">
        <v>1000</v>
      </c>
      <c r="M92" s="65"/>
      <c r="N92" s="65" t="str">
        <f t="shared" si="5"/>
        <v>Status(MeleeDamageRate, 1000)</v>
      </c>
      <c r="O92" s="65">
        <v>0</v>
      </c>
      <c r="P92" s="65">
        <v>0</v>
      </c>
      <c r="Q92" s="65"/>
      <c r="R92" s="65" t="b">
        <v>0</v>
      </c>
    </row>
    <row r="93" spans="1:18">
      <c r="A93" s="74" t="s">
        <v>1881</v>
      </c>
      <c r="B93" s="74"/>
      <c r="C93" s="74"/>
      <c r="D93" s="74">
        <v>0</v>
      </c>
      <c r="E93" s="74">
        <v>1</v>
      </c>
      <c r="F93" s="74" t="s">
        <v>611</v>
      </c>
      <c r="G93" s="74" t="s">
        <v>612</v>
      </c>
      <c r="H93" s="74"/>
      <c r="I93" s="74">
        <v>0</v>
      </c>
      <c r="J93" s="74" t="s">
        <v>2038</v>
      </c>
      <c r="K93" s="74" t="s">
        <v>1887</v>
      </c>
      <c r="L93" s="74">
        <v>150</v>
      </c>
      <c r="M93" s="74"/>
      <c r="N93" s="74" t="str">
        <f t="shared" si="2"/>
        <v>Status(DamageDerate, 150)</v>
      </c>
      <c r="O93" s="74">
        <v>0</v>
      </c>
      <c r="P93" s="74">
        <v>0</v>
      </c>
      <c r="Q93" s="74"/>
      <c r="R93" s="74" t="b">
        <v>0</v>
      </c>
    </row>
    <row r="94" spans="1:18">
      <c r="A94" s="74" t="s">
        <v>1882</v>
      </c>
      <c r="B94" s="74"/>
      <c r="C94" s="74"/>
      <c r="D94" s="74">
        <v>0</v>
      </c>
      <c r="E94" s="74">
        <v>1</v>
      </c>
      <c r="F94" s="74" t="s">
        <v>611</v>
      </c>
      <c r="G94" s="74" t="s">
        <v>612</v>
      </c>
      <c r="H94" s="74"/>
      <c r="I94" s="74">
        <v>0</v>
      </c>
      <c r="J94" s="74" t="s">
        <v>2038</v>
      </c>
      <c r="K94" s="74" t="s">
        <v>1887</v>
      </c>
      <c r="L94" s="74">
        <v>200</v>
      </c>
      <c r="M94" s="74"/>
      <c r="N94" s="74" t="str">
        <f t="shared" si="2"/>
        <v>Status(DamageDerate, 200)</v>
      </c>
      <c r="O94" s="74">
        <v>0</v>
      </c>
      <c r="P94" s="74">
        <v>0</v>
      </c>
      <c r="Q94" s="74"/>
      <c r="R94" s="74" t="b">
        <v>0</v>
      </c>
    </row>
    <row r="95" spans="1:18">
      <c r="A95" s="74" t="s">
        <v>1883</v>
      </c>
      <c r="B95" s="74"/>
      <c r="C95" s="74"/>
      <c r="D95" s="74">
        <v>0</v>
      </c>
      <c r="E95" s="74">
        <v>1</v>
      </c>
      <c r="F95" s="74" t="s">
        <v>611</v>
      </c>
      <c r="G95" s="74" t="s">
        <v>612</v>
      </c>
      <c r="H95" s="74"/>
      <c r="I95" s="74">
        <v>0</v>
      </c>
      <c r="J95" s="74" t="s">
        <v>2038</v>
      </c>
      <c r="K95" s="74" t="s">
        <v>1887</v>
      </c>
      <c r="L95" s="74">
        <v>250</v>
      </c>
      <c r="M95" s="74"/>
      <c r="N95" s="74" t="str">
        <f t="shared" si="2"/>
        <v>Status(DamageDerate, 250)</v>
      </c>
      <c r="O95" s="74">
        <v>0</v>
      </c>
      <c r="P95" s="74">
        <v>0</v>
      </c>
      <c r="Q95" s="74"/>
      <c r="R95" s="74" t="b">
        <v>0</v>
      </c>
    </row>
    <row r="96" spans="1:18">
      <c r="A96" s="74" t="s">
        <v>1884</v>
      </c>
      <c r="B96" s="74"/>
      <c r="C96" s="74"/>
      <c r="D96" s="74">
        <v>0</v>
      </c>
      <c r="E96" s="74">
        <v>1</v>
      </c>
      <c r="F96" s="74" t="s">
        <v>611</v>
      </c>
      <c r="G96" s="74" t="s">
        <v>612</v>
      </c>
      <c r="H96" s="74"/>
      <c r="I96" s="74">
        <v>0</v>
      </c>
      <c r="J96" s="74" t="s">
        <v>2038</v>
      </c>
      <c r="K96" s="74" t="s">
        <v>1887</v>
      </c>
      <c r="L96" s="74">
        <v>300</v>
      </c>
      <c r="M96" s="74"/>
      <c r="N96" s="74" t="str">
        <f t="shared" si="2"/>
        <v>Status(DamageDerate, 300)</v>
      </c>
      <c r="O96" s="74">
        <v>0</v>
      </c>
      <c r="P96" s="74">
        <v>0</v>
      </c>
      <c r="Q96" s="74"/>
      <c r="R96" s="74" t="b">
        <v>0</v>
      </c>
    </row>
    <row r="97" spans="1:18">
      <c r="A97" s="74" t="s">
        <v>1885</v>
      </c>
      <c r="B97" s="74"/>
      <c r="C97" s="74"/>
      <c r="D97" s="74">
        <v>0</v>
      </c>
      <c r="E97" s="74">
        <v>1</v>
      </c>
      <c r="F97" s="74" t="s">
        <v>611</v>
      </c>
      <c r="G97" s="74" t="s">
        <v>612</v>
      </c>
      <c r="H97" s="74"/>
      <c r="I97" s="74">
        <v>0</v>
      </c>
      <c r="J97" s="74" t="s">
        <v>2038</v>
      </c>
      <c r="K97" s="74" t="s">
        <v>1887</v>
      </c>
      <c r="L97" s="74">
        <v>350</v>
      </c>
      <c r="M97" s="74"/>
      <c r="N97" s="74" t="str">
        <f t="shared" si="2"/>
        <v>Status(DamageDerate, 350)</v>
      </c>
      <c r="O97" s="74">
        <v>0</v>
      </c>
      <c r="P97" s="74">
        <v>0</v>
      </c>
      <c r="Q97" s="74"/>
      <c r="R97" s="74" t="b">
        <v>0</v>
      </c>
    </row>
    <row r="98" spans="1:18">
      <c r="A98" s="74" t="s">
        <v>2021</v>
      </c>
      <c r="B98" s="74"/>
      <c r="C98" s="74"/>
      <c r="D98" s="74">
        <v>0</v>
      </c>
      <c r="E98" s="74">
        <v>1</v>
      </c>
      <c r="F98" s="74" t="s">
        <v>611</v>
      </c>
      <c r="G98" s="74" t="s">
        <v>612</v>
      </c>
      <c r="H98" s="74"/>
      <c r="I98" s="74">
        <v>0</v>
      </c>
      <c r="J98" s="74" t="s">
        <v>2038</v>
      </c>
      <c r="K98" s="74" t="s">
        <v>1887</v>
      </c>
      <c r="L98" s="74">
        <v>400</v>
      </c>
      <c r="M98" s="74"/>
      <c r="N98" s="74" t="str">
        <f t="shared" ref="N98:N102" si="6">J98&amp;"("&amp;IF(K98="","",K98)&amp;IF(L98="","",", "&amp;L98)&amp;IF(M98="","",", "&amp;M98)&amp;")"</f>
        <v>Status(DamageDerate, 400)</v>
      </c>
      <c r="O98" s="74">
        <v>0</v>
      </c>
      <c r="P98" s="74">
        <v>0</v>
      </c>
      <c r="Q98" s="74"/>
      <c r="R98" s="74" t="b">
        <v>0</v>
      </c>
    </row>
    <row r="99" spans="1:18">
      <c r="A99" s="74" t="s">
        <v>2022</v>
      </c>
      <c r="B99" s="74"/>
      <c r="C99" s="74"/>
      <c r="D99" s="74">
        <v>0</v>
      </c>
      <c r="E99" s="74">
        <v>1</v>
      </c>
      <c r="F99" s="74" t="s">
        <v>611</v>
      </c>
      <c r="G99" s="74" t="s">
        <v>612</v>
      </c>
      <c r="H99" s="74"/>
      <c r="I99" s="74">
        <v>0</v>
      </c>
      <c r="J99" s="74" t="s">
        <v>2038</v>
      </c>
      <c r="K99" s="74" t="s">
        <v>1887</v>
      </c>
      <c r="L99" s="74">
        <v>450</v>
      </c>
      <c r="M99" s="74"/>
      <c r="N99" s="74" t="str">
        <f t="shared" si="6"/>
        <v>Status(DamageDerate, 450)</v>
      </c>
      <c r="O99" s="74">
        <v>0</v>
      </c>
      <c r="P99" s="74">
        <v>0</v>
      </c>
      <c r="Q99" s="74"/>
      <c r="R99" s="74" t="b">
        <v>0</v>
      </c>
    </row>
    <row r="100" spans="1:18">
      <c r="A100" s="74" t="s">
        <v>2023</v>
      </c>
      <c r="B100" s="74"/>
      <c r="C100" s="74"/>
      <c r="D100" s="74">
        <v>0</v>
      </c>
      <c r="E100" s="74">
        <v>1</v>
      </c>
      <c r="F100" s="74" t="s">
        <v>611</v>
      </c>
      <c r="G100" s="74" t="s">
        <v>612</v>
      </c>
      <c r="H100" s="74"/>
      <c r="I100" s="74">
        <v>0</v>
      </c>
      <c r="J100" s="74" t="s">
        <v>2038</v>
      </c>
      <c r="K100" s="74" t="s">
        <v>1887</v>
      </c>
      <c r="L100" s="74">
        <v>500</v>
      </c>
      <c r="M100" s="74"/>
      <c r="N100" s="74" t="str">
        <f t="shared" si="6"/>
        <v>Status(DamageDerate, 500)</v>
      </c>
      <c r="O100" s="74">
        <v>0</v>
      </c>
      <c r="P100" s="74">
        <v>0</v>
      </c>
      <c r="Q100" s="74"/>
      <c r="R100" s="74" t="b">
        <v>0</v>
      </c>
    </row>
    <row r="101" spans="1:18">
      <c r="A101" s="74" t="s">
        <v>2024</v>
      </c>
      <c r="B101" s="74"/>
      <c r="C101" s="74"/>
      <c r="D101" s="74">
        <v>0</v>
      </c>
      <c r="E101" s="74">
        <v>1</v>
      </c>
      <c r="F101" s="74" t="s">
        <v>611</v>
      </c>
      <c r="G101" s="74" t="s">
        <v>612</v>
      </c>
      <c r="H101" s="74"/>
      <c r="I101" s="74">
        <v>0</v>
      </c>
      <c r="J101" s="74" t="s">
        <v>2038</v>
      </c>
      <c r="K101" s="74" t="s">
        <v>1887</v>
      </c>
      <c r="L101" s="74">
        <v>550</v>
      </c>
      <c r="M101" s="74"/>
      <c r="N101" s="74" t="str">
        <f t="shared" si="6"/>
        <v>Status(DamageDerate, 550)</v>
      </c>
      <c r="O101" s="74">
        <v>0</v>
      </c>
      <c r="P101" s="74">
        <v>0</v>
      </c>
      <c r="Q101" s="74"/>
      <c r="R101" s="74" t="b">
        <v>0</v>
      </c>
    </row>
    <row r="102" spans="1:18">
      <c r="A102" s="74" t="s">
        <v>2025</v>
      </c>
      <c r="B102" s="74"/>
      <c r="C102" s="74"/>
      <c r="D102" s="74">
        <v>0</v>
      </c>
      <c r="E102" s="74">
        <v>1</v>
      </c>
      <c r="F102" s="74" t="s">
        <v>611</v>
      </c>
      <c r="G102" s="74" t="s">
        <v>612</v>
      </c>
      <c r="H102" s="74"/>
      <c r="I102" s="74">
        <v>0</v>
      </c>
      <c r="J102" s="74" t="s">
        <v>2038</v>
      </c>
      <c r="K102" s="74" t="s">
        <v>1887</v>
      </c>
      <c r="L102" s="74">
        <v>600</v>
      </c>
      <c r="M102" s="74"/>
      <c r="N102" s="74" t="str">
        <f t="shared" si="6"/>
        <v>Status(DamageDerate, 600)</v>
      </c>
      <c r="O102" s="74">
        <v>0</v>
      </c>
      <c r="P102" s="74">
        <v>0</v>
      </c>
      <c r="Q102" s="74"/>
      <c r="R102" s="74" t="b">
        <v>0</v>
      </c>
    </row>
    <row r="103" spans="1:18">
      <c r="A103" s="70" t="s">
        <v>670</v>
      </c>
      <c r="B103" s="70"/>
      <c r="C103" s="70"/>
      <c r="D103" s="70">
        <v>0</v>
      </c>
      <c r="E103" s="70">
        <v>1</v>
      </c>
      <c r="F103" s="70" t="s">
        <v>611</v>
      </c>
      <c r="G103" s="70" t="s">
        <v>612</v>
      </c>
      <c r="H103" s="70"/>
      <c r="I103" s="70">
        <v>0</v>
      </c>
      <c r="J103" s="70" t="s">
        <v>1742</v>
      </c>
      <c r="K103" s="70" t="s">
        <v>789</v>
      </c>
      <c r="L103" s="70">
        <v>10</v>
      </c>
      <c r="M103" s="70"/>
      <c r="N103" s="70" t="str">
        <f t="shared" si="1"/>
        <v>AttributeDamageRate(AttributeBlue, 10)</v>
      </c>
      <c r="O103" s="70">
        <v>0</v>
      </c>
      <c r="P103" s="70">
        <v>0</v>
      </c>
      <c r="Q103" s="70"/>
      <c r="R103" s="70" t="b">
        <v>0</v>
      </c>
    </row>
    <row r="104" spans="1:18">
      <c r="A104" s="70" t="s">
        <v>671</v>
      </c>
      <c r="B104" s="70"/>
      <c r="C104" s="70"/>
      <c r="D104" s="70">
        <v>0</v>
      </c>
      <c r="E104" s="70">
        <v>1</v>
      </c>
      <c r="F104" s="70" t="s">
        <v>611</v>
      </c>
      <c r="G104" s="70" t="s">
        <v>612</v>
      </c>
      <c r="H104" s="70"/>
      <c r="I104" s="70">
        <v>0</v>
      </c>
      <c r="J104" s="70" t="s">
        <v>1742</v>
      </c>
      <c r="K104" s="70" t="s">
        <v>789</v>
      </c>
      <c r="L104" s="70">
        <v>10</v>
      </c>
      <c r="M104" s="70"/>
      <c r="N104" s="70" t="str">
        <f t="shared" si="1"/>
        <v>AttributeDamageRate(AttributeBlue, 10)</v>
      </c>
      <c r="O104" s="70">
        <v>0</v>
      </c>
      <c r="P104" s="70">
        <v>0</v>
      </c>
      <c r="Q104" s="70"/>
      <c r="R104" s="70" t="b">
        <v>0</v>
      </c>
    </row>
    <row r="105" spans="1:18">
      <c r="A105" s="70" t="s">
        <v>672</v>
      </c>
      <c r="B105" s="70"/>
      <c r="C105" s="70"/>
      <c r="D105" s="70">
        <v>0</v>
      </c>
      <c r="E105" s="70">
        <v>1</v>
      </c>
      <c r="F105" s="70" t="s">
        <v>611</v>
      </c>
      <c r="G105" s="70" t="s">
        <v>612</v>
      </c>
      <c r="H105" s="70"/>
      <c r="I105" s="70">
        <v>0</v>
      </c>
      <c r="J105" s="70" t="s">
        <v>1742</v>
      </c>
      <c r="K105" s="70" t="s">
        <v>789</v>
      </c>
      <c r="L105" s="70">
        <v>20</v>
      </c>
      <c r="M105" s="70"/>
      <c r="N105" s="70" t="str">
        <f t="shared" si="1"/>
        <v>AttributeDamageRate(AttributeBlue, 20)</v>
      </c>
      <c r="O105" s="70">
        <v>0</v>
      </c>
      <c r="P105" s="70">
        <v>0</v>
      </c>
      <c r="Q105" s="70"/>
      <c r="R105" s="70" t="b">
        <v>0</v>
      </c>
    </row>
    <row r="106" spans="1:18">
      <c r="A106" s="70" t="s">
        <v>673</v>
      </c>
      <c r="B106" s="70"/>
      <c r="C106" s="70"/>
      <c r="D106" s="70">
        <v>0</v>
      </c>
      <c r="E106" s="70">
        <v>1</v>
      </c>
      <c r="F106" s="70" t="s">
        <v>611</v>
      </c>
      <c r="G106" s="70" t="s">
        <v>612</v>
      </c>
      <c r="H106" s="70"/>
      <c r="I106" s="70">
        <v>0</v>
      </c>
      <c r="J106" s="70" t="s">
        <v>1742</v>
      </c>
      <c r="K106" s="70" t="s">
        <v>789</v>
      </c>
      <c r="L106" s="70">
        <v>20</v>
      </c>
      <c r="M106" s="70"/>
      <c r="N106" s="70" t="str">
        <f t="shared" si="1"/>
        <v>AttributeDamageRate(AttributeBlue, 20)</v>
      </c>
      <c r="O106" s="70">
        <v>0</v>
      </c>
      <c r="P106" s="70">
        <v>0</v>
      </c>
      <c r="Q106" s="70"/>
      <c r="R106" s="70" t="b">
        <v>0</v>
      </c>
    </row>
    <row r="107" spans="1:18">
      <c r="A107" s="70" t="s">
        <v>674</v>
      </c>
      <c r="B107" s="70"/>
      <c r="C107" s="70"/>
      <c r="D107" s="70">
        <v>0</v>
      </c>
      <c r="E107" s="70">
        <v>1</v>
      </c>
      <c r="F107" s="70" t="s">
        <v>611</v>
      </c>
      <c r="G107" s="70" t="s">
        <v>612</v>
      </c>
      <c r="H107" s="70"/>
      <c r="I107" s="70">
        <v>0</v>
      </c>
      <c r="J107" s="70" t="s">
        <v>1742</v>
      </c>
      <c r="K107" s="70" t="s">
        <v>1744</v>
      </c>
      <c r="L107" s="70">
        <v>30</v>
      </c>
      <c r="M107" s="70"/>
      <c r="N107" s="70" t="str">
        <f t="shared" si="1"/>
        <v>AttributeDamageRate(AttributeBlue, 30)</v>
      </c>
      <c r="O107" s="70">
        <v>0</v>
      </c>
      <c r="P107" s="70">
        <v>0</v>
      </c>
      <c r="Q107" s="70"/>
      <c r="R107" s="70" t="b">
        <v>0</v>
      </c>
    </row>
    <row r="108" spans="1:18">
      <c r="A108" s="70" t="s">
        <v>675</v>
      </c>
      <c r="B108" s="70"/>
      <c r="C108" s="70"/>
      <c r="D108" s="70">
        <v>0</v>
      </c>
      <c r="E108" s="70">
        <v>1</v>
      </c>
      <c r="F108" s="70" t="s">
        <v>611</v>
      </c>
      <c r="G108" s="70" t="s">
        <v>612</v>
      </c>
      <c r="H108" s="70"/>
      <c r="I108" s="70">
        <v>0</v>
      </c>
      <c r="J108" s="70" t="s">
        <v>1742</v>
      </c>
      <c r="K108" s="70" t="s">
        <v>1744</v>
      </c>
      <c r="L108" s="70">
        <v>30</v>
      </c>
      <c r="M108" s="70"/>
      <c r="N108" s="70" t="str">
        <f t="shared" si="1"/>
        <v>AttributeDamageRate(AttributeBlue, 30)</v>
      </c>
      <c r="O108" s="70">
        <v>0</v>
      </c>
      <c r="P108" s="70">
        <v>0</v>
      </c>
      <c r="Q108" s="70"/>
      <c r="R108" s="70" t="b">
        <v>0</v>
      </c>
    </row>
    <row r="109" spans="1:18">
      <c r="A109" s="70" t="s">
        <v>676</v>
      </c>
      <c r="B109" s="70"/>
      <c r="C109" s="70"/>
      <c r="D109" s="70">
        <v>0</v>
      </c>
      <c r="E109" s="70">
        <v>1</v>
      </c>
      <c r="F109" s="70" t="s">
        <v>611</v>
      </c>
      <c r="G109" s="70" t="s">
        <v>612</v>
      </c>
      <c r="H109" s="70"/>
      <c r="I109" s="70">
        <v>0</v>
      </c>
      <c r="J109" s="70" t="s">
        <v>1742</v>
      </c>
      <c r="K109" s="70" t="s">
        <v>1744</v>
      </c>
      <c r="L109" s="70">
        <v>40</v>
      </c>
      <c r="M109" s="70"/>
      <c r="N109" s="70" t="str">
        <f t="shared" si="1"/>
        <v>AttributeDamageRate(AttributeBlue, 40)</v>
      </c>
      <c r="O109" s="70">
        <v>0</v>
      </c>
      <c r="P109" s="70">
        <v>0</v>
      </c>
      <c r="Q109" s="70"/>
      <c r="R109" s="70" t="b">
        <v>0</v>
      </c>
    </row>
    <row r="110" spans="1:18">
      <c r="A110" s="70" t="s">
        <v>677</v>
      </c>
      <c r="B110" s="70"/>
      <c r="C110" s="70"/>
      <c r="D110" s="70">
        <v>0</v>
      </c>
      <c r="E110" s="70">
        <v>1</v>
      </c>
      <c r="F110" s="70" t="s">
        <v>611</v>
      </c>
      <c r="G110" s="70" t="s">
        <v>612</v>
      </c>
      <c r="H110" s="70"/>
      <c r="I110" s="70">
        <v>0</v>
      </c>
      <c r="J110" s="70" t="s">
        <v>1742</v>
      </c>
      <c r="K110" s="70" t="s">
        <v>1744</v>
      </c>
      <c r="L110" s="70">
        <v>40</v>
      </c>
      <c r="M110" s="70"/>
      <c r="N110" s="70" t="str">
        <f t="shared" si="1"/>
        <v>AttributeDamageRate(AttributeBlue, 40)</v>
      </c>
      <c r="O110" s="70">
        <v>0</v>
      </c>
      <c r="P110" s="70">
        <v>0</v>
      </c>
      <c r="Q110" s="70"/>
      <c r="R110" s="70" t="b">
        <v>0</v>
      </c>
    </row>
    <row r="111" spans="1:18">
      <c r="A111" s="70" t="s">
        <v>678</v>
      </c>
      <c r="B111" s="70"/>
      <c r="C111" s="70"/>
      <c r="D111" s="70">
        <v>0</v>
      </c>
      <c r="E111" s="70">
        <v>1</v>
      </c>
      <c r="F111" s="70" t="s">
        <v>611</v>
      </c>
      <c r="G111" s="70" t="s">
        <v>612</v>
      </c>
      <c r="H111" s="70"/>
      <c r="I111" s="70">
        <v>0</v>
      </c>
      <c r="J111" s="70" t="s">
        <v>1742</v>
      </c>
      <c r="K111" s="70" t="s">
        <v>1744</v>
      </c>
      <c r="L111" s="70">
        <v>50</v>
      </c>
      <c r="M111" s="70"/>
      <c r="N111" s="70" t="str">
        <f t="shared" si="1"/>
        <v>AttributeDamageRate(AttributeBlue, 50)</v>
      </c>
      <c r="O111" s="70">
        <v>0</v>
      </c>
      <c r="P111" s="70">
        <v>0</v>
      </c>
      <c r="Q111" s="70"/>
      <c r="R111" s="70" t="b">
        <v>0</v>
      </c>
    </row>
    <row r="112" spans="1:18">
      <c r="A112" s="70" t="s">
        <v>679</v>
      </c>
      <c r="B112" s="70"/>
      <c r="C112" s="70"/>
      <c r="D112" s="70">
        <v>0</v>
      </c>
      <c r="E112" s="70">
        <v>1</v>
      </c>
      <c r="F112" s="70" t="s">
        <v>611</v>
      </c>
      <c r="G112" s="70" t="s">
        <v>612</v>
      </c>
      <c r="H112" s="70"/>
      <c r="I112" s="70">
        <v>0</v>
      </c>
      <c r="J112" s="70" t="s">
        <v>1742</v>
      </c>
      <c r="K112" s="70" t="s">
        <v>1744</v>
      </c>
      <c r="L112" s="70">
        <v>50</v>
      </c>
      <c r="M112" s="70"/>
      <c r="N112" s="70" t="str">
        <f t="shared" si="1"/>
        <v>AttributeDamageRate(AttributeBlue, 50)</v>
      </c>
      <c r="O112" s="70">
        <v>0</v>
      </c>
      <c r="P112" s="70">
        <v>0</v>
      </c>
      <c r="Q112" s="70"/>
      <c r="R112" s="70" t="b">
        <v>0</v>
      </c>
    </row>
    <row r="113" spans="1:18">
      <c r="A113" s="70" t="s">
        <v>680</v>
      </c>
      <c r="B113" s="70"/>
      <c r="C113" s="70"/>
      <c r="D113" s="70">
        <v>0</v>
      </c>
      <c r="E113" s="70">
        <v>1</v>
      </c>
      <c r="F113" s="70" t="s">
        <v>611</v>
      </c>
      <c r="G113" s="70" t="s">
        <v>612</v>
      </c>
      <c r="H113" s="70"/>
      <c r="I113" s="70">
        <v>0</v>
      </c>
      <c r="J113" s="70" t="s">
        <v>1742</v>
      </c>
      <c r="K113" s="70" t="s">
        <v>1744</v>
      </c>
      <c r="L113" s="70">
        <v>60.000000000000007</v>
      </c>
      <c r="M113" s="70"/>
      <c r="N113" s="70" t="str">
        <f t="shared" si="1"/>
        <v>AttributeDamageRate(AttributeBlue, 60)</v>
      </c>
      <c r="O113" s="70">
        <v>0</v>
      </c>
      <c r="P113" s="70">
        <v>0</v>
      </c>
      <c r="Q113" s="70"/>
      <c r="R113" s="70" t="b">
        <v>0</v>
      </c>
    </row>
    <row r="114" spans="1:18">
      <c r="A114" s="70" t="s">
        <v>681</v>
      </c>
      <c r="B114" s="70"/>
      <c r="C114" s="70"/>
      <c r="D114" s="70">
        <v>0</v>
      </c>
      <c r="E114" s="70">
        <v>1</v>
      </c>
      <c r="F114" s="70" t="s">
        <v>611</v>
      </c>
      <c r="G114" s="70" t="s">
        <v>612</v>
      </c>
      <c r="H114" s="70"/>
      <c r="I114" s="70">
        <v>0</v>
      </c>
      <c r="J114" s="70" t="s">
        <v>1742</v>
      </c>
      <c r="K114" s="70" t="s">
        <v>1744</v>
      </c>
      <c r="L114" s="70">
        <v>60.000000000000007</v>
      </c>
      <c r="M114" s="70"/>
      <c r="N114" s="70" t="str">
        <f t="shared" si="1"/>
        <v>AttributeDamageRate(AttributeBlue, 60)</v>
      </c>
      <c r="O114" s="70">
        <v>0</v>
      </c>
      <c r="P114" s="70">
        <v>0</v>
      </c>
      <c r="Q114" s="70"/>
      <c r="R114" s="70" t="b">
        <v>0</v>
      </c>
    </row>
    <row r="115" spans="1:18">
      <c r="A115" s="70" t="s">
        <v>682</v>
      </c>
      <c r="B115" s="70"/>
      <c r="C115" s="70"/>
      <c r="D115" s="70">
        <v>0</v>
      </c>
      <c r="E115" s="70">
        <v>1</v>
      </c>
      <c r="F115" s="70" t="s">
        <v>611</v>
      </c>
      <c r="G115" s="70" t="s">
        <v>612</v>
      </c>
      <c r="H115" s="70"/>
      <c r="I115" s="70">
        <v>0</v>
      </c>
      <c r="J115" s="70" t="s">
        <v>1742</v>
      </c>
      <c r="K115" s="70" t="s">
        <v>1744</v>
      </c>
      <c r="L115" s="70">
        <v>70</v>
      </c>
      <c r="M115" s="70"/>
      <c r="N115" s="70" t="str">
        <f t="shared" si="1"/>
        <v>AttributeDamageRate(AttributeBlue, 70)</v>
      </c>
      <c r="O115" s="70">
        <v>0</v>
      </c>
      <c r="P115" s="70">
        <v>0</v>
      </c>
      <c r="Q115" s="70"/>
      <c r="R115" s="70" t="b">
        <v>0</v>
      </c>
    </row>
    <row r="116" spans="1:18">
      <c r="A116" s="70" t="s">
        <v>683</v>
      </c>
      <c r="B116" s="70"/>
      <c r="C116" s="70"/>
      <c r="D116" s="70">
        <v>0</v>
      </c>
      <c r="E116" s="70">
        <v>1</v>
      </c>
      <c r="F116" s="70" t="s">
        <v>611</v>
      </c>
      <c r="G116" s="70" t="s">
        <v>612</v>
      </c>
      <c r="H116" s="70"/>
      <c r="I116" s="70">
        <v>0</v>
      </c>
      <c r="J116" s="70" t="s">
        <v>1742</v>
      </c>
      <c r="K116" s="70" t="s">
        <v>1744</v>
      </c>
      <c r="L116" s="70">
        <v>70</v>
      </c>
      <c r="M116" s="70"/>
      <c r="N116" s="70" t="str">
        <f t="shared" si="1"/>
        <v>AttributeDamageRate(AttributeBlue, 70)</v>
      </c>
      <c r="O116" s="70">
        <v>0</v>
      </c>
      <c r="P116" s="70">
        <v>0</v>
      </c>
      <c r="Q116" s="70"/>
      <c r="R116" s="70" t="b">
        <v>0</v>
      </c>
    </row>
    <row r="117" spans="1:18">
      <c r="A117" s="70" t="s">
        <v>684</v>
      </c>
      <c r="B117" s="70"/>
      <c r="C117" s="70"/>
      <c r="D117" s="70">
        <v>0</v>
      </c>
      <c r="E117" s="70">
        <v>1</v>
      </c>
      <c r="F117" s="70" t="s">
        <v>611</v>
      </c>
      <c r="G117" s="70" t="s">
        <v>612</v>
      </c>
      <c r="H117" s="70"/>
      <c r="I117" s="70">
        <v>0</v>
      </c>
      <c r="J117" s="70" t="s">
        <v>1742</v>
      </c>
      <c r="K117" s="70" t="s">
        <v>1744</v>
      </c>
      <c r="L117" s="70">
        <v>80</v>
      </c>
      <c r="M117" s="70"/>
      <c r="N117" s="70" t="str">
        <f t="shared" si="1"/>
        <v>AttributeDamageRate(AttributeBlue, 80)</v>
      </c>
      <c r="O117" s="70">
        <v>0</v>
      </c>
      <c r="P117" s="70">
        <v>0</v>
      </c>
      <c r="Q117" s="70"/>
      <c r="R117" s="70" t="b">
        <v>0</v>
      </c>
    </row>
    <row r="118" spans="1:18">
      <c r="A118" s="70" t="s">
        <v>685</v>
      </c>
      <c r="B118" s="70"/>
      <c r="C118" s="70"/>
      <c r="D118" s="70">
        <v>0</v>
      </c>
      <c r="E118" s="70">
        <v>1</v>
      </c>
      <c r="F118" s="70" t="s">
        <v>611</v>
      </c>
      <c r="G118" s="70" t="s">
        <v>612</v>
      </c>
      <c r="H118" s="70"/>
      <c r="I118" s="70">
        <v>0</v>
      </c>
      <c r="J118" s="70" t="s">
        <v>1742</v>
      </c>
      <c r="K118" s="70" t="s">
        <v>1744</v>
      </c>
      <c r="L118" s="70">
        <v>80</v>
      </c>
      <c r="M118" s="70"/>
      <c r="N118" s="70" t="str">
        <f t="shared" si="1"/>
        <v>AttributeDamageRate(AttributeBlue, 80)</v>
      </c>
      <c r="O118" s="70">
        <v>0</v>
      </c>
      <c r="P118" s="70">
        <v>0</v>
      </c>
      <c r="Q118" s="70"/>
      <c r="R118" s="70" t="b">
        <v>0</v>
      </c>
    </row>
    <row r="119" spans="1:18">
      <c r="A119" s="70" t="s">
        <v>686</v>
      </c>
      <c r="B119" s="70"/>
      <c r="C119" s="70"/>
      <c r="D119" s="70">
        <v>0</v>
      </c>
      <c r="E119" s="70">
        <v>1</v>
      </c>
      <c r="F119" s="70" t="s">
        <v>611</v>
      </c>
      <c r="G119" s="70" t="s">
        <v>612</v>
      </c>
      <c r="H119" s="70"/>
      <c r="I119" s="70">
        <v>0</v>
      </c>
      <c r="J119" s="70" t="s">
        <v>1742</v>
      </c>
      <c r="K119" s="70" t="s">
        <v>1744</v>
      </c>
      <c r="L119" s="70">
        <v>90</v>
      </c>
      <c r="M119" s="70"/>
      <c r="N119" s="70" t="str">
        <f t="shared" si="1"/>
        <v>AttributeDamageRate(AttributeBlue, 90)</v>
      </c>
      <c r="O119" s="70">
        <v>0</v>
      </c>
      <c r="P119" s="70">
        <v>0</v>
      </c>
      <c r="Q119" s="70"/>
      <c r="R119" s="70" t="b">
        <v>0</v>
      </c>
    </row>
    <row r="120" spans="1:18">
      <c r="A120" s="70" t="s">
        <v>687</v>
      </c>
      <c r="B120" s="70"/>
      <c r="C120" s="70"/>
      <c r="D120" s="70">
        <v>0</v>
      </c>
      <c r="E120" s="70">
        <v>1</v>
      </c>
      <c r="F120" s="70" t="s">
        <v>611</v>
      </c>
      <c r="G120" s="70" t="s">
        <v>612</v>
      </c>
      <c r="H120" s="70"/>
      <c r="I120" s="70">
        <v>0</v>
      </c>
      <c r="J120" s="70" t="s">
        <v>1742</v>
      </c>
      <c r="K120" s="70" t="s">
        <v>1744</v>
      </c>
      <c r="L120" s="70">
        <v>90</v>
      </c>
      <c r="M120" s="70"/>
      <c r="N120" s="70" t="str">
        <f t="shared" si="1"/>
        <v>AttributeDamageRate(AttributeBlue, 90)</v>
      </c>
      <c r="O120" s="70">
        <v>0</v>
      </c>
      <c r="P120" s="70">
        <v>0</v>
      </c>
      <c r="Q120" s="70"/>
      <c r="R120" s="70" t="b">
        <v>0</v>
      </c>
    </row>
    <row r="121" spans="1:18">
      <c r="A121" s="70" t="s">
        <v>688</v>
      </c>
      <c r="B121" s="70"/>
      <c r="C121" s="70"/>
      <c r="D121" s="70">
        <v>0</v>
      </c>
      <c r="E121" s="70">
        <v>1</v>
      </c>
      <c r="F121" s="70" t="s">
        <v>611</v>
      </c>
      <c r="G121" s="70" t="s">
        <v>612</v>
      </c>
      <c r="H121" s="70"/>
      <c r="I121" s="70">
        <v>0</v>
      </c>
      <c r="J121" s="70" t="s">
        <v>1742</v>
      </c>
      <c r="K121" s="70" t="s">
        <v>1744</v>
      </c>
      <c r="L121" s="70">
        <v>99.999999999999986</v>
      </c>
      <c r="M121" s="70"/>
      <c r="N121" s="70" t="str">
        <f t="shared" si="1"/>
        <v>AttributeDamageRate(AttributeBlue, 100)</v>
      </c>
      <c r="O121" s="70">
        <v>0</v>
      </c>
      <c r="P121" s="70">
        <v>0</v>
      </c>
      <c r="Q121" s="70"/>
      <c r="R121" s="70" t="b">
        <v>0</v>
      </c>
    </row>
    <row r="122" spans="1:18">
      <c r="A122" s="70" t="s">
        <v>689</v>
      </c>
      <c r="B122" s="70"/>
      <c r="C122" s="70"/>
      <c r="D122" s="70">
        <v>0</v>
      </c>
      <c r="E122" s="70">
        <v>1</v>
      </c>
      <c r="F122" s="70" t="s">
        <v>611</v>
      </c>
      <c r="G122" s="70" t="s">
        <v>612</v>
      </c>
      <c r="H122" s="70"/>
      <c r="I122" s="70">
        <v>0</v>
      </c>
      <c r="J122" s="70" t="s">
        <v>1742</v>
      </c>
      <c r="K122" s="70" t="s">
        <v>1744</v>
      </c>
      <c r="L122" s="70">
        <v>99.999999999999986</v>
      </c>
      <c r="M122" s="70"/>
      <c r="N122" s="70" t="str">
        <f t="shared" si="1"/>
        <v>AttributeDamageRate(AttributeBlue, 100)</v>
      </c>
      <c r="O122" s="70">
        <v>0</v>
      </c>
      <c r="P122" s="70">
        <v>0</v>
      </c>
      <c r="Q122" s="70"/>
      <c r="R122" s="70" t="b">
        <v>0</v>
      </c>
    </row>
    <row r="123" spans="1:18">
      <c r="A123" s="70" t="s">
        <v>690</v>
      </c>
      <c r="B123" s="70"/>
      <c r="C123" s="70"/>
      <c r="D123" s="70">
        <v>0</v>
      </c>
      <c r="E123" s="70">
        <v>1</v>
      </c>
      <c r="F123" s="70" t="s">
        <v>611</v>
      </c>
      <c r="G123" s="70" t="s">
        <v>612</v>
      </c>
      <c r="H123" s="70"/>
      <c r="I123" s="70">
        <v>0</v>
      </c>
      <c r="J123" s="70" t="s">
        <v>1742</v>
      </c>
      <c r="K123" s="70" t="s">
        <v>1744</v>
      </c>
      <c r="L123" s="70">
        <v>109.99999999999999</v>
      </c>
      <c r="M123" s="70"/>
      <c r="N123" s="70" t="str">
        <f t="shared" si="1"/>
        <v>AttributeDamageRate(AttributeBlue, 110)</v>
      </c>
      <c r="O123" s="70">
        <v>0</v>
      </c>
      <c r="P123" s="70">
        <v>0</v>
      </c>
      <c r="Q123" s="70"/>
      <c r="R123" s="70" t="b">
        <v>0</v>
      </c>
    </row>
    <row r="124" spans="1:18">
      <c r="A124" s="70" t="s">
        <v>691</v>
      </c>
      <c r="B124" s="70"/>
      <c r="C124" s="70"/>
      <c r="D124" s="70">
        <v>0</v>
      </c>
      <c r="E124" s="70">
        <v>1</v>
      </c>
      <c r="F124" s="70" t="s">
        <v>611</v>
      </c>
      <c r="G124" s="70" t="s">
        <v>612</v>
      </c>
      <c r="H124" s="70"/>
      <c r="I124" s="70">
        <v>0</v>
      </c>
      <c r="J124" s="70" t="s">
        <v>1742</v>
      </c>
      <c r="K124" s="70" t="s">
        <v>1744</v>
      </c>
      <c r="L124" s="70">
        <v>109.99999999999999</v>
      </c>
      <c r="M124" s="70"/>
      <c r="N124" s="70" t="str">
        <f t="shared" ref="N124:N195" si="7">J124&amp;"("&amp;IF(K124="","",K124)&amp;IF(L124="","",", "&amp;L124)&amp;IF(M124="","",", "&amp;M124)&amp;")"</f>
        <v>AttributeDamageRate(AttributeBlue, 110)</v>
      </c>
      <c r="O124" s="70">
        <v>0</v>
      </c>
      <c r="P124" s="70">
        <v>0</v>
      </c>
      <c r="Q124" s="70"/>
      <c r="R124" s="70" t="b">
        <v>0</v>
      </c>
    </row>
    <row r="125" spans="1:18">
      <c r="A125" s="70" t="s">
        <v>692</v>
      </c>
      <c r="B125" s="70"/>
      <c r="C125" s="70"/>
      <c r="D125" s="70">
        <v>0</v>
      </c>
      <c r="E125" s="70">
        <v>1</v>
      </c>
      <c r="F125" s="70" t="s">
        <v>611</v>
      </c>
      <c r="G125" s="70" t="s">
        <v>612</v>
      </c>
      <c r="H125" s="70"/>
      <c r="I125" s="70">
        <v>0</v>
      </c>
      <c r="J125" s="70" t="s">
        <v>1742</v>
      </c>
      <c r="K125" s="70" t="s">
        <v>1744</v>
      </c>
      <c r="L125" s="70">
        <v>119.99999999999999</v>
      </c>
      <c r="M125" s="70"/>
      <c r="N125" s="70" t="str">
        <f t="shared" si="7"/>
        <v>AttributeDamageRate(AttributeBlue, 120)</v>
      </c>
      <c r="O125" s="70">
        <v>0</v>
      </c>
      <c r="P125" s="70">
        <v>0</v>
      </c>
      <c r="Q125" s="70"/>
      <c r="R125" s="70" t="b">
        <v>0</v>
      </c>
    </row>
    <row r="126" spans="1:18">
      <c r="A126" s="70" t="s">
        <v>693</v>
      </c>
      <c r="B126" s="70"/>
      <c r="C126" s="70"/>
      <c r="D126" s="70">
        <v>0</v>
      </c>
      <c r="E126" s="70">
        <v>1</v>
      </c>
      <c r="F126" s="70" t="s">
        <v>611</v>
      </c>
      <c r="G126" s="70" t="s">
        <v>612</v>
      </c>
      <c r="H126" s="70"/>
      <c r="I126" s="70">
        <v>0</v>
      </c>
      <c r="J126" s="70" t="s">
        <v>1742</v>
      </c>
      <c r="K126" s="70" t="s">
        <v>1744</v>
      </c>
      <c r="L126" s="70">
        <v>119.99999999999999</v>
      </c>
      <c r="M126" s="70"/>
      <c r="N126" s="70" t="str">
        <f t="shared" si="7"/>
        <v>AttributeDamageRate(AttributeBlue, 120)</v>
      </c>
      <c r="O126" s="70">
        <v>0</v>
      </c>
      <c r="P126" s="70">
        <v>0</v>
      </c>
      <c r="Q126" s="70"/>
      <c r="R126" s="70" t="b">
        <v>0</v>
      </c>
    </row>
    <row r="127" spans="1:18">
      <c r="A127" s="70" t="s">
        <v>694</v>
      </c>
      <c r="B127" s="70"/>
      <c r="C127" s="70"/>
      <c r="D127" s="70">
        <v>0</v>
      </c>
      <c r="E127" s="70">
        <v>1</v>
      </c>
      <c r="F127" s="70" t="s">
        <v>611</v>
      </c>
      <c r="G127" s="70" t="s">
        <v>612</v>
      </c>
      <c r="H127" s="70"/>
      <c r="I127" s="70">
        <v>0</v>
      </c>
      <c r="J127" s="70" t="s">
        <v>1742</v>
      </c>
      <c r="K127" s="70" t="s">
        <v>1744</v>
      </c>
      <c r="L127" s="70">
        <v>129.99999999999997</v>
      </c>
      <c r="M127" s="70"/>
      <c r="N127" s="70" t="str">
        <f t="shared" si="7"/>
        <v>AttributeDamageRate(AttributeBlue, 130)</v>
      </c>
      <c r="O127" s="70">
        <v>0</v>
      </c>
      <c r="P127" s="70">
        <v>0</v>
      </c>
      <c r="Q127" s="70"/>
      <c r="R127" s="70" t="b">
        <v>0</v>
      </c>
    </row>
    <row r="128" spans="1:18">
      <c r="A128" s="70" t="s">
        <v>695</v>
      </c>
      <c r="B128" s="70"/>
      <c r="C128" s="70"/>
      <c r="D128" s="70">
        <v>0</v>
      </c>
      <c r="E128" s="70">
        <v>1</v>
      </c>
      <c r="F128" s="70" t="s">
        <v>611</v>
      </c>
      <c r="G128" s="70" t="s">
        <v>612</v>
      </c>
      <c r="H128" s="70"/>
      <c r="I128" s="70">
        <v>0</v>
      </c>
      <c r="J128" s="70" t="s">
        <v>1742</v>
      </c>
      <c r="K128" s="70" t="s">
        <v>1744</v>
      </c>
      <c r="L128" s="70">
        <v>129.99999999999997</v>
      </c>
      <c r="M128" s="70"/>
      <c r="N128" s="70" t="str">
        <f t="shared" si="7"/>
        <v>AttributeDamageRate(AttributeBlue, 130)</v>
      </c>
      <c r="O128" s="70">
        <v>0</v>
      </c>
      <c r="P128" s="70">
        <v>0</v>
      </c>
      <c r="Q128" s="70"/>
      <c r="R128" s="70" t="b">
        <v>0</v>
      </c>
    </row>
    <row r="129" spans="1:18">
      <c r="A129" s="70" t="s">
        <v>696</v>
      </c>
      <c r="B129" s="70"/>
      <c r="C129" s="70"/>
      <c r="D129" s="70">
        <v>0</v>
      </c>
      <c r="E129" s="70">
        <v>1</v>
      </c>
      <c r="F129" s="70" t="s">
        <v>611</v>
      </c>
      <c r="G129" s="70" t="s">
        <v>612</v>
      </c>
      <c r="H129" s="70"/>
      <c r="I129" s="70">
        <v>0</v>
      </c>
      <c r="J129" s="70" t="s">
        <v>1742</v>
      </c>
      <c r="K129" s="70" t="s">
        <v>1744</v>
      </c>
      <c r="L129" s="70">
        <v>139.99999999999997</v>
      </c>
      <c r="M129" s="70"/>
      <c r="N129" s="70" t="str">
        <f t="shared" si="7"/>
        <v>AttributeDamageRate(AttributeBlue, 140)</v>
      </c>
      <c r="O129" s="70">
        <v>0</v>
      </c>
      <c r="P129" s="70">
        <v>0</v>
      </c>
      <c r="Q129" s="70"/>
      <c r="R129" s="70" t="b">
        <v>0</v>
      </c>
    </row>
    <row r="130" spans="1:18">
      <c r="A130" s="70" t="s">
        <v>697</v>
      </c>
      <c r="B130" s="70"/>
      <c r="C130" s="70"/>
      <c r="D130" s="70">
        <v>0</v>
      </c>
      <c r="E130" s="70">
        <v>1</v>
      </c>
      <c r="F130" s="70" t="s">
        <v>611</v>
      </c>
      <c r="G130" s="70" t="s">
        <v>612</v>
      </c>
      <c r="H130" s="70"/>
      <c r="I130" s="70">
        <v>0</v>
      </c>
      <c r="J130" s="70" t="s">
        <v>1742</v>
      </c>
      <c r="K130" s="70" t="s">
        <v>1744</v>
      </c>
      <c r="L130" s="70">
        <v>139.99999999999997</v>
      </c>
      <c r="M130" s="70"/>
      <c r="N130" s="70" t="str">
        <f t="shared" si="7"/>
        <v>AttributeDamageRate(AttributeBlue, 140)</v>
      </c>
      <c r="O130" s="70">
        <v>0</v>
      </c>
      <c r="P130" s="70">
        <v>0</v>
      </c>
      <c r="Q130" s="70"/>
      <c r="R130" s="70" t="b">
        <v>0</v>
      </c>
    </row>
    <row r="131" spans="1:18">
      <c r="A131" s="70" t="s">
        <v>698</v>
      </c>
      <c r="B131" s="70"/>
      <c r="C131" s="70"/>
      <c r="D131" s="70">
        <v>0</v>
      </c>
      <c r="E131" s="70">
        <v>1</v>
      </c>
      <c r="F131" s="70" t="s">
        <v>611</v>
      </c>
      <c r="G131" s="70" t="s">
        <v>612</v>
      </c>
      <c r="H131" s="70"/>
      <c r="I131" s="70">
        <v>0</v>
      </c>
      <c r="J131" s="70" t="s">
        <v>1742</v>
      </c>
      <c r="K131" s="70" t="s">
        <v>1744</v>
      </c>
      <c r="L131" s="70">
        <v>150</v>
      </c>
      <c r="M131" s="70"/>
      <c r="N131" s="70" t="str">
        <f t="shared" si="7"/>
        <v>AttributeDamageRate(AttributeBlue, 150)</v>
      </c>
      <c r="O131" s="70">
        <v>0</v>
      </c>
      <c r="P131" s="70">
        <v>0</v>
      </c>
      <c r="Q131" s="70"/>
      <c r="R131" s="70" t="b">
        <v>0</v>
      </c>
    </row>
    <row r="132" spans="1:18">
      <c r="A132" s="69" t="s">
        <v>699</v>
      </c>
      <c r="B132" s="69"/>
      <c r="C132" s="69"/>
      <c r="D132" s="69">
        <v>0</v>
      </c>
      <c r="E132" s="69">
        <v>1</v>
      </c>
      <c r="F132" s="69" t="s">
        <v>611</v>
      </c>
      <c r="G132" s="69" t="s">
        <v>612</v>
      </c>
      <c r="H132" s="69"/>
      <c r="I132" s="69">
        <v>0</v>
      </c>
      <c r="J132" s="69" t="s">
        <v>1746</v>
      </c>
      <c r="K132" s="69" t="s">
        <v>787</v>
      </c>
      <c r="L132" s="69">
        <v>0</v>
      </c>
      <c r="M132" s="69"/>
      <c r="N132" s="69" t="str">
        <f t="shared" si="7"/>
        <v>AttributeDamageDerate(AttributeRed, 0)</v>
      </c>
      <c r="O132" s="69">
        <v>0</v>
      </c>
      <c r="P132" s="69">
        <v>0</v>
      </c>
      <c r="Q132" s="69"/>
      <c r="R132" s="69" t="b">
        <v>0</v>
      </c>
    </row>
    <row r="133" spans="1:18">
      <c r="A133" s="69" t="s">
        <v>700</v>
      </c>
      <c r="B133" s="69"/>
      <c r="C133" s="69"/>
      <c r="D133" s="69">
        <v>0</v>
      </c>
      <c r="E133" s="69">
        <v>1</v>
      </c>
      <c r="F133" s="69" t="s">
        <v>611</v>
      </c>
      <c r="G133" s="69" t="s">
        <v>612</v>
      </c>
      <c r="H133" s="69"/>
      <c r="I133" s="69">
        <v>0</v>
      </c>
      <c r="J133" s="69" t="s">
        <v>1746</v>
      </c>
      <c r="K133" s="69" t="s">
        <v>787</v>
      </c>
      <c r="L133" s="69">
        <v>10</v>
      </c>
      <c r="M133" s="69"/>
      <c r="N133" s="69" t="str">
        <f t="shared" si="7"/>
        <v>AttributeDamageDerate(AttributeRed, 10)</v>
      </c>
      <c r="O133" s="69">
        <v>0</v>
      </c>
      <c r="P133" s="69">
        <v>0</v>
      </c>
      <c r="Q133" s="69"/>
      <c r="R133" s="69" t="b">
        <v>0</v>
      </c>
    </row>
    <row r="134" spans="1:18">
      <c r="A134" s="69" t="s">
        <v>701</v>
      </c>
      <c r="B134" s="69"/>
      <c r="C134" s="69"/>
      <c r="D134" s="69">
        <v>0</v>
      </c>
      <c r="E134" s="69">
        <v>1</v>
      </c>
      <c r="F134" s="69" t="s">
        <v>611</v>
      </c>
      <c r="G134" s="69" t="s">
        <v>612</v>
      </c>
      <c r="H134" s="69"/>
      <c r="I134" s="69">
        <v>0</v>
      </c>
      <c r="J134" s="69" t="s">
        <v>1746</v>
      </c>
      <c r="K134" s="69" t="s">
        <v>787</v>
      </c>
      <c r="L134" s="69">
        <v>10</v>
      </c>
      <c r="M134" s="69"/>
      <c r="N134" s="69" t="str">
        <f t="shared" si="7"/>
        <v>AttributeDamageDerate(AttributeRed, 10)</v>
      </c>
      <c r="O134" s="69">
        <v>0</v>
      </c>
      <c r="P134" s="69">
        <v>0</v>
      </c>
      <c r="Q134" s="69"/>
      <c r="R134" s="69" t="b">
        <v>0</v>
      </c>
    </row>
    <row r="135" spans="1:18">
      <c r="A135" s="69" t="s">
        <v>702</v>
      </c>
      <c r="B135" s="69"/>
      <c r="C135" s="69"/>
      <c r="D135" s="69">
        <v>0</v>
      </c>
      <c r="E135" s="69">
        <v>1</v>
      </c>
      <c r="F135" s="69" t="s">
        <v>611</v>
      </c>
      <c r="G135" s="69" t="s">
        <v>612</v>
      </c>
      <c r="H135" s="69"/>
      <c r="I135" s="69">
        <v>0</v>
      </c>
      <c r="J135" s="69" t="s">
        <v>1746</v>
      </c>
      <c r="K135" s="69" t="s">
        <v>787</v>
      </c>
      <c r="L135" s="69">
        <v>20</v>
      </c>
      <c r="M135" s="69"/>
      <c r="N135" s="69" t="str">
        <f t="shared" si="7"/>
        <v>AttributeDamageDerate(AttributeRed, 20)</v>
      </c>
      <c r="O135" s="69">
        <v>0</v>
      </c>
      <c r="P135" s="69">
        <v>0</v>
      </c>
      <c r="Q135" s="69"/>
      <c r="R135" s="69" t="b">
        <v>0</v>
      </c>
    </row>
    <row r="136" spans="1:18">
      <c r="A136" s="69" t="s">
        <v>703</v>
      </c>
      <c r="B136" s="69"/>
      <c r="C136" s="69"/>
      <c r="D136" s="69">
        <v>0</v>
      </c>
      <c r="E136" s="69">
        <v>1</v>
      </c>
      <c r="F136" s="69" t="s">
        <v>611</v>
      </c>
      <c r="G136" s="69" t="s">
        <v>612</v>
      </c>
      <c r="H136" s="69"/>
      <c r="I136" s="69">
        <v>0</v>
      </c>
      <c r="J136" s="69" t="s">
        <v>1746</v>
      </c>
      <c r="K136" s="69" t="s">
        <v>1745</v>
      </c>
      <c r="L136" s="69">
        <v>20</v>
      </c>
      <c r="M136" s="69"/>
      <c r="N136" s="69" t="str">
        <f t="shared" si="7"/>
        <v>AttributeDamageDerate(AttributeRed, 20)</v>
      </c>
      <c r="O136" s="69">
        <v>0</v>
      </c>
      <c r="P136" s="69">
        <v>0</v>
      </c>
      <c r="Q136" s="69"/>
      <c r="R136" s="69" t="b">
        <v>0</v>
      </c>
    </row>
    <row r="137" spans="1:18">
      <c r="A137" s="69" t="s">
        <v>704</v>
      </c>
      <c r="B137" s="69"/>
      <c r="C137" s="69"/>
      <c r="D137" s="69">
        <v>0</v>
      </c>
      <c r="E137" s="69">
        <v>1</v>
      </c>
      <c r="F137" s="69" t="s">
        <v>611</v>
      </c>
      <c r="G137" s="69" t="s">
        <v>612</v>
      </c>
      <c r="H137" s="69"/>
      <c r="I137" s="69">
        <v>0</v>
      </c>
      <c r="J137" s="69" t="s">
        <v>1746</v>
      </c>
      <c r="K137" s="69" t="s">
        <v>1745</v>
      </c>
      <c r="L137" s="69">
        <v>30</v>
      </c>
      <c r="M137" s="69"/>
      <c r="N137" s="69" t="str">
        <f t="shared" si="7"/>
        <v>AttributeDamageDerate(AttributeRed, 30)</v>
      </c>
      <c r="O137" s="69">
        <v>0</v>
      </c>
      <c r="P137" s="69">
        <v>0</v>
      </c>
      <c r="Q137" s="69"/>
      <c r="R137" s="69" t="b">
        <v>0</v>
      </c>
    </row>
    <row r="138" spans="1:18">
      <c r="A138" s="69" t="s">
        <v>705</v>
      </c>
      <c r="B138" s="69"/>
      <c r="C138" s="69"/>
      <c r="D138" s="69">
        <v>0</v>
      </c>
      <c r="E138" s="69">
        <v>1</v>
      </c>
      <c r="F138" s="69" t="s">
        <v>611</v>
      </c>
      <c r="G138" s="69" t="s">
        <v>612</v>
      </c>
      <c r="H138" s="69"/>
      <c r="I138" s="69">
        <v>0</v>
      </c>
      <c r="J138" s="69" t="s">
        <v>1746</v>
      </c>
      <c r="K138" s="69" t="s">
        <v>1745</v>
      </c>
      <c r="L138" s="69">
        <v>30</v>
      </c>
      <c r="M138" s="69"/>
      <c r="N138" s="69" t="str">
        <f t="shared" si="7"/>
        <v>AttributeDamageDerate(AttributeRed, 30)</v>
      </c>
      <c r="O138" s="69">
        <v>0</v>
      </c>
      <c r="P138" s="69">
        <v>0</v>
      </c>
      <c r="Q138" s="69"/>
      <c r="R138" s="69" t="b">
        <v>0</v>
      </c>
    </row>
    <row r="139" spans="1:18">
      <c r="A139" s="69" t="s">
        <v>706</v>
      </c>
      <c r="B139" s="69"/>
      <c r="C139" s="69"/>
      <c r="D139" s="69">
        <v>0</v>
      </c>
      <c r="E139" s="69">
        <v>1</v>
      </c>
      <c r="F139" s="69" t="s">
        <v>611</v>
      </c>
      <c r="G139" s="69" t="s">
        <v>612</v>
      </c>
      <c r="H139" s="69"/>
      <c r="I139" s="69">
        <v>0</v>
      </c>
      <c r="J139" s="69" t="s">
        <v>1746</v>
      </c>
      <c r="K139" s="69" t="s">
        <v>1745</v>
      </c>
      <c r="L139" s="69">
        <v>40</v>
      </c>
      <c r="M139" s="69"/>
      <c r="N139" s="69" t="str">
        <f t="shared" si="7"/>
        <v>AttributeDamageDerate(AttributeRed, 40)</v>
      </c>
      <c r="O139" s="69">
        <v>0</v>
      </c>
      <c r="P139" s="69">
        <v>0</v>
      </c>
      <c r="Q139" s="69"/>
      <c r="R139" s="69" t="b">
        <v>0</v>
      </c>
    </row>
    <row r="140" spans="1:18">
      <c r="A140" s="69" t="s">
        <v>707</v>
      </c>
      <c r="B140" s="69"/>
      <c r="C140" s="69"/>
      <c r="D140" s="69">
        <v>0</v>
      </c>
      <c r="E140" s="69">
        <v>1</v>
      </c>
      <c r="F140" s="69" t="s">
        <v>611</v>
      </c>
      <c r="G140" s="69" t="s">
        <v>612</v>
      </c>
      <c r="H140" s="69"/>
      <c r="I140" s="69">
        <v>0</v>
      </c>
      <c r="J140" s="69" t="s">
        <v>1746</v>
      </c>
      <c r="K140" s="69" t="s">
        <v>1745</v>
      </c>
      <c r="L140" s="69">
        <v>40</v>
      </c>
      <c r="M140" s="69"/>
      <c r="N140" s="69" t="str">
        <f t="shared" si="7"/>
        <v>AttributeDamageDerate(AttributeRed, 40)</v>
      </c>
      <c r="O140" s="69">
        <v>0</v>
      </c>
      <c r="P140" s="69">
        <v>0</v>
      </c>
      <c r="Q140" s="69"/>
      <c r="R140" s="69" t="b">
        <v>0</v>
      </c>
    </row>
    <row r="141" spans="1:18">
      <c r="A141" s="69" t="s">
        <v>708</v>
      </c>
      <c r="B141" s="69"/>
      <c r="C141" s="69"/>
      <c r="D141" s="69">
        <v>0</v>
      </c>
      <c r="E141" s="69">
        <v>1</v>
      </c>
      <c r="F141" s="69" t="s">
        <v>611</v>
      </c>
      <c r="G141" s="69" t="s">
        <v>612</v>
      </c>
      <c r="H141" s="69"/>
      <c r="I141" s="69">
        <v>0</v>
      </c>
      <c r="J141" s="69" t="s">
        <v>1746</v>
      </c>
      <c r="K141" s="69" t="s">
        <v>1745</v>
      </c>
      <c r="L141" s="69">
        <v>50</v>
      </c>
      <c r="M141" s="69"/>
      <c r="N141" s="69" t="str">
        <f t="shared" si="7"/>
        <v>AttributeDamageDerate(AttributeRed, 50)</v>
      </c>
      <c r="O141" s="69">
        <v>0</v>
      </c>
      <c r="P141" s="69">
        <v>0</v>
      </c>
      <c r="Q141" s="69"/>
      <c r="R141" s="69" t="b">
        <v>0</v>
      </c>
    </row>
    <row r="142" spans="1:18">
      <c r="A142" s="69" t="s">
        <v>709</v>
      </c>
      <c r="B142" s="69"/>
      <c r="C142" s="69"/>
      <c r="D142" s="69">
        <v>0</v>
      </c>
      <c r="E142" s="69">
        <v>1</v>
      </c>
      <c r="F142" s="69" t="s">
        <v>611</v>
      </c>
      <c r="G142" s="69" t="s">
        <v>612</v>
      </c>
      <c r="H142" s="69"/>
      <c r="I142" s="69">
        <v>0</v>
      </c>
      <c r="J142" s="69" t="s">
        <v>1746</v>
      </c>
      <c r="K142" s="69" t="s">
        <v>1745</v>
      </c>
      <c r="L142" s="69">
        <v>50</v>
      </c>
      <c r="M142" s="69"/>
      <c r="N142" s="69" t="str">
        <f t="shared" si="7"/>
        <v>AttributeDamageDerate(AttributeRed, 50)</v>
      </c>
      <c r="O142" s="69">
        <v>0</v>
      </c>
      <c r="P142" s="69">
        <v>0</v>
      </c>
      <c r="Q142" s="69"/>
      <c r="R142" s="69" t="b">
        <v>0</v>
      </c>
    </row>
    <row r="143" spans="1:18">
      <c r="A143" s="69" t="s">
        <v>710</v>
      </c>
      <c r="B143" s="69"/>
      <c r="C143" s="69"/>
      <c r="D143" s="69">
        <v>0</v>
      </c>
      <c r="E143" s="69">
        <v>1</v>
      </c>
      <c r="F143" s="69" t="s">
        <v>611</v>
      </c>
      <c r="G143" s="69" t="s">
        <v>612</v>
      </c>
      <c r="H143" s="69"/>
      <c r="I143" s="69">
        <v>0</v>
      </c>
      <c r="J143" s="69" t="s">
        <v>1746</v>
      </c>
      <c r="K143" s="69" t="s">
        <v>1745</v>
      </c>
      <c r="L143" s="69">
        <v>60.000000000000007</v>
      </c>
      <c r="M143" s="69"/>
      <c r="N143" s="69" t="str">
        <f t="shared" si="7"/>
        <v>AttributeDamageDerate(AttributeRed, 60)</v>
      </c>
      <c r="O143" s="69">
        <v>0</v>
      </c>
      <c r="P143" s="69">
        <v>0</v>
      </c>
      <c r="Q143" s="69"/>
      <c r="R143" s="69" t="b">
        <v>0</v>
      </c>
    </row>
    <row r="144" spans="1:18">
      <c r="A144" s="69" t="s">
        <v>711</v>
      </c>
      <c r="B144" s="69"/>
      <c r="C144" s="69"/>
      <c r="D144" s="69">
        <v>0</v>
      </c>
      <c r="E144" s="69">
        <v>1</v>
      </c>
      <c r="F144" s="69" t="s">
        <v>611</v>
      </c>
      <c r="G144" s="69" t="s">
        <v>612</v>
      </c>
      <c r="H144" s="69"/>
      <c r="I144" s="69">
        <v>0</v>
      </c>
      <c r="J144" s="69" t="s">
        <v>1746</v>
      </c>
      <c r="K144" s="69" t="s">
        <v>1745</v>
      </c>
      <c r="L144" s="69">
        <v>60.000000000000007</v>
      </c>
      <c r="M144" s="69"/>
      <c r="N144" s="69" t="str">
        <f t="shared" si="7"/>
        <v>AttributeDamageDerate(AttributeRed, 60)</v>
      </c>
      <c r="O144" s="69">
        <v>0</v>
      </c>
      <c r="P144" s="69">
        <v>0</v>
      </c>
      <c r="Q144" s="69"/>
      <c r="R144" s="69" t="b">
        <v>0</v>
      </c>
    </row>
    <row r="145" spans="1:18">
      <c r="A145" s="69" t="s">
        <v>712</v>
      </c>
      <c r="B145" s="69"/>
      <c r="C145" s="69"/>
      <c r="D145" s="69">
        <v>0</v>
      </c>
      <c r="E145" s="69">
        <v>1</v>
      </c>
      <c r="F145" s="69" t="s">
        <v>611</v>
      </c>
      <c r="G145" s="69" t="s">
        <v>612</v>
      </c>
      <c r="H145" s="69"/>
      <c r="I145" s="69">
        <v>0</v>
      </c>
      <c r="J145" s="69" t="s">
        <v>1746</v>
      </c>
      <c r="K145" s="69" t="s">
        <v>1745</v>
      </c>
      <c r="L145" s="69">
        <v>70</v>
      </c>
      <c r="M145" s="69"/>
      <c r="N145" s="69" t="str">
        <f t="shared" si="7"/>
        <v>AttributeDamageDerate(AttributeRed, 70)</v>
      </c>
      <c r="O145" s="69">
        <v>0</v>
      </c>
      <c r="P145" s="69">
        <v>0</v>
      </c>
      <c r="Q145" s="69"/>
      <c r="R145" s="69" t="b">
        <v>0</v>
      </c>
    </row>
    <row r="146" spans="1:18">
      <c r="A146" s="69" t="s">
        <v>713</v>
      </c>
      <c r="B146" s="69"/>
      <c r="C146" s="69"/>
      <c r="D146" s="69">
        <v>0</v>
      </c>
      <c r="E146" s="69">
        <v>1</v>
      </c>
      <c r="F146" s="69" t="s">
        <v>611</v>
      </c>
      <c r="G146" s="69" t="s">
        <v>612</v>
      </c>
      <c r="H146" s="69"/>
      <c r="I146" s="69">
        <v>0</v>
      </c>
      <c r="J146" s="69" t="s">
        <v>1746</v>
      </c>
      <c r="K146" s="69" t="s">
        <v>1745</v>
      </c>
      <c r="L146" s="69">
        <v>70</v>
      </c>
      <c r="M146" s="69"/>
      <c r="N146" s="69" t="str">
        <f t="shared" si="7"/>
        <v>AttributeDamageDerate(AttributeRed, 70)</v>
      </c>
      <c r="O146" s="69">
        <v>0</v>
      </c>
      <c r="P146" s="69">
        <v>0</v>
      </c>
      <c r="Q146" s="69"/>
      <c r="R146" s="69" t="b">
        <v>0</v>
      </c>
    </row>
    <row r="147" spans="1:18">
      <c r="A147" s="69" t="s">
        <v>714</v>
      </c>
      <c r="B147" s="69"/>
      <c r="C147" s="69"/>
      <c r="D147" s="69">
        <v>0</v>
      </c>
      <c r="E147" s="69">
        <v>1</v>
      </c>
      <c r="F147" s="69" t="s">
        <v>611</v>
      </c>
      <c r="G147" s="69" t="s">
        <v>612</v>
      </c>
      <c r="H147" s="69"/>
      <c r="I147" s="69">
        <v>0</v>
      </c>
      <c r="J147" s="69" t="s">
        <v>1746</v>
      </c>
      <c r="K147" s="69" t="s">
        <v>1745</v>
      </c>
      <c r="L147" s="69">
        <v>80</v>
      </c>
      <c r="M147" s="69"/>
      <c r="N147" s="69" t="str">
        <f t="shared" si="7"/>
        <v>AttributeDamageDerate(AttributeRed, 80)</v>
      </c>
      <c r="O147" s="69">
        <v>0</v>
      </c>
      <c r="P147" s="69">
        <v>0</v>
      </c>
      <c r="Q147" s="69"/>
      <c r="R147" s="69" t="b">
        <v>0</v>
      </c>
    </row>
    <row r="148" spans="1:18">
      <c r="A148" s="69" t="s">
        <v>715</v>
      </c>
      <c r="B148" s="69"/>
      <c r="C148" s="69"/>
      <c r="D148" s="69">
        <v>0</v>
      </c>
      <c r="E148" s="69">
        <v>1</v>
      </c>
      <c r="F148" s="69" t="s">
        <v>611</v>
      </c>
      <c r="G148" s="69" t="s">
        <v>612</v>
      </c>
      <c r="H148" s="69"/>
      <c r="I148" s="69">
        <v>0</v>
      </c>
      <c r="J148" s="69" t="s">
        <v>1746</v>
      </c>
      <c r="K148" s="69" t="s">
        <v>1745</v>
      </c>
      <c r="L148" s="69">
        <v>80</v>
      </c>
      <c r="M148" s="69"/>
      <c r="N148" s="69" t="str">
        <f t="shared" si="7"/>
        <v>AttributeDamageDerate(AttributeRed, 80)</v>
      </c>
      <c r="O148" s="69">
        <v>0</v>
      </c>
      <c r="P148" s="69">
        <v>0</v>
      </c>
      <c r="Q148" s="69"/>
      <c r="R148" s="69" t="b">
        <v>0</v>
      </c>
    </row>
    <row r="149" spans="1:18">
      <c r="A149" s="69" t="s">
        <v>716</v>
      </c>
      <c r="B149" s="69"/>
      <c r="C149" s="69"/>
      <c r="D149" s="69">
        <v>0</v>
      </c>
      <c r="E149" s="69">
        <v>1</v>
      </c>
      <c r="F149" s="69" t="s">
        <v>611</v>
      </c>
      <c r="G149" s="69" t="s">
        <v>612</v>
      </c>
      <c r="H149" s="69"/>
      <c r="I149" s="69">
        <v>0</v>
      </c>
      <c r="J149" s="69" t="s">
        <v>1746</v>
      </c>
      <c r="K149" s="69" t="s">
        <v>1745</v>
      </c>
      <c r="L149" s="69">
        <v>90</v>
      </c>
      <c r="M149" s="69"/>
      <c r="N149" s="69" t="str">
        <f t="shared" si="7"/>
        <v>AttributeDamageDerate(AttributeRed, 90)</v>
      </c>
      <c r="O149" s="69">
        <v>0</v>
      </c>
      <c r="P149" s="69">
        <v>0</v>
      </c>
      <c r="Q149" s="69"/>
      <c r="R149" s="69" t="b">
        <v>0</v>
      </c>
    </row>
    <row r="150" spans="1:18">
      <c r="A150" s="69" t="s">
        <v>717</v>
      </c>
      <c r="B150" s="69"/>
      <c r="C150" s="69"/>
      <c r="D150" s="69">
        <v>0</v>
      </c>
      <c r="E150" s="69">
        <v>1</v>
      </c>
      <c r="F150" s="69" t="s">
        <v>611</v>
      </c>
      <c r="G150" s="69" t="s">
        <v>612</v>
      </c>
      <c r="H150" s="69"/>
      <c r="I150" s="69">
        <v>0</v>
      </c>
      <c r="J150" s="69" t="s">
        <v>1746</v>
      </c>
      <c r="K150" s="69" t="s">
        <v>1745</v>
      </c>
      <c r="L150" s="69">
        <v>90</v>
      </c>
      <c r="M150" s="69"/>
      <c r="N150" s="69" t="str">
        <f t="shared" si="7"/>
        <v>AttributeDamageDerate(AttributeRed, 90)</v>
      </c>
      <c r="O150" s="69">
        <v>0</v>
      </c>
      <c r="P150" s="69">
        <v>0</v>
      </c>
      <c r="Q150" s="69"/>
      <c r="R150" s="69" t="b">
        <v>0</v>
      </c>
    </row>
    <row r="151" spans="1:18">
      <c r="A151" s="69" t="s">
        <v>718</v>
      </c>
      <c r="B151" s="69"/>
      <c r="C151" s="69"/>
      <c r="D151" s="69">
        <v>0</v>
      </c>
      <c r="E151" s="69">
        <v>1</v>
      </c>
      <c r="F151" s="69" t="s">
        <v>611</v>
      </c>
      <c r="G151" s="69" t="s">
        <v>612</v>
      </c>
      <c r="H151" s="69"/>
      <c r="I151" s="69">
        <v>0</v>
      </c>
      <c r="J151" s="69" t="s">
        <v>1746</v>
      </c>
      <c r="K151" s="69" t="s">
        <v>1745</v>
      </c>
      <c r="L151" s="69">
        <v>99.999999999999986</v>
      </c>
      <c r="M151" s="69"/>
      <c r="N151" s="69" t="str">
        <f t="shared" si="7"/>
        <v>AttributeDamageDerate(AttributeRed, 100)</v>
      </c>
      <c r="O151" s="69">
        <v>0</v>
      </c>
      <c r="P151" s="69">
        <v>0</v>
      </c>
      <c r="Q151" s="69"/>
      <c r="R151" s="69" t="b">
        <v>0</v>
      </c>
    </row>
    <row r="152" spans="1:18">
      <c r="A152" s="69" t="s">
        <v>719</v>
      </c>
      <c r="B152" s="69"/>
      <c r="C152" s="69"/>
      <c r="D152" s="69">
        <v>0</v>
      </c>
      <c r="E152" s="69">
        <v>1</v>
      </c>
      <c r="F152" s="69" t="s">
        <v>611</v>
      </c>
      <c r="G152" s="69" t="s">
        <v>612</v>
      </c>
      <c r="H152" s="69"/>
      <c r="I152" s="69">
        <v>0</v>
      </c>
      <c r="J152" s="69" t="s">
        <v>1746</v>
      </c>
      <c r="K152" s="69" t="s">
        <v>1745</v>
      </c>
      <c r="L152" s="69">
        <v>99.999999999999986</v>
      </c>
      <c r="M152" s="69"/>
      <c r="N152" s="69" t="str">
        <f t="shared" si="7"/>
        <v>AttributeDamageDerate(AttributeRed, 100)</v>
      </c>
      <c r="O152" s="69">
        <v>0</v>
      </c>
      <c r="P152" s="69">
        <v>0</v>
      </c>
      <c r="Q152" s="69"/>
      <c r="R152" s="69" t="b">
        <v>0</v>
      </c>
    </row>
    <row r="153" spans="1:18">
      <c r="A153" s="69" t="s">
        <v>720</v>
      </c>
      <c r="B153" s="69"/>
      <c r="C153" s="69"/>
      <c r="D153" s="69">
        <v>0</v>
      </c>
      <c r="E153" s="69">
        <v>1</v>
      </c>
      <c r="F153" s="69" t="s">
        <v>611</v>
      </c>
      <c r="G153" s="69" t="s">
        <v>612</v>
      </c>
      <c r="H153" s="69"/>
      <c r="I153" s="69">
        <v>0</v>
      </c>
      <c r="J153" s="69" t="s">
        <v>1746</v>
      </c>
      <c r="K153" s="69" t="s">
        <v>1745</v>
      </c>
      <c r="L153" s="69">
        <v>109.99999999999999</v>
      </c>
      <c r="M153" s="69"/>
      <c r="N153" s="69" t="str">
        <f t="shared" si="7"/>
        <v>AttributeDamageDerate(AttributeRed, 110)</v>
      </c>
      <c r="O153" s="69">
        <v>0</v>
      </c>
      <c r="P153" s="69">
        <v>0</v>
      </c>
      <c r="Q153" s="69"/>
      <c r="R153" s="69" t="b">
        <v>0</v>
      </c>
    </row>
    <row r="154" spans="1:18">
      <c r="A154" s="69" t="s">
        <v>721</v>
      </c>
      <c r="B154" s="69"/>
      <c r="C154" s="69"/>
      <c r="D154" s="69">
        <v>0</v>
      </c>
      <c r="E154" s="69">
        <v>1</v>
      </c>
      <c r="F154" s="69" t="s">
        <v>611</v>
      </c>
      <c r="G154" s="69" t="s">
        <v>612</v>
      </c>
      <c r="H154" s="69"/>
      <c r="I154" s="69">
        <v>0</v>
      </c>
      <c r="J154" s="69" t="s">
        <v>1746</v>
      </c>
      <c r="K154" s="69" t="s">
        <v>1745</v>
      </c>
      <c r="L154" s="69">
        <v>109.99999999999999</v>
      </c>
      <c r="M154" s="69"/>
      <c r="N154" s="69" t="str">
        <f t="shared" si="7"/>
        <v>AttributeDamageDerate(AttributeRed, 110)</v>
      </c>
      <c r="O154" s="69">
        <v>0</v>
      </c>
      <c r="P154" s="69">
        <v>0</v>
      </c>
      <c r="Q154" s="69"/>
      <c r="R154" s="69" t="b">
        <v>0</v>
      </c>
    </row>
    <row r="155" spans="1:18">
      <c r="A155" s="69" t="s">
        <v>722</v>
      </c>
      <c r="B155" s="69"/>
      <c r="C155" s="69"/>
      <c r="D155" s="69">
        <v>0</v>
      </c>
      <c r="E155" s="69">
        <v>1</v>
      </c>
      <c r="F155" s="69" t="s">
        <v>611</v>
      </c>
      <c r="G155" s="69" t="s">
        <v>612</v>
      </c>
      <c r="H155" s="69"/>
      <c r="I155" s="69">
        <v>0</v>
      </c>
      <c r="J155" s="69" t="s">
        <v>1746</v>
      </c>
      <c r="K155" s="69" t="s">
        <v>1745</v>
      </c>
      <c r="L155" s="69">
        <v>119.99999999999999</v>
      </c>
      <c r="M155" s="69"/>
      <c r="N155" s="69" t="str">
        <f t="shared" si="7"/>
        <v>AttributeDamageDerate(AttributeRed, 120)</v>
      </c>
      <c r="O155" s="69">
        <v>0</v>
      </c>
      <c r="P155" s="69">
        <v>0</v>
      </c>
      <c r="Q155" s="69"/>
      <c r="R155" s="69" t="b">
        <v>0</v>
      </c>
    </row>
    <row r="156" spans="1:18">
      <c r="A156" s="69" t="s">
        <v>723</v>
      </c>
      <c r="B156" s="69"/>
      <c r="C156" s="69"/>
      <c r="D156" s="69">
        <v>0</v>
      </c>
      <c r="E156" s="69">
        <v>1</v>
      </c>
      <c r="F156" s="69" t="s">
        <v>611</v>
      </c>
      <c r="G156" s="69" t="s">
        <v>612</v>
      </c>
      <c r="H156" s="69"/>
      <c r="I156" s="69">
        <v>0</v>
      </c>
      <c r="J156" s="69" t="s">
        <v>1746</v>
      </c>
      <c r="K156" s="69" t="s">
        <v>1745</v>
      </c>
      <c r="L156" s="69">
        <v>119.99999999999999</v>
      </c>
      <c r="M156" s="69"/>
      <c r="N156" s="69" t="str">
        <f t="shared" si="7"/>
        <v>AttributeDamageDerate(AttributeRed, 120)</v>
      </c>
      <c r="O156" s="69">
        <v>0</v>
      </c>
      <c r="P156" s="69">
        <v>0</v>
      </c>
      <c r="Q156" s="69"/>
      <c r="R156" s="69" t="b">
        <v>0</v>
      </c>
    </row>
    <row r="157" spans="1:18">
      <c r="A157" s="69" t="s">
        <v>724</v>
      </c>
      <c r="B157" s="69"/>
      <c r="C157" s="69"/>
      <c r="D157" s="69">
        <v>0</v>
      </c>
      <c r="E157" s="69">
        <v>1</v>
      </c>
      <c r="F157" s="69" t="s">
        <v>611</v>
      </c>
      <c r="G157" s="69" t="s">
        <v>612</v>
      </c>
      <c r="H157" s="69"/>
      <c r="I157" s="69">
        <v>0</v>
      </c>
      <c r="J157" s="69" t="s">
        <v>1746</v>
      </c>
      <c r="K157" s="69" t="s">
        <v>1745</v>
      </c>
      <c r="L157" s="69">
        <v>129.99999999999997</v>
      </c>
      <c r="M157" s="69"/>
      <c r="N157" s="69" t="str">
        <f t="shared" si="7"/>
        <v>AttributeDamageDerate(AttributeRed, 130)</v>
      </c>
      <c r="O157" s="69">
        <v>0</v>
      </c>
      <c r="P157" s="69">
        <v>0</v>
      </c>
      <c r="Q157" s="69"/>
      <c r="R157" s="69" t="b">
        <v>0</v>
      </c>
    </row>
    <row r="158" spans="1:18">
      <c r="A158" s="69" t="s">
        <v>725</v>
      </c>
      <c r="B158" s="69"/>
      <c r="C158" s="69"/>
      <c r="D158" s="69">
        <v>0</v>
      </c>
      <c r="E158" s="69">
        <v>1</v>
      </c>
      <c r="F158" s="69" t="s">
        <v>611</v>
      </c>
      <c r="G158" s="69" t="s">
        <v>612</v>
      </c>
      <c r="H158" s="69"/>
      <c r="I158" s="69">
        <v>0</v>
      </c>
      <c r="J158" s="69" t="s">
        <v>1746</v>
      </c>
      <c r="K158" s="69" t="s">
        <v>1745</v>
      </c>
      <c r="L158" s="69">
        <v>129.99999999999997</v>
      </c>
      <c r="M158" s="69"/>
      <c r="N158" s="69" t="str">
        <f t="shared" si="7"/>
        <v>AttributeDamageDerate(AttributeRed, 130)</v>
      </c>
      <c r="O158" s="69">
        <v>0</v>
      </c>
      <c r="P158" s="69">
        <v>0</v>
      </c>
      <c r="Q158" s="69"/>
      <c r="R158" s="69" t="b">
        <v>0</v>
      </c>
    </row>
    <row r="159" spans="1:18">
      <c r="A159" s="69" t="s">
        <v>726</v>
      </c>
      <c r="B159" s="69"/>
      <c r="C159" s="69"/>
      <c r="D159" s="69">
        <v>0</v>
      </c>
      <c r="E159" s="69">
        <v>1</v>
      </c>
      <c r="F159" s="69" t="s">
        <v>611</v>
      </c>
      <c r="G159" s="69" t="s">
        <v>612</v>
      </c>
      <c r="H159" s="69"/>
      <c r="I159" s="69">
        <v>0</v>
      </c>
      <c r="J159" s="69" t="s">
        <v>1746</v>
      </c>
      <c r="K159" s="69" t="s">
        <v>1745</v>
      </c>
      <c r="L159" s="69">
        <v>139.99999999999997</v>
      </c>
      <c r="M159" s="69"/>
      <c r="N159" s="69" t="str">
        <f t="shared" si="7"/>
        <v>AttributeDamageDerate(AttributeRed, 140)</v>
      </c>
      <c r="O159" s="69">
        <v>0</v>
      </c>
      <c r="P159" s="69">
        <v>0</v>
      </c>
      <c r="Q159" s="69"/>
      <c r="R159" s="69" t="b">
        <v>0</v>
      </c>
    </row>
    <row r="160" spans="1:18">
      <c r="A160" s="69" t="s">
        <v>727</v>
      </c>
      <c r="B160" s="69"/>
      <c r="C160" s="69"/>
      <c r="D160" s="69">
        <v>0</v>
      </c>
      <c r="E160" s="69">
        <v>1</v>
      </c>
      <c r="F160" s="69" t="s">
        <v>611</v>
      </c>
      <c r="G160" s="69" t="s">
        <v>612</v>
      </c>
      <c r="H160" s="69"/>
      <c r="I160" s="69">
        <v>0</v>
      </c>
      <c r="J160" s="69" t="s">
        <v>1746</v>
      </c>
      <c r="K160" s="69" t="s">
        <v>1745</v>
      </c>
      <c r="L160" s="69">
        <v>139.99999999999997</v>
      </c>
      <c r="M160" s="69"/>
      <c r="N160" s="69" t="str">
        <f t="shared" si="7"/>
        <v>AttributeDamageDerate(AttributeRed, 140)</v>
      </c>
      <c r="O160" s="69">
        <v>0</v>
      </c>
      <c r="P160" s="69">
        <v>0</v>
      </c>
      <c r="Q160" s="69"/>
      <c r="R160" s="69" t="b">
        <v>0</v>
      </c>
    </row>
    <row r="161" spans="1:18">
      <c r="A161" s="70" t="s">
        <v>1890</v>
      </c>
      <c r="B161" s="70"/>
      <c r="C161" s="70"/>
      <c r="D161" s="70">
        <v>0</v>
      </c>
      <c r="E161" s="70">
        <v>1</v>
      </c>
      <c r="F161" s="70" t="s">
        <v>611</v>
      </c>
      <c r="G161" s="70" t="s">
        <v>612</v>
      </c>
      <c r="H161" s="70"/>
      <c r="I161" s="70">
        <v>0</v>
      </c>
      <c r="J161" s="70" t="s">
        <v>2038</v>
      </c>
      <c r="K161" s="70" t="s">
        <v>1886</v>
      </c>
      <c r="L161" s="70">
        <v>100</v>
      </c>
      <c r="M161" s="70"/>
      <c r="N161" s="70" t="str">
        <f t="shared" si="7"/>
        <v>Status(AreaDamageRate, 100)</v>
      </c>
      <c r="O161" s="70">
        <v>0</v>
      </c>
      <c r="P161" s="70">
        <v>0</v>
      </c>
      <c r="Q161" s="70"/>
      <c r="R161" s="70" t="b">
        <v>0</v>
      </c>
    </row>
    <row r="162" spans="1:18">
      <c r="A162" s="70" t="s">
        <v>1891</v>
      </c>
      <c r="B162" s="70"/>
      <c r="C162" s="70"/>
      <c r="D162" s="70">
        <v>0</v>
      </c>
      <c r="E162" s="70">
        <v>1</v>
      </c>
      <c r="F162" s="70" t="s">
        <v>611</v>
      </c>
      <c r="G162" s="70" t="s">
        <v>612</v>
      </c>
      <c r="H162" s="70"/>
      <c r="I162" s="70">
        <v>0</v>
      </c>
      <c r="J162" s="70" t="s">
        <v>2038</v>
      </c>
      <c r="K162" s="70" t="s">
        <v>1886</v>
      </c>
      <c r="L162" s="70">
        <v>200</v>
      </c>
      <c r="M162" s="70"/>
      <c r="N162" s="70" t="str">
        <f t="shared" si="7"/>
        <v>Status(AreaDamageRate, 200)</v>
      </c>
      <c r="O162" s="70">
        <v>0</v>
      </c>
      <c r="P162" s="70">
        <v>0</v>
      </c>
      <c r="Q162" s="70"/>
      <c r="R162" s="70" t="b">
        <v>0</v>
      </c>
    </row>
    <row r="163" spans="1:18">
      <c r="A163" s="70" t="s">
        <v>1892</v>
      </c>
      <c r="B163" s="70"/>
      <c r="C163" s="70"/>
      <c r="D163" s="70">
        <v>0</v>
      </c>
      <c r="E163" s="70">
        <v>1</v>
      </c>
      <c r="F163" s="70" t="s">
        <v>611</v>
      </c>
      <c r="G163" s="70" t="s">
        <v>612</v>
      </c>
      <c r="H163" s="70"/>
      <c r="I163" s="70">
        <v>0</v>
      </c>
      <c r="J163" s="70" t="s">
        <v>2038</v>
      </c>
      <c r="K163" s="70" t="s">
        <v>1886</v>
      </c>
      <c r="L163" s="70">
        <v>300</v>
      </c>
      <c r="M163" s="70"/>
      <c r="N163" s="70" t="str">
        <f t="shared" si="7"/>
        <v>Status(AreaDamageRate, 300)</v>
      </c>
      <c r="O163" s="70">
        <v>0</v>
      </c>
      <c r="P163" s="70">
        <v>0</v>
      </c>
      <c r="Q163" s="70"/>
      <c r="R163" s="70" t="b">
        <v>0</v>
      </c>
    </row>
    <row r="164" spans="1:18">
      <c r="A164" s="70" t="s">
        <v>1893</v>
      </c>
      <c r="B164" s="70"/>
      <c r="C164" s="70"/>
      <c r="D164" s="70">
        <v>0</v>
      </c>
      <c r="E164" s="70">
        <v>1</v>
      </c>
      <c r="F164" s="70" t="s">
        <v>611</v>
      </c>
      <c r="G164" s="70" t="s">
        <v>612</v>
      </c>
      <c r="H164" s="70"/>
      <c r="I164" s="70">
        <v>0</v>
      </c>
      <c r="J164" s="70" t="s">
        <v>2038</v>
      </c>
      <c r="K164" s="70" t="s">
        <v>1886</v>
      </c>
      <c r="L164" s="70">
        <v>400</v>
      </c>
      <c r="M164" s="70"/>
      <c r="N164" s="70" t="str">
        <f t="shared" si="7"/>
        <v>Status(AreaDamageRate, 400)</v>
      </c>
      <c r="O164" s="70">
        <v>0</v>
      </c>
      <c r="P164" s="70">
        <v>0</v>
      </c>
      <c r="Q164" s="70"/>
      <c r="R164" s="70" t="b">
        <v>0</v>
      </c>
    </row>
    <row r="165" spans="1:18">
      <c r="A165" s="70" t="s">
        <v>1894</v>
      </c>
      <c r="B165" s="70"/>
      <c r="C165" s="70"/>
      <c r="D165" s="70">
        <v>0</v>
      </c>
      <c r="E165" s="70">
        <v>1</v>
      </c>
      <c r="F165" s="70" t="s">
        <v>611</v>
      </c>
      <c r="G165" s="70" t="s">
        <v>612</v>
      </c>
      <c r="H165" s="70"/>
      <c r="I165" s="70">
        <v>0</v>
      </c>
      <c r="J165" s="70" t="s">
        <v>2038</v>
      </c>
      <c r="K165" s="70" t="s">
        <v>1886</v>
      </c>
      <c r="L165" s="70">
        <v>500</v>
      </c>
      <c r="M165" s="70"/>
      <c r="N165" s="70" t="str">
        <f t="shared" si="7"/>
        <v>Status(AreaDamageRate, 500)</v>
      </c>
      <c r="O165" s="70">
        <v>0</v>
      </c>
      <c r="P165" s="70">
        <v>0</v>
      </c>
      <c r="Q165" s="70"/>
      <c r="R165" s="70" t="b">
        <v>0</v>
      </c>
    </row>
    <row r="166" spans="1:18">
      <c r="A166" s="70" t="s">
        <v>1986</v>
      </c>
      <c r="B166" s="70"/>
      <c r="C166" s="70"/>
      <c r="D166" s="70">
        <v>0</v>
      </c>
      <c r="E166" s="70">
        <v>1</v>
      </c>
      <c r="F166" s="70" t="s">
        <v>611</v>
      </c>
      <c r="G166" s="70" t="s">
        <v>612</v>
      </c>
      <c r="H166" s="70"/>
      <c r="I166" s="70">
        <v>0</v>
      </c>
      <c r="J166" s="70" t="s">
        <v>2038</v>
      </c>
      <c r="K166" s="70" t="s">
        <v>1886</v>
      </c>
      <c r="L166" s="70">
        <v>600</v>
      </c>
      <c r="M166" s="70"/>
      <c r="N166" s="70" t="str">
        <f t="shared" ref="N166:N170" si="8">J166&amp;"("&amp;IF(K166="","",K166)&amp;IF(L166="","",", "&amp;L166)&amp;IF(M166="","",", "&amp;M166)&amp;")"</f>
        <v>Status(AreaDamageRate, 600)</v>
      </c>
      <c r="O166" s="70">
        <v>0</v>
      </c>
      <c r="P166" s="70">
        <v>0</v>
      </c>
      <c r="Q166" s="70"/>
      <c r="R166" s="70" t="b">
        <v>0</v>
      </c>
    </row>
    <row r="167" spans="1:18">
      <c r="A167" s="70" t="s">
        <v>1987</v>
      </c>
      <c r="B167" s="70"/>
      <c r="C167" s="70"/>
      <c r="D167" s="70">
        <v>0</v>
      </c>
      <c r="E167" s="70">
        <v>1</v>
      </c>
      <c r="F167" s="70" t="s">
        <v>611</v>
      </c>
      <c r="G167" s="70" t="s">
        <v>612</v>
      </c>
      <c r="H167" s="70"/>
      <c r="I167" s="70">
        <v>0</v>
      </c>
      <c r="J167" s="70" t="s">
        <v>2038</v>
      </c>
      <c r="K167" s="70" t="s">
        <v>1886</v>
      </c>
      <c r="L167" s="70">
        <v>700</v>
      </c>
      <c r="M167" s="70"/>
      <c r="N167" s="70" t="str">
        <f t="shared" si="8"/>
        <v>Status(AreaDamageRate, 700)</v>
      </c>
      <c r="O167" s="70">
        <v>0</v>
      </c>
      <c r="P167" s="70">
        <v>0</v>
      </c>
      <c r="Q167" s="70"/>
      <c r="R167" s="70" t="b">
        <v>0</v>
      </c>
    </row>
    <row r="168" spans="1:18">
      <c r="A168" s="70" t="s">
        <v>1988</v>
      </c>
      <c r="B168" s="70"/>
      <c r="C168" s="70"/>
      <c r="D168" s="70">
        <v>0</v>
      </c>
      <c r="E168" s="70">
        <v>1</v>
      </c>
      <c r="F168" s="70" t="s">
        <v>611</v>
      </c>
      <c r="G168" s="70" t="s">
        <v>612</v>
      </c>
      <c r="H168" s="70"/>
      <c r="I168" s="70">
        <v>0</v>
      </c>
      <c r="J168" s="70" t="s">
        <v>2038</v>
      </c>
      <c r="K168" s="70" t="s">
        <v>1886</v>
      </c>
      <c r="L168" s="70">
        <v>800</v>
      </c>
      <c r="M168" s="70"/>
      <c r="N168" s="70" t="str">
        <f t="shared" si="8"/>
        <v>Status(AreaDamageRate, 800)</v>
      </c>
      <c r="O168" s="70">
        <v>0</v>
      </c>
      <c r="P168" s="70">
        <v>0</v>
      </c>
      <c r="Q168" s="70"/>
      <c r="R168" s="70" t="b">
        <v>0</v>
      </c>
    </row>
    <row r="169" spans="1:18">
      <c r="A169" s="70" t="s">
        <v>1989</v>
      </c>
      <c r="B169" s="70"/>
      <c r="C169" s="70"/>
      <c r="D169" s="70">
        <v>0</v>
      </c>
      <c r="E169" s="70">
        <v>1</v>
      </c>
      <c r="F169" s="70" t="s">
        <v>611</v>
      </c>
      <c r="G169" s="70" t="s">
        <v>612</v>
      </c>
      <c r="H169" s="70"/>
      <c r="I169" s="70">
        <v>0</v>
      </c>
      <c r="J169" s="70" t="s">
        <v>2038</v>
      </c>
      <c r="K169" s="70" t="s">
        <v>1886</v>
      </c>
      <c r="L169" s="70">
        <v>900</v>
      </c>
      <c r="M169" s="70"/>
      <c r="N169" s="70" t="str">
        <f t="shared" si="8"/>
        <v>Status(AreaDamageRate, 900)</v>
      </c>
      <c r="O169" s="70">
        <v>0</v>
      </c>
      <c r="P169" s="70">
        <v>0</v>
      </c>
      <c r="Q169" s="70"/>
      <c r="R169" s="70" t="b">
        <v>0</v>
      </c>
    </row>
    <row r="170" spans="1:18">
      <c r="A170" s="70" t="s">
        <v>1990</v>
      </c>
      <c r="B170" s="70"/>
      <c r="C170" s="70"/>
      <c r="D170" s="70">
        <v>0</v>
      </c>
      <c r="E170" s="70">
        <v>1</v>
      </c>
      <c r="F170" s="70" t="s">
        <v>611</v>
      </c>
      <c r="G170" s="70" t="s">
        <v>612</v>
      </c>
      <c r="H170" s="70"/>
      <c r="I170" s="70">
        <v>0</v>
      </c>
      <c r="J170" s="70" t="s">
        <v>2038</v>
      </c>
      <c r="K170" s="70" t="s">
        <v>1886</v>
      </c>
      <c r="L170" s="70">
        <v>1000</v>
      </c>
      <c r="M170" s="70"/>
      <c r="N170" s="70" t="str">
        <f t="shared" si="8"/>
        <v>Status(AreaDamageRate, 1000)</v>
      </c>
      <c r="O170" s="70">
        <v>0</v>
      </c>
      <c r="P170" s="70">
        <v>0</v>
      </c>
      <c r="Q170" s="70"/>
      <c r="R170" s="70" t="b">
        <v>0</v>
      </c>
    </row>
    <row r="171" spans="1:18">
      <c r="A171" s="69" t="s">
        <v>1895</v>
      </c>
      <c r="B171" s="69"/>
      <c r="C171" s="69"/>
      <c r="D171" s="69">
        <v>0</v>
      </c>
      <c r="E171" s="69">
        <v>1</v>
      </c>
      <c r="F171" s="69" t="s">
        <v>611</v>
      </c>
      <c r="G171" s="69" t="s">
        <v>612</v>
      </c>
      <c r="H171" s="69"/>
      <c r="I171" s="69">
        <v>0</v>
      </c>
      <c r="J171" s="69" t="s">
        <v>2038</v>
      </c>
      <c r="K171" s="69" t="s">
        <v>1888</v>
      </c>
      <c r="L171" s="69">
        <v>100</v>
      </c>
      <c r="M171" s="69"/>
      <c r="N171" s="69" t="str">
        <f t="shared" si="7"/>
        <v>Status(RangeDamageRate, 100)</v>
      </c>
      <c r="O171" s="69">
        <v>0</v>
      </c>
      <c r="P171" s="69">
        <v>0</v>
      </c>
      <c r="Q171" s="69"/>
      <c r="R171" s="69" t="b">
        <v>0</v>
      </c>
    </row>
    <row r="172" spans="1:18">
      <c r="A172" s="69" t="s">
        <v>1896</v>
      </c>
      <c r="B172" s="69"/>
      <c r="C172" s="69"/>
      <c r="D172" s="69">
        <v>0</v>
      </c>
      <c r="E172" s="69">
        <v>1</v>
      </c>
      <c r="F172" s="69" t="s">
        <v>611</v>
      </c>
      <c r="G172" s="69" t="s">
        <v>612</v>
      </c>
      <c r="H172" s="69"/>
      <c r="I172" s="69">
        <v>0</v>
      </c>
      <c r="J172" s="69" t="s">
        <v>2038</v>
      </c>
      <c r="K172" s="69" t="s">
        <v>1888</v>
      </c>
      <c r="L172" s="69">
        <v>200</v>
      </c>
      <c r="M172" s="69"/>
      <c r="N172" s="69" t="str">
        <f t="shared" si="7"/>
        <v>Status(RangeDamageRate, 200)</v>
      </c>
      <c r="O172" s="69">
        <v>0</v>
      </c>
      <c r="P172" s="69">
        <v>0</v>
      </c>
      <c r="Q172" s="69"/>
      <c r="R172" s="69" t="b">
        <v>0</v>
      </c>
    </row>
    <row r="173" spans="1:18">
      <c r="A173" s="69" t="s">
        <v>1897</v>
      </c>
      <c r="B173" s="69"/>
      <c r="C173" s="69"/>
      <c r="D173" s="69">
        <v>0</v>
      </c>
      <c r="E173" s="69">
        <v>1</v>
      </c>
      <c r="F173" s="69" t="s">
        <v>611</v>
      </c>
      <c r="G173" s="69" t="s">
        <v>612</v>
      </c>
      <c r="H173" s="69"/>
      <c r="I173" s="69">
        <v>0</v>
      </c>
      <c r="J173" s="69" t="s">
        <v>2038</v>
      </c>
      <c r="K173" s="69" t="s">
        <v>1888</v>
      </c>
      <c r="L173" s="69">
        <v>300</v>
      </c>
      <c r="M173" s="69"/>
      <c r="N173" s="69" t="str">
        <f t="shared" si="7"/>
        <v>Status(RangeDamageRate, 300)</v>
      </c>
      <c r="O173" s="69">
        <v>0</v>
      </c>
      <c r="P173" s="69">
        <v>0</v>
      </c>
      <c r="Q173" s="69"/>
      <c r="R173" s="69" t="b">
        <v>0</v>
      </c>
    </row>
    <row r="174" spans="1:18">
      <c r="A174" s="69" t="s">
        <v>1898</v>
      </c>
      <c r="B174" s="69"/>
      <c r="C174" s="69"/>
      <c r="D174" s="69">
        <v>0</v>
      </c>
      <c r="E174" s="69">
        <v>1</v>
      </c>
      <c r="F174" s="69" t="s">
        <v>611</v>
      </c>
      <c r="G174" s="69" t="s">
        <v>612</v>
      </c>
      <c r="H174" s="69"/>
      <c r="I174" s="69">
        <v>0</v>
      </c>
      <c r="J174" s="69" t="s">
        <v>2038</v>
      </c>
      <c r="K174" s="69" t="s">
        <v>1888</v>
      </c>
      <c r="L174" s="69">
        <v>400</v>
      </c>
      <c r="M174" s="69"/>
      <c r="N174" s="69" t="str">
        <f t="shared" si="7"/>
        <v>Status(RangeDamageRate, 400)</v>
      </c>
      <c r="O174" s="69">
        <v>0</v>
      </c>
      <c r="P174" s="69">
        <v>0</v>
      </c>
      <c r="Q174" s="69"/>
      <c r="R174" s="69" t="b">
        <v>0</v>
      </c>
    </row>
    <row r="175" spans="1:18">
      <c r="A175" s="69" t="s">
        <v>1899</v>
      </c>
      <c r="B175" s="69"/>
      <c r="C175" s="69"/>
      <c r="D175" s="69">
        <v>0</v>
      </c>
      <c r="E175" s="69">
        <v>1</v>
      </c>
      <c r="F175" s="69" t="s">
        <v>611</v>
      </c>
      <c r="G175" s="69" t="s">
        <v>612</v>
      </c>
      <c r="H175" s="69"/>
      <c r="I175" s="69">
        <v>0</v>
      </c>
      <c r="J175" s="69" t="s">
        <v>2038</v>
      </c>
      <c r="K175" s="69" t="s">
        <v>1888</v>
      </c>
      <c r="L175" s="69">
        <v>500</v>
      </c>
      <c r="M175" s="69"/>
      <c r="N175" s="69" t="str">
        <f t="shared" si="7"/>
        <v>Status(RangeDamageRate, 500)</v>
      </c>
      <c r="O175" s="69">
        <v>0</v>
      </c>
      <c r="P175" s="69">
        <v>0</v>
      </c>
      <c r="Q175" s="69"/>
      <c r="R175" s="69" t="b">
        <v>0</v>
      </c>
    </row>
    <row r="176" spans="1:18">
      <c r="A176" s="69" t="s">
        <v>1991</v>
      </c>
      <c r="B176" s="69"/>
      <c r="C176" s="69"/>
      <c r="D176" s="69">
        <v>0</v>
      </c>
      <c r="E176" s="69">
        <v>1</v>
      </c>
      <c r="F176" s="69" t="s">
        <v>611</v>
      </c>
      <c r="G176" s="69" t="s">
        <v>612</v>
      </c>
      <c r="H176" s="69"/>
      <c r="I176" s="69">
        <v>0</v>
      </c>
      <c r="J176" s="69" t="s">
        <v>2038</v>
      </c>
      <c r="K176" s="69" t="s">
        <v>1888</v>
      </c>
      <c r="L176" s="69">
        <v>600</v>
      </c>
      <c r="M176" s="69"/>
      <c r="N176" s="69" t="str">
        <f t="shared" ref="N176:N180" si="9">J176&amp;"("&amp;IF(K176="","",K176)&amp;IF(L176="","",", "&amp;L176)&amp;IF(M176="","",", "&amp;M176)&amp;")"</f>
        <v>Status(RangeDamageRate, 600)</v>
      </c>
      <c r="O176" s="69">
        <v>0</v>
      </c>
      <c r="P176" s="69">
        <v>0</v>
      </c>
      <c r="Q176" s="69"/>
      <c r="R176" s="69" t="b">
        <v>0</v>
      </c>
    </row>
    <row r="177" spans="1:18">
      <c r="A177" s="69" t="s">
        <v>1992</v>
      </c>
      <c r="B177" s="69"/>
      <c r="C177" s="69"/>
      <c r="D177" s="69">
        <v>0</v>
      </c>
      <c r="E177" s="69">
        <v>1</v>
      </c>
      <c r="F177" s="69" t="s">
        <v>611</v>
      </c>
      <c r="G177" s="69" t="s">
        <v>612</v>
      </c>
      <c r="H177" s="69"/>
      <c r="I177" s="69">
        <v>0</v>
      </c>
      <c r="J177" s="69" t="s">
        <v>2038</v>
      </c>
      <c r="K177" s="69" t="s">
        <v>1888</v>
      </c>
      <c r="L177" s="69">
        <v>700</v>
      </c>
      <c r="M177" s="69"/>
      <c r="N177" s="69" t="str">
        <f t="shared" si="9"/>
        <v>Status(RangeDamageRate, 700)</v>
      </c>
      <c r="O177" s="69">
        <v>0</v>
      </c>
      <c r="P177" s="69">
        <v>0</v>
      </c>
      <c r="Q177" s="69"/>
      <c r="R177" s="69" t="b">
        <v>0</v>
      </c>
    </row>
    <row r="178" spans="1:18">
      <c r="A178" s="69" t="s">
        <v>1993</v>
      </c>
      <c r="B178" s="69"/>
      <c r="C178" s="69"/>
      <c r="D178" s="69">
        <v>0</v>
      </c>
      <c r="E178" s="69">
        <v>1</v>
      </c>
      <c r="F178" s="69" t="s">
        <v>611</v>
      </c>
      <c r="G178" s="69" t="s">
        <v>612</v>
      </c>
      <c r="H178" s="69"/>
      <c r="I178" s="69">
        <v>0</v>
      </c>
      <c r="J178" s="69" t="s">
        <v>2038</v>
      </c>
      <c r="K178" s="69" t="s">
        <v>1888</v>
      </c>
      <c r="L178" s="69">
        <v>800</v>
      </c>
      <c r="M178" s="69"/>
      <c r="N178" s="69" t="str">
        <f t="shared" si="9"/>
        <v>Status(RangeDamageRate, 800)</v>
      </c>
      <c r="O178" s="69">
        <v>0</v>
      </c>
      <c r="P178" s="69">
        <v>0</v>
      </c>
      <c r="Q178" s="69"/>
      <c r="R178" s="69" t="b">
        <v>0</v>
      </c>
    </row>
    <row r="179" spans="1:18">
      <c r="A179" s="69" t="s">
        <v>1994</v>
      </c>
      <c r="B179" s="69"/>
      <c r="C179" s="69"/>
      <c r="D179" s="69">
        <v>0</v>
      </c>
      <c r="E179" s="69">
        <v>1</v>
      </c>
      <c r="F179" s="69" t="s">
        <v>611</v>
      </c>
      <c r="G179" s="69" t="s">
        <v>612</v>
      </c>
      <c r="H179" s="69"/>
      <c r="I179" s="69">
        <v>0</v>
      </c>
      <c r="J179" s="69" t="s">
        <v>2038</v>
      </c>
      <c r="K179" s="69" t="s">
        <v>1888</v>
      </c>
      <c r="L179" s="69">
        <v>900</v>
      </c>
      <c r="M179" s="69"/>
      <c r="N179" s="69" t="str">
        <f t="shared" si="9"/>
        <v>Status(RangeDamageRate, 900)</v>
      </c>
      <c r="O179" s="69">
        <v>0</v>
      </c>
      <c r="P179" s="69">
        <v>0</v>
      </c>
      <c r="Q179" s="69"/>
      <c r="R179" s="69" t="b">
        <v>0</v>
      </c>
    </row>
    <row r="180" spans="1:18">
      <c r="A180" s="69" t="s">
        <v>1995</v>
      </c>
      <c r="B180" s="69"/>
      <c r="C180" s="69"/>
      <c r="D180" s="69">
        <v>0</v>
      </c>
      <c r="E180" s="69">
        <v>1</v>
      </c>
      <c r="F180" s="69" t="s">
        <v>611</v>
      </c>
      <c r="G180" s="69" t="s">
        <v>612</v>
      </c>
      <c r="H180" s="69"/>
      <c r="I180" s="69">
        <v>0</v>
      </c>
      <c r="J180" s="69" t="s">
        <v>2038</v>
      </c>
      <c r="K180" s="69" t="s">
        <v>1888</v>
      </c>
      <c r="L180" s="69">
        <v>1000</v>
      </c>
      <c r="M180" s="69"/>
      <c r="N180" s="69" t="str">
        <f t="shared" si="9"/>
        <v>Status(RangeDamageRate, 1000)</v>
      </c>
      <c r="O180" s="69">
        <v>0</v>
      </c>
      <c r="P180" s="69">
        <v>0</v>
      </c>
      <c r="Q180" s="69"/>
      <c r="R180" s="69" t="b">
        <v>0</v>
      </c>
    </row>
    <row r="181" spans="1:18">
      <c r="A181" s="70" t="s">
        <v>1900</v>
      </c>
      <c r="B181" s="70"/>
      <c r="C181" s="70"/>
      <c r="D181" s="70">
        <v>0</v>
      </c>
      <c r="E181" s="70">
        <v>1</v>
      </c>
      <c r="F181" s="70" t="s">
        <v>611</v>
      </c>
      <c r="G181" s="70" t="s">
        <v>612</v>
      </c>
      <c r="H181" s="70"/>
      <c r="I181" s="70">
        <v>0</v>
      </c>
      <c r="J181" s="70" t="s">
        <v>2038</v>
      </c>
      <c r="K181" s="70" t="s">
        <v>1889</v>
      </c>
      <c r="L181" s="70">
        <v>100</v>
      </c>
      <c r="M181" s="70"/>
      <c r="N181" s="70" t="str">
        <f t="shared" si="7"/>
        <v>Status(MeleeDamageRate, 100)</v>
      </c>
      <c r="O181" s="70">
        <v>0</v>
      </c>
      <c r="P181" s="70">
        <v>0</v>
      </c>
      <c r="Q181" s="70"/>
      <c r="R181" s="70" t="b">
        <v>0</v>
      </c>
    </row>
    <row r="182" spans="1:18">
      <c r="A182" s="70" t="s">
        <v>1901</v>
      </c>
      <c r="B182" s="70"/>
      <c r="C182" s="70"/>
      <c r="D182" s="70">
        <v>0</v>
      </c>
      <c r="E182" s="70">
        <v>1</v>
      </c>
      <c r="F182" s="70" t="s">
        <v>611</v>
      </c>
      <c r="G182" s="70" t="s">
        <v>612</v>
      </c>
      <c r="H182" s="70"/>
      <c r="I182" s="70">
        <v>0</v>
      </c>
      <c r="J182" s="70" t="s">
        <v>2038</v>
      </c>
      <c r="K182" s="70" t="s">
        <v>1889</v>
      </c>
      <c r="L182" s="70">
        <v>200</v>
      </c>
      <c r="M182" s="70"/>
      <c r="N182" s="70" t="str">
        <f t="shared" si="7"/>
        <v>Status(MeleeDamageRate, 200)</v>
      </c>
      <c r="O182" s="70">
        <v>0</v>
      </c>
      <c r="P182" s="70">
        <v>0</v>
      </c>
      <c r="Q182" s="70"/>
      <c r="R182" s="70" t="b">
        <v>0</v>
      </c>
    </row>
    <row r="183" spans="1:18">
      <c r="A183" s="70" t="s">
        <v>1902</v>
      </c>
      <c r="B183" s="70"/>
      <c r="C183" s="70"/>
      <c r="D183" s="70">
        <v>0</v>
      </c>
      <c r="E183" s="70">
        <v>1</v>
      </c>
      <c r="F183" s="70" t="s">
        <v>611</v>
      </c>
      <c r="G183" s="70" t="s">
        <v>612</v>
      </c>
      <c r="H183" s="70"/>
      <c r="I183" s="70">
        <v>0</v>
      </c>
      <c r="J183" s="70" t="s">
        <v>2038</v>
      </c>
      <c r="K183" s="70" t="s">
        <v>1889</v>
      </c>
      <c r="L183" s="70">
        <v>300</v>
      </c>
      <c r="M183" s="70"/>
      <c r="N183" s="70" t="str">
        <f t="shared" si="7"/>
        <v>Status(MeleeDamageRate, 300)</v>
      </c>
      <c r="O183" s="70">
        <v>0</v>
      </c>
      <c r="P183" s="70">
        <v>0</v>
      </c>
      <c r="Q183" s="70"/>
      <c r="R183" s="70" t="b">
        <v>0</v>
      </c>
    </row>
    <row r="184" spans="1:18">
      <c r="A184" s="70" t="s">
        <v>1903</v>
      </c>
      <c r="B184" s="70"/>
      <c r="C184" s="70"/>
      <c r="D184" s="70">
        <v>0</v>
      </c>
      <c r="E184" s="70">
        <v>1</v>
      </c>
      <c r="F184" s="70" t="s">
        <v>611</v>
      </c>
      <c r="G184" s="70" t="s">
        <v>612</v>
      </c>
      <c r="H184" s="70"/>
      <c r="I184" s="70">
        <v>0</v>
      </c>
      <c r="J184" s="70" t="s">
        <v>2038</v>
      </c>
      <c r="K184" s="70" t="s">
        <v>1889</v>
      </c>
      <c r="L184" s="70">
        <v>400</v>
      </c>
      <c r="M184" s="70"/>
      <c r="N184" s="70" t="str">
        <f t="shared" si="7"/>
        <v>Status(MeleeDamageRate, 400)</v>
      </c>
      <c r="O184" s="70">
        <v>0</v>
      </c>
      <c r="P184" s="70">
        <v>0</v>
      </c>
      <c r="Q184" s="70"/>
      <c r="R184" s="70" t="b">
        <v>0</v>
      </c>
    </row>
    <row r="185" spans="1:18">
      <c r="A185" s="70" t="s">
        <v>1904</v>
      </c>
      <c r="B185" s="70"/>
      <c r="C185" s="70"/>
      <c r="D185" s="70">
        <v>0</v>
      </c>
      <c r="E185" s="70">
        <v>1</v>
      </c>
      <c r="F185" s="70" t="s">
        <v>611</v>
      </c>
      <c r="G185" s="70" t="s">
        <v>612</v>
      </c>
      <c r="H185" s="70"/>
      <c r="I185" s="70">
        <v>0</v>
      </c>
      <c r="J185" s="70" t="s">
        <v>2038</v>
      </c>
      <c r="K185" s="70" t="s">
        <v>1889</v>
      </c>
      <c r="L185" s="70">
        <v>500</v>
      </c>
      <c r="M185" s="70"/>
      <c r="N185" s="70" t="str">
        <f t="shared" si="7"/>
        <v>Status(MeleeDamageRate, 500)</v>
      </c>
      <c r="O185" s="70">
        <v>0</v>
      </c>
      <c r="P185" s="70">
        <v>0</v>
      </c>
      <c r="Q185" s="70"/>
      <c r="R185" s="70" t="b">
        <v>0</v>
      </c>
    </row>
    <row r="186" spans="1:18">
      <c r="A186" s="70" t="s">
        <v>1996</v>
      </c>
      <c r="B186" s="70"/>
      <c r="C186" s="70"/>
      <c r="D186" s="70">
        <v>0</v>
      </c>
      <c r="E186" s="70">
        <v>1</v>
      </c>
      <c r="F186" s="70" t="s">
        <v>611</v>
      </c>
      <c r="G186" s="70" t="s">
        <v>612</v>
      </c>
      <c r="H186" s="70"/>
      <c r="I186" s="70">
        <v>0</v>
      </c>
      <c r="J186" s="70" t="s">
        <v>2038</v>
      </c>
      <c r="K186" s="70" t="s">
        <v>1889</v>
      </c>
      <c r="L186" s="70">
        <v>600</v>
      </c>
      <c r="M186" s="70"/>
      <c r="N186" s="70" t="str">
        <f t="shared" ref="N186:N190" si="10">J186&amp;"("&amp;IF(K186="","",K186)&amp;IF(L186="","",", "&amp;L186)&amp;IF(M186="","",", "&amp;M186)&amp;")"</f>
        <v>Status(MeleeDamageRate, 600)</v>
      </c>
      <c r="O186" s="70">
        <v>0</v>
      </c>
      <c r="P186" s="70">
        <v>0</v>
      </c>
      <c r="Q186" s="70"/>
      <c r="R186" s="70" t="b">
        <v>0</v>
      </c>
    </row>
    <row r="187" spans="1:18">
      <c r="A187" s="70" t="s">
        <v>1997</v>
      </c>
      <c r="B187" s="70"/>
      <c r="C187" s="70"/>
      <c r="D187" s="70">
        <v>0</v>
      </c>
      <c r="E187" s="70">
        <v>1</v>
      </c>
      <c r="F187" s="70" t="s">
        <v>611</v>
      </c>
      <c r="G187" s="70" t="s">
        <v>612</v>
      </c>
      <c r="H187" s="70"/>
      <c r="I187" s="70">
        <v>0</v>
      </c>
      <c r="J187" s="70" t="s">
        <v>2038</v>
      </c>
      <c r="K187" s="70" t="s">
        <v>1889</v>
      </c>
      <c r="L187" s="70">
        <v>700</v>
      </c>
      <c r="M187" s="70"/>
      <c r="N187" s="70" t="str">
        <f t="shared" si="10"/>
        <v>Status(MeleeDamageRate, 700)</v>
      </c>
      <c r="O187" s="70">
        <v>0</v>
      </c>
      <c r="P187" s="70">
        <v>0</v>
      </c>
      <c r="Q187" s="70"/>
      <c r="R187" s="70" t="b">
        <v>0</v>
      </c>
    </row>
    <row r="188" spans="1:18">
      <c r="A188" s="70" t="s">
        <v>1998</v>
      </c>
      <c r="B188" s="70"/>
      <c r="C188" s="70"/>
      <c r="D188" s="70">
        <v>0</v>
      </c>
      <c r="E188" s="70">
        <v>1</v>
      </c>
      <c r="F188" s="70" t="s">
        <v>611</v>
      </c>
      <c r="G188" s="70" t="s">
        <v>612</v>
      </c>
      <c r="H188" s="70"/>
      <c r="I188" s="70">
        <v>0</v>
      </c>
      <c r="J188" s="70" t="s">
        <v>2038</v>
      </c>
      <c r="K188" s="70" t="s">
        <v>1889</v>
      </c>
      <c r="L188" s="70">
        <v>800</v>
      </c>
      <c r="M188" s="70"/>
      <c r="N188" s="70" t="str">
        <f t="shared" si="10"/>
        <v>Status(MeleeDamageRate, 800)</v>
      </c>
      <c r="O188" s="70">
        <v>0</v>
      </c>
      <c r="P188" s="70">
        <v>0</v>
      </c>
      <c r="Q188" s="70"/>
      <c r="R188" s="70" t="b">
        <v>0</v>
      </c>
    </row>
    <row r="189" spans="1:18">
      <c r="A189" s="70" t="s">
        <v>1999</v>
      </c>
      <c r="B189" s="70"/>
      <c r="C189" s="70"/>
      <c r="D189" s="70">
        <v>0</v>
      </c>
      <c r="E189" s="70">
        <v>1</v>
      </c>
      <c r="F189" s="70" t="s">
        <v>611</v>
      </c>
      <c r="G189" s="70" t="s">
        <v>612</v>
      </c>
      <c r="H189" s="70"/>
      <c r="I189" s="70">
        <v>0</v>
      </c>
      <c r="J189" s="70" t="s">
        <v>2038</v>
      </c>
      <c r="K189" s="70" t="s">
        <v>1889</v>
      </c>
      <c r="L189" s="70">
        <v>900</v>
      </c>
      <c r="M189" s="70"/>
      <c r="N189" s="70" t="str">
        <f t="shared" si="10"/>
        <v>Status(MeleeDamageRate, 900)</v>
      </c>
      <c r="O189" s="70">
        <v>0</v>
      </c>
      <c r="P189" s="70">
        <v>0</v>
      </c>
      <c r="Q189" s="70"/>
      <c r="R189" s="70" t="b">
        <v>0</v>
      </c>
    </row>
    <row r="190" spans="1:18">
      <c r="A190" s="70" t="s">
        <v>2000</v>
      </c>
      <c r="B190" s="70"/>
      <c r="C190" s="70"/>
      <c r="D190" s="70">
        <v>0</v>
      </c>
      <c r="E190" s="70">
        <v>1</v>
      </c>
      <c r="F190" s="70" t="s">
        <v>611</v>
      </c>
      <c r="G190" s="70" t="s">
        <v>612</v>
      </c>
      <c r="H190" s="70"/>
      <c r="I190" s="70">
        <v>0</v>
      </c>
      <c r="J190" s="70" t="s">
        <v>2038</v>
      </c>
      <c r="K190" s="70" t="s">
        <v>1889</v>
      </c>
      <c r="L190" s="70">
        <v>1000</v>
      </c>
      <c r="M190" s="70"/>
      <c r="N190" s="70" t="str">
        <f t="shared" si="10"/>
        <v>Status(MeleeDamageRate, 1000)</v>
      </c>
      <c r="O190" s="70">
        <v>0</v>
      </c>
      <c r="P190" s="70">
        <v>0</v>
      </c>
      <c r="Q190" s="70"/>
      <c r="R190" s="70" t="b">
        <v>0</v>
      </c>
    </row>
    <row r="191" spans="1:18">
      <c r="A191" s="69" t="s">
        <v>1905</v>
      </c>
      <c r="B191" s="69"/>
      <c r="C191" s="69"/>
      <c r="D191" s="69">
        <v>0</v>
      </c>
      <c r="E191" s="69">
        <v>1</v>
      </c>
      <c r="F191" s="69" t="s">
        <v>611</v>
      </c>
      <c r="G191" s="69" t="s">
        <v>612</v>
      </c>
      <c r="H191" s="69"/>
      <c r="I191" s="69">
        <v>0</v>
      </c>
      <c r="J191" s="69" t="s">
        <v>2038</v>
      </c>
      <c r="K191" s="69" t="s">
        <v>1887</v>
      </c>
      <c r="L191" s="69">
        <v>150</v>
      </c>
      <c r="M191" s="69"/>
      <c r="N191" s="69" t="str">
        <f t="shared" si="7"/>
        <v>Status(DamageDerate, 150)</v>
      </c>
      <c r="O191" s="69">
        <v>0</v>
      </c>
      <c r="P191" s="69">
        <v>0</v>
      </c>
      <c r="Q191" s="69"/>
      <c r="R191" s="69" t="b">
        <v>0</v>
      </c>
    </row>
    <row r="192" spans="1:18">
      <c r="A192" s="69" t="s">
        <v>1906</v>
      </c>
      <c r="B192" s="69"/>
      <c r="C192" s="69"/>
      <c r="D192" s="69">
        <v>0</v>
      </c>
      <c r="E192" s="69">
        <v>1</v>
      </c>
      <c r="F192" s="69" t="s">
        <v>611</v>
      </c>
      <c r="G192" s="69" t="s">
        <v>612</v>
      </c>
      <c r="H192" s="69"/>
      <c r="I192" s="69">
        <v>0</v>
      </c>
      <c r="J192" s="69" t="s">
        <v>2038</v>
      </c>
      <c r="K192" s="69" t="s">
        <v>1887</v>
      </c>
      <c r="L192" s="69">
        <v>200</v>
      </c>
      <c r="M192" s="69"/>
      <c r="N192" s="69" t="str">
        <f t="shared" si="7"/>
        <v>Status(DamageDerate, 200)</v>
      </c>
      <c r="O192" s="69">
        <v>0</v>
      </c>
      <c r="P192" s="69">
        <v>0</v>
      </c>
      <c r="Q192" s="69"/>
      <c r="R192" s="69" t="b">
        <v>0</v>
      </c>
    </row>
    <row r="193" spans="1:18">
      <c r="A193" s="69" t="s">
        <v>1907</v>
      </c>
      <c r="B193" s="69"/>
      <c r="C193" s="69"/>
      <c r="D193" s="69">
        <v>0</v>
      </c>
      <c r="E193" s="69">
        <v>1</v>
      </c>
      <c r="F193" s="69" t="s">
        <v>611</v>
      </c>
      <c r="G193" s="69" t="s">
        <v>612</v>
      </c>
      <c r="H193" s="69"/>
      <c r="I193" s="69">
        <v>0</v>
      </c>
      <c r="J193" s="69" t="s">
        <v>2038</v>
      </c>
      <c r="K193" s="69" t="s">
        <v>1887</v>
      </c>
      <c r="L193" s="69">
        <v>250</v>
      </c>
      <c r="M193" s="69"/>
      <c r="N193" s="69" t="str">
        <f t="shared" si="7"/>
        <v>Status(DamageDerate, 250)</v>
      </c>
      <c r="O193" s="69">
        <v>0</v>
      </c>
      <c r="P193" s="69">
        <v>0</v>
      </c>
      <c r="Q193" s="69"/>
      <c r="R193" s="69" t="b">
        <v>0</v>
      </c>
    </row>
    <row r="194" spans="1:18">
      <c r="A194" s="69" t="s">
        <v>1908</v>
      </c>
      <c r="B194" s="69"/>
      <c r="C194" s="69"/>
      <c r="D194" s="69">
        <v>0</v>
      </c>
      <c r="E194" s="69">
        <v>1</v>
      </c>
      <c r="F194" s="69" t="s">
        <v>611</v>
      </c>
      <c r="G194" s="69" t="s">
        <v>612</v>
      </c>
      <c r="H194" s="69"/>
      <c r="I194" s="69">
        <v>0</v>
      </c>
      <c r="J194" s="69" t="s">
        <v>2038</v>
      </c>
      <c r="K194" s="69" t="s">
        <v>1887</v>
      </c>
      <c r="L194" s="69">
        <v>300</v>
      </c>
      <c r="M194" s="69"/>
      <c r="N194" s="69" t="str">
        <f t="shared" si="7"/>
        <v>Status(DamageDerate, 300)</v>
      </c>
      <c r="O194" s="69">
        <v>0</v>
      </c>
      <c r="P194" s="69">
        <v>0</v>
      </c>
      <c r="Q194" s="69"/>
      <c r="R194" s="69" t="b">
        <v>0</v>
      </c>
    </row>
    <row r="195" spans="1:18">
      <c r="A195" s="69" t="s">
        <v>1909</v>
      </c>
      <c r="B195" s="69"/>
      <c r="C195" s="69"/>
      <c r="D195" s="69">
        <v>0</v>
      </c>
      <c r="E195" s="69">
        <v>1</v>
      </c>
      <c r="F195" s="69" t="s">
        <v>611</v>
      </c>
      <c r="G195" s="69" t="s">
        <v>612</v>
      </c>
      <c r="H195" s="69"/>
      <c r="I195" s="69">
        <v>0</v>
      </c>
      <c r="J195" s="69" t="s">
        <v>2038</v>
      </c>
      <c r="K195" s="69" t="s">
        <v>1887</v>
      </c>
      <c r="L195" s="69">
        <v>350</v>
      </c>
      <c r="M195" s="69"/>
      <c r="N195" s="69" t="str">
        <f t="shared" si="7"/>
        <v>Status(DamageDerate, 350)</v>
      </c>
      <c r="O195" s="69">
        <v>0</v>
      </c>
      <c r="P195" s="69">
        <v>0</v>
      </c>
      <c r="Q195" s="69"/>
      <c r="R195" s="69" t="b">
        <v>0</v>
      </c>
    </row>
    <row r="196" spans="1:18">
      <c r="A196" s="69" t="s">
        <v>2001</v>
      </c>
      <c r="B196" s="69"/>
      <c r="C196" s="69"/>
      <c r="D196" s="69">
        <v>0</v>
      </c>
      <c r="E196" s="69">
        <v>1</v>
      </c>
      <c r="F196" s="69" t="s">
        <v>611</v>
      </c>
      <c r="G196" s="69" t="s">
        <v>612</v>
      </c>
      <c r="H196" s="69"/>
      <c r="I196" s="69">
        <v>0</v>
      </c>
      <c r="J196" s="69" t="s">
        <v>2038</v>
      </c>
      <c r="K196" s="69" t="s">
        <v>1887</v>
      </c>
      <c r="L196" s="69">
        <v>400</v>
      </c>
      <c r="M196" s="69"/>
      <c r="N196" s="69" t="str">
        <f t="shared" ref="N196:N200" si="11">J196&amp;"("&amp;IF(K196="","",K196)&amp;IF(L196="","",", "&amp;L196)&amp;IF(M196="","",", "&amp;M196)&amp;")"</f>
        <v>Status(DamageDerate, 400)</v>
      </c>
      <c r="O196" s="69">
        <v>0</v>
      </c>
      <c r="P196" s="69">
        <v>0</v>
      </c>
      <c r="Q196" s="69"/>
      <c r="R196" s="69" t="b">
        <v>0</v>
      </c>
    </row>
    <row r="197" spans="1:18">
      <c r="A197" s="69" t="s">
        <v>2002</v>
      </c>
      <c r="B197" s="69"/>
      <c r="C197" s="69"/>
      <c r="D197" s="69">
        <v>0</v>
      </c>
      <c r="E197" s="69">
        <v>1</v>
      </c>
      <c r="F197" s="69" t="s">
        <v>611</v>
      </c>
      <c r="G197" s="69" t="s">
        <v>612</v>
      </c>
      <c r="H197" s="69"/>
      <c r="I197" s="69">
        <v>0</v>
      </c>
      <c r="J197" s="69" t="s">
        <v>2038</v>
      </c>
      <c r="K197" s="69" t="s">
        <v>1887</v>
      </c>
      <c r="L197" s="69">
        <v>450</v>
      </c>
      <c r="M197" s="69"/>
      <c r="N197" s="69" t="str">
        <f t="shared" si="11"/>
        <v>Status(DamageDerate, 450)</v>
      </c>
      <c r="O197" s="69">
        <v>0</v>
      </c>
      <c r="P197" s="69">
        <v>0</v>
      </c>
      <c r="Q197" s="69"/>
      <c r="R197" s="69" t="b">
        <v>0</v>
      </c>
    </row>
    <row r="198" spans="1:18">
      <c r="A198" s="69" t="s">
        <v>2003</v>
      </c>
      <c r="B198" s="69"/>
      <c r="C198" s="69"/>
      <c r="D198" s="69">
        <v>0</v>
      </c>
      <c r="E198" s="69">
        <v>1</v>
      </c>
      <c r="F198" s="69" t="s">
        <v>611</v>
      </c>
      <c r="G198" s="69" t="s">
        <v>612</v>
      </c>
      <c r="H198" s="69"/>
      <c r="I198" s="69">
        <v>0</v>
      </c>
      <c r="J198" s="69" t="s">
        <v>2038</v>
      </c>
      <c r="K198" s="69" t="s">
        <v>1887</v>
      </c>
      <c r="L198" s="69">
        <v>500</v>
      </c>
      <c r="M198" s="69"/>
      <c r="N198" s="69" t="str">
        <f t="shared" si="11"/>
        <v>Status(DamageDerate, 500)</v>
      </c>
      <c r="O198" s="69">
        <v>0</v>
      </c>
      <c r="P198" s="69">
        <v>0</v>
      </c>
      <c r="Q198" s="69"/>
      <c r="R198" s="69" t="b">
        <v>0</v>
      </c>
    </row>
    <row r="199" spans="1:18">
      <c r="A199" s="69" t="s">
        <v>2004</v>
      </c>
      <c r="B199" s="69"/>
      <c r="C199" s="69"/>
      <c r="D199" s="69">
        <v>0</v>
      </c>
      <c r="E199" s="69">
        <v>1</v>
      </c>
      <c r="F199" s="69" t="s">
        <v>611</v>
      </c>
      <c r="G199" s="69" t="s">
        <v>612</v>
      </c>
      <c r="H199" s="69"/>
      <c r="I199" s="69">
        <v>0</v>
      </c>
      <c r="J199" s="69" t="s">
        <v>2038</v>
      </c>
      <c r="K199" s="69" t="s">
        <v>1887</v>
      </c>
      <c r="L199" s="69">
        <v>550</v>
      </c>
      <c r="M199" s="69"/>
      <c r="N199" s="69" t="str">
        <f t="shared" si="11"/>
        <v>Status(DamageDerate, 550)</v>
      </c>
      <c r="O199" s="69">
        <v>0</v>
      </c>
      <c r="P199" s="69">
        <v>0</v>
      </c>
      <c r="Q199" s="69"/>
      <c r="R199" s="69" t="b">
        <v>0</v>
      </c>
    </row>
    <row r="200" spans="1:18">
      <c r="A200" s="69" t="s">
        <v>2005</v>
      </c>
      <c r="B200" s="69"/>
      <c r="C200" s="69"/>
      <c r="D200" s="69">
        <v>0</v>
      </c>
      <c r="E200" s="69">
        <v>1</v>
      </c>
      <c r="F200" s="69" t="s">
        <v>611</v>
      </c>
      <c r="G200" s="69" t="s">
        <v>612</v>
      </c>
      <c r="H200" s="69"/>
      <c r="I200" s="69">
        <v>0</v>
      </c>
      <c r="J200" s="69" t="s">
        <v>2038</v>
      </c>
      <c r="K200" s="69" t="s">
        <v>1887</v>
      </c>
      <c r="L200" s="69">
        <v>600</v>
      </c>
      <c r="M200" s="69"/>
      <c r="N200" s="69" t="str">
        <f t="shared" si="11"/>
        <v>Status(DamageDerate, 600)</v>
      </c>
      <c r="O200" s="69">
        <v>0</v>
      </c>
      <c r="P200" s="69">
        <v>0</v>
      </c>
      <c r="Q200" s="69"/>
      <c r="R200" s="69" t="b">
        <v>0</v>
      </c>
    </row>
    <row r="201" spans="1:18">
      <c r="A201" s="72" t="s">
        <v>728</v>
      </c>
      <c r="B201" s="72"/>
      <c r="C201" s="72"/>
      <c r="D201" s="72">
        <v>0</v>
      </c>
      <c r="E201" s="72">
        <v>1</v>
      </c>
      <c r="F201" s="72" t="s">
        <v>611</v>
      </c>
      <c r="G201" s="72" t="s">
        <v>612</v>
      </c>
      <c r="H201" s="72"/>
      <c r="I201" s="72">
        <v>0</v>
      </c>
      <c r="J201" s="72" t="s">
        <v>1742</v>
      </c>
      <c r="K201" s="72" t="s">
        <v>787</v>
      </c>
      <c r="L201" s="72">
        <v>10</v>
      </c>
      <c r="M201" s="72"/>
      <c r="N201" s="72" t="str">
        <f t="shared" ref="N201:N229" si="12">J201&amp;"("&amp;IF(K201="","",K201)&amp;IF(L201="","",", "&amp;L201)&amp;IF(M201="","",", "&amp;M201)&amp;")"</f>
        <v>AttributeDamageRate(AttributeRed, 10)</v>
      </c>
      <c r="O201" s="72">
        <v>0</v>
      </c>
      <c r="P201" s="72">
        <v>0</v>
      </c>
      <c r="Q201" s="72"/>
      <c r="R201" s="72" t="b">
        <v>0</v>
      </c>
    </row>
    <row r="202" spans="1:18">
      <c r="A202" s="72" t="s">
        <v>729</v>
      </c>
      <c r="B202" s="72"/>
      <c r="C202" s="72"/>
      <c r="D202" s="72">
        <v>0</v>
      </c>
      <c r="E202" s="72">
        <v>1</v>
      </c>
      <c r="F202" s="72" t="s">
        <v>611</v>
      </c>
      <c r="G202" s="72" t="s">
        <v>612</v>
      </c>
      <c r="H202" s="72"/>
      <c r="I202" s="72">
        <v>0</v>
      </c>
      <c r="J202" s="72" t="s">
        <v>1742</v>
      </c>
      <c r="K202" s="72" t="s">
        <v>787</v>
      </c>
      <c r="L202" s="72">
        <v>10</v>
      </c>
      <c r="M202" s="72"/>
      <c r="N202" s="72" t="str">
        <f t="shared" si="12"/>
        <v>AttributeDamageRate(AttributeRed, 10)</v>
      </c>
      <c r="O202" s="72">
        <v>0</v>
      </c>
      <c r="P202" s="72">
        <v>0</v>
      </c>
      <c r="Q202" s="72"/>
      <c r="R202" s="72" t="b">
        <v>0</v>
      </c>
    </row>
    <row r="203" spans="1:18">
      <c r="A203" s="72" t="s">
        <v>730</v>
      </c>
      <c r="B203" s="72"/>
      <c r="C203" s="72"/>
      <c r="D203" s="72">
        <v>0</v>
      </c>
      <c r="E203" s="72">
        <v>1</v>
      </c>
      <c r="F203" s="72" t="s">
        <v>611</v>
      </c>
      <c r="G203" s="72" t="s">
        <v>612</v>
      </c>
      <c r="H203" s="72"/>
      <c r="I203" s="72">
        <v>0</v>
      </c>
      <c r="J203" s="72" t="s">
        <v>1742</v>
      </c>
      <c r="K203" s="72" t="s">
        <v>787</v>
      </c>
      <c r="L203" s="72">
        <v>20</v>
      </c>
      <c r="M203" s="72"/>
      <c r="N203" s="72" t="str">
        <f t="shared" si="12"/>
        <v>AttributeDamageRate(AttributeRed, 20)</v>
      </c>
      <c r="O203" s="72">
        <v>0</v>
      </c>
      <c r="P203" s="72">
        <v>0</v>
      </c>
      <c r="Q203" s="72"/>
      <c r="R203" s="72" t="b">
        <v>0</v>
      </c>
    </row>
    <row r="204" spans="1:18">
      <c r="A204" s="72" t="s">
        <v>731</v>
      </c>
      <c r="B204" s="72"/>
      <c r="C204" s="72"/>
      <c r="D204" s="72">
        <v>0</v>
      </c>
      <c r="E204" s="72">
        <v>1</v>
      </c>
      <c r="F204" s="72" t="s">
        <v>611</v>
      </c>
      <c r="G204" s="72" t="s">
        <v>612</v>
      </c>
      <c r="H204" s="72"/>
      <c r="I204" s="72">
        <v>0</v>
      </c>
      <c r="J204" s="72" t="s">
        <v>1742</v>
      </c>
      <c r="K204" s="72" t="s">
        <v>787</v>
      </c>
      <c r="L204" s="72">
        <v>20</v>
      </c>
      <c r="M204" s="72"/>
      <c r="N204" s="72" t="str">
        <f t="shared" si="12"/>
        <v>AttributeDamageRate(AttributeRed, 20)</v>
      </c>
      <c r="O204" s="72">
        <v>0</v>
      </c>
      <c r="P204" s="72">
        <v>0</v>
      </c>
      <c r="Q204" s="72"/>
      <c r="R204" s="72" t="b">
        <v>0</v>
      </c>
    </row>
    <row r="205" spans="1:18">
      <c r="A205" s="72" t="s">
        <v>732</v>
      </c>
      <c r="B205" s="72"/>
      <c r="C205" s="72"/>
      <c r="D205" s="72">
        <v>0</v>
      </c>
      <c r="E205" s="72">
        <v>1</v>
      </c>
      <c r="F205" s="72" t="s">
        <v>611</v>
      </c>
      <c r="G205" s="72" t="s">
        <v>612</v>
      </c>
      <c r="H205" s="72"/>
      <c r="I205" s="72">
        <v>0</v>
      </c>
      <c r="J205" s="72" t="s">
        <v>1742</v>
      </c>
      <c r="K205" s="72" t="s">
        <v>1745</v>
      </c>
      <c r="L205" s="72">
        <v>30</v>
      </c>
      <c r="M205" s="72"/>
      <c r="N205" s="72" t="str">
        <f t="shared" si="12"/>
        <v>AttributeDamageRate(AttributeRed, 30)</v>
      </c>
      <c r="O205" s="72">
        <v>0</v>
      </c>
      <c r="P205" s="72">
        <v>0</v>
      </c>
      <c r="Q205" s="72"/>
      <c r="R205" s="72" t="b">
        <v>0</v>
      </c>
    </row>
    <row r="206" spans="1:18">
      <c r="A206" s="72" t="s">
        <v>733</v>
      </c>
      <c r="B206" s="72"/>
      <c r="C206" s="72"/>
      <c r="D206" s="72">
        <v>0</v>
      </c>
      <c r="E206" s="72">
        <v>1</v>
      </c>
      <c r="F206" s="72" t="s">
        <v>611</v>
      </c>
      <c r="G206" s="72" t="s">
        <v>612</v>
      </c>
      <c r="H206" s="72"/>
      <c r="I206" s="72">
        <v>0</v>
      </c>
      <c r="J206" s="72" t="s">
        <v>1742</v>
      </c>
      <c r="K206" s="72" t="s">
        <v>1745</v>
      </c>
      <c r="L206" s="72">
        <v>30</v>
      </c>
      <c r="M206" s="72"/>
      <c r="N206" s="72" t="str">
        <f t="shared" si="12"/>
        <v>AttributeDamageRate(AttributeRed, 30)</v>
      </c>
      <c r="O206" s="72">
        <v>0</v>
      </c>
      <c r="P206" s="72">
        <v>0</v>
      </c>
      <c r="Q206" s="72"/>
      <c r="R206" s="72" t="b">
        <v>0</v>
      </c>
    </row>
    <row r="207" spans="1:18">
      <c r="A207" s="72" t="s">
        <v>734</v>
      </c>
      <c r="B207" s="72"/>
      <c r="C207" s="72"/>
      <c r="D207" s="72">
        <v>0</v>
      </c>
      <c r="E207" s="72">
        <v>1</v>
      </c>
      <c r="F207" s="72" t="s">
        <v>611</v>
      </c>
      <c r="G207" s="72" t="s">
        <v>612</v>
      </c>
      <c r="H207" s="72"/>
      <c r="I207" s="72">
        <v>0</v>
      </c>
      <c r="J207" s="72" t="s">
        <v>1742</v>
      </c>
      <c r="K207" s="72" t="s">
        <v>1745</v>
      </c>
      <c r="L207" s="72">
        <v>40</v>
      </c>
      <c r="M207" s="72"/>
      <c r="N207" s="72" t="str">
        <f t="shared" si="12"/>
        <v>AttributeDamageRate(AttributeRed, 40)</v>
      </c>
      <c r="O207" s="72">
        <v>0</v>
      </c>
      <c r="P207" s="72">
        <v>0</v>
      </c>
      <c r="Q207" s="72"/>
      <c r="R207" s="72" t="b">
        <v>0</v>
      </c>
    </row>
    <row r="208" spans="1:18">
      <c r="A208" s="72" t="s">
        <v>735</v>
      </c>
      <c r="B208" s="72"/>
      <c r="C208" s="72"/>
      <c r="D208" s="72">
        <v>0</v>
      </c>
      <c r="E208" s="72">
        <v>1</v>
      </c>
      <c r="F208" s="72" t="s">
        <v>611</v>
      </c>
      <c r="G208" s="72" t="s">
        <v>612</v>
      </c>
      <c r="H208" s="72"/>
      <c r="I208" s="72">
        <v>0</v>
      </c>
      <c r="J208" s="72" t="s">
        <v>1742</v>
      </c>
      <c r="K208" s="72" t="s">
        <v>1745</v>
      </c>
      <c r="L208" s="72">
        <v>40</v>
      </c>
      <c r="M208" s="72"/>
      <c r="N208" s="72" t="str">
        <f t="shared" si="12"/>
        <v>AttributeDamageRate(AttributeRed, 40)</v>
      </c>
      <c r="O208" s="72">
        <v>0</v>
      </c>
      <c r="P208" s="72">
        <v>0</v>
      </c>
      <c r="Q208" s="72"/>
      <c r="R208" s="72" t="b">
        <v>0</v>
      </c>
    </row>
    <row r="209" spans="1:18">
      <c r="A209" s="72" t="s">
        <v>736</v>
      </c>
      <c r="B209" s="72"/>
      <c r="C209" s="72"/>
      <c r="D209" s="72">
        <v>0</v>
      </c>
      <c r="E209" s="72">
        <v>1</v>
      </c>
      <c r="F209" s="72" t="s">
        <v>611</v>
      </c>
      <c r="G209" s="72" t="s">
        <v>612</v>
      </c>
      <c r="H209" s="72"/>
      <c r="I209" s="72">
        <v>0</v>
      </c>
      <c r="J209" s="72" t="s">
        <v>1742</v>
      </c>
      <c r="K209" s="72" t="s">
        <v>1745</v>
      </c>
      <c r="L209" s="72">
        <v>50</v>
      </c>
      <c r="M209" s="72"/>
      <c r="N209" s="72" t="str">
        <f t="shared" si="12"/>
        <v>AttributeDamageRate(AttributeRed, 50)</v>
      </c>
      <c r="O209" s="72">
        <v>0</v>
      </c>
      <c r="P209" s="72">
        <v>0</v>
      </c>
      <c r="Q209" s="72"/>
      <c r="R209" s="72" t="b">
        <v>0</v>
      </c>
    </row>
    <row r="210" spans="1:18">
      <c r="A210" s="72" t="s">
        <v>737</v>
      </c>
      <c r="B210" s="72"/>
      <c r="C210" s="72"/>
      <c r="D210" s="72">
        <v>0</v>
      </c>
      <c r="E210" s="72">
        <v>1</v>
      </c>
      <c r="F210" s="72" t="s">
        <v>611</v>
      </c>
      <c r="G210" s="72" t="s">
        <v>612</v>
      </c>
      <c r="H210" s="72"/>
      <c r="I210" s="72">
        <v>0</v>
      </c>
      <c r="J210" s="72" t="s">
        <v>1742</v>
      </c>
      <c r="K210" s="72" t="s">
        <v>1745</v>
      </c>
      <c r="L210" s="72">
        <v>50</v>
      </c>
      <c r="M210" s="72"/>
      <c r="N210" s="72" t="str">
        <f t="shared" si="12"/>
        <v>AttributeDamageRate(AttributeRed, 50)</v>
      </c>
      <c r="O210" s="72">
        <v>0</v>
      </c>
      <c r="P210" s="72">
        <v>0</v>
      </c>
      <c r="Q210" s="72"/>
      <c r="R210" s="72" t="b">
        <v>0</v>
      </c>
    </row>
    <row r="211" spans="1:18">
      <c r="A211" s="72" t="s">
        <v>738</v>
      </c>
      <c r="B211" s="72"/>
      <c r="C211" s="72"/>
      <c r="D211" s="72">
        <v>0</v>
      </c>
      <c r="E211" s="72">
        <v>1</v>
      </c>
      <c r="F211" s="72" t="s">
        <v>611</v>
      </c>
      <c r="G211" s="72" t="s">
        <v>612</v>
      </c>
      <c r="H211" s="72"/>
      <c r="I211" s="72">
        <v>0</v>
      </c>
      <c r="J211" s="72" t="s">
        <v>1742</v>
      </c>
      <c r="K211" s="72" t="s">
        <v>1745</v>
      </c>
      <c r="L211" s="72">
        <v>60.000000000000007</v>
      </c>
      <c r="M211" s="72"/>
      <c r="N211" s="72" t="str">
        <f t="shared" si="12"/>
        <v>AttributeDamageRate(AttributeRed, 60)</v>
      </c>
      <c r="O211" s="72">
        <v>0</v>
      </c>
      <c r="P211" s="72">
        <v>0</v>
      </c>
      <c r="Q211" s="72"/>
      <c r="R211" s="72" t="b">
        <v>0</v>
      </c>
    </row>
    <row r="212" spans="1:18">
      <c r="A212" s="72" t="s">
        <v>739</v>
      </c>
      <c r="B212" s="72"/>
      <c r="C212" s="72"/>
      <c r="D212" s="72">
        <v>0</v>
      </c>
      <c r="E212" s="72">
        <v>1</v>
      </c>
      <c r="F212" s="72" t="s">
        <v>611</v>
      </c>
      <c r="G212" s="72" t="s">
        <v>612</v>
      </c>
      <c r="H212" s="72"/>
      <c r="I212" s="72">
        <v>0</v>
      </c>
      <c r="J212" s="72" t="s">
        <v>1742</v>
      </c>
      <c r="K212" s="72" t="s">
        <v>1745</v>
      </c>
      <c r="L212" s="72">
        <v>60.000000000000007</v>
      </c>
      <c r="M212" s="72"/>
      <c r="N212" s="72" t="str">
        <f t="shared" si="12"/>
        <v>AttributeDamageRate(AttributeRed, 60)</v>
      </c>
      <c r="O212" s="72">
        <v>0</v>
      </c>
      <c r="P212" s="72">
        <v>0</v>
      </c>
      <c r="Q212" s="72"/>
      <c r="R212" s="72" t="b">
        <v>0</v>
      </c>
    </row>
    <row r="213" spans="1:18">
      <c r="A213" s="72" t="s">
        <v>740</v>
      </c>
      <c r="B213" s="72"/>
      <c r="C213" s="72"/>
      <c r="D213" s="72">
        <v>0</v>
      </c>
      <c r="E213" s="72">
        <v>1</v>
      </c>
      <c r="F213" s="72" t="s">
        <v>611</v>
      </c>
      <c r="G213" s="72" t="s">
        <v>612</v>
      </c>
      <c r="H213" s="72"/>
      <c r="I213" s="72">
        <v>0</v>
      </c>
      <c r="J213" s="72" t="s">
        <v>1742</v>
      </c>
      <c r="K213" s="72" t="s">
        <v>1745</v>
      </c>
      <c r="L213" s="72">
        <v>70</v>
      </c>
      <c r="M213" s="72"/>
      <c r="N213" s="72" t="str">
        <f t="shared" si="12"/>
        <v>AttributeDamageRate(AttributeRed, 70)</v>
      </c>
      <c r="O213" s="72">
        <v>0</v>
      </c>
      <c r="P213" s="72">
        <v>0</v>
      </c>
      <c r="Q213" s="72"/>
      <c r="R213" s="72" t="b">
        <v>0</v>
      </c>
    </row>
    <row r="214" spans="1:18">
      <c r="A214" s="72" t="s">
        <v>741</v>
      </c>
      <c r="B214" s="72"/>
      <c r="C214" s="72"/>
      <c r="D214" s="72">
        <v>0</v>
      </c>
      <c r="E214" s="72">
        <v>1</v>
      </c>
      <c r="F214" s="72" t="s">
        <v>611</v>
      </c>
      <c r="G214" s="72" t="s">
        <v>612</v>
      </c>
      <c r="H214" s="72"/>
      <c r="I214" s="72">
        <v>0</v>
      </c>
      <c r="J214" s="72" t="s">
        <v>1742</v>
      </c>
      <c r="K214" s="72" t="s">
        <v>1745</v>
      </c>
      <c r="L214" s="72">
        <v>70</v>
      </c>
      <c r="M214" s="72"/>
      <c r="N214" s="72" t="str">
        <f t="shared" si="12"/>
        <v>AttributeDamageRate(AttributeRed, 70)</v>
      </c>
      <c r="O214" s="72">
        <v>0</v>
      </c>
      <c r="P214" s="72">
        <v>0</v>
      </c>
      <c r="Q214" s="72"/>
      <c r="R214" s="72" t="b">
        <v>0</v>
      </c>
    </row>
    <row r="215" spans="1:18">
      <c r="A215" s="72" t="s">
        <v>742</v>
      </c>
      <c r="B215" s="72"/>
      <c r="C215" s="72"/>
      <c r="D215" s="72">
        <v>0</v>
      </c>
      <c r="E215" s="72">
        <v>1</v>
      </c>
      <c r="F215" s="72" t="s">
        <v>611</v>
      </c>
      <c r="G215" s="72" t="s">
        <v>612</v>
      </c>
      <c r="H215" s="72"/>
      <c r="I215" s="72">
        <v>0</v>
      </c>
      <c r="J215" s="72" t="s">
        <v>1742</v>
      </c>
      <c r="K215" s="72" t="s">
        <v>1745</v>
      </c>
      <c r="L215" s="72">
        <v>80</v>
      </c>
      <c r="M215" s="72"/>
      <c r="N215" s="72" t="str">
        <f t="shared" si="12"/>
        <v>AttributeDamageRate(AttributeRed, 80)</v>
      </c>
      <c r="O215" s="72">
        <v>0</v>
      </c>
      <c r="P215" s="72">
        <v>0</v>
      </c>
      <c r="Q215" s="72"/>
      <c r="R215" s="72" t="b">
        <v>0</v>
      </c>
    </row>
    <row r="216" spans="1:18">
      <c r="A216" s="72" t="s">
        <v>743</v>
      </c>
      <c r="B216" s="72"/>
      <c r="C216" s="72"/>
      <c r="D216" s="72">
        <v>0</v>
      </c>
      <c r="E216" s="72">
        <v>1</v>
      </c>
      <c r="F216" s="72" t="s">
        <v>611</v>
      </c>
      <c r="G216" s="72" t="s">
        <v>612</v>
      </c>
      <c r="H216" s="72"/>
      <c r="I216" s="72">
        <v>0</v>
      </c>
      <c r="J216" s="72" t="s">
        <v>1742</v>
      </c>
      <c r="K216" s="72" t="s">
        <v>1745</v>
      </c>
      <c r="L216" s="72">
        <v>80</v>
      </c>
      <c r="M216" s="72"/>
      <c r="N216" s="72" t="str">
        <f t="shared" si="12"/>
        <v>AttributeDamageRate(AttributeRed, 80)</v>
      </c>
      <c r="O216" s="72">
        <v>0</v>
      </c>
      <c r="P216" s="72">
        <v>0</v>
      </c>
      <c r="Q216" s="72"/>
      <c r="R216" s="72" t="b">
        <v>0</v>
      </c>
    </row>
    <row r="217" spans="1:18">
      <c r="A217" s="72" t="s">
        <v>744</v>
      </c>
      <c r="B217" s="72"/>
      <c r="C217" s="72"/>
      <c r="D217" s="72">
        <v>0</v>
      </c>
      <c r="E217" s="72">
        <v>1</v>
      </c>
      <c r="F217" s="72" t="s">
        <v>611</v>
      </c>
      <c r="G217" s="72" t="s">
        <v>612</v>
      </c>
      <c r="H217" s="72"/>
      <c r="I217" s="72">
        <v>0</v>
      </c>
      <c r="J217" s="72" t="s">
        <v>1742</v>
      </c>
      <c r="K217" s="72" t="s">
        <v>1745</v>
      </c>
      <c r="L217" s="72">
        <v>90</v>
      </c>
      <c r="M217" s="72"/>
      <c r="N217" s="72" t="str">
        <f t="shared" si="12"/>
        <v>AttributeDamageRate(AttributeRed, 90)</v>
      </c>
      <c r="O217" s="72">
        <v>0</v>
      </c>
      <c r="P217" s="72">
        <v>0</v>
      </c>
      <c r="Q217" s="72"/>
      <c r="R217" s="72" t="b">
        <v>0</v>
      </c>
    </row>
    <row r="218" spans="1:18">
      <c r="A218" s="72" t="s">
        <v>745</v>
      </c>
      <c r="B218" s="72"/>
      <c r="C218" s="72"/>
      <c r="D218" s="72">
        <v>0</v>
      </c>
      <c r="E218" s="72">
        <v>1</v>
      </c>
      <c r="F218" s="72" t="s">
        <v>611</v>
      </c>
      <c r="G218" s="72" t="s">
        <v>612</v>
      </c>
      <c r="H218" s="72"/>
      <c r="I218" s="72">
        <v>0</v>
      </c>
      <c r="J218" s="72" t="s">
        <v>1742</v>
      </c>
      <c r="K218" s="72" t="s">
        <v>1745</v>
      </c>
      <c r="L218" s="72">
        <v>90</v>
      </c>
      <c r="M218" s="72"/>
      <c r="N218" s="72" t="str">
        <f t="shared" si="12"/>
        <v>AttributeDamageRate(AttributeRed, 90)</v>
      </c>
      <c r="O218" s="72">
        <v>0</v>
      </c>
      <c r="P218" s="72">
        <v>0</v>
      </c>
      <c r="Q218" s="72"/>
      <c r="R218" s="72" t="b">
        <v>0</v>
      </c>
    </row>
    <row r="219" spans="1:18">
      <c r="A219" s="72" t="s">
        <v>746</v>
      </c>
      <c r="B219" s="72"/>
      <c r="C219" s="72"/>
      <c r="D219" s="72">
        <v>0</v>
      </c>
      <c r="E219" s="72">
        <v>1</v>
      </c>
      <c r="F219" s="72" t="s">
        <v>611</v>
      </c>
      <c r="G219" s="72" t="s">
        <v>612</v>
      </c>
      <c r="H219" s="72"/>
      <c r="I219" s="72">
        <v>0</v>
      </c>
      <c r="J219" s="72" t="s">
        <v>1742</v>
      </c>
      <c r="K219" s="72" t="s">
        <v>1745</v>
      </c>
      <c r="L219" s="72">
        <v>99.999999999999986</v>
      </c>
      <c r="M219" s="72"/>
      <c r="N219" s="72" t="str">
        <f t="shared" si="12"/>
        <v>AttributeDamageRate(AttributeRed, 100)</v>
      </c>
      <c r="O219" s="72">
        <v>0</v>
      </c>
      <c r="P219" s="72">
        <v>0</v>
      </c>
      <c r="Q219" s="72"/>
      <c r="R219" s="72" t="b">
        <v>0</v>
      </c>
    </row>
    <row r="220" spans="1:18">
      <c r="A220" s="72" t="s">
        <v>747</v>
      </c>
      <c r="B220" s="72"/>
      <c r="C220" s="72"/>
      <c r="D220" s="72">
        <v>0</v>
      </c>
      <c r="E220" s="72">
        <v>1</v>
      </c>
      <c r="F220" s="72" t="s">
        <v>611</v>
      </c>
      <c r="G220" s="72" t="s">
        <v>612</v>
      </c>
      <c r="H220" s="72"/>
      <c r="I220" s="72">
        <v>0</v>
      </c>
      <c r="J220" s="72" t="s">
        <v>1742</v>
      </c>
      <c r="K220" s="72" t="s">
        <v>1745</v>
      </c>
      <c r="L220" s="72">
        <v>99.999999999999986</v>
      </c>
      <c r="M220" s="72"/>
      <c r="N220" s="72" t="str">
        <f t="shared" si="12"/>
        <v>AttributeDamageRate(AttributeRed, 100)</v>
      </c>
      <c r="O220" s="72">
        <v>0</v>
      </c>
      <c r="P220" s="72">
        <v>0</v>
      </c>
      <c r="Q220" s="72"/>
      <c r="R220" s="72" t="b">
        <v>0</v>
      </c>
    </row>
    <row r="221" spans="1:18">
      <c r="A221" s="72" t="s">
        <v>748</v>
      </c>
      <c r="B221" s="72"/>
      <c r="C221" s="72"/>
      <c r="D221" s="72">
        <v>0</v>
      </c>
      <c r="E221" s="72">
        <v>1</v>
      </c>
      <c r="F221" s="72" t="s">
        <v>611</v>
      </c>
      <c r="G221" s="72" t="s">
        <v>612</v>
      </c>
      <c r="H221" s="72"/>
      <c r="I221" s="72">
        <v>0</v>
      </c>
      <c r="J221" s="72" t="s">
        <v>1742</v>
      </c>
      <c r="K221" s="72" t="s">
        <v>1745</v>
      </c>
      <c r="L221" s="72">
        <v>109.99999999999999</v>
      </c>
      <c r="M221" s="72"/>
      <c r="N221" s="72" t="str">
        <f t="shared" si="12"/>
        <v>AttributeDamageRate(AttributeRed, 110)</v>
      </c>
      <c r="O221" s="72">
        <v>0</v>
      </c>
      <c r="P221" s="72">
        <v>0</v>
      </c>
      <c r="Q221" s="72"/>
      <c r="R221" s="72" t="b">
        <v>0</v>
      </c>
    </row>
    <row r="222" spans="1:18">
      <c r="A222" s="72" t="s">
        <v>749</v>
      </c>
      <c r="B222" s="72"/>
      <c r="C222" s="72"/>
      <c r="D222" s="72">
        <v>0</v>
      </c>
      <c r="E222" s="72">
        <v>1</v>
      </c>
      <c r="F222" s="72" t="s">
        <v>611</v>
      </c>
      <c r="G222" s="72" t="s">
        <v>612</v>
      </c>
      <c r="H222" s="72"/>
      <c r="I222" s="72">
        <v>0</v>
      </c>
      <c r="J222" s="72" t="s">
        <v>1742</v>
      </c>
      <c r="K222" s="72" t="s">
        <v>1745</v>
      </c>
      <c r="L222" s="72">
        <v>109.99999999999999</v>
      </c>
      <c r="M222" s="72"/>
      <c r="N222" s="72" t="str">
        <f t="shared" si="12"/>
        <v>AttributeDamageRate(AttributeRed, 110)</v>
      </c>
      <c r="O222" s="72">
        <v>0</v>
      </c>
      <c r="P222" s="72">
        <v>0</v>
      </c>
      <c r="Q222" s="72"/>
      <c r="R222" s="72" t="b">
        <v>0</v>
      </c>
    </row>
    <row r="223" spans="1:18">
      <c r="A223" s="72" t="s">
        <v>750</v>
      </c>
      <c r="B223" s="72"/>
      <c r="C223" s="72"/>
      <c r="D223" s="72">
        <v>0</v>
      </c>
      <c r="E223" s="72">
        <v>1</v>
      </c>
      <c r="F223" s="72" t="s">
        <v>611</v>
      </c>
      <c r="G223" s="72" t="s">
        <v>612</v>
      </c>
      <c r="H223" s="72"/>
      <c r="I223" s="72">
        <v>0</v>
      </c>
      <c r="J223" s="72" t="s">
        <v>1742</v>
      </c>
      <c r="K223" s="72" t="s">
        <v>1745</v>
      </c>
      <c r="L223" s="72">
        <v>119.99999999999999</v>
      </c>
      <c r="M223" s="72"/>
      <c r="N223" s="72" t="str">
        <f t="shared" si="12"/>
        <v>AttributeDamageRate(AttributeRed, 120)</v>
      </c>
      <c r="O223" s="72">
        <v>0</v>
      </c>
      <c r="P223" s="72">
        <v>0</v>
      </c>
      <c r="Q223" s="72"/>
      <c r="R223" s="72" t="b">
        <v>0</v>
      </c>
    </row>
    <row r="224" spans="1:18">
      <c r="A224" s="72" t="s">
        <v>751</v>
      </c>
      <c r="B224" s="72"/>
      <c r="C224" s="72"/>
      <c r="D224" s="72">
        <v>0</v>
      </c>
      <c r="E224" s="72">
        <v>1</v>
      </c>
      <c r="F224" s="72" t="s">
        <v>611</v>
      </c>
      <c r="G224" s="72" t="s">
        <v>612</v>
      </c>
      <c r="H224" s="72"/>
      <c r="I224" s="72">
        <v>0</v>
      </c>
      <c r="J224" s="72" t="s">
        <v>1742</v>
      </c>
      <c r="K224" s="72" t="s">
        <v>1745</v>
      </c>
      <c r="L224" s="72">
        <v>119.99999999999999</v>
      </c>
      <c r="M224" s="72"/>
      <c r="N224" s="72" t="str">
        <f t="shared" si="12"/>
        <v>AttributeDamageRate(AttributeRed, 120)</v>
      </c>
      <c r="O224" s="72">
        <v>0</v>
      </c>
      <c r="P224" s="72">
        <v>0</v>
      </c>
      <c r="Q224" s="72"/>
      <c r="R224" s="72" t="b">
        <v>0</v>
      </c>
    </row>
    <row r="225" spans="1:18">
      <c r="A225" s="72" t="s">
        <v>752</v>
      </c>
      <c r="B225" s="72"/>
      <c r="C225" s="72"/>
      <c r="D225" s="72">
        <v>0</v>
      </c>
      <c r="E225" s="72">
        <v>1</v>
      </c>
      <c r="F225" s="72" t="s">
        <v>611</v>
      </c>
      <c r="G225" s="72" t="s">
        <v>612</v>
      </c>
      <c r="H225" s="72"/>
      <c r="I225" s="72">
        <v>0</v>
      </c>
      <c r="J225" s="72" t="s">
        <v>1742</v>
      </c>
      <c r="K225" s="72" t="s">
        <v>1745</v>
      </c>
      <c r="L225" s="72">
        <v>129.99999999999997</v>
      </c>
      <c r="M225" s="72"/>
      <c r="N225" s="72" t="str">
        <f t="shared" si="12"/>
        <v>AttributeDamageRate(AttributeRed, 130)</v>
      </c>
      <c r="O225" s="72">
        <v>0</v>
      </c>
      <c r="P225" s="72">
        <v>0</v>
      </c>
      <c r="Q225" s="72"/>
      <c r="R225" s="72" t="b">
        <v>0</v>
      </c>
    </row>
    <row r="226" spans="1:18">
      <c r="A226" s="72" t="s">
        <v>753</v>
      </c>
      <c r="B226" s="72"/>
      <c r="C226" s="72"/>
      <c r="D226" s="72">
        <v>0</v>
      </c>
      <c r="E226" s="72">
        <v>1</v>
      </c>
      <c r="F226" s="72" t="s">
        <v>611</v>
      </c>
      <c r="G226" s="72" t="s">
        <v>612</v>
      </c>
      <c r="H226" s="72"/>
      <c r="I226" s="72">
        <v>0</v>
      </c>
      <c r="J226" s="72" t="s">
        <v>1742</v>
      </c>
      <c r="K226" s="72" t="s">
        <v>1745</v>
      </c>
      <c r="L226" s="72">
        <v>129.99999999999997</v>
      </c>
      <c r="M226" s="72"/>
      <c r="N226" s="72" t="str">
        <f t="shared" si="12"/>
        <v>AttributeDamageRate(AttributeRed, 130)</v>
      </c>
      <c r="O226" s="72">
        <v>0</v>
      </c>
      <c r="P226" s="72">
        <v>0</v>
      </c>
      <c r="Q226" s="72"/>
      <c r="R226" s="72" t="b">
        <v>0</v>
      </c>
    </row>
    <row r="227" spans="1:18">
      <c r="A227" s="72" t="s">
        <v>754</v>
      </c>
      <c r="B227" s="72"/>
      <c r="C227" s="72"/>
      <c r="D227" s="72">
        <v>0</v>
      </c>
      <c r="E227" s="72">
        <v>1</v>
      </c>
      <c r="F227" s="72" t="s">
        <v>611</v>
      </c>
      <c r="G227" s="72" t="s">
        <v>612</v>
      </c>
      <c r="H227" s="72"/>
      <c r="I227" s="72">
        <v>0</v>
      </c>
      <c r="J227" s="72" t="s">
        <v>1742</v>
      </c>
      <c r="K227" s="72" t="s">
        <v>1745</v>
      </c>
      <c r="L227" s="72">
        <v>139.99999999999997</v>
      </c>
      <c r="M227" s="72"/>
      <c r="N227" s="72" t="str">
        <f t="shared" si="12"/>
        <v>AttributeDamageRate(AttributeRed, 140)</v>
      </c>
      <c r="O227" s="72">
        <v>0</v>
      </c>
      <c r="P227" s="72">
        <v>0</v>
      </c>
      <c r="Q227" s="72"/>
      <c r="R227" s="72" t="b">
        <v>0</v>
      </c>
    </row>
    <row r="228" spans="1:18">
      <c r="A228" s="72" t="s">
        <v>755</v>
      </c>
      <c r="B228" s="72"/>
      <c r="C228" s="72"/>
      <c r="D228" s="72">
        <v>0</v>
      </c>
      <c r="E228" s="72">
        <v>1</v>
      </c>
      <c r="F228" s="72" t="s">
        <v>611</v>
      </c>
      <c r="G228" s="72" t="s">
        <v>612</v>
      </c>
      <c r="H228" s="72"/>
      <c r="I228" s="72">
        <v>0</v>
      </c>
      <c r="J228" s="72" t="s">
        <v>1742</v>
      </c>
      <c r="K228" s="72" t="s">
        <v>1745</v>
      </c>
      <c r="L228" s="72">
        <v>139.99999999999997</v>
      </c>
      <c r="M228" s="72"/>
      <c r="N228" s="72" t="str">
        <f t="shared" si="12"/>
        <v>AttributeDamageRate(AttributeRed, 140)</v>
      </c>
      <c r="O228" s="72">
        <v>0</v>
      </c>
      <c r="P228" s="72">
        <v>0</v>
      </c>
      <c r="Q228" s="72"/>
      <c r="R228" s="72" t="b">
        <v>0</v>
      </c>
    </row>
    <row r="229" spans="1:18">
      <c r="A229" s="72" t="s">
        <v>756</v>
      </c>
      <c r="B229" s="72"/>
      <c r="C229" s="72"/>
      <c r="D229" s="72">
        <v>0</v>
      </c>
      <c r="E229" s="72">
        <v>1</v>
      </c>
      <c r="F229" s="72" t="s">
        <v>611</v>
      </c>
      <c r="G229" s="72" t="s">
        <v>612</v>
      </c>
      <c r="H229" s="72"/>
      <c r="I229" s="72">
        <v>0</v>
      </c>
      <c r="J229" s="72" t="s">
        <v>1742</v>
      </c>
      <c r="K229" s="72" t="s">
        <v>1745</v>
      </c>
      <c r="L229" s="72">
        <v>150</v>
      </c>
      <c r="M229" s="72"/>
      <c r="N229" s="72" t="str">
        <f t="shared" si="12"/>
        <v>AttributeDamageRate(AttributeRed, 150)</v>
      </c>
      <c r="O229" s="72">
        <v>0</v>
      </c>
      <c r="P229" s="72">
        <v>0</v>
      </c>
      <c r="Q229" s="72"/>
      <c r="R229" s="72" t="b">
        <v>0</v>
      </c>
    </row>
    <row r="230" spans="1:18">
      <c r="A230" s="75" t="s">
        <v>757</v>
      </c>
      <c r="B230" s="75"/>
      <c r="C230" s="75"/>
      <c r="D230" s="75">
        <v>0</v>
      </c>
      <c r="E230" s="75">
        <v>1</v>
      </c>
      <c r="F230" s="75" t="s">
        <v>611</v>
      </c>
      <c r="G230" s="75" t="s">
        <v>612</v>
      </c>
      <c r="H230" s="75"/>
      <c r="I230" s="75">
        <v>0</v>
      </c>
      <c r="J230" s="75" t="s">
        <v>1746</v>
      </c>
      <c r="K230" s="75" t="s">
        <v>788</v>
      </c>
      <c r="L230" s="75">
        <v>0</v>
      </c>
      <c r="M230" s="75"/>
      <c r="N230" s="75" t="str">
        <f t="shared" ref="N230:N293" si="13">J230&amp;"("&amp;IF(K230="","",K230)&amp;IF(L230="","",", "&amp;L230)&amp;IF(M230="","",", "&amp;M230)&amp;")"</f>
        <v>AttributeDamageDerate(AttributeGreen, 0)</v>
      </c>
      <c r="O230" s="75">
        <v>0</v>
      </c>
      <c r="P230" s="75">
        <v>0</v>
      </c>
      <c r="Q230" s="75"/>
      <c r="R230" s="75" t="b">
        <v>0</v>
      </c>
    </row>
    <row r="231" spans="1:18">
      <c r="A231" s="75" t="s">
        <v>758</v>
      </c>
      <c r="B231" s="75"/>
      <c r="C231" s="75"/>
      <c r="D231" s="75">
        <v>0</v>
      </c>
      <c r="E231" s="75">
        <v>1</v>
      </c>
      <c r="F231" s="75" t="s">
        <v>611</v>
      </c>
      <c r="G231" s="75" t="s">
        <v>612</v>
      </c>
      <c r="H231" s="75"/>
      <c r="I231" s="75">
        <v>0</v>
      </c>
      <c r="J231" s="75" t="s">
        <v>1746</v>
      </c>
      <c r="K231" s="75" t="s">
        <v>788</v>
      </c>
      <c r="L231" s="75">
        <v>10</v>
      </c>
      <c r="M231" s="75"/>
      <c r="N231" s="75" t="str">
        <f t="shared" si="13"/>
        <v>AttributeDamageDerate(AttributeGreen, 10)</v>
      </c>
      <c r="O231" s="75">
        <v>0</v>
      </c>
      <c r="P231" s="75">
        <v>0</v>
      </c>
      <c r="Q231" s="75"/>
      <c r="R231" s="75" t="b">
        <v>0</v>
      </c>
    </row>
    <row r="232" spans="1:18">
      <c r="A232" s="75" t="s">
        <v>759</v>
      </c>
      <c r="B232" s="75"/>
      <c r="C232" s="75"/>
      <c r="D232" s="75">
        <v>0</v>
      </c>
      <c r="E232" s="75">
        <v>1</v>
      </c>
      <c r="F232" s="75" t="s">
        <v>611</v>
      </c>
      <c r="G232" s="75" t="s">
        <v>612</v>
      </c>
      <c r="H232" s="75"/>
      <c r="I232" s="75">
        <v>0</v>
      </c>
      <c r="J232" s="75" t="s">
        <v>1746</v>
      </c>
      <c r="K232" s="75" t="s">
        <v>788</v>
      </c>
      <c r="L232" s="75">
        <v>10</v>
      </c>
      <c r="M232" s="75"/>
      <c r="N232" s="75" t="str">
        <f t="shared" si="13"/>
        <v>AttributeDamageDerate(AttributeGreen, 10)</v>
      </c>
      <c r="O232" s="75">
        <v>0</v>
      </c>
      <c r="P232" s="75">
        <v>0</v>
      </c>
      <c r="Q232" s="75"/>
      <c r="R232" s="75" t="b">
        <v>0</v>
      </c>
    </row>
    <row r="233" spans="1:18">
      <c r="A233" s="75" t="s">
        <v>760</v>
      </c>
      <c r="B233" s="75"/>
      <c r="C233" s="75"/>
      <c r="D233" s="75">
        <v>0</v>
      </c>
      <c r="E233" s="75">
        <v>1</v>
      </c>
      <c r="F233" s="75" t="s">
        <v>611</v>
      </c>
      <c r="G233" s="75" t="s">
        <v>612</v>
      </c>
      <c r="H233" s="75"/>
      <c r="I233" s="75">
        <v>0</v>
      </c>
      <c r="J233" s="75" t="s">
        <v>1746</v>
      </c>
      <c r="K233" s="75" t="s">
        <v>788</v>
      </c>
      <c r="L233" s="75">
        <v>20</v>
      </c>
      <c r="M233" s="75"/>
      <c r="N233" s="75" t="str">
        <f t="shared" si="13"/>
        <v>AttributeDamageDerate(AttributeGreen, 20)</v>
      </c>
      <c r="O233" s="75">
        <v>0</v>
      </c>
      <c r="P233" s="75">
        <v>0</v>
      </c>
      <c r="Q233" s="75"/>
      <c r="R233" s="75" t="b">
        <v>0</v>
      </c>
    </row>
    <row r="234" spans="1:18">
      <c r="A234" s="75" t="s">
        <v>761</v>
      </c>
      <c r="B234" s="75"/>
      <c r="C234" s="75"/>
      <c r="D234" s="75">
        <v>0</v>
      </c>
      <c r="E234" s="75">
        <v>1</v>
      </c>
      <c r="F234" s="75" t="s">
        <v>611</v>
      </c>
      <c r="G234" s="75" t="s">
        <v>612</v>
      </c>
      <c r="H234" s="75"/>
      <c r="I234" s="75">
        <v>0</v>
      </c>
      <c r="J234" s="75" t="s">
        <v>1746</v>
      </c>
      <c r="K234" s="75" t="s">
        <v>1743</v>
      </c>
      <c r="L234" s="75">
        <v>20</v>
      </c>
      <c r="M234" s="75"/>
      <c r="N234" s="75" t="str">
        <f t="shared" si="13"/>
        <v>AttributeDamageDerate(AttributeGreen, 20)</v>
      </c>
      <c r="O234" s="75">
        <v>0</v>
      </c>
      <c r="P234" s="75">
        <v>0</v>
      </c>
      <c r="Q234" s="75"/>
      <c r="R234" s="75" t="b">
        <v>0</v>
      </c>
    </row>
    <row r="235" spans="1:18">
      <c r="A235" s="75" t="s">
        <v>762</v>
      </c>
      <c r="B235" s="75"/>
      <c r="C235" s="75"/>
      <c r="D235" s="75">
        <v>0</v>
      </c>
      <c r="E235" s="75">
        <v>1</v>
      </c>
      <c r="F235" s="75" t="s">
        <v>611</v>
      </c>
      <c r="G235" s="75" t="s">
        <v>612</v>
      </c>
      <c r="H235" s="75"/>
      <c r="I235" s="75">
        <v>0</v>
      </c>
      <c r="J235" s="75" t="s">
        <v>1746</v>
      </c>
      <c r="K235" s="75" t="s">
        <v>1743</v>
      </c>
      <c r="L235" s="75">
        <v>30</v>
      </c>
      <c r="M235" s="75"/>
      <c r="N235" s="75" t="str">
        <f t="shared" si="13"/>
        <v>AttributeDamageDerate(AttributeGreen, 30)</v>
      </c>
      <c r="O235" s="75">
        <v>0</v>
      </c>
      <c r="P235" s="75">
        <v>0</v>
      </c>
      <c r="Q235" s="75"/>
      <c r="R235" s="75" t="b">
        <v>0</v>
      </c>
    </row>
    <row r="236" spans="1:18">
      <c r="A236" s="75" t="s">
        <v>763</v>
      </c>
      <c r="B236" s="75"/>
      <c r="C236" s="75"/>
      <c r="D236" s="75">
        <v>0</v>
      </c>
      <c r="E236" s="75">
        <v>1</v>
      </c>
      <c r="F236" s="75" t="s">
        <v>611</v>
      </c>
      <c r="G236" s="75" t="s">
        <v>612</v>
      </c>
      <c r="H236" s="75"/>
      <c r="I236" s="75">
        <v>0</v>
      </c>
      <c r="J236" s="75" t="s">
        <v>1746</v>
      </c>
      <c r="K236" s="75" t="s">
        <v>1743</v>
      </c>
      <c r="L236" s="75">
        <v>30</v>
      </c>
      <c r="M236" s="75"/>
      <c r="N236" s="75" t="str">
        <f t="shared" si="13"/>
        <v>AttributeDamageDerate(AttributeGreen, 30)</v>
      </c>
      <c r="O236" s="75">
        <v>0</v>
      </c>
      <c r="P236" s="75">
        <v>0</v>
      </c>
      <c r="Q236" s="75"/>
      <c r="R236" s="75" t="b">
        <v>0</v>
      </c>
    </row>
    <row r="237" spans="1:18">
      <c r="A237" s="75" t="s">
        <v>764</v>
      </c>
      <c r="B237" s="75"/>
      <c r="C237" s="75"/>
      <c r="D237" s="75">
        <v>0</v>
      </c>
      <c r="E237" s="75">
        <v>1</v>
      </c>
      <c r="F237" s="75" t="s">
        <v>611</v>
      </c>
      <c r="G237" s="75" t="s">
        <v>612</v>
      </c>
      <c r="H237" s="75"/>
      <c r="I237" s="75">
        <v>0</v>
      </c>
      <c r="J237" s="75" t="s">
        <v>1746</v>
      </c>
      <c r="K237" s="75" t="s">
        <v>1743</v>
      </c>
      <c r="L237" s="75">
        <v>40</v>
      </c>
      <c r="M237" s="75"/>
      <c r="N237" s="75" t="str">
        <f t="shared" si="13"/>
        <v>AttributeDamageDerate(AttributeGreen, 40)</v>
      </c>
      <c r="O237" s="75">
        <v>0</v>
      </c>
      <c r="P237" s="75">
        <v>0</v>
      </c>
      <c r="Q237" s="75"/>
      <c r="R237" s="75" t="b">
        <v>0</v>
      </c>
    </row>
    <row r="238" spans="1:18">
      <c r="A238" s="75" t="s">
        <v>765</v>
      </c>
      <c r="B238" s="75"/>
      <c r="C238" s="75"/>
      <c r="D238" s="75">
        <v>0</v>
      </c>
      <c r="E238" s="75">
        <v>1</v>
      </c>
      <c r="F238" s="75" t="s">
        <v>611</v>
      </c>
      <c r="G238" s="75" t="s">
        <v>612</v>
      </c>
      <c r="H238" s="75"/>
      <c r="I238" s="75">
        <v>0</v>
      </c>
      <c r="J238" s="75" t="s">
        <v>1746</v>
      </c>
      <c r="K238" s="75" t="s">
        <v>1743</v>
      </c>
      <c r="L238" s="75">
        <v>40</v>
      </c>
      <c r="M238" s="75"/>
      <c r="N238" s="75" t="str">
        <f t="shared" si="13"/>
        <v>AttributeDamageDerate(AttributeGreen, 40)</v>
      </c>
      <c r="O238" s="75">
        <v>0</v>
      </c>
      <c r="P238" s="75">
        <v>0</v>
      </c>
      <c r="Q238" s="75"/>
      <c r="R238" s="75" t="b">
        <v>0</v>
      </c>
    </row>
    <row r="239" spans="1:18">
      <c r="A239" s="75" t="s">
        <v>766</v>
      </c>
      <c r="B239" s="75"/>
      <c r="C239" s="75"/>
      <c r="D239" s="75">
        <v>0</v>
      </c>
      <c r="E239" s="75">
        <v>1</v>
      </c>
      <c r="F239" s="75" t="s">
        <v>611</v>
      </c>
      <c r="G239" s="75" t="s">
        <v>612</v>
      </c>
      <c r="H239" s="75"/>
      <c r="I239" s="75">
        <v>0</v>
      </c>
      <c r="J239" s="75" t="s">
        <v>1746</v>
      </c>
      <c r="K239" s="75" t="s">
        <v>1743</v>
      </c>
      <c r="L239" s="75">
        <v>50</v>
      </c>
      <c r="M239" s="75"/>
      <c r="N239" s="75" t="str">
        <f t="shared" si="13"/>
        <v>AttributeDamageDerate(AttributeGreen, 50)</v>
      </c>
      <c r="O239" s="75">
        <v>0</v>
      </c>
      <c r="P239" s="75">
        <v>0</v>
      </c>
      <c r="Q239" s="75"/>
      <c r="R239" s="75" t="b">
        <v>0</v>
      </c>
    </row>
    <row r="240" spans="1:18">
      <c r="A240" s="75" t="s">
        <v>767</v>
      </c>
      <c r="B240" s="75"/>
      <c r="C240" s="75"/>
      <c r="D240" s="75">
        <v>0</v>
      </c>
      <c r="E240" s="75">
        <v>1</v>
      </c>
      <c r="F240" s="75" t="s">
        <v>611</v>
      </c>
      <c r="G240" s="75" t="s">
        <v>612</v>
      </c>
      <c r="H240" s="75"/>
      <c r="I240" s="75">
        <v>0</v>
      </c>
      <c r="J240" s="75" t="s">
        <v>1746</v>
      </c>
      <c r="K240" s="75" t="s">
        <v>1743</v>
      </c>
      <c r="L240" s="75">
        <v>50</v>
      </c>
      <c r="M240" s="75"/>
      <c r="N240" s="75" t="str">
        <f t="shared" si="13"/>
        <v>AttributeDamageDerate(AttributeGreen, 50)</v>
      </c>
      <c r="O240" s="75">
        <v>0</v>
      </c>
      <c r="P240" s="75">
        <v>0</v>
      </c>
      <c r="Q240" s="75"/>
      <c r="R240" s="75" t="b">
        <v>0</v>
      </c>
    </row>
    <row r="241" spans="1:18">
      <c r="A241" s="75" t="s">
        <v>768</v>
      </c>
      <c r="B241" s="75"/>
      <c r="C241" s="75"/>
      <c r="D241" s="75">
        <v>0</v>
      </c>
      <c r="E241" s="75">
        <v>1</v>
      </c>
      <c r="F241" s="75" t="s">
        <v>611</v>
      </c>
      <c r="G241" s="75" t="s">
        <v>612</v>
      </c>
      <c r="H241" s="75"/>
      <c r="I241" s="75">
        <v>0</v>
      </c>
      <c r="J241" s="75" t="s">
        <v>1746</v>
      </c>
      <c r="K241" s="75" t="s">
        <v>1743</v>
      </c>
      <c r="L241" s="75">
        <v>60.000000000000007</v>
      </c>
      <c r="M241" s="75"/>
      <c r="N241" s="75" t="str">
        <f t="shared" si="13"/>
        <v>AttributeDamageDerate(AttributeGreen, 60)</v>
      </c>
      <c r="O241" s="75">
        <v>0</v>
      </c>
      <c r="P241" s="75">
        <v>0</v>
      </c>
      <c r="Q241" s="75"/>
      <c r="R241" s="75" t="b">
        <v>0</v>
      </c>
    </row>
    <row r="242" spans="1:18">
      <c r="A242" s="75" t="s">
        <v>769</v>
      </c>
      <c r="B242" s="75"/>
      <c r="C242" s="75"/>
      <c r="D242" s="75">
        <v>0</v>
      </c>
      <c r="E242" s="75">
        <v>1</v>
      </c>
      <c r="F242" s="75" t="s">
        <v>611</v>
      </c>
      <c r="G242" s="75" t="s">
        <v>612</v>
      </c>
      <c r="H242" s="75"/>
      <c r="I242" s="75">
        <v>0</v>
      </c>
      <c r="J242" s="75" t="s">
        <v>1746</v>
      </c>
      <c r="K242" s="75" t="s">
        <v>1743</v>
      </c>
      <c r="L242" s="75">
        <v>60.000000000000007</v>
      </c>
      <c r="M242" s="75"/>
      <c r="N242" s="75" t="str">
        <f t="shared" si="13"/>
        <v>AttributeDamageDerate(AttributeGreen, 60)</v>
      </c>
      <c r="O242" s="75">
        <v>0</v>
      </c>
      <c r="P242" s="75">
        <v>0</v>
      </c>
      <c r="Q242" s="75"/>
      <c r="R242" s="75" t="b">
        <v>0</v>
      </c>
    </row>
    <row r="243" spans="1:18">
      <c r="A243" s="75" t="s">
        <v>770</v>
      </c>
      <c r="B243" s="75"/>
      <c r="C243" s="75"/>
      <c r="D243" s="75">
        <v>0</v>
      </c>
      <c r="E243" s="75">
        <v>1</v>
      </c>
      <c r="F243" s="75" t="s">
        <v>611</v>
      </c>
      <c r="G243" s="75" t="s">
        <v>612</v>
      </c>
      <c r="H243" s="75"/>
      <c r="I243" s="75">
        <v>0</v>
      </c>
      <c r="J243" s="75" t="s">
        <v>1746</v>
      </c>
      <c r="K243" s="75" t="s">
        <v>1743</v>
      </c>
      <c r="L243" s="75">
        <v>70</v>
      </c>
      <c r="M243" s="75"/>
      <c r="N243" s="75" t="str">
        <f t="shared" si="13"/>
        <v>AttributeDamageDerate(AttributeGreen, 70)</v>
      </c>
      <c r="O243" s="75">
        <v>0</v>
      </c>
      <c r="P243" s="75">
        <v>0</v>
      </c>
      <c r="Q243" s="75"/>
      <c r="R243" s="75" t="b">
        <v>0</v>
      </c>
    </row>
    <row r="244" spans="1:18">
      <c r="A244" s="75" t="s">
        <v>771</v>
      </c>
      <c r="B244" s="75"/>
      <c r="C244" s="75"/>
      <c r="D244" s="75">
        <v>0</v>
      </c>
      <c r="E244" s="75">
        <v>1</v>
      </c>
      <c r="F244" s="75" t="s">
        <v>611</v>
      </c>
      <c r="G244" s="75" t="s">
        <v>612</v>
      </c>
      <c r="H244" s="75"/>
      <c r="I244" s="75">
        <v>0</v>
      </c>
      <c r="J244" s="75" t="s">
        <v>1746</v>
      </c>
      <c r="K244" s="75" t="s">
        <v>1743</v>
      </c>
      <c r="L244" s="75">
        <v>70</v>
      </c>
      <c r="M244" s="75"/>
      <c r="N244" s="75" t="str">
        <f t="shared" si="13"/>
        <v>AttributeDamageDerate(AttributeGreen, 70)</v>
      </c>
      <c r="O244" s="75">
        <v>0</v>
      </c>
      <c r="P244" s="75">
        <v>0</v>
      </c>
      <c r="Q244" s="75"/>
      <c r="R244" s="75" t="b">
        <v>0</v>
      </c>
    </row>
    <row r="245" spans="1:18">
      <c r="A245" s="75" t="s">
        <v>772</v>
      </c>
      <c r="B245" s="75"/>
      <c r="C245" s="75"/>
      <c r="D245" s="75">
        <v>0</v>
      </c>
      <c r="E245" s="75">
        <v>1</v>
      </c>
      <c r="F245" s="75" t="s">
        <v>611</v>
      </c>
      <c r="G245" s="75" t="s">
        <v>612</v>
      </c>
      <c r="H245" s="75"/>
      <c r="I245" s="75">
        <v>0</v>
      </c>
      <c r="J245" s="75" t="s">
        <v>1746</v>
      </c>
      <c r="K245" s="75" t="s">
        <v>1743</v>
      </c>
      <c r="L245" s="75">
        <v>80</v>
      </c>
      <c r="M245" s="75"/>
      <c r="N245" s="75" t="str">
        <f t="shared" si="13"/>
        <v>AttributeDamageDerate(AttributeGreen, 80)</v>
      </c>
      <c r="O245" s="75">
        <v>0</v>
      </c>
      <c r="P245" s="75">
        <v>0</v>
      </c>
      <c r="Q245" s="75"/>
      <c r="R245" s="75" t="b">
        <v>0</v>
      </c>
    </row>
    <row r="246" spans="1:18">
      <c r="A246" s="75" t="s">
        <v>773</v>
      </c>
      <c r="B246" s="75"/>
      <c r="C246" s="75"/>
      <c r="D246" s="75">
        <v>0</v>
      </c>
      <c r="E246" s="75">
        <v>1</v>
      </c>
      <c r="F246" s="75" t="s">
        <v>611</v>
      </c>
      <c r="G246" s="75" t="s">
        <v>612</v>
      </c>
      <c r="H246" s="75"/>
      <c r="I246" s="75">
        <v>0</v>
      </c>
      <c r="J246" s="75" t="s">
        <v>1746</v>
      </c>
      <c r="K246" s="75" t="s">
        <v>1743</v>
      </c>
      <c r="L246" s="75">
        <v>80</v>
      </c>
      <c r="M246" s="75"/>
      <c r="N246" s="75" t="str">
        <f t="shared" si="13"/>
        <v>AttributeDamageDerate(AttributeGreen, 80)</v>
      </c>
      <c r="O246" s="75">
        <v>0</v>
      </c>
      <c r="P246" s="75">
        <v>0</v>
      </c>
      <c r="Q246" s="75"/>
      <c r="R246" s="75" t="b">
        <v>0</v>
      </c>
    </row>
    <row r="247" spans="1:18">
      <c r="A247" s="75" t="s">
        <v>774</v>
      </c>
      <c r="B247" s="75"/>
      <c r="C247" s="75"/>
      <c r="D247" s="75">
        <v>0</v>
      </c>
      <c r="E247" s="75">
        <v>1</v>
      </c>
      <c r="F247" s="75" t="s">
        <v>611</v>
      </c>
      <c r="G247" s="75" t="s">
        <v>612</v>
      </c>
      <c r="H247" s="75"/>
      <c r="I247" s="75">
        <v>0</v>
      </c>
      <c r="J247" s="75" t="s">
        <v>1746</v>
      </c>
      <c r="K247" s="75" t="s">
        <v>1743</v>
      </c>
      <c r="L247" s="75">
        <v>90</v>
      </c>
      <c r="M247" s="75"/>
      <c r="N247" s="75" t="str">
        <f t="shared" si="13"/>
        <v>AttributeDamageDerate(AttributeGreen, 90)</v>
      </c>
      <c r="O247" s="75">
        <v>0</v>
      </c>
      <c r="P247" s="75">
        <v>0</v>
      </c>
      <c r="Q247" s="75"/>
      <c r="R247" s="75" t="b">
        <v>0</v>
      </c>
    </row>
    <row r="248" spans="1:18">
      <c r="A248" s="75" t="s">
        <v>775</v>
      </c>
      <c r="B248" s="75"/>
      <c r="C248" s="75"/>
      <c r="D248" s="75">
        <v>0</v>
      </c>
      <c r="E248" s="75">
        <v>1</v>
      </c>
      <c r="F248" s="75" t="s">
        <v>611</v>
      </c>
      <c r="G248" s="75" t="s">
        <v>612</v>
      </c>
      <c r="H248" s="75"/>
      <c r="I248" s="75">
        <v>0</v>
      </c>
      <c r="J248" s="75" t="s">
        <v>1746</v>
      </c>
      <c r="K248" s="75" t="s">
        <v>1743</v>
      </c>
      <c r="L248" s="75">
        <v>90</v>
      </c>
      <c r="M248" s="75"/>
      <c r="N248" s="75" t="str">
        <f t="shared" si="13"/>
        <v>AttributeDamageDerate(AttributeGreen, 90)</v>
      </c>
      <c r="O248" s="75">
        <v>0</v>
      </c>
      <c r="P248" s="75">
        <v>0</v>
      </c>
      <c r="Q248" s="75"/>
      <c r="R248" s="75" t="b">
        <v>0</v>
      </c>
    </row>
    <row r="249" spans="1:18">
      <c r="A249" s="75" t="s">
        <v>776</v>
      </c>
      <c r="B249" s="75"/>
      <c r="C249" s="75"/>
      <c r="D249" s="75">
        <v>0</v>
      </c>
      <c r="E249" s="75">
        <v>1</v>
      </c>
      <c r="F249" s="75" t="s">
        <v>611</v>
      </c>
      <c r="G249" s="75" t="s">
        <v>612</v>
      </c>
      <c r="H249" s="75"/>
      <c r="I249" s="75">
        <v>0</v>
      </c>
      <c r="J249" s="75" t="s">
        <v>1746</v>
      </c>
      <c r="K249" s="75" t="s">
        <v>1743</v>
      </c>
      <c r="L249" s="75">
        <v>99.999999999999986</v>
      </c>
      <c r="M249" s="75"/>
      <c r="N249" s="75" t="str">
        <f t="shared" si="13"/>
        <v>AttributeDamageDerate(AttributeGreen, 100)</v>
      </c>
      <c r="O249" s="75">
        <v>0</v>
      </c>
      <c r="P249" s="75">
        <v>0</v>
      </c>
      <c r="Q249" s="75"/>
      <c r="R249" s="75" t="b">
        <v>0</v>
      </c>
    </row>
    <row r="250" spans="1:18">
      <c r="A250" s="75" t="s">
        <v>777</v>
      </c>
      <c r="B250" s="75"/>
      <c r="C250" s="75"/>
      <c r="D250" s="75">
        <v>0</v>
      </c>
      <c r="E250" s="75">
        <v>1</v>
      </c>
      <c r="F250" s="75" t="s">
        <v>611</v>
      </c>
      <c r="G250" s="75" t="s">
        <v>612</v>
      </c>
      <c r="H250" s="75"/>
      <c r="I250" s="75">
        <v>0</v>
      </c>
      <c r="J250" s="75" t="s">
        <v>1746</v>
      </c>
      <c r="K250" s="75" t="s">
        <v>1743</v>
      </c>
      <c r="L250" s="75">
        <v>99.999999999999986</v>
      </c>
      <c r="M250" s="75"/>
      <c r="N250" s="75" t="str">
        <f t="shared" si="13"/>
        <v>AttributeDamageDerate(AttributeGreen, 100)</v>
      </c>
      <c r="O250" s="75">
        <v>0</v>
      </c>
      <c r="P250" s="75">
        <v>0</v>
      </c>
      <c r="Q250" s="75"/>
      <c r="R250" s="75" t="b">
        <v>0</v>
      </c>
    </row>
    <row r="251" spans="1:18">
      <c r="A251" s="75" t="s">
        <v>778</v>
      </c>
      <c r="B251" s="75"/>
      <c r="C251" s="75"/>
      <c r="D251" s="75">
        <v>0</v>
      </c>
      <c r="E251" s="75">
        <v>1</v>
      </c>
      <c r="F251" s="75" t="s">
        <v>611</v>
      </c>
      <c r="G251" s="75" t="s">
        <v>612</v>
      </c>
      <c r="H251" s="75"/>
      <c r="I251" s="75">
        <v>0</v>
      </c>
      <c r="J251" s="75" t="s">
        <v>1746</v>
      </c>
      <c r="K251" s="75" t="s">
        <v>1743</v>
      </c>
      <c r="L251" s="75">
        <v>109.99999999999999</v>
      </c>
      <c r="M251" s="75"/>
      <c r="N251" s="75" t="str">
        <f t="shared" si="13"/>
        <v>AttributeDamageDerate(AttributeGreen, 110)</v>
      </c>
      <c r="O251" s="75">
        <v>0</v>
      </c>
      <c r="P251" s="75">
        <v>0</v>
      </c>
      <c r="Q251" s="75"/>
      <c r="R251" s="75" t="b">
        <v>0</v>
      </c>
    </row>
    <row r="252" spans="1:18">
      <c r="A252" s="75" t="s">
        <v>779</v>
      </c>
      <c r="B252" s="75"/>
      <c r="C252" s="75"/>
      <c r="D252" s="75">
        <v>0</v>
      </c>
      <c r="E252" s="75">
        <v>1</v>
      </c>
      <c r="F252" s="75" t="s">
        <v>611</v>
      </c>
      <c r="G252" s="75" t="s">
        <v>612</v>
      </c>
      <c r="H252" s="75"/>
      <c r="I252" s="75">
        <v>0</v>
      </c>
      <c r="J252" s="75" t="s">
        <v>1746</v>
      </c>
      <c r="K252" s="75" t="s">
        <v>1743</v>
      </c>
      <c r="L252" s="75">
        <v>109.99999999999999</v>
      </c>
      <c r="M252" s="75"/>
      <c r="N252" s="75" t="str">
        <f t="shared" si="13"/>
        <v>AttributeDamageDerate(AttributeGreen, 110)</v>
      </c>
      <c r="O252" s="75">
        <v>0</v>
      </c>
      <c r="P252" s="75">
        <v>0</v>
      </c>
      <c r="Q252" s="75"/>
      <c r="R252" s="75" t="b">
        <v>0</v>
      </c>
    </row>
    <row r="253" spans="1:18">
      <c r="A253" s="75" t="s">
        <v>780</v>
      </c>
      <c r="B253" s="75"/>
      <c r="C253" s="75"/>
      <c r="D253" s="75">
        <v>0</v>
      </c>
      <c r="E253" s="75">
        <v>1</v>
      </c>
      <c r="F253" s="75" t="s">
        <v>611</v>
      </c>
      <c r="G253" s="75" t="s">
        <v>612</v>
      </c>
      <c r="H253" s="75"/>
      <c r="I253" s="75">
        <v>0</v>
      </c>
      <c r="J253" s="75" t="s">
        <v>1746</v>
      </c>
      <c r="K253" s="75" t="s">
        <v>1743</v>
      </c>
      <c r="L253" s="75">
        <v>119.99999999999999</v>
      </c>
      <c r="M253" s="75"/>
      <c r="N253" s="75" t="str">
        <f t="shared" si="13"/>
        <v>AttributeDamageDerate(AttributeGreen, 120)</v>
      </c>
      <c r="O253" s="75">
        <v>0</v>
      </c>
      <c r="P253" s="75">
        <v>0</v>
      </c>
      <c r="Q253" s="75"/>
      <c r="R253" s="75" t="b">
        <v>0</v>
      </c>
    </row>
    <row r="254" spans="1:18">
      <c r="A254" s="75" t="s">
        <v>781</v>
      </c>
      <c r="B254" s="75"/>
      <c r="C254" s="75"/>
      <c r="D254" s="75">
        <v>0</v>
      </c>
      <c r="E254" s="75">
        <v>1</v>
      </c>
      <c r="F254" s="75" t="s">
        <v>611</v>
      </c>
      <c r="G254" s="75" t="s">
        <v>612</v>
      </c>
      <c r="H254" s="75"/>
      <c r="I254" s="75">
        <v>0</v>
      </c>
      <c r="J254" s="75" t="s">
        <v>1746</v>
      </c>
      <c r="K254" s="75" t="s">
        <v>1743</v>
      </c>
      <c r="L254" s="75">
        <v>119.99999999999999</v>
      </c>
      <c r="M254" s="75"/>
      <c r="N254" s="75" t="str">
        <f t="shared" si="13"/>
        <v>AttributeDamageDerate(AttributeGreen, 120)</v>
      </c>
      <c r="O254" s="75">
        <v>0</v>
      </c>
      <c r="P254" s="75">
        <v>0</v>
      </c>
      <c r="Q254" s="75"/>
      <c r="R254" s="75" t="b">
        <v>0</v>
      </c>
    </row>
    <row r="255" spans="1:18">
      <c r="A255" s="75" t="s">
        <v>782</v>
      </c>
      <c r="B255" s="75"/>
      <c r="C255" s="75"/>
      <c r="D255" s="75">
        <v>0</v>
      </c>
      <c r="E255" s="75">
        <v>1</v>
      </c>
      <c r="F255" s="75" t="s">
        <v>611</v>
      </c>
      <c r="G255" s="75" t="s">
        <v>612</v>
      </c>
      <c r="H255" s="75"/>
      <c r="I255" s="75">
        <v>0</v>
      </c>
      <c r="J255" s="75" t="s">
        <v>1746</v>
      </c>
      <c r="K255" s="75" t="s">
        <v>1743</v>
      </c>
      <c r="L255" s="75">
        <v>129.99999999999997</v>
      </c>
      <c r="M255" s="75"/>
      <c r="N255" s="75" t="str">
        <f t="shared" si="13"/>
        <v>AttributeDamageDerate(AttributeGreen, 130)</v>
      </c>
      <c r="O255" s="75">
        <v>0</v>
      </c>
      <c r="P255" s="75">
        <v>0</v>
      </c>
      <c r="Q255" s="75"/>
      <c r="R255" s="75" t="b">
        <v>0</v>
      </c>
    </row>
    <row r="256" spans="1:18">
      <c r="A256" s="75" t="s">
        <v>783</v>
      </c>
      <c r="B256" s="75"/>
      <c r="C256" s="75"/>
      <c r="D256" s="75">
        <v>0</v>
      </c>
      <c r="E256" s="75">
        <v>1</v>
      </c>
      <c r="F256" s="75" t="s">
        <v>611</v>
      </c>
      <c r="G256" s="75" t="s">
        <v>612</v>
      </c>
      <c r="H256" s="75"/>
      <c r="I256" s="75">
        <v>0</v>
      </c>
      <c r="J256" s="75" t="s">
        <v>1746</v>
      </c>
      <c r="K256" s="75" t="s">
        <v>1743</v>
      </c>
      <c r="L256" s="75">
        <v>129.99999999999997</v>
      </c>
      <c r="M256" s="75"/>
      <c r="N256" s="75" t="str">
        <f t="shared" si="13"/>
        <v>AttributeDamageDerate(AttributeGreen, 130)</v>
      </c>
      <c r="O256" s="75">
        <v>0</v>
      </c>
      <c r="P256" s="75">
        <v>0</v>
      </c>
      <c r="Q256" s="75"/>
      <c r="R256" s="75" t="b">
        <v>0</v>
      </c>
    </row>
    <row r="257" spans="1:18">
      <c r="A257" s="75" t="s">
        <v>784</v>
      </c>
      <c r="B257" s="75"/>
      <c r="C257" s="75"/>
      <c r="D257" s="75">
        <v>0</v>
      </c>
      <c r="E257" s="75">
        <v>1</v>
      </c>
      <c r="F257" s="75" t="s">
        <v>611</v>
      </c>
      <c r="G257" s="75" t="s">
        <v>612</v>
      </c>
      <c r="H257" s="75"/>
      <c r="I257" s="75">
        <v>0</v>
      </c>
      <c r="J257" s="75" t="s">
        <v>1746</v>
      </c>
      <c r="K257" s="75" t="s">
        <v>1743</v>
      </c>
      <c r="L257" s="75">
        <v>139.99999999999997</v>
      </c>
      <c r="M257" s="75"/>
      <c r="N257" s="75" t="str">
        <f t="shared" si="13"/>
        <v>AttributeDamageDerate(AttributeGreen, 140)</v>
      </c>
      <c r="O257" s="75">
        <v>0</v>
      </c>
      <c r="P257" s="75">
        <v>0</v>
      </c>
      <c r="Q257" s="75"/>
      <c r="R257" s="75" t="b">
        <v>0</v>
      </c>
    </row>
    <row r="258" spans="1:18">
      <c r="A258" s="75" t="s">
        <v>785</v>
      </c>
      <c r="B258" s="75"/>
      <c r="C258" s="75"/>
      <c r="D258" s="75">
        <v>0</v>
      </c>
      <c r="E258" s="75">
        <v>1</v>
      </c>
      <c r="F258" s="75" t="s">
        <v>611</v>
      </c>
      <c r="G258" s="75" t="s">
        <v>612</v>
      </c>
      <c r="H258" s="75"/>
      <c r="I258" s="75">
        <v>0</v>
      </c>
      <c r="J258" s="75" t="s">
        <v>1746</v>
      </c>
      <c r="K258" s="75" t="s">
        <v>1743</v>
      </c>
      <c r="L258" s="75">
        <v>139.99999999999997</v>
      </c>
      <c r="M258" s="75"/>
      <c r="N258" s="75" t="str">
        <f t="shared" si="13"/>
        <v>AttributeDamageDerate(AttributeGreen, 140)</v>
      </c>
      <c r="O258" s="75">
        <v>0</v>
      </c>
      <c r="P258" s="75">
        <v>0</v>
      </c>
      <c r="Q258" s="75"/>
      <c r="R258" s="75" t="b">
        <v>0</v>
      </c>
    </row>
    <row r="259" spans="1:18">
      <c r="A259" s="72" t="s">
        <v>1910</v>
      </c>
      <c r="B259" s="72"/>
      <c r="C259" s="72"/>
      <c r="D259" s="72">
        <v>0</v>
      </c>
      <c r="E259" s="72">
        <v>1</v>
      </c>
      <c r="F259" s="72" t="s">
        <v>611</v>
      </c>
      <c r="G259" s="72" t="s">
        <v>612</v>
      </c>
      <c r="H259" s="72"/>
      <c r="I259" s="72">
        <v>0</v>
      </c>
      <c r="J259" s="72" t="s">
        <v>2038</v>
      </c>
      <c r="K259" s="72" t="s">
        <v>1886</v>
      </c>
      <c r="L259" s="72">
        <v>100</v>
      </c>
      <c r="M259" s="72"/>
      <c r="N259" s="72" t="str">
        <f t="shared" si="13"/>
        <v>Status(AreaDamageRate, 100)</v>
      </c>
      <c r="O259" s="72">
        <v>0</v>
      </c>
      <c r="P259" s="72">
        <v>0</v>
      </c>
      <c r="Q259" s="72"/>
      <c r="R259" s="72" t="b">
        <v>0</v>
      </c>
    </row>
    <row r="260" spans="1:18">
      <c r="A260" s="72" t="s">
        <v>1911</v>
      </c>
      <c r="B260" s="72"/>
      <c r="C260" s="72"/>
      <c r="D260" s="72">
        <v>0</v>
      </c>
      <c r="E260" s="72">
        <v>1</v>
      </c>
      <c r="F260" s="72" t="s">
        <v>611</v>
      </c>
      <c r="G260" s="72" t="s">
        <v>612</v>
      </c>
      <c r="H260" s="72"/>
      <c r="I260" s="72">
        <v>0</v>
      </c>
      <c r="J260" s="72" t="s">
        <v>2038</v>
      </c>
      <c r="K260" s="72" t="s">
        <v>1886</v>
      </c>
      <c r="L260" s="72">
        <v>200</v>
      </c>
      <c r="M260" s="72"/>
      <c r="N260" s="72" t="str">
        <f t="shared" si="13"/>
        <v>Status(AreaDamageRate, 200)</v>
      </c>
      <c r="O260" s="72">
        <v>0</v>
      </c>
      <c r="P260" s="72">
        <v>0</v>
      </c>
      <c r="Q260" s="72"/>
      <c r="R260" s="72" t="b">
        <v>0</v>
      </c>
    </row>
    <row r="261" spans="1:18">
      <c r="A261" s="72" t="s">
        <v>1912</v>
      </c>
      <c r="B261" s="72"/>
      <c r="C261" s="72"/>
      <c r="D261" s="72">
        <v>0</v>
      </c>
      <c r="E261" s="72">
        <v>1</v>
      </c>
      <c r="F261" s="72" t="s">
        <v>611</v>
      </c>
      <c r="G261" s="72" t="s">
        <v>612</v>
      </c>
      <c r="H261" s="72"/>
      <c r="I261" s="72">
        <v>0</v>
      </c>
      <c r="J261" s="72" t="s">
        <v>2038</v>
      </c>
      <c r="K261" s="72" t="s">
        <v>1886</v>
      </c>
      <c r="L261" s="72">
        <v>300</v>
      </c>
      <c r="M261" s="72"/>
      <c r="N261" s="72" t="str">
        <f t="shared" si="13"/>
        <v>Status(AreaDamageRate, 300)</v>
      </c>
      <c r="O261" s="72">
        <v>0</v>
      </c>
      <c r="P261" s="72">
        <v>0</v>
      </c>
      <c r="Q261" s="72"/>
      <c r="R261" s="72" t="b">
        <v>0</v>
      </c>
    </row>
    <row r="262" spans="1:18">
      <c r="A262" s="72" t="s">
        <v>1913</v>
      </c>
      <c r="B262" s="72"/>
      <c r="C262" s="72"/>
      <c r="D262" s="72">
        <v>0</v>
      </c>
      <c r="E262" s="72">
        <v>1</v>
      </c>
      <c r="F262" s="72" t="s">
        <v>611</v>
      </c>
      <c r="G262" s="72" t="s">
        <v>612</v>
      </c>
      <c r="H262" s="72"/>
      <c r="I262" s="72">
        <v>0</v>
      </c>
      <c r="J262" s="72" t="s">
        <v>2038</v>
      </c>
      <c r="K262" s="72" t="s">
        <v>1886</v>
      </c>
      <c r="L262" s="72">
        <v>400</v>
      </c>
      <c r="M262" s="72"/>
      <c r="N262" s="72" t="str">
        <f t="shared" si="13"/>
        <v>Status(AreaDamageRate, 400)</v>
      </c>
      <c r="O262" s="72">
        <v>0</v>
      </c>
      <c r="P262" s="72">
        <v>0</v>
      </c>
      <c r="Q262" s="72"/>
      <c r="R262" s="72" t="b">
        <v>0</v>
      </c>
    </row>
    <row r="263" spans="1:18">
      <c r="A263" s="72" t="s">
        <v>1914</v>
      </c>
      <c r="B263" s="72"/>
      <c r="C263" s="72"/>
      <c r="D263" s="72">
        <v>0</v>
      </c>
      <c r="E263" s="72">
        <v>1</v>
      </c>
      <c r="F263" s="72" t="s">
        <v>611</v>
      </c>
      <c r="G263" s="72" t="s">
        <v>612</v>
      </c>
      <c r="H263" s="72"/>
      <c r="I263" s="72">
        <v>0</v>
      </c>
      <c r="J263" s="72" t="s">
        <v>2038</v>
      </c>
      <c r="K263" s="72" t="s">
        <v>1886</v>
      </c>
      <c r="L263" s="72">
        <v>500</v>
      </c>
      <c r="M263" s="72"/>
      <c r="N263" s="72" t="str">
        <f t="shared" si="13"/>
        <v>Status(AreaDamageRate, 500)</v>
      </c>
      <c r="O263" s="72">
        <v>0</v>
      </c>
      <c r="P263" s="72">
        <v>0</v>
      </c>
      <c r="Q263" s="72"/>
      <c r="R263" s="72" t="b">
        <v>0</v>
      </c>
    </row>
    <row r="264" spans="1:18">
      <c r="A264" s="72" t="s">
        <v>1966</v>
      </c>
      <c r="B264" s="72"/>
      <c r="C264" s="72"/>
      <c r="D264" s="72">
        <v>0</v>
      </c>
      <c r="E264" s="72">
        <v>1</v>
      </c>
      <c r="F264" s="72" t="s">
        <v>611</v>
      </c>
      <c r="G264" s="72" t="s">
        <v>612</v>
      </c>
      <c r="H264" s="72"/>
      <c r="I264" s="72">
        <v>0</v>
      </c>
      <c r="J264" s="72" t="s">
        <v>2038</v>
      </c>
      <c r="K264" s="72" t="s">
        <v>1886</v>
      </c>
      <c r="L264" s="72">
        <v>600</v>
      </c>
      <c r="M264" s="72"/>
      <c r="N264" s="72" t="str">
        <f t="shared" ref="N264:N268" si="14">J264&amp;"("&amp;IF(K264="","",K264)&amp;IF(L264="","",", "&amp;L264)&amp;IF(M264="","",", "&amp;M264)&amp;")"</f>
        <v>Status(AreaDamageRate, 600)</v>
      </c>
      <c r="O264" s="72">
        <v>0</v>
      </c>
      <c r="P264" s="72">
        <v>0</v>
      </c>
      <c r="Q264" s="72"/>
      <c r="R264" s="72" t="b">
        <v>0</v>
      </c>
    </row>
    <row r="265" spans="1:18">
      <c r="A265" s="72" t="s">
        <v>1967</v>
      </c>
      <c r="B265" s="72"/>
      <c r="C265" s="72"/>
      <c r="D265" s="72">
        <v>0</v>
      </c>
      <c r="E265" s="72">
        <v>1</v>
      </c>
      <c r="F265" s="72" t="s">
        <v>611</v>
      </c>
      <c r="G265" s="72" t="s">
        <v>612</v>
      </c>
      <c r="H265" s="72"/>
      <c r="I265" s="72">
        <v>0</v>
      </c>
      <c r="J265" s="72" t="s">
        <v>2038</v>
      </c>
      <c r="K265" s="72" t="s">
        <v>1886</v>
      </c>
      <c r="L265" s="72">
        <v>700</v>
      </c>
      <c r="M265" s="72"/>
      <c r="N265" s="72" t="str">
        <f t="shared" si="14"/>
        <v>Status(AreaDamageRate, 700)</v>
      </c>
      <c r="O265" s="72">
        <v>0</v>
      </c>
      <c r="P265" s="72">
        <v>0</v>
      </c>
      <c r="Q265" s="72"/>
      <c r="R265" s="72" t="b">
        <v>0</v>
      </c>
    </row>
    <row r="266" spans="1:18">
      <c r="A266" s="72" t="s">
        <v>1968</v>
      </c>
      <c r="B266" s="72"/>
      <c r="C266" s="72"/>
      <c r="D266" s="72">
        <v>0</v>
      </c>
      <c r="E266" s="72">
        <v>1</v>
      </c>
      <c r="F266" s="72" t="s">
        <v>611</v>
      </c>
      <c r="G266" s="72" t="s">
        <v>612</v>
      </c>
      <c r="H266" s="72"/>
      <c r="I266" s="72">
        <v>0</v>
      </c>
      <c r="J266" s="72" t="s">
        <v>2038</v>
      </c>
      <c r="K266" s="72" t="s">
        <v>1886</v>
      </c>
      <c r="L266" s="72">
        <v>800</v>
      </c>
      <c r="M266" s="72"/>
      <c r="N266" s="72" t="str">
        <f t="shared" si="14"/>
        <v>Status(AreaDamageRate, 800)</v>
      </c>
      <c r="O266" s="72">
        <v>0</v>
      </c>
      <c r="P266" s="72">
        <v>0</v>
      </c>
      <c r="Q266" s="72"/>
      <c r="R266" s="72" t="b">
        <v>0</v>
      </c>
    </row>
    <row r="267" spans="1:18">
      <c r="A267" s="72" t="s">
        <v>1969</v>
      </c>
      <c r="B267" s="72"/>
      <c r="C267" s="72"/>
      <c r="D267" s="72">
        <v>0</v>
      </c>
      <c r="E267" s="72">
        <v>1</v>
      </c>
      <c r="F267" s="72" t="s">
        <v>611</v>
      </c>
      <c r="G267" s="72" t="s">
        <v>612</v>
      </c>
      <c r="H267" s="72"/>
      <c r="I267" s="72">
        <v>0</v>
      </c>
      <c r="J267" s="72" t="s">
        <v>2038</v>
      </c>
      <c r="K267" s="72" t="s">
        <v>1886</v>
      </c>
      <c r="L267" s="72">
        <v>900</v>
      </c>
      <c r="M267" s="72"/>
      <c r="N267" s="72" t="str">
        <f t="shared" si="14"/>
        <v>Status(AreaDamageRate, 900)</v>
      </c>
      <c r="O267" s="72">
        <v>0</v>
      </c>
      <c r="P267" s="72">
        <v>0</v>
      </c>
      <c r="Q267" s="72"/>
      <c r="R267" s="72" t="b">
        <v>0</v>
      </c>
    </row>
    <row r="268" spans="1:18">
      <c r="A268" s="72" t="s">
        <v>1970</v>
      </c>
      <c r="B268" s="72"/>
      <c r="C268" s="72"/>
      <c r="D268" s="72">
        <v>0</v>
      </c>
      <c r="E268" s="72">
        <v>1</v>
      </c>
      <c r="F268" s="72" t="s">
        <v>611</v>
      </c>
      <c r="G268" s="72" t="s">
        <v>612</v>
      </c>
      <c r="H268" s="72"/>
      <c r="I268" s="72">
        <v>0</v>
      </c>
      <c r="J268" s="72" t="s">
        <v>2038</v>
      </c>
      <c r="K268" s="72" t="s">
        <v>1886</v>
      </c>
      <c r="L268" s="72">
        <v>1000</v>
      </c>
      <c r="M268" s="72"/>
      <c r="N268" s="72" t="str">
        <f t="shared" si="14"/>
        <v>Status(AreaDamageRate, 1000)</v>
      </c>
      <c r="O268" s="72">
        <v>0</v>
      </c>
      <c r="P268" s="72">
        <v>0</v>
      </c>
      <c r="Q268" s="72"/>
      <c r="R268" s="72" t="b">
        <v>0</v>
      </c>
    </row>
    <row r="269" spans="1:18">
      <c r="A269" s="75" t="s">
        <v>1915</v>
      </c>
      <c r="B269" s="75"/>
      <c r="C269" s="75"/>
      <c r="D269" s="75">
        <v>0</v>
      </c>
      <c r="E269" s="75">
        <v>1</v>
      </c>
      <c r="F269" s="75" t="s">
        <v>611</v>
      </c>
      <c r="G269" s="75" t="s">
        <v>612</v>
      </c>
      <c r="H269" s="75"/>
      <c r="I269" s="75">
        <v>0</v>
      </c>
      <c r="J269" s="75" t="s">
        <v>2038</v>
      </c>
      <c r="K269" s="75" t="s">
        <v>1888</v>
      </c>
      <c r="L269" s="75">
        <v>100</v>
      </c>
      <c r="M269" s="75"/>
      <c r="N269" s="75" t="str">
        <f t="shared" si="13"/>
        <v>Status(RangeDamageRate, 100)</v>
      </c>
      <c r="O269" s="75">
        <v>0</v>
      </c>
      <c r="P269" s="75">
        <v>0</v>
      </c>
      <c r="Q269" s="75"/>
      <c r="R269" s="75" t="b">
        <v>0</v>
      </c>
    </row>
    <row r="270" spans="1:18">
      <c r="A270" s="75" t="s">
        <v>1916</v>
      </c>
      <c r="B270" s="75"/>
      <c r="C270" s="75"/>
      <c r="D270" s="75">
        <v>0</v>
      </c>
      <c r="E270" s="75">
        <v>1</v>
      </c>
      <c r="F270" s="75" t="s">
        <v>611</v>
      </c>
      <c r="G270" s="75" t="s">
        <v>612</v>
      </c>
      <c r="H270" s="75"/>
      <c r="I270" s="75">
        <v>0</v>
      </c>
      <c r="J270" s="75" t="s">
        <v>2038</v>
      </c>
      <c r="K270" s="75" t="s">
        <v>1888</v>
      </c>
      <c r="L270" s="75">
        <v>200</v>
      </c>
      <c r="M270" s="75"/>
      <c r="N270" s="75" t="str">
        <f t="shared" si="13"/>
        <v>Status(RangeDamageRate, 200)</v>
      </c>
      <c r="O270" s="75">
        <v>0</v>
      </c>
      <c r="P270" s="75">
        <v>0</v>
      </c>
      <c r="Q270" s="75"/>
      <c r="R270" s="75" t="b">
        <v>0</v>
      </c>
    </row>
    <row r="271" spans="1:18">
      <c r="A271" s="75" t="s">
        <v>1917</v>
      </c>
      <c r="B271" s="75"/>
      <c r="C271" s="75"/>
      <c r="D271" s="75">
        <v>0</v>
      </c>
      <c r="E271" s="75">
        <v>1</v>
      </c>
      <c r="F271" s="75" t="s">
        <v>611</v>
      </c>
      <c r="G271" s="75" t="s">
        <v>612</v>
      </c>
      <c r="H271" s="75"/>
      <c r="I271" s="75">
        <v>0</v>
      </c>
      <c r="J271" s="75" t="s">
        <v>2038</v>
      </c>
      <c r="K271" s="75" t="s">
        <v>1888</v>
      </c>
      <c r="L271" s="75">
        <v>300</v>
      </c>
      <c r="M271" s="75"/>
      <c r="N271" s="75" t="str">
        <f t="shared" si="13"/>
        <v>Status(RangeDamageRate, 300)</v>
      </c>
      <c r="O271" s="75">
        <v>0</v>
      </c>
      <c r="P271" s="75">
        <v>0</v>
      </c>
      <c r="Q271" s="75"/>
      <c r="R271" s="75" t="b">
        <v>0</v>
      </c>
    </row>
    <row r="272" spans="1:18">
      <c r="A272" s="75" t="s">
        <v>1918</v>
      </c>
      <c r="B272" s="75"/>
      <c r="C272" s="75"/>
      <c r="D272" s="75">
        <v>0</v>
      </c>
      <c r="E272" s="75">
        <v>1</v>
      </c>
      <c r="F272" s="75" t="s">
        <v>611</v>
      </c>
      <c r="G272" s="75" t="s">
        <v>612</v>
      </c>
      <c r="H272" s="75"/>
      <c r="I272" s="75">
        <v>0</v>
      </c>
      <c r="J272" s="75" t="s">
        <v>2038</v>
      </c>
      <c r="K272" s="75" t="s">
        <v>1888</v>
      </c>
      <c r="L272" s="75">
        <v>400</v>
      </c>
      <c r="M272" s="75"/>
      <c r="N272" s="75" t="str">
        <f t="shared" si="13"/>
        <v>Status(RangeDamageRate, 400)</v>
      </c>
      <c r="O272" s="75">
        <v>0</v>
      </c>
      <c r="P272" s="75">
        <v>0</v>
      </c>
      <c r="Q272" s="75"/>
      <c r="R272" s="75" t="b">
        <v>0</v>
      </c>
    </row>
    <row r="273" spans="1:18">
      <c r="A273" s="75" t="s">
        <v>1919</v>
      </c>
      <c r="B273" s="75"/>
      <c r="C273" s="75"/>
      <c r="D273" s="75">
        <v>0</v>
      </c>
      <c r="E273" s="75">
        <v>1</v>
      </c>
      <c r="F273" s="75" t="s">
        <v>611</v>
      </c>
      <c r="G273" s="75" t="s">
        <v>612</v>
      </c>
      <c r="H273" s="75"/>
      <c r="I273" s="75">
        <v>0</v>
      </c>
      <c r="J273" s="75" t="s">
        <v>2038</v>
      </c>
      <c r="K273" s="75" t="s">
        <v>1888</v>
      </c>
      <c r="L273" s="75">
        <v>500</v>
      </c>
      <c r="M273" s="75"/>
      <c r="N273" s="75" t="str">
        <f t="shared" si="13"/>
        <v>Status(RangeDamageRate, 500)</v>
      </c>
      <c r="O273" s="75">
        <v>0</v>
      </c>
      <c r="P273" s="75">
        <v>0</v>
      </c>
      <c r="Q273" s="75"/>
      <c r="R273" s="75" t="b">
        <v>0</v>
      </c>
    </row>
    <row r="274" spans="1:18">
      <c r="A274" s="75" t="s">
        <v>1971</v>
      </c>
      <c r="B274" s="75"/>
      <c r="C274" s="75"/>
      <c r="D274" s="75">
        <v>0</v>
      </c>
      <c r="E274" s="75">
        <v>1</v>
      </c>
      <c r="F274" s="75" t="s">
        <v>611</v>
      </c>
      <c r="G274" s="75" t="s">
        <v>612</v>
      </c>
      <c r="H274" s="75"/>
      <c r="I274" s="75">
        <v>0</v>
      </c>
      <c r="J274" s="75" t="s">
        <v>2038</v>
      </c>
      <c r="K274" s="75" t="s">
        <v>1888</v>
      </c>
      <c r="L274" s="75">
        <v>600</v>
      </c>
      <c r="M274" s="75"/>
      <c r="N274" s="75" t="str">
        <f t="shared" ref="N274:N278" si="15">J274&amp;"("&amp;IF(K274="","",K274)&amp;IF(L274="","",", "&amp;L274)&amp;IF(M274="","",", "&amp;M274)&amp;")"</f>
        <v>Status(RangeDamageRate, 600)</v>
      </c>
      <c r="O274" s="75">
        <v>0</v>
      </c>
      <c r="P274" s="75">
        <v>0</v>
      </c>
      <c r="Q274" s="75"/>
      <c r="R274" s="75" t="b">
        <v>0</v>
      </c>
    </row>
    <row r="275" spans="1:18">
      <c r="A275" s="75" t="s">
        <v>1972</v>
      </c>
      <c r="B275" s="75"/>
      <c r="C275" s="75"/>
      <c r="D275" s="75">
        <v>0</v>
      </c>
      <c r="E275" s="75">
        <v>1</v>
      </c>
      <c r="F275" s="75" t="s">
        <v>611</v>
      </c>
      <c r="G275" s="75" t="s">
        <v>612</v>
      </c>
      <c r="H275" s="75"/>
      <c r="I275" s="75">
        <v>0</v>
      </c>
      <c r="J275" s="75" t="s">
        <v>2038</v>
      </c>
      <c r="K275" s="75" t="s">
        <v>1888</v>
      </c>
      <c r="L275" s="75">
        <v>700</v>
      </c>
      <c r="M275" s="75"/>
      <c r="N275" s="75" t="str">
        <f t="shared" si="15"/>
        <v>Status(RangeDamageRate, 700)</v>
      </c>
      <c r="O275" s="75">
        <v>0</v>
      </c>
      <c r="P275" s="75">
        <v>0</v>
      </c>
      <c r="Q275" s="75"/>
      <c r="R275" s="75" t="b">
        <v>0</v>
      </c>
    </row>
    <row r="276" spans="1:18">
      <c r="A276" s="75" t="s">
        <v>1973</v>
      </c>
      <c r="B276" s="75"/>
      <c r="C276" s="75"/>
      <c r="D276" s="75">
        <v>0</v>
      </c>
      <c r="E276" s="75">
        <v>1</v>
      </c>
      <c r="F276" s="75" t="s">
        <v>611</v>
      </c>
      <c r="G276" s="75" t="s">
        <v>612</v>
      </c>
      <c r="H276" s="75"/>
      <c r="I276" s="75">
        <v>0</v>
      </c>
      <c r="J276" s="75" t="s">
        <v>2038</v>
      </c>
      <c r="K276" s="75" t="s">
        <v>1888</v>
      </c>
      <c r="L276" s="75">
        <v>800</v>
      </c>
      <c r="M276" s="75"/>
      <c r="N276" s="75" t="str">
        <f t="shared" si="15"/>
        <v>Status(RangeDamageRate, 800)</v>
      </c>
      <c r="O276" s="75">
        <v>0</v>
      </c>
      <c r="P276" s="75">
        <v>0</v>
      </c>
      <c r="Q276" s="75"/>
      <c r="R276" s="75" t="b">
        <v>0</v>
      </c>
    </row>
    <row r="277" spans="1:18">
      <c r="A277" s="75" t="s">
        <v>1974</v>
      </c>
      <c r="B277" s="75"/>
      <c r="C277" s="75"/>
      <c r="D277" s="75">
        <v>0</v>
      </c>
      <c r="E277" s="75">
        <v>1</v>
      </c>
      <c r="F277" s="75" t="s">
        <v>611</v>
      </c>
      <c r="G277" s="75" t="s">
        <v>612</v>
      </c>
      <c r="H277" s="75"/>
      <c r="I277" s="75">
        <v>0</v>
      </c>
      <c r="J277" s="75" t="s">
        <v>2038</v>
      </c>
      <c r="K277" s="75" t="s">
        <v>1888</v>
      </c>
      <c r="L277" s="75">
        <v>900</v>
      </c>
      <c r="M277" s="75"/>
      <c r="N277" s="75" t="str">
        <f t="shared" si="15"/>
        <v>Status(RangeDamageRate, 900)</v>
      </c>
      <c r="O277" s="75">
        <v>0</v>
      </c>
      <c r="P277" s="75">
        <v>0</v>
      </c>
      <c r="Q277" s="75"/>
      <c r="R277" s="75" t="b">
        <v>0</v>
      </c>
    </row>
    <row r="278" spans="1:18">
      <c r="A278" s="75" t="s">
        <v>1975</v>
      </c>
      <c r="B278" s="75"/>
      <c r="C278" s="75"/>
      <c r="D278" s="75">
        <v>0</v>
      </c>
      <c r="E278" s="75">
        <v>1</v>
      </c>
      <c r="F278" s="75" t="s">
        <v>611</v>
      </c>
      <c r="G278" s="75" t="s">
        <v>612</v>
      </c>
      <c r="H278" s="75"/>
      <c r="I278" s="75">
        <v>0</v>
      </c>
      <c r="J278" s="75" t="s">
        <v>2038</v>
      </c>
      <c r="K278" s="75" t="s">
        <v>1888</v>
      </c>
      <c r="L278" s="75">
        <v>1000</v>
      </c>
      <c r="M278" s="75"/>
      <c r="N278" s="75" t="str">
        <f t="shared" si="15"/>
        <v>Status(RangeDamageRate, 1000)</v>
      </c>
      <c r="O278" s="75">
        <v>0</v>
      </c>
      <c r="P278" s="75">
        <v>0</v>
      </c>
      <c r="Q278" s="75"/>
      <c r="R278" s="75" t="b">
        <v>0</v>
      </c>
    </row>
    <row r="279" spans="1:18">
      <c r="A279" s="72" t="s">
        <v>1920</v>
      </c>
      <c r="B279" s="72"/>
      <c r="C279" s="72"/>
      <c r="D279" s="72">
        <v>0</v>
      </c>
      <c r="E279" s="72">
        <v>1</v>
      </c>
      <c r="F279" s="72" t="s">
        <v>611</v>
      </c>
      <c r="G279" s="72" t="s">
        <v>612</v>
      </c>
      <c r="H279" s="72"/>
      <c r="I279" s="72">
        <v>0</v>
      </c>
      <c r="J279" s="72" t="s">
        <v>2038</v>
      </c>
      <c r="K279" s="72" t="s">
        <v>1889</v>
      </c>
      <c r="L279" s="72">
        <v>100</v>
      </c>
      <c r="M279" s="72"/>
      <c r="N279" s="72" t="str">
        <f t="shared" si="13"/>
        <v>Status(MeleeDamageRate, 100)</v>
      </c>
      <c r="O279" s="72">
        <v>0</v>
      </c>
      <c r="P279" s="72">
        <v>0</v>
      </c>
      <c r="Q279" s="72"/>
      <c r="R279" s="72" t="b">
        <v>0</v>
      </c>
    </row>
    <row r="280" spans="1:18">
      <c r="A280" s="72" t="s">
        <v>1921</v>
      </c>
      <c r="B280" s="72"/>
      <c r="C280" s="72"/>
      <c r="D280" s="72">
        <v>0</v>
      </c>
      <c r="E280" s="72">
        <v>1</v>
      </c>
      <c r="F280" s="72" t="s">
        <v>611</v>
      </c>
      <c r="G280" s="72" t="s">
        <v>612</v>
      </c>
      <c r="H280" s="72"/>
      <c r="I280" s="72">
        <v>0</v>
      </c>
      <c r="J280" s="72" t="s">
        <v>2038</v>
      </c>
      <c r="K280" s="72" t="s">
        <v>1889</v>
      </c>
      <c r="L280" s="72">
        <v>200</v>
      </c>
      <c r="M280" s="72"/>
      <c r="N280" s="72" t="str">
        <f t="shared" si="13"/>
        <v>Status(MeleeDamageRate, 200)</v>
      </c>
      <c r="O280" s="72">
        <v>0</v>
      </c>
      <c r="P280" s="72">
        <v>0</v>
      </c>
      <c r="Q280" s="72"/>
      <c r="R280" s="72" t="b">
        <v>0</v>
      </c>
    </row>
    <row r="281" spans="1:18">
      <c r="A281" s="72" t="s">
        <v>1922</v>
      </c>
      <c r="B281" s="72"/>
      <c r="C281" s="72"/>
      <c r="D281" s="72">
        <v>0</v>
      </c>
      <c r="E281" s="72">
        <v>1</v>
      </c>
      <c r="F281" s="72" t="s">
        <v>611</v>
      </c>
      <c r="G281" s="72" t="s">
        <v>612</v>
      </c>
      <c r="H281" s="72"/>
      <c r="I281" s="72">
        <v>0</v>
      </c>
      <c r="J281" s="72" t="s">
        <v>2038</v>
      </c>
      <c r="K281" s="72" t="s">
        <v>1889</v>
      </c>
      <c r="L281" s="72">
        <v>300</v>
      </c>
      <c r="M281" s="72"/>
      <c r="N281" s="72" t="str">
        <f t="shared" si="13"/>
        <v>Status(MeleeDamageRate, 300)</v>
      </c>
      <c r="O281" s="72">
        <v>0</v>
      </c>
      <c r="P281" s="72">
        <v>0</v>
      </c>
      <c r="Q281" s="72"/>
      <c r="R281" s="72" t="b">
        <v>0</v>
      </c>
    </row>
    <row r="282" spans="1:18">
      <c r="A282" s="72" t="s">
        <v>1923</v>
      </c>
      <c r="B282" s="72"/>
      <c r="C282" s="72"/>
      <c r="D282" s="72">
        <v>0</v>
      </c>
      <c r="E282" s="72">
        <v>1</v>
      </c>
      <c r="F282" s="72" t="s">
        <v>611</v>
      </c>
      <c r="G282" s="72" t="s">
        <v>612</v>
      </c>
      <c r="H282" s="72"/>
      <c r="I282" s="72">
        <v>0</v>
      </c>
      <c r="J282" s="72" t="s">
        <v>2038</v>
      </c>
      <c r="K282" s="72" t="s">
        <v>1889</v>
      </c>
      <c r="L282" s="72">
        <v>400</v>
      </c>
      <c r="M282" s="72"/>
      <c r="N282" s="72" t="str">
        <f t="shared" si="13"/>
        <v>Status(MeleeDamageRate, 400)</v>
      </c>
      <c r="O282" s="72">
        <v>0</v>
      </c>
      <c r="P282" s="72">
        <v>0</v>
      </c>
      <c r="Q282" s="72"/>
      <c r="R282" s="72" t="b">
        <v>0</v>
      </c>
    </row>
    <row r="283" spans="1:18">
      <c r="A283" s="72" t="s">
        <v>1924</v>
      </c>
      <c r="B283" s="72"/>
      <c r="C283" s="72"/>
      <c r="D283" s="72">
        <v>0</v>
      </c>
      <c r="E283" s="72">
        <v>1</v>
      </c>
      <c r="F283" s="72" t="s">
        <v>611</v>
      </c>
      <c r="G283" s="72" t="s">
        <v>612</v>
      </c>
      <c r="H283" s="72"/>
      <c r="I283" s="72">
        <v>0</v>
      </c>
      <c r="J283" s="72" t="s">
        <v>2038</v>
      </c>
      <c r="K283" s="72" t="s">
        <v>1889</v>
      </c>
      <c r="L283" s="72">
        <v>500</v>
      </c>
      <c r="M283" s="72"/>
      <c r="N283" s="72" t="str">
        <f t="shared" si="13"/>
        <v>Status(MeleeDamageRate, 500)</v>
      </c>
      <c r="O283" s="72">
        <v>0</v>
      </c>
      <c r="P283" s="72">
        <v>0</v>
      </c>
      <c r="Q283" s="72"/>
      <c r="R283" s="72" t="b">
        <v>0</v>
      </c>
    </row>
    <row r="284" spans="1:18">
      <c r="A284" s="72" t="s">
        <v>1976</v>
      </c>
      <c r="B284" s="72"/>
      <c r="C284" s="72"/>
      <c r="D284" s="72">
        <v>0</v>
      </c>
      <c r="E284" s="72">
        <v>1</v>
      </c>
      <c r="F284" s="72" t="s">
        <v>611</v>
      </c>
      <c r="G284" s="72" t="s">
        <v>612</v>
      </c>
      <c r="H284" s="72"/>
      <c r="I284" s="72">
        <v>0</v>
      </c>
      <c r="J284" s="72" t="s">
        <v>2038</v>
      </c>
      <c r="K284" s="72" t="s">
        <v>1889</v>
      </c>
      <c r="L284" s="72">
        <v>600</v>
      </c>
      <c r="M284" s="72"/>
      <c r="N284" s="72" t="str">
        <f t="shared" ref="N284:N288" si="16">J284&amp;"("&amp;IF(K284="","",K284)&amp;IF(L284="","",", "&amp;L284)&amp;IF(M284="","",", "&amp;M284)&amp;")"</f>
        <v>Status(MeleeDamageRate, 600)</v>
      </c>
      <c r="O284" s="72">
        <v>0</v>
      </c>
      <c r="P284" s="72">
        <v>0</v>
      </c>
      <c r="Q284" s="72"/>
      <c r="R284" s="72" t="b">
        <v>0</v>
      </c>
    </row>
    <row r="285" spans="1:18">
      <c r="A285" s="72" t="s">
        <v>1977</v>
      </c>
      <c r="B285" s="72"/>
      <c r="C285" s="72"/>
      <c r="D285" s="72">
        <v>0</v>
      </c>
      <c r="E285" s="72">
        <v>1</v>
      </c>
      <c r="F285" s="72" t="s">
        <v>611</v>
      </c>
      <c r="G285" s="72" t="s">
        <v>612</v>
      </c>
      <c r="H285" s="72"/>
      <c r="I285" s="72">
        <v>0</v>
      </c>
      <c r="J285" s="72" t="s">
        <v>2038</v>
      </c>
      <c r="K285" s="72" t="s">
        <v>1889</v>
      </c>
      <c r="L285" s="72">
        <v>700</v>
      </c>
      <c r="M285" s="72"/>
      <c r="N285" s="72" t="str">
        <f t="shared" si="16"/>
        <v>Status(MeleeDamageRate, 700)</v>
      </c>
      <c r="O285" s="72">
        <v>0</v>
      </c>
      <c r="P285" s="72">
        <v>0</v>
      </c>
      <c r="Q285" s="72"/>
      <c r="R285" s="72" t="b">
        <v>0</v>
      </c>
    </row>
    <row r="286" spans="1:18">
      <c r="A286" s="72" t="s">
        <v>1978</v>
      </c>
      <c r="B286" s="72"/>
      <c r="C286" s="72"/>
      <c r="D286" s="72">
        <v>0</v>
      </c>
      <c r="E286" s="72">
        <v>1</v>
      </c>
      <c r="F286" s="72" t="s">
        <v>611</v>
      </c>
      <c r="G286" s="72" t="s">
        <v>612</v>
      </c>
      <c r="H286" s="72"/>
      <c r="I286" s="72">
        <v>0</v>
      </c>
      <c r="J286" s="72" t="s">
        <v>2038</v>
      </c>
      <c r="K286" s="72" t="s">
        <v>1889</v>
      </c>
      <c r="L286" s="72">
        <v>800</v>
      </c>
      <c r="M286" s="72"/>
      <c r="N286" s="72" t="str">
        <f t="shared" si="16"/>
        <v>Status(MeleeDamageRate, 800)</v>
      </c>
      <c r="O286" s="72">
        <v>0</v>
      </c>
      <c r="P286" s="72">
        <v>0</v>
      </c>
      <c r="Q286" s="72"/>
      <c r="R286" s="72" t="b">
        <v>0</v>
      </c>
    </row>
    <row r="287" spans="1:18">
      <c r="A287" s="72" t="s">
        <v>1979</v>
      </c>
      <c r="B287" s="72"/>
      <c r="C287" s="72"/>
      <c r="D287" s="72">
        <v>0</v>
      </c>
      <c r="E287" s="72">
        <v>1</v>
      </c>
      <c r="F287" s="72" t="s">
        <v>611</v>
      </c>
      <c r="G287" s="72" t="s">
        <v>612</v>
      </c>
      <c r="H287" s="72"/>
      <c r="I287" s="72">
        <v>0</v>
      </c>
      <c r="J287" s="72" t="s">
        <v>2038</v>
      </c>
      <c r="K287" s="72" t="s">
        <v>1889</v>
      </c>
      <c r="L287" s="72">
        <v>900</v>
      </c>
      <c r="M287" s="72"/>
      <c r="N287" s="72" t="str">
        <f t="shared" si="16"/>
        <v>Status(MeleeDamageRate, 900)</v>
      </c>
      <c r="O287" s="72">
        <v>0</v>
      </c>
      <c r="P287" s="72">
        <v>0</v>
      </c>
      <c r="Q287" s="72"/>
      <c r="R287" s="72" t="b">
        <v>0</v>
      </c>
    </row>
    <row r="288" spans="1:18">
      <c r="A288" s="72" t="s">
        <v>1980</v>
      </c>
      <c r="B288" s="72"/>
      <c r="C288" s="72"/>
      <c r="D288" s="72">
        <v>0</v>
      </c>
      <c r="E288" s="72">
        <v>1</v>
      </c>
      <c r="F288" s="72" t="s">
        <v>611</v>
      </c>
      <c r="G288" s="72" t="s">
        <v>612</v>
      </c>
      <c r="H288" s="72"/>
      <c r="I288" s="72">
        <v>0</v>
      </c>
      <c r="J288" s="72" t="s">
        <v>2038</v>
      </c>
      <c r="K288" s="72" t="s">
        <v>1889</v>
      </c>
      <c r="L288" s="72">
        <v>1000</v>
      </c>
      <c r="M288" s="72"/>
      <c r="N288" s="72" t="str">
        <f t="shared" si="16"/>
        <v>Status(MeleeDamageRate, 1000)</v>
      </c>
      <c r="O288" s="72">
        <v>0</v>
      </c>
      <c r="P288" s="72">
        <v>0</v>
      </c>
      <c r="Q288" s="72"/>
      <c r="R288" s="72" t="b">
        <v>0</v>
      </c>
    </row>
    <row r="289" spans="1:18">
      <c r="A289" s="75" t="s">
        <v>1925</v>
      </c>
      <c r="B289" s="75"/>
      <c r="C289" s="75"/>
      <c r="D289" s="75">
        <v>0</v>
      </c>
      <c r="E289" s="75">
        <v>1</v>
      </c>
      <c r="F289" s="75" t="s">
        <v>611</v>
      </c>
      <c r="G289" s="75" t="s">
        <v>612</v>
      </c>
      <c r="H289" s="75"/>
      <c r="I289" s="75">
        <v>0</v>
      </c>
      <c r="J289" s="75" t="s">
        <v>2038</v>
      </c>
      <c r="K289" s="75" t="s">
        <v>1887</v>
      </c>
      <c r="L289" s="75">
        <v>150</v>
      </c>
      <c r="M289" s="75"/>
      <c r="N289" s="75" t="str">
        <f t="shared" si="13"/>
        <v>Status(DamageDerate, 150)</v>
      </c>
      <c r="O289" s="75">
        <v>0</v>
      </c>
      <c r="P289" s="75">
        <v>0</v>
      </c>
      <c r="Q289" s="75"/>
      <c r="R289" s="75" t="b">
        <v>0</v>
      </c>
    </row>
    <row r="290" spans="1:18">
      <c r="A290" s="75" t="s">
        <v>1926</v>
      </c>
      <c r="B290" s="75"/>
      <c r="C290" s="75"/>
      <c r="D290" s="75">
        <v>0</v>
      </c>
      <c r="E290" s="75">
        <v>1</v>
      </c>
      <c r="F290" s="75" t="s">
        <v>611</v>
      </c>
      <c r="G290" s="75" t="s">
        <v>612</v>
      </c>
      <c r="H290" s="75"/>
      <c r="I290" s="75">
        <v>0</v>
      </c>
      <c r="J290" s="75" t="s">
        <v>2038</v>
      </c>
      <c r="K290" s="75" t="s">
        <v>1887</v>
      </c>
      <c r="L290" s="75">
        <v>200</v>
      </c>
      <c r="M290" s="75"/>
      <c r="N290" s="75" t="str">
        <f t="shared" si="13"/>
        <v>Status(DamageDerate, 200)</v>
      </c>
      <c r="O290" s="75">
        <v>0</v>
      </c>
      <c r="P290" s="75">
        <v>0</v>
      </c>
      <c r="Q290" s="75"/>
      <c r="R290" s="75" t="b">
        <v>0</v>
      </c>
    </row>
    <row r="291" spans="1:18">
      <c r="A291" s="75" t="s">
        <v>1927</v>
      </c>
      <c r="B291" s="75"/>
      <c r="C291" s="75"/>
      <c r="D291" s="75">
        <v>0</v>
      </c>
      <c r="E291" s="75">
        <v>1</v>
      </c>
      <c r="F291" s="75" t="s">
        <v>611</v>
      </c>
      <c r="G291" s="75" t="s">
        <v>612</v>
      </c>
      <c r="H291" s="75"/>
      <c r="I291" s="75">
        <v>0</v>
      </c>
      <c r="J291" s="75" t="s">
        <v>2038</v>
      </c>
      <c r="K291" s="75" t="s">
        <v>1887</v>
      </c>
      <c r="L291" s="75">
        <v>250</v>
      </c>
      <c r="M291" s="75"/>
      <c r="N291" s="75" t="str">
        <f t="shared" si="13"/>
        <v>Status(DamageDerate, 250)</v>
      </c>
      <c r="O291" s="75">
        <v>0</v>
      </c>
      <c r="P291" s="75">
        <v>0</v>
      </c>
      <c r="Q291" s="75"/>
      <c r="R291" s="75" t="b">
        <v>0</v>
      </c>
    </row>
    <row r="292" spans="1:18">
      <c r="A292" s="75" t="s">
        <v>1928</v>
      </c>
      <c r="B292" s="75"/>
      <c r="C292" s="75"/>
      <c r="D292" s="75">
        <v>0</v>
      </c>
      <c r="E292" s="75">
        <v>1</v>
      </c>
      <c r="F292" s="75" t="s">
        <v>611</v>
      </c>
      <c r="G292" s="75" t="s">
        <v>612</v>
      </c>
      <c r="H292" s="75"/>
      <c r="I292" s="75">
        <v>0</v>
      </c>
      <c r="J292" s="75" t="s">
        <v>2038</v>
      </c>
      <c r="K292" s="75" t="s">
        <v>1887</v>
      </c>
      <c r="L292" s="75">
        <v>300</v>
      </c>
      <c r="M292" s="75"/>
      <c r="N292" s="75" t="str">
        <f t="shared" si="13"/>
        <v>Status(DamageDerate, 300)</v>
      </c>
      <c r="O292" s="75">
        <v>0</v>
      </c>
      <c r="P292" s="75">
        <v>0</v>
      </c>
      <c r="Q292" s="75"/>
      <c r="R292" s="75" t="b">
        <v>0</v>
      </c>
    </row>
    <row r="293" spans="1:18">
      <c r="A293" s="75" t="s">
        <v>1929</v>
      </c>
      <c r="B293" s="75"/>
      <c r="C293" s="75"/>
      <c r="D293" s="75">
        <v>0</v>
      </c>
      <c r="E293" s="75">
        <v>1</v>
      </c>
      <c r="F293" s="75" t="s">
        <v>611</v>
      </c>
      <c r="G293" s="75" t="s">
        <v>612</v>
      </c>
      <c r="H293" s="75"/>
      <c r="I293" s="75">
        <v>0</v>
      </c>
      <c r="J293" s="75" t="s">
        <v>2038</v>
      </c>
      <c r="K293" s="75" t="s">
        <v>1887</v>
      </c>
      <c r="L293" s="75">
        <v>350</v>
      </c>
      <c r="M293" s="75"/>
      <c r="N293" s="75" t="str">
        <f t="shared" si="13"/>
        <v>Status(DamageDerate, 350)</v>
      </c>
      <c r="O293" s="75">
        <v>0</v>
      </c>
      <c r="P293" s="75">
        <v>0</v>
      </c>
      <c r="Q293" s="75"/>
      <c r="R293" s="75" t="b">
        <v>0</v>
      </c>
    </row>
    <row r="294" spans="1:18">
      <c r="A294" s="75" t="s">
        <v>1981</v>
      </c>
      <c r="B294" s="75"/>
      <c r="C294" s="75"/>
      <c r="D294" s="75">
        <v>0</v>
      </c>
      <c r="E294" s="75">
        <v>1</v>
      </c>
      <c r="F294" s="75" t="s">
        <v>611</v>
      </c>
      <c r="G294" s="75" t="s">
        <v>612</v>
      </c>
      <c r="H294" s="75"/>
      <c r="I294" s="75">
        <v>0</v>
      </c>
      <c r="J294" s="75" t="s">
        <v>2038</v>
      </c>
      <c r="K294" s="75" t="s">
        <v>1887</v>
      </c>
      <c r="L294" s="75">
        <v>400</v>
      </c>
      <c r="M294" s="75"/>
      <c r="N294" s="75" t="str">
        <f t="shared" ref="N294:N298" si="17">J294&amp;"("&amp;IF(K294="","",K294)&amp;IF(L294="","",", "&amp;L294)&amp;IF(M294="","",", "&amp;M294)&amp;")"</f>
        <v>Status(DamageDerate, 400)</v>
      </c>
      <c r="O294" s="75">
        <v>0</v>
      </c>
      <c r="P294" s="75">
        <v>0</v>
      </c>
      <c r="Q294" s="75"/>
      <c r="R294" s="75" t="b">
        <v>0</v>
      </c>
    </row>
    <row r="295" spans="1:18">
      <c r="A295" s="75" t="s">
        <v>1982</v>
      </c>
      <c r="B295" s="75"/>
      <c r="C295" s="75"/>
      <c r="D295" s="75">
        <v>0</v>
      </c>
      <c r="E295" s="75">
        <v>1</v>
      </c>
      <c r="F295" s="75" t="s">
        <v>611</v>
      </c>
      <c r="G295" s="75" t="s">
        <v>612</v>
      </c>
      <c r="H295" s="75"/>
      <c r="I295" s="75">
        <v>0</v>
      </c>
      <c r="J295" s="75" t="s">
        <v>2038</v>
      </c>
      <c r="K295" s="75" t="s">
        <v>1887</v>
      </c>
      <c r="L295" s="75">
        <v>450</v>
      </c>
      <c r="M295" s="75"/>
      <c r="N295" s="75" t="str">
        <f t="shared" si="17"/>
        <v>Status(DamageDerate, 450)</v>
      </c>
      <c r="O295" s="75">
        <v>0</v>
      </c>
      <c r="P295" s="75">
        <v>0</v>
      </c>
      <c r="Q295" s="75"/>
      <c r="R295" s="75" t="b">
        <v>0</v>
      </c>
    </row>
    <row r="296" spans="1:18">
      <c r="A296" s="75" t="s">
        <v>1983</v>
      </c>
      <c r="B296" s="75"/>
      <c r="C296" s="75"/>
      <c r="D296" s="75">
        <v>0</v>
      </c>
      <c r="E296" s="75">
        <v>1</v>
      </c>
      <c r="F296" s="75" t="s">
        <v>611</v>
      </c>
      <c r="G296" s="75" t="s">
        <v>612</v>
      </c>
      <c r="H296" s="75"/>
      <c r="I296" s="75">
        <v>0</v>
      </c>
      <c r="J296" s="75" t="s">
        <v>2038</v>
      </c>
      <c r="K296" s="75" t="s">
        <v>1887</v>
      </c>
      <c r="L296" s="75">
        <v>500</v>
      </c>
      <c r="M296" s="75"/>
      <c r="N296" s="75" t="str">
        <f t="shared" si="17"/>
        <v>Status(DamageDerate, 500)</v>
      </c>
      <c r="O296" s="75">
        <v>0</v>
      </c>
      <c r="P296" s="75">
        <v>0</v>
      </c>
      <c r="Q296" s="75"/>
      <c r="R296" s="75" t="b">
        <v>0</v>
      </c>
    </row>
    <row r="297" spans="1:18">
      <c r="A297" s="75" t="s">
        <v>1984</v>
      </c>
      <c r="B297" s="75"/>
      <c r="C297" s="75"/>
      <c r="D297" s="75">
        <v>0</v>
      </c>
      <c r="E297" s="75">
        <v>1</v>
      </c>
      <c r="F297" s="75" t="s">
        <v>611</v>
      </c>
      <c r="G297" s="75" t="s">
        <v>612</v>
      </c>
      <c r="H297" s="75"/>
      <c r="I297" s="75">
        <v>0</v>
      </c>
      <c r="J297" s="75" t="s">
        <v>2038</v>
      </c>
      <c r="K297" s="75" t="s">
        <v>1887</v>
      </c>
      <c r="L297" s="75">
        <v>550</v>
      </c>
      <c r="M297" s="75"/>
      <c r="N297" s="75" t="str">
        <f t="shared" si="17"/>
        <v>Status(DamageDerate, 550)</v>
      </c>
      <c r="O297" s="75">
        <v>0</v>
      </c>
      <c r="P297" s="75">
        <v>0</v>
      </c>
      <c r="Q297" s="75"/>
      <c r="R297" s="75" t="b">
        <v>0</v>
      </c>
    </row>
    <row r="298" spans="1:18">
      <c r="A298" s="75" t="s">
        <v>1985</v>
      </c>
      <c r="B298" s="75"/>
      <c r="C298" s="75"/>
      <c r="D298" s="75">
        <v>0</v>
      </c>
      <c r="E298" s="75">
        <v>1</v>
      </c>
      <c r="F298" s="75" t="s">
        <v>611</v>
      </c>
      <c r="G298" s="75" t="s">
        <v>612</v>
      </c>
      <c r="H298" s="75"/>
      <c r="I298" s="75">
        <v>0</v>
      </c>
      <c r="J298" s="75" t="s">
        <v>2038</v>
      </c>
      <c r="K298" s="75" t="s">
        <v>1887</v>
      </c>
      <c r="L298" s="75">
        <v>600</v>
      </c>
      <c r="M298" s="75"/>
      <c r="N298" s="75" t="str">
        <f t="shared" si="17"/>
        <v>Status(DamageDerate, 600)</v>
      </c>
      <c r="O298" s="75">
        <v>0</v>
      </c>
      <c r="P298" s="75">
        <v>0</v>
      </c>
      <c r="Q298" s="75"/>
      <c r="R298" s="75" t="b">
        <v>0</v>
      </c>
    </row>
    <row r="299" spans="1:18">
      <c r="A299" s="65" t="s">
        <v>922</v>
      </c>
      <c r="B299" s="73"/>
      <c r="C299" s="73"/>
      <c r="D299" s="65">
        <v>0</v>
      </c>
      <c r="E299" s="65">
        <v>1</v>
      </c>
      <c r="F299" s="65" t="s">
        <v>611</v>
      </c>
      <c r="G299" s="65" t="s">
        <v>612</v>
      </c>
      <c r="H299" s="65"/>
      <c r="I299" s="65">
        <v>0</v>
      </c>
      <c r="J299" s="65" t="s">
        <v>1742</v>
      </c>
      <c r="K299" s="65" t="s">
        <v>791</v>
      </c>
      <c r="L299" s="65">
        <v>10</v>
      </c>
      <c r="M299" s="65"/>
      <c r="N299" s="65" t="str">
        <f t="shared" ref="N299:N334" si="18">J299&amp;"("&amp;IF(K299="","",K299)&amp;IF(L299="","",", "&amp;L299)&amp;IF(M299="","",", "&amp;M299)&amp;")"</f>
        <v>AttributeDamageRate(AttributePurple, 10)</v>
      </c>
      <c r="O299" s="65">
        <v>0</v>
      </c>
      <c r="P299" s="65">
        <v>0</v>
      </c>
      <c r="Q299" s="65"/>
      <c r="R299" s="65" t="b">
        <v>0</v>
      </c>
    </row>
    <row r="300" spans="1:18">
      <c r="A300" s="65" t="s">
        <v>923</v>
      </c>
      <c r="B300" s="73"/>
      <c r="C300" s="73"/>
      <c r="D300" s="65">
        <v>0</v>
      </c>
      <c r="E300" s="65">
        <v>1</v>
      </c>
      <c r="F300" s="65" t="s">
        <v>611</v>
      </c>
      <c r="G300" s="65" t="s">
        <v>612</v>
      </c>
      <c r="H300" s="65"/>
      <c r="I300" s="65">
        <v>0</v>
      </c>
      <c r="J300" s="65" t="s">
        <v>1742</v>
      </c>
      <c r="K300" s="65" t="s">
        <v>791</v>
      </c>
      <c r="L300" s="65">
        <v>10</v>
      </c>
      <c r="M300" s="65"/>
      <c r="N300" s="65" t="str">
        <f t="shared" si="18"/>
        <v>AttributeDamageRate(AttributePurple, 10)</v>
      </c>
      <c r="O300" s="65">
        <v>0</v>
      </c>
      <c r="P300" s="65">
        <v>0</v>
      </c>
      <c r="Q300" s="65"/>
      <c r="R300" s="65" t="b">
        <v>0</v>
      </c>
    </row>
    <row r="301" spans="1:18">
      <c r="A301" s="65" t="s">
        <v>924</v>
      </c>
      <c r="B301" s="73"/>
      <c r="C301" s="73"/>
      <c r="D301" s="65">
        <v>0</v>
      </c>
      <c r="E301" s="65">
        <v>1</v>
      </c>
      <c r="F301" s="65" t="s">
        <v>611</v>
      </c>
      <c r="G301" s="65" t="s">
        <v>612</v>
      </c>
      <c r="H301" s="65"/>
      <c r="I301" s="65">
        <v>0</v>
      </c>
      <c r="J301" s="65" t="s">
        <v>1742</v>
      </c>
      <c r="K301" s="65" t="s">
        <v>791</v>
      </c>
      <c r="L301" s="65">
        <v>20</v>
      </c>
      <c r="M301" s="65"/>
      <c r="N301" s="65" t="str">
        <f t="shared" si="18"/>
        <v>AttributeDamageRate(AttributePurple, 20)</v>
      </c>
      <c r="O301" s="65">
        <v>0</v>
      </c>
      <c r="P301" s="65">
        <v>0</v>
      </c>
      <c r="Q301" s="65"/>
      <c r="R301" s="65" t="b">
        <v>0</v>
      </c>
    </row>
    <row r="302" spans="1:18">
      <c r="A302" s="65" t="s">
        <v>925</v>
      </c>
      <c r="B302" s="73"/>
      <c r="C302" s="73"/>
      <c r="D302" s="65">
        <v>0</v>
      </c>
      <c r="E302" s="65">
        <v>1</v>
      </c>
      <c r="F302" s="65" t="s">
        <v>611</v>
      </c>
      <c r="G302" s="65" t="s">
        <v>612</v>
      </c>
      <c r="H302" s="65"/>
      <c r="I302" s="65">
        <v>0</v>
      </c>
      <c r="J302" s="65" t="s">
        <v>1742</v>
      </c>
      <c r="K302" s="65" t="s">
        <v>791</v>
      </c>
      <c r="L302" s="65">
        <v>20</v>
      </c>
      <c r="M302" s="65"/>
      <c r="N302" s="65" t="str">
        <f t="shared" si="18"/>
        <v>AttributeDamageRate(AttributePurple, 20)</v>
      </c>
      <c r="O302" s="65">
        <v>0</v>
      </c>
      <c r="P302" s="65">
        <v>0</v>
      </c>
      <c r="Q302" s="65"/>
      <c r="R302" s="65" t="b">
        <v>0</v>
      </c>
    </row>
    <row r="303" spans="1:18">
      <c r="A303" s="65" t="s">
        <v>926</v>
      </c>
      <c r="B303" s="65"/>
      <c r="C303" s="65"/>
      <c r="D303" s="65">
        <v>0</v>
      </c>
      <c r="E303" s="65">
        <v>1</v>
      </c>
      <c r="F303" s="65" t="s">
        <v>611</v>
      </c>
      <c r="G303" s="65" t="s">
        <v>612</v>
      </c>
      <c r="H303" s="65"/>
      <c r="I303" s="65">
        <v>0</v>
      </c>
      <c r="J303" s="65" t="s">
        <v>1742</v>
      </c>
      <c r="K303" s="65" t="s">
        <v>791</v>
      </c>
      <c r="L303" s="65">
        <v>30</v>
      </c>
      <c r="M303" s="65"/>
      <c r="N303" s="65" t="str">
        <f t="shared" si="18"/>
        <v>AttributeDamageRate(AttributePurple, 30)</v>
      </c>
      <c r="O303" s="65">
        <v>0</v>
      </c>
      <c r="P303" s="65">
        <v>0</v>
      </c>
      <c r="Q303" s="65"/>
      <c r="R303" s="65" t="b">
        <v>0</v>
      </c>
    </row>
    <row r="304" spans="1:18">
      <c r="A304" s="65" t="s">
        <v>927</v>
      </c>
      <c r="B304" s="65"/>
      <c r="C304" s="65"/>
      <c r="D304" s="65">
        <v>0</v>
      </c>
      <c r="E304" s="65">
        <v>1</v>
      </c>
      <c r="F304" s="65" t="s">
        <v>611</v>
      </c>
      <c r="G304" s="65" t="s">
        <v>612</v>
      </c>
      <c r="H304" s="65"/>
      <c r="I304" s="65">
        <v>0</v>
      </c>
      <c r="J304" s="65" t="s">
        <v>1742</v>
      </c>
      <c r="K304" s="65" t="s">
        <v>791</v>
      </c>
      <c r="L304" s="65">
        <v>30</v>
      </c>
      <c r="M304" s="65"/>
      <c r="N304" s="65" t="str">
        <f t="shared" si="18"/>
        <v>AttributeDamageRate(AttributePurple, 30)</v>
      </c>
      <c r="O304" s="65">
        <v>0</v>
      </c>
      <c r="P304" s="65">
        <v>0</v>
      </c>
      <c r="Q304" s="65"/>
      <c r="R304" s="65" t="b">
        <v>0</v>
      </c>
    </row>
    <row r="305" spans="1:18">
      <c r="A305" s="65" t="s">
        <v>928</v>
      </c>
      <c r="B305" s="65"/>
      <c r="C305" s="65"/>
      <c r="D305" s="65">
        <v>0</v>
      </c>
      <c r="E305" s="65">
        <v>1</v>
      </c>
      <c r="F305" s="65" t="s">
        <v>611</v>
      </c>
      <c r="G305" s="65" t="s">
        <v>612</v>
      </c>
      <c r="H305" s="65"/>
      <c r="I305" s="65">
        <v>0</v>
      </c>
      <c r="J305" s="65" t="s">
        <v>1742</v>
      </c>
      <c r="K305" s="65" t="s">
        <v>791</v>
      </c>
      <c r="L305" s="65">
        <v>40</v>
      </c>
      <c r="M305" s="65"/>
      <c r="N305" s="65" t="str">
        <f t="shared" si="18"/>
        <v>AttributeDamageRate(AttributePurple, 40)</v>
      </c>
      <c r="O305" s="65">
        <v>0</v>
      </c>
      <c r="P305" s="65">
        <v>0</v>
      </c>
      <c r="Q305" s="65"/>
      <c r="R305" s="65" t="b">
        <v>0</v>
      </c>
    </row>
    <row r="306" spans="1:18">
      <c r="A306" s="65" t="s">
        <v>929</v>
      </c>
      <c r="B306" s="65"/>
      <c r="C306" s="65"/>
      <c r="D306" s="65">
        <v>0</v>
      </c>
      <c r="E306" s="65">
        <v>1</v>
      </c>
      <c r="F306" s="65" t="s">
        <v>611</v>
      </c>
      <c r="G306" s="65" t="s">
        <v>612</v>
      </c>
      <c r="H306" s="65"/>
      <c r="I306" s="65">
        <v>0</v>
      </c>
      <c r="J306" s="65" t="s">
        <v>1742</v>
      </c>
      <c r="K306" s="65" t="s">
        <v>791</v>
      </c>
      <c r="L306" s="65">
        <v>40</v>
      </c>
      <c r="M306" s="65"/>
      <c r="N306" s="65" t="str">
        <f t="shared" si="18"/>
        <v>AttributeDamageRate(AttributePurple, 40)</v>
      </c>
      <c r="O306" s="65">
        <v>0</v>
      </c>
      <c r="P306" s="65">
        <v>0</v>
      </c>
      <c r="Q306" s="65"/>
      <c r="R306" s="65" t="b">
        <v>0</v>
      </c>
    </row>
    <row r="307" spans="1:18">
      <c r="A307" s="65" t="s">
        <v>930</v>
      </c>
      <c r="B307" s="65"/>
      <c r="C307" s="65"/>
      <c r="D307" s="65">
        <v>0</v>
      </c>
      <c r="E307" s="65">
        <v>1</v>
      </c>
      <c r="F307" s="65" t="s">
        <v>611</v>
      </c>
      <c r="G307" s="65" t="s">
        <v>612</v>
      </c>
      <c r="H307" s="65"/>
      <c r="I307" s="65">
        <v>0</v>
      </c>
      <c r="J307" s="65" t="s">
        <v>1742</v>
      </c>
      <c r="K307" s="65" t="s">
        <v>791</v>
      </c>
      <c r="L307" s="65">
        <v>50</v>
      </c>
      <c r="M307" s="65"/>
      <c r="N307" s="65" t="str">
        <f t="shared" si="18"/>
        <v>AttributeDamageRate(AttributePurple, 50)</v>
      </c>
      <c r="O307" s="65">
        <v>0</v>
      </c>
      <c r="P307" s="65">
        <v>0</v>
      </c>
      <c r="Q307" s="65"/>
      <c r="R307" s="65" t="b">
        <v>0</v>
      </c>
    </row>
    <row r="308" spans="1:18">
      <c r="A308" s="65" t="s">
        <v>931</v>
      </c>
      <c r="B308" s="65"/>
      <c r="C308" s="65"/>
      <c r="D308" s="65">
        <v>0</v>
      </c>
      <c r="E308" s="65">
        <v>1</v>
      </c>
      <c r="F308" s="65" t="s">
        <v>611</v>
      </c>
      <c r="G308" s="65" t="s">
        <v>612</v>
      </c>
      <c r="H308" s="65"/>
      <c r="I308" s="65">
        <v>0</v>
      </c>
      <c r="J308" s="65" t="s">
        <v>1742</v>
      </c>
      <c r="K308" s="65" t="s">
        <v>791</v>
      </c>
      <c r="L308" s="65">
        <v>50</v>
      </c>
      <c r="M308" s="65"/>
      <c r="N308" s="65" t="str">
        <f t="shared" si="18"/>
        <v>AttributeDamageRate(AttributePurple, 50)</v>
      </c>
      <c r="O308" s="65">
        <v>0</v>
      </c>
      <c r="P308" s="65">
        <v>0</v>
      </c>
      <c r="Q308" s="65"/>
      <c r="R308" s="65" t="b">
        <v>0</v>
      </c>
    </row>
    <row r="309" spans="1:18">
      <c r="A309" s="65" t="s">
        <v>932</v>
      </c>
      <c r="B309" s="65"/>
      <c r="C309" s="65"/>
      <c r="D309" s="65">
        <v>0</v>
      </c>
      <c r="E309" s="65">
        <v>1</v>
      </c>
      <c r="F309" s="65" t="s">
        <v>611</v>
      </c>
      <c r="G309" s="65" t="s">
        <v>612</v>
      </c>
      <c r="H309" s="65"/>
      <c r="I309" s="65">
        <v>0</v>
      </c>
      <c r="J309" s="65" t="s">
        <v>1742</v>
      </c>
      <c r="K309" s="65" t="s">
        <v>791</v>
      </c>
      <c r="L309" s="65">
        <v>60.000000000000007</v>
      </c>
      <c r="M309" s="65"/>
      <c r="N309" s="65" t="str">
        <f t="shared" si="18"/>
        <v>AttributeDamageRate(AttributePurple, 60)</v>
      </c>
      <c r="O309" s="65">
        <v>0</v>
      </c>
      <c r="P309" s="65">
        <v>0</v>
      </c>
      <c r="Q309" s="65"/>
      <c r="R309" s="65" t="b">
        <v>0</v>
      </c>
    </row>
    <row r="310" spans="1:18">
      <c r="A310" s="65" t="s">
        <v>933</v>
      </c>
      <c r="B310" s="65"/>
      <c r="C310" s="65"/>
      <c r="D310" s="65">
        <v>0</v>
      </c>
      <c r="E310" s="65">
        <v>1</v>
      </c>
      <c r="F310" s="65" t="s">
        <v>611</v>
      </c>
      <c r="G310" s="65" t="s">
        <v>612</v>
      </c>
      <c r="H310" s="65"/>
      <c r="I310" s="65">
        <v>0</v>
      </c>
      <c r="J310" s="65" t="s">
        <v>1742</v>
      </c>
      <c r="K310" s="65" t="s">
        <v>791</v>
      </c>
      <c r="L310" s="65">
        <v>60.000000000000007</v>
      </c>
      <c r="M310" s="65"/>
      <c r="N310" s="65" t="str">
        <f t="shared" si="18"/>
        <v>AttributeDamageRate(AttributePurple, 60)</v>
      </c>
      <c r="O310" s="65">
        <v>0</v>
      </c>
      <c r="P310" s="65">
        <v>0</v>
      </c>
      <c r="Q310" s="65"/>
      <c r="R310" s="65" t="b">
        <v>0</v>
      </c>
    </row>
    <row r="311" spans="1:18">
      <c r="A311" s="65" t="s">
        <v>934</v>
      </c>
      <c r="B311" s="65"/>
      <c r="C311" s="65"/>
      <c r="D311" s="65">
        <v>0</v>
      </c>
      <c r="E311" s="65">
        <v>1</v>
      </c>
      <c r="F311" s="65" t="s">
        <v>611</v>
      </c>
      <c r="G311" s="65" t="s">
        <v>612</v>
      </c>
      <c r="H311" s="65"/>
      <c r="I311" s="65">
        <v>0</v>
      </c>
      <c r="J311" s="65" t="s">
        <v>1742</v>
      </c>
      <c r="K311" s="65" t="s">
        <v>791</v>
      </c>
      <c r="L311" s="65">
        <v>70</v>
      </c>
      <c r="M311" s="65"/>
      <c r="N311" s="65" t="str">
        <f t="shared" si="18"/>
        <v>AttributeDamageRate(AttributePurple, 70)</v>
      </c>
      <c r="O311" s="65">
        <v>0</v>
      </c>
      <c r="P311" s="65">
        <v>0</v>
      </c>
      <c r="Q311" s="65"/>
      <c r="R311" s="65" t="b">
        <v>0</v>
      </c>
    </row>
    <row r="312" spans="1:18">
      <c r="A312" s="65" t="s">
        <v>935</v>
      </c>
      <c r="B312" s="65"/>
      <c r="C312" s="65"/>
      <c r="D312" s="65">
        <v>0</v>
      </c>
      <c r="E312" s="65">
        <v>1</v>
      </c>
      <c r="F312" s="65" t="s">
        <v>611</v>
      </c>
      <c r="G312" s="65" t="s">
        <v>612</v>
      </c>
      <c r="H312" s="65"/>
      <c r="I312" s="65">
        <v>0</v>
      </c>
      <c r="J312" s="65" t="s">
        <v>1742</v>
      </c>
      <c r="K312" s="65" t="s">
        <v>791</v>
      </c>
      <c r="L312" s="65">
        <v>70</v>
      </c>
      <c r="M312" s="65"/>
      <c r="N312" s="65" t="str">
        <f t="shared" si="18"/>
        <v>AttributeDamageRate(AttributePurple, 70)</v>
      </c>
      <c r="O312" s="65">
        <v>0</v>
      </c>
      <c r="P312" s="65">
        <v>0</v>
      </c>
      <c r="Q312" s="65"/>
      <c r="R312" s="65" t="b">
        <v>0</v>
      </c>
    </row>
    <row r="313" spans="1:18">
      <c r="A313" s="65" t="s">
        <v>936</v>
      </c>
      <c r="B313" s="65"/>
      <c r="C313" s="65"/>
      <c r="D313" s="65">
        <v>0</v>
      </c>
      <c r="E313" s="65">
        <v>1</v>
      </c>
      <c r="F313" s="65" t="s">
        <v>611</v>
      </c>
      <c r="G313" s="65" t="s">
        <v>612</v>
      </c>
      <c r="H313" s="65"/>
      <c r="I313" s="65">
        <v>0</v>
      </c>
      <c r="J313" s="65" t="s">
        <v>1742</v>
      </c>
      <c r="K313" s="65" t="s">
        <v>791</v>
      </c>
      <c r="L313" s="65">
        <v>80</v>
      </c>
      <c r="M313" s="65"/>
      <c r="N313" s="65" t="str">
        <f t="shared" si="18"/>
        <v>AttributeDamageRate(AttributePurple, 80)</v>
      </c>
      <c r="O313" s="65">
        <v>0</v>
      </c>
      <c r="P313" s="65">
        <v>0</v>
      </c>
      <c r="Q313" s="65"/>
      <c r="R313" s="65" t="b">
        <v>0</v>
      </c>
    </row>
    <row r="314" spans="1:18">
      <c r="A314" s="65" t="s">
        <v>937</v>
      </c>
      <c r="B314" s="65"/>
      <c r="C314" s="65"/>
      <c r="D314" s="65">
        <v>0</v>
      </c>
      <c r="E314" s="65">
        <v>1</v>
      </c>
      <c r="F314" s="65" t="s">
        <v>611</v>
      </c>
      <c r="G314" s="65" t="s">
        <v>612</v>
      </c>
      <c r="H314" s="65"/>
      <c r="I314" s="65">
        <v>0</v>
      </c>
      <c r="J314" s="65" t="s">
        <v>1742</v>
      </c>
      <c r="K314" s="65" t="s">
        <v>791</v>
      </c>
      <c r="L314" s="65">
        <v>80</v>
      </c>
      <c r="M314" s="65"/>
      <c r="N314" s="65" t="str">
        <f t="shared" si="18"/>
        <v>AttributeDamageRate(AttributePurple, 80)</v>
      </c>
      <c r="O314" s="65">
        <v>0</v>
      </c>
      <c r="P314" s="65">
        <v>0</v>
      </c>
      <c r="Q314" s="65"/>
      <c r="R314" s="65" t="b">
        <v>0</v>
      </c>
    </row>
    <row r="315" spans="1:18">
      <c r="A315" s="65" t="s">
        <v>938</v>
      </c>
      <c r="B315" s="65"/>
      <c r="C315" s="65"/>
      <c r="D315" s="65">
        <v>0</v>
      </c>
      <c r="E315" s="65">
        <v>1</v>
      </c>
      <c r="F315" s="65" t="s">
        <v>611</v>
      </c>
      <c r="G315" s="65" t="s">
        <v>612</v>
      </c>
      <c r="H315" s="65"/>
      <c r="I315" s="65">
        <v>0</v>
      </c>
      <c r="J315" s="65" t="s">
        <v>1742</v>
      </c>
      <c r="K315" s="65" t="s">
        <v>791</v>
      </c>
      <c r="L315" s="65">
        <v>90</v>
      </c>
      <c r="M315" s="65"/>
      <c r="N315" s="65" t="str">
        <f t="shared" si="18"/>
        <v>AttributeDamageRate(AttributePurple, 90)</v>
      </c>
      <c r="O315" s="65">
        <v>0</v>
      </c>
      <c r="P315" s="65">
        <v>0</v>
      </c>
      <c r="Q315" s="65"/>
      <c r="R315" s="65" t="b">
        <v>0</v>
      </c>
    </row>
    <row r="316" spans="1:18">
      <c r="A316" s="65" t="s">
        <v>939</v>
      </c>
      <c r="B316" s="65"/>
      <c r="C316" s="65"/>
      <c r="D316" s="65">
        <v>0</v>
      </c>
      <c r="E316" s="65">
        <v>1</v>
      </c>
      <c r="F316" s="65" t="s">
        <v>611</v>
      </c>
      <c r="G316" s="65" t="s">
        <v>612</v>
      </c>
      <c r="H316" s="65"/>
      <c r="I316" s="65">
        <v>0</v>
      </c>
      <c r="J316" s="65" t="s">
        <v>1742</v>
      </c>
      <c r="K316" s="65" t="s">
        <v>791</v>
      </c>
      <c r="L316" s="65">
        <v>90</v>
      </c>
      <c r="M316" s="65"/>
      <c r="N316" s="65" t="str">
        <f t="shared" si="18"/>
        <v>AttributeDamageRate(AttributePurple, 90)</v>
      </c>
      <c r="O316" s="65">
        <v>0</v>
      </c>
      <c r="P316" s="65">
        <v>0</v>
      </c>
      <c r="Q316" s="65"/>
      <c r="R316" s="65" t="b">
        <v>0</v>
      </c>
    </row>
    <row r="317" spans="1:18">
      <c r="A317" s="65" t="s">
        <v>940</v>
      </c>
      <c r="B317" s="65"/>
      <c r="C317" s="65"/>
      <c r="D317" s="65">
        <v>0</v>
      </c>
      <c r="E317" s="65">
        <v>1</v>
      </c>
      <c r="F317" s="65" t="s">
        <v>611</v>
      </c>
      <c r="G317" s="65" t="s">
        <v>612</v>
      </c>
      <c r="H317" s="65"/>
      <c r="I317" s="65">
        <v>0</v>
      </c>
      <c r="J317" s="65" t="s">
        <v>1742</v>
      </c>
      <c r="K317" s="65" t="s">
        <v>791</v>
      </c>
      <c r="L317" s="65">
        <v>99.999999999999986</v>
      </c>
      <c r="M317" s="65"/>
      <c r="N317" s="65" t="str">
        <f t="shared" si="18"/>
        <v>AttributeDamageRate(AttributePurple, 100)</v>
      </c>
      <c r="O317" s="65">
        <v>0</v>
      </c>
      <c r="P317" s="65">
        <v>0</v>
      </c>
      <c r="Q317" s="65"/>
      <c r="R317" s="65" t="b">
        <v>0</v>
      </c>
    </row>
    <row r="318" spans="1:18">
      <c r="A318" s="65" t="s">
        <v>941</v>
      </c>
      <c r="B318" s="65"/>
      <c r="C318" s="65"/>
      <c r="D318" s="65">
        <v>0</v>
      </c>
      <c r="E318" s="65">
        <v>1</v>
      </c>
      <c r="F318" s="65" t="s">
        <v>611</v>
      </c>
      <c r="G318" s="65" t="s">
        <v>612</v>
      </c>
      <c r="H318" s="65"/>
      <c r="I318" s="65">
        <v>0</v>
      </c>
      <c r="J318" s="65" t="s">
        <v>1742</v>
      </c>
      <c r="K318" s="65" t="s">
        <v>791</v>
      </c>
      <c r="L318" s="65">
        <v>99.999999999999986</v>
      </c>
      <c r="M318" s="65"/>
      <c r="N318" s="65" t="str">
        <f t="shared" si="18"/>
        <v>AttributeDamageRate(AttributePurple, 100)</v>
      </c>
      <c r="O318" s="65">
        <v>0</v>
      </c>
      <c r="P318" s="65">
        <v>0</v>
      </c>
      <c r="Q318" s="65"/>
      <c r="R318" s="65" t="b">
        <v>0</v>
      </c>
    </row>
    <row r="319" spans="1:18">
      <c r="A319" s="65" t="s">
        <v>942</v>
      </c>
      <c r="B319" s="65"/>
      <c r="C319" s="65"/>
      <c r="D319" s="65">
        <v>0</v>
      </c>
      <c r="E319" s="65">
        <v>1</v>
      </c>
      <c r="F319" s="65" t="s">
        <v>611</v>
      </c>
      <c r="G319" s="65" t="s">
        <v>612</v>
      </c>
      <c r="H319" s="65"/>
      <c r="I319" s="65">
        <v>0</v>
      </c>
      <c r="J319" s="65" t="s">
        <v>1742</v>
      </c>
      <c r="K319" s="65" t="s">
        <v>791</v>
      </c>
      <c r="L319" s="65">
        <v>109.99999999999999</v>
      </c>
      <c r="M319" s="65"/>
      <c r="N319" s="65" t="str">
        <f t="shared" si="18"/>
        <v>AttributeDamageRate(AttributePurple, 110)</v>
      </c>
      <c r="O319" s="65">
        <v>0</v>
      </c>
      <c r="P319" s="65">
        <v>0</v>
      </c>
      <c r="Q319" s="65"/>
      <c r="R319" s="65" t="b">
        <v>0</v>
      </c>
    </row>
    <row r="320" spans="1:18">
      <c r="A320" s="65" t="s">
        <v>943</v>
      </c>
      <c r="B320" s="65"/>
      <c r="C320" s="65"/>
      <c r="D320" s="65">
        <v>0</v>
      </c>
      <c r="E320" s="65">
        <v>1</v>
      </c>
      <c r="F320" s="65" t="s">
        <v>611</v>
      </c>
      <c r="G320" s="65" t="s">
        <v>612</v>
      </c>
      <c r="H320" s="65"/>
      <c r="I320" s="65">
        <v>0</v>
      </c>
      <c r="J320" s="65" t="s">
        <v>1742</v>
      </c>
      <c r="K320" s="65" t="s">
        <v>791</v>
      </c>
      <c r="L320" s="65">
        <v>109.99999999999999</v>
      </c>
      <c r="M320" s="65"/>
      <c r="N320" s="65" t="str">
        <f t="shared" si="18"/>
        <v>AttributeDamageRate(AttributePurple, 110)</v>
      </c>
      <c r="O320" s="65">
        <v>0</v>
      </c>
      <c r="P320" s="65">
        <v>0</v>
      </c>
      <c r="Q320" s="65"/>
      <c r="R320" s="65" t="b">
        <v>0</v>
      </c>
    </row>
    <row r="321" spans="1:18">
      <c r="A321" s="65" t="s">
        <v>944</v>
      </c>
      <c r="B321" s="65"/>
      <c r="C321" s="65"/>
      <c r="D321" s="65">
        <v>0</v>
      </c>
      <c r="E321" s="65">
        <v>1</v>
      </c>
      <c r="F321" s="65" t="s">
        <v>611</v>
      </c>
      <c r="G321" s="65" t="s">
        <v>612</v>
      </c>
      <c r="H321" s="65"/>
      <c r="I321" s="65">
        <v>0</v>
      </c>
      <c r="J321" s="65" t="s">
        <v>1742</v>
      </c>
      <c r="K321" s="65" t="s">
        <v>791</v>
      </c>
      <c r="L321" s="65">
        <v>119.99999999999999</v>
      </c>
      <c r="M321" s="65"/>
      <c r="N321" s="65" t="str">
        <f t="shared" si="18"/>
        <v>AttributeDamageRate(AttributePurple, 120)</v>
      </c>
      <c r="O321" s="65">
        <v>0</v>
      </c>
      <c r="P321" s="65">
        <v>0</v>
      </c>
      <c r="Q321" s="65"/>
      <c r="R321" s="65" t="b">
        <v>0</v>
      </c>
    </row>
    <row r="322" spans="1:18">
      <c r="A322" s="65" t="s">
        <v>945</v>
      </c>
      <c r="B322" s="65"/>
      <c r="C322" s="65"/>
      <c r="D322" s="65">
        <v>0</v>
      </c>
      <c r="E322" s="65">
        <v>1</v>
      </c>
      <c r="F322" s="65" t="s">
        <v>611</v>
      </c>
      <c r="G322" s="65" t="s">
        <v>612</v>
      </c>
      <c r="H322" s="65"/>
      <c r="I322" s="65">
        <v>0</v>
      </c>
      <c r="J322" s="65" t="s">
        <v>1742</v>
      </c>
      <c r="K322" s="65" t="s">
        <v>791</v>
      </c>
      <c r="L322" s="65">
        <v>119.99999999999999</v>
      </c>
      <c r="M322" s="65"/>
      <c r="N322" s="65" t="str">
        <f t="shared" si="18"/>
        <v>AttributeDamageRate(AttributePurple, 120)</v>
      </c>
      <c r="O322" s="65">
        <v>0</v>
      </c>
      <c r="P322" s="65">
        <v>0</v>
      </c>
      <c r="Q322" s="65"/>
      <c r="R322" s="65" t="b">
        <v>0</v>
      </c>
    </row>
    <row r="323" spans="1:18">
      <c r="A323" s="65" t="s">
        <v>946</v>
      </c>
      <c r="B323" s="65"/>
      <c r="C323" s="65"/>
      <c r="D323" s="65">
        <v>0</v>
      </c>
      <c r="E323" s="65">
        <v>1</v>
      </c>
      <c r="F323" s="65" t="s">
        <v>611</v>
      </c>
      <c r="G323" s="65" t="s">
        <v>612</v>
      </c>
      <c r="H323" s="65"/>
      <c r="I323" s="65">
        <v>0</v>
      </c>
      <c r="J323" s="65" t="s">
        <v>1742</v>
      </c>
      <c r="K323" s="65" t="s">
        <v>791</v>
      </c>
      <c r="L323" s="65">
        <v>129.99999999999997</v>
      </c>
      <c r="M323" s="65"/>
      <c r="N323" s="65" t="str">
        <f t="shared" si="18"/>
        <v>AttributeDamageRate(AttributePurple, 130)</v>
      </c>
      <c r="O323" s="65">
        <v>0</v>
      </c>
      <c r="P323" s="65">
        <v>0</v>
      </c>
      <c r="Q323" s="65"/>
      <c r="R323" s="65" t="b">
        <v>0</v>
      </c>
    </row>
    <row r="324" spans="1:18">
      <c r="A324" s="65" t="s">
        <v>947</v>
      </c>
      <c r="B324" s="65"/>
      <c r="C324" s="65"/>
      <c r="D324" s="65">
        <v>0</v>
      </c>
      <c r="E324" s="65">
        <v>1</v>
      </c>
      <c r="F324" s="65" t="s">
        <v>611</v>
      </c>
      <c r="G324" s="65" t="s">
        <v>612</v>
      </c>
      <c r="H324" s="65"/>
      <c r="I324" s="65">
        <v>0</v>
      </c>
      <c r="J324" s="65" t="s">
        <v>1742</v>
      </c>
      <c r="K324" s="65" t="s">
        <v>791</v>
      </c>
      <c r="L324" s="65">
        <v>129.99999999999997</v>
      </c>
      <c r="M324" s="65"/>
      <c r="N324" s="65" t="str">
        <f t="shared" si="18"/>
        <v>AttributeDamageRate(AttributePurple, 130)</v>
      </c>
      <c r="O324" s="65">
        <v>0</v>
      </c>
      <c r="P324" s="65">
        <v>0</v>
      </c>
      <c r="Q324" s="65"/>
      <c r="R324" s="65" t="b">
        <v>0</v>
      </c>
    </row>
    <row r="325" spans="1:18">
      <c r="A325" s="65" t="s">
        <v>948</v>
      </c>
      <c r="B325" s="65"/>
      <c r="C325" s="65"/>
      <c r="D325" s="65">
        <v>0</v>
      </c>
      <c r="E325" s="65">
        <v>1</v>
      </c>
      <c r="F325" s="65" t="s">
        <v>611</v>
      </c>
      <c r="G325" s="65" t="s">
        <v>612</v>
      </c>
      <c r="H325" s="65"/>
      <c r="I325" s="65">
        <v>0</v>
      </c>
      <c r="J325" s="65" t="s">
        <v>1742</v>
      </c>
      <c r="K325" s="65" t="s">
        <v>791</v>
      </c>
      <c r="L325" s="65">
        <v>139.99999999999997</v>
      </c>
      <c r="M325" s="65"/>
      <c r="N325" s="65" t="str">
        <f t="shared" si="18"/>
        <v>AttributeDamageRate(AttributePurple, 140)</v>
      </c>
      <c r="O325" s="65">
        <v>0</v>
      </c>
      <c r="P325" s="65">
        <v>0</v>
      </c>
      <c r="Q325" s="65"/>
      <c r="R325" s="65" t="b">
        <v>0</v>
      </c>
    </row>
    <row r="326" spans="1:18">
      <c r="A326" s="65" t="s">
        <v>949</v>
      </c>
      <c r="B326" s="65"/>
      <c r="C326" s="65"/>
      <c r="D326" s="65">
        <v>0</v>
      </c>
      <c r="E326" s="65">
        <v>1</v>
      </c>
      <c r="F326" s="65" t="s">
        <v>611</v>
      </c>
      <c r="G326" s="65" t="s">
        <v>612</v>
      </c>
      <c r="H326" s="65"/>
      <c r="I326" s="65">
        <v>0</v>
      </c>
      <c r="J326" s="65" t="s">
        <v>1742</v>
      </c>
      <c r="K326" s="65" t="s">
        <v>791</v>
      </c>
      <c r="L326" s="65">
        <v>139.99999999999997</v>
      </c>
      <c r="M326" s="65"/>
      <c r="N326" s="65" t="str">
        <f t="shared" si="18"/>
        <v>AttributeDamageRate(AttributePurple, 140)</v>
      </c>
      <c r="O326" s="65">
        <v>0</v>
      </c>
      <c r="P326" s="65">
        <v>0</v>
      </c>
      <c r="Q326" s="65"/>
      <c r="R326" s="65" t="b">
        <v>0</v>
      </c>
    </row>
    <row r="327" spans="1:18">
      <c r="A327" s="65" t="s">
        <v>950</v>
      </c>
      <c r="B327" s="65"/>
      <c r="C327" s="65"/>
      <c r="D327" s="65">
        <v>0</v>
      </c>
      <c r="E327" s="65">
        <v>1</v>
      </c>
      <c r="F327" s="65" t="s">
        <v>611</v>
      </c>
      <c r="G327" s="65" t="s">
        <v>612</v>
      </c>
      <c r="H327" s="65"/>
      <c r="I327" s="65">
        <v>0</v>
      </c>
      <c r="J327" s="65" t="s">
        <v>1742</v>
      </c>
      <c r="K327" s="65" t="s">
        <v>791</v>
      </c>
      <c r="L327" s="65">
        <v>150</v>
      </c>
      <c r="M327" s="65"/>
      <c r="N327" s="65" t="str">
        <f t="shared" si="18"/>
        <v>AttributeDamageRate(AttributePurple, 150)</v>
      </c>
      <c r="O327" s="65">
        <v>0</v>
      </c>
      <c r="P327" s="65">
        <v>0</v>
      </c>
      <c r="Q327" s="65"/>
      <c r="R327" s="65" t="b">
        <v>0</v>
      </c>
    </row>
    <row r="328" spans="1:18">
      <c r="A328" s="74" t="s">
        <v>864</v>
      </c>
      <c r="B328" s="74"/>
      <c r="C328" s="74"/>
      <c r="D328" s="74">
        <v>0</v>
      </c>
      <c r="E328" s="74">
        <v>1</v>
      </c>
      <c r="F328" s="74" t="s">
        <v>611</v>
      </c>
      <c r="G328" s="74" t="s">
        <v>612</v>
      </c>
      <c r="H328" s="74"/>
      <c r="I328" s="74">
        <v>0</v>
      </c>
      <c r="J328" s="74" t="s">
        <v>1746</v>
      </c>
      <c r="K328" s="74" t="s">
        <v>791</v>
      </c>
      <c r="L328" s="74">
        <v>0</v>
      </c>
      <c r="M328" s="74"/>
      <c r="N328" s="74" t="str">
        <f t="shared" si="18"/>
        <v>AttributeDamageDerate(AttributePurple, 0)</v>
      </c>
      <c r="O328" s="74">
        <v>0</v>
      </c>
      <c r="P328" s="74">
        <v>0</v>
      </c>
      <c r="Q328" s="74"/>
      <c r="R328" s="74" t="b">
        <v>0</v>
      </c>
    </row>
    <row r="329" spans="1:18">
      <c r="A329" s="74" t="s">
        <v>865</v>
      </c>
      <c r="B329" s="74"/>
      <c r="C329" s="74"/>
      <c r="D329" s="74">
        <v>0</v>
      </c>
      <c r="E329" s="74">
        <v>1</v>
      </c>
      <c r="F329" s="74" t="s">
        <v>611</v>
      </c>
      <c r="G329" s="74" t="s">
        <v>612</v>
      </c>
      <c r="H329" s="74"/>
      <c r="I329" s="74">
        <v>0</v>
      </c>
      <c r="J329" s="74" t="s">
        <v>1746</v>
      </c>
      <c r="K329" s="74" t="s">
        <v>791</v>
      </c>
      <c r="L329" s="74">
        <v>10</v>
      </c>
      <c r="M329" s="74"/>
      <c r="N329" s="74" t="str">
        <f t="shared" si="18"/>
        <v>AttributeDamageDerate(AttributePurple, 10)</v>
      </c>
      <c r="O329" s="74">
        <v>0</v>
      </c>
      <c r="P329" s="74">
        <v>0</v>
      </c>
      <c r="Q329" s="74"/>
      <c r="R329" s="74" t="b">
        <v>0</v>
      </c>
    </row>
    <row r="330" spans="1:18">
      <c r="A330" s="74" t="s">
        <v>866</v>
      </c>
      <c r="B330" s="74"/>
      <c r="C330" s="74"/>
      <c r="D330" s="74">
        <v>0</v>
      </c>
      <c r="E330" s="74">
        <v>1</v>
      </c>
      <c r="F330" s="74" t="s">
        <v>611</v>
      </c>
      <c r="G330" s="74" t="s">
        <v>612</v>
      </c>
      <c r="H330" s="74"/>
      <c r="I330" s="74">
        <v>0</v>
      </c>
      <c r="J330" s="74" t="s">
        <v>1746</v>
      </c>
      <c r="K330" s="74" t="s">
        <v>791</v>
      </c>
      <c r="L330" s="74">
        <v>10</v>
      </c>
      <c r="M330" s="74"/>
      <c r="N330" s="74" t="str">
        <f t="shared" si="18"/>
        <v>AttributeDamageDerate(AttributePurple, 10)</v>
      </c>
      <c r="O330" s="74">
        <v>0</v>
      </c>
      <c r="P330" s="74">
        <v>0</v>
      </c>
      <c r="Q330" s="74"/>
      <c r="R330" s="74" t="b">
        <v>0</v>
      </c>
    </row>
    <row r="331" spans="1:18">
      <c r="A331" s="74" t="s">
        <v>867</v>
      </c>
      <c r="B331" s="74"/>
      <c r="C331" s="74"/>
      <c r="D331" s="74">
        <v>0</v>
      </c>
      <c r="E331" s="74">
        <v>1</v>
      </c>
      <c r="F331" s="74" t="s">
        <v>611</v>
      </c>
      <c r="G331" s="74" t="s">
        <v>612</v>
      </c>
      <c r="H331" s="74"/>
      <c r="I331" s="74">
        <v>0</v>
      </c>
      <c r="J331" s="74" t="s">
        <v>1746</v>
      </c>
      <c r="K331" s="74" t="s">
        <v>791</v>
      </c>
      <c r="L331" s="74">
        <v>20</v>
      </c>
      <c r="M331" s="74"/>
      <c r="N331" s="74" t="str">
        <f t="shared" si="18"/>
        <v>AttributeDamageDerate(AttributePurple, 20)</v>
      </c>
      <c r="O331" s="74">
        <v>0</v>
      </c>
      <c r="P331" s="74">
        <v>0</v>
      </c>
      <c r="Q331" s="74"/>
      <c r="R331" s="74" t="b">
        <v>0</v>
      </c>
    </row>
    <row r="332" spans="1:18">
      <c r="A332" s="74" t="s">
        <v>868</v>
      </c>
      <c r="B332" s="74"/>
      <c r="C332" s="74"/>
      <c r="D332" s="74">
        <v>0</v>
      </c>
      <c r="E332" s="74">
        <v>1</v>
      </c>
      <c r="F332" s="74" t="s">
        <v>611</v>
      </c>
      <c r="G332" s="74" t="s">
        <v>612</v>
      </c>
      <c r="H332" s="74"/>
      <c r="I332" s="74">
        <v>0</v>
      </c>
      <c r="J332" s="74" t="s">
        <v>1746</v>
      </c>
      <c r="K332" s="74" t="s">
        <v>791</v>
      </c>
      <c r="L332" s="74">
        <v>20</v>
      </c>
      <c r="M332" s="74"/>
      <c r="N332" s="74" t="str">
        <f t="shared" si="18"/>
        <v>AttributeDamageDerate(AttributePurple, 20)</v>
      </c>
      <c r="O332" s="74">
        <v>0</v>
      </c>
      <c r="P332" s="74">
        <v>0</v>
      </c>
      <c r="Q332" s="74"/>
      <c r="R332" s="74" t="b">
        <v>0</v>
      </c>
    </row>
    <row r="333" spans="1:18">
      <c r="A333" s="74" t="s">
        <v>869</v>
      </c>
      <c r="B333" s="74"/>
      <c r="C333" s="74"/>
      <c r="D333" s="74">
        <v>0</v>
      </c>
      <c r="E333" s="74">
        <v>1</v>
      </c>
      <c r="F333" s="74" t="s">
        <v>611</v>
      </c>
      <c r="G333" s="74" t="s">
        <v>612</v>
      </c>
      <c r="H333" s="74"/>
      <c r="I333" s="74">
        <v>0</v>
      </c>
      <c r="J333" s="74" t="s">
        <v>1746</v>
      </c>
      <c r="K333" s="74" t="s">
        <v>791</v>
      </c>
      <c r="L333" s="74">
        <v>30</v>
      </c>
      <c r="M333" s="74"/>
      <c r="N333" s="74" t="str">
        <f t="shared" si="18"/>
        <v>AttributeDamageDerate(AttributePurple, 30)</v>
      </c>
      <c r="O333" s="74">
        <v>0</v>
      </c>
      <c r="P333" s="74">
        <v>0</v>
      </c>
      <c r="Q333" s="74"/>
      <c r="R333" s="74" t="b">
        <v>0</v>
      </c>
    </row>
    <row r="334" spans="1:18">
      <c r="A334" s="74" t="s">
        <v>870</v>
      </c>
      <c r="B334" s="74"/>
      <c r="C334" s="74"/>
      <c r="D334" s="74">
        <v>0</v>
      </c>
      <c r="E334" s="74">
        <v>1</v>
      </c>
      <c r="F334" s="74" t="s">
        <v>611</v>
      </c>
      <c r="G334" s="74" t="s">
        <v>612</v>
      </c>
      <c r="H334" s="74"/>
      <c r="I334" s="74">
        <v>0</v>
      </c>
      <c r="J334" s="74" t="s">
        <v>1746</v>
      </c>
      <c r="K334" s="74" t="s">
        <v>791</v>
      </c>
      <c r="L334" s="74">
        <v>30</v>
      </c>
      <c r="M334" s="74"/>
      <c r="N334" s="74" t="str">
        <f t="shared" si="18"/>
        <v>AttributeDamageDerate(AttributePurple, 30)</v>
      </c>
      <c r="O334" s="74">
        <v>0</v>
      </c>
      <c r="P334" s="74">
        <v>0</v>
      </c>
      <c r="Q334" s="74"/>
      <c r="R334" s="74" t="b">
        <v>0</v>
      </c>
    </row>
    <row r="335" spans="1:18">
      <c r="A335" s="74" t="s">
        <v>871</v>
      </c>
      <c r="B335" s="74"/>
      <c r="C335" s="74"/>
      <c r="D335" s="74">
        <v>0</v>
      </c>
      <c r="E335" s="74">
        <v>1</v>
      </c>
      <c r="F335" s="74" t="s">
        <v>611</v>
      </c>
      <c r="G335" s="74" t="s">
        <v>612</v>
      </c>
      <c r="H335" s="74"/>
      <c r="I335" s="74">
        <v>0</v>
      </c>
      <c r="J335" s="74" t="s">
        <v>1746</v>
      </c>
      <c r="K335" s="74" t="s">
        <v>791</v>
      </c>
      <c r="L335" s="74">
        <v>40</v>
      </c>
      <c r="M335" s="74"/>
      <c r="N335" s="74" t="str">
        <f t="shared" ref="N335:N373" si="19">J335&amp;"("&amp;IF(K335="","",K335)&amp;IF(L335="","",", "&amp;L335)&amp;IF(M335="","",", "&amp;M335)&amp;")"</f>
        <v>AttributeDamageDerate(AttributePurple, 40)</v>
      </c>
      <c r="O335" s="74">
        <v>0</v>
      </c>
      <c r="P335" s="74">
        <v>0</v>
      </c>
      <c r="Q335" s="74"/>
      <c r="R335" s="74" t="b">
        <v>0</v>
      </c>
    </row>
    <row r="336" spans="1:18">
      <c r="A336" s="74" t="s">
        <v>872</v>
      </c>
      <c r="B336" s="74"/>
      <c r="C336" s="74"/>
      <c r="D336" s="74">
        <v>0</v>
      </c>
      <c r="E336" s="74">
        <v>1</v>
      </c>
      <c r="F336" s="74" t="s">
        <v>611</v>
      </c>
      <c r="G336" s="74" t="s">
        <v>612</v>
      </c>
      <c r="H336" s="74"/>
      <c r="I336" s="74">
        <v>0</v>
      </c>
      <c r="J336" s="74" t="s">
        <v>1746</v>
      </c>
      <c r="K336" s="74" t="s">
        <v>791</v>
      </c>
      <c r="L336" s="74">
        <v>40</v>
      </c>
      <c r="M336" s="74"/>
      <c r="N336" s="74" t="str">
        <f t="shared" si="19"/>
        <v>AttributeDamageDerate(AttributePurple, 40)</v>
      </c>
      <c r="O336" s="74">
        <v>0</v>
      </c>
      <c r="P336" s="74">
        <v>0</v>
      </c>
      <c r="Q336" s="74"/>
      <c r="R336" s="74" t="b">
        <v>0</v>
      </c>
    </row>
    <row r="337" spans="1:18">
      <c r="A337" s="74" t="s">
        <v>873</v>
      </c>
      <c r="B337" s="74"/>
      <c r="C337" s="74"/>
      <c r="D337" s="74">
        <v>0</v>
      </c>
      <c r="E337" s="74">
        <v>1</v>
      </c>
      <c r="F337" s="74" t="s">
        <v>611</v>
      </c>
      <c r="G337" s="74" t="s">
        <v>612</v>
      </c>
      <c r="H337" s="74"/>
      <c r="I337" s="74">
        <v>0</v>
      </c>
      <c r="J337" s="74" t="s">
        <v>1746</v>
      </c>
      <c r="K337" s="74" t="s">
        <v>791</v>
      </c>
      <c r="L337" s="74">
        <v>50</v>
      </c>
      <c r="M337" s="74"/>
      <c r="N337" s="74" t="str">
        <f t="shared" si="19"/>
        <v>AttributeDamageDerate(AttributePurple, 50)</v>
      </c>
      <c r="O337" s="74">
        <v>0</v>
      </c>
      <c r="P337" s="74">
        <v>0</v>
      </c>
      <c r="Q337" s="74"/>
      <c r="R337" s="74" t="b">
        <v>0</v>
      </c>
    </row>
    <row r="338" spans="1:18">
      <c r="A338" s="74" t="s">
        <v>874</v>
      </c>
      <c r="B338" s="74"/>
      <c r="C338" s="74"/>
      <c r="D338" s="74">
        <v>0</v>
      </c>
      <c r="E338" s="74">
        <v>1</v>
      </c>
      <c r="F338" s="74" t="s">
        <v>611</v>
      </c>
      <c r="G338" s="74" t="s">
        <v>612</v>
      </c>
      <c r="H338" s="74"/>
      <c r="I338" s="74">
        <v>0</v>
      </c>
      <c r="J338" s="74" t="s">
        <v>1746</v>
      </c>
      <c r="K338" s="74" t="s">
        <v>791</v>
      </c>
      <c r="L338" s="74">
        <v>50</v>
      </c>
      <c r="M338" s="74"/>
      <c r="N338" s="74" t="str">
        <f t="shared" si="19"/>
        <v>AttributeDamageDerate(AttributePurple, 50)</v>
      </c>
      <c r="O338" s="74">
        <v>0</v>
      </c>
      <c r="P338" s="74">
        <v>0</v>
      </c>
      <c r="Q338" s="74"/>
      <c r="R338" s="74" t="b">
        <v>0</v>
      </c>
    </row>
    <row r="339" spans="1:18">
      <c r="A339" s="74" t="s">
        <v>875</v>
      </c>
      <c r="B339" s="74"/>
      <c r="C339" s="74"/>
      <c r="D339" s="74">
        <v>0</v>
      </c>
      <c r="E339" s="74">
        <v>1</v>
      </c>
      <c r="F339" s="74" t="s">
        <v>611</v>
      </c>
      <c r="G339" s="74" t="s">
        <v>612</v>
      </c>
      <c r="H339" s="74"/>
      <c r="I339" s="74">
        <v>0</v>
      </c>
      <c r="J339" s="74" t="s">
        <v>1746</v>
      </c>
      <c r="K339" s="74" t="s">
        <v>791</v>
      </c>
      <c r="L339" s="74">
        <v>60.000000000000007</v>
      </c>
      <c r="M339" s="74"/>
      <c r="N339" s="74" t="str">
        <f t="shared" si="19"/>
        <v>AttributeDamageDerate(AttributePurple, 60)</v>
      </c>
      <c r="O339" s="74">
        <v>0</v>
      </c>
      <c r="P339" s="74">
        <v>0</v>
      </c>
      <c r="Q339" s="74"/>
      <c r="R339" s="74" t="b">
        <v>0</v>
      </c>
    </row>
    <row r="340" spans="1:18">
      <c r="A340" s="74" t="s">
        <v>876</v>
      </c>
      <c r="B340" s="74"/>
      <c r="C340" s="74"/>
      <c r="D340" s="74">
        <v>0</v>
      </c>
      <c r="E340" s="74">
        <v>1</v>
      </c>
      <c r="F340" s="74" t="s">
        <v>611</v>
      </c>
      <c r="G340" s="74" t="s">
        <v>612</v>
      </c>
      <c r="H340" s="74"/>
      <c r="I340" s="74">
        <v>0</v>
      </c>
      <c r="J340" s="74" t="s">
        <v>1746</v>
      </c>
      <c r="K340" s="74" t="s">
        <v>791</v>
      </c>
      <c r="L340" s="74">
        <v>60.000000000000007</v>
      </c>
      <c r="M340" s="74"/>
      <c r="N340" s="74" t="str">
        <f t="shared" si="19"/>
        <v>AttributeDamageDerate(AttributePurple, 60)</v>
      </c>
      <c r="O340" s="74">
        <v>0</v>
      </c>
      <c r="P340" s="74">
        <v>0</v>
      </c>
      <c r="Q340" s="74"/>
      <c r="R340" s="74" t="b">
        <v>0</v>
      </c>
    </row>
    <row r="341" spans="1:18">
      <c r="A341" s="74" t="s">
        <v>877</v>
      </c>
      <c r="B341" s="74"/>
      <c r="C341" s="74"/>
      <c r="D341" s="74">
        <v>0</v>
      </c>
      <c r="E341" s="74">
        <v>1</v>
      </c>
      <c r="F341" s="74" t="s">
        <v>611</v>
      </c>
      <c r="G341" s="74" t="s">
        <v>612</v>
      </c>
      <c r="H341" s="74"/>
      <c r="I341" s="74">
        <v>0</v>
      </c>
      <c r="J341" s="74" t="s">
        <v>1746</v>
      </c>
      <c r="K341" s="74" t="s">
        <v>791</v>
      </c>
      <c r="L341" s="74">
        <v>70</v>
      </c>
      <c r="M341" s="74"/>
      <c r="N341" s="74" t="str">
        <f t="shared" si="19"/>
        <v>AttributeDamageDerate(AttributePurple, 70)</v>
      </c>
      <c r="O341" s="74">
        <v>0</v>
      </c>
      <c r="P341" s="74">
        <v>0</v>
      </c>
      <c r="Q341" s="74"/>
      <c r="R341" s="74" t="b">
        <v>0</v>
      </c>
    </row>
    <row r="342" spans="1:18">
      <c r="A342" s="74" t="s">
        <v>878</v>
      </c>
      <c r="B342" s="74"/>
      <c r="C342" s="74"/>
      <c r="D342" s="74">
        <v>0</v>
      </c>
      <c r="E342" s="74">
        <v>1</v>
      </c>
      <c r="F342" s="74" t="s">
        <v>611</v>
      </c>
      <c r="G342" s="74" t="s">
        <v>612</v>
      </c>
      <c r="H342" s="74"/>
      <c r="I342" s="74">
        <v>0</v>
      </c>
      <c r="J342" s="74" t="s">
        <v>1746</v>
      </c>
      <c r="K342" s="74" t="s">
        <v>791</v>
      </c>
      <c r="L342" s="74">
        <v>70</v>
      </c>
      <c r="M342" s="74"/>
      <c r="N342" s="74" t="str">
        <f t="shared" si="19"/>
        <v>AttributeDamageDerate(AttributePurple, 70)</v>
      </c>
      <c r="O342" s="74">
        <v>0</v>
      </c>
      <c r="P342" s="74">
        <v>0</v>
      </c>
      <c r="Q342" s="74"/>
      <c r="R342" s="74" t="b">
        <v>0</v>
      </c>
    </row>
    <row r="343" spans="1:18">
      <c r="A343" s="74" t="s">
        <v>879</v>
      </c>
      <c r="B343" s="74"/>
      <c r="C343" s="74"/>
      <c r="D343" s="74">
        <v>0</v>
      </c>
      <c r="E343" s="74">
        <v>1</v>
      </c>
      <c r="F343" s="74" t="s">
        <v>611</v>
      </c>
      <c r="G343" s="74" t="s">
        <v>612</v>
      </c>
      <c r="H343" s="74"/>
      <c r="I343" s="74">
        <v>0</v>
      </c>
      <c r="J343" s="74" t="s">
        <v>1746</v>
      </c>
      <c r="K343" s="74" t="s">
        <v>791</v>
      </c>
      <c r="L343" s="74">
        <v>80</v>
      </c>
      <c r="M343" s="74"/>
      <c r="N343" s="74" t="str">
        <f t="shared" si="19"/>
        <v>AttributeDamageDerate(AttributePurple, 80)</v>
      </c>
      <c r="O343" s="74">
        <v>0</v>
      </c>
      <c r="P343" s="74">
        <v>0</v>
      </c>
      <c r="Q343" s="74"/>
      <c r="R343" s="74" t="b">
        <v>0</v>
      </c>
    </row>
    <row r="344" spans="1:18">
      <c r="A344" s="74" t="s">
        <v>880</v>
      </c>
      <c r="B344" s="74"/>
      <c r="C344" s="74"/>
      <c r="D344" s="74">
        <v>0</v>
      </c>
      <c r="E344" s="74">
        <v>1</v>
      </c>
      <c r="F344" s="74" t="s">
        <v>611</v>
      </c>
      <c r="G344" s="74" t="s">
        <v>612</v>
      </c>
      <c r="H344" s="74"/>
      <c r="I344" s="74">
        <v>0</v>
      </c>
      <c r="J344" s="74" t="s">
        <v>1746</v>
      </c>
      <c r="K344" s="74" t="s">
        <v>791</v>
      </c>
      <c r="L344" s="74">
        <v>80</v>
      </c>
      <c r="M344" s="74"/>
      <c r="N344" s="74" t="str">
        <f t="shared" si="19"/>
        <v>AttributeDamageDerate(AttributePurple, 80)</v>
      </c>
      <c r="O344" s="74">
        <v>0</v>
      </c>
      <c r="P344" s="74">
        <v>0</v>
      </c>
      <c r="Q344" s="74"/>
      <c r="R344" s="74" t="b">
        <v>0</v>
      </c>
    </row>
    <row r="345" spans="1:18">
      <c r="A345" s="74" t="s">
        <v>881</v>
      </c>
      <c r="B345" s="74"/>
      <c r="C345" s="74"/>
      <c r="D345" s="74">
        <v>0</v>
      </c>
      <c r="E345" s="74">
        <v>1</v>
      </c>
      <c r="F345" s="74" t="s">
        <v>611</v>
      </c>
      <c r="G345" s="74" t="s">
        <v>612</v>
      </c>
      <c r="H345" s="74"/>
      <c r="I345" s="74">
        <v>0</v>
      </c>
      <c r="J345" s="74" t="s">
        <v>1746</v>
      </c>
      <c r="K345" s="74" t="s">
        <v>791</v>
      </c>
      <c r="L345" s="74">
        <v>90</v>
      </c>
      <c r="M345" s="74"/>
      <c r="N345" s="74" t="str">
        <f t="shared" si="19"/>
        <v>AttributeDamageDerate(AttributePurple, 90)</v>
      </c>
      <c r="O345" s="74">
        <v>0</v>
      </c>
      <c r="P345" s="74">
        <v>0</v>
      </c>
      <c r="Q345" s="74"/>
      <c r="R345" s="74" t="b">
        <v>0</v>
      </c>
    </row>
    <row r="346" spans="1:18">
      <c r="A346" s="74" t="s">
        <v>882</v>
      </c>
      <c r="B346" s="74"/>
      <c r="C346" s="74"/>
      <c r="D346" s="74">
        <v>0</v>
      </c>
      <c r="E346" s="74">
        <v>1</v>
      </c>
      <c r="F346" s="74" t="s">
        <v>611</v>
      </c>
      <c r="G346" s="74" t="s">
        <v>612</v>
      </c>
      <c r="H346" s="74"/>
      <c r="I346" s="74">
        <v>0</v>
      </c>
      <c r="J346" s="74" t="s">
        <v>1746</v>
      </c>
      <c r="K346" s="74" t="s">
        <v>791</v>
      </c>
      <c r="L346" s="74">
        <v>90</v>
      </c>
      <c r="M346" s="74"/>
      <c r="N346" s="74" t="str">
        <f t="shared" si="19"/>
        <v>AttributeDamageDerate(AttributePurple, 90)</v>
      </c>
      <c r="O346" s="74">
        <v>0</v>
      </c>
      <c r="P346" s="74">
        <v>0</v>
      </c>
      <c r="Q346" s="74"/>
      <c r="R346" s="74" t="b">
        <v>0</v>
      </c>
    </row>
    <row r="347" spans="1:18">
      <c r="A347" s="74" t="s">
        <v>883</v>
      </c>
      <c r="B347" s="74"/>
      <c r="C347" s="74"/>
      <c r="D347" s="74">
        <v>0</v>
      </c>
      <c r="E347" s="74">
        <v>1</v>
      </c>
      <c r="F347" s="74" t="s">
        <v>611</v>
      </c>
      <c r="G347" s="74" t="s">
        <v>612</v>
      </c>
      <c r="H347" s="74"/>
      <c r="I347" s="74">
        <v>0</v>
      </c>
      <c r="J347" s="74" t="s">
        <v>1746</v>
      </c>
      <c r="K347" s="74" t="s">
        <v>791</v>
      </c>
      <c r="L347" s="74">
        <v>99.999999999999986</v>
      </c>
      <c r="M347" s="74"/>
      <c r="N347" s="74" t="str">
        <f t="shared" si="19"/>
        <v>AttributeDamageDerate(AttributePurple, 100)</v>
      </c>
      <c r="O347" s="74">
        <v>0</v>
      </c>
      <c r="P347" s="74">
        <v>0</v>
      </c>
      <c r="Q347" s="74"/>
      <c r="R347" s="74" t="b">
        <v>0</v>
      </c>
    </row>
    <row r="348" spans="1:18">
      <c r="A348" s="74" t="s">
        <v>884</v>
      </c>
      <c r="B348" s="74"/>
      <c r="C348" s="74"/>
      <c r="D348" s="74">
        <v>0</v>
      </c>
      <c r="E348" s="74">
        <v>1</v>
      </c>
      <c r="F348" s="74" t="s">
        <v>611</v>
      </c>
      <c r="G348" s="74" t="s">
        <v>612</v>
      </c>
      <c r="H348" s="74"/>
      <c r="I348" s="74">
        <v>0</v>
      </c>
      <c r="J348" s="74" t="s">
        <v>1746</v>
      </c>
      <c r="K348" s="74" t="s">
        <v>791</v>
      </c>
      <c r="L348" s="74">
        <v>99.999999999999986</v>
      </c>
      <c r="M348" s="74"/>
      <c r="N348" s="74" t="str">
        <f t="shared" si="19"/>
        <v>AttributeDamageDerate(AttributePurple, 100)</v>
      </c>
      <c r="O348" s="74">
        <v>0</v>
      </c>
      <c r="P348" s="74">
        <v>0</v>
      </c>
      <c r="Q348" s="74"/>
      <c r="R348" s="74" t="b">
        <v>0</v>
      </c>
    </row>
    <row r="349" spans="1:18">
      <c r="A349" s="74" t="s">
        <v>885</v>
      </c>
      <c r="B349" s="74"/>
      <c r="C349" s="74"/>
      <c r="D349" s="74">
        <v>0</v>
      </c>
      <c r="E349" s="74">
        <v>1</v>
      </c>
      <c r="F349" s="74" t="s">
        <v>611</v>
      </c>
      <c r="G349" s="74" t="s">
        <v>612</v>
      </c>
      <c r="H349" s="74"/>
      <c r="I349" s="74">
        <v>0</v>
      </c>
      <c r="J349" s="74" t="s">
        <v>1746</v>
      </c>
      <c r="K349" s="74" t="s">
        <v>791</v>
      </c>
      <c r="L349" s="74">
        <v>109.99999999999999</v>
      </c>
      <c r="M349" s="74"/>
      <c r="N349" s="74" t="str">
        <f t="shared" si="19"/>
        <v>AttributeDamageDerate(AttributePurple, 110)</v>
      </c>
      <c r="O349" s="74">
        <v>0</v>
      </c>
      <c r="P349" s="74">
        <v>0</v>
      </c>
      <c r="Q349" s="74"/>
      <c r="R349" s="74" t="b">
        <v>0</v>
      </c>
    </row>
    <row r="350" spans="1:18">
      <c r="A350" s="74" t="s">
        <v>886</v>
      </c>
      <c r="B350" s="74"/>
      <c r="C350" s="74"/>
      <c r="D350" s="74">
        <v>0</v>
      </c>
      <c r="E350" s="74">
        <v>1</v>
      </c>
      <c r="F350" s="74" t="s">
        <v>611</v>
      </c>
      <c r="G350" s="74" t="s">
        <v>612</v>
      </c>
      <c r="H350" s="74"/>
      <c r="I350" s="74">
        <v>0</v>
      </c>
      <c r="J350" s="74" t="s">
        <v>1746</v>
      </c>
      <c r="K350" s="74" t="s">
        <v>791</v>
      </c>
      <c r="L350" s="74">
        <v>109.99999999999999</v>
      </c>
      <c r="M350" s="74"/>
      <c r="N350" s="74" t="str">
        <f t="shared" si="19"/>
        <v>AttributeDamageDerate(AttributePurple, 110)</v>
      </c>
      <c r="O350" s="74">
        <v>0</v>
      </c>
      <c r="P350" s="74">
        <v>0</v>
      </c>
      <c r="Q350" s="74"/>
      <c r="R350" s="74" t="b">
        <v>0</v>
      </c>
    </row>
    <row r="351" spans="1:18">
      <c r="A351" s="74" t="s">
        <v>887</v>
      </c>
      <c r="B351" s="74"/>
      <c r="C351" s="74"/>
      <c r="D351" s="74">
        <v>0</v>
      </c>
      <c r="E351" s="74">
        <v>1</v>
      </c>
      <c r="F351" s="74" t="s">
        <v>611</v>
      </c>
      <c r="G351" s="74" t="s">
        <v>612</v>
      </c>
      <c r="H351" s="74"/>
      <c r="I351" s="74">
        <v>0</v>
      </c>
      <c r="J351" s="74" t="s">
        <v>1746</v>
      </c>
      <c r="K351" s="74" t="s">
        <v>791</v>
      </c>
      <c r="L351" s="74">
        <v>119.99999999999999</v>
      </c>
      <c r="M351" s="74"/>
      <c r="N351" s="74" t="str">
        <f t="shared" si="19"/>
        <v>AttributeDamageDerate(AttributePurple, 120)</v>
      </c>
      <c r="O351" s="74">
        <v>0</v>
      </c>
      <c r="P351" s="74">
        <v>0</v>
      </c>
      <c r="Q351" s="74"/>
      <c r="R351" s="74" t="b">
        <v>0</v>
      </c>
    </row>
    <row r="352" spans="1:18">
      <c r="A352" s="74" t="s">
        <v>888</v>
      </c>
      <c r="B352" s="74"/>
      <c r="C352" s="74"/>
      <c r="D352" s="74">
        <v>0</v>
      </c>
      <c r="E352" s="74">
        <v>1</v>
      </c>
      <c r="F352" s="74" t="s">
        <v>611</v>
      </c>
      <c r="G352" s="74" t="s">
        <v>612</v>
      </c>
      <c r="H352" s="74"/>
      <c r="I352" s="74">
        <v>0</v>
      </c>
      <c r="J352" s="74" t="s">
        <v>1746</v>
      </c>
      <c r="K352" s="74" t="s">
        <v>791</v>
      </c>
      <c r="L352" s="74">
        <v>119.99999999999999</v>
      </c>
      <c r="M352" s="74"/>
      <c r="N352" s="74" t="str">
        <f t="shared" si="19"/>
        <v>AttributeDamageDerate(AttributePurple, 120)</v>
      </c>
      <c r="O352" s="74">
        <v>0</v>
      </c>
      <c r="P352" s="74">
        <v>0</v>
      </c>
      <c r="Q352" s="74"/>
      <c r="R352" s="74" t="b">
        <v>0</v>
      </c>
    </row>
    <row r="353" spans="1:18">
      <c r="A353" s="74" t="s">
        <v>889</v>
      </c>
      <c r="B353" s="74"/>
      <c r="C353" s="74"/>
      <c r="D353" s="74">
        <v>0</v>
      </c>
      <c r="E353" s="74">
        <v>1</v>
      </c>
      <c r="F353" s="74" t="s">
        <v>611</v>
      </c>
      <c r="G353" s="74" t="s">
        <v>612</v>
      </c>
      <c r="H353" s="74"/>
      <c r="I353" s="74">
        <v>0</v>
      </c>
      <c r="J353" s="74" t="s">
        <v>1746</v>
      </c>
      <c r="K353" s="74" t="s">
        <v>791</v>
      </c>
      <c r="L353" s="74">
        <v>129.99999999999997</v>
      </c>
      <c r="M353" s="74"/>
      <c r="N353" s="74" t="str">
        <f t="shared" si="19"/>
        <v>AttributeDamageDerate(AttributePurple, 130)</v>
      </c>
      <c r="O353" s="74">
        <v>0</v>
      </c>
      <c r="P353" s="74">
        <v>0</v>
      </c>
      <c r="Q353" s="74"/>
      <c r="R353" s="74" t="b">
        <v>0</v>
      </c>
    </row>
    <row r="354" spans="1:18">
      <c r="A354" s="74" t="s">
        <v>890</v>
      </c>
      <c r="B354" s="74"/>
      <c r="C354" s="74"/>
      <c r="D354" s="74">
        <v>0</v>
      </c>
      <c r="E354" s="74">
        <v>1</v>
      </c>
      <c r="F354" s="74" t="s">
        <v>611</v>
      </c>
      <c r="G354" s="74" t="s">
        <v>612</v>
      </c>
      <c r="H354" s="74"/>
      <c r="I354" s="74">
        <v>0</v>
      </c>
      <c r="J354" s="74" t="s">
        <v>1746</v>
      </c>
      <c r="K354" s="74" t="s">
        <v>791</v>
      </c>
      <c r="L354" s="74">
        <v>129.99999999999997</v>
      </c>
      <c r="M354" s="74"/>
      <c r="N354" s="74" t="str">
        <f t="shared" si="19"/>
        <v>AttributeDamageDerate(AttributePurple, 130)</v>
      </c>
      <c r="O354" s="74">
        <v>0</v>
      </c>
      <c r="P354" s="74">
        <v>0</v>
      </c>
      <c r="Q354" s="74"/>
      <c r="R354" s="74" t="b">
        <v>0</v>
      </c>
    </row>
    <row r="355" spans="1:18">
      <c r="A355" s="74" t="s">
        <v>891</v>
      </c>
      <c r="B355" s="74"/>
      <c r="C355" s="74"/>
      <c r="D355" s="74">
        <v>0</v>
      </c>
      <c r="E355" s="74">
        <v>1</v>
      </c>
      <c r="F355" s="74" t="s">
        <v>611</v>
      </c>
      <c r="G355" s="74" t="s">
        <v>612</v>
      </c>
      <c r="H355" s="74"/>
      <c r="I355" s="74">
        <v>0</v>
      </c>
      <c r="J355" s="74" t="s">
        <v>1746</v>
      </c>
      <c r="K355" s="74" t="s">
        <v>791</v>
      </c>
      <c r="L355" s="74">
        <v>139.99999999999997</v>
      </c>
      <c r="M355" s="74"/>
      <c r="N355" s="74" t="str">
        <f t="shared" si="19"/>
        <v>AttributeDamageDerate(AttributePurple, 140)</v>
      </c>
      <c r="O355" s="74">
        <v>0</v>
      </c>
      <c r="P355" s="74">
        <v>0</v>
      </c>
      <c r="Q355" s="74"/>
      <c r="R355" s="74" t="b">
        <v>0</v>
      </c>
    </row>
    <row r="356" spans="1:18">
      <c r="A356" s="74" t="s">
        <v>892</v>
      </c>
      <c r="B356" s="74"/>
      <c r="C356" s="74"/>
      <c r="D356" s="74">
        <v>0</v>
      </c>
      <c r="E356" s="74">
        <v>1</v>
      </c>
      <c r="F356" s="74" t="s">
        <v>611</v>
      </c>
      <c r="G356" s="74" t="s">
        <v>612</v>
      </c>
      <c r="H356" s="74"/>
      <c r="I356" s="74">
        <v>0</v>
      </c>
      <c r="J356" s="74" t="s">
        <v>1746</v>
      </c>
      <c r="K356" s="74" t="s">
        <v>791</v>
      </c>
      <c r="L356" s="74">
        <v>139.99999999999997</v>
      </c>
      <c r="M356" s="74"/>
      <c r="N356" s="74" t="str">
        <f t="shared" si="19"/>
        <v>AttributeDamageDerate(AttributePurple, 140)</v>
      </c>
      <c r="O356" s="74">
        <v>0</v>
      </c>
      <c r="P356" s="74">
        <v>0</v>
      </c>
      <c r="Q356" s="74"/>
      <c r="R356" s="74" t="b">
        <v>0</v>
      </c>
    </row>
    <row r="357" spans="1:18">
      <c r="A357" s="70" t="s">
        <v>951</v>
      </c>
      <c r="B357" s="70"/>
      <c r="C357" s="70"/>
      <c r="D357" s="70">
        <v>0</v>
      </c>
      <c r="E357" s="70">
        <v>1</v>
      </c>
      <c r="F357" s="70" t="s">
        <v>611</v>
      </c>
      <c r="G357" s="70" t="s">
        <v>612</v>
      </c>
      <c r="H357" s="70"/>
      <c r="I357" s="70">
        <v>0</v>
      </c>
      <c r="J357" s="70" t="s">
        <v>1742</v>
      </c>
      <c r="K357" s="70" t="s">
        <v>790</v>
      </c>
      <c r="L357" s="70">
        <v>10</v>
      </c>
      <c r="M357" s="70"/>
      <c r="N357" s="70" t="str">
        <f t="shared" si="19"/>
        <v>AttributeDamageRate(AttributeGold, 10)</v>
      </c>
      <c r="O357" s="70">
        <v>0</v>
      </c>
      <c r="P357" s="70">
        <v>0</v>
      </c>
      <c r="Q357" s="70"/>
      <c r="R357" s="70" t="b">
        <v>0</v>
      </c>
    </row>
    <row r="358" spans="1:18">
      <c r="A358" s="70" t="s">
        <v>952</v>
      </c>
      <c r="B358" s="70"/>
      <c r="C358" s="70"/>
      <c r="D358" s="70">
        <v>0</v>
      </c>
      <c r="E358" s="70">
        <v>1</v>
      </c>
      <c r="F358" s="70" t="s">
        <v>611</v>
      </c>
      <c r="G358" s="70" t="s">
        <v>612</v>
      </c>
      <c r="H358" s="70"/>
      <c r="I358" s="70">
        <v>0</v>
      </c>
      <c r="J358" s="70" t="s">
        <v>1742</v>
      </c>
      <c r="K358" s="70" t="s">
        <v>790</v>
      </c>
      <c r="L358" s="70">
        <v>10</v>
      </c>
      <c r="M358" s="70"/>
      <c r="N358" s="70" t="str">
        <f t="shared" si="19"/>
        <v>AttributeDamageRate(AttributeGold, 10)</v>
      </c>
      <c r="O358" s="70">
        <v>0</v>
      </c>
      <c r="P358" s="70">
        <v>0</v>
      </c>
      <c r="Q358" s="70"/>
      <c r="R358" s="70" t="b">
        <v>0</v>
      </c>
    </row>
    <row r="359" spans="1:18">
      <c r="A359" s="70" t="s">
        <v>953</v>
      </c>
      <c r="B359" s="70"/>
      <c r="C359" s="70"/>
      <c r="D359" s="70">
        <v>0</v>
      </c>
      <c r="E359" s="70">
        <v>1</v>
      </c>
      <c r="F359" s="70" t="s">
        <v>611</v>
      </c>
      <c r="G359" s="70" t="s">
        <v>612</v>
      </c>
      <c r="H359" s="70"/>
      <c r="I359" s="70">
        <v>0</v>
      </c>
      <c r="J359" s="70" t="s">
        <v>1742</v>
      </c>
      <c r="K359" s="70" t="s">
        <v>790</v>
      </c>
      <c r="L359" s="70">
        <v>20</v>
      </c>
      <c r="M359" s="70"/>
      <c r="N359" s="70" t="str">
        <f t="shared" si="19"/>
        <v>AttributeDamageRate(AttributeGold, 20)</v>
      </c>
      <c r="O359" s="70">
        <v>0</v>
      </c>
      <c r="P359" s="70">
        <v>0</v>
      </c>
      <c r="Q359" s="70"/>
      <c r="R359" s="70" t="b">
        <v>0</v>
      </c>
    </row>
    <row r="360" spans="1:18">
      <c r="A360" s="70" t="s">
        <v>954</v>
      </c>
      <c r="B360" s="70"/>
      <c r="C360" s="70"/>
      <c r="D360" s="70">
        <v>0</v>
      </c>
      <c r="E360" s="70">
        <v>1</v>
      </c>
      <c r="F360" s="70" t="s">
        <v>611</v>
      </c>
      <c r="G360" s="70" t="s">
        <v>612</v>
      </c>
      <c r="H360" s="70"/>
      <c r="I360" s="70">
        <v>0</v>
      </c>
      <c r="J360" s="70" t="s">
        <v>1742</v>
      </c>
      <c r="K360" s="70" t="s">
        <v>790</v>
      </c>
      <c r="L360" s="70">
        <v>20</v>
      </c>
      <c r="M360" s="70"/>
      <c r="N360" s="70" t="str">
        <f t="shared" si="19"/>
        <v>AttributeDamageRate(AttributeGold, 20)</v>
      </c>
      <c r="O360" s="70">
        <v>0</v>
      </c>
      <c r="P360" s="70">
        <v>0</v>
      </c>
      <c r="Q360" s="70"/>
      <c r="R360" s="70" t="b">
        <v>0</v>
      </c>
    </row>
    <row r="361" spans="1:18">
      <c r="A361" s="70" t="s">
        <v>955</v>
      </c>
      <c r="B361" s="70"/>
      <c r="C361" s="70"/>
      <c r="D361" s="70">
        <v>0</v>
      </c>
      <c r="E361" s="70">
        <v>1</v>
      </c>
      <c r="F361" s="70" t="s">
        <v>611</v>
      </c>
      <c r="G361" s="70" t="s">
        <v>612</v>
      </c>
      <c r="H361" s="70"/>
      <c r="I361" s="70">
        <v>0</v>
      </c>
      <c r="J361" s="70" t="s">
        <v>1742</v>
      </c>
      <c r="K361" s="70" t="s">
        <v>790</v>
      </c>
      <c r="L361" s="70">
        <v>30</v>
      </c>
      <c r="M361" s="70"/>
      <c r="N361" s="70" t="str">
        <f t="shared" si="19"/>
        <v>AttributeDamageRate(AttributeGold, 30)</v>
      </c>
      <c r="O361" s="70">
        <v>0</v>
      </c>
      <c r="P361" s="70">
        <v>0</v>
      </c>
      <c r="Q361" s="70"/>
      <c r="R361" s="70" t="b">
        <v>0</v>
      </c>
    </row>
    <row r="362" spans="1:18">
      <c r="A362" s="70" t="s">
        <v>956</v>
      </c>
      <c r="B362" s="70"/>
      <c r="C362" s="70"/>
      <c r="D362" s="70">
        <v>0</v>
      </c>
      <c r="E362" s="70">
        <v>1</v>
      </c>
      <c r="F362" s="70" t="s">
        <v>611</v>
      </c>
      <c r="G362" s="70" t="s">
        <v>612</v>
      </c>
      <c r="H362" s="70"/>
      <c r="I362" s="70">
        <v>0</v>
      </c>
      <c r="J362" s="70" t="s">
        <v>1742</v>
      </c>
      <c r="K362" s="70" t="s">
        <v>790</v>
      </c>
      <c r="L362" s="70">
        <v>30</v>
      </c>
      <c r="M362" s="70"/>
      <c r="N362" s="70" t="str">
        <f t="shared" si="19"/>
        <v>AttributeDamageRate(AttributeGold, 30)</v>
      </c>
      <c r="O362" s="70">
        <v>0</v>
      </c>
      <c r="P362" s="70">
        <v>0</v>
      </c>
      <c r="Q362" s="70"/>
      <c r="R362" s="70" t="b">
        <v>0</v>
      </c>
    </row>
    <row r="363" spans="1:18">
      <c r="A363" s="70" t="s">
        <v>957</v>
      </c>
      <c r="B363" s="70"/>
      <c r="C363" s="70"/>
      <c r="D363" s="70">
        <v>0</v>
      </c>
      <c r="E363" s="70">
        <v>1</v>
      </c>
      <c r="F363" s="70" t="s">
        <v>611</v>
      </c>
      <c r="G363" s="70" t="s">
        <v>612</v>
      </c>
      <c r="H363" s="70"/>
      <c r="I363" s="70">
        <v>0</v>
      </c>
      <c r="J363" s="70" t="s">
        <v>1742</v>
      </c>
      <c r="K363" s="70" t="s">
        <v>790</v>
      </c>
      <c r="L363" s="70">
        <v>40</v>
      </c>
      <c r="M363" s="70"/>
      <c r="N363" s="70" t="str">
        <f t="shared" si="19"/>
        <v>AttributeDamageRate(AttributeGold, 40)</v>
      </c>
      <c r="O363" s="70">
        <v>0</v>
      </c>
      <c r="P363" s="70">
        <v>0</v>
      </c>
      <c r="Q363" s="70"/>
      <c r="R363" s="70" t="b">
        <v>0</v>
      </c>
    </row>
    <row r="364" spans="1:18">
      <c r="A364" s="70" t="s">
        <v>958</v>
      </c>
      <c r="B364" s="70"/>
      <c r="C364" s="70"/>
      <c r="D364" s="70">
        <v>0</v>
      </c>
      <c r="E364" s="70">
        <v>1</v>
      </c>
      <c r="F364" s="70" t="s">
        <v>611</v>
      </c>
      <c r="G364" s="70" t="s">
        <v>612</v>
      </c>
      <c r="H364" s="70"/>
      <c r="I364" s="70">
        <v>0</v>
      </c>
      <c r="J364" s="70" t="s">
        <v>1742</v>
      </c>
      <c r="K364" s="70" t="s">
        <v>790</v>
      </c>
      <c r="L364" s="70">
        <v>40</v>
      </c>
      <c r="M364" s="70"/>
      <c r="N364" s="70" t="str">
        <f t="shared" si="19"/>
        <v>AttributeDamageRate(AttributeGold, 40)</v>
      </c>
      <c r="O364" s="70">
        <v>0</v>
      </c>
      <c r="P364" s="70">
        <v>0</v>
      </c>
      <c r="Q364" s="70"/>
      <c r="R364" s="70" t="b">
        <v>0</v>
      </c>
    </row>
    <row r="365" spans="1:18">
      <c r="A365" s="70" t="s">
        <v>959</v>
      </c>
      <c r="B365" s="70"/>
      <c r="C365" s="70"/>
      <c r="D365" s="70">
        <v>0</v>
      </c>
      <c r="E365" s="70">
        <v>1</v>
      </c>
      <c r="F365" s="70" t="s">
        <v>611</v>
      </c>
      <c r="G365" s="70" t="s">
        <v>612</v>
      </c>
      <c r="H365" s="70"/>
      <c r="I365" s="70">
        <v>0</v>
      </c>
      <c r="J365" s="70" t="s">
        <v>1742</v>
      </c>
      <c r="K365" s="70" t="s">
        <v>790</v>
      </c>
      <c r="L365" s="70">
        <v>50</v>
      </c>
      <c r="M365" s="70"/>
      <c r="N365" s="70" t="str">
        <f t="shared" si="19"/>
        <v>AttributeDamageRate(AttributeGold, 50)</v>
      </c>
      <c r="O365" s="70">
        <v>0</v>
      </c>
      <c r="P365" s="70">
        <v>0</v>
      </c>
      <c r="Q365" s="70"/>
      <c r="R365" s="70" t="b">
        <v>0</v>
      </c>
    </row>
    <row r="366" spans="1:18">
      <c r="A366" s="70" t="s">
        <v>960</v>
      </c>
      <c r="B366" s="70"/>
      <c r="C366" s="70"/>
      <c r="D366" s="70">
        <v>0</v>
      </c>
      <c r="E366" s="70">
        <v>1</v>
      </c>
      <c r="F366" s="70" t="s">
        <v>611</v>
      </c>
      <c r="G366" s="70" t="s">
        <v>612</v>
      </c>
      <c r="H366" s="70"/>
      <c r="I366" s="70">
        <v>0</v>
      </c>
      <c r="J366" s="70" t="s">
        <v>1742</v>
      </c>
      <c r="K366" s="70" t="s">
        <v>790</v>
      </c>
      <c r="L366" s="70">
        <v>50</v>
      </c>
      <c r="M366" s="70"/>
      <c r="N366" s="70" t="str">
        <f t="shared" si="19"/>
        <v>AttributeDamageRate(AttributeGold, 50)</v>
      </c>
      <c r="O366" s="70">
        <v>0</v>
      </c>
      <c r="P366" s="70">
        <v>0</v>
      </c>
      <c r="Q366" s="70"/>
      <c r="R366" s="70" t="b">
        <v>0</v>
      </c>
    </row>
    <row r="367" spans="1:18">
      <c r="A367" s="70" t="s">
        <v>961</v>
      </c>
      <c r="B367" s="70"/>
      <c r="C367" s="70"/>
      <c r="D367" s="70">
        <v>0</v>
      </c>
      <c r="E367" s="70">
        <v>1</v>
      </c>
      <c r="F367" s="70" t="s">
        <v>611</v>
      </c>
      <c r="G367" s="70" t="s">
        <v>612</v>
      </c>
      <c r="H367" s="70"/>
      <c r="I367" s="70">
        <v>0</v>
      </c>
      <c r="J367" s="70" t="s">
        <v>1742</v>
      </c>
      <c r="K367" s="70" t="s">
        <v>790</v>
      </c>
      <c r="L367" s="70">
        <v>60.000000000000007</v>
      </c>
      <c r="M367" s="70"/>
      <c r="N367" s="70" t="str">
        <f t="shared" si="19"/>
        <v>AttributeDamageRate(AttributeGold, 60)</v>
      </c>
      <c r="O367" s="70">
        <v>0</v>
      </c>
      <c r="P367" s="70">
        <v>0</v>
      </c>
      <c r="Q367" s="70"/>
      <c r="R367" s="70" t="b">
        <v>0</v>
      </c>
    </row>
    <row r="368" spans="1:18">
      <c r="A368" s="70" t="s">
        <v>962</v>
      </c>
      <c r="B368" s="70"/>
      <c r="C368" s="70"/>
      <c r="D368" s="70">
        <v>0</v>
      </c>
      <c r="E368" s="70">
        <v>1</v>
      </c>
      <c r="F368" s="70" t="s">
        <v>611</v>
      </c>
      <c r="G368" s="70" t="s">
        <v>612</v>
      </c>
      <c r="H368" s="70"/>
      <c r="I368" s="70">
        <v>0</v>
      </c>
      <c r="J368" s="70" t="s">
        <v>1742</v>
      </c>
      <c r="K368" s="70" t="s">
        <v>790</v>
      </c>
      <c r="L368" s="70">
        <v>60.000000000000007</v>
      </c>
      <c r="M368" s="70"/>
      <c r="N368" s="70" t="str">
        <f t="shared" si="19"/>
        <v>AttributeDamageRate(AttributeGold, 60)</v>
      </c>
      <c r="O368" s="70">
        <v>0</v>
      </c>
      <c r="P368" s="70">
        <v>0</v>
      </c>
      <c r="Q368" s="70"/>
      <c r="R368" s="70" t="b">
        <v>0</v>
      </c>
    </row>
    <row r="369" spans="1:18">
      <c r="A369" s="70" t="s">
        <v>963</v>
      </c>
      <c r="B369" s="70"/>
      <c r="C369" s="70"/>
      <c r="D369" s="70">
        <v>0</v>
      </c>
      <c r="E369" s="70">
        <v>1</v>
      </c>
      <c r="F369" s="70" t="s">
        <v>611</v>
      </c>
      <c r="G369" s="70" t="s">
        <v>612</v>
      </c>
      <c r="H369" s="70"/>
      <c r="I369" s="70">
        <v>0</v>
      </c>
      <c r="J369" s="70" t="s">
        <v>1742</v>
      </c>
      <c r="K369" s="70" t="s">
        <v>790</v>
      </c>
      <c r="L369" s="70">
        <v>70</v>
      </c>
      <c r="M369" s="70"/>
      <c r="N369" s="70" t="str">
        <f t="shared" si="19"/>
        <v>AttributeDamageRate(AttributeGold, 70)</v>
      </c>
      <c r="O369" s="70">
        <v>0</v>
      </c>
      <c r="P369" s="70">
        <v>0</v>
      </c>
      <c r="Q369" s="70"/>
      <c r="R369" s="70" t="b">
        <v>0</v>
      </c>
    </row>
    <row r="370" spans="1:18">
      <c r="A370" s="70" t="s">
        <v>964</v>
      </c>
      <c r="B370" s="70"/>
      <c r="C370" s="70"/>
      <c r="D370" s="70">
        <v>0</v>
      </c>
      <c r="E370" s="70">
        <v>1</v>
      </c>
      <c r="F370" s="70" t="s">
        <v>611</v>
      </c>
      <c r="G370" s="70" t="s">
        <v>612</v>
      </c>
      <c r="H370" s="70"/>
      <c r="I370" s="70">
        <v>0</v>
      </c>
      <c r="J370" s="70" t="s">
        <v>1742</v>
      </c>
      <c r="K370" s="70" t="s">
        <v>790</v>
      </c>
      <c r="L370" s="70">
        <v>70</v>
      </c>
      <c r="M370" s="70"/>
      <c r="N370" s="70" t="str">
        <f t="shared" si="19"/>
        <v>AttributeDamageRate(AttributeGold, 70)</v>
      </c>
      <c r="O370" s="70">
        <v>0</v>
      </c>
      <c r="P370" s="70">
        <v>0</v>
      </c>
      <c r="Q370" s="70"/>
      <c r="R370" s="70" t="b">
        <v>0</v>
      </c>
    </row>
    <row r="371" spans="1:18">
      <c r="A371" s="70" t="s">
        <v>965</v>
      </c>
      <c r="B371" s="70"/>
      <c r="C371" s="70"/>
      <c r="D371" s="70">
        <v>0</v>
      </c>
      <c r="E371" s="70">
        <v>1</v>
      </c>
      <c r="F371" s="70" t="s">
        <v>611</v>
      </c>
      <c r="G371" s="70" t="s">
        <v>612</v>
      </c>
      <c r="H371" s="70"/>
      <c r="I371" s="70">
        <v>0</v>
      </c>
      <c r="J371" s="70" t="s">
        <v>1742</v>
      </c>
      <c r="K371" s="70" t="s">
        <v>790</v>
      </c>
      <c r="L371" s="70">
        <v>80</v>
      </c>
      <c r="M371" s="70"/>
      <c r="N371" s="70" t="str">
        <f t="shared" si="19"/>
        <v>AttributeDamageRate(AttributeGold, 80)</v>
      </c>
      <c r="O371" s="70">
        <v>0</v>
      </c>
      <c r="P371" s="70">
        <v>0</v>
      </c>
      <c r="Q371" s="70"/>
      <c r="R371" s="70" t="b">
        <v>0</v>
      </c>
    </row>
    <row r="372" spans="1:18">
      <c r="A372" s="70" t="s">
        <v>966</v>
      </c>
      <c r="B372" s="70"/>
      <c r="C372" s="70"/>
      <c r="D372" s="70">
        <v>0</v>
      </c>
      <c r="E372" s="70">
        <v>1</v>
      </c>
      <c r="F372" s="70" t="s">
        <v>611</v>
      </c>
      <c r="G372" s="70" t="s">
        <v>612</v>
      </c>
      <c r="H372" s="70"/>
      <c r="I372" s="70">
        <v>0</v>
      </c>
      <c r="J372" s="70" t="s">
        <v>1742</v>
      </c>
      <c r="K372" s="70" t="s">
        <v>790</v>
      </c>
      <c r="L372" s="70">
        <v>80</v>
      </c>
      <c r="M372" s="70"/>
      <c r="N372" s="70" t="str">
        <f t="shared" si="19"/>
        <v>AttributeDamageRate(AttributeGold, 80)</v>
      </c>
      <c r="O372" s="70">
        <v>0</v>
      </c>
      <c r="P372" s="70">
        <v>0</v>
      </c>
      <c r="Q372" s="70"/>
      <c r="R372" s="70" t="b">
        <v>0</v>
      </c>
    </row>
    <row r="373" spans="1:18">
      <c r="A373" s="70" t="s">
        <v>967</v>
      </c>
      <c r="B373" s="70"/>
      <c r="C373" s="70"/>
      <c r="D373" s="70">
        <v>0</v>
      </c>
      <c r="E373" s="70">
        <v>1</v>
      </c>
      <c r="F373" s="70" t="s">
        <v>611</v>
      </c>
      <c r="G373" s="70" t="s">
        <v>612</v>
      </c>
      <c r="H373" s="70"/>
      <c r="I373" s="70">
        <v>0</v>
      </c>
      <c r="J373" s="70" t="s">
        <v>1742</v>
      </c>
      <c r="K373" s="70" t="s">
        <v>790</v>
      </c>
      <c r="L373" s="70">
        <v>90</v>
      </c>
      <c r="M373" s="70"/>
      <c r="N373" s="70" t="str">
        <f t="shared" si="19"/>
        <v>AttributeDamageRate(AttributeGold, 90)</v>
      </c>
      <c r="O373" s="70">
        <v>0</v>
      </c>
      <c r="P373" s="70">
        <v>0</v>
      </c>
      <c r="Q373" s="70"/>
      <c r="R373" s="70" t="b">
        <v>0</v>
      </c>
    </row>
    <row r="374" spans="1:18">
      <c r="A374" s="70" t="s">
        <v>968</v>
      </c>
      <c r="B374" s="70"/>
      <c r="C374" s="70"/>
      <c r="D374" s="70">
        <v>0</v>
      </c>
      <c r="E374" s="70">
        <v>1</v>
      </c>
      <c r="F374" s="70" t="s">
        <v>611</v>
      </c>
      <c r="G374" s="70" t="s">
        <v>612</v>
      </c>
      <c r="H374" s="70"/>
      <c r="I374" s="70">
        <v>0</v>
      </c>
      <c r="J374" s="70" t="s">
        <v>1742</v>
      </c>
      <c r="K374" s="70" t="s">
        <v>790</v>
      </c>
      <c r="L374" s="70">
        <v>90</v>
      </c>
      <c r="M374" s="70"/>
      <c r="N374" s="70" t="str">
        <f t="shared" ref="N374:N412" si="20">J374&amp;"("&amp;IF(K374="","",K374)&amp;IF(L374="","",", "&amp;L374)&amp;IF(M374="","",", "&amp;M374)&amp;")"</f>
        <v>AttributeDamageRate(AttributeGold, 90)</v>
      </c>
      <c r="O374" s="70">
        <v>0</v>
      </c>
      <c r="P374" s="70">
        <v>0</v>
      </c>
      <c r="Q374" s="70"/>
      <c r="R374" s="70" t="b">
        <v>0</v>
      </c>
    </row>
    <row r="375" spans="1:18">
      <c r="A375" s="70" t="s">
        <v>969</v>
      </c>
      <c r="B375" s="70"/>
      <c r="C375" s="70"/>
      <c r="D375" s="70">
        <v>0</v>
      </c>
      <c r="E375" s="70">
        <v>1</v>
      </c>
      <c r="F375" s="70" t="s">
        <v>611</v>
      </c>
      <c r="G375" s="70" t="s">
        <v>612</v>
      </c>
      <c r="H375" s="70"/>
      <c r="I375" s="70">
        <v>0</v>
      </c>
      <c r="J375" s="70" t="s">
        <v>1742</v>
      </c>
      <c r="K375" s="70" t="s">
        <v>790</v>
      </c>
      <c r="L375" s="70">
        <v>99.999999999999986</v>
      </c>
      <c r="M375" s="70"/>
      <c r="N375" s="70" t="str">
        <f t="shared" si="20"/>
        <v>AttributeDamageRate(AttributeGold, 100)</v>
      </c>
      <c r="O375" s="70">
        <v>0</v>
      </c>
      <c r="P375" s="70">
        <v>0</v>
      </c>
      <c r="Q375" s="70"/>
      <c r="R375" s="70" t="b">
        <v>0</v>
      </c>
    </row>
    <row r="376" spans="1:18">
      <c r="A376" s="70" t="s">
        <v>970</v>
      </c>
      <c r="B376" s="70"/>
      <c r="C376" s="70"/>
      <c r="D376" s="70">
        <v>0</v>
      </c>
      <c r="E376" s="70">
        <v>1</v>
      </c>
      <c r="F376" s="70" t="s">
        <v>611</v>
      </c>
      <c r="G376" s="70" t="s">
        <v>612</v>
      </c>
      <c r="H376" s="70"/>
      <c r="I376" s="70">
        <v>0</v>
      </c>
      <c r="J376" s="70" t="s">
        <v>1742</v>
      </c>
      <c r="K376" s="70" t="s">
        <v>790</v>
      </c>
      <c r="L376" s="70">
        <v>99.999999999999986</v>
      </c>
      <c r="M376" s="70"/>
      <c r="N376" s="70" t="str">
        <f t="shared" si="20"/>
        <v>AttributeDamageRate(AttributeGold, 100)</v>
      </c>
      <c r="O376" s="70">
        <v>0</v>
      </c>
      <c r="P376" s="70">
        <v>0</v>
      </c>
      <c r="Q376" s="70"/>
      <c r="R376" s="70" t="b">
        <v>0</v>
      </c>
    </row>
    <row r="377" spans="1:18">
      <c r="A377" s="70" t="s">
        <v>971</v>
      </c>
      <c r="B377" s="70"/>
      <c r="C377" s="70"/>
      <c r="D377" s="70">
        <v>0</v>
      </c>
      <c r="E377" s="70">
        <v>1</v>
      </c>
      <c r="F377" s="70" t="s">
        <v>611</v>
      </c>
      <c r="G377" s="70" t="s">
        <v>612</v>
      </c>
      <c r="H377" s="70"/>
      <c r="I377" s="70">
        <v>0</v>
      </c>
      <c r="J377" s="70" t="s">
        <v>1742</v>
      </c>
      <c r="K377" s="70" t="s">
        <v>790</v>
      </c>
      <c r="L377" s="70">
        <v>109.99999999999999</v>
      </c>
      <c r="M377" s="70"/>
      <c r="N377" s="70" t="str">
        <f t="shared" si="20"/>
        <v>AttributeDamageRate(AttributeGold, 110)</v>
      </c>
      <c r="O377" s="70">
        <v>0</v>
      </c>
      <c r="P377" s="70">
        <v>0</v>
      </c>
      <c r="Q377" s="70"/>
      <c r="R377" s="70" t="b">
        <v>0</v>
      </c>
    </row>
    <row r="378" spans="1:18">
      <c r="A378" s="70" t="s">
        <v>972</v>
      </c>
      <c r="B378" s="70"/>
      <c r="C378" s="70"/>
      <c r="D378" s="70">
        <v>0</v>
      </c>
      <c r="E378" s="70">
        <v>1</v>
      </c>
      <c r="F378" s="70" t="s">
        <v>611</v>
      </c>
      <c r="G378" s="70" t="s">
        <v>612</v>
      </c>
      <c r="H378" s="70"/>
      <c r="I378" s="70">
        <v>0</v>
      </c>
      <c r="J378" s="70" t="s">
        <v>1742</v>
      </c>
      <c r="K378" s="70" t="s">
        <v>790</v>
      </c>
      <c r="L378" s="70">
        <v>109.99999999999999</v>
      </c>
      <c r="M378" s="70"/>
      <c r="N378" s="70" t="str">
        <f t="shared" si="20"/>
        <v>AttributeDamageRate(AttributeGold, 110)</v>
      </c>
      <c r="O378" s="70">
        <v>0</v>
      </c>
      <c r="P378" s="70">
        <v>0</v>
      </c>
      <c r="Q378" s="70"/>
      <c r="R378" s="70" t="b">
        <v>0</v>
      </c>
    </row>
    <row r="379" spans="1:18">
      <c r="A379" s="70" t="s">
        <v>973</v>
      </c>
      <c r="B379" s="70"/>
      <c r="C379" s="70"/>
      <c r="D379" s="70">
        <v>0</v>
      </c>
      <c r="E379" s="70">
        <v>1</v>
      </c>
      <c r="F379" s="70" t="s">
        <v>611</v>
      </c>
      <c r="G379" s="70" t="s">
        <v>612</v>
      </c>
      <c r="H379" s="70"/>
      <c r="I379" s="70">
        <v>0</v>
      </c>
      <c r="J379" s="70" t="s">
        <v>1742</v>
      </c>
      <c r="K379" s="70" t="s">
        <v>790</v>
      </c>
      <c r="L379" s="70">
        <v>119.99999999999999</v>
      </c>
      <c r="M379" s="70"/>
      <c r="N379" s="70" t="str">
        <f t="shared" si="20"/>
        <v>AttributeDamageRate(AttributeGold, 120)</v>
      </c>
      <c r="O379" s="70">
        <v>0</v>
      </c>
      <c r="P379" s="70">
        <v>0</v>
      </c>
      <c r="Q379" s="70"/>
      <c r="R379" s="70" t="b">
        <v>0</v>
      </c>
    </row>
    <row r="380" spans="1:18">
      <c r="A380" s="70" t="s">
        <v>974</v>
      </c>
      <c r="B380" s="70"/>
      <c r="C380" s="70"/>
      <c r="D380" s="70">
        <v>0</v>
      </c>
      <c r="E380" s="70">
        <v>1</v>
      </c>
      <c r="F380" s="70" t="s">
        <v>611</v>
      </c>
      <c r="G380" s="70" t="s">
        <v>612</v>
      </c>
      <c r="H380" s="70"/>
      <c r="I380" s="70">
        <v>0</v>
      </c>
      <c r="J380" s="70" t="s">
        <v>1742</v>
      </c>
      <c r="K380" s="70" t="s">
        <v>790</v>
      </c>
      <c r="L380" s="70">
        <v>119.99999999999999</v>
      </c>
      <c r="M380" s="70"/>
      <c r="N380" s="70" t="str">
        <f t="shared" si="20"/>
        <v>AttributeDamageRate(AttributeGold, 120)</v>
      </c>
      <c r="O380" s="70">
        <v>0</v>
      </c>
      <c r="P380" s="70">
        <v>0</v>
      </c>
      <c r="Q380" s="70"/>
      <c r="R380" s="70" t="b">
        <v>0</v>
      </c>
    </row>
    <row r="381" spans="1:18">
      <c r="A381" s="70" t="s">
        <v>975</v>
      </c>
      <c r="B381" s="70"/>
      <c r="C381" s="70"/>
      <c r="D381" s="70">
        <v>0</v>
      </c>
      <c r="E381" s="70">
        <v>1</v>
      </c>
      <c r="F381" s="70" t="s">
        <v>611</v>
      </c>
      <c r="G381" s="70" t="s">
        <v>612</v>
      </c>
      <c r="H381" s="70"/>
      <c r="I381" s="70">
        <v>0</v>
      </c>
      <c r="J381" s="70" t="s">
        <v>1742</v>
      </c>
      <c r="K381" s="70" t="s">
        <v>790</v>
      </c>
      <c r="L381" s="70">
        <v>129.99999999999997</v>
      </c>
      <c r="M381" s="70"/>
      <c r="N381" s="70" t="str">
        <f t="shared" si="20"/>
        <v>AttributeDamageRate(AttributeGold, 130)</v>
      </c>
      <c r="O381" s="70">
        <v>0</v>
      </c>
      <c r="P381" s="70">
        <v>0</v>
      </c>
      <c r="Q381" s="70"/>
      <c r="R381" s="70" t="b">
        <v>0</v>
      </c>
    </row>
    <row r="382" spans="1:18">
      <c r="A382" s="70" t="s">
        <v>976</v>
      </c>
      <c r="B382" s="70"/>
      <c r="C382" s="70"/>
      <c r="D382" s="70">
        <v>0</v>
      </c>
      <c r="E382" s="70">
        <v>1</v>
      </c>
      <c r="F382" s="70" t="s">
        <v>611</v>
      </c>
      <c r="G382" s="70" t="s">
        <v>612</v>
      </c>
      <c r="H382" s="70"/>
      <c r="I382" s="70">
        <v>0</v>
      </c>
      <c r="J382" s="70" t="s">
        <v>1742</v>
      </c>
      <c r="K382" s="70" t="s">
        <v>790</v>
      </c>
      <c r="L382" s="70">
        <v>129.99999999999997</v>
      </c>
      <c r="M382" s="70"/>
      <c r="N382" s="70" t="str">
        <f t="shared" si="20"/>
        <v>AttributeDamageRate(AttributeGold, 130)</v>
      </c>
      <c r="O382" s="70">
        <v>0</v>
      </c>
      <c r="P382" s="70">
        <v>0</v>
      </c>
      <c r="Q382" s="70"/>
      <c r="R382" s="70" t="b">
        <v>0</v>
      </c>
    </row>
    <row r="383" spans="1:18">
      <c r="A383" s="70" t="s">
        <v>977</v>
      </c>
      <c r="B383" s="70"/>
      <c r="C383" s="70"/>
      <c r="D383" s="70">
        <v>0</v>
      </c>
      <c r="E383" s="70">
        <v>1</v>
      </c>
      <c r="F383" s="70" t="s">
        <v>611</v>
      </c>
      <c r="G383" s="70" t="s">
        <v>612</v>
      </c>
      <c r="H383" s="70"/>
      <c r="I383" s="70">
        <v>0</v>
      </c>
      <c r="J383" s="70" t="s">
        <v>1742</v>
      </c>
      <c r="K383" s="70" t="s">
        <v>790</v>
      </c>
      <c r="L383" s="70">
        <v>139.99999999999997</v>
      </c>
      <c r="M383" s="70"/>
      <c r="N383" s="70" t="str">
        <f t="shared" si="20"/>
        <v>AttributeDamageRate(AttributeGold, 140)</v>
      </c>
      <c r="O383" s="70">
        <v>0</v>
      </c>
      <c r="P383" s="70">
        <v>0</v>
      </c>
      <c r="Q383" s="70"/>
      <c r="R383" s="70" t="b">
        <v>0</v>
      </c>
    </row>
    <row r="384" spans="1:18">
      <c r="A384" s="70" t="s">
        <v>978</v>
      </c>
      <c r="B384" s="70"/>
      <c r="C384" s="70"/>
      <c r="D384" s="70">
        <v>0</v>
      </c>
      <c r="E384" s="70">
        <v>1</v>
      </c>
      <c r="F384" s="70" t="s">
        <v>611</v>
      </c>
      <c r="G384" s="70" t="s">
        <v>612</v>
      </c>
      <c r="H384" s="70"/>
      <c r="I384" s="70">
        <v>0</v>
      </c>
      <c r="J384" s="70" t="s">
        <v>1742</v>
      </c>
      <c r="K384" s="70" t="s">
        <v>790</v>
      </c>
      <c r="L384" s="70">
        <v>139.99999999999997</v>
      </c>
      <c r="M384" s="70"/>
      <c r="N384" s="70" t="str">
        <f t="shared" si="20"/>
        <v>AttributeDamageRate(AttributeGold, 140)</v>
      </c>
      <c r="O384" s="70">
        <v>0</v>
      </c>
      <c r="P384" s="70">
        <v>0</v>
      </c>
      <c r="Q384" s="70"/>
      <c r="R384" s="70" t="b">
        <v>0</v>
      </c>
    </row>
    <row r="385" spans="1:18">
      <c r="A385" s="70" t="s">
        <v>979</v>
      </c>
      <c r="B385" s="70"/>
      <c r="C385" s="70"/>
      <c r="D385" s="70">
        <v>0</v>
      </c>
      <c r="E385" s="70">
        <v>1</v>
      </c>
      <c r="F385" s="70" t="s">
        <v>611</v>
      </c>
      <c r="G385" s="70" t="s">
        <v>612</v>
      </c>
      <c r="H385" s="70"/>
      <c r="I385" s="70">
        <v>0</v>
      </c>
      <c r="J385" s="70" t="s">
        <v>1742</v>
      </c>
      <c r="K385" s="70" t="s">
        <v>790</v>
      </c>
      <c r="L385" s="70">
        <v>150</v>
      </c>
      <c r="M385" s="70"/>
      <c r="N385" s="70" t="str">
        <f t="shared" si="20"/>
        <v>AttributeDamageRate(AttributeGold, 150)</v>
      </c>
      <c r="O385" s="70">
        <v>0</v>
      </c>
      <c r="P385" s="70">
        <v>0</v>
      </c>
      <c r="Q385" s="70"/>
      <c r="R385" s="70" t="b">
        <v>0</v>
      </c>
    </row>
    <row r="386" spans="1:18">
      <c r="A386" s="69" t="s">
        <v>893</v>
      </c>
      <c r="B386" s="69"/>
      <c r="C386" s="69"/>
      <c r="D386" s="69">
        <v>0</v>
      </c>
      <c r="E386" s="69">
        <v>1</v>
      </c>
      <c r="F386" s="69" t="s">
        <v>611</v>
      </c>
      <c r="G386" s="69" t="s">
        <v>612</v>
      </c>
      <c r="H386" s="69"/>
      <c r="I386" s="69">
        <v>0</v>
      </c>
      <c r="J386" s="69" t="s">
        <v>1746</v>
      </c>
      <c r="K386" s="69" t="s">
        <v>790</v>
      </c>
      <c r="L386" s="69">
        <v>0</v>
      </c>
      <c r="M386" s="69"/>
      <c r="N386" s="69" t="str">
        <f t="shared" si="20"/>
        <v>AttributeDamageDerate(AttributeGold, 0)</v>
      </c>
      <c r="O386" s="69">
        <v>0</v>
      </c>
      <c r="P386" s="69">
        <v>0</v>
      </c>
      <c r="Q386" s="69"/>
      <c r="R386" s="69" t="b">
        <v>0</v>
      </c>
    </row>
    <row r="387" spans="1:18">
      <c r="A387" s="69" t="s">
        <v>894</v>
      </c>
      <c r="B387" s="69"/>
      <c r="C387" s="69"/>
      <c r="D387" s="69">
        <v>0</v>
      </c>
      <c r="E387" s="69">
        <v>1</v>
      </c>
      <c r="F387" s="69" t="s">
        <v>611</v>
      </c>
      <c r="G387" s="69" t="s">
        <v>612</v>
      </c>
      <c r="H387" s="69"/>
      <c r="I387" s="69">
        <v>0</v>
      </c>
      <c r="J387" s="69" t="s">
        <v>1746</v>
      </c>
      <c r="K387" s="69" t="s">
        <v>790</v>
      </c>
      <c r="L387" s="69">
        <v>10</v>
      </c>
      <c r="M387" s="69"/>
      <c r="N387" s="69" t="str">
        <f t="shared" si="20"/>
        <v>AttributeDamageDerate(AttributeGold, 10)</v>
      </c>
      <c r="O387" s="69">
        <v>0</v>
      </c>
      <c r="P387" s="69">
        <v>0</v>
      </c>
      <c r="Q387" s="69"/>
      <c r="R387" s="69" t="b">
        <v>0</v>
      </c>
    </row>
    <row r="388" spans="1:18">
      <c r="A388" s="69" t="s">
        <v>895</v>
      </c>
      <c r="B388" s="69"/>
      <c r="C388" s="69"/>
      <c r="D388" s="69">
        <v>0</v>
      </c>
      <c r="E388" s="69">
        <v>1</v>
      </c>
      <c r="F388" s="69" t="s">
        <v>611</v>
      </c>
      <c r="G388" s="69" t="s">
        <v>612</v>
      </c>
      <c r="H388" s="69"/>
      <c r="I388" s="69">
        <v>0</v>
      </c>
      <c r="J388" s="69" t="s">
        <v>1746</v>
      </c>
      <c r="K388" s="69" t="s">
        <v>790</v>
      </c>
      <c r="L388" s="69">
        <v>10</v>
      </c>
      <c r="M388" s="69"/>
      <c r="N388" s="69" t="str">
        <f t="shared" si="20"/>
        <v>AttributeDamageDerate(AttributeGold, 10)</v>
      </c>
      <c r="O388" s="69">
        <v>0</v>
      </c>
      <c r="P388" s="69">
        <v>0</v>
      </c>
      <c r="Q388" s="69"/>
      <c r="R388" s="69" t="b">
        <v>0</v>
      </c>
    </row>
    <row r="389" spans="1:18">
      <c r="A389" s="69" t="s">
        <v>896</v>
      </c>
      <c r="B389" s="69"/>
      <c r="C389" s="69"/>
      <c r="D389" s="69">
        <v>0</v>
      </c>
      <c r="E389" s="69">
        <v>1</v>
      </c>
      <c r="F389" s="69" t="s">
        <v>611</v>
      </c>
      <c r="G389" s="69" t="s">
        <v>612</v>
      </c>
      <c r="H389" s="69"/>
      <c r="I389" s="69">
        <v>0</v>
      </c>
      <c r="J389" s="69" t="s">
        <v>1746</v>
      </c>
      <c r="K389" s="69" t="s">
        <v>790</v>
      </c>
      <c r="L389" s="69">
        <v>20</v>
      </c>
      <c r="M389" s="69"/>
      <c r="N389" s="69" t="str">
        <f t="shared" si="20"/>
        <v>AttributeDamageDerate(AttributeGold, 20)</v>
      </c>
      <c r="O389" s="69">
        <v>0</v>
      </c>
      <c r="P389" s="69">
        <v>0</v>
      </c>
      <c r="Q389" s="69"/>
      <c r="R389" s="69" t="b">
        <v>0</v>
      </c>
    </row>
    <row r="390" spans="1:18">
      <c r="A390" s="69" t="s">
        <v>897</v>
      </c>
      <c r="B390" s="69"/>
      <c r="C390" s="69"/>
      <c r="D390" s="69">
        <v>0</v>
      </c>
      <c r="E390" s="69">
        <v>1</v>
      </c>
      <c r="F390" s="69" t="s">
        <v>611</v>
      </c>
      <c r="G390" s="69" t="s">
        <v>612</v>
      </c>
      <c r="H390" s="69"/>
      <c r="I390" s="69">
        <v>0</v>
      </c>
      <c r="J390" s="69" t="s">
        <v>1746</v>
      </c>
      <c r="K390" s="69" t="s">
        <v>790</v>
      </c>
      <c r="L390" s="69">
        <v>20</v>
      </c>
      <c r="M390" s="69"/>
      <c r="N390" s="69" t="str">
        <f t="shared" si="20"/>
        <v>AttributeDamageDerate(AttributeGold, 20)</v>
      </c>
      <c r="O390" s="69">
        <v>0</v>
      </c>
      <c r="P390" s="69">
        <v>0</v>
      </c>
      <c r="Q390" s="69"/>
      <c r="R390" s="69" t="b">
        <v>0</v>
      </c>
    </row>
    <row r="391" spans="1:18">
      <c r="A391" s="69" t="s">
        <v>898</v>
      </c>
      <c r="B391" s="69"/>
      <c r="C391" s="69"/>
      <c r="D391" s="69">
        <v>0</v>
      </c>
      <c r="E391" s="69">
        <v>1</v>
      </c>
      <c r="F391" s="69" t="s">
        <v>611</v>
      </c>
      <c r="G391" s="69" t="s">
        <v>612</v>
      </c>
      <c r="H391" s="69"/>
      <c r="I391" s="69">
        <v>0</v>
      </c>
      <c r="J391" s="69" t="s">
        <v>1746</v>
      </c>
      <c r="K391" s="69" t="s">
        <v>790</v>
      </c>
      <c r="L391" s="69">
        <v>30</v>
      </c>
      <c r="M391" s="69"/>
      <c r="N391" s="69" t="str">
        <f t="shared" si="20"/>
        <v>AttributeDamageDerate(AttributeGold, 30)</v>
      </c>
      <c r="O391" s="69">
        <v>0</v>
      </c>
      <c r="P391" s="69">
        <v>0</v>
      </c>
      <c r="Q391" s="69"/>
      <c r="R391" s="69" t="b">
        <v>0</v>
      </c>
    </row>
    <row r="392" spans="1:18">
      <c r="A392" s="69" t="s">
        <v>899</v>
      </c>
      <c r="B392" s="69"/>
      <c r="C392" s="69"/>
      <c r="D392" s="69">
        <v>0</v>
      </c>
      <c r="E392" s="69">
        <v>1</v>
      </c>
      <c r="F392" s="69" t="s">
        <v>611</v>
      </c>
      <c r="G392" s="69" t="s">
        <v>612</v>
      </c>
      <c r="H392" s="69"/>
      <c r="I392" s="69">
        <v>0</v>
      </c>
      <c r="J392" s="69" t="s">
        <v>1746</v>
      </c>
      <c r="K392" s="69" t="s">
        <v>790</v>
      </c>
      <c r="L392" s="69">
        <v>30</v>
      </c>
      <c r="M392" s="69"/>
      <c r="N392" s="69" t="str">
        <f t="shared" si="20"/>
        <v>AttributeDamageDerate(AttributeGold, 30)</v>
      </c>
      <c r="O392" s="69">
        <v>0</v>
      </c>
      <c r="P392" s="69">
        <v>0</v>
      </c>
      <c r="Q392" s="69"/>
      <c r="R392" s="69" t="b">
        <v>0</v>
      </c>
    </row>
    <row r="393" spans="1:18">
      <c r="A393" s="69" t="s">
        <v>900</v>
      </c>
      <c r="B393" s="69"/>
      <c r="C393" s="69"/>
      <c r="D393" s="69">
        <v>0</v>
      </c>
      <c r="E393" s="69">
        <v>1</v>
      </c>
      <c r="F393" s="69" t="s">
        <v>611</v>
      </c>
      <c r="G393" s="69" t="s">
        <v>612</v>
      </c>
      <c r="H393" s="69"/>
      <c r="I393" s="69">
        <v>0</v>
      </c>
      <c r="J393" s="69" t="s">
        <v>1746</v>
      </c>
      <c r="K393" s="69" t="s">
        <v>790</v>
      </c>
      <c r="L393" s="69">
        <v>40</v>
      </c>
      <c r="M393" s="69"/>
      <c r="N393" s="69" t="str">
        <f t="shared" si="20"/>
        <v>AttributeDamageDerate(AttributeGold, 40)</v>
      </c>
      <c r="O393" s="69">
        <v>0</v>
      </c>
      <c r="P393" s="69">
        <v>0</v>
      </c>
      <c r="Q393" s="69"/>
      <c r="R393" s="69" t="b">
        <v>0</v>
      </c>
    </row>
    <row r="394" spans="1:18">
      <c r="A394" s="69" t="s">
        <v>901</v>
      </c>
      <c r="B394" s="69"/>
      <c r="C394" s="69"/>
      <c r="D394" s="69">
        <v>0</v>
      </c>
      <c r="E394" s="69">
        <v>1</v>
      </c>
      <c r="F394" s="69" t="s">
        <v>611</v>
      </c>
      <c r="G394" s="69" t="s">
        <v>612</v>
      </c>
      <c r="H394" s="69"/>
      <c r="I394" s="69">
        <v>0</v>
      </c>
      <c r="J394" s="69" t="s">
        <v>1746</v>
      </c>
      <c r="K394" s="69" t="s">
        <v>790</v>
      </c>
      <c r="L394" s="69">
        <v>40</v>
      </c>
      <c r="M394" s="69"/>
      <c r="N394" s="69" t="str">
        <f t="shared" si="20"/>
        <v>AttributeDamageDerate(AttributeGold, 40)</v>
      </c>
      <c r="O394" s="69">
        <v>0</v>
      </c>
      <c r="P394" s="69">
        <v>0</v>
      </c>
      <c r="Q394" s="69"/>
      <c r="R394" s="69" t="b">
        <v>0</v>
      </c>
    </row>
    <row r="395" spans="1:18">
      <c r="A395" s="69" t="s">
        <v>902</v>
      </c>
      <c r="B395" s="69"/>
      <c r="C395" s="69"/>
      <c r="D395" s="69">
        <v>0</v>
      </c>
      <c r="E395" s="69">
        <v>1</v>
      </c>
      <c r="F395" s="69" t="s">
        <v>611</v>
      </c>
      <c r="G395" s="69" t="s">
        <v>612</v>
      </c>
      <c r="H395" s="69"/>
      <c r="I395" s="69">
        <v>0</v>
      </c>
      <c r="J395" s="69" t="s">
        <v>1746</v>
      </c>
      <c r="K395" s="69" t="s">
        <v>790</v>
      </c>
      <c r="L395" s="69">
        <v>50</v>
      </c>
      <c r="M395" s="69"/>
      <c r="N395" s="69" t="str">
        <f t="shared" si="20"/>
        <v>AttributeDamageDerate(AttributeGold, 50)</v>
      </c>
      <c r="O395" s="69">
        <v>0</v>
      </c>
      <c r="P395" s="69">
        <v>0</v>
      </c>
      <c r="Q395" s="69"/>
      <c r="R395" s="69" t="b">
        <v>0</v>
      </c>
    </row>
    <row r="396" spans="1:18">
      <c r="A396" s="69" t="s">
        <v>903</v>
      </c>
      <c r="B396" s="69"/>
      <c r="C396" s="69"/>
      <c r="D396" s="69">
        <v>0</v>
      </c>
      <c r="E396" s="69">
        <v>1</v>
      </c>
      <c r="F396" s="69" t="s">
        <v>611</v>
      </c>
      <c r="G396" s="69" t="s">
        <v>612</v>
      </c>
      <c r="H396" s="69"/>
      <c r="I396" s="69">
        <v>0</v>
      </c>
      <c r="J396" s="69" t="s">
        <v>1746</v>
      </c>
      <c r="K396" s="69" t="s">
        <v>790</v>
      </c>
      <c r="L396" s="69">
        <v>50</v>
      </c>
      <c r="M396" s="69"/>
      <c r="N396" s="69" t="str">
        <f t="shared" si="20"/>
        <v>AttributeDamageDerate(AttributeGold, 50)</v>
      </c>
      <c r="O396" s="69">
        <v>0</v>
      </c>
      <c r="P396" s="69">
        <v>0</v>
      </c>
      <c r="Q396" s="69"/>
      <c r="R396" s="69" t="b">
        <v>0</v>
      </c>
    </row>
    <row r="397" spans="1:18">
      <c r="A397" s="69" t="s">
        <v>904</v>
      </c>
      <c r="B397" s="69"/>
      <c r="C397" s="69"/>
      <c r="D397" s="69">
        <v>0</v>
      </c>
      <c r="E397" s="69">
        <v>1</v>
      </c>
      <c r="F397" s="69" t="s">
        <v>611</v>
      </c>
      <c r="G397" s="69" t="s">
        <v>612</v>
      </c>
      <c r="H397" s="69"/>
      <c r="I397" s="69">
        <v>0</v>
      </c>
      <c r="J397" s="69" t="s">
        <v>1746</v>
      </c>
      <c r="K397" s="69" t="s">
        <v>790</v>
      </c>
      <c r="L397" s="69">
        <v>60.000000000000007</v>
      </c>
      <c r="M397" s="69"/>
      <c r="N397" s="69" t="str">
        <f t="shared" si="20"/>
        <v>AttributeDamageDerate(AttributeGold, 60)</v>
      </c>
      <c r="O397" s="69">
        <v>0</v>
      </c>
      <c r="P397" s="69">
        <v>0</v>
      </c>
      <c r="Q397" s="69"/>
      <c r="R397" s="69" t="b">
        <v>0</v>
      </c>
    </row>
    <row r="398" spans="1:18">
      <c r="A398" s="69" t="s">
        <v>905</v>
      </c>
      <c r="B398" s="69"/>
      <c r="C398" s="69"/>
      <c r="D398" s="69">
        <v>0</v>
      </c>
      <c r="E398" s="69">
        <v>1</v>
      </c>
      <c r="F398" s="69" t="s">
        <v>611</v>
      </c>
      <c r="G398" s="69" t="s">
        <v>612</v>
      </c>
      <c r="H398" s="69"/>
      <c r="I398" s="69">
        <v>0</v>
      </c>
      <c r="J398" s="69" t="s">
        <v>1746</v>
      </c>
      <c r="K398" s="69" t="s">
        <v>790</v>
      </c>
      <c r="L398" s="69">
        <v>60.000000000000007</v>
      </c>
      <c r="M398" s="69"/>
      <c r="N398" s="69" t="str">
        <f t="shared" si="20"/>
        <v>AttributeDamageDerate(AttributeGold, 60)</v>
      </c>
      <c r="O398" s="69">
        <v>0</v>
      </c>
      <c r="P398" s="69">
        <v>0</v>
      </c>
      <c r="Q398" s="69"/>
      <c r="R398" s="69" t="b">
        <v>0</v>
      </c>
    </row>
    <row r="399" spans="1:18">
      <c r="A399" s="69" t="s">
        <v>906</v>
      </c>
      <c r="B399" s="69"/>
      <c r="C399" s="69"/>
      <c r="D399" s="69">
        <v>0</v>
      </c>
      <c r="E399" s="69">
        <v>1</v>
      </c>
      <c r="F399" s="69" t="s">
        <v>611</v>
      </c>
      <c r="G399" s="69" t="s">
        <v>612</v>
      </c>
      <c r="H399" s="69"/>
      <c r="I399" s="69">
        <v>0</v>
      </c>
      <c r="J399" s="69" t="s">
        <v>1746</v>
      </c>
      <c r="K399" s="69" t="s">
        <v>790</v>
      </c>
      <c r="L399" s="69">
        <v>70</v>
      </c>
      <c r="M399" s="69"/>
      <c r="N399" s="69" t="str">
        <f t="shared" si="20"/>
        <v>AttributeDamageDerate(AttributeGold, 70)</v>
      </c>
      <c r="O399" s="69">
        <v>0</v>
      </c>
      <c r="P399" s="69">
        <v>0</v>
      </c>
      <c r="Q399" s="69"/>
      <c r="R399" s="69" t="b">
        <v>0</v>
      </c>
    </row>
    <row r="400" spans="1:18">
      <c r="A400" s="69" t="s">
        <v>907</v>
      </c>
      <c r="B400" s="69"/>
      <c r="C400" s="69"/>
      <c r="D400" s="69">
        <v>0</v>
      </c>
      <c r="E400" s="69">
        <v>1</v>
      </c>
      <c r="F400" s="69" t="s">
        <v>611</v>
      </c>
      <c r="G400" s="69" t="s">
        <v>612</v>
      </c>
      <c r="H400" s="69"/>
      <c r="I400" s="69">
        <v>0</v>
      </c>
      <c r="J400" s="69" t="s">
        <v>1746</v>
      </c>
      <c r="K400" s="69" t="s">
        <v>790</v>
      </c>
      <c r="L400" s="69">
        <v>70</v>
      </c>
      <c r="M400" s="69"/>
      <c r="N400" s="69" t="str">
        <f t="shared" si="20"/>
        <v>AttributeDamageDerate(AttributeGold, 70)</v>
      </c>
      <c r="O400" s="69">
        <v>0</v>
      </c>
      <c r="P400" s="69">
        <v>0</v>
      </c>
      <c r="Q400" s="69"/>
      <c r="R400" s="69" t="b">
        <v>0</v>
      </c>
    </row>
    <row r="401" spans="1:18">
      <c r="A401" s="69" t="s">
        <v>908</v>
      </c>
      <c r="B401" s="69"/>
      <c r="C401" s="69"/>
      <c r="D401" s="69">
        <v>0</v>
      </c>
      <c r="E401" s="69">
        <v>1</v>
      </c>
      <c r="F401" s="69" t="s">
        <v>611</v>
      </c>
      <c r="G401" s="69" t="s">
        <v>612</v>
      </c>
      <c r="H401" s="69"/>
      <c r="I401" s="69">
        <v>0</v>
      </c>
      <c r="J401" s="69" t="s">
        <v>1746</v>
      </c>
      <c r="K401" s="69" t="s">
        <v>790</v>
      </c>
      <c r="L401" s="69">
        <v>80</v>
      </c>
      <c r="M401" s="69"/>
      <c r="N401" s="69" t="str">
        <f t="shared" si="20"/>
        <v>AttributeDamageDerate(AttributeGold, 80)</v>
      </c>
      <c r="O401" s="69">
        <v>0</v>
      </c>
      <c r="P401" s="69">
        <v>0</v>
      </c>
      <c r="Q401" s="69"/>
      <c r="R401" s="69" t="b">
        <v>0</v>
      </c>
    </row>
    <row r="402" spans="1:18">
      <c r="A402" s="69" t="s">
        <v>909</v>
      </c>
      <c r="B402" s="69"/>
      <c r="C402" s="69"/>
      <c r="D402" s="69">
        <v>0</v>
      </c>
      <c r="E402" s="69">
        <v>1</v>
      </c>
      <c r="F402" s="69" t="s">
        <v>611</v>
      </c>
      <c r="G402" s="69" t="s">
        <v>612</v>
      </c>
      <c r="H402" s="69"/>
      <c r="I402" s="69">
        <v>0</v>
      </c>
      <c r="J402" s="69" t="s">
        <v>1746</v>
      </c>
      <c r="K402" s="69" t="s">
        <v>790</v>
      </c>
      <c r="L402" s="69">
        <v>80</v>
      </c>
      <c r="M402" s="69"/>
      <c r="N402" s="69" t="str">
        <f t="shared" si="20"/>
        <v>AttributeDamageDerate(AttributeGold, 80)</v>
      </c>
      <c r="O402" s="69">
        <v>0</v>
      </c>
      <c r="P402" s="69">
        <v>0</v>
      </c>
      <c r="Q402" s="69"/>
      <c r="R402" s="69" t="b">
        <v>0</v>
      </c>
    </row>
    <row r="403" spans="1:18">
      <c r="A403" s="69" t="s">
        <v>910</v>
      </c>
      <c r="B403" s="69"/>
      <c r="C403" s="69"/>
      <c r="D403" s="69">
        <v>0</v>
      </c>
      <c r="E403" s="69">
        <v>1</v>
      </c>
      <c r="F403" s="69" t="s">
        <v>611</v>
      </c>
      <c r="G403" s="69" t="s">
        <v>612</v>
      </c>
      <c r="H403" s="69"/>
      <c r="I403" s="69">
        <v>0</v>
      </c>
      <c r="J403" s="69" t="s">
        <v>1746</v>
      </c>
      <c r="K403" s="69" t="s">
        <v>790</v>
      </c>
      <c r="L403" s="69">
        <v>90</v>
      </c>
      <c r="M403" s="69"/>
      <c r="N403" s="69" t="str">
        <f t="shared" si="20"/>
        <v>AttributeDamageDerate(AttributeGold, 90)</v>
      </c>
      <c r="O403" s="69">
        <v>0</v>
      </c>
      <c r="P403" s="69">
        <v>0</v>
      </c>
      <c r="Q403" s="69"/>
      <c r="R403" s="69" t="b">
        <v>0</v>
      </c>
    </row>
    <row r="404" spans="1:18">
      <c r="A404" s="69" t="s">
        <v>911</v>
      </c>
      <c r="B404" s="69"/>
      <c r="C404" s="69"/>
      <c r="D404" s="69">
        <v>0</v>
      </c>
      <c r="E404" s="69">
        <v>1</v>
      </c>
      <c r="F404" s="69" t="s">
        <v>611</v>
      </c>
      <c r="G404" s="69" t="s">
        <v>612</v>
      </c>
      <c r="H404" s="69"/>
      <c r="I404" s="69">
        <v>0</v>
      </c>
      <c r="J404" s="69" t="s">
        <v>1746</v>
      </c>
      <c r="K404" s="69" t="s">
        <v>790</v>
      </c>
      <c r="L404" s="69">
        <v>90</v>
      </c>
      <c r="M404" s="69"/>
      <c r="N404" s="69" t="str">
        <f t="shared" si="20"/>
        <v>AttributeDamageDerate(AttributeGold, 90)</v>
      </c>
      <c r="O404" s="69">
        <v>0</v>
      </c>
      <c r="P404" s="69">
        <v>0</v>
      </c>
      <c r="Q404" s="69"/>
      <c r="R404" s="69" t="b">
        <v>0</v>
      </c>
    </row>
    <row r="405" spans="1:18">
      <c r="A405" s="69" t="s">
        <v>912</v>
      </c>
      <c r="B405" s="69"/>
      <c r="C405" s="69"/>
      <c r="D405" s="69">
        <v>0</v>
      </c>
      <c r="E405" s="69">
        <v>1</v>
      </c>
      <c r="F405" s="69" t="s">
        <v>611</v>
      </c>
      <c r="G405" s="69" t="s">
        <v>612</v>
      </c>
      <c r="H405" s="69"/>
      <c r="I405" s="69">
        <v>0</v>
      </c>
      <c r="J405" s="69" t="s">
        <v>1746</v>
      </c>
      <c r="K405" s="69" t="s">
        <v>790</v>
      </c>
      <c r="L405" s="69">
        <v>99.999999999999986</v>
      </c>
      <c r="M405" s="69"/>
      <c r="N405" s="69" t="str">
        <f t="shared" si="20"/>
        <v>AttributeDamageDerate(AttributeGold, 100)</v>
      </c>
      <c r="O405" s="69">
        <v>0</v>
      </c>
      <c r="P405" s="69">
        <v>0</v>
      </c>
      <c r="Q405" s="69"/>
      <c r="R405" s="69" t="b">
        <v>0</v>
      </c>
    </row>
    <row r="406" spans="1:18">
      <c r="A406" s="69" t="s">
        <v>913</v>
      </c>
      <c r="B406" s="69"/>
      <c r="C406" s="69"/>
      <c r="D406" s="69">
        <v>0</v>
      </c>
      <c r="E406" s="69">
        <v>1</v>
      </c>
      <c r="F406" s="69" t="s">
        <v>611</v>
      </c>
      <c r="G406" s="69" t="s">
        <v>612</v>
      </c>
      <c r="H406" s="69"/>
      <c r="I406" s="69">
        <v>0</v>
      </c>
      <c r="J406" s="69" t="s">
        <v>1746</v>
      </c>
      <c r="K406" s="69" t="s">
        <v>790</v>
      </c>
      <c r="L406" s="69">
        <v>99.999999999999986</v>
      </c>
      <c r="M406" s="69"/>
      <c r="N406" s="69" t="str">
        <f t="shared" si="20"/>
        <v>AttributeDamageDerate(AttributeGold, 100)</v>
      </c>
      <c r="O406" s="69">
        <v>0</v>
      </c>
      <c r="P406" s="69">
        <v>0</v>
      </c>
      <c r="Q406" s="69"/>
      <c r="R406" s="69" t="b">
        <v>0</v>
      </c>
    </row>
    <row r="407" spans="1:18">
      <c r="A407" s="69" t="s">
        <v>914</v>
      </c>
      <c r="B407" s="69"/>
      <c r="C407" s="69"/>
      <c r="D407" s="69">
        <v>0</v>
      </c>
      <c r="E407" s="69">
        <v>1</v>
      </c>
      <c r="F407" s="69" t="s">
        <v>611</v>
      </c>
      <c r="G407" s="69" t="s">
        <v>612</v>
      </c>
      <c r="H407" s="69"/>
      <c r="I407" s="69">
        <v>0</v>
      </c>
      <c r="J407" s="69" t="s">
        <v>1746</v>
      </c>
      <c r="K407" s="69" t="s">
        <v>790</v>
      </c>
      <c r="L407" s="69">
        <v>109.99999999999999</v>
      </c>
      <c r="M407" s="69"/>
      <c r="N407" s="69" t="str">
        <f t="shared" si="20"/>
        <v>AttributeDamageDerate(AttributeGold, 110)</v>
      </c>
      <c r="O407" s="69">
        <v>0</v>
      </c>
      <c r="P407" s="69">
        <v>0</v>
      </c>
      <c r="Q407" s="69"/>
      <c r="R407" s="69" t="b">
        <v>0</v>
      </c>
    </row>
    <row r="408" spans="1:18">
      <c r="A408" s="69" t="s">
        <v>915</v>
      </c>
      <c r="B408" s="69"/>
      <c r="C408" s="69"/>
      <c r="D408" s="69">
        <v>0</v>
      </c>
      <c r="E408" s="69">
        <v>1</v>
      </c>
      <c r="F408" s="69" t="s">
        <v>611</v>
      </c>
      <c r="G408" s="69" t="s">
        <v>612</v>
      </c>
      <c r="H408" s="69"/>
      <c r="I408" s="69">
        <v>0</v>
      </c>
      <c r="J408" s="69" t="s">
        <v>1746</v>
      </c>
      <c r="K408" s="69" t="s">
        <v>790</v>
      </c>
      <c r="L408" s="69">
        <v>109.99999999999999</v>
      </c>
      <c r="M408" s="69"/>
      <c r="N408" s="69" t="str">
        <f t="shared" si="20"/>
        <v>AttributeDamageDerate(AttributeGold, 110)</v>
      </c>
      <c r="O408" s="69">
        <v>0</v>
      </c>
      <c r="P408" s="69">
        <v>0</v>
      </c>
      <c r="Q408" s="69"/>
      <c r="R408" s="69" t="b">
        <v>0</v>
      </c>
    </row>
    <row r="409" spans="1:18">
      <c r="A409" s="69" t="s">
        <v>916</v>
      </c>
      <c r="B409" s="69"/>
      <c r="C409" s="69"/>
      <c r="D409" s="69">
        <v>0</v>
      </c>
      <c r="E409" s="69">
        <v>1</v>
      </c>
      <c r="F409" s="69" t="s">
        <v>611</v>
      </c>
      <c r="G409" s="69" t="s">
        <v>612</v>
      </c>
      <c r="H409" s="69"/>
      <c r="I409" s="69">
        <v>0</v>
      </c>
      <c r="J409" s="69" t="s">
        <v>1746</v>
      </c>
      <c r="K409" s="69" t="s">
        <v>790</v>
      </c>
      <c r="L409" s="69">
        <v>119.99999999999999</v>
      </c>
      <c r="M409" s="69"/>
      <c r="N409" s="69" t="str">
        <f t="shared" si="20"/>
        <v>AttributeDamageDerate(AttributeGold, 120)</v>
      </c>
      <c r="O409" s="69">
        <v>0</v>
      </c>
      <c r="P409" s="69">
        <v>0</v>
      </c>
      <c r="Q409" s="69"/>
      <c r="R409" s="69" t="b">
        <v>0</v>
      </c>
    </row>
    <row r="410" spans="1:18">
      <c r="A410" s="69" t="s">
        <v>917</v>
      </c>
      <c r="B410" s="69"/>
      <c r="C410" s="69"/>
      <c r="D410" s="69">
        <v>0</v>
      </c>
      <c r="E410" s="69">
        <v>1</v>
      </c>
      <c r="F410" s="69" t="s">
        <v>611</v>
      </c>
      <c r="G410" s="69" t="s">
        <v>612</v>
      </c>
      <c r="H410" s="69"/>
      <c r="I410" s="69">
        <v>0</v>
      </c>
      <c r="J410" s="69" t="s">
        <v>1746</v>
      </c>
      <c r="K410" s="69" t="s">
        <v>790</v>
      </c>
      <c r="L410" s="69">
        <v>119.99999999999999</v>
      </c>
      <c r="M410" s="69"/>
      <c r="N410" s="69" t="str">
        <f t="shared" si="20"/>
        <v>AttributeDamageDerate(AttributeGold, 120)</v>
      </c>
      <c r="O410" s="69">
        <v>0</v>
      </c>
      <c r="P410" s="69">
        <v>0</v>
      </c>
      <c r="Q410" s="69"/>
      <c r="R410" s="69" t="b">
        <v>0</v>
      </c>
    </row>
    <row r="411" spans="1:18">
      <c r="A411" s="69" t="s">
        <v>918</v>
      </c>
      <c r="B411" s="69"/>
      <c r="C411" s="69"/>
      <c r="D411" s="69">
        <v>0</v>
      </c>
      <c r="E411" s="69">
        <v>1</v>
      </c>
      <c r="F411" s="69" t="s">
        <v>611</v>
      </c>
      <c r="G411" s="69" t="s">
        <v>612</v>
      </c>
      <c r="H411" s="69"/>
      <c r="I411" s="69">
        <v>0</v>
      </c>
      <c r="J411" s="69" t="s">
        <v>1746</v>
      </c>
      <c r="K411" s="69" t="s">
        <v>790</v>
      </c>
      <c r="L411" s="69">
        <v>129.99999999999997</v>
      </c>
      <c r="M411" s="69"/>
      <c r="N411" s="69" t="str">
        <f t="shared" si="20"/>
        <v>AttributeDamageDerate(AttributeGold, 130)</v>
      </c>
      <c r="O411" s="69">
        <v>0</v>
      </c>
      <c r="P411" s="69">
        <v>0</v>
      </c>
      <c r="Q411" s="69"/>
      <c r="R411" s="69" t="b">
        <v>0</v>
      </c>
    </row>
    <row r="412" spans="1:18">
      <c r="A412" s="69" t="s">
        <v>919</v>
      </c>
      <c r="B412" s="69"/>
      <c r="C412" s="69"/>
      <c r="D412" s="69">
        <v>0</v>
      </c>
      <c r="E412" s="69">
        <v>1</v>
      </c>
      <c r="F412" s="69" t="s">
        <v>611</v>
      </c>
      <c r="G412" s="69" t="s">
        <v>612</v>
      </c>
      <c r="H412" s="69"/>
      <c r="I412" s="69">
        <v>0</v>
      </c>
      <c r="J412" s="69" t="s">
        <v>1746</v>
      </c>
      <c r="K412" s="69" t="s">
        <v>790</v>
      </c>
      <c r="L412" s="69">
        <v>129.99999999999997</v>
      </c>
      <c r="M412" s="69"/>
      <c r="N412" s="69" t="str">
        <f t="shared" si="20"/>
        <v>AttributeDamageDerate(AttributeGold, 130)</v>
      </c>
      <c r="O412" s="69">
        <v>0</v>
      </c>
      <c r="P412" s="69">
        <v>0</v>
      </c>
      <c r="Q412" s="69"/>
      <c r="R412" s="69" t="b">
        <v>0</v>
      </c>
    </row>
    <row r="413" spans="1:18">
      <c r="A413" s="69" t="s">
        <v>920</v>
      </c>
      <c r="B413" s="69"/>
      <c r="C413" s="69"/>
      <c r="D413" s="69">
        <v>0</v>
      </c>
      <c r="E413" s="69">
        <v>1</v>
      </c>
      <c r="F413" s="69" t="s">
        <v>611</v>
      </c>
      <c r="G413" s="69" t="s">
        <v>612</v>
      </c>
      <c r="H413" s="69"/>
      <c r="I413" s="69">
        <v>0</v>
      </c>
      <c r="J413" s="69" t="s">
        <v>1746</v>
      </c>
      <c r="K413" s="69" t="s">
        <v>790</v>
      </c>
      <c r="L413" s="69">
        <v>139.99999999999997</v>
      </c>
      <c r="M413" s="69"/>
      <c r="N413" s="69" t="str">
        <f t="shared" ref="N413:N414" si="21">J413&amp;"("&amp;IF(K413="","",K413)&amp;IF(L413="","",", "&amp;L413)&amp;IF(M413="","",", "&amp;M413)&amp;")"</f>
        <v>AttributeDamageDerate(AttributeGold, 140)</v>
      </c>
      <c r="O413" s="69">
        <v>0</v>
      </c>
      <c r="P413" s="69">
        <v>0</v>
      </c>
      <c r="Q413" s="69"/>
      <c r="R413" s="69" t="b">
        <v>0</v>
      </c>
    </row>
    <row r="414" spans="1:18">
      <c r="A414" s="69" t="s">
        <v>921</v>
      </c>
      <c r="B414" s="69"/>
      <c r="C414" s="69"/>
      <c r="D414" s="69">
        <v>0</v>
      </c>
      <c r="E414" s="69">
        <v>1</v>
      </c>
      <c r="F414" s="69" t="s">
        <v>611</v>
      </c>
      <c r="G414" s="69" t="s">
        <v>612</v>
      </c>
      <c r="H414" s="69"/>
      <c r="I414" s="69">
        <v>0</v>
      </c>
      <c r="J414" s="69" t="s">
        <v>1746</v>
      </c>
      <c r="K414" s="69" t="s">
        <v>790</v>
      </c>
      <c r="L414" s="69">
        <v>139.99999999999997</v>
      </c>
      <c r="M414" s="69"/>
      <c r="N414" s="69" t="str">
        <f t="shared" si="21"/>
        <v>AttributeDamageDerate(AttributeGold, 140)</v>
      </c>
      <c r="O414" s="69">
        <v>0</v>
      </c>
      <c r="P414" s="69">
        <v>0</v>
      </c>
      <c r="Q414" s="69"/>
      <c r="R414" s="69" t="b">
        <v>0</v>
      </c>
    </row>
  </sheetData>
  <phoneticPr fontId="2" type="noConversion"/>
  <conditionalFormatting sqref="A1:A1048576">
    <cfRule type="duplicateValues" dxfId="6" priority="2"/>
  </conditionalFormatting>
  <conditionalFormatting sqref="A1:R418">
    <cfRule type="cellIs" dxfId="5" priority="1" operator="equal">
      <formula>1</formula>
    </cfRule>
    <cfRule type="cellIs" dxfId="4" priority="3" operator="equal">
      <formula>FALSE</formula>
    </cfRule>
    <cfRule type="cellIs" dxfId="3" priority="4" operator="equal">
      <formula>"Single"</formula>
    </cfRule>
    <cfRule type="cellIs" dxfId="2" priority="5" operator="equal">
      <formula>"Self"</formula>
    </cfRule>
    <cfRule type="cellIs" dxfId="1" priority="6" operator="equal">
      <formula>0</formula>
    </cfRule>
    <cfRule type="cellIs" dxfId="0" priority="7" operator="equal">
      <formula>TRUE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E16" sqref="E16"/>
    </sheetView>
  </sheetViews>
  <sheetFormatPr defaultRowHeight="16.5"/>
  <cols>
    <col min="1" max="1" width="10.5" style="5" bestFit="1" customWidth="1"/>
    <col min="2" max="2" width="8.375" style="5" bestFit="1" customWidth="1"/>
    <col min="3" max="3" width="16.5" style="5" bestFit="1" customWidth="1"/>
    <col min="4" max="4" width="14.625" style="5" bestFit="1" customWidth="1"/>
    <col min="5" max="5" width="18.375" style="5" bestFit="1" customWidth="1"/>
    <col min="6" max="6" width="25.25" style="5" bestFit="1" customWidth="1"/>
    <col min="7" max="16384" width="9" style="5"/>
  </cols>
  <sheetData>
    <row r="1" spans="1:6">
      <c r="A1" s="10" t="s">
        <v>32</v>
      </c>
      <c r="B1" s="10" t="s">
        <v>47</v>
      </c>
      <c r="C1" s="10" t="s">
        <v>28</v>
      </c>
      <c r="D1" s="10" t="s">
        <v>49</v>
      </c>
      <c r="E1" s="10" t="s">
        <v>30</v>
      </c>
      <c r="F1" s="10" t="s">
        <v>46</v>
      </c>
    </row>
    <row r="2" spans="1:6">
      <c r="A2" s="10" t="s">
        <v>29</v>
      </c>
      <c r="B2" s="10" t="s">
        <v>51</v>
      </c>
      <c r="C2" s="10" t="s">
        <v>39</v>
      </c>
      <c r="D2" s="10" t="s">
        <v>48</v>
      </c>
      <c r="E2" s="10" t="s">
        <v>2</v>
      </c>
      <c r="F2" s="10" t="s">
        <v>44</v>
      </c>
    </row>
    <row r="3" spans="1:6">
      <c r="A3" s="10" t="s">
        <v>5</v>
      </c>
      <c r="B3" s="10" t="s">
        <v>285</v>
      </c>
      <c r="C3" s="10" t="s">
        <v>5</v>
      </c>
      <c r="D3" s="10" t="s">
        <v>50</v>
      </c>
      <c r="E3" s="10" t="s">
        <v>5</v>
      </c>
      <c r="F3" s="10" t="s">
        <v>4</v>
      </c>
    </row>
    <row r="4" spans="1:6">
      <c r="A4" s="13">
        <v>190101</v>
      </c>
      <c r="B4" s="13">
        <f>INT(RIGHT(A4,2))</f>
        <v>1</v>
      </c>
      <c r="C4" s="14" t="s">
        <v>35</v>
      </c>
      <c r="D4" s="14" t="s">
        <v>52</v>
      </c>
      <c r="E4" s="14">
        <v>11210100</v>
      </c>
      <c r="F4" s="14" t="str">
        <f>IF(INT(RIGHT(A4,2))&gt;1,"AttributeBattleSection("&amp;A4-1&amp;")","")</f>
        <v/>
      </c>
    </row>
    <row r="5" spans="1:6">
      <c r="A5" s="15">
        <v>190102</v>
      </c>
      <c r="B5" s="15">
        <f t="shared" ref="B5:B48" si="0">INT(RIGHT(A5,2))</f>
        <v>2</v>
      </c>
      <c r="C5" s="16" t="s">
        <v>35</v>
      </c>
      <c r="D5" s="16" t="s">
        <v>52</v>
      </c>
      <c r="E5" s="16">
        <v>11210200</v>
      </c>
      <c r="F5" s="16" t="str">
        <f t="shared" ref="F5:F48" si="1">IF(INT(RIGHT(A5,2))&gt;1,"AttributeBattleSection("&amp;A5-1&amp;")","")</f>
        <v>AttributeBattleSection(190101)</v>
      </c>
    </row>
    <row r="6" spans="1:6">
      <c r="A6" s="15">
        <v>190103</v>
      </c>
      <c r="B6" s="15">
        <f t="shared" si="0"/>
        <v>3</v>
      </c>
      <c r="C6" s="16" t="s">
        <v>35</v>
      </c>
      <c r="D6" s="16" t="s">
        <v>52</v>
      </c>
      <c r="E6" s="16">
        <v>11210300</v>
      </c>
      <c r="F6" s="16" t="str">
        <f t="shared" si="1"/>
        <v>AttributeBattleSection(190102)</v>
      </c>
    </row>
    <row r="7" spans="1:6">
      <c r="A7" s="15">
        <v>190104</v>
      </c>
      <c r="B7" s="15">
        <f t="shared" si="0"/>
        <v>4</v>
      </c>
      <c r="C7" s="16" t="s">
        <v>35</v>
      </c>
      <c r="D7" s="16" t="s">
        <v>52</v>
      </c>
      <c r="E7" s="16">
        <v>11210400</v>
      </c>
      <c r="F7" s="16" t="str">
        <f t="shared" si="1"/>
        <v>AttributeBattleSection(190103)</v>
      </c>
    </row>
    <row r="8" spans="1:6">
      <c r="A8" s="15">
        <v>190105</v>
      </c>
      <c r="B8" s="15">
        <f t="shared" si="0"/>
        <v>5</v>
      </c>
      <c r="C8" s="16" t="s">
        <v>35</v>
      </c>
      <c r="D8" s="16" t="s">
        <v>52</v>
      </c>
      <c r="E8" s="16">
        <v>11210500</v>
      </c>
      <c r="F8" s="16" t="str">
        <f t="shared" si="1"/>
        <v>AttributeBattleSection(190104)</v>
      </c>
    </row>
    <row r="9" spans="1:6">
      <c r="A9" s="15">
        <v>190106</v>
      </c>
      <c r="B9" s="15">
        <f t="shared" si="0"/>
        <v>6</v>
      </c>
      <c r="C9" s="16" t="s">
        <v>35</v>
      </c>
      <c r="D9" s="16" t="s">
        <v>52</v>
      </c>
      <c r="E9" s="16">
        <v>11210600</v>
      </c>
      <c r="F9" s="16" t="str">
        <f t="shared" si="1"/>
        <v>AttributeBattleSection(190105)</v>
      </c>
    </row>
    <row r="10" spans="1:6">
      <c r="A10" s="15">
        <v>190107</v>
      </c>
      <c r="B10" s="15">
        <f t="shared" si="0"/>
        <v>7</v>
      </c>
      <c r="C10" s="16" t="s">
        <v>35</v>
      </c>
      <c r="D10" s="16" t="s">
        <v>52</v>
      </c>
      <c r="E10" s="16">
        <v>11210700</v>
      </c>
      <c r="F10" s="16" t="str">
        <f t="shared" si="1"/>
        <v>AttributeBattleSection(190106)</v>
      </c>
    </row>
    <row r="11" spans="1:6">
      <c r="A11" s="15">
        <v>190108</v>
      </c>
      <c r="B11" s="15">
        <f t="shared" si="0"/>
        <v>8</v>
      </c>
      <c r="C11" s="16" t="s">
        <v>35</v>
      </c>
      <c r="D11" s="16" t="s">
        <v>52</v>
      </c>
      <c r="E11" s="16">
        <v>11210800</v>
      </c>
      <c r="F11" s="16" t="str">
        <f t="shared" si="1"/>
        <v>AttributeBattleSection(190107)</v>
      </c>
    </row>
    <row r="12" spans="1:6">
      <c r="A12" s="15">
        <v>190109</v>
      </c>
      <c r="B12" s="15">
        <f t="shared" si="0"/>
        <v>9</v>
      </c>
      <c r="C12" s="16" t="s">
        <v>35</v>
      </c>
      <c r="D12" s="16" t="s">
        <v>52</v>
      </c>
      <c r="E12" s="16">
        <v>11210900</v>
      </c>
      <c r="F12" s="16" t="str">
        <f t="shared" si="1"/>
        <v>AttributeBattleSection(190108)</v>
      </c>
    </row>
    <row r="13" spans="1:6">
      <c r="A13" s="15">
        <v>190110</v>
      </c>
      <c r="B13" s="15">
        <f t="shared" si="0"/>
        <v>10</v>
      </c>
      <c r="C13" s="16" t="s">
        <v>35</v>
      </c>
      <c r="D13" s="16" t="s">
        <v>52</v>
      </c>
      <c r="E13" s="16">
        <v>11211000</v>
      </c>
      <c r="F13" s="16" t="str">
        <f t="shared" si="1"/>
        <v>AttributeBattleSection(190109)</v>
      </c>
    </row>
    <row r="14" spans="1:6">
      <c r="A14" s="15">
        <v>190111</v>
      </c>
      <c r="B14" s="15">
        <f t="shared" si="0"/>
        <v>11</v>
      </c>
      <c r="C14" s="16" t="s">
        <v>35</v>
      </c>
      <c r="D14" s="16" t="s">
        <v>52</v>
      </c>
      <c r="E14" s="16">
        <v>11211100</v>
      </c>
      <c r="F14" s="16" t="str">
        <f t="shared" si="1"/>
        <v>AttributeBattleSection(190110)</v>
      </c>
    </row>
    <row r="15" spans="1:6">
      <c r="A15" s="15">
        <v>190112</v>
      </c>
      <c r="B15" s="15">
        <f t="shared" si="0"/>
        <v>12</v>
      </c>
      <c r="C15" s="16" t="s">
        <v>35</v>
      </c>
      <c r="D15" s="16" t="s">
        <v>52</v>
      </c>
      <c r="E15" s="16">
        <v>11211200</v>
      </c>
      <c r="F15" s="16" t="str">
        <f t="shared" si="1"/>
        <v>AttributeBattleSection(190111)</v>
      </c>
    </row>
    <row r="16" spans="1:6">
      <c r="A16" s="15">
        <v>190113</v>
      </c>
      <c r="B16" s="15">
        <f t="shared" si="0"/>
        <v>13</v>
      </c>
      <c r="C16" s="16" t="s">
        <v>35</v>
      </c>
      <c r="D16" s="16" t="s">
        <v>52</v>
      </c>
      <c r="E16" s="16">
        <v>11211300</v>
      </c>
      <c r="F16" s="16" t="str">
        <f t="shared" si="1"/>
        <v>AttributeBattleSection(190112)</v>
      </c>
    </row>
    <row r="17" spans="1:6">
      <c r="A17" s="15">
        <v>190114</v>
      </c>
      <c r="B17" s="15">
        <f t="shared" si="0"/>
        <v>14</v>
      </c>
      <c r="C17" s="16" t="s">
        <v>35</v>
      </c>
      <c r="D17" s="16" t="s">
        <v>52</v>
      </c>
      <c r="E17" s="16">
        <v>11211400</v>
      </c>
      <c r="F17" s="16" t="str">
        <f t="shared" si="1"/>
        <v>AttributeBattleSection(190113)</v>
      </c>
    </row>
    <row r="18" spans="1:6">
      <c r="A18" s="15">
        <v>190115</v>
      </c>
      <c r="B18" s="15">
        <f t="shared" si="0"/>
        <v>15</v>
      </c>
      <c r="C18" s="16" t="s">
        <v>35</v>
      </c>
      <c r="D18" s="16" t="s">
        <v>52</v>
      </c>
      <c r="E18" s="16">
        <v>11211500</v>
      </c>
      <c r="F18" s="16" t="str">
        <f t="shared" si="1"/>
        <v>AttributeBattleSection(190114)</v>
      </c>
    </row>
    <row r="19" spans="1:6">
      <c r="A19" s="11">
        <f>A4+100</f>
        <v>190201</v>
      </c>
      <c r="B19" s="11">
        <f t="shared" si="0"/>
        <v>1</v>
      </c>
      <c r="C19" s="12" t="s">
        <v>36</v>
      </c>
      <c r="D19" s="12" t="s">
        <v>53</v>
      </c>
      <c r="E19" s="12">
        <v>11220100</v>
      </c>
      <c r="F19" s="12" t="str">
        <f t="shared" si="1"/>
        <v/>
      </c>
    </row>
    <row r="20" spans="1:6">
      <c r="A20" s="11">
        <f t="shared" ref="A20:A48" si="2">A5+100</f>
        <v>190202</v>
      </c>
      <c r="B20" s="11">
        <f t="shared" si="0"/>
        <v>2</v>
      </c>
      <c r="C20" s="12" t="s">
        <v>36</v>
      </c>
      <c r="D20" s="12" t="s">
        <v>53</v>
      </c>
      <c r="E20" s="12">
        <v>11220200</v>
      </c>
      <c r="F20" s="12" t="str">
        <f t="shared" si="1"/>
        <v>AttributeBattleSection(190201)</v>
      </c>
    </row>
    <row r="21" spans="1:6">
      <c r="A21" s="11">
        <f t="shared" si="2"/>
        <v>190203</v>
      </c>
      <c r="B21" s="11">
        <f t="shared" si="0"/>
        <v>3</v>
      </c>
      <c r="C21" s="12" t="s">
        <v>36</v>
      </c>
      <c r="D21" s="12" t="s">
        <v>53</v>
      </c>
      <c r="E21" s="12">
        <v>11220300</v>
      </c>
      <c r="F21" s="12" t="str">
        <f t="shared" si="1"/>
        <v>AttributeBattleSection(190202)</v>
      </c>
    </row>
    <row r="22" spans="1:6">
      <c r="A22" s="11">
        <f t="shared" si="2"/>
        <v>190204</v>
      </c>
      <c r="B22" s="11">
        <f t="shared" si="0"/>
        <v>4</v>
      </c>
      <c r="C22" s="12" t="s">
        <v>36</v>
      </c>
      <c r="D22" s="12" t="s">
        <v>53</v>
      </c>
      <c r="E22" s="12">
        <v>11220400</v>
      </c>
      <c r="F22" s="12" t="str">
        <f t="shared" si="1"/>
        <v>AttributeBattleSection(190203)</v>
      </c>
    </row>
    <row r="23" spans="1:6">
      <c r="A23" s="11">
        <f t="shared" si="2"/>
        <v>190205</v>
      </c>
      <c r="B23" s="11">
        <f t="shared" si="0"/>
        <v>5</v>
      </c>
      <c r="C23" s="12" t="s">
        <v>36</v>
      </c>
      <c r="D23" s="12" t="s">
        <v>53</v>
      </c>
      <c r="E23" s="12">
        <v>11220500</v>
      </c>
      <c r="F23" s="12" t="str">
        <f t="shared" si="1"/>
        <v>AttributeBattleSection(190204)</v>
      </c>
    </row>
    <row r="24" spans="1:6">
      <c r="A24" s="11">
        <f t="shared" si="2"/>
        <v>190206</v>
      </c>
      <c r="B24" s="11">
        <f t="shared" si="0"/>
        <v>6</v>
      </c>
      <c r="C24" s="12" t="s">
        <v>36</v>
      </c>
      <c r="D24" s="12" t="s">
        <v>53</v>
      </c>
      <c r="E24" s="12">
        <v>11220600</v>
      </c>
      <c r="F24" s="12" t="str">
        <f t="shared" si="1"/>
        <v>AttributeBattleSection(190205)</v>
      </c>
    </row>
    <row r="25" spans="1:6">
      <c r="A25" s="11">
        <f t="shared" si="2"/>
        <v>190207</v>
      </c>
      <c r="B25" s="11">
        <f t="shared" si="0"/>
        <v>7</v>
      </c>
      <c r="C25" s="12" t="s">
        <v>36</v>
      </c>
      <c r="D25" s="12" t="s">
        <v>53</v>
      </c>
      <c r="E25" s="12">
        <v>11220700</v>
      </c>
      <c r="F25" s="12" t="str">
        <f t="shared" si="1"/>
        <v>AttributeBattleSection(190206)</v>
      </c>
    </row>
    <row r="26" spans="1:6">
      <c r="A26" s="11">
        <f t="shared" si="2"/>
        <v>190208</v>
      </c>
      <c r="B26" s="11">
        <f t="shared" si="0"/>
        <v>8</v>
      </c>
      <c r="C26" s="12" t="s">
        <v>36</v>
      </c>
      <c r="D26" s="12" t="s">
        <v>53</v>
      </c>
      <c r="E26" s="12">
        <v>11220800</v>
      </c>
      <c r="F26" s="12" t="str">
        <f t="shared" si="1"/>
        <v>AttributeBattleSection(190207)</v>
      </c>
    </row>
    <row r="27" spans="1:6">
      <c r="A27" s="11">
        <f t="shared" si="2"/>
        <v>190209</v>
      </c>
      <c r="B27" s="11">
        <f t="shared" si="0"/>
        <v>9</v>
      </c>
      <c r="C27" s="12" t="s">
        <v>36</v>
      </c>
      <c r="D27" s="12" t="s">
        <v>53</v>
      </c>
      <c r="E27" s="12">
        <v>11220900</v>
      </c>
      <c r="F27" s="12" t="str">
        <f t="shared" si="1"/>
        <v>AttributeBattleSection(190208)</v>
      </c>
    </row>
    <row r="28" spans="1:6">
      <c r="A28" s="11">
        <f t="shared" si="2"/>
        <v>190210</v>
      </c>
      <c r="B28" s="11">
        <f t="shared" si="0"/>
        <v>10</v>
      </c>
      <c r="C28" s="12" t="s">
        <v>36</v>
      </c>
      <c r="D28" s="12" t="s">
        <v>53</v>
      </c>
      <c r="E28" s="12">
        <v>11221000</v>
      </c>
      <c r="F28" s="12" t="str">
        <f t="shared" si="1"/>
        <v>AttributeBattleSection(190209)</v>
      </c>
    </row>
    <row r="29" spans="1:6">
      <c r="A29" s="11">
        <f t="shared" si="2"/>
        <v>190211</v>
      </c>
      <c r="B29" s="11">
        <f t="shared" si="0"/>
        <v>11</v>
      </c>
      <c r="C29" s="12" t="s">
        <v>36</v>
      </c>
      <c r="D29" s="12" t="s">
        <v>53</v>
      </c>
      <c r="E29" s="12">
        <v>11221100</v>
      </c>
      <c r="F29" s="12" t="str">
        <f t="shared" si="1"/>
        <v>AttributeBattleSection(190210)</v>
      </c>
    </row>
    <row r="30" spans="1:6">
      <c r="A30" s="11">
        <f t="shared" si="2"/>
        <v>190212</v>
      </c>
      <c r="B30" s="11">
        <f t="shared" si="0"/>
        <v>12</v>
      </c>
      <c r="C30" s="12" t="s">
        <v>36</v>
      </c>
      <c r="D30" s="12" t="s">
        <v>53</v>
      </c>
      <c r="E30" s="12">
        <v>11221200</v>
      </c>
      <c r="F30" s="12" t="str">
        <f t="shared" si="1"/>
        <v>AttributeBattleSection(190211)</v>
      </c>
    </row>
    <row r="31" spans="1:6">
      <c r="A31" s="11">
        <f t="shared" si="2"/>
        <v>190213</v>
      </c>
      <c r="B31" s="11">
        <f t="shared" si="0"/>
        <v>13</v>
      </c>
      <c r="C31" s="12" t="s">
        <v>36</v>
      </c>
      <c r="D31" s="12" t="s">
        <v>53</v>
      </c>
      <c r="E31" s="12">
        <v>11221300</v>
      </c>
      <c r="F31" s="12" t="str">
        <f t="shared" si="1"/>
        <v>AttributeBattleSection(190212)</v>
      </c>
    </row>
    <row r="32" spans="1:6">
      <c r="A32" s="11">
        <f t="shared" si="2"/>
        <v>190214</v>
      </c>
      <c r="B32" s="11">
        <f t="shared" si="0"/>
        <v>14</v>
      </c>
      <c r="C32" s="12" t="s">
        <v>36</v>
      </c>
      <c r="D32" s="12" t="s">
        <v>53</v>
      </c>
      <c r="E32" s="12">
        <v>11221400</v>
      </c>
      <c r="F32" s="12" t="str">
        <f t="shared" si="1"/>
        <v>AttributeBattleSection(190213)</v>
      </c>
    </row>
    <row r="33" spans="1:6">
      <c r="A33" s="11">
        <f t="shared" si="2"/>
        <v>190215</v>
      </c>
      <c r="B33" s="11">
        <f t="shared" si="0"/>
        <v>15</v>
      </c>
      <c r="C33" s="12" t="s">
        <v>36</v>
      </c>
      <c r="D33" s="12" t="s">
        <v>53</v>
      </c>
      <c r="E33" s="12">
        <v>11221500</v>
      </c>
      <c r="F33" s="12" t="str">
        <f t="shared" si="1"/>
        <v>AttributeBattleSection(190214)</v>
      </c>
    </row>
    <row r="34" spans="1:6">
      <c r="A34" s="17">
        <f t="shared" si="2"/>
        <v>190301</v>
      </c>
      <c r="B34" s="17">
        <f t="shared" si="0"/>
        <v>1</v>
      </c>
      <c r="C34" s="18" t="s">
        <v>37</v>
      </c>
      <c r="D34" s="18" t="s">
        <v>54</v>
      </c>
      <c r="E34" s="18">
        <v>11230100</v>
      </c>
      <c r="F34" s="18" t="str">
        <f t="shared" si="1"/>
        <v/>
      </c>
    </row>
    <row r="35" spans="1:6">
      <c r="A35" s="17">
        <f t="shared" si="2"/>
        <v>190302</v>
      </c>
      <c r="B35" s="17">
        <f t="shared" si="0"/>
        <v>2</v>
      </c>
      <c r="C35" s="18" t="s">
        <v>37</v>
      </c>
      <c r="D35" s="18" t="s">
        <v>54</v>
      </c>
      <c r="E35" s="18">
        <v>11230200</v>
      </c>
      <c r="F35" s="18" t="str">
        <f t="shared" si="1"/>
        <v>AttributeBattleSection(190301)</v>
      </c>
    </row>
    <row r="36" spans="1:6">
      <c r="A36" s="17">
        <f t="shared" si="2"/>
        <v>190303</v>
      </c>
      <c r="B36" s="17">
        <f t="shared" si="0"/>
        <v>3</v>
      </c>
      <c r="C36" s="18" t="s">
        <v>37</v>
      </c>
      <c r="D36" s="18" t="s">
        <v>54</v>
      </c>
      <c r="E36" s="18">
        <v>11230300</v>
      </c>
      <c r="F36" s="18" t="str">
        <f t="shared" si="1"/>
        <v>AttributeBattleSection(190302)</v>
      </c>
    </row>
    <row r="37" spans="1:6">
      <c r="A37" s="17">
        <f t="shared" si="2"/>
        <v>190304</v>
      </c>
      <c r="B37" s="17">
        <f t="shared" si="0"/>
        <v>4</v>
      </c>
      <c r="C37" s="18" t="s">
        <v>37</v>
      </c>
      <c r="D37" s="18" t="s">
        <v>54</v>
      </c>
      <c r="E37" s="18">
        <v>11230400</v>
      </c>
      <c r="F37" s="18" t="str">
        <f t="shared" si="1"/>
        <v>AttributeBattleSection(190303)</v>
      </c>
    </row>
    <row r="38" spans="1:6">
      <c r="A38" s="17">
        <f t="shared" si="2"/>
        <v>190305</v>
      </c>
      <c r="B38" s="17">
        <f t="shared" si="0"/>
        <v>5</v>
      </c>
      <c r="C38" s="18" t="s">
        <v>37</v>
      </c>
      <c r="D38" s="18" t="s">
        <v>54</v>
      </c>
      <c r="E38" s="18">
        <v>11230500</v>
      </c>
      <c r="F38" s="18" t="str">
        <f t="shared" si="1"/>
        <v>AttributeBattleSection(190304)</v>
      </c>
    </row>
    <row r="39" spans="1:6">
      <c r="A39" s="17">
        <f t="shared" si="2"/>
        <v>190306</v>
      </c>
      <c r="B39" s="17">
        <f t="shared" si="0"/>
        <v>6</v>
      </c>
      <c r="C39" s="18" t="s">
        <v>37</v>
      </c>
      <c r="D39" s="18" t="s">
        <v>54</v>
      </c>
      <c r="E39" s="18">
        <v>11230600</v>
      </c>
      <c r="F39" s="18" t="str">
        <f t="shared" si="1"/>
        <v>AttributeBattleSection(190305)</v>
      </c>
    </row>
    <row r="40" spans="1:6">
      <c r="A40" s="17">
        <f t="shared" si="2"/>
        <v>190307</v>
      </c>
      <c r="B40" s="17">
        <f t="shared" si="0"/>
        <v>7</v>
      </c>
      <c r="C40" s="18" t="s">
        <v>37</v>
      </c>
      <c r="D40" s="18" t="s">
        <v>54</v>
      </c>
      <c r="E40" s="18">
        <v>11230700</v>
      </c>
      <c r="F40" s="18" t="str">
        <f t="shared" si="1"/>
        <v>AttributeBattleSection(190306)</v>
      </c>
    </row>
    <row r="41" spans="1:6">
      <c r="A41" s="17">
        <f t="shared" si="2"/>
        <v>190308</v>
      </c>
      <c r="B41" s="17">
        <f t="shared" si="0"/>
        <v>8</v>
      </c>
      <c r="C41" s="18" t="s">
        <v>37</v>
      </c>
      <c r="D41" s="18" t="s">
        <v>54</v>
      </c>
      <c r="E41" s="18">
        <v>11230800</v>
      </c>
      <c r="F41" s="18" t="str">
        <f t="shared" si="1"/>
        <v>AttributeBattleSection(190307)</v>
      </c>
    </row>
    <row r="42" spans="1:6">
      <c r="A42" s="17">
        <f t="shared" si="2"/>
        <v>190309</v>
      </c>
      <c r="B42" s="17">
        <f t="shared" si="0"/>
        <v>9</v>
      </c>
      <c r="C42" s="18" t="s">
        <v>37</v>
      </c>
      <c r="D42" s="18" t="s">
        <v>54</v>
      </c>
      <c r="E42" s="18">
        <v>11230900</v>
      </c>
      <c r="F42" s="18" t="str">
        <f t="shared" si="1"/>
        <v>AttributeBattleSection(190308)</v>
      </c>
    </row>
    <row r="43" spans="1:6">
      <c r="A43" s="17">
        <f t="shared" si="2"/>
        <v>190310</v>
      </c>
      <c r="B43" s="17">
        <f t="shared" si="0"/>
        <v>10</v>
      </c>
      <c r="C43" s="18" t="s">
        <v>37</v>
      </c>
      <c r="D43" s="18" t="s">
        <v>54</v>
      </c>
      <c r="E43" s="18">
        <v>11231000</v>
      </c>
      <c r="F43" s="18" t="str">
        <f t="shared" si="1"/>
        <v>AttributeBattleSection(190309)</v>
      </c>
    </row>
    <row r="44" spans="1:6">
      <c r="A44" s="17">
        <f t="shared" si="2"/>
        <v>190311</v>
      </c>
      <c r="B44" s="17">
        <f t="shared" si="0"/>
        <v>11</v>
      </c>
      <c r="C44" s="18" t="s">
        <v>37</v>
      </c>
      <c r="D44" s="18" t="s">
        <v>54</v>
      </c>
      <c r="E44" s="18">
        <v>11231100</v>
      </c>
      <c r="F44" s="18" t="str">
        <f t="shared" si="1"/>
        <v>AttributeBattleSection(190310)</v>
      </c>
    </row>
    <row r="45" spans="1:6">
      <c r="A45" s="17">
        <f t="shared" si="2"/>
        <v>190312</v>
      </c>
      <c r="B45" s="17">
        <f t="shared" si="0"/>
        <v>12</v>
      </c>
      <c r="C45" s="18" t="s">
        <v>37</v>
      </c>
      <c r="D45" s="18" t="s">
        <v>54</v>
      </c>
      <c r="E45" s="18">
        <v>11231200</v>
      </c>
      <c r="F45" s="18" t="str">
        <f t="shared" si="1"/>
        <v>AttributeBattleSection(190311)</v>
      </c>
    </row>
    <row r="46" spans="1:6">
      <c r="A46" s="17">
        <f t="shared" si="2"/>
        <v>190313</v>
      </c>
      <c r="B46" s="17">
        <f t="shared" si="0"/>
        <v>13</v>
      </c>
      <c r="C46" s="18" t="s">
        <v>37</v>
      </c>
      <c r="D46" s="18" t="s">
        <v>54</v>
      </c>
      <c r="E46" s="18">
        <v>11231300</v>
      </c>
      <c r="F46" s="18" t="str">
        <f t="shared" si="1"/>
        <v>AttributeBattleSection(190312)</v>
      </c>
    </row>
    <row r="47" spans="1:6">
      <c r="A47" s="17">
        <f t="shared" si="2"/>
        <v>190314</v>
      </c>
      <c r="B47" s="17">
        <f t="shared" si="0"/>
        <v>14</v>
      </c>
      <c r="C47" s="18" t="s">
        <v>37</v>
      </c>
      <c r="D47" s="18" t="s">
        <v>54</v>
      </c>
      <c r="E47" s="18">
        <v>11231400</v>
      </c>
      <c r="F47" s="18" t="str">
        <f t="shared" si="1"/>
        <v>AttributeBattleSection(190313)</v>
      </c>
    </row>
    <row r="48" spans="1:6">
      <c r="A48" s="17">
        <f t="shared" si="2"/>
        <v>190315</v>
      </c>
      <c r="B48" s="17">
        <f t="shared" si="0"/>
        <v>15</v>
      </c>
      <c r="C48" s="18" t="s">
        <v>37</v>
      </c>
      <c r="D48" s="18" t="s">
        <v>54</v>
      </c>
      <c r="E48" s="18">
        <v>11231500</v>
      </c>
      <c r="F48" s="18" t="str">
        <f t="shared" si="1"/>
        <v>AttributeBattleSection(190314)</v>
      </c>
    </row>
    <row r="49" spans="1:6">
      <c r="A49" s="9"/>
      <c r="B49" s="9"/>
      <c r="C49" s="9"/>
      <c r="D49" s="9"/>
      <c r="E49" s="9"/>
      <c r="F49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8"/>
  <sheetViews>
    <sheetView zoomScaleNormal="100" workbookViewId="0">
      <selection activeCell="M31" sqref="M31"/>
    </sheetView>
  </sheetViews>
  <sheetFormatPr defaultRowHeight="16.5"/>
  <cols>
    <col min="1" max="1" width="9.5" style="4" bestFit="1" customWidth="1"/>
    <col min="2" max="2" width="13.5" style="4" bestFit="1" customWidth="1"/>
    <col min="3" max="3" width="22.375" style="4" bestFit="1" customWidth="1"/>
    <col min="4" max="4" width="17.5" style="4" bestFit="1" customWidth="1"/>
    <col min="5" max="5" width="11.625" style="4" bestFit="1" customWidth="1"/>
    <col min="6" max="6" width="9.75" style="4" bestFit="1" customWidth="1"/>
    <col min="7" max="7" width="9" style="4"/>
    <col min="8" max="10" width="9" style="4" bestFit="1" customWidth="1"/>
    <col min="11" max="11" width="16.125" style="4" bestFit="1" customWidth="1"/>
    <col min="12" max="12" width="9.5" style="4" bestFit="1" customWidth="1"/>
    <col min="13" max="13" width="17.5" style="4" customWidth="1"/>
    <col min="14" max="14" width="19.75" style="20" bestFit="1" customWidth="1"/>
    <col min="15" max="16384" width="9" style="4"/>
  </cols>
  <sheetData>
    <row r="1" spans="1:14">
      <c r="A1" s="1" t="s">
        <v>33</v>
      </c>
      <c r="B1" s="1" t="s">
        <v>55</v>
      </c>
      <c r="C1" s="3" t="s">
        <v>42</v>
      </c>
      <c r="D1" s="2" t="s">
        <v>31</v>
      </c>
      <c r="E1" s="3" t="s">
        <v>26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1" t="s">
        <v>23</v>
      </c>
      <c r="L1" s="2" t="s">
        <v>24</v>
      </c>
      <c r="M1" s="2" t="s">
        <v>40</v>
      </c>
      <c r="N1" s="2" t="s">
        <v>282</v>
      </c>
    </row>
    <row r="2" spans="1:14">
      <c r="A2" s="1" t="s">
        <v>29</v>
      </c>
      <c r="B2" s="1" t="s">
        <v>56</v>
      </c>
      <c r="C2" s="3" t="s">
        <v>45</v>
      </c>
      <c r="D2" s="7" t="s">
        <v>284</v>
      </c>
      <c r="E2" s="3" t="s">
        <v>27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3</v>
      </c>
      <c r="L2" s="2" t="s">
        <v>25</v>
      </c>
      <c r="M2" s="7" t="s">
        <v>38</v>
      </c>
      <c r="N2" s="7" t="s">
        <v>283</v>
      </c>
    </row>
    <row r="3" spans="1:14">
      <c r="A3" s="1" t="s">
        <v>4</v>
      </c>
      <c r="B3" s="1" t="s">
        <v>5</v>
      </c>
      <c r="C3" s="3" t="s">
        <v>4</v>
      </c>
      <c r="D3" s="7" t="s">
        <v>4</v>
      </c>
      <c r="E3" s="3" t="s">
        <v>5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" t="s">
        <v>4</v>
      </c>
      <c r="L3" s="2" t="s">
        <v>4</v>
      </c>
      <c r="M3" s="7" t="s">
        <v>43</v>
      </c>
      <c r="N3" s="7" t="s">
        <v>5</v>
      </c>
    </row>
    <row r="4" spans="1:14">
      <c r="A4" s="4">
        <f>C4*100+1</f>
        <v>19010101</v>
      </c>
      <c r="B4" s="8" t="str">
        <f>RIGHT(A4,1)</f>
        <v>1</v>
      </c>
      <c r="C4" s="6">
        <v>190101</v>
      </c>
      <c r="D4" s="19" t="s">
        <v>57</v>
      </c>
      <c r="E4" s="4">
        <v>1040405001</v>
      </c>
      <c r="F4" s="4">
        <v>7</v>
      </c>
      <c r="G4" s="4">
        <v>6</v>
      </c>
      <c r="H4" s="4">
        <v>5</v>
      </c>
      <c r="I4" s="4">
        <v>4</v>
      </c>
      <c r="J4" s="4">
        <v>3</v>
      </c>
      <c r="K4" s="4">
        <v>11110101</v>
      </c>
      <c r="L4" s="4">
        <v>11000101</v>
      </c>
      <c r="M4" s="4" t="s">
        <v>41</v>
      </c>
      <c r="N4" s="20">
        <v>85</v>
      </c>
    </row>
    <row r="5" spans="1:14">
      <c r="A5" s="4">
        <f>A4+1</f>
        <v>19010102</v>
      </c>
      <c r="B5" s="8" t="str">
        <f t="shared" ref="B5:B68" si="0">RIGHT(A5,1)</f>
        <v>2</v>
      </c>
      <c r="C5" s="6">
        <v>190101</v>
      </c>
      <c r="D5" s="19" t="s">
        <v>58</v>
      </c>
      <c r="E5" s="4">
        <v>1040405001</v>
      </c>
      <c r="F5" s="4">
        <v>7</v>
      </c>
      <c r="G5" s="4">
        <v>6</v>
      </c>
      <c r="H5" s="4">
        <v>5</v>
      </c>
      <c r="I5" s="4">
        <v>4</v>
      </c>
      <c r="J5" s="4">
        <v>3</v>
      </c>
      <c r="K5" s="4">
        <v>11110102</v>
      </c>
      <c r="L5" s="4">
        <v>11000102</v>
      </c>
      <c r="M5" s="4" t="s">
        <v>41</v>
      </c>
      <c r="N5" s="20">
        <v>85</v>
      </c>
    </row>
    <row r="6" spans="1:14">
      <c r="A6" s="4">
        <f>A5+1</f>
        <v>19010103</v>
      </c>
      <c r="B6" s="8" t="str">
        <f t="shared" si="0"/>
        <v>3</v>
      </c>
      <c r="C6" s="6">
        <v>190101</v>
      </c>
      <c r="D6" s="19" t="s">
        <v>59</v>
      </c>
      <c r="E6" s="4">
        <v>1040405001</v>
      </c>
      <c r="F6" s="4">
        <v>7</v>
      </c>
      <c r="G6" s="4">
        <v>6</v>
      </c>
      <c r="H6" s="4">
        <v>5</v>
      </c>
      <c r="I6" s="4">
        <v>4</v>
      </c>
      <c r="J6" s="4">
        <v>3</v>
      </c>
      <c r="K6" s="4">
        <v>11110103</v>
      </c>
      <c r="L6" s="4">
        <v>11000103</v>
      </c>
      <c r="M6" s="4" t="s">
        <v>41</v>
      </c>
      <c r="N6" s="20">
        <v>85</v>
      </c>
    </row>
    <row r="7" spans="1:14">
      <c r="A7" s="4">
        <f>A6+1</f>
        <v>19010104</v>
      </c>
      <c r="B7" s="8" t="str">
        <f t="shared" si="0"/>
        <v>4</v>
      </c>
      <c r="C7" s="6">
        <v>190101</v>
      </c>
      <c r="D7" s="19" t="s">
        <v>60</v>
      </c>
      <c r="E7" s="4">
        <v>1040405001</v>
      </c>
      <c r="F7" s="4">
        <v>7</v>
      </c>
      <c r="G7" s="4">
        <v>6</v>
      </c>
      <c r="H7" s="4">
        <v>5</v>
      </c>
      <c r="I7" s="4">
        <v>4</v>
      </c>
      <c r="J7" s="4">
        <v>3</v>
      </c>
      <c r="K7" s="4">
        <v>11110104</v>
      </c>
      <c r="L7" s="4">
        <v>11000104</v>
      </c>
      <c r="M7" s="4" t="s">
        <v>41</v>
      </c>
      <c r="N7" s="20">
        <v>85</v>
      </c>
    </row>
    <row r="8" spans="1:14">
      <c r="A8" s="4">
        <f>A7+1</f>
        <v>19010105</v>
      </c>
      <c r="B8" s="8" t="str">
        <f t="shared" si="0"/>
        <v>5</v>
      </c>
      <c r="C8" s="6">
        <v>190101</v>
      </c>
      <c r="D8" s="19" t="s">
        <v>61</v>
      </c>
      <c r="E8" s="4">
        <v>1040405001</v>
      </c>
      <c r="F8" s="4">
        <v>7</v>
      </c>
      <c r="G8" s="4">
        <v>6</v>
      </c>
      <c r="H8" s="4">
        <v>5</v>
      </c>
      <c r="I8" s="4">
        <v>4</v>
      </c>
      <c r="J8" s="4">
        <v>3</v>
      </c>
      <c r="K8" s="4">
        <v>11110105</v>
      </c>
      <c r="L8" s="4">
        <v>11000105</v>
      </c>
      <c r="M8" s="4" t="s">
        <v>41</v>
      </c>
      <c r="N8" s="20">
        <v>85</v>
      </c>
    </row>
    <row r="9" spans="1:14">
      <c r="A9" s="4">
        <f>C9*100+1</f>
        <v>19010201</v>
      </c>
      <c r="B9" s="8" t="str">
        <f t="shared" si="0"/>
        <v>1</v>
      </c>
      <c r="C9" s="6">
        <v>190102</v>
      </c>
      <c r="D9" s="19" t="s">
        <v>62</v>
      </c>
      <c r="E9" s="4">
        <v>1040405001</v>
      </c>
      <c r="F9" s="4">
        <v>12</v>
      </c>
      <c r="G9" s="4">
        <v>11</v>
      </c>
      <c r="H9" s="4">
        <v>10</v>
      </c>
      <c r="I9" s="4">
        <v>9</v>
      </c>
      <c r="J9" s="4">
        <v>8</v>
      </c>
      <c r="K9" s="4">
        <v>11110201</v>
      </c>
      <c r="L9" s="4">
        <v>11000201</v>
      </c>
      <c r="M9" s="4" t="s">
        <v>41</v>
      </c>
      <c r="N9" s="20">
        <v>100</v>
      </c>
    </row>
    <row r="10" spans="1:14">
      <c r="A10" s="4">
        <f t="shared" ref="A10:A73" si="1">A9+1</f>
        <v>19010202</v>
      </c>
      <c r="B10" s="8" t="str">
        <f t="shared" si="0"/>
        <v>2</v>
      </c>
      <c r="C10" s="6">
        <v>190102</v>
      </c>
      <c r="D10" s="19" t="s">
        <v>63</v>
      </c>
      <c r="E10" s="4">
        <v>1040405001</v>
      </c>
      <c r="F10" s="4">
        <v>12</v>
      </c>
      <c r="G10" s="4">
        <v>11</v>
      </c>
      <c r="H10" s="4">
        <v>10</v>
      </c>
      <c r="I10" s="4">
        <v>9</v>
      </c>
      <c r="J10" s="4">
        <v>8</v>
      </c>
      <c r="K10" s="4">
        <v>11110202</v>
      </c>
      <c r="L10" s="4">
        <v>11000202</v>
      </c>
      <c r="M10" s="4" t="s">
        <v>41</v>
      </c>
      <c r="N10" s="20">
        <v>100</v>
      </c>
    </row>
    <row r="11" spans="1:14">
      <c r="A11" s="4">
        <f t="shared" si="1"/>
        <v>19010203</v>
      </c>
      <c r="B11" s="8" t="str">
        <f t="shared" si="0"/>
        <v>3</v>
      </c>
      <c r="C11" s="6">
        <v>190102</v>
      </c>
      <c r="D11" s="19" t="s">
        <v>64</v>
      </c>
      <c r="E11" s="4">
        <v>1040405001</v>
      </c>
      <c r="F11" s="4">
        <v>12</v>
      </c>
      <c r="G11" s="4">
        <v>11</v>
      </c>
      <c r="H11" s="4">
        <v>10</v>
      </c>
      <c r="I11" s="4">
        <v>9</v>
      </c>
      <c r="J11" s="4">
        <v>8</v>
      </c>
      <c r="K11" s="4">
        <v>11110203</v>
      </c>
      <c r="L11" s="4">
        <v>11000203</v>
      </c>
      <c r="M11" s="4" t="s">
        <v>41</v>
      </c>
      <c r="N11" s="20">
        <v>100</v>
      </c>
    </row>
    <row r="12" spans="1:14">
      <c r="A12" s="4">
        <f t="shared" si="1"/>
        <v>19010204</v>
      </c>
      <c r="B12" s="8" t="str">
        <f t="shared" si="0"/>
        <v>4</v>
      </c>
      <c r="C12" s="6">
        <v>190102</v>
      </c>
      <c r="D12" s="19" t="s">
        <v>65</v>
      </c>
      <c r="E12" s="4">
        <v>1040405001</v>
      </c>
      <c r="F12" s="4">
        <v>12</v>
      </c>
      <c r="G12" s="4">
        <v>11</v>
      </c>
      <c r="H12" s="4">
        <v>10</v>
      </c>
      <c r="I12" s="4">
        <v>9</v>
      </c>
      <c r="J12" s="4">
        <v>8</v>
      </c>
      <c r="K12" s="4">
        <v>11110204</v>
      </c>
      <c r="L12" s="4">
        <v>11000204</v>
      </c>
      <c r="M12" s="4" t="s">
        <v>41</v>
      </c>
      <c r="N12" s="20">
        <v>100</v>
      </c>
    </row>
    <row r="13" spans="1:14">
      <c r="A13" s="4">
        <f t="shared" si="1"/>
        <v>19010205</v>
      </c>
      <c r="B13" s="8" t="str">
        <f t="shared" si="0"/>
        <v>5</v>
      </c>
      <c r="C13" s="6">
        <v>190102</v>
      </c>
      <c r="D13" s="19" t="s">
        <v>66</v>
      </c>
      <c r="E13" s="4">
        <v>1040405001</v>
      </c>
      <c r="F13" s="4">
        <v>12</v>
      </c>
      <c r="G13" s="4">
        <v>11</v>
      </c>
      <c r="H13" s="4">
        <v>10</v>
      </c>
      <c r="I13" s="4">
        <v>9</v>
      </c>
      <c r="J13" s="4">
        <v>8</v>
      </c>
      <c r="K13" s="4">
        <v>11110205</v>
      </c>
      <c r="L13" s="4">
        <v>11000205</v>
      </c>
      <c r="M13" s="4" t="s">
        <v>41</v>
      </c>
      <c r="N13" s="20">
        <v>100</v>
      </c>
    </row>
    <row r="14" spans="1:14">
      <c r="A14" s="4">
        <f>C14*100+1</f>
        <v>19010301</v>
      </c>
      <c r="B14" s="8" t="str">
        <f t="shared" si="0"/>
        <v>1</v>
      </c>
      <c r="C14" s="6">
        <v>190103</v>
      </c>
      <c r="D14" s="19" t="s">
        <v>67</v>
      </c>
      <c r="E14" s="4">
        <v>1040405001</v>
      </c>
      <c r="F14" s="4">
        <v>17</v>
      </c>
      <c r="G14" s="4">
        <v>16</v>
      </c>
      <c r="H14" s="4">
        <v>15</v>
      </c>
      <c r="I14" s="4">
        <v>14</v>
      </c>
      <c r="J14" s="4">
        <v>13</v>
      </c>
      <c r="K14" s="4">
        <v>11110301</v>
      </c>
      <c r="L14" s="4">
        <v>11000301</v>
      </c>
      <c r="M14" s="4" t="s">
        <v>41</v>
      </c>
      <c r="N14" s="20">
        <v>115</v>
      </c>
    </row>
    <row r="15" spans="1:14">
      <c r="A15" s="4">
        <f>A14+1</f>
        <v>19010302</v>
      </c>
      <c r="B15" s="8" t="str">
        <f t="shared" si="0"/>
        <v>2</v>
      </c>
      <c r="C15" s="6">
        <v>190103</v>
      </c>
      <c r="D15" s="19" t="s">
        <v>68</v>
      </c>
      <c r="E15" s="4">
        <v>1040405001</v>
      </c>
      <c r="F15" s="4">
        <v>17</v>
      </c>
      <c r="G15" s="4">
        <v>16</v>
      </c>
      <c r="H15" s="4">
        <v>15</v>
      </c>
      <c r="I15" s="4">
        <v>14</v>
      </c>
      <c r="J15" s="4">
        <v>13</v>
      </c>
      <c r="K15" s="4">
        <v>11110302</v>
      </c>
      <c r="L15" s="4">
        <v>11000302</v>
      </c>
      <c r="M15" s="4" t="s">
        <v>41</v>
      </c>
      <c r="N15" s="20">
        <v>115</v>
      </c>
    </row>
    <row r="16" spans="1:14">
      <c r="A16" s="4">
        <f t="shared" si="1"/>
        <v>19010303</v>
      </c>
      <c r="B16" s="8" t="str">
        <f t="shared" si="0"/>
        <v>3</v>
      </c>
      <c r="C16" s="6">
        <v>190103</v>
      </c>
      <c r="D16" s="19" t="s">
        <v>69</v>
      </c>
      <c r="E16" s="4">
        <v>1040405001</v>
      </c>
      <c r="F16" s="4">
        <v>17</v>
      </c>
      <c r="G16" s="4">
        <v>16</v>
      </c>
      <c r="H16" s="4">
        <v>15</v>
      </c>
      <c r="I16" s="4">
        <v>14</v>
      </c>
      <c r="J16" s="4">
        <v>13</v>
      </c>
      <c r="K16" s="4">
        <v>11110303</v>
      </c>
      <c r="L16" s="4">
        <v>11000303</v>
      </c>
      <c r="M16" s="4" t="s">
        <v>41</v>
      </c>
      <c r="N16" s="20">
        <v>115</v>
      </c>
    </row>
    <row r="17" spans="1:14">
      <c r="A17" s="4">
        <f t="shared" si="1"/>
        <v>19010304</v>
      </c>
      <c r="B17" s="8" t="str">
        <f t="shared" si="0"/>
        <v>4</v>
      </c>
      <c r="C17" s="6">
        <v>190103</v>
      </c>
      <c r="D17" s="19" t="s">
        <v>70</v>
      </c>
      <c r="E17" s="4">
        <v>1040405001</v>
      </c>
      <c r="F17" s="4">
        <v>17</v>
      </c>
      <c r="G17" s="4">
        <v>16</v>
      </c>
      <c r="H17" s="4">
        <v>15</v>
      </c>
      <c r="I17" s="4">
        <v>14</v>
      </c>
      <c r="J17" s="4">
        <v>13</v>
      </c>
      <c r="K17" s="4">
        <v>11110304</v>
      </c>
      <c r="L17" s="4">
        <v>11000304</v>
      </c>
      <c r="M17" s="4" t="s">
        <v>41</v>
      </c>
      <c r="N17" s="20">
        <v>115</v>
      </c>
    </row>
    <row r="18" spans="1:14">
      <c r="A18" s="4">
        <f t="shared" si="1"/>
        <v>19010305</v>
      </c>
      <c r="B18" s="8" t="str">
        <f t="shared" si="0"/>
        <v>5</v>
      </c>
      <c r="C18" s="6">
        <v>190103</v>
      </c>
      <c r="D18" s="19" t="s">
        <v>71</v>
      </c>
      <c r="E18" s="4">
        <v>1040405001</v>
      </c>
      <c r="F18" s="4">
        <v>17</v>
      </c>
      <c r="G18" s="4">
        <v>16</v>
      </c>
      <c r="H18" s="4">
        <v>15</v>
      </c>
      <c r="I18" s="4">
        <v>14</v>
      </c>
      <c r="J18" s="4">
        <v>13</v>
      </c>
      <c r="K18" s="4">
        <v>11110305</v>
      </c>
      <c r="L18" s="4">
        <v>11000305</v>
      </c>
      <c r="M18" s="4" t="s">
        <v>41</v>
      </c>
      <c r="N18" s="20">
        <v>115</v>
      </c>
    </row>
    <row r="19" spans="1:14">
      <c r="A19" s="4">
        <f>C19*100+1</f>
        <v>19010401</v>
      </c>
      <c r="B19" s="8" t="str">
        <f t="shared" si="0"/>
        <v>1</v>
      </c>
      <c r="C19" s="6">
        <v>190104</v>
      </c>
      <c r="D19" s="19" t="s">
        <v>72</v>
      </c>
      <c r="E19" s="4">
        <v>1040405001</v>
      </c>
      <c r="F19" s="4">
        <v>22</v>
      </c>
      <c r="G19" s="4">
        <v>21</v>
      </c>
      <c r="H19" s="4">
        <v>20</v>
      </c>
      <c r="I19" s="4">
        <v>19</v>
      </c>
      <c r="J19" s="4">
        <v>18</v>
      </c>
      <c r="K19" s="4">
        <v>11110401</v>
      </c>
      <c r="L19" s="4">
        <v>11000401</v>
      </c>
      <c r="M19" s="4" t="s">
        <v>41</v>
      </c>
      <c r="N19" s="20">
        <v>130</v>
      </c>
    </row>
    <row r="20" spans="1:14">
      <c r="A20" s="4">
        <f>A19+1</f>
        <v>19010402</v>
      </c>
      <c r="B20" s="8" t="str">
        <f t="shared" si="0"/>
        <v>2</v>
      </c>
      <c r="C20" s="6">
        <v>190104</v>
      </c>
      <c r="D20" s="19" t="s">
        <v>73</v>
      </c>
      <c r="E20" s="4">
        <v>1040405001</v>
      </c>
      <c r="F20" s="4">
        <v>22</v>
      </c>
      <c r="G20" s="4">
        <v>21</v>
      </c>
      <c r="H20" s="4">
        <v>20</v>
      </c>
      <c r="I20" s="4">
        <v>19</v>
      </c>
      <c r="J20" s="4">
        <v>18</v>
      </c>
      <c r="K20" s="4">
        <v>11110402</v>
      </c>
      <c r="L20" s="4">
        <v>11000402</v>
      </c>
      <c r="M20" s="4" t="s">
        <v>41</v>
      </c>
      <c r="N20" s="20">
        <v>130</v>
      </c>
    </row>
    <row r="21" spans="1:14">
      <c r="A21" s="4">
        <f t="shared" si="1"/>
        <v>19010403</v>
      </c>
      <c r="B21" s="8" t="str">
        <f t="shared" si="0"/>
        <v>3</v>
      </c>
      <c r="C21" s="6">
        <v>190104</v>
      </c>
      <c r="D21" s="19" t="s">
        <v>74</v>
      </c>
      <c r="E21" s="4">
        <v>1040405001</v>
      </c>
      <c r="F21" s="4">
        <v>22</v>
      </c>
      <c r="G21" s="4">
        <v>21</v>
      </c>
      <c r="H21" s="4">
        <v>20</v>
      </c>
      <c r="I21" s="4">
        <v>19</v>
      </c>
      <c r="J21" s="4">
        <v>18</v>
      </c>
      <c r="K21" s="4">
        <v>11110403</v>
      </c>
      <c r="L21" s="4">
        <v>11000403</v>
      </c>
      <c r="M21" s="4" t="s">
        <v>41</v>
      </c>
      <c r="N21" s="20">
        <v>130</v>
      </c>
    </row>
    <row r="22" spans="1:14">
      <c r="A22" s="4">
        <f t="shared" si="1"/>
        <v>19010404</v>
      </c>
      <c r="B22" s="8" t="str">
        <f t="shared" si="0"/>
        <v>4</v>
      </c>
      <c r="C22" s="6">
        <v>190104</v>
      </c>
      <c r="D22" s="19" t="s">
        <v>75</v>
      </c>
      <c r="E22" s="4">
        <v>1040405001</v>
      </c>
      <c r="F22" s="4">
        <v>22</v>
      </c>
      <c r="G22" s="4">
        <v>21</v>
      </c>
      <c r="H22" s="4">
        <v>20</v>
      </c>
      <c r="I22" s="4">
        <v>19</v>
      </c>
      <c r="J22" s="4">
        <v>18</v>
      </c>
      <c r="K22" s="4">
        <v>11110404</v>
      </c>
      <c r="L22" s="4">
        <v>11000404</v>
      </c>
      <c r="M22" s="4" t="s">
        <v>41</v>
      </c>
      <c r="N22" s="20">
        <v>130</v>
      </c>
    </row>
    <row r="23" spans="1:14">
      <c r="A23" s="4">
        <f t="shared" si="1"/>
        <v>19010405</v>
      </c>
      <c r="B23" s="8" t="str">
        <f t="shared" si="0"/>
        <v>5</v>
      </c>
      <c r="C23" s="6">
        <v>190104</v>
      </c>
      <c r="D23" s="19" t="s">
        <v>76</v>
      </c>
      <c r="E23" s="4">
        <v>1040405001</v>
      </c>
      <c r="F23" s="4">
        <v>22</v>
      </c>
      <c r="G23" s="4">
        <v>21</v>
      </c>
      <c r="H23" s="4">
        <v>20</v>
      </c>
      <c r="I23" s="4">
        <v>19</v>
      </c>
      <c r="J23" s="4">
        <v>18</v>
      </c>
      <c r="K23" s="4">
        <v>11110405</v>
      </c>
      <c r="L23" s="4">
        <v>11000405</v>
      </c>
      <c r="M23" s="4" t="s">
        <v>41</v>
      </c>
      <c r="N23" s="20">
        <v>130</v>
      </c>
    </row>
    <row r="24" spans="1:14">
      <c r="A24" s="4">
        <f>C24*100+1</f>
        <v>19010501</v>
      </c>
      <c r="B24" s="8" t="str">
        <f t="shared" si="0"/>
        <v>1</v>
      </c>
      <c r="C24" s="6">
        <v>190105</v>
      </c>
      <c r="D24" s="19" t="s">
        <v>77</v>
      </c>
      <c r="E24" s="4">
        <v>1040405001</v>
      </c>
      <c r="F24" s="4">
        <v>27</v>
      </c>
      <c r="G24" s="4">
        <v>26</v>
      </c>
      <c r="H24" s="4">
        <v>25</v>
      </c>
      <c r="I24" s="4">
        <v>24</v>
      </c>
      <c r="J24" s="4">
        <v>23</v>
      </c>
      <c r="K24" s="4">
        <v>11110501</v>
      </c>
      <c r="L24" s="4">
        <v>11000501</v>
      </c>
      <c r="M24" s="4" t="s">
        <v>41</v>
      </c>
      <c r="N24" s="20">
        <v>145</v>
      </c>
    </row>
    <row r="25" spans="1:14">
      <c r="A25" s="4">
        <f>A24+1</f>
        <v>19010502</v>
      </c>
      <c r="B25" s="8" t="str">
        <f t="shared" si="0"/>
        <v>2</v>
      </c>
      <c r="C25" s="6">
        <v>190105</v>
      </c>
      <c r="D25" s="19" t="s">
        <v>78</v>
      </c>
      <c r="E25" s="4">
        <v>1040405001</v>
      </c>
      <c r="F25" s="4">
        <v>27</v>
      </c>
      <c r="G25" s="4">
        <v>26</v>
      </c>
      <c r="H25" s="4">
        <v>25</v>
      </c>
      <c r="I25" s="4">
        <v>24</v>
      </c>
      <c r="J25" s="4">
        <v>23</v>
      </c>
      <c r="K25" s="4">
        <v>11110502</v>
      </c>
      <c r="L25" s="4">
        <v>11000502</v>
      </c>
      <c r="M25" s="4" t="s">
        <v>41</v>
      </c>
      <c r="N25" s="20">
        <v>145</v>
      </c>
    </row>
    <row r="26" spans="1:14">
      <c r="A26" s="4">
        <f t="shared" si="1"/>
        <v>19010503</v>
      </c>
      <c r="B26" s="8" t="str">
        <f t="shared" si="0"/>
        <v>3</v>
      </c>
      <c r="C26" s="6">
        <v>190105</v>
      </c>
      <c r="D26" s="19" t="s">
        <v>79</v>
      </c>
      <c r="E26" s="4">
        <v>1040405001</v>
      </c>
      <c r="F26" s="4">
        <v>27</v>
      </c>
      <c r="G26" s="4">
        <v>26</v>
      </c>
      <c r="H26" s="4">
        <v>25</v>
      </c>
      <c r="I26" s="4">
        <v>24</v>
      </c>
      <c r="J26" s="4">
        <v>23</v>
      </c>
      <c r="K26" s="4">
        <v>11110503</v>
      </c>
      <c r="L26" s="4">
        <v>11000503</v>
      </c>
      <c r="M26" s="4" t="s">
        <v>41</v>
      </c>
      <c r="N26" s="20">
        <v>145</v>
      </c>
    </row>
    <row r="27" spans="1:14">
      <c r="A27" s="4">
        <f t="shared" si="1"/>
        <v>19010504</v>
      </c>
      <c r="B27" s="8" t="str">
        <f t="shared" si="0"/>
        <v>4</v>
      </c>
      <c r="C27" s="6">
        <v>190105</v>
      </c>
      <c r="D27" s="19" t="s">
        <v>80</v>
      </c>
      <c r="E27" s="4">
        <v>1040405001</v>
      </c>
      <c r="F27" s="4">
        <v>27</v>
      </c>
      <c r="G27" s="4">
        <v>26</v>
      </c>
      <c r="H27" s="4">
        <v>25</v>
      </c>
      <c r="I27" s="4">
        <v>24</v>
      </c>
      <c r="J27" s="4">
        <v>23</v>
      </c>
      <c r="K27" s="4">
        <v>11110504</v>
      </c>
      <c r="L27" s="4">
        <v>11000504</v>
      </c>
      <c r="M27" s="4" t="s">
        <v>41</v>
      </c>
      <c r="N27" s="20">
        <v>145</v>
      </c>
    </row>
    <row r="28" spans="1:14">
      <c r="A28" s="4">
        <f t="shared" si="1"/>
        <v>19010505</v>
      </c>
      <c r="B28" s="8" t="str">
        <f t="shared" si="0"/>
        <v>5</v>
      </c>
      <c r="C28" s="6">
        <v>190105</v>
      </c>
      <c r="D28" s="19" t="s">
        <v>81</v>
      </c>
      <c r="E28" s="4">
        <v>1040405001</v>
      </c>
      <c r="F28" s="4">
        <v>27</v>
      </c>
      <c r="G28" s="4">
        <v>26</v>
      </c>
      <c r="H28" s="4">
        <v>25</v>
      </c>
      <c r="I28" s="4">
        <v>24</v>
      </c>
      <c r="J28" s="4">
        <v>23</v>
      </c>
      <c r="K28" s="4">
        <v>11110505</v>
      </c>
      <c r="L28" s="4">
        <v>11000505</v>
      </c>
      <c r="M28" s="4" t="s">
        <v>41</v>
      </c>
      <c r="N28" s="20">
        <v>145</v>
      </c>
    </row>
    <row r="29" spans="1:14">
      <c r="A29" s="4">
        <f>C29*100+1</f>
        <v>19010601</v>
      </c>
      <c r="B29" s="8" t="str">
        <f t="shared" si="0"/>
        <v>1</v>
      </c>
      <c r="C29" s="6">
        <v>190106</v>
      </c>
      <c r="D29" s="19" t="s">
        <v>82</v>
      </c>
      <c r="E29" s="4">
        <v>1040405001</v>
      </c>
      <c r="F29" s="4">
        <v>32</v>
      </c>
      <c r="G29" s="4">
        <v>31</v>
      </c>
      <c r="H29" s="4">
        <v>30</v>
      </c>
      <c r="I29" s="4">
        <v>29</v>
      </c>
      <c r="J29" s="4">
        <v>28</v>
      </c>
      <c r="K29" s="4">
        <v>11110601</v>
      </c>
      <c r="L29" s="4">
        <v>11000601</v>
      </c>
      <c r="M29" s="4" t="s">
        <v>41</v>
      </c>
      <c r="N29" s="20">
        <v>160</v>
      </c>
    </row>
    <row r="30" spans="1:14">
      <c r="A30" s="4">
        <f>A29+1</f>
        <v>19010602</v>
      </c>
      <c r="B30" s="8" t="str">
        <f t="shared" si="0"/>
        <v>2</v>
      </c>
      <c r="C30" s="6">
        <v>190106</v>
      </c>
      <c r="D30" s="19" t="s">
        <v>83</v>
      </c>
      <c r="E30" s="4">
        <v>1040405001</v>
      </c>
      <c r="F30" s="4">
        <v>32</v>
      </c>
      <c r="G30" s="4">
        <v>31</v>
      </c>
      <c r="H30" s="4">
        <v>30</v>
      </c>
      <c r="I30" s="4">
        <v>29</v>
      </c>
      <c r="J30" s="4">
        <v>28</v>
      </c>
      <c r="K30" s="4">
        <v>11110602</v>
      </c>
      <c r="L30" s="4">
        <v>11000602</v>
      </c>
      <c r="M30" s="4" t="s">
        <v>41</v>
      </c>
      <c r="N30" s="20">
        <v>160</v>
      </c>
    </row>
    <row r="31" spans="1:14">
      <c r="A31" s="4">
        <f t="shared" si="1"/>
        <v>19010603</v>
      </c>
      <c r="B31" s="8" t="str">
        <f t="shared" si="0"/>
        <v>3</v>
      </c>
      <c r="C31" s="6">
        <v>190106</v>
      </c>
      <c r="D31" s="19" t="s">
        <v>84</v>
      </c>
      <c r="E31" s="4">
        <v>1040405001</v>
      </c>
      <c r="F31" s="4">
        <v>32</v>
      </c>
      <c r="G31" s="4">
        <v>31</v>
      </c>
      <c r="H31" s="4">
        <v>30</v>
      </c>
      <c r="I31" s="4">
        <v>29</v>
      </c>
      <c r="J31" s="4">
        <v>28</v>
      </c>
      <c r="K31" s="4">
        <v>11110603</v>
      </c>
      <c r="L31" s="4">
        <v>11000603</v>
      </c>
      <c r="M31" s="4" t="s">
        <v>41</v>
      </c>
      <c r="N31" s="20">
        <v>160</v>
      </c>
    </row>
    <row r="32" spans="1:14">
      <c r="A32" s="4">
        <f t="shared" si="1"/>
        <v>19010604</v>
      </c>
      <c r="B32" s="8" t="str">
        <f t="shared" si="0"/>
        <v>4</v>
      </c>
      <c r="C32" s="6">
        <v>190106</v>
      </c>
      <c r="D32" s="19" t="s">
        <v>85</v>
      </c>
      <c r="E32" s="4">
        <v>1040405001</v>
      </c>
      <c r="F32" s="4">
        <v>32</v>
      </c>
      <c r="G32" s="4">
        <v>31</v>
      </c>
      <c r="H32" s="4">
        <v>30</v>
      </c>
      <c r="I32" s="4">
        <v>29</v>
      </c>
      <c r="J32" s="4">
        <v>28</v>
      </c>
      <c r="K32" s="4">
        <v>11110604</v>
      </c>
      <c r="L32" s="4">
        <v>11000604</v>
      </c>
      <c r="M32" s="4" t="s">
        <v>41</v>
      </c>
      <c r="N32" s="20">
        <v>160</v>
      </c>
    </row>
    <row r="33" spans="1:14">
      <c r="A33" s="4">
        <f t="shared" si="1"/>
        <v>19010605</v>
      </c>
      <c r="B33" s="8" t="str">
        <f t="shared" si="0"/>
        <v>5</v>
      </c>
      <c r="C33" s="6">
        <v>190106</v>
      </c>
      <c r="D33" s="19" t="s">
        <v>86</v>
      </c>
      <c r="E33" s="4">
        <v>1040405001</v>
      </c>
      <c r="F33" s="4">
        <v>32</v>
      </c>
      <c r="G33" s="4">
        <v>31</v>
      </c>
      <c r="H33" s="4">
        <v>30</v>
      </c>
      <c r="I33" s="4">
        <v>29</v>
      </c>
      <c r="J33" s="4">
        <v>28</v>
      </c>
      <c r="K33" s="4">
        <v>11110605</v>
      </c>
      <c r="L33" s="4">
        <v>11000605</v>
      </c>
      <c r="M33" s="4" t="s">
        <v>41</v>
      </c>
      <c r="N33" s="20">
        <v>160</v>
      </c>
    </row>
    <row r="34" spans="1:14">
      <c r="A34" s="4">
        <f>C34*100+1</f>
        <v>19010701</v>
      </c>
      <c r="B34" s="8" t="str">
        <f t="shared" si="0"/>
        <v>1</v>
      </c>
      <c r="C34" s="6">
        <v>190107</v>
      </c>
      <c r="D34" s="19" t="s">
        <v>87</v>
      </c>
      <c r="E34" s="4">
        <v>1040405001</v>
      </c>
      <c r="F34" s="4">
        <v>37</v>
      </c>
      <c r="G34" s="4">
        <v>36</v>
      </c>
      <c r="H34" s="4">
        <v>35</v>
      </c>
      <c r="I34" s="4">
        <v>34</v>
      </c>
      <c r="J34" s="4">
        <v>33</v>
      </c>
      <c r="K34" s="4">
        <v>11110701</v>
      </c>
      <c r="L34" s="4">
        <v>11000701</v>
      </c>
      <c r="M34" s="4" t="s">
        <v>41</v>
      </c>
      <c r="N34" s="20">
        <v>175</v>
      </c>
    </row>
    <row r="35" spans="1:14">
      <c r="A35" s="4">
        <f>A34+1</f>
        <v>19010702</v>
      </c>
      <c r="B35" s="8" t="str">
        <f t="shared" si="0"/>
        <v>2</v>
      </c>
      <c r="C35" s="6">
        <v>190107</v>
      </c>
      <c r="D35" s="19" t="s">
        <v>88</v>
      </c>
      <c r="E35" s="4">
        <v>1040405001</v>
      </c>
      <c r="F35" s="4">
        <v>37</v>
      </c>
      <c r="G35" s="4">
        <v>36</v>
      </c>
      <c r="H35" s="4">
        <v>35</v>
      </c>
      <c r="I35" s="4">
        <v>34</v>
      </c>
      <c r="J35" s="4">
        <v>33</v>
      </c>
      <c r="K35" s="4">
        <v>11110702</v>
      </c>
      <c r="L35" s="4">
        <v>11000702</v>
      </c>
      <c r="M35" s="4" t="s">
        <v>41</v>
      </c>
      <c r="N35" s="20">
        <v>175</v>
      </c>
    </row>
    <row r="36" spans="1:14">
      <c r="A36" s="4">
        <f t="shared" si="1"/>
        <v>19010703</v>
      </c>
      <c r="B36" s="8" t="str">
        <f t="shared" si="0"/>
        <v>3</v>
      </c>
      <c r="C36" s="6">
        <v>190107</v>
      </c>
      <c r="D36" s="19" t="s">
        <v>89</v>
      </c>
      <c r="E36" s="4">
        <v>1040405001</v>
      </c>
      <c r="F36" s="4">
        <v>37</v>
      </c>
      <c r="G36" s="4">
        <v>36</v>
      </c>
      <c r="H36" s="4">
        <v>35</v>
      </c>
      <c r="I36" s="4">
        <v>34</v>
      </c>
      <c r="J36" s="4">
        <v>33</v>
      </c>
      <c r="K36" s="4">
        <v>11110703</v>
      </c>
      <c r="L36" s="4">
        <v>11000703</v>
      </c>
      <c r="M36" s="4" t="s">
        <v>41</v>
      </c>
      <c r="N36" s="20">
        <v>175</v>
      </c>
    </row>
    <row r="37" spans="1:14">
      <c r="A37" s="4">
        <f t="shared" si="1"/>
        <v>19010704</v>
      </c>
      <c r="B37" s="8" t="str">
        <f t="shared" si="0"/>
        <v>4</v>
      </c>
      <c r="C37" s="6">
        <v>190107</v>
      </c>
      <c r="D37" s="19" t="s">
        <v>90</v>
      </c>
      <c r="E37" s="4">
        <v>1040405001</v>
      </c>
      <c r="F37" s="4">
        <v>37</v>
      </c>
      <c r="G37" s="4">
        <v>36</v>
      </c>
      <c r="H37" s="4">
        <v>35</v>
      </c>
      <c r="I37" s="4">
        <v>34</v>
      </c>
      <c r="J37" s="4">
        <v>33</v>
      </c>
      <c r="K37" s="4">
        <v>11110704</v>
      </c>
      <c r="L37" s="4">
        <v>11000704</v>
      </c>
      <c r="M37" s="4" t="s">
        <v>41</v>
      </c>
      <c r="N37" s="20">
        <v>175</v>
      </c>
    </row>
    <row r="38" spans="1:14">
      <c r="A38" s="4">
        <f t="shared" si="1"/>
        <v>19010705</v>
      </c>
      <c r="B38" s="8" t="str">
        <f t="shared" si="0"/>
        <v>5</v>
      </c>
      <c r="C38" s="6">
        <v>190107</v>
      </c>
      <c r="D38" s="19" t="s">
        <v>91</v>
      </c>
      <c r="E38" s="4">
        <v>1040405001</v>
      </c>
      <c r="F38" s="4">
        <v>37</v>
      </c>
      <c r="G38" s="4">
        <v>36</v>
      </c>
      <c r="H38" s="4">
        <v>35</v>
      </c>
      <c r="I38" s="4">
        <v>34</v>
      </c>
      <c r="J38" s="4">
        <v>33</v>
      </c>
      <c r="K38" s="4">
        <v>11110705</v>
      </c>
      <c r="L38" s="4">
        <v>11000705</v>
      </c>
      <c r="M38" s="4" t="s">
        <v>41</v>
      </c>
      <c r="N38" s="20">
        <v>175</v>
      </c>
    </row>
    <row r="39" spans="1:14">
      <c r="A39" s="4">
        <f>C39*100+1</f>
        <v>19010801</v>
      </c>
      <c r="B39" s="8" t="str">
        <f t="shared" si="0"/>
        <v>1</v>
      </c>
      <c r="C39" s="6">
        <v>190108</v>
      </c>
      <c r="D39" s="19" t="s">
        <v>92</v>
      </c>
      <c r="E39" s="4">
        <v>1040405001</v>
      </c>
      <c r="F39" s="4">
        <v>42</v>
      </c>
      <c r="G39" s="4">
        <v>41</v>
      </c>
      <c r="H39" s="4">
        <v>40</v>
      </c>
      <c r="I39" s="4">
        <v>39</v>
      </c>
      <c r="J39" s="4">
        <v>38</v>
      </c>
      <c r="K39" s="4">
        <v>11110801</v>
      </c>
      <c r="L39" s="4">
        <v>11000801</v>
      </c>
      <c r="M39" s="4" t="s">
        <v>41</v>
      </c>
      <c r="N39" s="20">
        <v>190</v>
      </c>
    </row>
    <row r="40" spans="1:14">
      <c r="A40" s="4">
        <f>A39+1</f>
        <v>19010802</v>
      </c>
      <c r="B40" s="8" t="str">
        <f t="shared" si="0"/>
        <v>2</v>
      </c>
      <c r="C40" s="6">
        <v>190108</v>
      </c>
      <c r="D40" s="19" t="s">
        <v>93</v>
      </c>
      <c r="E40" s="4">
        <v>1040405001</v>
      </c>
      <c r="F40" s="4">
        <v>42</v>
      </c>
      <c r="G40" s="4">
        <v>41</v>
      </c>
      <c r="H40" s="4">
        <v>40</v>
      </c>
      <c r="I40" s="4">
        <v>39</v>
      </c>
      <c r="J40" s="4">
        <v>38</v>
      </c>
      <c r="K40" s="4">
        <v>11110802</v>
      </c>
      <c r="L40" s="4">
        <v>11000802</v>
      </c>
      <c r="M40" s="4" t="s">
        <v>41</v>
      </c>
      <c r="N40" s="20">
        <v>190</v>
      </c>
    </row>
    <row r="41" spans="1:14">
      <c r="A41" s="4">
        <f t="shared" si="1"/>
        <v>19010803</v>
      </c>
      <c r="B41" s="8" t="str">
        <f t="shared" si="0"/>
        <v>3</v>
      </c>
      <c r="C41" s="6">
        <v>190108</v>
      </c>
      <c r="D41" s="19" t="s">
        <v>94</v>
      </c>
      <c r="E41" s="4">
        <v>1040405001</v>
      </c>
      <c r="F41" s="4">
        <v>42</v>
      </c>
      <c r="G41" s="4">
        <v>41</v>
      </c>
      <c r="H41" s="4">
        <v>40</v>
      </c>
      <c r="I41" s="4">
        <v>39</v>
      </c>
      <c r="J41" s="4">
        <v>38</v>
      </c>
      <c r="K41" s="4">
        <v>11110803</v>
      </c>
      <c r="L41" s="4">
        <v>11000803</v>
      </c>
      <c r="M41" s="4" t="s">
        <v>41</v>
      </c>
      <c r="N41" s="20">
        <v>190</v>
      </c>
    </row>
    <row r="42" spans="1:14">
      <c r="A42" s="4">
        <f t="shared" si="1"/>
        <v>19010804</v>
      </c>
      <c r="B42" s="8" t="str">
        <f t="shared" si="0"/>
        <v>4</v>
      </c>
      <c r="C42" s="6">
        <v>190108</v>
      </c>
      <c r="D42" s="19" t="s">
        <v>95</v>
      </c>
      <c r="E42" s="4">
        <v>1040405001</v>
      </c>
      <c r="F42" s="4">
        <v>42</v>
      </c>
      <c r="G42" s="4">
        <v>41</v>
      </c>
      <c r="H42" s="4">
        <v>40</v>
      </c>
      <c r="I42" s="4">
        <v>39</v>
      </c>
      <c r="J42" s="4">
        <v>38</v>
      </c>
      <c r="K42" s="4">
        <v>11110804</v>
      </c>
      <c r="L42" s="4">
        <v>11000804</v>
      </c>
      <c r="M42" s="4" t="s">
        <v>41</v>
      </c>
      <c r="N42" s="20">
        <v>190</v>
      </c>
    </row>
    <row r="43" spans="1:14">
      <c r="A43" s="4">
        <f t="shared" si="1"/>
        <v>19010805</v>
      </c>
      <c r="B43" s="8" t="str">
        <f t="shared" si="0"/>
        <v>5</v>
      </c>
      <c r="C43" s="6">
        <v>190108</v>
      </c>
      <c r="D43" s="19" t="s">
        <v>96</v>
      </c>
      <c r="E43" s="4">
        <v>1040405001</v>
      </c>
      <c r="F43" s="4">
        <v>42</v>
      </c>
      <c r="G43" s="4">
        <v>41</v>
      </c>
      <c r="H43" s="4">
        <v>40</v>
      </c>
      <c r="I43" s="4">
        <v>39</v>
      </c>
      <c r="J43" s="4">
        <v>38</v>
      </c>
      <c r="K43" s="4">
        <v>11110805</v>
      </c>
      <c r="L43" s="4">
        <v>11000805</v>
      </c>
      <c r="M43" s="4" t="s">
        <v>41</v>
      </c>
      <c r="N43" s="20">
        <v>190</v>
      </c>
    </row>
    <row r="44" spans="1:14">
      <c r="A44" s="4">
        <f>C44*100+1</f>
        <v>19010901</v>
      </c>
      <c r="B44" s="8" t="str">
        <f t="shared" si="0"/>
        <v>1</v>
      </c>
      <c r="C44" s="8">
        <v>190109</v>
      </c>
      <c r="D44" s="19" t="s">
        <v>97</v>
      </c>
      <c r="E44" s="4">
        <v>1040405001</v>
      </c>
      <c r="F44" s="4">
        <v>47</v>
      </c>
      <c r="G44" s="4">
        <v>46</v>
      </c>
      <c r="H44" s="4">
        <v>45</v>
      </c>
      <c r="I44" s="4">
        <v>44</v>
      </c>
      <c r="J44" s="4">
        <v>43</v>
      </c>
      <c r="K44" s="4">
        <v>11110901</v>
      </c>
      <c r="L44" s="4">
        <v>11000901</v>
      </c>
      <c r="M44" s="4" t="s">
        <v>41</v>
      </c>
      <c r="N44" s="20">
        <v>205</v>
      </c>
    </row>
    <row r="45" spans="1:14">
      <c r="A45" s="4">
        <f>A44+1</f>
        <v>19010902</v>
      </c>
      <c r="B45" s="8" t="str">
        <f t="shared" si="0"/>
        <v>2</v>
      </c>
      <c r="C45" s="8">
        <v>190109</v>
      </c>
      <c r="D45" s="19" t="s">
        <v>98</v>
      </c>
      <c r="E45" s="4">
        <v>1040405001</v>
      </c>
      <c r="F45" s="4">
        <v>47</v>
      </c>
      <c r="G45" s="4">
        <v>46</v>
      </c>
      <c r="H45" s="4">
        <v>45</v>
      </c>
      <c r="I45" s="4">
        <v>44</v>
      </c>
      <c r="J45" s="4">
        <v>43</v>
      </c>
      <c r="K45" s="4">
        <v>11110902</v>
      </c>
      <c r="L45" s="4">
        <v>11000902</v>
      </c>
      <c r="M45" s="4" t="s">
        <v>41</v>
      </c>
      <c r="N45" s="20">
        <v>205</v>
      </c>
    </row>
    <row r="46" spans="1:14">
      <c r="A46" s="4">
        <f t="shared" si="1"/>
        <v>19010903</v>
      </c>
      <c r="B46" s="8" t="str">
        <f t="shared" si="0"/>
        <v>3</v>
      </c>
      <c r="C46" s="8">
        <v>190109</v>
      </c>
      <c r="D46" s="19" t="s">
        <v>99</v>
      </c>
      <c r="E46" s="4">
        <v>1040405001</v>
      </c>
      <c r="F46" s="4">
        <v>47</v>
      </c>
      <c r="G46" s="4">
        <v>46</v>
      </c>
      <c r="H46" s="4">
        <v>45</v>
      </c>
      <c r="I46" s="4">
        <v>44</v>
      </c>
      <c r="J46" s="4">
        <v>43</v>
      </c>
      <c r="K46" s="4">
        <v>11110903</v>
      </c>
      <c r="L46" s="4">
        <v>11000903</v>
      </c>
      <c r="M46" s="4" t="s">
        <v>41</v>
      </c>
      <c r="N46" s="20">
        <v>205</v>
      </c>
    </row>
    <row r="47" spans="1:14">
      <c r="A47" s="4">
        <f t="shared" si="1"/>
        <v>19010904</v>
      </c>
      <c r="B47" s="8" t="str">
        <f t="shared" si="0"/>
        <v>4</v>
      </c>
      <c r="C47" s="8">
        <v>190109</v>
      </c>
      <c r="D47" s="19" t="s">
        <v>100</v>
      </c>
      <c r="E47" s="4">
        <v>1040405001</v>
      </c>
      <c r="F47" s="4">
        <v>47</v>
      </c>
      <c r="G47" s="4">
        <v>46</v>
      </c>
      <c r="H47" s="4">
        <v>45</v>
      </c>
      <c r="I47" s="4">
        <v>44</v>
      </c>
      <c r="J47" s="4">
        <v>43</v>
      </c>
      <c r="K47" s="4">
        <v>11110904</v>
      </c>
      <c r="L47" s="4">
        <v>11000904</v>
      </c>
      <c r="M47" s="4" t="s">
        <v>41</v>
      </c>
      <c r="N47" s="20">
        <v>205</v>
      </c>
    </row>
    <row r="48" spans="1:14">
      <c r="A48" s="4">
        <f t="shared" si="1"/>
        <v>19010905</v>
      </c>
      <c r="B48" s="8" t="str">
        <f t="shared" si="0"/>
        <v>5</v>
      </c>
      <c r="C48" s="8">
        <v>190109</v>
      </c>
      <c r="D48" s="19" t="s">
        <v>101</v>
      </c>
      <c r="E48" s="4">
        <v>1040405001</v>
      </c>
      <c r="F48" s="4">
        <v>47</v>
      </c>
      <c r="G48" s="4">
        <v>46</v>
      </c>
      <c r="H48" s="4">
        <v>45</v>
      </c>
      <c r="I48" s="4">
        <v>44</v>
      </c>
      <c r="J48" s="4">
        <v>43</v>
      </c>
      <c r="K48" s="4">
        <v>11110905</v>
      </c>
      <c r="L48" s="4">
        <v>11000905</v>
      </c>
      <c r="M48" s="4" t="s">
        <v>41</v>
      </c>
      <c r="N48" s="20">
        <v>205</v>
      </c>
    </row>
    <row r="49" spans="1:14">
      <c r="A49" s="4">
        <f>C49*100+1</f>
        <v>19011001</v>
      </c>
      <c r="B49" s="8" t="str">
        <f t="shared" si="0"/>
        <v>1</v>
      </c>
      <c r="C49" s="8">
        <v>190110</v>
      </c>
      <c r="D49" s="19" t="s">
        <v>102</v>
      </c>
      <c r="E49" s="4">
        <v>1040405001</v>
      </c>
      <c r="F49" s="4">
        <v>52</v>
      </c>
      <c r="G49" s="4">
        <v>51</v>
      </c>
      <c r="H49" s="4">
        <v>50</v>
      </c>
      <c r="I49" s="4">
        <v>49</v>
      </c>
      <c r="J49" s="4">
        <v>48</v>
      </c>
      <c r="K49" s="4">
        <v>11111001</v>
      </c>
      <c r="L49" s="4">
        <v>11001001</v>
      </c>
      <c r="M49" s="4" t="s">
        <v>41</v>
      </c>
      <c r="N49" s="20">
        <v>220</v>
      </c>
    </row>
    <row r="50" spans="1:14">
      <c r="A50" s="4">
        <f>A49+1</f>
        <v>19011002</v>
      </c>
      <c r="B50" s="8" t="str">
        <f t="shared" si="0"/>
        <v>2</v>
      </c>
      <c r="C50" s="8">
        <v>190110</v>
      </c>
      <c r="D50" s="19" t="s">
        <v>103</v>
      </c>
      <c r="E50" s="4">
        <v>1040405001</v>
      </c>
      <c r="F50" s="4">
        <v>52</v>
      </c>
      <c r="G50" s="4">
        <v>51</v>
      </c>
      <c r="H50" s="4">
        <v>50</v>
      </c>
      <c r="I50" s="4">
        <v>49</v>
      </c>
      <c r="J50" s="4">
        <v>48</v>
      </c>
      <c r="K50" s="4">
        <v>11111002</v>
      </c>
      <c r="L50" s="4">
        <v>11001002</v>
      </c>
      <c r="M50" s="4" t="s">
        <v>41</v>
      </c>
      <c r="N50" s="20">
        <v>220</v>
      </c>
    </row>
    <row r="51" spans="1:14">
      <c r="A51" s="4">
        <f t="shared" si="1"/>
        <v>19011003</v>
      </c>
      <c r="B51" s="8" t="str">
        <f t="shared" si="0"/>
        <v>3</v>
      </c>
      <c r="C51" s="8">
        <v>190110</v>
      </c>
      <c r="D51" s="19" t="s">
        <v>104</v>
      </c>
      <c r="E51" s="4">
        <v>1040405001</v>
      </c>
      <c r="F51" s="4">
        <v>52</v>
      </c>
      <c r="G51" s="4">
        <v>51</v>
      </c>
      <c r="H51" s="4">
        <v>50</v>
      </c>
      <c r="I51" s="4">
        <v>49</v>
      </c>
      <c r="J51" s="4">
        <v>48</v>
      </c>
      <c r="K51" s="4">
        <v>11111003</v>
      </c>
      <c r="L51" s="4">
        <v>11001003</v>
      </c>
      <c r="M51" s="4" t="s">
        <v>41</v>
      </c>
      <c r="N51" s="20">
        <v>220</v>
      </c>
    </row>
    <row r="52" spans="1:14">
      <c r="A52" s="4">
        <f t="shared" si="1"/>
        <v>19011004</v>
      </c>
      <c r="B52" s="8" t="str">
        <f t="shared" si="0"/>
        <v>4</v>
      </c>
      <c r="C52" s="8">
        <v>190110</v>
      </c>
      <c r="D52" s="19" t="s">
        <v>105</v>
      </c>
      <c r="E52" s="4">
        <v>1040405001</v>
      </c>
      <c r="F52" s="4">
        <v>52</v>
      </c>
      <c r="G52" s="4">
        <v>51</v>
      </c>
      <c r="H52" s="4">
        <v>50</v>
      </c>
      <c r="I52" s="4">
        <v>49</v>
      </c>
      <c r="J52" s="4">
        <v>48</v>
      </c>
      <c r="K52" s="4">
        <v>11111004</v>
      </c>
      <c r="L52" s="4">
        <v>11001004</v>
      </c>
      <c r="M52" s="4" t="s">
        <v>41</v>
      </c>
      <c r="N52" s="20">
        <v>220</v>
      </c>
    </row>
    <row r="53" spans="1:14">
      <c r="A53" s="4">
        <f t="shared" si="1"/>
        <v>19011005</v>
      </c>
      <c r="B53" s="8" t="str">
        <f t="shared" si="0"/>
        <v>5</v>
      </c>
      <c r="C53" s="8">
        <v>190110</v>
      </c>
      <c r="D53" s="19" t="s">
        <v>106</v>
      </c>
      <c r="E53" s="4">
        <v>1040405001</v>
      </c>
      <c r="F53" s="4">
        <v>52</v>
      </c>
      <c r="G53" s="4">
        <v>51</v>
      </c>
      <c r="H53" s="4">
        <v>50</v>
      </c>
      <c r="I53" s="4">
        <v>49</v>
      </c>
      <c r="J53" s="4">
        <v>48</v>
      </c>
      <c r="K53" s="4">
        <v>11111005</v>
      </c>
      <c r="L53" s="4">
        <v>11001005</v>
      </c>
      <c r="M53" s="4" t="s">
        <v>41</v>
      </c>
      <c r="N53" s="20">
        <v>220</v>
      </c>
    </row>
    <row r="54" spans="1:14">
      <c r="A54" s="4">
        <f>C54*100+1</f>
        <v>19011101</v>
      </c>
      <c r="B54" s="8" t="str">
        <f t="shared" si="0"/>
        <v>1</v>
      </c>
      <c r="C54" s="8">
        <v>190111</v>
      </c>
      <c r="D54" s="19" t="s">
        <v>107</v>
      </c>
      <c r="E54" s="4">
        <v>1040405001</v>
      </c>
      <c r="F54" s="4">
        <v>57</v>
      </c>
      <c r="G54" s="4">
        <v>56</v>
      </c>
      <c r="H54" s="4">
        <v>55</v>
      </c>
      <c r="I54" s="4">
        <v>54</v>
      </c>
      <c r="J54" s="4">
        <v>53</v>
      </c>
      <c r="K54" s="4">
        <v>11111101</v>
      </c>
      <c r="L54" s="4">
        <v>11001101</v>
      </c>
      <c r="M54" s="4" t="s">
        <v>41</v>
      </c>
      <c r="N54" s="20">
        <v>235</v>
      </c>
    </row>
    <row r="55" spans="1:14">
      <c r="A55" s="4">
        <f>A54+1</f>
        <v>19011102</v>
      </c>
      <c r="B55" s="8" t="str">
        <f t="shared" si="0"/>
        <v>2</v>
      </c>
      <c r="C55" s="8">
        <v>190111</v>
      </c>
      <c r="D55" s="19" t="s">
        <v>108</v>
      </c>
      <c r="E55" s="4">
        <v>1040405001</v>
      </c>
      <c r="F55" s="4">
        <v>57</v>
      </c>
      <c r="G55" s="4">
        <v>56</v>
      </c>
      <c r="H55" s="4">
        <v>55</v>
      </c>
      <c r="I55" s="4">
        <v>54</v>
      </c>
      <c r="J55" s="4">
        <v>53</v>
      </c>
      <c r="K55" s="4">
        <v>11111102</v>
      </c>
      <c r="L55" s="4">
        <v>11001102</v>
      </c>
      <c r="M55" s="4" t="s">
        <v>41</v>
      </c>
      <c r="N55" s="20">
        <v>235</v>
      </c>
    </row>
    <row r="56" spans="1:14">
      <c r="A56" s="4">
        <f t="shared" si="1"/>
        <v>19011103</v>
      </c>
      <c r="B56" s="8" t="str">
        <f t="shared" si="0"/>
        <v>3</v>
      </c>
      <c r="C56" s="8">
        <v>190111</v>
      </c>
      <c r="D56" s="19" t="s">
        <v>109</v>
      </c>
      <c r="E56" s="4">
        <v>1040405001</v>
      </c>
      <c r="F56" s="4">
        <v>57</v>
      </c>
      <c r="G56" s="4">
        <v>56</v>
      </c>
      <c r="H56" s="4">
        <v>55</v>
      </c>
      <c r="I56" s="4">
        <v>54</v>
      </c>
      <c r="J56" s="4">
        <v>53</v>
      </c>
      <c r="K56" s="4">
        <v>11111103</v>
      </c>
      <c r="L56" s="4">
        <v>11001103</v>
      </c>
      <c r="M56" s="4" t="s">
        <v>41</v>
      </c>
      <c r="N56" s="20">
        <v>235</v>
      </c>
    </row>
    <row r="57" spans="1:14">
      <c r="A57" s="4">
        <f t="shared" si="1"/>
        <v>19011104</v>
      </c>
      <c r="B57" s="8" t="str">
        <f t="shared" si="0"/>
        <v>4</v>
      </c>
      <c r="C57" s="8">
        <v>190111</v>
      </c>
      <c r="D57" s="19" t="s">
        <v>110</v>
      </c>
      <c r="E57" s="4">
        <v>1040405001</v>
      </c>
      <c r="F57" s="4">
        <v>57</v>
      </c>
      <c r="G57" s="4">
        <v>56</v>
      </c>
      <c r="H57" s="4">
        <v>55</v>
      </c>
      <c r="I57" s="4">
        <v>54</v>
      </c>
      <c r="J57" s="4">
        <v>53</v>
      </c>
      <c r="K57" s="4">
        <v>11111104</v>
      </c>
      <c r="L57" s="4">
        <v>11001104</v>
      </c>
      <c r="M57" s="4" t="s">
        <v>41</v>
      </c>
      <c r="N57" s="20">
        <v>235</v>
      </c>
    </row>
    <row r="58" spans="1:14">
      <c r="A58" s="4">
        <f t="shared" si="1"/>
        <v>19011105</v>
      </c>
      <c r="B58" s="8" t="str">
        <f t="shared" si="0"/>
        <v>5</v>
      </c>
      <c r="C58" s="8">
        <v>190111</v>
      </c>
      <c r="D58" s="19" t="s">
        <v>111</v>
      </c>
      <c r="E58" s="4">
        <v>1040405001</v>
      </c>
      <c r="F58" s="4">
        <v>57</v>
      </c>
      <c r="G58" s="4">
        <v>56</v>
      </c>
      <c r="H58" s="4">
        <v>55</v>
      </c>
      <c r="I58" s="4">
        <v>54</v>
      </c>
      <c r="J58" s="4">
        <v>53</v>
      </c>
      <c r="K58" s="4">
        <v>11111105</v>
      </c>
      <c r="L58" s="4">
        <v>11001105</v>
      </c>
      <c r="M58" s="4" t="s">
        <v>41</v>
      </c>
      <c r="N58" s="20">
        <v>235</v>
      </c>
    </row>
    <row r="59" spans="1:14">
      <c r="A59" s="4">
        <f>C59*100+1</f>
        <v>19011201</v>
      </c>
      <c r="B59" s="8" t="str">
        <f t="shared" si="0"/>
        <v>1</v>
      </c>
      <c r="C59" s="8">
        <v>190112</v>
      </c>
      <c r="D59" s="19" t="s">
        <v>112</v>
      </c>
      <c r="E59" s="4">
        <v>1040405001</v>
      </c>
      <c r="F59" s="4">
        <v>62</v>
      </c>
      <c r="G59" s="4">
        <v>61</v>
      </c>
      <c r="H59" s="4">
        <v>60</v>
      </c>
      <c r="I59" s="4">
        <v>59</v>
      </c>
      <c r="J59" s="4">
        <v>58</v>
      </c>
      <c r="K59" s="4">
        <v>11111201</v>
      </c>
      <c r="L59" s="4">
        <v>11001201</v>
      </c>
      <c r="M59" s="4" t="s">
        <v>41</v>
      </c>
      <c r="N59" s="20">
        <v>250</v>
      </c>
    </row>
    <row r="60" spans="1:14">
      <c r="A60" s="4">
        <f>A59+1</f>
        <v>19011202</v>
      </c>
      <c r="B60" s="8" t="str">
        <f t="shared" si="0"/>
        <v>2</v>
      </c>
      <c r="C60" s="8">
        <v>190112</v>
      </c>
      <c r="D60" s="19" t="s">
        <v>113</v>
      </c>
      <c r="E60" s="4">
        <v>1040405001</v>
      </c>
      <c r="F60" s="4">
        <v>62</v>
      </c>
      <c r="G60" s="4">
        <v>61</v>
      </c>
      <c r="H60" s="4">
        <v>60</v>
      </c>
      <c r="I60" s="4">
        <v>59</v>
      </c>
      <c r="J60" s="4">
        <v>58</v>
      </c>
      <c r="K60" s="4">
        <v>11111202</v>
      </c>
      <c r="L60" s="4">
        <v>11001202</v>
      </c>
      <c r="M60" s="4" t="s">
        <v>41</v>
      </c>
      <c r="N60" s="20">
        <v>250</v>
      </c>
    </row>
    <row r="61" spans="1:14">
      <c r="A61" s="4">
        <f t="shared" si="1"/>
        <v>19011203</v>
      </c>
      <c r="B61" s="8" t="str">
        <f t="shared" si="0"/>
        <v>3</v>
      </c>
      <c r="C61" s="8">
        <v>190112</v>
      </c>
      <c r="D61" s="19" t="s">
        <v>114</v>
      </c>
      <c r="E61" s="4">
        <v>1040405001</v>
      </c>
      <c r="F61" s="4">
        <v>62</v>
      </c>
      <c r="G61" s="4">
        <v>61</v>
      </c>
      <c r="H61" s="4">
        <v>60</v>
      </c>
      <c r="I61" s="4">
        <v>59</v>
      </c>
      <c r="J61" s="4">
        <v>58</v>
      </c>
      <c r="K61" s="4">
        <v>11111203</v>
      </c>
      <c r="L61" s="4">
        <v>11001203</v>
      </c>
      <c r="M61" s="4" t="s">
        <v>41</v>
      </c>
      <c r="N61" s="20">
        <v>250</v>
      </c>
    </row>
    <row r="62" spans="1:14">
      <c r="A62" s="4">
        <f t="shared" si="1"/>
        <v>19011204</v>
      </c>
      <c r="B62" s="8" t="str">
        <f t="shared" si="0"/>
        <v>4</v>
      </c>
      <c r="C62" s="8">
        <v>190112</v>
      </c>
      <c r="D62" s="19" t="s">
        <v>115</v>
      </c>
      <c r="E62" s="4">
        <v>1040405001</v>
      </c>
      <c r="F62" s="4">
        <v>62</v>
      </c>
      <c r="G62" s="4">
        <v>61</v>
      </c>
      <c r="H62" s="4">
        <v>60</v>
      </c>
      <c r="I62" s="4">
        <v>59</v>
      </c>
      <c r="J62" s="4">
        <v>58</v>
      </c>
      <c r="K62" s="4">
        <v>11111204</v>
      </c>
      <c r="L62" s="4">
        <v>11001204</v>
      </c>
      <c r="M62" s="4" t="s">
        <v>41</v>
      </c>
      <c r="N62" s="20">
        <v>250</v>
      </c>
    </row>
    <row r="63" spans="1:14">
      <c r="A63" s="4">
        <f t="shared" si="1"/>
        <v>19011205</v>
      </c>
      <c r="B63" s="8" t="str">
        <f t="shared" si="0"/>
        <v>5</v>
      </c>
      <c r="C63" s="8">
        <v>190112</v>
      </c>
      <c r="D63" s="19" t="s">
        <v>116</v>
      </c>
      <c r="E63" s="4">
        <v>1040405001</v>
      </c>
      <c r="F63" s="4">
        <v>62</v>
      </c>
      <c r="G63" s="4">
        <v>61</v>
      </c>
      <c r="H63" s="4">
        <v>60</v>
      </c>
      <c r="I63" s="4">
        <v>59</v>
      </c>
      <c r="J63" s="4">
        <v>58</v>
      </c>
      <c r="K63" s="4">
        <v>11111205</v>
      </c>
      <c r="L63" s="4">
        <v>11001205</v>
      </c>
      <c r="M63" s="4" t="s">
        <v>41</v>
      </c>
      <c r="N63" s="20">
        <v>250</v>
      </c>
    </row>
    <row r="64" spans="1:14">
      <c r="A64" s="4">
        <f>C64*100+1</f>
        <v>19011301</v>
      </c>
      <c r="B64" s="8" t="str">
        <f t="shared" si="0"/>
        <v>1</v>
      </c>
      <c r="C64" s="8">
        <v>190113</v>
      </c>
      <c r="D64" s="19" t="s">
        <v>117</v>
      </c>
      <c r="E64" s="4">
        <v>1040405001</v>
      </c>
      <c r="F64" s="4">
        <v>67</v>
      </c>
      <c r="G64" s="4">
        <v>66</v>
      </c>
      <c r="H64" s="4">
        <v>65</v>
      </c>
      <c r="I64" s="4">
        <v>64</v>
      </c>
      <c r="J64" s="4">
        <v>63</v>
      </c>
      <c r="K64" s="4">
        <v>11111301</v>
      </c>
      <c r="L64" s="4">
        <v>11001301</v>
      </c>
      <c r="M64" s="4" t="s">
        <v>41</v>
      </c>
      <c r="N64" s="20">
        <v>265</v>
      </c>
    </row>
    <row r="65" spans="1:14">
      <c r="A65" s="4">
        <f>A64+1</f>
        <v>19011302</v>
      </c>
      <c r="B65" s="8" t="str">
        <f t="shared" si="0"/>
        <v>2</v>
      </c>
      <c r="C65" s="8">
        <v>190113</v>
      </c>
      <c r="D65" s="19" t="s">
        <v>118</v>
      </c>
      <c r="E65" s="4">
        <v>1040405001</v>
      </c>
      <c r="F65" s="4">
        <v>67</v>
      </c>
      <c r="G65" s="4">
        <v>66</v>
      </c>
      <c r="H65" s="4">
        <v>65</v>
      </c>
      <c r="I65" s="4">
        <v>64</v>
      </c>
      <c r="J65" s="4">
        <v>63</v>
      </c>
      <c r="K65" s="4">
        <v>11111302</v>
      </c>
      <c r="L65" s="4">
        <v>11001302</v>
      </c>
      <c r="M65" s="4" t="s">
        <v>41</v>
      </c>
      <c r="N65" s="20">
        <v>265</v>
      </c>
    </row>
    <row r="66" spans="1:14">
      <c r="A66" s="4">
        <f t="shared" si="1"/>
        <v>19011303</v>
      </c>
      <c r="B66" s="8" t="str">
        <f t="shared" si="0"/>
        <v>3</v>
      </c>
      <c r="C66" s="8">
        <v>190113</v>
      </c>
      <c r="D66" s="19" t="s">
        <v>119</v>
      </c>
      <c r="E66" s="4">
        <v>1040405001</v>
      </c>
      <c r="F66" s="4">
        <v>67</v>
      </c>
      <c r="G66" s="4">
        <v>66</v>
      </c>
      <c r="H66" s="4">
        <v>65</v>
      </c>
      <c r="I66" s="4">
        <v>64</v>
      </c>
      <c r="J66" s="4">
        <v>63</v>
      </c>
      <c r="K66" s="4">
        <v>11111303</v>
      </c>
      <c r="L66" s="4">
        <v>11001303</v>
      </c>
      <c r="M66" s="4" t="s">
        <v>41</v>
      </c>
      <c r="N66" s="20">
        <v>265</v>
      </c>
    </row>
    <row r="67" spans="1:14">
      <c r="A67" s="4">
        <f t="shared" si="1"/>
        <v>19011304</v>
      </c>
      <c r="B67" s="8" t="str">
        <f t="shared" si="0"/>
        <v>4</v>
      </c>
      <c r="C67" s="8">
        <v>190113</v>
      </c>
      <c r="D67" s="19" t="s">
        <v>120</v>
      </c>
      <c r="E67" s="4">
        <v>1040405001</v>
      </c>
      <c r="F67" s="4">
        <v>67</v>
      </c>
      <c r="G67" s="4">
        <v>66</v>
      </c>
      <c r="H67" s="4">
        <v>65</v>
      </c>
      <c r="I67" s="4">
        <v>64</v>
      </c>
      <c r="J67" s="4">
        <v>63</v>
      </c>
      <c r="K67" s="4">
        <v>11111304</v>
      </c>
      <c r="L67" s="4">
        <v>11001304</v>
      </c>
      <c r="M67" s="4" t="s">
        <v>41</v>
      </c>
      <c r="N67" s="20">
        <v>265</v>
      </c>
    </row>
    <row r="68" spans="1:14">
      <c r="A68" s="4">
        <f t="shared" si="1"/>
        <v>19011305</v>
      </c>
      <c r="B68" s="8" t="str">
        <f t="shared" si="0"/>
        <v>5</v>
      </c>
      <c r="C68" s="8">
        <v>190113</v>
      </c>
      <c r="D68" s="19" t="s">
        <v>121</v>
      </c>
      <c r="E68" s="4">
        <v>1040405001</v>
      </c>
      <c r="F68" s="4">
        <v>67</v>
      </c>
      <c r="G68" s="4">
        <v>66</v>
      </c>
      <c r="H68" s="4">
        <v>65</v>
      </c>
      <c r="I68" s="4">
        <v>64</v>
      </c>
      <c r="J68" s="4">
        <v>63</v>
      </c>
      <c r="K68" s="4">
        <v>11111305</v>
      </c>
      <c r="L68" s="4">
        <v>11001305</v>
      </c>
      <c r="M68" s="4" t="s">
        <v>41</v>
      </c>
      <c r="N68" s="20">
        <v>265</v>
      </c>
    </row>
    <row r="69" spans="1:14">
      <c r="A69" s="4">
        <f>C69*100+1</f>
        <v>19011401</v>
      </c>
      <c r="B69" s="8" t="str">
        <f t="shared" ref="B69:B132" si="2">RIGHT(A69,1)</f>
        <v>1</v>
      </c>
      <c r="C69" s="8">
        <v>190114</v>
      </c>
      <c r="D69" s="19" t="s">
        <v>122</v>
      </c>
      <c r="E69" s="4">
        <v>1040405001</v>
      </c>
      <c r="F69" s="4">
        <v>72</v>
      </c>
      <c r="G69" s="4">
        <v>71</v>
      </c>
      <c r="H69" s="4">
        <v>70</v>
      </c>
      <c r="I69" s="4">
        <v>69</v>
      </c>
      <c r="J69" s="4">
        <v>68</v>
      </c>
      <c r="K69" s="4">
        <v>11111401</v>
      </c>
      <c r="L69" s="4">
        <v>11001401</v>
      </c>
      <c r="M69" s="4" t="s">
        <v>41</v>
      </c>
      <c r="N69" s="20">
        <v>280</v>
      </c>
    </row>
    <row r="70" spans="1:14">
      <c r="A70" s="4">
        <f>A69+1</f>
        <v>19011402</v>
      </c>
      <c r="B70" s="8" t="str">
        <f t="shared" si="2"/>
        <v>2</v>
      </c>
      <c r="C70" s="8">
        <v>190114</v>
      </c>
      <c r="D70" s="19" t="s">
        <v>123</v>
      </c>
      <c r="E70" s="4">
        <v>1040405001</v>
      </c>
      <c r="F70" s="4">
        <v>72</v>
      </c>
      <c r="G70" s="4">
        <v>71</v>
      </c>
      <c r="H70" s="4">
        <v>70</v>
      </c>
      <c r="I70" s="4">
        <v>69</v>
      </c>
      <c r="J70" s="4">
        <v>68</v>
      </c>
      <c r="K70" s="4">
        <v>11111402</v>
      </c>
      <c r="L70" s="4">
        <v>11001402</v>
      </c>
      <c r="M70" s="4" t="s">
        <v>41</v>
      </c>
      <c r="N70" s="20">
        <v>280</v>
      </c>
    </row>
    <row r="71" spans="1:14">
      <c r="A71" s="4">
        <f t="shared" si="1"/>
        <v>19011403</v>
      </c>
      <c r="B71" s="8" t="str">
        <f t="shared" si="2"/>
        <v>3</v>
      </c>
      <c r="C71" s="8">
        <v>190114</v>
      </c>
      <c r="D71" s="19" t="s">
        <v>124</v>
      </c>
      <c r="E71" s="4">
        <v>1040405001</v>
      </c>
      <c r="F71" s="4">
        <v>72</v>
      </c>
      <c r="G71" s="4">
        <v>71</v>
      </c>
      <c r="H71" s="4">
        <v>70</v>
      </c>
      <c r="I71" s="4">
        <v>69</v>
      </c>
      <c r="J71" s="4">
        <v>68</v>
      </c>
      <c r="K71" s="4">
        <v>11111403</v>
      </c>
      <c r="L71" s="4">
        <v>11001403</v>
      </c>
      <c r="M71" s="4" t="s">
        <v>41</v>
      </c>
      <c r="N71" s="20">
        <v>280</v>
      </c>
    </row>
    <row r="72" spans="1:14">
      <c r="A72" s="4">
        <f t="shared" si="1"/>
        <v>19011404</v>
      </c>
      <c r="B72" s="8" t="str">
        <f t="shared" si="2"/>
        <v>4</v>
      </c>
      <c r="C72" s="8">
        <v>190114</v>
      </c>
      <c r="D72" s="19" t="s">
        <v>125</v>
      </c>
      <c r="E72" s="4">
        <v>1040405001</v>
      </c>
      <c r="F72" s="4">
        <v>72</v>
      </c>
      <c r="G72" s="4">
        <v>71</v>
      </c>
      <c r="H72" s="4">
        <v>70</v>
      </c>
      <c r="I72" s="4">
        <v>69</v>
      </c>
      <c r="J72" s="4">
        <v>68</v>
      </c>
      <c r="K72" s="4">
        <v>11111404</v>
      </c>
      <c r="L72" s="4">
        <v>11001404</v>
      </c>
      <c r="M72" s="4" t="s">
        <v>41</v>
      </c>
      <c r="N72" s="20">
        <v>280</v>
      </c>
    </row>
    <row r="73" spans="1:14">
      <c r="A73" s="4">
        <f t="shared" si="1"/>
        <v>19011405</v>
      </c>
      <c r="B73" s="8" t="str">
        <f t="shared" si="2"/>
        <v>5</v>
      </c>
      <c r="C73" s="8">
        <v>190114</v>
      </c>
      <c r="D73" s="19" t="s">
        <v>126</v>
      </c>
      <c r="E73" s="4">
        <v>1040405001</v>
      </c>
      <c r="F73" s="4">
        <v>72</v>
      </c>
      <c r="G73" s="4">
        <v>71</v>
      </c>
      <c r="H73" s="4">
        <v>70</v>
      </c>
      <c r="I73" s="4">
        <v>69</v>
      </c>
      <c r="J73" s="4">
        <v>68</v>
      </c>
      <c r="K73" s="4">
        <v>11111405</v>
      </c>
      <c r="L73" s="4">
        <v>11001405</v>
      </c>
      <c r="M73" s="4" t="s">
        <v>41</v>
      </c>
      <c r="N73" s="20">
        <v>280</v>
      </c>
    </row>
    <row r="74" spans="1:14">
      <c r="A74" s="4">
        <f>C74*100+1</f>
        <v>19011501</v>
      </c>
      <c r="B74" s="8" t="str">
        <f t="shared" si="2"/>
        <v>1</v>
      </c>
      <c r="C74" s="8">
        <v>190115</v>
      </c>
      <c r="D74" s="19" t="s">
        <v>127</v>
      </c>
      <c r="E74" s="4">
        <v>1040405001</v>
      </c>
      <c r="F74" s="4">
        <v>77</v>
      </c>
      <c r="G74" s="4">
        <v>76</v>
      </c>
      <c r="H74" s="4">
        <v>75</v>
      </c>
      <c r="I74" s="4">
        <v>74</v>
      </c>
      <c r="J74" s="4">
        <v>73</v>
      </c>
      <c r="K74" s="4">
        <v>11111501</v>
      </c>
      <c r="L74" s="4">
        <v>11001501</v>
      </c>
      <c r="M74" s="4" t="s">
        <v>41</v>
      </c>
      <c r="N74" s="20">
        <v>295</v>
      </c>
    </row>
    <row r="75" spans="1:14">
      <c r="A75" s="4">
        <f t="shared" ref="A75:A138" si="3">A74+1</f>
        <v>19011502</v>
      </c>
      <c r="B75" s="8" t="str">
        <f t="shared" si="2"/>
        <v>2</v>
      </c>
      <c r="C75" s="8">
        <v>190115</v>
      </c>
      <c r="D75" s="19" t="s">
        <v>128</v>
      </c>
      <c r="E75" s="4">
        <v>1040405001</v>
      </c>
      <c r="F75" s="4">
        <v>77</v>
      </c>
      <c r="G75" s="4">
        <v>76</v>
      </c>
      <c r="H75" s="4">
        <v>75</v>
      </c>
      <c r="I75" s="4">
        <v>74</v>
      </c>
      <c r="J75" s="4">
        <v>73</v>
      </c>
      <c r="K75" s="4">
        <v>11111502</v>
      </c>
      <c r="L75" s="4">
        <v>11001502</v>
      </c>
      <c r="M75" s="4" t="s">
        <v>41</v>
      </c>
      <c r="N75" s="20">
        <v>295</v>
      </c>
    </row>
    <row r="76" spans="1:14">
      <c r="A76" s="4">
        <f t="shared" si="3"/>
        <v>19011503</v>
      </c>
      <c r="B76" s="8" t="str">
        <f t="shared" si="2"/>
        <v>3</v>
      </c>
      <c r="C76" s="8">
        <v>190115</v>
      </c>
      <c r="D76" s="19" t="s">
        <v>129</v>
      </c>
      <c r="E76" s="4">
        <v>1040405001</v>
      </c>
      <c r="F76" s="4">
        <v>77</v>
      </c>
      <c r="G76" s="4">
        <v>76</v>
      </c>
      <c r="H76" s="4">
        <v>75</v>
      </c>
      <c r="I76" s="4">
        <v>74</v>
      </c>
      <c r="J76" s="4">
        <v>73</v>
      </c>
      <c r="K76" s="4">
        <v>11111503</v>
      </c>
      <c r="L76" s="4">
        <v>11001503</v>
      </c>
      <c r="M76" s="4" t="s">
        <v>41</v>
      </c>
      <c r="N76" s="20">
        <v>295</v>
      </c>
    </row>
    <row r="77" spans="1:14">
      <c r="A77" s="4">
        <f t="shared" si="3"/>
        <v>19011504</v>
      </c>
      <c r="B77" s="8" t="str">
        <f t="shared" si="2"/>
        <v>4</v>
      </c>
      <c r="C77" s="8">
        <v>190115</v>
      </c>
      <c r="D77" s="19" t="s">
        <v>130</v>
      </c>
      <c r="E77" s="4">
        <v>1040405001</v>
      </c>
      <c r="F77" s="4">
        <v>77</v>
      </c>
      <c r="G77" s="4">
        <v>76</v>
      </c>
      <c r="H77" s="4">
        <v>75</v>
      </c>
      <c r="I77" s="4">
        <v>74</v>
      </c>
      <c r="J77" s="4">
        <v>73</v>
      </c>
      <c r="K77" s="4">
        <v>11111504</v>
      </c>
      <c r="L77" s="4">
        <v>11001504</v>
      </c>
      <c r="M77" s="4" t="s">
        <v>41</v>
      </c>
      <c r="N77" s="20">
        <v>295</v>
      </c>
    </row>
    <row r="78" spans="1:14">
      <c r="A78" s="4">
        <f t="shared" si="3"/>
        <v>19011505</v>
      </c>
      <c r="B78" s="8" t="str">
        <f t="shared" si="2"/>
        <v>5</v>
      </c>
      <c r="C78" s="8">
        <v>190115</v>
      </c>
      <c r="D78" s="19" t="s">
        <v>131</v>
      </c>
      <c r="E78" s="4">
        <v>1040405001</v>
      </c>
      <c r="F78" s="4">
        <v>77</v>
      </c>
      <c r="G78" s="4">
        <v>76</v>
      </c>
      <c r="H78" s="4">
        <v>75</v>
      </c>
      <c r="I78" s="4">
        <v>74</v>
      </c>
      <c r="J78" s="4">
        <v>73</v>
      </c>
      <c r="K78" s="4">
        <v>11111505</v>
      </c>
      <c r="L78" s="4">
        <v>11001505</v>
      </c>
      <c r="M78" s="4" t="s">
        <v>41</v>
      </c>
      <c r="N78" s="20">
        <v>295</v>
      </c>
    </row>
    <row r="79" spans="1:14">
      <c r="A79" s="4">
        <f>C79*100+1</f>
        <v>19020101</v>
      </c>
      <c r="B79" s="8" t="str">
        <f t="shared" si="2"/>
        <v>1</v>
      </c>
      <c r="C79" s="8">
        <v>190201</v>
      </c>
      <c r="D79" s="19" t="s">
        <v>132</v>
      </c>
      <c r="E79" s="4">
        <v>1040405001</v>
      </c>
      <c r="F79" s="4">
        <v>7</v>
      </c>
      <c r="G79" s="4">
        <v>6</v>
      </c>
      <c r="H79" s="4">
        <v>5</v>
      </c>
      <c r="I79" s="4">
        <v>4</v>
      </c>
      <c r="J79" s="4">
        <v>3</v>
      </c>
      <c r="K79" s="4">
        <v>11120101</v>
      </c>
      <c r="L79" s="4">
        <v>11000101</v>
      </c>
      <c r="M79" s="4" t="s">
        <v>41</v>
      </c>
      <c r="N79" s="20">
        <v>85</v>
      </c>
    </row>
    <row r="80" spans="1:14">
      <c r="A80" s="4">
        <f>A79+1</f>
        <v>19020102</v>
      </c>
      <c r="B80" s="8" t="str">
        <f t="shared" si="2"/>
        <v>2</v>
      </c>
      <c r="C80" s="8">
        <v>190201</v>
      </c>
      <c r="D80" s="19" t="s">
        <v>133</v>
      </c>
      <c r="E80" s="4">
        <v>1040405001</v>
      </c>
      <c r="F80" s="4">
        <v>7</v>
      </c>
      <c r="G80" s="4">
        <v>6</v>
      </c>
      <c r="H80" s="4">
        <v>5</v>
      </c>
      <c r="I80" s="4">
        <v>4</v>
      </c>
      <c r="J80" s="4">
        <v>3</v>
      </c>
      <c r="K80" s="4">
        <v>11120102</v>
      </c>
      <c r="L80" s="4">
        <v>11000102</v>
      </c>
      <c r="M80" s="4" t="s">
        <v>41</v>
      </c>
      <c r="N80" s="20">
        <v>85</v>
      </c>
    </row>
    <row r="81" spans="1:14">
      <c r="A81" s="4">
        <f t="shared" si="3"/>
        <v>19020103</v>
      </c>
      <c r="B81" s="8" t="str">
        <f t="shared" si="2"/>
        <v>3</v>
      </c>
      <c r="C81" s="8">
        <v>190201</v>
      </c>
      <c r="D81" s="19" t="s">
        <v>134</v>
      </c>
      <c r="E81" s="4">
        <v>1040405001</v>
      </c>
      <c r="F81" s="4">
        <v>7</v>
      </c>
      <c r="G81" s="4">
        <v>6</v>
      </c>
      <c r="H81" s="4">
        <v>5</v>
      </c>
      <c r="I81" s="4">
        <v>4</v>
      </c>
      <c r="J81" s="4">
        <v>3</v>
      </c>
      <c r="K81" s="4">
        <v>11120103</v>
      </c>
      <c r="L81" s="4">
        <v>11000103</v>
      </c>
      <c r="M81" s="4" t="s">
        <v>41</v>
      </c>
      <c r="N81" s="20">
        <v>85</v>
      </c>
    </row>
    <row r="82" spans="1:14">
      <c r="A82" s="4">
        <f t="shared" si="3"/>
        <v>19020104</v>
      </c>
      <c r="B82" s="8" t="str">
        <f t="shared" si="2"/>
        <v>4</v>
      </c>
      <c r="C82" s="8">
        <v>190201</v>
      </c>
      <c r="D82" s="19" t="s">
        <v>135</v>
      </c>
      <c r="E82" s="4">
        <v>1040405001</v>
      </c>
      <c r="F82" s="4">
        <v>7</v>
      </c>
      <c r="G82" s="4">
        <v>6</v>
      </c>
      <c r="H82" s="4">
        <v>5</v>
      </c>
      <c r="I82" s="4">
        <v>4</v>
      </c>
      <c r="J82" s="4">
        <v>3</v>
      </c>
      <c r="K82" s="4">
        <v>11120104</v>
      </c>
      <c r="L82" s="4">
        <v>11000104</v>
      </c>
      <c r="M82" s="4" t="s">
        <v>41</v>
      </c>
      <c r="N82" s="20">
        <v>85</v>
      </c>
    </row>
    <row r="83" spans="1:14">
      <c r="A83" s="4">
        <f t="shared" si="3"/>
        <v>19020105</v>
      </c>
      <c r="B83" s="8" t="str">
        <f t="shared" si="2"/>
        <v>5</v>
      </c>
      <c r="C83" s="8">
        <v>190201</v>
      </c>
      <c r="D83" s="19" t="s">
        <v>136</v>
      </c>
      <c r="E83" s="4">
        <v>1040405001</v>
      </c>
      <c r="F83" s="4">
        <v>7</v>
      </c>
      <c r="G83" s="4">
        <v>6</v>
      </c>
      <c r="H83" s="4">
        <v>5</v>
      </c>
      <c r="I83" s="4">
        <v>4</v>
      </c>
      <c r="J83" s="4">
        <v>3</v>
      </c>
      <c r="K83" s="4">
        <v>11120105</v>
      </c>
      <c r="L83" s="4">
        <v>11000105</v>
      </c>
      <c r="M83" s="4" t="s">
        <v>41</v>
      </c>
      <c r="N83" s="20">
        <v>85</v>
      </c>
    </row>
    <row r="84" spans="1:14">
      <c r="A84" s="4">
        <f>C84*100+1</f>
        <v>19020201</v>
      </c>
      <c r="B84" s="8" t="str">
        <f t="shared" si="2"/>
        <v>1</v>
      </c>
      <c r="C84" s="8">
        <v>190202</v>
      </c>
      <c r="D84" s="19" t="s">
        <v>137</v>
      </c>
      <c r="E84" s="4">
        <v>1040405001</v>
      </c>
      <c r="F84" s="4">
        <v>12</v>
      </c>
      <c r="G84" s="4">
        <v>11</v>
      </c>
      <c r="H84" s="4">
        <v>10</v>
      </c>
      <c r="I84" s="4">
        <v>9</v>
      </c>
      <c r="J84" s="4">
        <v>8</v>
      </c>
      <c r="K84" s="4">
        <v>11120201</v>
      </c>
      <c r="L84" s="4">
        <v>11000201</v>
      </c>
      <c r="M84" s="4" t="s">
        <v>41</v>
      </c>
      <c r="N84" s="20">
        <v>100</v>
      </c>
    </row>
    <row r="85" spans="1:14">
      <c r="A85" s="4">
        <f>A84+1</f>
        <v>19020202</v>
      </c>
      <c r="B85" s="8" t="str">
        <f t="shared" si="2"/>
        <v>2</v>
      </c>
      <c r="C85" s="8">
        <v>190202</v>
      </c>
      <c r="D85" s="19" t="s">
        <v>138</v>
      </c>
      <c r="E85" s="4">
        <v>1040405001</v>
      </c>
      <c r="F85" s="4">
        <v>12</v>
      </c>
      <c r="G85" s="4">
        <v>11</v>
      </c>
      <c r="H85" s="4">
        <v>10</v>
      </c>
      <c r="I85" s="4">
        <v>9</v>
      </c>
      <c r="J85" s="4">
        <v>8</v>
      </c>
      <c r="K85" s="4">
        <v>11120202</v>
      </c>
      <c r="L85" s="4">
        <v>11000202</v>
      </c>
      <c r="M85" s="4" t="s">
        <v>41</v>
      </c>
      <c r="N85" s="20">
        <v>100</v>
      </c>
    </row>
    <row r="86" spans="1:14">
      <c r="A86" s="4">
        <f t="shared" si="3"/>
        <v>19020203</v>
      </c>
      <c r="B86" s="8" t="str">
        <f t="shared" si="2"/>
        <v>3</v>
      </c>
      <c r="C86" s="8">
        <v>190202</v>
      </c>
      <c r="D86" s="19" t="s">
        <v>139</v>
      </c>
      <c r="E86" s="4">
        <v>1040405001</v>
      </c>
      <c r="F86" s="4">
        <v>12</v>
      </c>
      <c r="G86" s="4">
        <v>11</v>
      </c>
      <c r="H86" s="4">
        <v>10</v>
      </c>
      <c r="I86" s="4">
        <v>9</v>
      </c>
      <c r="J86" s="4">
        <v>8</v>
      </c>
      <c r="K86" s="4">
        <v>11120203</v>
      </c>
      <c r="L86" s="4">
        <v>11000203</v>
      </c>
      <c r="M86" s="4" t="s">
        <v>41</v>
      </c>
      <c r="N86" s="20">
        <v>100</v>
      </c>
    </row>
    <row r="87" spans="1:14">
      <c r="A87" s="4">
        <f t="shared" si="3"/>
        <v>19020204</v>
      </c>
      <c r="B87" s="8" t="str">
        <f t="shared" si="2"/>
        <v>4</v>
      </c>
      <c r="C87" s="8">
        <v>190202</v>
      </c>
      <c r="D87" s="19" t="s">
        <v>140</v>
      </c>
      <c r="E87" s="4">
        <v>1040405001</v>
      </c>
      <c r="F87" s="4">
        <v>12</v>
      </c>
      <c r="G87" s="4">
        <v>11</v>
      </c>
      <c r="H87" s="4">
        <v>10</v>
      </c>
      <c r="I87" s="4">
        <v>9</v>
      </c>
      <c r="J87" s="4">
        <v>8</v>
      </c>
      <c r="K87" s="4">
        <v>11120204</v>
      </c>
      <c r="L87" s="4">
        <v>11000204</v>
      </c>
      <c r="M87" s="4" t="s">
        <v>41</v>
      </c>
      <c r="N87" s="20">
        <v>100</v>
      </c>
    </row>
    <row r="88" spans="1:14">
      <c r="A88" s="4">
        <f t="shared" si="3"/>
        <v>19020205</v>
      </c>
      <c r="B88" s="8" t="str">
        <f t="shared" si="2"/>
        <v>5</v>
      </c>
      <c r="C88" s="8">
        <v>190202</v>
      </c>
      <c r="D88" s="19" t="s">
        <v>141</v>
      </c>
      <c r="E88" s="4">
        <v>1040405001</v>
      </c>
      <c r="F88" s="4">
        <v>12</v>
      </c>
      <c r="G88" s="4">
        <v>11</v>
      </c>
      <c r="H88" s="4">
        <v>10</v>
      </c>
      <c r="I88" s="4">
        <v>9</v>
      </c>
      <c r="J88" s="4">
        <v>8</v>
      </c>
      <c r="K88" s="4">
        <v>11120205</v>
      </c>
      <c r="L88" s="4">
        <v>11000205</v>
      </c>
      <c r="M88" s="4" t="s">
        <v>41</v>
      </c>
      <c r="N88" s="20">
        <v>100</v>
      </c>
    </row>
    <row r="89" spans="1:14">
      <c r="A89" s="4">
        <f>C89*100+1</f>
        <v>19020301</v>
      </c>
      <c r="B89" s="8" t="str">
        <f t="shared" si="2"/>
        <v>1</v>
      </c>
      <c r="C89" s="8">
        <v>190203</v>
      </c>
      <c r="D89" s="19" t="s">
        <v>142</v>
      </c>
      <c r="E89" s="4">
        <v>1040405001</v>
      </c>
      <c r="F89" s="4">
        <v>17</v>
      </c>
      <c r="G89" s="4">
        <v>16</v>
      </c>
      <c r="H89" s="4">
        <v>15</v>
      </c>
      <c r="I89" s="4">
        <v>14</v>
      </c>
      <c r="J89" s="4">
        <v>13</v>
      </c>
      <c r="K89" s="4">
        <v>11120301</v>
      </c>
      <c r="L89" s="4">
        <v>11000301</v>
      </c>
      <c r="M89" s="4" t="s">
        <v>41</v>
      </c>
      <c r="N89" s="20">
        <v>115</v>
      </c>
    </row>
    <row r="90" spans="1:14">
      <c r="A90" s="4">
        <f>A89+1</f>
        <v>19020302</v>
      </c>
      <c r="B90" s="8" t="str">
        <f t="shared" si="2"/>
        <v>2</v>
      </c>
      <c r="C90" s="8">
        <v>190203</v>
      </c>
      <c r="D90" s="19" t="s">
        <v>143</v>
      </c>
      <c r="E90" s="4">
        <v>1040405001</v>
      </c>
      <c r="F90" s="4">
        <v>17</v>
      </c>
      <c r="G90" s="4">
        <v>16</v>
      </c>
      <c r="H90" s="4">
        <v>15</v>
      </c>
      <c r="I90" s="4">
        <v>14</v>
      </c>
      <c r="J90" s="4">
        <v>13</v>
      </c>
      <c r="K90" s="4">
        <v>11120302</v>
      </c>
      <c r="L90" s="4">
        <v>11000302</v>
      </c>
      <c r="M90" s="4" t="s">
        <v>41</v>
      </c>
      <c r="N90" s="20">
        <v>115</v>
      </c>
    </row>
    <row r="91" spans="1:14">
      <c r="A91" s="4">
        <f t="shared" si="3"/>
        <v>19020303</v>
      </c>
      <c r="B91" s="8" t="str">
        <f t="shared" si="2"/>
        <v>3</v>
      </c>
      <c r="C91" s="8">
        <v>190203</v>
      </c>
      <c r="D91" s="19" t="s">
        <v>144</v>
      </c>
      <c r="E91" s="4">
        <v>1040405001</v>
      </c>
      <c r="F91" s="4">
        <v>17</v>
      </c>
      <c r="G91" s="4">
        <v>16</v>
      </c>
      <c r="H91" s="4">
        <v>15</v>
      </c>
      <c r="I91" s="4">
        <v>14</v>
      </c>
      <c r="J91" s="4">
        <v>13</v>
      </c>
      <c r="K91" s="4">
        <v>11120303</v>
      </c>
      <c r="L91" s="4">
        <v>11000303</v>
      </c>
      <c r="M91" s="4" t="s">
        <v>41</v>
      </c>
      <c r="N91" s="20">
        <v>115</v>
      </c>
    </row>
    <row r="92" spans="1:14">
      <c r="A92" s="4">
        <f t="shared" si="3"/>
        <v>19020304</v>
      </c>
      <c r="B92" s="8" t="str">
        <f t="shared" si="2"/>
        <v>4</v>
      </c>
      <c r="C92" s="8">
        <v>190203</v>
      </c>
      <c r="D92" s="19" t="s">
        <v>145</v>
      </c>
      <c r="E92" s="4">
        <v>1040405001</v>
      </c>
      <c r="F92" s="4">
        <v>17</v>
      </c>
      <c r="G92" s="4">
        <v>16</v>
      </c>
      <c r="H92" s="4">
        <v>15</v>
      </c>
      <c r="I92" s="4">
        <v>14</v>
      </c>
      <c r="J92" s="4">
        <v>13</v>
      </c>
      <c r="K92" s="4">
        <v>11120304</v>
      </c>
      <c r="L92" s="4">
        <v>11000304</v>
      </c>
      <c r="M92" s="4" t="s">
        <v>41</v>
      </c>
      <c r="N92" s="20">
        <v>115</v>
      </c>
    </row>
    <row r="93" spans="1:14">
      <c r="A93" s="4">
        <f t="shared" si="3"/>
        <v>19020305</v>
      </c>
      <c r="B93" s="8" t="str">
        <f t="shared" si="2"/>
        <v>5</v>
      </c>
      <c r="C93" s="8">
        <v>190203</v>
      </c>
      <c r="D93" s="19" t="s">
        <v>146</v>
      </c>
      <c r="E93" s="4">
        <v>1040405001</v>
      </c>
      <c r="F93" s="4">
        <v>17</v>
      </c>
      <c r="G93" s="4">
        <v>16</v>
      </c>
      <c r="H93" s="4">
        <v>15</v>
      </c>
      <c r="I93" s="4">
        <v>14</v>
      </c>
      <c r="J93" s="4">
        <v>13</v>
      </c>
      <c r="K93" s="4">
        <v>11120305</v>
      </c>
      <c r="L93" s="4">
        <v>11000305</v>
      </c>
      <c r="M93" s="4" t="s">
        <v>41</v>
      </c>
      <c r="N93" s="20">
        <v>115</v>
      </c>
    </row>
    <row r="94" spans="1:14">
      <c r="A94" s="4">
        <f>C94*100+1</f>
        <v>19020401</v>
      </c>
      <c r="B94" s="8" t="str">
        <f t="shared" si="2"/>
        <v>1</v>
      </c>
      <c r="C94" s="8">
        <v>190204</v>
      </c>
      <c r="D94" s="19" t="s">
        <v>147</v>
      </c>
      <c r="E94" s="4">
        <v>1040405001</v>
      </c>
      <c r="F94" s="4">
        <v>22</v>
      </c>
      <c r="G94" s="4">
        <v>21</v>
      </c>
      <c r="H94" s="4">
        <v>20</v>
      </c>
      <c r="I94" s="4">
        <v>19</v>
      </c>
      <c r="J94" s="4">
        <v>18</v>
      </c>
      <c r="K94" s="4">
        <v>11120401</v>
      </c>
      <c r="L94" s="4">
        <v>11000401</v>
      </c>
      <c r="M94" s="4" t="s">
        <v>41</v>
      </c>
      <c r="N94" s="20">
        <v>130</v>
      </c>
    </row>
    <row r="95" spans="1:14">
      <c r="A95" s="4">
        <f>A94+1</f>
        <v>19020402</v>
      </c>
      <c r="B95" s="8" t="str">
        <f t="shared" si="2"/>
        <v>2</v>
      </c>
      <c r="C95" s="8">
        <v>190204</v>
      </c>
      <c r="D95" s="19" t="s">
        <v>148</v>
      </c>
      <c r="E95" s="4">
        <v>1040405001</v>
      </c>
      <c r="F95" s="4">
        <v>22</v>
      </c>
      <c r="G95" s="4">
        <v>21</v>
      </c>
      <c r="H95" s="4">
        <v>20</v>
      </c>
      <c r="I95" s="4">
        <v>19</v>
      </c>
      <c r="J95" s="4">
        <v>18</v>
      </c>
      <c r="K95" s="4">
        <v>11120402</v>
      </c>
      <c r="L95" s="4">
        <v>11000402</v>
      </c>
      <c r="M95" s="4" t="s">
        <v>41</v>
      </c>
      <c r="N95" s="20">
        <v>130</v>
      </c>
    </row>
    <row r="96" spans="1:14">
      <c r="A96" s="4">
        <f t="shared" si="3"/>
        <v>19020403</v>
      </c>
      <c r="B96" s="8" t="str">
        <f t="shared" si="2"/>
        <v>3</v>
      </c>
      <c r="C96" s="8">
        <v>190204</v>
      </c>
      <c r="D96" s="19" t="s">
        <v>149</v>
      </c>
      <c r="E96" s="4">
        <v>1040405001</v>
      </c>
      <c r="F96" s="4">
        <v>22</v>
      </c>
      <c r="G96" s="4">
        <v>21</v>
      </c>
      <c r="H96" s="4">
        <v>20</v>
      </c>
      <c r="I96" s="4">
        <v>19</v>
      </c>
      <c r="J96" s="4">
        <v>18</v>
      </c>
      <c r="K96" s="4">
        <v>11120403</v>
      </c>
      <c r="L96" s="4">
        <v>11000403</v>
      </c>
      <c r="M96" s="4" t="s">
        <v>41</v>
      </c>
      <c r="N96" s="20">
        <v>130</v>
      </c>
    </row>
    <row r="97" spans="1:14">
      <c r="A97" s="4">
        <f t="shared" si="3"/>
        <v>19020404</v>
      </c>
      <c r="B97" s="8" t="str">
        <f t="shared" si="2"/>
        <v>4</v>
      </c>
      <c r="C97" s="8">
        <v>190204</v>
      </c>
      <c r="D97" s="19" t="s">
        <v>150</v>
      </c>
      <c r="E97" s="4">
        <v>1040405001</v>
      </c>
      <c r="F97" s="4">
        <v>22</v>
      </c>
      <c r="G97" s="4">
        <v>21</v>
      </c>
      <c r="H97" s="4">
        <v>20</v>
      </c>
      <c r="I97" s="4">
        <v>19</v>
      </c>
      <c r="J97" s="4">
        <v>18</v>
      </c>
      <c r="K97" s="4">
        <v>11120404</v>
      </c>
      <c r="L97" s="4">
        <v>11000404</v>
      </c>
      <c r="M97" s="4" t="s">
        <v>41</v>
      </c>
      <c r="N97" s="20">
        <v>130</v>
      </c>
    </row>
    <row r="98" spans="1:14">
      <c r="A98" s="4">
        <f t="shared" si="3"/>
        <v>19020405</v>
      </c>
      <c r="B98" s="8" t="str">
        <f t="shared" si="2"/>
        <v>5</v>
      </c>
      <c r="C98" s="8">
        <v>190204</v>
      </c>
      <c r="D98" s="19" t="s">
        <v>151</v>
      </c>
      <c r="E98" s="4">
        <v>1040405001</v>
      </c>
      <c r="F98" s="4">
        <v>22</v>
      </c>
      <c r="G98" s="4">
        <v>21</v>
      </c>
      <c r="H98" s="4">
        <v>20</v>
      </c>
      <c r="I98" s="4">
        <v>19</v>
      </c>
      <c r="J98" s="4">
        <v>18</v>
      </c>
      <c r="K98" s="4">
        <v>11120405</v>
      </c>
      <c r="L98" s="4">
        <v>11000405</v>
      </c>
      <c r="M98" s="4" t="s">
        <v>41</v>
      </c>
      <c r="N98" s="20">
        <v>130</v>
      </c>
    </row>
    <row r="99" spans="1:14">
      <c r="A99" s="4">
        <f>C99*100+1</f>
        <v>19020501</v>
      </c>
      <c r="B99" s="8" t="str">
        <f t="shared" si="2"/>
        <v>1</v>
      </c>
      <c r="C99" s="8">
        <v>190205</v>
      </c>
      <c r="D99" s="19" t="s">
        <v>152</v>
      </c>
      <c r="E99" s="4">
        <v>1040405001</v>
      </c>
      <c r="F99" s="4">
        <v>27</v>
      </c>
      <c r="G99" s="4">
        <v>26</v>
      </c>
      <c r="H99" s="4">
        <v>25</v>
      </c>
      <c r="I99" s="4">
        <v>24</v>
      </c>
      <c r="J99" s="4">
        <v>23</v>
      </c>
      <c r="K99" s="4">
        <v>11120501</v>
      </c>
      <c r="L99" s="4">
        <v>11000501</v>
      </c>
      <c r="M99" s="4" t="s">
        <v>41</v>
      </c>
      <c r="N99" s="20">
        <v>145</v>
      </c>
    </row>
    <row r="100" spans="1:14">
      <c r="A100" s="4">
        <f>A99+1</f>
        <v>19020502</v>
      </c>
      <c r="B100" s="8" t="str">
        <f t="shared" si="2"/>
        <v>2</v>
      </c>
      <c r="C100" s="8">
        <v>190205</v>
      </c>
      <c r="D100" s="19" t="s">
        <v>153</v>
      </c>
      <c r="E100" s="4">
        <v>1040405001</v>
      </c>
      <c r="F100" s="4">
        <v>27</v>
      </c>
      <c r="G100" s="4">
        <v>26</v>
      </c>
      <c r="H100" s="4">
        <v>25</v>
      </c>
      <c r="I100" s="4">
        <v>24</v>
      </c>
      <c r="J100" s="4">
        <v>23</v>
      </c>
      <c r="K100" s="4">
        <v>11120502</v>
      </c>
      <c r="L100" s="4">
        <v>11000502</v>
      </c>
      <c r="M100" s="4" t="s">
        <v>41</v>
      </c>
      <c r="N100" s="20">
        <v>145</v>
      </c>
    </row>
    <row r="101" spans="1:14">
      <c r="A101" s="4">
        <f t="shared" si="3"/>
        <v>19020503</v>
      </c>
      <c r="B101" s="8" t="str">
        <f t="shared" si="2"/>
        <v>3</v>
      </c>
      <c r="C101" s="8">
        <v>190205</v>
      </c>
      <c r="D101" s="19" t="s">
        <v>154</v>
      </c>
      <c r="E101" s="4">
        <v>1040405001</v>
      </c>
      <c r="F101" s="4">
        <v>27</v>
      </c>
      <c r="G101" s="4">
        <v>26</v>
      </c>
      <c r="H101" s="4">
        <v>25</v>
      </c>
      <c r="I101" s="4">
        <v>24</v>
      </c>
      <c r="J101" s="4">
        <v>23</v>
      </c>
      <c r="K101" s="4">
        <v>11120503</v>
      </c>
      <c r="L101" s="4">
        <v>11000503</v>
      </c>
      <c r="M101" s="4" t="s">
        <v>41</v>
      </c>
      <c r="N101" s="20">
        <v>145</v>
      </c>
    </row>
    <row r="102" spans="1:14">
      <c r="A102" s="4">
        <f t="shared" si="3"/>
        <v>19020504</v>
      </c>
      <c r="B102" s="8" t="str">
        <f t="shared" si="2"/>
        <v>4</v>
      </c>
      <c r="C102" s="8">
        <v>190205</v>
      </c>
      <c r="D102" s="19" t="s">
        <v>155</v>
      </c>
      <c r="E102" s="4">
        <v>1040405001</v>
      </c>
      <c r="F102" s="4">
        <v>27</v>
      </c>
      <c r="G102" s="4">
        <v>26</v>
      </c>
      <c r="H102" s="4">
        <v>25</v>
      </c>
      <c r="I102" s="4">
        <v>24</v>
      </c>
      <c r="J102" s="4">
        <v>23</v>
      </c>
      <c r="K102" s="4">
        <v>11120504</v>
      </c>
      <c r="L102" s="4">
        <v>11000504</v>
      </c>
      <c r="M102" s="4" t="s">
        <v>41</v>
      </c>
      <c r="N102" s="20">
        <v>145</v>
      </c>
    </row>
    <row r="103" spans="1:14">
      <c r="A103" s="4">
        <f t="shared" si="3"/>
        <v>19020505</v>
      </c>
      <c r="B103" s="8" t="str">
        <f t="shared" si="2"/>
        <v>5</v>
      </c>
      <c r="C103" s="8">
        <v>190205</v>
      </c>
      <c r="D103" s="19" t="s">
        <v>156</v>
      </c>
      <c r="E103" s="4">
        <v>1040405001</v>
      </c>
      <c r="F103" s="4">
        <v>27</v>
      </c>
      <c r="G103" s="4">
        <v>26</v>
      </c>
      <c r="H103" s="4">
        <v>25</v>
      </c>
      <c r="I103" s="4">
        <v>24</v>
      </c>
      <c r="J103" s="4">
        <v>23</v>
      </c>
      <c r="K103" s="4">
        <v>11120505</v>
      </c>
      <c r="L103" s="4">
        <v>11000505</v>
      </c>
      <c r="M103" s="4" t="s">
        <v>41</v>
      </c>
      <c r="N103" s="20">
        <v>145</v>
      </c>
    </row>
    <row r="104" spans="1:14">
      <c r="A104" s="4">
        <f>C104*100+1</f>
        <v>19020601</v>
      </c>
      <c r="B104" s="8" t="str">
        <f t="shared" si="2"/>
        <v>1</v>
      </c>
      <c r="C104" s="8">
        <v>190206</v>
      </c>
      <c r="D104" s="19" t="s">
        <v>157</v>
      </c>
      <c r="E104" s="4">
        <v>1040405001</v>
      </c>
      <c r="F104" s="4">
        <v>32</v>
      </c>
      <c r="G104" s="4">
        <v>31</v>
      </c>
      <c r="H104" s="4">
        <v>30</v>
      </c>
      <c r="I104" s="4">
        <v>29</v>
      </c>
      <c r="J104" s="4">
        <v>28</v>
      </c>
      <c r="K104" s="4">
        <v>11120601</v>
      </c>
      <c r="L104" s="4">
        <v>11000601</v>
      </c>
      <c r="M104" s="4" t="s">
        <v>41</v>
      </c>
      <c r="N104" s="20">
        <v>160</v>
      </c>
    </row>
    <row r="105" spans="1:14">
      <c r="A105" s="4">
        <f>A104+1</f>
        <v>19020602</v>
      </c>
      <c r="B105" s="8" t="str">
        <f t="shared" si="2"/>
        <v>2</v>
      </c>
      <c r="C105" s="8">
        <v>190206</v>
      </c>
      <c r="D105" s="19" t="s">
        <v>158</v>
      </c>
      <c r="E105" s="4">
        <v>1040405001</v>
      </c>
      <c r="F105" s="4">
        <v>32</v>
      </c>
      <c r="G105" s="4">
        <v>31</v>
      </c>
      <c r="H105" s="4">
        <v>30</v>
      </c>
      <c r="I105" s="4">
        <v>29</v>
      </c>
      <c r="J105" s="4">
        <v>28</v>
      </c>
      <c r="K105" s="4">
        <v>11120602</v>
      </c>
      <c r="L105" s="4">
        <v>11000602</v>
      </c>
      <c r="M105" s="4" t="s">
        <v>41</v>
      </c>
      <c r="N105" s="20">
        <v>160</v>
      </c>
    </row>
    <row r="106" spans="1:14">
      <c r="A106" s="4">
        <f t="shared" si="3"/>
        <v>19020603</v>
      </c>
      <c r="B106" s="8" t="str">
        <f t="shared" si="2"/>
        <v>3</v>
      </c>
      <c r="C106" s="8">
        <v>190206</v>
      </c>
      <c r="D106" s="19" t="s">
        <v>159</v>
      </c>
      <c r="E106" s="4">
        <v>1040405001</v>
      </c>
      <c r="F106" s="4">
        <v>32</v>
      </c>
      <c r="G106" s="4">
        <v>31</v>
      </c>
      <c r="H106" s="4">
        <v>30</v>
      </c>
      <c r="I106" s="4">
        <v>29</v>
      </c>
      <c r="J106" s="4">
        <v>28</v>
      </c>
      <c r="K106" s="4">
        <v>11120603</v>
      </c>
      <c r="L106" s="4">
        <v>11000603</v>
      </c>
      <c r="M106" s="4" t="s">
        <v>41</v>
      </c>
      <c r="N106" s="20">
        <v>160</v>
      </c>
    </row>
    <row r="107" spans="1:14">
      <c r="A107" s="4">
        <f t="shared" si="3"/>
        <v>19020604</v>
      </c>
      <c r="B107" s="8" t="str">
        <f t="shared" si="2"/>
        <v>4</v>
      </c>
      <c r="C107" s="8">
        <v>190206</v>
      </c>
      <c r="D107" s="19" t="s">
        <v>160</v>
      </c>
      <c r="E107" s="4">
        <v>1040405001</v>
      </c>
      <c r="F107" s="4">
        <v>32</v>
      </c>
      <c r="G107" s="4">
        <v>31</v>
      </c>
      <c r="H107" s="4">
        <v>30</v>
      </c>
      <c r="I107" s="4">
        <v>29</v>
      </c>
      <c r="J107" s="4">
        <v>28</v>
      </c>
      <c r="K107" s="4">
        <v>11120604</v>
      </c>
      <c r="L107" s="4">
        <v>11000604</v>
      </c>
      <c r="M107" s="4" t="s">
        <v>41</v>
      </c>
      <c r="N107" s="20">
        <v>160</v>
      </c>
    </row>
    <row r="108" spans="1:14">
      <c r="A108" s="4">
        <f t="shared" si="3"/>
        <v>19020605</v>
      </c>
      <c r="B108" s="8" t="str">
        <f t="shared" si="2"/>
        <v>5</v>
      </c>
      <c r="C108" s="8">
        <v>190206</v>
      </c>
      <c r="D108" s="19" t="s">
        <v>161</v>
      </c>
      <c r="E108" s="4">
        <v>1040405001</v>
      </c>
      <c r="F108" s="4">
        <v>32</v>
      </c>
      <c r="G108" s="4">
        <v>31</v>
      </c>
      <c r="H108" s="4">
        <v>30</v>
      </c>
      <c r="I108" s="4">
        <v>29</v>
      </c>
      <c r="J108" s="4">
        <v>28</v>
      </c>
      <c r="K108" s="4">
        <v>11120605</v>
      </c>
      <c r="L108" s="4">
        <v>11000605</v>
      </c>
      <c r="M108" s="4" t="s">
        <v>41</v>
      </c>
      <c r="N108" s="20">
        <v>160</v>
      </c>
    </row>
    <row r="109" spans="1:14">
      <c r="A109" s="4">
        <f>C109*100+1</f>
        <v>19020701</v>
      </c>
      <c r="B109" s="8" t="str">
        <f t="shared" si="2"/>
        <v>1</v>
      </c>
      <c r="C109" s="8">
        <v>190207</v>
      </c>
      <c r="D109" s="19" t="s">
        <v>162</v>
      </c>
      <c r="E109" s="4">
        <v>1040405001</v>
      </c>
      <c r="F109" s="4">
        <v>37</v>
      </c>
      <c r="G109" s="4">
        <v>36</v>
      </c>
      <c r="H109" s="4">
        <v>35</v>
      </c>
      <c r="I109" s="4">
        <v>34</v>
      </c>
      <c r="J109" s="4">
        <v>33</v>
      </c>
      <c r="K109" s="4">
        <v>11120701</v>
      </c>
      <c r="L109" s="4">
        <v>11000701</v>
      </c>
      <c r="M109" s="4" t="s">
        <v>41</v>
      </c>
      <c r="N109" s="20">
        <v>175</v>
      </c>
    </row>
    <row r="110" spans="1:14">
      <c r="A110" s="4">
        <f>A109+1</f>
        <v>19020702</v>
      </c>
      <c r="B110" s="8" t="str">
        <f t="shared" si="2"/>
        <v>2</v>
      </c>
      <c r="C110" s="8">
        <v>190207</v>
      </c>
      <c r="D110" s="19" t="s">
        <v>163</v>
      </c>
      <c r="E110" s="4">
        <v>1040405001</v>
      </c>
      <c r="F110" s="4">
        <v>37</v>
      </c>
      <c r="G110" s="4">
        <v>36</v>
      </c>
      <c r="H110" s="4">
        <v>35</v>
      </c>
      <c r="I110" s="4">
        <v>34</v>
      </c>
      <c r="J110" s="4">
        <v>33</v>
      </c>
      <c r="K110" s="4">
        <v>11120702</v>
      </c>
      <c r="L110" s="4">
        <v>11000702</v>
      </c>
      <c r="M110" s="4" t="s">
        <v>41</v>
      </c>
      <c r="N110" s="20">
        <v>175</v>
      </c>
    </row>
    <row r="111" spans="1:14">
      <c r="A111" s="4">
        <f t="shared" si="3"/>
        <v>19020703</v>
      </c>
      <c r="B111" s="8" t="str">
        <f t="shared" si="2"/>
        <v>3</v>
      </c>
      <c r="C111" s="8">
        <v>190207</v>
      </c>
      <c r="D111" s="19" t="s">
        <v>164</v>
      </c>
      <c r="E111" s="4">
        <v>1040405001</v>
      </c>
      <c r="F111" s="4">
        <v>37</v>
      </c>
      <c r="G111" s="4">
        <v>36</v>
      </c>
      <c r="H111" s="4">
        <v>35</v>
      </c>
      <c r="I111" s="4">
        <v>34</v>
      </c>
      <c r="J111" s="4">
        <v>33</v>
      </c>
      <c r="K111" s="4">
        <v>11120703</v>
      </c>
      <c r="L111" s="4">
        <v>11000703</v>
      </c>
      <c r="M111" s="4" t="s">
        <v>41</v>
      </c>
      <c r="N111" s="20">
        <v>175</v>
      </c>
    </row>
    <row r="112" spans="1:14">
      <c r="A112" s="4">
        <f t="shared" si="3"/>
        <v>19020704</v>
      </c>
      <c r="B112" s="8" t="str">
        <f t="shared" si="2"/>
        <v>4</v>
      </c>
      <c r="C112" s="8">
        <v>190207</v>
      </c>
      <c r="D112" s="19" t="s">
        <v>165</v>
      </c>
      <c r="E112" s="4">
        <v>1040405001</v>
      </c>
      <c r="F112" s="4">
        <v>37</v>
      </c>
      <c r="G112" s="4">
        <v>36</v>
      </c>
      <c r="H112" s="4">
        <v>35</v>
      </c>
      <c r="I112" s="4">
        <v>34</v>
      </c>
      <c r="J112" s="4">
        <v>33</v>
      </c>
      <c r="K112" s="4">
        <v>11120704</v>
      </c>
      <c r="L112" s="4">
        <v>11000704</v>
      </c>
      <c r="M112" s="4" t="s">
        <v>41</v>
      </c>
      <c r="N112" s="20">
        <v>175</v>
      </c>
    </row>
    <row r="113" spans="1:14">
      <c r="A113" s="4">
        <f t="shared" si="3"/>
        <v>19020705</v>
      </c>
      <c r="B113" s="8" t="str">
        <f t="shared" si="2"/>
        <v>5</v>
      </c>
      <c r="C113" s="8">
        <v>190207</v>
      </c>
      <c r="D113" s="19" t="s">
        <v>166</v>
      </c>
      <c r="E113" s="4">
        <v>1040405001</v>
      </c>
      <c r="F113" s="4">
        <v>37</v>
      </c>
      <c r="G113" s="4">
        <v>36</v>
      </c>
      <c r="H113" s="4">
        <v>35</v>
      </c>
      <c r="I113" s="4">
        <v>34</v>
      </c>
      <c r="J113" s="4">
        <v>33</v>
      </c>
      <c r="K113" s="4">
        <v>11120705</v>
      </c>
      <c r="L113" s="4">
        <v>11000705</v>
      </c>
      <c r="M113" s="4" t="s">
        <v>41</v>
      </c>
      <c r="N113" s="20">
        <v>175</v>
      </c>
    </row>
    <row r="114" spans="1:14">
      <c r="A114" s="4">
        <f>C114*100+1</f>
        <v>19020801</v>
      </c>
      <c r="B114" s="8" t="str">
        <f t="shared" si="2"/>
        <v>1</v>
      </c>
      <c r="C114" s="8">
        <v>190208</v>
      </c>
      <c r="D114" s="19" t="s">
        <v>167</v>
      </c>
      <c r="E114" s="4">
        <v>1040405001</v>
      </c>
      <c r="F114" s="4">
        <v>42</v>
      </c>
      <c r="G114" s="4">
        <v>41</v>
      </c>
      <c r="H114" s="4">
        <v>40</v>
      </c>
      <c r="I114" s="4">
        <v>39</v>
      </c>
      <c r="J114" s="4">
        <v>38</v>
      </c>
      <c r="K114" s="4">
        <v>11120801</v>
      </c>
      <c r="L114" s="4">
        <v>11000801</v>
      </c>
      <c r="M114" s="4" t="s">
        <v>41</v>
      </c>
      <c r="N114" s="20">
        <v>190</v>
      </c>
    </row>
    <row r="115" spans="1:14">
      <c r="A115" s="4">
        <f>A114+1</f>
        <v>19020802</v>
      </c>
      <c r="B115" s="8" t="str">
        <f t="shared" si="2"/>
        <v>2</v>
      </c>
      <c r="C115" s="8">
        <v>190208</v>
      </c>
      <c r="D115" s="19" t="s">
        <v>168</v>
      </c>
      <c r="E115" s="4">
        <v>1040405001</v>
      </c>
      <c r="F115" s="4">
        <v>42</v>
      </c>
      <c r="G115" s="4">
        <v>41</v>
      </c>
      <c r="H115" s="4">
        <v>40</v>
      </c>
      <c r="I115" s="4">
        <v>39</v>
      </c>
      <c r="J115" s="4">
        <v>38</v>
      </c>
      <c r="K115" s="4">
        <v>11120802</v>
      </c>
      <c r="L115" s="4">
        <v>11000802</v>
      </c>
      <c r="M115" s="4" t="s">
        <v>41</v>
      </c>
      <c r="N115" s="20">
        <v>190</v>
      </c>
    </row>
    <row r="116" spans="1:14">
      <c r="A116" s="4">
        <f t="shared" si="3"/>
        <v>19020803</v>
      </c>
      <c r="B116" s="8" t="str">
        <f t="shared" si="2"/>
        <v>3</v>
      </c>
      <c r="C116" s="8">
        <v>190208</v>
      </c>
      <c r="D116" s="19" t="s">
        <v>169</v>
      </c>
      <c r="E116" s="4">
        <v>1040405001</v>
      </c>
      <c r="F116" s="4">
        <v>42</v>
      </c>
      <c r="G116" s="4">
        <v>41</v>
      </c>
      <c r="H116" s="4">
        <v>40</v>
      </c>
      <c r="I116" s="4">
        <v>39</v>
      </c>
      <c r="J116" s="4">
        <v>38</v>
      </c>
      <c r="K116" s="4">
        <v>11120803</v>
      </c>
      <c r="L116" s="4">
        <v>11000803</v>
      </c>
      <c r="M116" s="4" t="s">
        <v>41</v>
      </c>
      <c r="N116" s="20">
        <v>190</v>
      </c>
    </row>
    <row r="117" spans="1:14">
      <c r="A117" s="4">
        <f t="shared" si="3"/>
        <v>19020804</v>
      </c>
      <c r="B117" s="8" t="str">
        <f t="shared" si="2"/>
        <v>4</v>
      </c>
      <c r="C117" s="8">
        <v>190208</v>
      </c>
      <c r="D117" s="19" t="s">
        <v>170</v>
      </c>
      <c r="E117" s="4">
        <v>1040405001</v>
      </c>
      <c r="F117" s="4">
        <v>42</v>
      </c>
      <c r="G117" s="4">
        <v>41</v>
      </c>
      <c r="H117" s="4">
        <v>40</v>
      </c>
      <c r="I117" s="4">
        <v>39</v>
      </c>
      <c r="J117" s="4">
        <v>38</v>
      </c>
      <c r="K117" s="4">
        <v>11120804</v>
      </c>
      <c r="L117" s="4">
        <v>11000804</v>
      </c>
      <c r="M117" s="4" t="s">
        <v>41</v>
      </c>
      <c r="N117" s="20">
        <v>190</v>
      </c>
    </row>
    <row r="118" spans="1:14">
      <c r="A118" s="4">
        <f t="shared" si="3"/>
        <v>19020805</v>
      </c>
      <c r="B118" s="8" t="str">
        <f t="shared" si="2"/>
        <v>5</v>
      </c>
      <c r="C118" s="8">
        <v>190208</v>
      </c>
      <c r="D118" s="19" t="s">
        <v>171</v>
      </c>
      <c r="E118" s="4">
        <v>1040405001</v>
      </c>
      <c r="F118" s="4">
        <v>42</v>
      </c>
      <c r="G118" s="4">
        <v>41</v>
      </c>
      <c r="H118" s="4">
        <v>40</v>
      </c>
      <c r="I118" s="4">
        <v>39</v>
      </c>
      <c r="J118" s="4">
        <v>38</v>
      </c>
      <c r="K118" s="4">
        <v>11120805</v>
      </c>
      <c r="L118" s="4">
        <v>11000805</v>
      </c>
      <c r="M118" s="4" t="s">
        <v>41</v>
      </c>
      <c r="N118" s="20">
        <v>190</v>
      </c>
    </row>
    <row r="119" spans="1:14">
      <c r="A119" s="4">
        <f>C119*100+1</f>
        <v>19020901</v>
      </c>
      <c r="B119" s="8" t="str">
        <f t="shared" si="2"/>
        <v>1</v>
      </c>
      <c r="C119" s="8">
        <v>190209</v>
      </c>
      <c r="D119" s="19" t="s">
        <v>172</v>
      </c>
      <c r="E119" s="4">
        <v>1040405001</v>
      </c>
      <c r="F119" s="4">
        <v>47</v>
      </c>
      <c r="G119" s="4">
        <v>46</v>
      </c>
      <c r="H119" s="4">
        <v>45</v>
      </c>
      <c r="I119" s="4">
        <v>44</v>
      </c>
      <c r="J119" s="4">
        <v>43</v>
      </c>
      <c r="K119" s="4">
        <v>11120901</v>
      </c>
      <c r="L119" s="4">
        <v>11000901</v>
      </c>
      <c r="M119" s="4" t="s">
        <v>41</v>
      </c>
      <c r="N119" s="20">
        <v>205</v>
      </c>
    </row>
    <row r="120" spans="1:14">
      <c r="A120" s="4">
        <f>A119+1</f>
        <v>19020902</v>
      </c>
      <c r="B120" s="8" t="str">
        <f t="shared" si="2"/>
        <v>2</v>
      </c>
      <c r="C120" s="8">
        <v>190209</v>
      </c>
      <c r="D120" s="19" t="s">
        <v>173</v>
      </c>
      <c r="E120" s="4">
        <v>1040405001</v>
      </c>
      <c r="F120" s="4">
        <v>47</v>
      </c>
      <c r="G120" s="4">
        <v>46</v>
      </c>
      <c r="H120" s="4">
        <v>45</v>
      </c>
      <c r="I120" s="4">
        <v>44</v>
      </c>
      <c r="J120" s="4">
        <v>43</v>
      </c>
      <c r="K120" s="4">
        <v>11120902</v>
      </c>
      <c r="L120" s="4">
        <v>11000902</v>
      </c>
      <c r="M120" s="4" t="s">
        <v>41</v>
      </c>
      <c r="N120" s="20">
        <v>205</v>
      </c>
    </row>
    <row r="121" spans="1:14">
      <c r="A121" s="4">
        <f t="shared" si="3"/>
        <v>19020903</v>
      </c>
      <c r="B121" s="8" t="str">
        <f t="shared" si="2"/>
        <v>3</v>
      </c>
      <c r="C121" s="8">
        <v>190209</v>
      </c>
      <c r="D121" s="19" t="s">
        <v>174</v>
      </c>
      <c r="E121" s="4">
        <v>1040405001</v>
      </c>
      <c r="F121" s="4">
        <v>47</v>
      </c>
      <c r="G121" s="4">
        <v>46</v>
      </c>
      <c r="H121" s="4">
        <v>45</v>
      </c>
      <c r="I121" s="4">
        <v>44</v>
      </c>
      <c r="J121" s="4">
        <v>43</v>
      </c>
      <c r="K121" s="4">
        <v>11120903</v>
      </c>
      <c r="L121" s="4">
        <v>11000903</v>
      </c>
      <c r="M121" s="4" t="s">
        <v>41</v>
      </c>
      <c r="N121" s="20">
        <v>205</v>
      </c>
    </row>
    <row r="122" spans="1:14">
      <c r="A122" s="4">
        <f t="shared" si="3"/>
        <v>19020904</v>
      </c>
      <c r="B122" s="8" t="str">
        <f t="shared" si="2"/>
        <v>4</v>
      </c>
      <c r="C122" s="8">
        <v>190209</v>
      </c>
      <c r="D122" s="19" t="s">
        <v>175</v>
      </c>
      <c r="E122" s="4">
        <v>1040405001</v>
      </c>
      <c r="F122" s="4">
        <v>47</v>
      </c>
      <c r="G122" s="4">
        <v>46</v>
      </c>
      <c r="H122" s="4">
        <v>45</v>
      </c>
      <c r="I122" s="4">
        <v>44</v>
      </c>
      <c r="J122" s="4">
        <v>43</v>
      </c>
      <c r="K122" s="4">
        <v>11120904</v>
      </c>
      <c r="L122" s="4">
        <v>11000904</v>
      </c>
      <c r="M122" s="4" t="s">
        <v>41</v>
      </c>
      <c r="N122" s="20">
        <v>205</v>
      </c>
    </row>
    <row r="123" spans="1:14">
      <c r="A123" s="4">
        <f t="shared" si="3"/>
        <v>19020905</v>
      </c>
      <c r="B123" s="8" t="str">
        <f t="shared" si="2"/>
        <v>5</v>
      </c>
      <c r="C123" s="8">
        <v>190209</v>
      </c>
      <c r="D123" s="19" t="s">
        <v>176</v>
      </c>
      <c r="E123" s="4">
        <v>1040405001</v>
      </c>
      <c r="F123" s="4">
        <v>47</v>
      </c>
      <c r="G123" s="4">
        <v>46</v>
      </c>
      <c r="H123" s="4">
        <v>45</v>
      </c>
      <c r="I123" s="4">
        <v>44</v>
      </c>
      <c r="J123" s="4">
        <v>43</v>
      </c>
      <c r="K123" s="4">
        <v>11120905</v>
      </c>
      <c r="L123" s="4">
        <v>11000905</v>
      </c>
      <c r="M123" s="4" t="s">
        <v>41</v>
      </c>
      <c r="N123" s="20">
        <v>205</v>
      </c>
    </row>
    <row r="124" spans="1:14">
      <c r="A124" s="4">
        <f>C124*100+1</f>
        <v>19021001</v>
      </c>
      <c r="B124" s="8" t="str">
        <f t="shared" si="2"/>
        <v>1</v>
      </c>
      <c r="C124" s="8">
        <v>190210</v>
      </c>
      <c r="D124" s="19" t="s">
        <v>177</v>
      </c>
      <c r="E124" s="4">
        <v>1040405001</v>
      </c>
      <c r="F124" s="4">
        <v>52</v>
      </c>
      <c r="G124" s="4">
        <v>51</v>
      </c>
      <c r="H124" s="4">
        <v>50</v>
      </c>
      <c r="I124" s="4">
        <v>49</v>
      </c>
      <c r="J124" s="4">
        <v>48</v>
      </c>
      <c r="K124" s="4">
        <v>11121001</v>
      </c>
      <c r="L124" s="4">
        <v>11001001</v>
      </c>
      <c r="M124" s="4" t="s">
        <v>41</v>
      </c>
      <c r="N124" s="20">
        <v>220</v>
      </c>
    </row>
    <row r="125" spans="1:14">
      <c r="A125" s="4">
        <f>A124+1</f>
        <v>19021002</v>
      </c>
      <c r="B125" s="8" t="str">
        <f t="shared" si="2"/>
        <v>2</v>
      </c>
      <c r="C125" s="8">
        <v>190210</v>
      </c>
      <c r="D125" s="19" t="s">
        <v>178</v>
      </c>
      <c r="E125" s="4">
        <v>1040405001</v>
      </c>
      <c r="F125" s="4">
        <v>52</v>
      </c>
      <c r="G125" s="4">
        <v>51</v>
      </c>
      <c r="H125" s="4">
        <v>50</v>
      </c>
      <c r="I125" s="4">
        <v>49</v>
      </c>
      <c r="J125" s="4">
        <v>48</v>
      </c>
      <c r="K125" s="4">
        <v>11121002</v>
      </c>
      <c r="L125" s="4">
        <v>11001002</v>
      </c>
      <c r="M125" s="4" t="s">
        <v>41</v>
      </c>
      <c r="N125" s="20">
        <v>220</v>
      </c>
    </row>
    <row r="126" spans="1:14">
      <c r="A126" s="4">
        <f t="shared" si="3"/>
        <v>19021003</v>
      </c>
      <c r="B126" s="8" t="str">
        <f t="shared" si="2"/>
        <v>3</v>
      </c>
      <c r="C126" s="8">
        <v>190210</v>
      </c>
      <c r="D126" s="19" t="s">
        <v>179</v>
      </c>
      <c r="E126" s="4">
        <v>1040405001</v>
      </c>
      <c r="F126" s="4">
        <v>52</v>
      </c>
      <c r="G126" s="4">
        <v>51</v>
      </c>
      <c r="H126" s="4">
        <v>50</v>
      </c>
      <c r="I126" s="4">
        <v>49</v>
      </c>
      <c r="J126" s="4">
        <v>48</v>
      </c>
      <c r="K126" s="4">
        <v>11121003</v>
      </c>
      <c r="L126" s="4">
        <v>11001003</v>
      </c>
      <c r="M126" s="4" t="s">
        <v>41</v>
      </c>
      <c r="N126" s="20">
        <v>220</v>
      </c>
    </row>
    <row r="127" spans="1:14">
      <c r="A127" s="4">
        <f t="shared" si="3"/>
        <v>19021004</v>
      </c>
      <c r="B127" s="8" t="str">
        <f t="shared" si="2"/>
        <v>4</v>
      </c>
      <c r="C127" s="8">
        <v>190210</v>
      </c>
      <c r="D127" s="19" t="s">
        <v>180</v>
      </c>
      <c r="E127" s="4">
        <v>1040405001</v>
      </c>
      <c r="F127" s="4">
        <v>52</v>
      </c>
      <c r="G127" s="4">
        <v>51</v>
      </c>
      <c r="H127" s="4">
        <v>50</v>
      </c>
      <c r="I127" s="4">
        <v>49</v>
      </c>
      <c r="J127" s="4">
        <v>48</v>
      </c>
      <c r="K127" s="4">
        <v>11121004</v>
      </c>
      <c r="L127" s="4">
        <v>11001004</v>
      </c>
      <c r="M127" s="4" t="s">
        <v>41</v>
      </c>
      <c r="N127" s="20">
        <v>220</v>
      </c>
    </row>
    <row r="128" spans="1:14">
      <c r="A128" s="4">
        <f t="shared" si="3"/>
        <v>19021005</v>
      </c>
      <c r="B128" s="8" t="str">
        <f t="shared" si="2"/>
        <v>5</v>
      </c>
      <c r="C128" s="8">
        <v>190210</v>
      </c>
      <c r="D128" s="19" t="s">
        <v>181</v>
      </c>
      <c r="E128" s="4">
        <v>1040405001</v>
      </c>
      <c r="F128" s="4">
        <v>52</v>
      </c>
      <c r="G128" s="4">
        <v>51</v>
      </c>
      <c r="H128" s="4">
        <v>50</v>
      </c>
      <c r="I128" s="4">
        <v>49</v>
      </c>
      <c r="J128" s="4">
        <v>48</v>
      </c>
      <c r="K128" s="4">
        <v>11121005</v>
      </c>
      <c r="L128" s="4">
        <v>11001005</v>
      </c>
      <c r="M128" s="4" t="s">
        <v>41</v>
      </c>
      <c r="N128" s="20">
        <v>220</v>
      </c>
    </row>
    <row r="129" spans="1:14">
      <c r="A129" s="4">
        <f>C129*100+1</f>
        <v>19021101</v>
      </c>
      <c r="B129" s="8" t="str">
        <f t="shared" si="2"/>
        <v>1</v>
      </c>
      <c r="C129" s="8">
        <v>190211</v>
      </c>
      <c r="D129" s="19" t="s">
        <v>182</v>
      </c>
      <c r="E129" s="4">
        <v>1040405001</v>
      </c>
      <c r="F129" s="4">
        <v>57</v>
      </c>
      <c r="G129" s="4">
        <v>56</v>
      </c>
      <c r="H129" s="4">
        <v>55</v>
      </c>
      <c r="I129" s="4">
        <v>54</v>
      </c>
      <c r="J129" s="4">
        <v>53</v>
      </c>
      <c r="K129" s="4">
        <v>11121101</v>
      </c>
      <c r="L129" s="4">
        <v>11001101</v>
      </c>
      <c r="M129" s="4" t="s">
        <v>41</v>
      </c>
      <c r="N129" s="20">
        <v>235</v>
      </c>
    </row>
    <row r="130" spans="1:14">
      <c r="A130" s="4">
        <f>A129+1</f>
        <v>19021102</v>
      </c>
      <c r="B130" s="8" t="str">
        <f t="shared" si="2"/>
        <v>2</v>
      </c>
      <c r="C130" s="8">
        <v>190211</v>
      </c>
      <c r="D130" s="19" t="s">
        <v>183</v>
      </c>
      <c r="E130" s="4">
        <v>1040405001</v>
      </c>
      <c r="F130" s="4">
        <v>57</v>
      </c>
      <c r="G130" s="4">
        <v>56</v>
      </c>
      <c r="H130" s="4">
        <v>55</v>
      </c>
      <c r="I130" s="4">
        <v>54</v>
      </c>
      <c r="J130" s="4">
        <v>53</v>
      </c>
      <c r="K130" s="4">
        <v>11121102</v>
      </c>
      <c r="L130" s="4">
        <v>11001102</v>
      </c>
      <c r="M130" s="4" t="s">
        <v>41</v>
      </c>
      <c r="N130" s="20">
        <v>235</v>
      </c>
    </row>
    <row r="131" spans="1:14">
      <c r="A131" s="4">
        <f t="shared" si="3"/>
        <v>19021103</v>
      </c>
      <c r="B131" s="8" t="str">
        <f t="shared" si="2"/>
        <v>3</v>
      </c>
      <c r="C131" s="8">
        <v>190211</v>
      </c>
      <c r="D131" s="19" t="s">
        <v>184</v>
      </c>
      <c r="E131" s="4">
        <v>1040405001</v>
      </c>
      <c r="F131" s="4">
        <v>57</v>
      </c>
      <c r="G131" s="4">
        <v>56</v>
      </c>
      <c r="H131" s="4">
        <v>55</v>
      </c>
      <c r="I131" s="4">
        <v>54</v>
      </c>
      <c r="J131" s="4">
        <v>53</v>
      </c>
      <c r="K131" s="4">
        <v>11121103</v>
      </c>
      <c r="L131" s="4">
        <v>11001103</v>
      </c>
      <c r="M131" s="4" t="s">
        <v>41</v>
      </c>
      <c r="N131" s="20">
        <v>235</v>
      </c>
    </row>
    <row r="132" spans="1:14">
      <c r="A132" s="4">
        <f t="shared" si="3"/>
        <v>19021104</v>
      </c>
      <c r="B132" s="8" t="str">
        <f t="shared" si="2"/>
        <v>4</v>
      </c>
      <c r="C132" s="8">
        <v>190211</v>
      </c>
      <c r="D132" s="19" t="s">
        <v>185</v>
      </c>
      <c r="E132" s="4">
        <v>1040405001</v>
      </c>
      <c r="F132" s="4">
        <v>57</v>
      </c>
      <c r="G132" s="4">
        <v>56</v>
      </c>
      <c r="H132" s="4">
        <v>55</v>
      </c>
      <c r="I132" s="4">
        <v>54</v>
      </c>
      <c r="J132" s="4">
        <v>53</v>
      </c>
      <c r="K132" s="4">
        <v>11121104</v>
      </c>
      <c r="L132" s="4">
        <v>11001104</v>
      </c>
      <c r="M132" s="4" t="s">
        <v>41</v>
      </c>
      <c r="N132" s="20">
        <v>235</v>
      </c>
    </row>
    <row r="133" spans="1:14">
      <c r="A133" s="4">
        <f t="shared" si="3"/>
        <v>19021105</v>
      </c>
      <c r="B133" s="8" t="str">
        <f t="shared" ref="B133:B196" si="4">RIGHT(A133,1)</f>
        <v>5</v>
      </c>
      <c r="C133" s="8">
        <v>190211</v>
      </c>
      <c r="D133" s="19" t="s">
        <v>186</v>
      </c>
      <c r="E133" s="4">
        <v>1040405001</v>
      </c>
      <c r="F133" s="4">
        <v>57</v>
      </c>
      <c r="G133" s="4">
        <v>56</v>
      </c>
      <c r="H133" s="4">
        <v>55</v>
      </c>
      <c r="I133" s="4">
        <v>54</v>
      </c>
      <c r="J133" s="4">
        <v>53</v>
      </c>
      <c r="K133" s="4">
        <v>11121105</v>
      </c>
      <c r="L133" s="4">
        <v>11001105</v>
      </c>
      <c r="M133" s="4" t="s">
        <v>41</v>
      </c>
      <c r="N133" s="20">
        <v>235</v>
      </c>
    </row>
    <row r="134" spans="1:14">
      <c r="A134" s="4">
        <f>C134*100+1</f>
        <v>19021201</v>
      </c>
      <c r="B134" s="8" t="str">
        <f t="shared" si="4"/>
        <v>1</v>
      </c>
      <c r="C134" s="8">
        <v>190212</v>
      </c>
      <c r="D134" s="19" t="s">
        <v>187</v>
      </c>
      <c r="E134" s="4">
        <v>1040405001</v>
      </c>
      <c r="F134" s="4">
        <v>62</v>
      </c>
      <c r="G134" s="4">
        <v>61</v>
      </c>
      <c r="H134" s="4">
        <v>60</v>
      </c>
      <c r="I134" s="4">
        <v>59</v>
      </c>
      <c r="J134" s="4">
        <v>58</v>
      </c>
      <c r="K134" s="4">
        <v>11121201</v>
      </c>
      <c r="L134" s="4">
        <v>11001201</v>
      </c>
      <c r="M134" s="4" t="s">
        <v>41</v>
      </c>
      <c r="N134" s="20">
        <v>250</v>
      </c>
    </row>
    <row r="135" spans="1:14">
      <c r="A135" s="4">
        <f>A134+1</f>
        <v>19021202</v>
      </c>
      <c r="B135" s="8" t="str">
        <f t="shared" si="4"/>
        <v>2</v>
      </c>
      <c r="C135" s="8">
        <v>190212</v>
      </c>
      <c r="D135" s="19" t="s">
        <v>188</v>
      </c>
      <c r="E135" s="4">
        <v>1040405001</v>
      </c>
      <c r="F135" s="4">
        <v>62</v>
      </c>
      <c r="G135" s="4">
        <v>61</v>
      </c>
      <c r="H135" s="4">
        <v>60</v>
      </c>
      <c r="I135" s="4">
        <v>59</v>
      </c>
      <c r="J135" s="4">
        <v>58</v>
      </c>
      <c r="K135" s="4">
        <v>11121202</v>
      </c>
      <c r="L135" s="4">
        <v>11001202</v>
      </c>
      <c r="M135" s="4" t="s">
        <v>41</v>
      </c>
      <c r="N135" s="20">
        <v>250</v>
      </c>
    </row>
    <row r="136" spans="1:14">
      <c r="A136" s="4">
        <f t="shared" si="3"/>
        <v>19021203</v>
      </c>
      <c r="B136" s="8" t="str">
        <f t="shared" si="4"/>
        <v>3</v>
      </c>
      <c r="C136" s="8">
        <v>190212</v>
      </c>
      <c r="D136" s="19" t="s">
        <v>189</v>
      </c>
      <c r="E136" s="4">
        <v>1040405001</v>
      </c>
      <c r="F136" s="4">
        <v>62</v>
      </c>
      <c r="G136" s="4">
        <v>61</v>
      </c>
      <c r="H136" s="4">
        <v>60</v>
      </c>
      <c r="I136" s="4">
        <v>59</v>
      </c>
      <c r="J136" s="4">
        <v>58</v>
      </c>
      <c r="K136" s="4">
        <v>11121203</v>
      </c>
      <c r="L136" s="4">
        <v>11001203</v>
      </c>
      <c r="M136" s="4" t="s">
        <v>41</v>
      </c>
      <c r="N136" s="20">
        <v>250</v>
      </c>
    </row>
    <row r="137" spans="1:14">
      <c r="A137" s="4">
        <f t="shared" si="3"/>
        <v>19021204</v>
      </c>
      <c r="B137" s="8" t="str">
        <f t="shared" si="4"/>
        <v>4</v>
      </c>
      <c r="C137" s="8">
        <v>190212</v>
      </c>
      <c r="D137" s="19" t="s">
        <v>190</v>
      </c>
      <c r="E137" s="4">
        <v>1040405001</v>
      </c>
      <c r="F137" s="4">
        <v>62</v>
      </c>
      <c r="G137" s="4">
        <v>61</v>
      </c>
      <c r="H137" s="4">
        <v>60</v>
      </c>
      <c r="I137" s="4">
        <v>59</v>
      </c>
      <c r="J137" s="4">
        <v>58</v>
      </c>
      <c r="K137" s="4">
        <v>11121204</v>
      </c>
      <c r="L137" s="4">
        <v>11001204</v>
      </c>
      <c r="M137" s="4" t="s">
        <v>41</v>
      </c>
      <c r="N137" s="20">
        <v>250</v>
      </c>
    </row>
    <row r="138" spans="1:14">
      <c r="A138" s="4">
        <f t="shared" si="3"/>
        <v>19021205</v>
      </c>
      <c r="B138" s="8" t="str">
        <f t="shared" si="4"/>
        <v>5</v>
      </c>
      <c r="C138" s="8">
        <v>190212</v>
      </c>
      <c r="D138" s="19" t="s">
        <v>191</v>
      </c>
      <c r="E138" s="4">
        <v>1040405001</v>
      </c>
      <c r="F138" s="4">
        <v>62</v>
      </c>
      <c r="G138" s="4">
        <v>61</v>
      </c>
      <c r="H138" s="4">
        <v>60</v>
      </c>
      <c r="I138" s="4">
        <v>59</v>
      </c>
      <c r="J138" s="4">
        <v>58</v>
      </c>
      <c r="K138" s="4">
        <v>11121205</v>
      </c>
      <c r="L138" s="4">
        <v>11001205</v>
      </c>
      <c r="M138" s="4" t="s">
        <v>41</v>
      </c>
      <c r="N138" s="20">
        <v>250</v>
      </c>
    </row>
    <row r="139" spans="1:14">
      <c r="A139" s="4">
        <f>C139*100+1</f>
        <v>19021301</v>
      </c>
      <c r="B139" s="8" t="str">
        <f t="shared" si="4"/>
        <v>1</v>
      </c>
      <c r="C139" s="8">
        <v>190213</v>
      </c>
      <c r="D139" s="19" t="s">
        <v>192</v>
      </c>
      <c r="E139" s="4">
        <v>1040405001</v>
      </c>
      <c r="F139" s="4">
        <v>67</v>
      </c>
      <c r="G139" s="4">
        <v>66</v>
      </c>
      <c r="H139" s="4">
        <v>65</v>
      </c>
      <c r="I139" s="4">
        <v>64</v>
      </c>
      <c r="J139" s="4">
        <v>63</v>
      </c>
      <c r="K139" s="4">
        <v>11121301</v>
      </c>
      <c r="L139" s="4">
        <v>11001301</v>
      </c>
      <c r="M139" s="4" t="s">
        <v>41</v>
      </c>
      <c r="N139" s="20">
        <v>265</v>
      </c>
    </row>
    <row r="140" spans="1:14">
      <c r="A140" s="4">
        <f t="shared" ref="A140:A203" si="5">A139+1</f>
        <v>19021302</v>
      </c>
      <c r="B140" s="8" t="str">
        <f t="shared" si="4"/>
        <v>2</v>
      </c>
      <c r="C140" s="8">
        <v>190213</v>
      </c>
      <c r="D140" s="19" t="s">
        <v>193</v>
      </c>
      <c r="E140" s="4">
        <v>1040405001</v>
      </c>
      <c r="F140" s="4">
        <v>67</v>
      </c>
      <c r="G140" s="4">
        <v>66</v>
      </c>
      <c r="H140" s="4">
        <v>65</v>
      </c>
      <c r="I140" s="4">
        <v>64</v>
      </c>
      <c r="J140" s="4">
        <v>63</v>
      </c>
      <c r="K140" s="4">
        <v>11121302</v>
      </c>
      <c r="L140" s="4">
        <v>11001302</v>
      </c>
      <c r="M140" s="4" t="s">
        <v>41</v>
      </c>
      <c r="N140" s="20">
        <v>265</v>
      </c>
    </row>
    <row r="141" spans="1:14">
      <c r="A141" s="4">
        <f t="shared" si="5"/>
        <v>19021303</v>
      </c>
      <c r="B141" s="8" t="str">
        <f t="shared" si="4"/>
        <v>3</v>
      </c>
      <c r="C141" s="8">
        <v>190213</v>
      </c>
      <c r="D141" s="19" t="s">
        <v>194</v>
      </c>
      <c r="E141" s="4">
        <v>1040405001</v>
      </c>
      <c r="F141" s="4">
        <v>67</v>
      </c>
      <c r="G141" s="4">
        <v>66</v>
      </c>
      <c r="H141" s="4">
        <v>65</v>
      </c>
      <c r="I141" s="4">
        <v>64</v>
      </c>
      <c r="J141" s="4">
        <v>63</v>
      </c>
      <c r="K141" s="4">
        <v>11121303</v>
      </c>
      <c r="L141" s="4">
        <v>11001303</v>
      </c>
      <c r="M141" s="4" t="s">
        <v>41</v>
      </c>
      <c r="N141" s="20">
        <v>265</v>
      </c>
    </row>
    <row r="142" spans="1:14">
      <c r="A142" s="4">
        <f t="shared" si="5"/>
        <v>19021304</v>
      </c>
      <c r="B142" s="8" t="str">
        <f t="shared" si="4"/>
        <v>4</v>
      </c>
      <c r="C142" s="8">
        <v>190213</v>
      </c>
      <c r="D142" s="19" t="s">
        <v>195</v>
      </c>
      <c r="E142" s="4">
        <v>1040405001</v>
      </c>
      <c r="F142" s="4">
        <v>67</v>
      </c>
      <c r="G142" s="4">
        <v>66</v>
      </c>
      <c r="H142" s="4">
        <v>65</v>
      </c>
      <c r="I142" s="4">
        <v>64</v>
      </c>
      <c r="J142" s="4">
        <v>63</v>
      </c>
      <c r="K142" s="4">
        <v>11121304</v>
      </c>
      <c r="L142" s="4">
        <v>11001304</v>
      </c>
      <c r="M142" s="4" t="s">
        <v>41</v>
      </c>
      <c r="N142" s="20">
        <v>265</v>
      </c>
    </row>
    <row r="143" spans="1:14">
      <c r="A143" s="4">
        <f t="shared" si="5"/>
        <v>19021305</v>
      </c>
      <c r="B143" s="8" t="str">
        <f t="shared" si="4"/>
        <v>5</v>
      </c>
      <c r="C143" s="8">
        <v>190213</v>
      </c>
      <c r="D143" s="19" t="s">
        <v>196</v>
      </c>
      <c r="E143" s="4">
        <v>1040405001</v>
      </c>
      <c r="F143" s="4">
        <v>67</v>
      </c>
      <c r="G143" s="4">
        <v>66</v>
      </c>
      <c r="H143" s="4">
        <v>65</v>
      </c>
      <c r="I143" s="4">
        <v>64</v>
      </c>
      <c r="J143" s="4">
        <v>63</v>
      </c>
      <c r="K143" s="4">
        <v>11121305</v>
      </c>
      <c r="L143" s="4">
        <v>11001305</v>
      </c>
      <c r="M143" s="4" t="s">
        <v>41</v>
      </c>
      <c r="N143" s="20">
        <v>265</v>
      </c>
    </row>
    <row r="144" spans="1:14">
      <c r="A144" s="4">
        <f>C144*100+1</f>
        <v>19021401</v>
      </c>
      <c r="B144" s="8" t="str">
        <f t="shared" si="4"/>
        <v>1</v>
      </c>
      <c r="C144" s="8">
        <v>190214</v>
      </c>
      <c r="D144" s="19" t="s">
        <v>197</v>
      </c>
      <c r="E144" s="4">
        <v>1040405001</v>
      </c>
      <c r="F144" s="4">
        <v>72</v>
      </c>
      <c r="G144" s="4">
        <v>71</v>
      </c>
      <c r="H144" s="4">
        <v>70</v>
      </c>
      <c r="I144" s="4">
        <v>69</v>
      </c>
      <c r="J144" s="4">
        <v>68</v>
      </c>
      <c r="K144" s="4">
        <v>11121401</v>
      </c>
      <c r="L144" s="4">
        <v>11001401</v>
      </c>
      <c r="M144" s="4" t="s">
        <v>41</v>
      </c>
      <c r="N144" s="20">
        <v>280</v>
      </c>
    </row>
    <row r="145" spans="1:14">
      <c r="A145" s="4">
        <f>A144+1</f>
        <v>19021402</v>
      </c>
      <c r="B145" s="8" t="str">
        <f t="shared" si="4"/>
        <v>2</v>
      </c>
      <c r="C145" s="8">
        <v>190214</v>
      </c>
      <c r="D145" s="19" t="s">
        <v>198</v>
      </c>
      <c r="E145" s="4">
        <v>1040405001</v>
      </c>
      <c r="F145" s="4">
        <v>72</v>
      </c>
      <c r="G145" s="4">
        <v>71</v>
      </c>
      <c r="H145" s="4">
        <v>70</v>
      </c>
      <c r="I145" s="4">
        <v>69</v>
      </c>
      <c r="J145" s="4">
        <v>68</v>
      </c>
      <c r="K145" s="4">
        <v>11121402</v>
      </c>
      <c r="L145" s="4">
        <v>11001402</v>
      </c>
      <c r="M145" s="4" t="s">
        <v>41</v>
      </c>
      <c r="N145" s="20">
        <v>280</v>
      </c>
    </row>
    <row r="146" spans="1:14">
      <c r="A146" s="4">
        <f t="shared" si="5"/>
        <v>19021403</v>
      </c>
      <c r="B146" s="8" t="str">
        <f t="shared" si="4"/>
        <v>3</v>
      </c>
      <c r="C146" s="8">
        <v>190214</v>
      </c>
      <c r="D146" s="19" t="s">
        <v>199</v>
      </c>
      <c r="E146" s="4">
        <v>1040405001</v>
      </c>
      <c r="F146" s="4">
        <v>72</v>
      </c>
      <c r="G146" s="4">
        <v>71</v>
      </c>
      <c r="H146" s="4">
        <v>70</v>
      </c>
      <c r="I146" s="4">
        <v>69</v>
      </c>
      <c r="J146" s="4">
        <v>68</v>
      </c>
      <c r="K146" s="4">
        <v>11121403</v>
      </c>
      <c r="L146" s="4">
        <v>11001403</v>
      </c>
      <c r="M146" s="4" t="s">
        <v>41</v>
      </c>
      <c r="N146" s="20">
        <v>280</v>
      </c>
    </row>
    <row r="147" spans="1:14">
      <c r="A147" s="4">
        <f t="shared" si="5"/>
        <v>19021404</v>
      </c>
      <c r="B147" s="8" t="str">
        <f t="shared" si="4"/>
        <v>4</v>
      </c>
      <c r="C147" s="8">
        <v>190214</v>
      </c>
      <c r="D147" s="19" t="s">
        <v>200</v>
      </c>
      <c r="E147" s="4">
        <v>1040405001</v>
      </c>
      <c r="F147" s="4">
        <v>72</v>
      </c>
      <c r="G147" s="4">
        <v>71</v>
      </c>
      <c r="H147" s="4">
        <v>70</v>
      </c>
      <c r="I147" s="4">
        <v>69</v>
      </c>
      <c r="J147" s="4">
        <v>68</v>
      </c>
      <c r="K147" s="4">
        <v>11121404</v>
      </c>
      <c r="L147" s="4">
        <v>11001404</v>
      </c>
      <c r="M147" s="4" t="s">
        <v>41</v>
      </c>
      <c r="N147" s="20">
        <v>280</v>
      </c>
    </row>
    <row r="148" spans="1:14">
      <c r="A148" s="4">
        <f t="shared" si="5"/>
        <v>19021405</v>
      </c>
      <c r="B148" s="8" t="str">
        <f t="shared" si="4"/>
        <v>5</v>
      </c>
      <c r="C148" s="8">
        <v>190214</v>
      </c>
      <c r="D148" s="19" t="s">
        <v>201</v>
      </c>
      <c r="E148" s="4">
        <v>1040405001</v>
      </c>
      <c r="F148" s="4">
        <v>72</v>
      </c>
      <c r="G148" s="4">
        <v>71</v>
      </c>
      <c r="H148" s="4">
        <v>70</v>
      </c>
      <c r="I148" s="4">
        <v>69</v>
      </c>
      <c r="J148" s="4">
        <v>68</v>
      </c>
      <c r="K148" s="4">
        <v>11121405</v>
      </c>
      <c r="L148" s="4">
        <v>11001405</v>
      </c>
      <c r="M148" s="4" t="s">
        <v>41</v>
      </c>
      <c r="N148" s="20">
        <v>280</v>
      </c>
    </row>
    <row r="149" spans="1:14">
      <c r="A149" s="4">
        <f>C149*100+1</f>
        <v>19021501</v>
      </c>
      <c r="B149" s="8" t="str">
        <f t="shared" si="4"/>
        <v>1</v>
      </c>
      <c r="C149" s="8">
        <v>190215</v>
      </c>
      <c r="D149" s="19" t="s">
        <v>202</v>
      </c>
      <c r="E149" s="4">
        <v>1040405001</v>
      </c>
      <c r="F149" s="4">
        <v>77</v>
      </c>
      <c r="G149" s="4">
        <v>76</v>
      </c>
      <c r="H149" s="4">
        <v>75</v>
      </c>
      <c r="I149" s="4">
        <v>74</v>
      </c>
      <c r="J149" s="4">
        <v>73</v>
      </c>
      <c r="K149" s="4">
        <v>11121501</v>
      </c>
      <c r="L149" s="4">
        <v>11001501</v>
      </c>
      <c r="M149" s="4" t="s">
        <v>41</v>
      </c>
      <c r="N149" s="20">
        <v>295</v>
      </c>
    </row>
    <row r="150" spans="1:14">
      <c r="A150" s="4">
        <f>A149+1</f>
        <v>19021502</v>
      </c>
      <c r="B150" s="8" t="str">
        <f t="shared" si="4"/>
        <v>2</v>
      </c>
      <c r="C150" s="8">
        <v>190215</v>
      </c>
      <c r="D150" s="19" t="s">
        <v>203</v>
      </c>
      <c r="E150" s="4">
        <v>1040405001</v>
      </c>
      <c r="F150" s="4">
        <v>77</v>
      </c>
      <c r="G150" s="4">
        <v>76</v>
      </c>
      <c r="H150" s="4">
        <v>75</v>
      </c>
      <c r="I150" s="4">
        <v>74</v>
      </c>
      <c r="J150" s="4">
        <v>73</v>
      </c>
      <c r="K150" s="4">
        <v>11121502</v>
      </c>
      <c r="L150" s="4">
        <v>11001502</v>
      </c>
      <c r="M150" s="4" t="s">
        <v>41</v>
      </c>
      <c r="N150" s="20">
        <v>295</v>
      </c>
    </row>
    <row r="151" spans="1:14">
      <c r="A151" s="4">
        <f t="shared" si="5"/>
        <v>19021503</v>
      </c>
      <c r="B151" s="8" t="str">
        <f t="shared" si="4"/>
        <v>3</v>
      </c>
      <c r="C151" s="8">
        <v>190215</v>
      </c>
      <c r="D151" s="19" t="s">
        <v>204</v>
      </c>
      <c r="E151" s="4">
        <v>1040405001</v>
      </c>
      <c r="F151" s="4">
        <v>77</v>
      </c>
      <c r="G151" s="4">
        <v>76</v>
      </c>
      <c r="H151" s="4">
        <v>75</v>
      </c>
      <c r="I151" s="4">
        <v>74</v>
      </c>
      <c r="J151" s="4">
        <v>73</v>
      </c>
      <c r="K151" s="4">
        <v>11121503</v>
      </c>
      <c r="L151" s="4">
        <v>11001503</v>
      </c>
      <c r="M151" s="4" t="s">
        <v>41</v>
      </c>
      <c r="N151" s="20">
        <v>295</v>
      </c>
    </row>
    <row r="152" spans="1:14">
      <c r="A152" s="4">
        <f t="shared" si="5"/>
        <v>19021504</v>
      </c>
      <c r="B152" s="8" t="str">
        <f t="shared" si="4"/>
        <v>4</v>
      </c>
      <c r="C152" s="8">
        <v>190215</v>
      </c>
      <c r="D152" s="19" t="s">
        <v>205</v>
      </c>
      <c r="E152" s="4">
        <v>1040405001</v>
      </c>
      <c r="F152" s="4">
        <v>77</v>
      </c>
      <c r="G152" s="4">
        <v>76</v>
      </c>
      <c r="H152" s="4">
        <v>75</v>
      </c>
      <c r="I152" s="4">
        <v>74</v>
      </c>
      <c r="J152" s="4">
        <v>73</v>
      </c>
      <c r="K152" s="4">
        <v>11121504</v>
      </c>
      <c r="L152" s="4">
        <v>11001504</v>
      </c>
      <c r="M152" s="4" t="s">
        <v>41</v>
      </c>
      <c r="N152" s="20">
        <v>295</v>
      </c>
    </row>
    <row r="153" spans="1:14">
      <c r="A153" s="4">
        <f t="shared" si="5"/>
        <v>19021505</v>
      </c>
      <c r="B153" s="8" t="str">
        <f t="shared" si="4"/>
        <v>5</v>
      </c>
      <c r="C153" s="8">
        <v>190215</v>
      </c>
      <c r="D153" s="19" t="s">
        <v>206</v>
      </c>
      <c r="E153" s="4">
        <v>1040405001</v>
      </c>
      <c r="F153" s="4">
        <v>77</v>
      </c>
      <c r="G153" s="4">
        <v>76</v>
      </c>
      <c r="H153" s="4">
        <v>75</v>
      </c>
      <c r="I153" s="4">
        <v>74</v>
      </c>
      <c r="J153" s="4">
        <v>73</v>
      </c>
      <c r="K153" s="4">
        <v>11121505</v>
      </c>
      <c r="L153" s="4">
        <v>11001505</v>
      </c>
      <c r="M153" s="4" t="s">
        <v>41</v>
      </c>
      <c r="N153" s="20">
        <v>295</v>
      </c>
    </row>
    <row r="154" spans="1:14">
      <c r="A154" s="4">
        <f>C154*100+1</f>
        <v>19030101</v>
      </c>
      <c r="B154" s="8" t="str">
        <f t="shared" si="4"/>
        <v>1</v>
      </c>
      <c r="C154" s="8">
        <v>190301</v>
      </c>
      <c r="D154" s="19" t="s">
        <v>207</v>
      </c>
      <c r="E154" s="4">
        <v>1040405001</v>
      </c>
      <c r="F154" s="4">
        <v>7</v>
      </c>
      <c r="G154" s="4">
        <v>6</v>
      </c>
      <c r="H154" s="4">
        <v>5</v>
      </c>
      <c r="I154" s="4">
        <v>4</v>
      </c>
      <c r="J154" s="4">
        <v>3</v>
      </c>
      <c r="K154" s="4">
        <v>11130101</v>
      </c>
      <c r="L154" s="4">
        <v>11000101</v>
      </c>
      <c r="M154" s="4" t="s">
        <v>41</v>
      </c>
      <c r="N154" s="20">
        <v>85</v>
      </c>
    </row>
    <row r="155" spans="1:14">
      <c r="A155" s="4">
        <f>A154+1</f>
        <v>19030102</v>
      </c>
      <c r="B155" s="8" t="str">
        <f t="shared" si="4"/>
        <v>2</v>
      </c>
      <c r="C155" s="8">
        <v>190301</v>
      </c>
      <c r="D155" s="19" t="s">
        <v>208</v>
      </c>
      <c r="E155" s="4">
        <v>1040405001</v>
      </c>
      <c r="F155" s="4">
        <v>7</v>
      </c>
      <c r="G155" s="4">
        <v>6</v>
      </c>
      <c r="H155" s="4">
        <v>5</v>
      </c>
      <c r="I155" s="4">
        <v>4</v>
      </c>
      <c r="J155" s="4">
        <v>3</v>
      </c>
      <c r="K155" s="4">
        <v>11130102</v>
      </c>
      <c r="L155" s="4">
        <v>11000102</v>
      </c>
      <c r="M155" s="4" t="s">
        <v>41</v>
      </c>
      <c r="N155" s="20">
        <v>85</v>
      </c>
    </row>
    <row r="156" spans="1:14">
      <c r="A156" s="4">
        <f t="shared" si="5"/>
        <v>19030103</v>
      </c>
      <c r="B156" s="8" t="str">
        <f t="shared" si="4"/>
        <v>3</v>
      </c>
      <c r="C156" s="8">
        <v>190301</v>
      </c>
      <c r="D156" s="19" t="s">
        <v>209</v>
      </c>
      <c r="E156" s="4">
        <v>1040405001</v>
      </c>
      <c r="F156" s="4">
        <v>7</v>
      </c>
      <c r="G156" s="4">
        <v>6</v>
      </c>
      <c r="H156" s="4">
        <v>5</v>
      </c>
      <c r="I156" s="4">
        <v>4</v>
      </c>
      <c r="J156" s="4">
        <v>3</v>
      </c>
      <c r="K156" s="4">
        <v>11130103</v>
      </c>
      <c r="L156" s="4">
        <v>11000103</v>
      </c>
      <c r="M156" s="4" t="s">
        <v>41</v>
      </c>
      <c r="N156" s="20">
        <v>85</v>
      </c>
    </row>
    <row r="157" spans="1:14">
      <c r="A157" s="4">
        <f t="shared" si="5"/>
        <v>19030104</v>
      </c>
      <c r="B157" s="8" t="str">
        <f t="shared" si="4"/>
        <v>4</v>
      </c>
      <c r="C157" s="8">
        <v>190301</v>
      </c>
      <c r="D157" s="19" t="s">
        <v>210</v>
      </c>
      <c r="E157" s="4">
        <v>1040405001</v>
      </c>
      <c r="F157" s="4">
        <v>7</v>
      </c>
      <c r="G157" s="4">
        <v>6</v>
      </c>
      <c r="H157" s="4">
        <v>5</v>
      </c>
      <c r="I157" s="4">
        <v>4</v>
      </c>
      <c r="J157" s="4">
        <v>3</v>
      </c>
      <c r="K157" s="4">
        <v>11130104</v>
      </c>
      <c r="L157" s="4">
        <v>11000104</v>
      </c>
      <c r="M157" s="4" t="s">
        <v>41</v>
      </c>
      <c r="N157" s="20">
        <v>85</v>
      </c>
    </row>
    <row r="158" spans="1:14">
      <c r="A158" s="4">
        <f t="shared" si="5"/>
        <v>19030105</v>
      </c>
      <c r="B158" s="8" t="str">
        <f t="shared" si="4"/>
        <v>5</v>
      </c>
      <c r="C158" s="8">
        <v>190301</v>
      </c>
      <c r="D158" s="19" t="s">
        <v>211</v>
      </c>
      <c r="E158" s="4">
        <v>1040405001</v>
      </c>
      <c r="F158" s="4">
        <v>7</v>
      </c>
      <c r="G158" s="4">
        <v>6</v>
      </c>
      <c r="H158" s="4">
        <v>5</v>
      </c>
      <c r="I158" s="4">
        <v>4</v>
      </c>
      <c r="J158" s="4">
        <v>3</v>
      </c>
      <c r="K158" s="4">
        <v>11130105</v>
      </c>
      <c r="L158" s="4">
        <v>11000105</v>
      </c>
      <c r="M158" s="4" t="s">
        <v>41</v>
      </c>
      <c r="N158" s="20">
        <v>85</v>
      </c>
    </row>
    <row r="159" spans="1:14">
      <c r="A159" s="4">
        <f>C159*100+1</f>
        <v>19030201</v>
      </c>
      <c r="B159" s="8" t="str">
        <f t="shared" si="4"/>
        <v>1</v>
      </c>
      <c r="C159" s="8">
        <v>190302</v>
      </c>
      <c r="D159" s="19" t="s">
        <v>212</v>
      </c>
      <c r="E159" s="4">
        <v>1040405001</v>
      </c>
      <c r="F159" s="4">
        <v>12</v>
      </c>
      <c r="G159" s="4">
        <v>11</v>
      </c>
      <c r="H159" s="4">
        <v>10</v>
      </c>
      <c r="I159" s="4">
        <v>9</v>
      </c>
      <c r="J159" s="4">
        <v>8</v>
      </c>
      <c r="K159" s="4">
        <v>11130201</v>
      </c>
      <c r="L159" s="4">
        <v>11000201</v>
      </c>
      <c r="M159" s="4" t="s">
        <v>41</v>
      </c>
      <c r="N159" s="20">
        <v>100</v>
      </c>
    </row>
    <row r="160" spans="1:14">
      <c r="A160" s="4">
        <f>A159+1</f>
        <v>19030202</v>
      </c>
      <c r="B160" s="8" t="str">
        <f t="shared" si="4"/>
        <v>2</v>
      </c>
      <c r="C160" s="8">
        <v>190302</v>
      </c>
      <c r="D160" s="19" t="s">
        <v>213</v>
      </c>
      <c r="E160" s="4">
        <v>1040405001</v>
      </c>
      <c r="F160" s="4">
        <v>12</v>
      </c>
      <c r="G160" s="4">
        <v>11</v>
      </c>
      <c r="H160" s="4">
        <v>10</v>
      </c>
      <c r="I160" s="4">
        <v>9</v>
      </c>
      <c r="J160" s="4">
        <v>8</v>
      </c>
      <c r="K160" s="4">
        <v>11130202</v>
      </c>
      <c r="L160" s="4">
        <v>11000202</v>
      </c>
      <c r="M160" s="4" t="s">
        <v>41</v>
      </c>
      <c r="N160" s="20">
        <v>100</v>
      </c>
    </row>
    <row r="161" spans="1:14">
      <c r="A161" s="4">
        <f t="shared" si="5"/>
        <v>19030203</v>
      </c>
      <c r="B161" s="8" t="str">
        <f t="shared" si="4"/>
        <v>3</v>
      </c>
      <c r="C161" s="8">
        <v>190302</v>
      </c>
      <c r="D161" s="19" t="s">
        <v>214</v>
      </c>
      <c r="E161" s="4">
        <v>1040405001</v>
      </c>
      <c r="F161" s="4">
        <v>12</v>
      </c>
      <c r="G161" s="4">
        <v>11</v>
      </c>
      <c r="H161" s="4">
        <v>10</v>
      </c>
      <c r="I161" s="4">
        <v>9</v>
      </c>
      <c r="J161" s="4">
        <v>8</v>
      </c>
      <c r="K161" s="4">
        <v>11130203</v>
      </c>
      <c r="L161" s="4">
        <v>11000203</v>
      </c>
      <c r="M161" s="4" t="s">
        <v>41</v>
      </c>
      <c r="N161" s="20">
        <v>100</v>
      </c>
    </row>
    <row r="162" spans="1:14">
      <c r="A162" s="4">
        <f t="shared" si="5"/>
        <v>19030204</v>
      </c>
      <c r="B162" s="8" t="str">
        <f t="shared" si="4"/>
        <v>4</v>
      </c>
      <c r="C162" s="8">
        <v>190302</v>
      </c>
      <c r="D162" s="19" t="s">
        <v>215</v>
      </c>
      <c r="E162" s="4">
        <v>1040405001</v>
      </c>
      <c r="F162" s="4">
        <v>12</v>
      </c>
      <c r="G162" s="4">
        <v>11</v>
      </c>
      <c r="H162" s="4">
        <v>10</v>
      </c>
      <c r="I162" s="4">
        <v>9</v>
      </c>
      <c r="J162" s="4">
        <v>8</v>
      </c>
      <c r="K162" s="4">
        <v>11130204</v>
      </c>
      <c r="L162" s="4">
        <v>11000204</v>
      </c>
      <c r="M162" s="4" t="s">
        <v>41</v>
      </c>
      <c r="N162" s="20">
        <v>100</v>
      </c>
    </row>
    <row r="163" spans="1:14">
      <c r="A163" s="4">
        <f t="shared" si="5"/>
        <v>19030205</v>
      </c>
      <c r="B163" s="8" t="str">
        <f t="shared" si="4"/>
        <v>5</v>
      </c>
      <c r="C163" s="8">
        <v>190302</v>
      </c>
      <c r="D163" s="19" t="s">
        <v>216</v>
      </c>
      <c r="E163" s="4">
        <v>1040405001</v>
      </c>
      <c r="F163" s="4">
        <v>12</v>
      </c>
      <c r="G163" s="4">
        <v>11</v>
      </c>
      <c r="H163" s="4">
        <v>10</v>
      </c>
      <c r="I163" s="4">
        <v>9</v>
      </c>
      <c r="J163" s="4">
        <v>8</v>
      </c>
      <c r="K163" s="4">
        <v>11130205</v>
      </c>
      <c r="L163" s="4">
        <v>11000205</v>
      </c>
      <c r="M163" s="4" t="s">
        <v>41</v>
      </c>
      <c r="N163" s="20">
        <v>100</v>
      </c>
    </row>
    <row r="164" spans="1:14">
      <c r="A164" s="4">
        <f>C164*100+1</f>
        <v>19030301</v>
      </c>
      <c r="B164" s="8" t="str">
        <f t="shared" si="4"/>
        <v>1</v>
      </c>
      <c r="C164" s="8">
        <v>190303</v>
      </c>
      <c r="D164" s="19" t="s">
        <v>217</v>
      </c>
      <c r="E164" s="4">
        <v>1040405001</v>
      </c>
      <c r="F164" s="4">
        <v>17</v>
      </c>
      <c r="G164" s="4">
        <v>16</v>
      </c>
      <c r="H164" s="4">
        <v>15</v>
      </c>
      <c r="I164" s="4">
        <v>14</v>
      </c>
      <c r="J164" s="4">
        <v>13</v>
      </c>
      <c r="K164" s="4">
        <v>11130301</v>
      </c>
      <c r="L164" s="4">
        <v>11000301</v>
      </c>
      <c r="M164" s="4" t="s">
        <v>41</v>
      </c>
      <c r="N164" s="20">
        <v>115</v>
      </c>
    </row>
    <row r="165" spans="1:14">
      <c r="A165" s="4">
        <f>A164+1</f>
        <v>19030302</v>
      </c>
      <c r="B165" s="8" t="str">
        <f t="shared" si="4"/>
        <v>2</v>
      </c>
      <c r="C165" s="8">
        <v>190303</v>
      </c>
      <c r="D165" s="19" t="s">
        <v>218</v>
      </c>
      <c r="E165" s="4">
        <v>1040405001</v>
      </c>
      <c r="F165" s="4">
        <v>17</v>
      </c>
      <c r="G165" s="4">
        <v>16</v>
      </c>
      <c r="H165" s="4">
        <v>15</v>
      </c>
      <c r="I165" s="4">
        <v>14</v>
      </c>
      <c r="J165" s="4">
        <v>13</v>
      </c>
      <c r="K165" s="4">
        <v>11130302</v>
      </c>
      <c r="L165" s="4">
        <v>11000302</v>
      </c>
      <c r="M165" s="4" t="s">
        <v>41</v>
      </c>
      <c r="N165" s="20">
        <v>115</v>
      </c>
    </row>
    <row r="166" spans="1:14">
      <c r="A166" s="4">
        <f t="shared" si="5"/>
        <v>19030303</v>
      </c>
      <c r="B166" s="8" t="str">
        <f t="shared" si="4"/>
        <v>3</v>
      </c>
      <c r="C166" s="8">
        <v>190303</v>
      </c>
      <c r="D166" s="19" t="s">
        <v>219</v>
      </c>
      <c r="E166" s="4">
        <v>1040405001</v>
      </c>
      <c r="F166" s="4">
        <v>17</v>
      </c>
      <c r="G166" s="4">
        <v>16</v>
      </c>
      <c r="H166" s="4">
        <v>15</v>
      </c>
      <c r="I166" s="4">
        <v>14</v>
      </c>
      <c r="J166" s="4">
        <v>13</v>
      </c>
      <c r="K166" s="4">
        <v>11130303</v>
      </c>
      <c r="L166" s="4">
        <v>11000303</v>
      </c>
      <c r="M166" s="4" t="s">
        <v>41</v>
      </c>
      <c r="N166" s="20">
        <v>115</v>
      </c>
    </row>
    <row r="167" spans="1:14">
      <c r="A167" s="4">
        <f t="shared" si="5"/>
        <v>19030304</v>
      </c>
      <c r="B167" s="8" t="str">
        <f t="shared" si="4"/>
        <v>4</v>
      </c>
      <c r="C167" s="8">
        <v>190303</v>
      </c>
      <c r="D167" s="19" t="s">
        <v>220</v>
      </c>
      <c r="E167" s="4">
        <v>1040405001</v>
      </c>
      <c r="F167" s="4">
        <v>17</v>
      </c>
      <c r="G167" s="4">
        <v>16</v>
      </c>
      <c r="H167" s="4">
        <v>15</v>
      </c>
      <c r="I167" s="4">
        <v>14</v>
      </c>
      <c r="J167" s="4">
        <v>13</v>
      </c>
      <c r="K167" s="4">
        <v>11130304</v>
      </c>
      <c r="L167" s="4">
        <v>11000304</v>
      </c>
      <c r="M167" s="4" t="s">
        <v>41</v>
      </c>
      <c r="N167" s="20">
        <v>115</v>
      </c>
    </row>
    <row r="168" spans="1:14">
      <c r="A168" s="4">
        <f t="shared" si="5"/>
        <v>19030305</v>
      </c>
      <c r="B168" s="8" t="str">
        <f t="shared" si="4"/>
        <v>5</v>
      </c>
      <c r="C168" s="8">
        <v>190303</v>
      </c>
      <c r="D168" s="19" t="s">
        <v>221</v>
      </c>
      <c r="E168" s="4">
        <v>1040405001</v>
      </c>
      <c r="F168" s="4">
        <v>17</v>
      </c>
      <c r="G168" s="4">
        <v>16</v>
      </c>
      <c r="H168" s="4">
        <v>15</v>
      </c>
      <c r="I168" s="4">
        <v>14</v>
      </c>
      <c r="J168" s="4">
        <v>13</v>
      </c>
      <c r="K168" s="4">
        <v>11130305</v>
      </c>
      <c r="L168" s="4">
        <v>11000305</v>
      </c>
      <c r="M168" s="4" t="s">
        <v>41</v>
      </c>
      <c r="N168" s="20">
        <v>115</v>
      </c>
    </row>
    <row r="169" spans="1:14">
      <c r="A169" s="4">
        <f>C169*100+1</f>
        <v>19030401</v>
      </c>
      <c r="B169" s="8" t="str">
        <f t="shared" si="4"/>
        <v>1</v>
      </c>
      <c r="C169" s="8">
        <v>190304</v>
      </c>
      <c r="D169" s="19" t="s">
        <v>222</v>
      </c>
      <c r="E169" s="4">
        <v>1040405001</v>
      </c>
      <c r="F169" s="4">
        <v>22</v>
      </c>
      <c r="G169" s="4">
        <v>21</v>
      </c>
      <c r="H169" s="4">
        <v>20</v>
      </c>
      <c r="I169" s="4">
        <v>19</v>
      </c>
      <c r="J169" s="4">
        <v>18</v>
      </c>
      <c r="K169" s="4">
        <v>11130401</v>
      </c>
      <c r="L169" s="4">
        <v>11000401</v>
      </c>
      <c r="M169" s="4" t="s">
        <v>41</v>
      </c>
      <c r="N169" s="20">
        <v>130</v>
      </c>
    </row>
    <row r="170" spans="1:14">
      <c r="A170" s="4">
        <f>A169+1</f>
        <v>19030402</v>
      </c>
      <c r="B170" s="8" t="str">
        <f t="shared" si="4"/>
        <v>2</v>
      </c>
      <c r="C170" s="8">
        <v>190304</v>
      </c>
      <c r="D170" s="19" t="s">
        <v>223</v>
      </c>
      <c r="E170" s="4">
        <v>1040405001</v>
      </c>
      <c r="F170" s="4">
        <v>22</v>
      </c>
      <c r="G170" s="4">
        <v>21</v>
      </c>
      <c r="H170" s="4">
        <v>20</v>
      </c>
      <c r="I170" s="4">
        <v>19</v>
      </c>
      <c r="J170" s="4">
        <v>18</v>
      </c>
      <c r="K170" s="4">
        <v>11130402</v>
      </c>
      <c r="L170" s="4">
        <v>11000402</v>
      </c>
      <c r="M170" s="4" t="s">
        <v>41</v>
      </c>
      <c r="N170" s="20">
        <v>130</v>
      </c>
    </row>
    <row r="171" spans="1:14">
      <c r="A171" s="4">
        <f t="shared" si="5"/>
        <v>19030403</v>
      </c>
      <c r="B171" s="8" t="str">
        <f t="shared" si="4"/>
        <v>3</v>
      </c>
      <c r="C171" s="8">
        <v>190304</v>
      </c>
      <c r="D171" s="19" t="s">
        <v>224</v>
      </c>
      <c r="E171" s="4">
        <v>1040405001</v>
      </c>
      <c r="F171" s="4">
        <v>22</v>
      </c>
      <c r="G171" s="4">
        <v>21</v>
      </c>
      <c r="H171" s="4">
        <v>20</v>
      </c>
      <c r="I171" s="4">
        <v>19</v>
      </c>
      <c r="J171" s="4">
        <v>18</v>
      </c>
      <c r="K171" s="4">
        <v>11130403</v>
      </c>
      <c r="L171" s="4">
        <v>11000403</v>
      </c>
      <c r="M171" s="4" t="s">
        <v>41</v>
      </c>
      <c r="N171" s="20">
        <v>130</v>
      </c>
    </row>
    <row r="172" spans="1:14">
      <c r="A172" s="4">
        <f t="shared" si="5"/>
        <v>19030404</v>
      </c>
      <c r="B172" s="8" t="str">
        <f t="shared" si="4"/>
        <v>4</v>
      </c>
      <c r="C172" s="8">
        <v>190304</v>
      </c>
      <c r="D172" s="19" t="s">
        <v>225</v>
      </c>
      <c r="E172" s="4">
        <v>1040405001</v>
      </c>
      <c r="F172" s="4">
        <v>22</v>
      </c>
      <c r="G172" s="4">
        <v>21</v>
      </c>
      <c r="H172" s="4">
        <v>20</v>
      </c>
      <c r="I172" s="4">
        <v>19</v>
      </c>
      <c r="J172" s="4">
        <v>18</v>
      </c>
      <c r="K172" s="4">
        <v>11130404</v>
      </c>
      <c r="L172" s="4">
        <v>11000404</v>
      </c>
      <c r="M172" s="4" t="s">
        <v>41</v>
      </c>
      <c r="N172" s="20">
        <v>130</v>
      </c>
    </row>
    <row r="173" spans="1:14">
      <c r="A173" s="4">
        <f t="shared" si="5"/>
        <v>19030405</v>
      </c>
      <c r="B173" s="8" t="str">
        <f t="shared" si="4"/>
        <v>5</v>
      </c>
      <c r="C173" s="8">
        <v>190304</v>
      </c>
      <c r="D173" s="19" t="s">
        <v>226</v>
      </c>
      <c r="E173" s="4">
        <v>1040405001</v>
      </c>
      <c r="F173" s="4">
        <v>22</v>
      </c>
      <c r="G173" s="4">
        <v>21</v>
      </c>
      <c r="H173" s="4">
        <v>20</v>
      </c>
      <c r="I173" s="4">
        <v>19</v>
      </c>
      <c r="J173" s="4">
        <v>18</v>
      </c>
      <c r="K173" s="4">
        <v>11130405</v>
      </c>
      <c r="L173" s="4">
        <v>11000405</v>
      </c>
      <c r="M173" s="4" t="s">
        <v>41</v>
      </c>
      <c r="N173" s="20">
        <v>130</v>
      </c>
    </row>
    <row r="174" spans="1:14">
      <c r="A174" s="4">
        <f>C174*100+1</f>
        <v>19030501</v>
      </c>
      <c r="B174" s="8" t="str">
        <f t="shared" si="4"/>
        <v>1</v>
      </c>
      <c r="C174" s="8">
        <v>190305</v>
      </c>
      <c r="D174" s="19" t="s">
        <v>227</v>
      </c>
      <c r="E174" s="4">
        <v>1040405001</v>
      </c>
      <c r="F174" s="4">
        <v>27</v>
      </c>
      <c r="G174" s="4">
        <v>26</v>
      </c>
      <c r="H174" s="4">
        <v>25</v>
      </c>
      <c r="I174" s="4">
        <v>24</v>
      </c>
      <c r="J174" s="4">
        <v>23</v>
      </c>
      <c r="K174" s="4">
        <v>11130501</v>
      </c>
      <c r="L174" s="4">
        <v>11000501</v>
      </c>
      <c r="M174" s="4" t="s">
        <v>41</v>
      </c>
      <c r="N174" s="20">
        <v>145</v>
      </c>
    </row>
    <row r="175" spans="1:14">
      <c r="A175" s="4">
        <f>A174+1</f>
        <v>19030502</v>
      </c>
      <c r="B175" s="8" t="str">
        <f t="shared" si="4"/>
        <v>2</v>
      </c>
      <c r="C175" s="8">
        <v>190305</v>
      </c>
      <c r="D175" s="19" t="s">
        <v>228</v>
      </c>
      <c r="E175" s="4">
        <v>1040405001</v>
      </c>
      <c r="F175" s="4">
        <v>27</v>
      </c>
      <c r="G175" s="4">
        <v>26</v>
      </c>
      <c r="H175" s="4">
        <v>25</v>
      </c>
      <c r="I175" s="4">
        <v>24</v>
      </c>
      <c r="J175" s="4">
        <v>23</v>
      </c>
      <c r="K175" s="4">
        <v>11130502</v>
      </c>
      <c r="L175" s="4">
        <v>11000502</v>
      </c>
      <c r="M175" s="4" t="s">
        <v>41</v>
      </c>
      <c r="N175" s="20">
        <v>145</v>
      </c>
    </row>
    <row r="176" spans="1:14">
      <c r="A176" s="4">
        <f t="shared" si="5"/>
        <v>19030503</v>
      </c>
      <c r="B176" s="8" t="str">
        <f t="shared" si="4"/>
        <v>3</v>
      </c>
      <c r="C176" s="8">
        <v>190305</v>
      </c>
      <c r="D176" s="19" t="s">
        <v>229</v>
      </c>
      <c r="E176" s="4">
        <v>1040405001</v>
      </c>
      <c r="F176" s="4">
        <v>27</v>
      </c>
      <c r="G176" s="4">
        <v>26</v>
      </c>
      <c r="H176" s="4">
        <v>25</v>
      </c>
      <c r="I176" s="4">
        <v>24</v>
      </c>
      <c r="J176" s="4">
        <v>23</v>
      </c>
      <c r="K176" s="4">
        <v>11130503</v>
      </c>
      <c r="L176" s="4">
        <v>11000503</v>
      </c>
      <c r="M176" s="4" t="s">
        <v>41</v>
      </c>
      <c r="N176" s="20">
        <v>145</v>
      </c>
    </row>
    <row r="177" spans="1:14">
      <c r="A177" s="4">
        <f t="shared" si="5"/>
        <v>19030504</v>
      </c>
      <c r="B177" s="8" t="str">
        <f t="shared" si="4"/>
        <v>4</v>
      </c>
      <c r="C177" s="8">
        <v>190305</v>
      </c>
      <c r="D177" s="19" t="s">
        <v>230</v>
      </c>
      <c r="E177" s="4">
        <v>1040405001</v>
      </c>
      <c r="F177" s="4">
        <v>27</v>
      </c>
      <c r="G177" s="4">
        <v>26</v>
      </c>
      <c r="H177" s="4">
        <v>25</v>
      </c>
      <c r="I177" s="4">
        <v>24</v>
      </c>
      <c r="J177" s="4">
        <v>23</v>
      </c>
      <c r="K177" s="4">
        <v>11130504</v>
      </c>
      <c r="L177" s="4">
        <v>11000504</v>
      </c>
      <c r="M177" s="4" t="s">
        <v>41</v>
      </c>
      <c r="N177" s="20">
        <v>145</v>
      </c>
    </row>
    <row r="178" spans="1:14">
      <c r="A178" s="4">
        <f t="shared" si="5"/>
        <v>19030505</v>
      </c>
      <c r="B178" s="8" t="str">
        <f t="shared" si="4"/>
        <v>5</v>
      </c>
      <c r="C178" s="8">
        <v>190305</v>
      </c>
      <c r="D178" s="19" t="s">
        <v>231</v>
      </c>
      <c r="E178" s="4">
        <v>1040405001</v>
      </c>
      <c r="F178" s="4">
        <v>27</v>
      </c>
      <c r="G178" s="4">
        <v>26</v>
      </c>
      <c r="H178" s="4">
        <v>25</v>
      </c>
      <c r="I178" s="4">
        <v>24</v>
      </c>
      <c r="J178" s="4">
        <v>23</v>
      </c>
      <c r="K178" s="4">
        <v>11130505</v>
      </c>
      <c r="L178" s="4">
        <v>11000505</v>
      </c>
      <c r="M178" s="4" t="s">
        <v>41</v>
      </c>
      <c r="N178" s="20">
        <v>145</v>
      </c>
    </row>
    <row r="179" spans="1:14">
      <c r="A179" s="4">
        <f>C179*100+1</f>
        <v>19030601</v>
      </c>
      <c r="B179" s="8" t="str">
        <f t="shared" si="4"/>
        <v>1</v>
      </c>
      <c r="C179" s="8">
        <v>190306</v>
      </c>
      <c r="D179" s="19" t="s">
        <v>232</v>
      </c>
      <c r="E179" s="4">
        <v>1040405001</v>
      </c>
      <c r="F179" s="4">
        <v>32</v>
      </c>
      <c r="G179" s="4">
        <v>31</v>
      </c>
      <c r="H179" s="4">
        <v>30</v>
      </c>
      <c r="I179" s="4">
        <v>29</v>
      </c>
      <c r="J179" s="4">
        <v>28</v>
      </c>
      <c r="K179" s="4">
        <v>11130601</v>
      </c>
      <c r="L179" s="4">
        <v>11000601</v>
      </c>
      <c r="M179" s="4" t="s">
        <v>41</v>
      </c>
      <c r="N179" s="20">
        <v>160</v>
      </c>
    </row>
    <row r="180" spans="1:14">
      <c r="A180" s="4">
        <f>A179+1</f>
        <v>19030602</v>
      </c>
      <c r="B180" s="8" t="str">
        <f t="shared" si="4"/>
        <v>2</v>
      </c>
      <c r="C180" s="8">
        <v>190306</v>
      </c>
      <c r="D180" s="19" t="s">
        <v>233</v>
      </c>
      <c r="E180" s="4">
        <v>1040405001</v>
      </c>
      <c r="F180" s="4">
        <v>32</v>
      </c>
      <c r="G180" s="4">
        <v>31</v>
      </c>
      <c r="H180" s="4">
        <v>30</v>
      </c>
      <c r="I180" s="4">
        <v>29</v>
      </c>
      <c r="J180" s="4">
        <v>28</v>
      </c>
      <c r="K180" s="4">
        <v>11130602</v>
      </c>
      <c r="L180" s="4">
        <v>11000602</v>
      </c>
      <c r="M180" s="4" t="s">
        <v>41</v>
      </c>
      <c r="N180" s="20">
        <v>160</v>
      </c>
    </row>
    <row r="181" spans="1:14">
      <c r="A181" s="4">
        <f t="shared" si="5"/>
        <v>19030603</v>
      </c>
      <c r="B181" s="8" t="str">
        <f t="shared" si="4"/>
        <v>3</v>
      </c>
      <c r="C181" s="8">
        <v>190306</v>
      </c>
      <c r="D181" s="19" t="s">
        <v>234</v>
      </c>
      <c r="E181" s="4">
        <v>1040405001</v>
      </c>
      <c r="F181" s="4">
        <v>32</v>
      </c>
      <c r="G181" s="4">
        <v>31</v>
      </c>
      <c r="H181" s="4">
        <v>30</v>
      </c>
      <c r="I181" s="4">
        <v>29</v>
      </c>
      <c r="J181" s="4">
        <v>28</v>
      </c>
      <c r="K181" s="4">
        <v>11130603</v>
      </c>
      <c r="L181" s="4">
        <v>11000603</v>
      </c>
      <c r="M181" s="4" t="s">
        <v>41</v>
      </c>
      <c r="N181" s="20">
        <v>160</v>
      </c>
    </row>
    <row r="182" spans="1:14">
      <c r="A182" s="4">
        <f t="shared" si="5"/>
        <v>19030604</v>
      </c>
      <c r="B182" s="8" t="str">
        <f t="shared" si="4"/>
        <v>4</v>
      </c>
      <c r="C182" s="8">
        <v>190306</v>
      </c>
      <c r="D182" s="19" t="s">
        <v>235</v>
      </c>
      <c r="E182" s="4">
        <v>1040405001</v>
      </c>
      <c r="F182" s="4">
        <v>32</v>
      </c>
      <c r="G182" s="4">
        <v>31</v>
      </c>
      <c r="H182" s="4">
        <v>30</v>
      </c>
      <c r="I182" s="4">
        <v>29</v>
      </c>
      <c r="J182" s="4">
        <v>28</v>
      </c>
      <c r="K182" s="4">
        <v>11130604</v>
      </c>
      <c r="L182" s="4">
        <v>11000604</v>
      </c>
      <c r="M182" s="4" t="s">
        <v>41</v>
      </c>
      <c r="N182" s="20">
        <v>160</v>
      </c>
    </row>
    <row r="183" spans="1:14">
      <c r="A183" s="4">
        <f t="shared" si="5"/>
        <v>19030605</v>
      </c>
      <c r="B183" s="8" t="str">
        <f t="shared" si="4"/>
        <v>5</v>
      </c>
      <c r="C183" s="8">
        <v>190306</v>
      </c>
      <c r="D183" s="19" t="s">
        <v>236</v>
      </c>
      <c r="E183" s="4">
        <v>1040405001</v>
      </c>
      <c r="F183" s="4">
        <v>32</v>
      </c>
      <c r="G183" s="4">
        <v>31</v>
      </c>
      <c r="H183" s="4">
        <v>30</v>
      </c>
      <c r="I183" s="4">
        <v>29</v>
      </c>
      <c r="J183" s="4">
        <v>28</v>
      </c>
      <c r="K183" s="4">
        <v>11130605</v>
      </c>
      <c r="L183" s="4">
        <v>11000605</v>
      </c>
      <c r="M183" s="4" t="s">
        <v>41</v>
      </c>
      <c r="N183" s="20">
        <v>160</v>
      </c>
    </row>
    <row r="184" spans="1:14">
      <c r="A184" s="4">
        <f>C184*100+1</f>
        <v>19030701</v>
      </c>
      <c r="B184" s="8" t="str">
        <f t="shared" si="4"/>
        <v>1</v>
      </c>
      <c r="C184" s="8">
        <v>190307</v>
      </c>
      <c r="D184" s="19" t="s">
        <v>237</v>
      </c>
      <c r="E184" s="4">
        <v>1040405001</v>
      </c>
      <c r="F184" s="4">
        <v>37</v>
      </c>
      <c r="G184" s="4">
        <v>36</v>
      </c>
      <c r="H184" s="4">
        <v>35</v>
      </c>
      <c r="I184" s="4">
        <v>34</v>
      </c>
      <c r="J184" s="4">
        <v>33</v>
      </c>
      <c r="K184" s="4">
        <v>11130701</v>
      </c>
      <c r="L184" s="4">
        <v>11000701</v>
      </c>
      <c r="M184" s="4" t="s">
        <v>41</v>
      </c>
      <c r="N184" s="20">
        <v>175</v>
      </c>
    </row>
    <row r="185" spans="1:14">
      <c r="A185" s="4">
        <f>A184+1</f>
        <v>19030702</v>
      </c>
      <c r="B185" s="8" t="str">
        <f t="shared" si="4"/>
        <v>2</v>
      </c>
      <c r="C185" s="8">
        <v>190307</v>
      </c>
      <c r="D185" s="19" t="s">
        <v>238</v>
      </c>
      <c r="E185" s="4">
        <v>1040405001</v>
      </c>
      <c r="F185" s="4">
        <v>37</v>
      </c>
      <c r="G185" s="4">
        <v>36</v>
      </c>
      <c r="H185" s="4">
        <v>35</v>
      </c>
      <c r="I185" s="4">
        <v>34</v>
      </c>
      <c r="J185" s="4">
        <v>33</v>
      </c>
      <c r="K185" s="4">
        <v>11130702</v>
      </c>
      <c r="L185" s="4">
        <v>11000702</v>
      </c>
      <c r="M185" s="4" t="s">
        <v>41</v>
      </c>
      <c r="N185" s="20">
        <v>175</v>
      </c>
    </row>
    <row r="186" spans="1:14">
      <c r="A186" s="4">
        <f t="shared" si="5"/>
        <v>19030703</v>
      </c>
      <c r="B186" s="8" t="str">
        <f t="shared" si="4"/>
        <v>3</v>
      </c>
      <c r="C186" s="8">
        <v>190307</v>
      </c>
      <c r="D186" s="19" t="s">
        <v>239</v>
      </c>
      <c r="E186" s="4">
        <v>1040405001</v>
      </c>
      <c r="F186" s="4">
        <v>37</v>
      </c>
      <c r="G186" s="4">
        <v>36</v>
      </c>
      <c r="H186" s="4">
        <v>35</v>
      </c>
      <c r="I186" s="4">
        <v>34</v>
      </c>
      <c r="J186" s="4">
        <v>33</v>
      </c>
      <c r="K186" s="4">
        <v>11130703</v>
      </c>
      <c r="L186" s="4">
        <v>11000703</v>
      </c>
      <c r="M186" s="4" t="s">
        <v>41</v>
      </c>
      <c r="N186" s="20">
        <v>175</v>
      </c>
    </row>
    <row r="187" spans="1:14">
      <c r="A187" s="4">
        <f t="shared" si="5"/>
        <v>19030704</v>
      </c>
      <c r="B187" s="8" t="str">
        <f t="shared" si="4"/>
        <v>4</v>
      </c>
      <c r="C187" s="8">
        <v>190307</v>
      </c>
      <c r="D187" s="19" t="s">
        <v>240</v>
      </c>
      <c r="E187" s="4">
        <v>1040405001</v>
      </c>
      <c r="F187" s="4">
        <v>37</v>
      </c>
      <c r="G187" s="4">
        <v>36</v>
      </c>
      <c r="H187" s="4">
        <v>35</v>
      </c>
      <c r="I187" s="4">
        <v>34</v>
      </c>
      <c r="J187" s="4">
        <v>33</v>
      </c>
      <c r="K187" s="4">
        <v>11130704</v>
      </c>
      <c r="L187" s="4">
        <v>11000704</v>
      </c>
      <c r="M187" s="4" t="s">
        <v>41</v>
      </c>
      <c r="N187" s="20">
        <v>175</v>
      </c>
    </row>
    <row r="188" spans="1:14">
      <c r="A188" s="4">
        <f t="shared" si="5"/>
        <v>19030705</v>
      </c>
      <c r="B188" s="8" t="str">
        <f t="shared" si="4"/>
        <v>5</v>
      </c>
      <c r="C188" s="8">
        <v>190307</v>
      </c>
      <c r="D188" s="19" t="s">
        <v>241</v>
      </c>
      <c r="E188" s="4">
        <v>1040405001</v>
      </c>
      <c r="F188" s="4">
        <v>37</v>
      </c>
      <c r="G188" s="4">
        <v>36</v>
      </c>
      <c r="H188" s="4">
        <v>35</v>
      </c>
      <c r="I188" s="4">
        <v>34</v>
      </c>
      <c r="J188" s="4">
        <v>33</v>
      </c>
      <c r="K188" s="4">
        <v>11130705</v>
      </c>
      <c r="L188" s="4">
        <v>11000705</v>
      </c>
      <c r="M188" s="4" t="s">
        <v>41</v>
      </c>
      <c r="N188" s="20">
        <v>175</v>
      </c>
    </row>
    <row r="189" spans="1:14">
      <c r="A189" s="4">
        <f>C189*100+1</f>
        <v>19030801</v>
      </c>
      <c r="B189" s="8" t="str">
        <f t="shared" si="4"/>
        <v>1</v>
      </c>
      <c r="C189" s="8">
        <v>190308</v>
      </c>
      <c r="D189" s="19" t="s">
        <v>242</v>
      </c>
      <c r="E189" s="4">
        <v>1040405001</v>
      </c>
      <c r="F189" s="4">
        <v>42</v>
      </c>
      <c r="G189" s="4">
        <v>41</v>
      </c>
      <c r="H189" s="4">
        <v>40</v>
      </c>
      <c r="I189" s="4">
        <v>39</v>
      </c>
      <c r="J189" s="4">
        <v>38</v>
      </c>
      <c r="K189" s="4">
        <v>11130801</v>
      </c>
      <c r="L189" s="4">
        <v>11000801</v>
      </c>
      <c r="M189" s="4" t="s">
        <v>41</v>
      </c>
      <c r="N189" s="20">
        <v>190</v>
      </c>
    </row>
    <row r="190" spans="1:14">
      <c r="A190" s="4">
        <f>A189+1</f>
        <v>19030802</v>
      </c>
      <c r="B190" s="8" t="str">
        <f t="shared" si="4"/>
        <v>2</v>
      </c>
      <c r="C190" s="8">
        <v>190308</v>
      </c>
      <c r="D190" s="19" t="s">
        <v>243</v>
      </c>
      <c r="E190" s="4">
        <v>1040405001</v>
      </c>
      <c r="F190" s="4">
        <v>42</v>
      </c>
      <c r="G190" s="4">
        <v>41</v>
      </c>
      <c r="H190" s="4">
        <v>40</v>
      </c>
      <c r="I190" s="4">
        <v>39</v>
      </c>
      <c r="J190" s="4">
        <v>38</v>
      </c>
      <c r="K190" s="4">
        <v>11130802</v>
      </c>
      <c r="L190" s="4">
        <v>11000802</v>
      </c>
      <c r="M190" s="4" t="s">
        <v>41</v>
      </c>
      <c r="N190" s="20">
        <v>190</v>
      </c>
    </row>
    <row r="191" spans="1:14">
      <c r="A191" s="4">
        <f t="shared" si="5"/>
        <v>19030803</v>
      </c>
      <c r="B191" s="8" t="str">
        <f t="shared" si="4"/>
        <v>3</v>
      </c>
      <c r="C191" s="8">
        <v>190308</v>
      </c>
      <c r="D191" s="19" t="s">
        <v>244</v>
      </c>
      <c r="E191" s="4">
        <v>1040405001</v>
      </c>
      <c r="F191" s="4">
        <v>42</v>
      </c>
      <c r="G191" s="4">
        <v>41</v>
      </c>
      <c r="H191" s="4">
        <v>40</v>
      </c>
      <c r="I191" s="4">
        <v>39</v>
      </c>
      <c r="J191" s="4">
        <v>38</v>
      </c>
      <c r="K191" s="4">
        <v>11130803</v>
      </c>
      <c r="L191" s="4">
        <v>11000803</v>
      </c>
      <c r="M191" s="4" t="s">
        <v>41</v>
      </c>
      <c r="N191" s="20">
        <v>190</v>
      </c>
    </row>
    <row r="192" spans="1:14">
      <c r="A192" s="4">
        <f t="shared" si="5"/>
        <v>19030804</v>
      </c>
      <c r="B192" s="8" t="str">
        <f t="shared" si="4"/>
        <v>4</v>
      </c>
      <c r="C192" s="8">
        <v>190308</v>
      </c>
      <c r="D192" s="19" t="s">
        <v>245</v>
      </c>
      <c r="E192" s="4">
        <v>1040405001</v>
      </c>
      <c r="F192" s="4">
        <v>42</v>
      </c>
      <c r="G192" s="4">
        <v>41</v>
      </c>
      <c r="H192" s="4">
        <v>40</v>
      </c>
      <c r="I192" s="4">
        <v>39</v>
      </c>
      <c r="J192" s="4">
        <v>38</v>
      </c>
      <c r="K192" s="4">
        <v>11130804</v>
      </c>
      <c r="L192" s="4">
        <v>11000804</v>
      </c>
      <c r="M192" s="4" t="s">
        <v>41</v>
      </c>
      <c r="N192" s="20">
        <v>190</v>
      </c>
    </row>
    <row r="193" spans="1:14">
      <c r="A193" s="4">
        <f t="shared" si="5"/>
        <v>19030805</v>
      </c>
      <c r="B193" s="8" t="str">
        <f t="shared" si="4"/>
        <v>5</v>
      </c>
      <c r="C193" s="8">
        <v>190308</v>
      </c>
      <c r="D193" s="19" t="s">
        <v>246</v>
      </c>
      <c r="E193" s="4">
        <v>1040405001</v>
      </c>
      <c r="F193" s="4">
        <v>42</v>
      </c>
      <c r="G193" s="4">
        <v>41</v>
      </c>
      <c r="H193" s="4">
        <v>40</v>
      </c>
      <c r="I193" s="4">
        <v>39</v>
      </c>
      <c r="J193" s="4">
        <v>38</v>
      </c>
      <c r="K193" s="4">
        <v>11130805</v>
      </c>
      <c r="L193" s="4">
        <v>11000805</v>
      </c>
      <c r="M193" s="4" t="s">
        <v>41</v>
      </c>
      <c r="N193" s="20">
        <v>190</v>
      </c>
    </row>
    <row r="194" spans="1:14">
      <c r="A194" s="4">
        <f>C194*100+1</f>
        <v>19030901</v>
      </c>
      <c r="B194" s="8" t="str">
        <f t="shared" si="4"/>
        <v>1</v>
      </c>
      <c r="C194" s="8">
        <v>190309</v>
      </c>
      <c r="D194" s="19" t="s">
        <v>247</v>
      </c>
      <c r="E194" s="4">
        <v>1040405001</v>
      </c>
      <c r="F194" s="4">
        <v>47</v>
      </c>
      <c r="G194" s="4">
        <v>46</v>
      </c>
      <c r="H194" s="4">
        <v>45</v>
      </c>
      <c r="I194" s="4">
        <v>44</v>
      </c>
      <c r="J194" s="4">
        <v>43</v>
      </c>
      <c r="K194" s="4">
        <v>11130901</v>
      </c>
      <c r="L194" s="4">
        <v>11000901</v>
      </c>
      <c r="M194" s="4" t="s">
        <v>41</v>
      </c>
      <c r="N194" s="20">
        <v>205</v>
      </c>
    </row>
    <row r="195" spans="1:14">
      <c r="A195" s="4">
        <f>A194+1</f>
        <v>19030902</v>
      </c>
      <c r="B195" s="8" t="str">
        <f t="shared" si="4"/>
        <v>2</v>
      </c>
      <c r="C195" s="8">
        <v>190309</v>
      </c>
      <c r="D195" s="19" t="s">
        <v>248</v>
      </c>
      <c r="E195" s="4">
        <v>1040405001</v>
      </c>
      <c r="F195" s="4">
        <v>47</v>
      </c>
      <c r="G195" s="4">
        <v>46</v>
      </c>
      <c r="H195" s="4">
        <v>45</v>
      </c>
      <c r="I195" s="4">
        <v>44</v>
      </c>
      <c r="J195" s="4">
        <v>43</v>
      </c>
      <c r="K195" s="4">
        <v>11130902</v>
      </c>
      <c r="L195" s="4">
        <v>11000902</v>
      </c>
      <c r="M195" s="4" t="s">
        <v>41</v>
      </c>
      <c r="N195" s="20">
        <v>205</v>
      </c>
    </row>
    <row r="196" spans="1:14">
      <c r="A196" s="4">
        <f t="shared" si="5"/>
        <v>19030903</v>
      </c>
      <c r="B196" s="8" t="str">
        <f t="shared" si="4"/>
        <v>3</v>
      </c>
      <c r="C196" s="8">
        <v>190309</v>
      </c>
      <c r="D196" s="19" t="s">
        <v>249</v>
      </c>
      <c r="E196" s="4">
        <v>1040405001</v>
      </c>
      <c r="F196" s="4">
        <v>47</v>
      </c>
      <c r="G196" s="4">
        <v>46</v>
      </c>
      <c r="H196" s="4">
        <v>45</v>
      </c>
      <c r="I196" s="4">
        <v>44</v>
      </c>
      <c r="J196" s="4">
        <v>43</v>
      </c>
      <c r="K196" s="4">
        <v>11130903</v>
      </c>
      <c r="L196" s="4">
        <v>11000903</v>
      </c>
      <c r="M196" s="4" t="s">
        <v>41</v>
      </c>
      <c r="N196" s="20">
        <v>205</v>
      </c>
    </row>
    <row r="197" spans="1:14">
      <c r="A197" s="4">
        <f t="shared" si="5"/>
        <v>19030904</v>
      </c>
      <c r="B197" s="8" t="str">
        <f t="shared" ref="B197:B228" si="6">RIGHT(A197,1)</f>
        <v>4</v>
      </c>
      <c r="C197" s="8">
        <v>190309</v>
      </c>
      <c r="D197" s="19" t="s">
        <v>250</v>
      </c>
      <c r="E197" s="4">
        <v>1040405001</v>
      </c>
      <c r="F197" s="4">
        <v>47</v>
      </c>
      <c r="G197" s="4">
        <v>46</v>
      </c>
      <c r="H197" s="4">
        <v>45</v>
      </c>
      <c r="I197" s="4">
        <v>44</v>
      </c>
      <c r="J197" s="4">
        <v>43</v>
      </c>
      <c r="K197" s="4">
        <v>11130904</v>
      </c>
      <c r="L197" s="4">
        <v>11000904</v>
      </c>
      <c r="M197" s="4" t="s">
        <v>41</v>
      </c>
      <c r="N197" s="20">
        <v>205</v>
      </c>
    </row>
    <row r="198" spans="1:14">
      <c r="A198" s="4">
        <f t="shared" si="5"/>
        <v>19030905</v>
      </c>
      <c r="B198" s="8" t="str">
        <f t="shared" si="6"/>
        <v>5</v>
      </c>
      <c r="C198" s="8">
        <v>190309</v>
      </c>
      <c r="D198" s="19" t="s">
        <v>251</v>
      </c>
      <c r="E198" s="4">
        <v>1040405001</v>
      </c>
      <c r="F198" s="4">
        <v>47</v>
      </c>
      <c r="G198" s="4">
        <v>46</v>
      </c>
      <c r="H198" s="4">
        <v>45</v>
      </c>
      <c r="I198" s="4">
        <v>44</v>
      </c>
      <c r="J198" s="4">
        <v>43</v>
      </c>
      <c r="K198" s="4">
        <v>11130905</v>
      </c>
      <c r="L198" s="4">
        <v>11000905</v>
      </c>
      <c r="M198" s="4" t="s">
        <v>41</v>
      </c>
      <c r="N198" s="20">
        <v>205</v>
      </c>
    </row>
    <row r="199" spans="1:14">
      <c r="A199" s="4">
        <f>C199*100+1</f>
        <v>19031001</v>
      </c>
      <c r="B199" s="8" t="str">
        <f t="shared" si="6"/>
        <v>1</v>
      </c>
      <c r="C199" s="8">
        <v>190310</v>
      </c>
      <c r="D199" s="19" t="s">
        <v>252</v>
      </c>
      <c r="E199" s="4">
        <v>1040405001</v>
      </c>
      <c r="F199" s="4">
        <v>52</v>
      </c>
      <c r="G199" s="4">
        <v>51</v>
      </c>
      <c r="H199" s="4">
        <v>50</v>
      </c>
      <c r="I199" s="4">
        <v>49</v>
      </c>
      <c r="J199" s="4">
        <v>48</v>
      </c>
      <c r="K199" s="4">
        <v>11131001</v>
      </c>
      <c r="L199" s="4">
        <v>11001001</v>
      </c>
      <c r="M199" s="4" t="s">
        <v>41</v>
      </c>
      <c r="N199" s="20">
        <v>220</v>
      </c>
    </row>
    <row r="200" spans="1:14">
      <c r="A200" s="4">
        <f>A199+1</f>
        <v>19031002</v>
      </c>
      <c r="B200" s="8" t="str">
        <f t="shared" si="6"/>
        <v>2</v>
      </c>
      <c r="C200" s="8">
        <v>190310</v>
      </c>
      <c r="D200" s="19" t="s">
        <v>253</v>
      </c>
      <c r="E200" s="4">
        <v>1040405001</v>
      </c>
      <c r="F200" s="4">
        <v>52</v>
      </c>
      <c r="G200" s="4">
        <v>51</v>
      </c>
      <c r="H200" s="4">
        <v>50</v>
      </c>
      <c r="I200" s="4">
        <v>49</v>
      </c>
      <c r="J200" s="4">
        <v>48</v>
      </c>
      <c r="K200" s="4">
        <v>11131002</v>
      </c>
      <c r="L200" s="4">
        <v>11001002</v>
      </c>
      <c r="M200" s="4" t="s">
        <v>41</v>
      </c>
      <c r="N200" s="20">
        <v>220</v>
      </c>
    </row>
    <row r="201" spans="1:14">
      <c r="A201" s="4">
        <f t="shared" si="5"/>
        <v>19031003</v>
      </c>
      <c r="B201" s="8" t="str">
        <f t="shared" si="6"/>
        <v>3</v>
      </c>
      <c r="C201" s="8">
        <v>190310</v>
      </c>
      <c r="D201" s="19" t="s">
        <v>254</v>
      </c>
      <c r="E201" s="4">
        <v>1040405001</v>
      </c>
      <c r="F201" s="4">
        <v>52</v>
      </c>
      <c r="G201" s="4">
        <v>51</v>
      </c>
      <c r="H201" s="4">
        <v>50</v>
      </c>
      <c r="I201" s="4">
        <v>49</v>
      </c>
      <c r="J201" s="4">
        <v>48</v>
      </c>
      <c r="K201" s="4">
        <v>11131003</v>
      </c>
      <c r="L201" s="4">
        <v>11001003</v>
      </c>
      <c r="M201" s="4" t="s">
        <v>41</v>
      </c>
      <c r="N201" s="20">
        <v>220</v>
      </c>
    </row>
    <row r="202" spans="1:14">
      <c r="A202" s="4">
        <f t="shared" si="5"/>
        <v>19031004</v>
      </c>
      <c r="B202" s="8" t="str">
        <f t="shared" si="6"/>
        <v>4</v>
      </c>
      <c r="C202" s="8">
        <v>190310</v>
      </c>
      <c r="D202" s="19" t="s">
        <v>255</v>
      </c>
      <c r="E202" s="4">
        <v>1040405001</v>
      </c>
      <c r="F202" s="4">
        <v>52</v>
      </c>
      <c r="G202" s="4">
        <v>51</v>
      </c>
      <c r="H202" s="4">
        <v>50</v>
      </c>
      <c r="I202" s="4">
        <v>49</v>
      </c>
      <c r="J202" s="4">
        <v>48</v>
      </c>
      <c r="K202" s="4">
        <v>11131004</v>
      </c>
      <c r="L202" s="4">
        <v>11001004</v>
      </c>
      <c r="M202" s="4" t="s">
        <v>41</v>
      </c>
      <c r="N202" s="20">
        <v>220</v>
      </c>
    </row>
    <row r="203" spans="1:14">
      <c r="A203" s="4">
        <f t="shared" si="5"/>
        <v>19031005</v>
      </c>
      <c r="B203" s="8" t="str">
        <f t="shared" si="6"/>
        <v>5</v>
      </c>
      <c r="C203" s="8">
        <v>190310</v>
      </c>
      <c r="D203" s="19" t="s">
        <v>256</v>
      </c>
      <c r="E203" s="4">
        <v>1040405001</v>
      </c>
      <c r="F203" s="4">
        <v>52</v>
      </c>
      <c r="G203" s="4">
        <v>51</v>
      </c>
      <c r="H203" s="4">
        <v>50</v>
      </c>
      <c r="I203" s="4">
        <v>49</v>
      </c>
      <c r="J203" s="4">
        <v>48</v>
      </c>
      <c r="K203" s="4">
        <v>11131005</v>
      </c>
      <c r="L203" s="4">
        <v>11001005</v>
      </c>
      <c r="M203" s="4" t="s">
        <v>41</v>
      </c>
      <c r="N203" s="20">
        <v>220</v>
      </c>
    </row>
    <row r="204" spans="1:14">
      <c r="A204" s="4">
        <f>C204*100+1</f>
        <v>19031101</v>
      </c>
      <c r="B204" s="8" t="str">
        <f t="shared" si="6"/>
        <v>1</v>
      </c>
      <c r="C204" s="8">
        <v>190311</v>
      </c>
      <c r="D204" s="19" t="s">
        <v>257</v>
      </c>
      <c r="E204" s="4">
        <v>1040405001</v>
      </c>
      <c r="F204" s="4">
        <v>57</v>
      </c>
      <c r="G204" s="4">
        <v>56</v>
      </c>
      <c r="H204" s="4">
        <v>55</v>
      </c>
      <c r="I204" s="4">
        <v>54</v>
      </c>
      <c r="J204" s="4">
        <v>53</v>
      </c>
      <c r="K204" s="4">
        <v>11131101</v>
      </c>
      <c r="L204" s="4">
        <v>11001101</v>
      </c>
      <c r="M204" s="4" t="s">
        <v>41</v>
      </c>
      <c r="N204" s="20">
        <v>235</v>
      </c>
    </row>
    <row r="205" spans="1:14">
      <c r="A205" s="4">
        <f t="shared" ref="A205:A228" si="7">A204+1</f>
        <v>19031102</v>
      </c>
      <c r="B205" s="8" t="str">
        <f t="shared" si="6"/>
        <v>2</v>
      </c>
      <c r="C205" s="8">
        <v>190311</v>
      </c>
      <c r="D205" s="19" t="s">
        <v>258</v>
      </c>
      <c r="E205" s="4">
        <v>1040405001</v>
      </c>
      <c r="F205" s="4">
        <v>57</v>
      </c>
      <c r="G205" s="4">
        <v>56</v>
      </c>
      <c r="H205" s="4">
        <v>55</v>
      </c>
      <c r="I205" s="4">
        <v>54</v>
      </c>
      <c r="J205" s="4">
        <v>53</v>
      </c>
      <c r="K205" s="4">
        <v>11131102</v>
      </c>
      <c r="L205" s="4">
        <v>11001102</v>
      </c>
      <c r="M205" s="4" t="s">
        <v>41</v>
      </c>
      <c r="N205" s="20">
        <v>235</v>
      </c>
    </row>
    <row r="206" spans="1:14">
      <c r="A206" s="4">
        <f t="shared" si="7"/>
        <v>19031103</v>
      </c>
      <c r="B206" s="8" t="str">
        <f t="shared" si="6"/>
        <v>3</v>
      </c>
      <c r="C206" s="8">
        <v>190311</v>
      </c>
      <c r="D206" s="19" t="s">
        <v>259</v>
      </c>
      <c r="E206" s="4">
        <v>1040405001</v>
      </c>
      <c r="F206" s="4">
        <v>57</v>
      </c>
      <c r="G206" s="4">
        <v>56</v>
      </c>
      <c r="H206" s="4">
        <v>55</v>
      </c>
      <c r="I206" s="4">
        <v>54</v>
      </c>
      <c r="J206" s="4">
        <v>53</v>
      </c>
      <c r="K206" s="4">
        <v>11131103</v>
      </c>
      <c r="L206" s="4">
        <v>11001103</v>
      </c>
      <c r="M206" s="4" t="s">
        <v>41</v>
      </c>
      <c r="N206" s="20">
        <v>235</v>
      </c>
    </row>
    <row r="207" spans="1:14">
      <c r="A207" s="4">
        <f t="shared" si="7"/>
        <v>19031104</v>
      </c>
      <c r="B207" s="8" t="str">
        <f t="shared" si="6"/>
        <v>4</v>
      </c>
      <c r="C207" s="8">
        <v>190311</v>
      </c>
      <c r="D207" s="19" t="s">
        <v>260</v>
      </c>
      <c r="E207" s="4">
        <v>1040405001</v>
      </c>
      <c r="F207" s="4">
        <v>57</v>
      </c>
      <c r="G207" s="4">
        <v>56</v>
      </c>
      <c r="H207" s="4">
        <v>55</v>
      </c>
      <c r="I207" s="4">
        <v>54</v>
      </c>
      <c r="J207" s="4">
        <v>53</v>
      </c>
      <c r="K207" s="4">
        <v>11131104</v>
      </c>
      <c r="L207" s="4">
        <v>11001104</v>
      </c>
      <c r="M207" s="4" t="s">
        <v>41</v>
      </c>
      <c r="N207" s="20">
        <v>235</v>
      </c>
    </row>
    <row r="208" spans="1:14">
      <c r="A208" s="4">
        <f t="shared" si="7"/>
        <v>19031105</v>
      </c>
      <c r="B208" s="8" t="str">
        <f t="shared" si="6"/>
        <v>5</v>
      </c>
      <c r="C208" s="8">
        <v>190311</v>
      </c>
      <c r="D208" s="19" t="s">
        <v>261</v>
      </c>
      <c r="E208" s="4">
        <v>1040405001</v>
      </c>
      <c r="F208" s="4">
        <v>57</v>
      </c>
      <c r="G208" s="4">
        <v>56</v>
      </c>
      <c r="H208" s="4">
        <v>55</v>
      </c>
      <c r="I208" s="4">
        <v>54</v>
      </c>
      <c r="J208" s="4">
        <v>53</v>
      </c>
      <c r="K208" s="4">
        <v>11131105</v>
      </c>
      <c r="L208" s="4">
        <v>11001105</v>
      </c>
      <c r="M208" s="4" t="s">
        <v>41</v>
      </c>
      <c r="N208" s="20">
        <v>235</v>
      </c>
    </row>
    <row r="209" spans="1:14">
      <c r="A209" s="4">
        <f>C209*100+1</f>
        <v>19031201</v>
      </c>
      <c r="B209" s="8" t="str">
        <f t="shared" si="6"/>
        <v>1</v>
      </c>
      <c r="C209" s="8">
        <v>190312</v>
      </c>
      <c r="D209" s="19" t="s">
        <v>262</v>
      </c>
      <c r="E209" s="4">
        <v>1040405001</v>
      </c>
      <c r="F209" s="4">
        <v>62</v>
      </c>
      <c r="G209" s="4">
        <v>61</v>
      </c>
      <c r="H209" s="4">
        <v>60</v>
      </c>
      <c r="I209" s="4">
        <v>59</v>
      </c>
      <c r="J209" s="4">
        <v>58</v>
      </c>
      <c r="K209" s="4">
        <v>11131201</v>
      </c>
      <c r="L209" s="4">
        <v>11001201</v>
      </c>
      <c r="M209" s="4" t="s">
        <v>41</v>
      </c>
      <c r="N209" s="20">
        <v>250</v>
      </c>
    </row>
    <row r="210" spans="1:14">
      <c r="A210" s="4">
        <f>A209+1</f>
        <v>19031202</v>
      </c>
      <c r="B210" s="8" t="str">
        <f t="shared" si="6"/>
        <v>2</v>
      </c>
      <c r="C210" s="8">
        <v>190312</v>
      </c>
      <c r="D210" s="19" t="s">
        <v>263</v>
      </c>
      <c r="E210" s="4">
        <v>1040405001</v>
      </c>
      <c r="F210" s="4">
        <v>62</v>
      </c>
      <c r="G210" s="4">
        <v>61</v>
      </c>
      <c r="H210" s="4">
        <v>60</v>
      </c>
      <c r="I210" s="4">
        <v>59</v>
      </c>
      <c r="J210" s="4">
        <v>58</v>
      </c>
      <c r="K210" s="4">
        <v>11131202</v>
      </c>
      <c r="L210" s="4">
        <v>11001202</v>
      </c>
      <c r="M210" s="4" t="s">
        <v>41</v>
      </c>
      <c r="N210" s="20">
        <v>250</v>
      </c>
    </row>
    <row r="211" spans="1:14">
      <c r="A211" s="4">
        <f t="shared" si="7"/>
        <v>19031203</v>
      </c>
      <c r="B211" s="8" t="str">
        <f t="shared" si="6"/>
        <v>3</v>
      </c>
      <c r="C211" s="8">
        <v>190312</v>
      </c>
      <c r="D211" s="19" t="s">
        <v>264</v>
      </c>
      <c r="E211" s="4">
        <v>1040405001</v>
      </c>
      <c r="F211" s="4">
        <v>62</v>
      </c>
      <c r="G211" s="4">
        <v>61</v>
      </c>
      <c r="H211" s="4">
        <v>60</v>
      </c>
      <c r="I211" s="4">
        <v>59</v>
      </c>
      <c r="J211" s="4">
        <v>58</v>
      </c>
      <c r="K211" s="4">
        <v>11131203</v>
      </c>
      <c r="L211" s="4">
        <v>11001203</v>
      </c>
      <c r="M211" s="4" t="s">
        <v>41</v>
      </c>
      <c r="N211" s="20">
        <v>250</v>
      </c>
    </row>
    <row r="212" spans="1:14">
      <c r="A212" s="4">
        <f t="shared" si="7"/>
        <v>19031204</v>
      </c>
      <c r="B212" s="8" t="str">
        <f t="shared" si="6"/>
        <v>4</v>
      </c>
      <c r="C212" s="8">
        <v>190312</v>
      </c>
      <c r="D212" s="19" t="s">
        <v>265</v>
      </c>
      <c r="E212" s="4">
        <v>1040405001</v>
      </c>
      <c r="F212" s="4">
        <v>62</v>
      </c>
      <c r="G212" s="4">
        <v>61</v>
      </c>
      <c r="H212" s="4">
        <v>60</v>
      </c>
      <c r="I212" s="4">
        <v>59</v>
      </c>
      <c r="J212" s="4">
        <v>58</v>
      </c>
      <c r="K212" s="4">
        <v>11131204</v>
      </c>
      <c r="L212" s="4">
        <v>11001204</v>
      </c>
      <c r="M212" s="4" t="s">
        <v>41</v>
      </c>
      <c r="N212" s="20">
        <v>250</v>
      </c>
    </row>
    <row r="213" spans="1:14">
      <c r="A213" s="4">
        <f t="shared" si="7"/>
        <v>19031205</v>
      </c>
      <c r="B213" s="8" t="str">
        <f t="shared" si="6"/>
        <v>5</v>
      </c>
      <c r="C213" s="8">
        <v>190312</v>
      </c>
      <c r="D213" s="19" t="s">
        <v>266</v>
      </c>
      <c r="E213" s="4">
        <v>1040405001</v>
      </c>
      <c r="F213" s="4">
        <v>62</v>
      </c>
      <c r="G213" s="4">
        <v>61</v>
      </c>
      <c r="H213" s="4">
        <v>60</v>
      </c>
      <c r="I213" s="4">
        <v>59</v>
      </c>
      <c r="J213" s="4">
        <v>58</v>
      </c>
      <c r="K213" s="4">
        <v>11131205</v>
      </c>
      <c r="L213" s="4">
        <v>11001205</v>
      </c>
      <c r="M213" s="4" t="s">
        <v>41</v>
      </c>
      <c r="N213" s="20">
        <v>250</v>
      </c>
    </row>
    <row r="214" spans="1:14">
      <c r="A214" s="4">
        <f>C214*100+1</f>
        <v>19031301</v>
      </c>
      <c r="B214" s="8" t="str">
        <f t="shared" si="6"/>
        <v>1</v>
      </c>
      <c r="C214" s="8">
        <v>190313</v>
      </c>
      <c r="D214" s="19" t="s">
        <v>267</v>
      </c>
      <c r="E214" s="4">
        <v>1040405001</v>
      </c>
      <c r="F214" s="4">
        <v>67</v>
      </c>
      <c r="G214" s="4">
        <v>66</v>
      </c>
      <c r="H214" s="4">
        <v>65</v>
      </c>
      <c r="I214" s="4">
        <v>64</v>
      </c>
      <c r="J214" s="4">
        <v>63</v>
      </c>
      <c r="K214" s="4">
        <v>11131301</v>
      </c>
      <c r="L214" s="4">
        <v>11001301</v>
      </c>
      <c r="M214" s="4" t="s">
        <v>41</v>
      </c>
      <c r="N214" s="20">
        <v>265</v>
      </c>
    </row>
    <row r="215" spans="1:14">
      <c r="A215" s="4">
        <f>A214+1</f>
        <v>19031302</v>
      </c>
      <c r="B215" s="8" t="str">
        <f t="shared" si="6"/>
        <v>2</v>
      </c>
      <c r="C215" s="8">
        <v>190313</v>
      </c>
      <c r="D215" s="19" t="s">
        <v>268</v>
      </c>
      <c r="E215" s="4">
        <v>1040405001</v>
      </c>
      <c r="F215" s="4">
        <v>67</v>
      </c>
      <c r="G215" s="4">
        <v>66</v>
      </c>
      <c r="H215" s="4">
        <v>65</v>
      </c>
      <c r="I215" s="4">
        <v>64</v>
      </c>
      <c r="J215" s="4">
        <v>63</v>
      </c>
      <c r="K215" s="4">
        <v>11131302</v>
      </c>
      <c r="L215" s="4">
        <v>11001302</v>
      </c>
      <c r="M215" s="4" t="s">
        <v>41</v>
      </c>
      <c r="N215" s="20">
        <v>265</v>
      </c>
    </row>
    <row r="216" spans="1:14">
      <c r="A216" s="4">
        <f t="shared" si="7"/>
        <v>19031303</v>
      </c>
      <c r="B216" s="8" t="str">
        <f t="shared" si="6"/>
        <v>3</v>
      </c>
      <c r="C216" s="8">
        <v>190313</v>
      </c>
      <c r="D216" s="19" t="s">
        <v>269</v>
      </c>
      <c r="E216" s="4">
        <v>1040405001</v>
      </c>
      <c r="F216" s="4">
        <v>67</v>
      </c>
      <c r="G216" s="4">
        <v>66</v>
      </c>
      <c r="H216" s="4">
        <v>65</v>
      </c>
      <c r="I216" s="4">
        <v>64</v>
      </c>
      <c r="J216" s="4">
        <v>63</v>
      </c>
      <c r="K216" s="4">
        <v>11131303</v>
      </c>
      <c r="L216" s="4">
        <v>11001303</v>
      </c>
      <c r="M216" s="4" t="s">
        <v>41</v>
      </c>
      <c r="N216" s="20">
        <v>265</v>
      </c>
    </row>
    <row r="217" spans="1:14">
      <c r="A217" s="4">
        <f t="shared" si="7"/>
        <v>19031304</v>
      </c>
      <c r="B217" s="8" t="str">
        <f t="shared" si="6"/>
        <v>4</v>
      </c>
      <c r="C217" s="8">
        <v>190313</v>
      </c>
      <c r="D217" s="19" t="s">
        <v>270</v>
      </c>
      <c r="E217" s="4">
        <v>1040405001</v>
      </c>
      <c r="F217" s="4">
        <v>67</v>
      </c>
      <c r="G217" s="4">
        <v>66</v>
      </c>
      <c r="H217" s="4">
        <v>65</v>
      </c>
      <c r="I217" s="4">
        <v>64</v>
      </c>
      <c r="J217" s="4">
        <v>63</v>
      </c>
      <c r="K217" s="4">
        <v>11131304</v>
      </c>
      <c r="L217" s="4">
        <v>11001304</v>
      </c>
      <c r="M217" s="4" t="s">
        <v>41</v>
      </c>
      <c r="N217" s="20">
        <v>265</v>
      </c>
    </row>
    <row r="218" spans="1:14">
      <c r="A218" s="4">
        <f t="shared" si="7"/>
        <v>19031305</v>
      </c>
      <c r="B218" s="8" t="str">
        <f t="shared" si="6"/>
        <v>5</v>
      </c>
      <c r="C218" s="8">
        <v>190313</v>
      </c>
      <c r="D218" s="19" t="s">
        <v>271</v>
      </c>
      <c r="E218" s="4">
        <v>1040405001</v>
      </c>
      <c r="F218" s="4">
        <v>67</v>
      </c>
      <c r="G218" s="4">
        <v>66</v>
      </c>
      <c r="H218" s="4">
        <v>65</v>
      </c>
      <c r="I218" s="4">
        <v>64</v>
      </c>
      <c r="J218" s="4">
        <v>63</v>
      </c>
      <c r="K218" s="4">
        <v>11131305</v>
      </c>
      <c r="L218" s="4">
        <v>11001305</v>
      </c>
      <c r="M218" s="4" t="s">
        <v>41</v>
      </c>
      <c r="N218" s="20">
        <v>265</v>
      </c>
    </row>
    <row r="219" spans="1:14">
      <c r="A219" s="4">
        <f>C219*100+1</f>
        <v>19031401</v>
      </c>
      <c r="B219" s="8" t="str">
        <f t="shared" si="6"/>
        <v>1</v>
      </c>
      <c r="C219" s="8">
        <v>190314</v>
      </c>
      <c r="D219" s="19" t="s">
        <v>272</v>
      </c>
      <c r="E219" s="4">
        <v>1040405001</v>
      </c>
      <c r="F219" s="4">
        <v>72</v>
      </c>
      <c r="G219" s="4">
        <v>71</v>
      </c>
      <c r="H219" s="4">
        <v>70</v>
      </c>
      <c r="I219" s="4">
        <v>69</v>
      </c>
      <c r="J219" s="4">
        <v>68</v>
      </c>
      <c r="K219" s="4">
        <v>11131401</v>
      </c>
      <c r="L219" s="4">
        <v>11001401</v>
      </c>
      <c r="M219" s="4" t="s">
        <v>41</v>
      </c>
      <c r="N219" s="20">
        <v>280</v>
      </c>
    </row>
    <row r="220" spans="1:14">
      <c r="A220" s="4">
        <f>A219+1</f>
        <v>19031402</v>
      </c>
      <c r="B220" s="8" t="str">
        <f t="shared" si="6"/>
        <v>2</v>
      </c>
      <c r="C220" s="8">
        <v>190314</v>
      </c>
      <c r="D220" s="19" t="s">
        <v>273</v>
      </c>
      <c r="E220" s="4">
        <v>1040405001</v>
      </c>
      <c r="F220" s="4">
        <v>72</v>
      </c>
      <c r="G220" s="4">
        <v>71</v>
      </c>
      <c r="H220" s="4">
        <v>70</v>
      </c>
      <c r="I220" s="4">
        <v>69</v>
      </c>
      <c r="J220" s="4">
        <v>68</v>
      </c>
      <c r="K220" s="4">
        <v>11131402</v>
      </c>
      <c r="L220" s="4">
        <v>11001402</v>
      </c>
      <c r="M220" s="4" t="s">
        <v>41</v>
      </c>
      <c r="N220" s="20">
        <v>280</v>
      </c>
    </row>
    <row r="221" spans="1:14">
      <c r="A221" s="4">
        <f t="shared" si="7"/>
        <v>19031403</v>
      </c>
      <c r="B221" s="8" t="str">
        <f t="shared" si="6"/>
        <v>3</v>
      </c>
      <c r="C221" s="8">
        <v>190314</v>
      </c>
      <c r="D221" s="19" t="s">
        <v>274</v>
      </c>
      <c r="E221" s="4">
        <v>1040405001</v>
      </c>
      <c r="F221" s="4">
        <v>72</v>
      </c>
      <c r="G221" s="4">
        <v>71</v>
      </c>
      <c r="H221" s="4">
        <v>70</v>
      </c>
      <c r="I221" s="4">
        <v>69</v>
      </c>
      <c r="J221" s="4">
        <v>68</v>
      </c>
      <c r="K221" s="4">
        <v>11131403</v>
      </c>
      <c r="L221" s="4">
        <v>11001403</v>
      </c>
      <c r="M221" s="4" t="s">
        <v>41</v>
      </c>
      <c r="N221" s="20">
        <v>280</v>
      </c>
    </row>
    <row r="222" spans="1:14">
      <c r="A222" s="4">
        <f t="shared" si="7"/>
        <v>19031404</v>
      </c>
      <c r="B222" s="8" t="str">
        <f t="shared" si="6"/>
        <v>4</v>
      </c>
      <c r="C222" s="8">
        <v>190314</v>
      </c>
      <c r="D222" s="19" t="s">
        <v>275</v>
      </c>
      <c r="E222" s="4">
        <v>1040405001</v>
      </c>
      <c r="F222" s="4">
        <v>72</v>
      </c>
      <c r="G222" s="4">
        <v>71</v>
      </c>
      <c r="H222" s="4">
        <v>70</v>
      </c>
      <c r="I222" s="4">
        <v>69</v>
      </c>
      <c r="J222" s="4">
        <v>68</v>
      </c>
      <c r="K222" s="4">
        <v>11131404</v>
      </c>
      <c r="L222" s="4">
        <v>11001404</v>
      </c>
      <c r="M222" s="4" t="s">
        <v>41</v>
      </c>
      <c r="N222" s="20">
        <v>280</v>
      </c>
    </row>
    <row r="223" spans="1:14">
      <c r="A223" s="4">
        <f t="shared" si="7"/>
        <v>19031405</v>
      </c>
      <c r="B223" s="8" t="str">
        <f t="shared" si="6"/>
        <v>5</v>
      </c>
      <c r="C223" s="8">
        <v>190314</v>
      </c>
      <c r="D223" s="19" t="s">
        <v>276</v>
      </c>
      <c r="E223" s="4">
        <v>1040405001</v>
      </c>
      <c r="F223" s="4">
        <v>72</v>
      </c>
      <c r="G223" s="4">
        <v>71</v>
      </c>
      <c r="H223" s="4">
        <v>70</v>
      </c>
      <c r="I223" s="4">
        <v>69</v>
      </c>
      <c r="J223" s="4">
        <v>68</v>
      </c>
      <c r="K223" s="4">
        <v>11131405</v>
      </c>
      <c r="L223" s="4">
        <v>11001405</v>
      </c>
      <c r="M223" s="4" t="s">
        <v>41</v>
      </c>
      <c r="N223" s="20">
        <v>280</v>
      </c>
    </row>
    <row r="224" spans="1:14">
      <c r="A224" s="4">
        <f>C224*100+1</f>
        <v>19031501</v>
      </c>
      <c r="B224" s="8" t="str">
        <f t="shared" si="6"/>
        <v>1</v>
      </c>
      <c r="C224" s="8">
        <v>190315</v>
      </c>
      <c r="D224" s="19" t="s">
        <v>277</v>
      </c>
      <c r="E224" s="4">
        <v>1040405001</v>
      </c>
      <c r="F224" s="4">
        <v>77</v>
      </c>
      <c r="G224" s="4">
        <v>76</v>
      </c>
      <c r="H224" s="4">
        <v>75</v>
      </c>
      <c r="I224" s="4">
        <v>74</v>
      </c>
      <c r="J224" s="4">
        <v>73</v>
      </c>
      <c r="K224" s="4">
        <v>11131501</v>
      </c>
      <c r="L224" s="4">
        <v>11001501</v>
      </c>
      <c r="M224" s="4" t="s">
        <v>41</v>
      </c>
      <c r="N224" s="20">
        <v>295</v>
      </c>
    </row>
    <row r="225" spans="1:14">
      <c r="A225" s="4">
        <f>A224+1</f>
        <v>19031502</v>
      </c>
      <c r="B225" s="8" t="str">
        <f t="shared" si="6"/>
        <v>2</v>
      </c>
      <c r="C225" s="8">
        <v>190315</v>
      </c>
      <c r="D225" s="19" t="s">
        <v>278</v>
      </c>
      <c r="E225" s="4">
        <v>1040405001</v>
      </c>
      <c r="F225" s="4">
        <v>77</v>
      </c>
      <c r="G225" s="4">
        <v>76</v>
      </c>
      <c r="H225" s="4">
        <v>75</v>
      </c>
      <c r="I225" s="4">
        <v>74</v>
      </c>
      <c r="J225" s="4">
        <v>73</v>
      </c>
      <c r="K225" s="4">
        <v>11131502</v>
      </c>
      <c r="L225" s="4">
        <v>11001502</v>
      </c>
      <c r="M225" s="4" t="s">
        <v>41</v>
      </c>
      <c r="N225" s="20">
        <v>295</v>
      </c>
    </row>
    <row r="226" spans="1:14">
      <c r="A226" s="4">
        <f t="shared" si="7"/>
        <v>19031503</v>
      </c>
      <c r="B226" s="8" t="str">
        <f t="shared" si="6"/>
        <v>3</v>
      </c>
      <c r="C226" s="8">
        <v>190315</v>
      </c>
      <c r="D226" s="19" t="s">
        <v>279</v>
      </c>
      <c r="E226" s="4">
        <v>1040405001</v>
      </c>
      <c r="F226" s="4">
        <v>77</v>
      </c>
      <c r="G226" s="4">
        <v>76</v>
      </c>
      <c r="H226" s="4">
        <v>75</v>
      </c>
      <c r="I226" s="4">
        <v>74</v>
      </c>
      <c r="J226" s="4">
        <v>73</v>
      </c>
      <c r="K226" s="4">
        <v>11131503</v>
      </c>
      <c r="L226" s="4">
        <v>11001503</v>
      </c>
      <c r="M226" s="4" t="s">
        <v>41</v>
      </c>
      <c r="N226" s="20">
        <v>295</v>
      </c>
    </row>
    <row r="227" spans="1:14">
      <c r="A227" s="4">
        <f t="shared" si="7"/>
        <v>19031504</v>
      </c>
      <c r="B227" s="8" t="str">
        <f t="shared" si="6"/>
        <v>4</v>
      </c>
      <c r="C227" s="8">
        <v>190315</v>
      </c>
      <c r="D227" s="19" t="s">
        <v>280</v>
      </c>
      <c r="E227" s="4">
        <v>1040405001</v>
      </c>
      <c r="F227" s="4">
        <v>77</v>
      </c>
      <c r="G227" s="4">
        <v>76</v>
      </c>
      <c r="H227" s="4">
        <v>75</v>
      </c>
      <c r="I227" s="4">
        <v>74</v>
      </c>
      <c r="J227" s="4">
        <v>73</v>
      </c>
      <c r="K227" s="4">
        <v>11131504</v>
      </c>
      <c r="L227" s="4">
        <v>11001504</v>
      </c>
      <c r="M227" s="4" t="s">
        <v>41</v>
      </c>
      <c r="N227" s="20">
        <v>295</v>
      </c>
    </row>
    <row r="228" spans="1:14">
      <c r="A228" s="4">
        <f t="shared" si="7"/>
        <v>19031505</v>
      </c>
      <c r="B228" s="8" t="str">
        <f t="shared" si="6"/>
        <v>5</v>
      </c>
      <c r="C228" s="8">
        <v>190315</v>
      </c>
      <c r="D228" s="19" t="s">
        <v>281</v>
      </c>
      <c r="E228" s="4">
        <v>1040405001</v>
      </c>
      <c r="F228" s="4">
        <v>77</v>
      </c>
      <c r="G228" s="4">
        <v>76</v>
      </c>
      <c r="H228" s="4">
        <v>75</v>
      </c>
      <c r="I228" s="4">
        <v>74</v>
      </c>
      <c r="J228" s="4">
        <v>73</v>
      </c>
      <c r="K228" s="4">
        <v>11131505</v>
      </c>
      <c r="L228" s="4">
        <v>11001505</v>
      </c>
      <c r="M228" s="4" t="s">
        <v>41</v>
      </c>
      <c r="N228" s="20">
        <v>295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opLeftCell="A2" workbookViewId="0">
      <selection activeCell="C8" sqref="C8"/>
    </sheetView>
  </sheetViews>
  <sheetFormatPr defaultRowHeight="16.5"/>
  <cols>
    <col min="1" max="1" width="24.125" style="5" bestFit="1" customWidth="1"/>
    <col min="2" max="2" width="10.5" style="5" bestFit="1" customWidth="1"/>
    <col min="3" max="3" width="17.25" style="5" bestFit="1" customWidth="1"/>
    <col min="4" max="16384" width="9" style="5"/>
  </cols>
  <sheetData>
    <row r="1" spans="1:3">
      <c r="A1" s="1" t="s">
        <v>17</v>
      </c>
      <c r="B1" s="3" t="s">
        <v>6</v>
      </c>
      <c r="C1" s="3" t="s">
        <v>0</v>
      </c>
    </row>
    <row r="2" spans="1:3">
      <c r="A2" s="3" t="s">
        <v>34</v>
      </c>
      <c r="B2" s="3" t="s">
        <v>1</v>
      </c>
      <c r="C2" s="3" t="s">
        <v>2</v>
      </c>
    </row>
    <row r="3" spans="1:3">
      <c r="A3" s="3" t="s">
        <v>4</v>
      </c>
      <c r="B3" s="3" t="s">
        <v>4</v>
      </c>
      <c r="C3" s="3" t="s">
        <v>4</v>
      </c>
    </row>
    <row r="4" spans="1:3">
      <c r="A4" s="5" t="s">
        <v>7</v>
      </c>
      <c r="B4" s="5">
        <v>50</v>
      </c>
      <c r="C4" s="5" t="s">
        <v>8</v>
      </c>
    </row>
    <row r="5" spans="1:3">
      <c r="A5" s="5" t="s">
        <v>9</v>
      </c>
      <c r="B5" s="5">
        <v>60</v>
      </c>
      <c r="C5" s="5" t="s">
        <v>10</v>
      </c>
    </row>
    <row r="6" spans="1:3">
      <c r="A6" s="5" t="s">
        <v>11</v>
      </c>
      <c r="B6" s="5">
        <v>70</v>
      </c>
      <c r="C6" s="5" t="s">
        <v>12</v>
      </c>
    </row>
    <row r="7" spans="1:3">
      <c r="A7" s="5" t="s">
        <v>13</v>
      </c>
      <c r="B7" s="5">
        <v>90</v>
      </c>
      <c r="C7" s="5" t="s">
        <v>14</v>
      </c>
    </row>
    <row r="8" spans="1:3">
      <c r="A8" s="5" t="s">
        <v>15</v>
      </c>
      <c r="B8" s="5">
        <v>120</v>
      </c>
      <c r="C8" s="5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AttributeBattle</vt:lpstr>
      <vt:lpstr>AttributeBattleStage</vt:lpstr>
      <vt:lpstr>AttributeBuff</vt:lpstr>
      <vt:lpstr>Buff.Attribute</vt:lpstr>
      <vt:lpstr>BuffEffect.Attribute</vt:lpstr>
      <vt:lpstr>#AttributeBattleSection</vt:lpstr>
      <vt:lpstr>#AttributeBattleStage</vt:lpstr>
      <vt:lpstr>#AttributeRank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조준희</cp:lastModifiedBy>
  <dcterms:created xsi:type="dcterms:W3CDTF">2015-06-05T18:17:20Z</dcterms:created>
  <dcterms:modified xsi:type="dcterms:W3CDTF">2024-03-27T08:50:06Z</dcterms:modified>
</cp:coreProperties>
</file>