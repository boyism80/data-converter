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ProjectM2\design\"/>
    </mc:Choice>
  </mc:AlternateContent>
  <bookViews>
    <workbookView xWindow="-120" yWindow="-120" windowWidth="29040" windowHeight="17640"/>
  </bookViews>
  <sheets>
    <sheet name="InstarseedProfile" sheetId="4" r:id="rId1"/>
    <sheet name="InstarseedPost" sheetId="3" r:id="rId2"/>
    <sheet name="InstarseedReply" sheetId="5" r:id="rId3"/>
  </sheets>
  <definedNames>
    <definedName name="_xlnm._FilterDatabase" localSheetId="2" hidden="1">InstarseedReply!$A$1:$I$932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45" i="5" l="1"/>
  <c r="A742" i="5"/>
  <c r="A716" i="5"/>
  <c r="A717" i="5"/>
  <c r="A697" i="5"/>
  <c r="A617" i="5"/>
  <c r="A616" i="5"/>
  <c r="A615" i="5"/>
  <c r="A546" i="5"/>
  <c r="A493" i="5"/>
  <c r="A334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3" i="5"/>
  <c r="A744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7" i="5"/>
  <c r="A873" i="5"/>
  <c r="A878" i="5"/>
  <c r="A882" i="5"/>
  <c r="A886" i="5"/>
  <c r="A891" i="5"/>
  <c r="A896" i="5"/>
  <c r="A900" i="5"/>
  <c r="A905" i="5"/>
  <c r="A910" i="5"/>
  <c r="A915" i="5"/>
  <c r="A922" i="5"/>
  <c r="A928" i="5"/>
  <c r="A192" i="5"/>
  <c r="A36" i="5"/>
  <c r="A37" i="5"/>
  <c r="A38" i="5"/>
  <c r="A39" i="5"/>
  <c r="A40" i="5"/>
  <c r="A41" i="5"/>
  <c r="E929" i="5" l="1"/>
  <c r="D929" i="5"/>
  <c r="D930" i="5" s="1"/>
  <c r="D931" i="5" s="1"/>
  <c r="D932" i="5" s="1"/>
  <c r="E923" i="5"/>
  <c r="D923" i="5"/>
  <c r="D924" i="5" s="1"/>
  <c r="D925" i="5" s="1"/>
  <c r="D926" i="5" s="1"/>
  <c r="D927" i="5" s="1"/>
  <c r="E916" i="5"/>
  <c r="D916" i="5"/>
  <c r="D917" i="5" s="1"/>
  <c r="D918" i="5" s="1"/>
  <c r="D919" i="5" s="1"/>
  <c r="D920" i="5" s="1"/>
  <c r="D921" i="5" s="1"/>
  <c r="E911" i="5"/>
  <c r="D911" i="5"/>
  <c r="D912" i="5" s="1"/>
  <c r="D913" i="5" s="1"/>
  <c r="D914" i="5" s="1"/>
  <c r="E906" i="5"/>
  <c r="D906" i="5"/>
  <c r="D907" i="5" s="1"/>
  <c r="D908" i="5" s="1"/>
  <c r="D909" i="5" s="1"/>
  <c r="E901" i="5"/>
  <c r="D901" i="5"/>
  <c r="D902" i="5" s="1"/>
  <c r="D903" i="5" s="1"/>
  <c r="D904" i="5" s="1"/>
  <c r="E897" i="5"/>
  <c r="D897" i="5"/>
  <c r="D898" i="5" s="1"/>
  <c r="D899" i="5" s="1"/>
  <c r="E892" i="5"/>
  <c r="D892" i="5"/>
  <c r="D893" i="5" s="1"/>
  <c r="D894" i="5" s="1"/>
  <c r="D895" i="5" s="1"/>
  <c r="E887" i="5"/>
  <c r="D887" i="5"/>
  <c r="D888" i="5" s="1"/>
  <c r="D889" i="5" s="1"/>
  <c r="D890" i="5" s="1"/>
  <c r="E883" i="5"/>
  <c r="D883" i="5"/>
  <c r="D884" i="5" s="1"/>
  <c r="D885" i="5" s="1"/>
  <c r="E879" i="5"/>
  <c r="D879" i="5"/>
  <c r="D880" i="5" s="1"/>
  <c r="D881" i="5" s="1"/>
  <c r="E874" i="5"/>
  <c r="D874" i="5"/>
  <c r="D875" i="5" s="1"/>
  <c r="D876" i="5" s="1"/>
  <c r="D877" i="5" s="1"/>
  <c r="E868" i="5"/>
  <c r="D868" i="5"/>
  <c r="D869" i="5" s="1"/>
  <c r="D870" i="5" s="1"/>
  <c r="D871" i="5" s="1"/>
  <c r="D872" i="5" s="1"/>
  <c r="E864" i="5"/>
  <c r="D864" i="5"/>
  <c r="D865" i="5" s="1"/>
  <c r="D866" i="5" s="1"/>
  <c r="E880" i="5" l="1"/>
  <c r="A879" i="5"/>
  <c r="E875" i="5"/>
  <c r="A874" i="5"/>
  <c r="E893" i="5"/>
  <c r="A892" i="5"/>
  <c r="E912" i="5"/>
  <c r="A911" i="5"/>
  <c r="E898" i="5"/>
  <c r="A897" i="5"/>
  <c r="E917" i="5"/>
  <c r="A916" i="5"/>
  <c r="E865" i="5"/>
  <c r="A864" i="5"/>
  <c r="E884" i="5"/>
  <c r="A883" i="5"/>
  <c r="E902" i="5"/>
  <c r="A901" i="5"/>
  <c r="E924" i="5"/>
  <c r="A923" i="5"/>
  <c r="E869" i="5"/>
  <c r="A868" i="5"/>
  <c r="E888" i="5"/>
  <c r="A887" i="5"/>
  <c r="E907" i="5"/>
  <c r="A906" i="5"/>
  <c r="E930" i="5"/>
  <c r="A929" i="5"/>
  <c r="A188" i="3"/>
  <c r="L188" i="3" s="1"/>
  <c r="A187" i="3"/>
  <c r="L187" i="3" s="1"/>
  <c r="E889" i="5" l="1"/>
  <c r="A888" i="5"/>
  <c r="E913" i="5"/>
  <c r="A912" i="5"/>
  <c r="E870" i="5"/>
  <c r="A869" i="5"/>
  <c r="E866" i="5"/>
  <c r="A866" i="5" s="1"/>
  <c r="A865" i="5"/>
  <c r="E894" i="5"/>
  <c r="A893" i="5"/>
  <c r="E885" i="5"/>
  <c r="A885" i="5" s="1"/>
  <c r="A884" i="5"/>
  <c r="E931" i="5"/>
  <c r="A930" i="5"/>
  <c r="E925" i="5"/>
  <c r="A924" i="5"/>
  <c r="E918" i="5"/>
  <c r="A917" i="5"/>
  <c r="E876" i="5"/>
  <c r="A875" i="5"/>
  <c r="E908" i="5"/>
  <c r="A907" i="5"/>
  <c r="E903" i="5"/>
  <c r="A902" i="5"/>
  <c r="E899" i="5"/>
  <c r="A899" i="5" s="1"/>
  <c r="A898" i="5"/>
  <c r="E881" i="5"/>
  <c r="A881" i="5" s="1"/>
  <c r="A880" i="5"/>
  <c r="I15" i="3"/>
  <c r="E904" i="5" l="1"/>
  <c r="A904" i="5" s="1"/>
  <c r="A903" i="5"/>
  <c r="E926" i="5"/>
  <c r="A925" i="5"/>
  <c r="E909" i="5"/>
  <c r="A909" i="5" s="1"/>
  <c r="A908" i="5"/>
  <c r="E932" i="5"/>
  <c r="A932" i="5" s="1"/>
  <c r="A931" i="5"/>
  <c r="E871" i="5"/>
  <c r="A870" i="5"/>
  <c r="E877" i="5"/>
  <c r="A877" i="5" s="1"/>
  <c r="A876" i="5"/>
  <c r="E914" i="5"/>
  <c r="A914" i="5" s="1"/>
  <c r="A913" i="5"/>
  <c r="E919" i="5"/>
  <c r="A918" i="5"/>
  <c r="E895" i="5"/>
  <c r="A895" i="5" s="1"/>
  <c r="A894" i="5"/>
  <c r="E890" i="5"/>
  <c r="A890" i="5" s="1"/>
  <c r="A889" i="5"/>
  <c r="I32" i="3"/>
  <c r="H32" i="3"/>
  <c r="I31" i="3"/>
  <c r="H31" i="3"/>
  <c r="I30" i="3"/>
  <c r="H30" i="3"/>
  <c r="I29" i="3"/>
  <c r="H29" i="3"/>
  <c r="I28" i="3"/>
  <c r="H28" i="3"/>
  <c r="I27" i="3"/>
  <c r="H27" i="3"/>
  <c r="I26" i="3"/>
  <c r="H26" i="3"/>
  <c r="I25" i="3"/>
  <c r="H25" i="3"/>
  <c r="I24" i="3"/>
  <c r="H24" i="3"/>
  <c r="I23" i="3"/>
  <c r="H23" i="3"/>
  <c r="I22" i="3"/>
  <c r="H22" i="3"/>
  <c r="I21" i="3"/>
  <c r="H21" i="3"/>
  <c r="I20" i="3"/>
  <c r="H20" i="3"/>
  <c r="I19" i="3"/>
  <c r="H19" i="3"/>
  <c r="I18" i="3"/>
  <c r="H18" i="3"/>
  <c r="I17" i="3"/>
  <c r="H17" i="3"/>
  <c r="I14" i="3"/>
  <c r="I13" i="3"/>
  <c r="I12" i="3"/>
  <c r="I11" i="3"/>
  <c r="I10" i="3"/>
  <c r="I9" i="3"/>
  <c r="I8" i="3"/>
  <c r="I7" i="3"/>
  <c r="H13" i="3"/>
  <c r="H12" i="3"/>
  <c r="H11" i="3"/>
  <c r="H10" i="3"/>
  <c r="H9" i="3"/>
  <c r="H8" i="3"/>
  <c r="H7" i="3"/>
  <c r="H14" i="3"/>
  <c r="E927" i="5" l="1"/>
  <c r="A927" i="5" s="1"/>
  <c r="A926" i="5"/>
  <c r="E920" i="5"/>
  <c r="A919" i="5"/>
  <c r="E872" i="5"/>
  <c r="A872" i="5" s="1"/>
  <c r="A871" i="5"/>
  <c r="L38" i="3"/>
  <c r="L37" i="3"/>
  <c r="L36" i="3"/>
  <c r="L35" i="3"/>
  <c r="L34" i="3"/>
  <c r="E921" i="5" l="1"/>
  <c r="A921" i="5" s="1"/>
  <c r="A920" i="5"/>
  <c r="L85" i="3"/>
  <c r="A186" i="3" l="1"/>
  <c r="L186" i="3" s="1"/>
  <c r="A185" i="3"/>
  <c r="L185" i="3" s="1"/>
  <c r="A184" i="3"/>
  <c r="L184" i="3" s="1"/>
  <c r="A183" i="3"/>
  <c r="L183" i="3" s="1"/>
  <c r="A182" i="3"/>
  <c r="L182" i="3" s="1"/>
  <c r="A181" i="3"/>
  <c r="L181" i="3" s="1"/>
  <c r="A180" i="3"/>
  <c r="L180" i="3" s="1"/>
  <c r="A179" i="3"/>
  <c r="L179" i="3" s="1"/>
  <c r="A178" i="3"/>
  <c r="L178" i="3" s="1"/>
  <c r="A177" i="3"/>
  <c r="L177" i="3" s="1"/>
  <c r="A176" i="3"/>
  <c r="L176" i="3" s="1"/>
  <c r="A175" i="3"/>
  <c r="L175" i="3" s="1"/>
  <c r="A174" i="3"/>
  <c r="L174" i="3" s="1"/>
  <c r="A173" i="3"/>
  <c r="L173" i="3" s="1"/>
  <c r="A172" i="3"/>
  <c r="L172" i="3" s="1"/>
  <c r="A171" i="3"/>
  <c r="L171" i="3" s="1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24" i="3"/>
  <c r="L18" i="3"/>
  <c r="L17" i="3"/>
  <c r="A169" i="3" l="1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4" i="3" l="1"/>
  <c r="L154" i="3" s="1"/>
  <c r="A153" i="3"/>
  <c r="L153" i="3" s="1"/>
  <c r="A152" i="3"/>
  <c r="L152" i="3" s="1"/>
  <c r="A151" i="3"/>
  <c r="L151" i="3" s="1"/>
  <c r="A150" i="3"/>
  <c r="L150" i="3" s="1"/>
  <c r="A149" i="3"/>
  <c r="L149" i="3" s="1"/>
  <c r="A148" i="3"/>
  <c r="L148" i="3" s="1"/>
  <c r="A147" i="3"/>
  <c r="L147" i="3" s="1"/>
  <c r="A146" i="3"/>
  <c r="L146" i="3" s="1"/>
  <c r="A145" i="3"/>
  <c r="L145" i="3" s="1"/>
  <c r="A144" i="3"/>
  <c r="L144" i="3" s="1"/>
  <c r="A143" i="3"/>
  <c r="L143" i="3" s="1"/>
  <c r="A142" i="3"/>
  <c r="L142" i="3" s="1"/>
  <c r="A141" i="3"/>
  <c r="L141" i="3" s="1"/>
  <c r="A140" i="3"/>
  <c r="L140" i="3" s="1"/>
  <c r="A139" i="3"/>
  <c r="L139" i="3" s="1"/>
  <c r="A138" i="3"/>
  <c r="L138" i="3" s="1"/>
  <c r="A137" i="3"/>
  <c r="L137" i="3" s="1"/>
  <c r="A136" i="3"/>
  <c r="L136" i="3" s="1"/>
  <c r="A135" i="3"/>
  <c r="L135" i="3" s="1"/>
  <c r="L84" i="3" l="1"/>
  <c r="A84" i="3"/>
  <c r="L83" i="3"/>
  <c r="A83" i="3"/>
  <c r="L82" i="3"/>
  <c r="A82" i="3"/>
  <c r="L81" i="3"/>
  <c r="A81" i="3"/>
  <c r="L80" i="3"/>
  <c r="A80" i="3"/>
  <c r="L79" i="3"/>
  <c r="A79" i="3"/>
  <c r="L78" i="3"/>
  <c r="A78" i="3"/>
  <c r="L77" i="3"/>
  <c r="A77" i="3"/>
  <c r="L76" i="3"/>
  <c r="A76" i="3"/>
  <c r="L75" i="3"/>
  <c r="A75" i="3"/>
  <c r="L74" i="3"/>
  <c r="A74" i="3"/>
  <c r="L73" i="3"/>
  <c r="A73" i="3"/>
  <c r="L72" i="3"/>
  <c r="A72" i="3"/>
  <c r="L71" i="3"/>
  <c r="A71" i="3"/>
  <c r="L70" i="3"/>
  <c r="A70" i="3"/>
  <c r="L69" i="3"/>
  <c r="A69" i="3"/>
  <c r="L68" i="3"/>
  <c r="A68" i="3"/>
  <c r="L67" i="3"/>
  <c r="A67" i="3"/>
  <c r="L66" i="3"/>
  <c r="A66" i="3"/>
  <c r="L65" i="3"/>
  <c r="A65" i="3"/>
  <c r="L64" i="3"/>
  <c r="A64" i="3"/>
  <c r="L63" i="3"/>
  <c r="A63" i="3"/>
  <c r="L62" i="3"/>
  <c r="A62" i="3"/>
  <c r="L61" i="3"/>
  <c r="A61" i="3"/>
  <c r="L60" i="3"/>
  <c r="A60" i="3"/>
  <c r="L59" i="3"/>
  <c r="A59" i="3"/>
  <c r="L58" i="3"/>
  <c r="A58" i="3"/>
  <c r="L57" i="3"/>
  <c r="A57" i="3"/>
  <c r="L56" i="3"/>
  <c r="A56" i="3"/>
  <c r="L55" i="3"/>
  <c r="A55" i="3"/>
  <c r="L54" i="3"/>
  <c r="A54" i="3"/>
  <c r="L53" i="3"/>
  <c r="A53" i="3"/>
  <c r="L52" i="3"/>
  <c r="A52" i="3"/>
  <c r="L51" i="3"/>
  <c r="A51" i="3"/>
  <c r="L50" i="3"/>
  <c r="A50" i="3"/>
  <c r="L49" i="3"/>
  <c r="A49" i="3"/>
  <c r="L48" i="3"/>
  <c r="A48" i="3"/>
  <c r="L47" i="3"/>
  <c r="A47" i="3"/>
  <c r="L46" i="3"/>
  <c r="A46" i="3"/>
  <c r="L45" i="3"/>
  <c r="A45" i="3"/>
  <c r="L44" i="3"/>
  <c r="A44" i="3"/>
  <c r="L43" i="3"/>
  <c r="A43" i="3"/>
  <c r="L42" i="3"/>
  <c r="A42" i="3"/>
  <c r="L41" i="3"/>
  <c r="A41" i="3"/>
  <c r="L40" i="3"/>
  <c r="A40" i="3"/>
  <c r="A85" i="3"/>
  <c r="L133" i="3"/>
  <c r="A133" i="3"/>
  <c r="L132" i="3"/>
  <c r="A132" i="3"/>
  <c r="L130" i="3"/>
  <c r="A130" i="3"/>
  <c r="L129" i="3"/>
  <c r="A129" i="3"/>
  <c r="L128" i="3"/>
  <c r="A128" i="3"/>
  <c r="L127" i="3"/>
  <c r="A127" i="3"/>
  <c r="L126" i="3"/>
  <c r="A126" i="3"/>
  <c r="L125" i="3"/>
  <c r="A125" i="3"/>
  <c r="L124" i="3"/>
  <c r="A124" i="3"/>
  <c r="L123" i="3"/>
  <c r="A123" i="3"/>
  <c r="L122" i="3"/>
  <c r="A122" i="3"/>
  <c r="L121" i="3"/>
  <c r="A121" i="3"/>
  <c r="L120" i="3"/>
  <c r="A120" i="3"/>
  <c r="L119" i="3"/>
  <c r="A119" i="3"/>
  <c r="L118" i="3"/>
  <c r="A118" i="3"/>
  <c r="L117" i="3"/>
  <c r="A117" i="3"/>
  <c r="L115" i="3"/>
  <c r="A115" i="3"/>
  <c r="L114" i="3"/>
  <c r="A114" i="3"/>
  <c r="L113" i="3"/>
  <c r="A113" i="3"/>
  <c r="L112" i="3"/>
  <c r="A112" i="3"/>
  <c r="L111" i="3"/>
  <c r="A111" i="3"/>
  <c r="L110" i="3"/>
  <c r="A110" i="3"/>
  <c r="L109" i="3"/>
  <c r="A109" i="3"/>
  <c r="L108" i="3"/>
  <c r="A108" i="3"/>
  <c r="L107" i="3"/>
  <c r="A107" i="3"/>
  <c r="L106" i="3"/>
  <c r="A106" i="3"/>
  <c r="L105" i="3"/>
  <c r="A105" i="3"/>
  <c r="L104" i="3"/>
  <c r="A104" i="3"/>
  <c r="L103" i="3"/>
  <c r="A103" i="3"/>
  <c r="L102" i="3"/>
  <c r="A102" i="3"/>
  <c r="L101" i="3"/>
  <c r="A101" i="3"/>
  <c r="L100" i="3"/>
  <c r="A100" i="3"/>
  <c r="L99" i="3"/>
  <c r="A99" i="3"/>
  <c r="L98" i="3"/>
  <c r="A98" i="3"/>
  <c r="L97" i="3"/>
  <c r="A97" i="3"/>
  <c r="L96" i="3"/>
  <c r="A96" i="3"/>
  <c r="L95" i="3"/>
  <c r="A95" i="3"/>
  <c r="L94" i="3"/>
  <c r="A94" i="3"/>
  <c r="L93" i="3"/>
  <c r="A93" i="3"/>
  <c r="L92" i="3"/>
  <c r="A92" i="3"/>
  <c r="L91" i="3"/>
  <c r="A91" i="3"/>
  <c r="L90" i="3"/>
  <c r="A90" i="3"/>
  <c r="L89" i="3"/>
  <c r="A89" i="3"/>
  <c r="L88" i="3"/>
  <c r="A88" i="3"/>
  <c r="L87" i="3"/>
  <c r="A87" i="3"/>
  <c r="A38" i="3"/>
  <c r="A37" i="3"/>
  <c r="A36" i="3"/>
  <c r="A35" i="3"/>
  <c r="A34" i="3"/>
  <c r="A219" i="5" l="1"/>
  <c r="A218" i="5"/>
  <c r="A217" i="5"/>
  <c r="A216" i="5"/>
  <c r="A215" i="5"/>
  <c r="A214" i="5"/>
  <c r="A213" i="5"/>
  <c r="A212" i="5"/>
  <c r="A211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78" i="5"/>
  <c r="A177" i="5"/>
  <c r="A176" i="5"/>
  <c r="A175" i="5"/>
  <c r="A174" i="5"/>
  <c r="A173" i="5"/>
  <c r="A172" i="5"/>
  <c r="A171" i="5"/>
  <c r="H15" i="3" l="1"/>
  <c r="A35" i="5" l="1"/>
  <c r="A34" i="5"/>
  <c r="A33" i="5"/>
  <c r="A32" i="5"/>
  <c r="A31" i="5"/>
  <c r="A30" i="5"/>
  <c r="A29" i="5"/>
  <c r="A28" i="5"/>
  <c r="A123" i="5" l="1"/>
  <c r="A122" i="5"/>
  <c r="A121" i="5"/>
  <c r="A120" i="5"/>
  <c r="A119" i="5"/>
  <c r="A118" i="5"/>
  <c r="A117" i="5"/>
  <c r="A86" i="5" l="1"/>
  <c r="A85" i="5"/>
  <c r="A84" i="5"/>
  <c r="A83" i="5"/>
  <c r="A82" i="5"/>
  <c r="A81" i="5"/>
  <c r="A15" i="5" l="1"/>
  <c r="A14" i="5"/>
  <c r="A13" i="5"/>
  <c r="A12" i="5"/>
  <c r="A11" i="5"/>
  <c r="A10" i="5"/>
  <c r="A9" i="5"/>
  <c r="A8" i="5"/>
  <c r="A7" i="5"/>
  <c r="A285" i="5" l="1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0" i="5"/>
  <c r="A169" i="5"/>
  <c r="A168" i="5"/>
  <c r="A167" i="5"/>
  <c r="A166" i="5"/>
  <c r="A165" i="5"/>
  <c r="A164" i="5"/>
  <c r="A163" i="5"/>
  <c r="A162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0" i="5"/>
  <c r="A79" i="5"/>
  <c r="A78" i="5"/>
  <c r="A77" i="5"/>
  <c r="A76" i="5"/>
  <c r="A75" i="5"/>
  <c r="A74" i="5"/>
  <c r="A73" i="5"/>
  <c r="A72" i="5"/>
  <c r="A71" i="5"/>
  <c r="F72" i="5" s="1"/>
  <c r="A70" i="5"/>
  <c r="A69" i="5"/>
  <c r="A68" i="5"/>
  <c r="F69" i="5" s="1"/>
  <c r="A67" i="5"/>
  <c r="A66" i="5"/>
  <c r="F67" i="5" s="1"/>
  <c r="A65" i="5"/>
  <c r="A64" i="5"/>
  <c r="A63" i="5"/>
  <c r="A62" i="5"/>
  <c r="A61" i="5"/>
  <c r="A60" i="5"/>
  <c r="F61" i="5" s="1"/>
  <c r="A59" i="5"/>
  <c r="A58" i="5"/>
  <c r="A57" i="5"/>
  <c r="F59" i="5" s="1"/>
  <c r="A56" i="5"/>
  <c r="A55" i="5"/>
  <c r="A54" i="5"/>
  <c r="A53" i="5"/>
  <c r="A52" i="5"/>
  <c r="A51" i="5"/>
  <c r="A50" i="5"/>
  <c r="A49" i="5"/>
  <c r="F50" i="5" s="1"/>
  <c r="A48" i="5"/>
  <c r="A47" i="5"/>
  <c r="A46" i="5"/>
  <c r="A45" i="5"/>
  <c r="A44" i="5"/>
  <c r="A43" i="5"/>
  <c r="F45" i="5" s="1"/>
  <c r="A42" i="5"/>
  <c r="F38" i="5"/>
  <c r="A27" i="5"/>
  <c r="A26" i="5"/>
  <c r="A25" i="5"/>
  <c r="A24" i="5"/>
  <c r="F25" i="5" s="1"/>
  <c r="A23" i="5"/>
  <c r="A22" i="5"/>
  <c r="F23" i="5" s="1"/>
  <c r="A21" i="5"/>
  <c r="A20" i="5"/>
  <c r="A19" i="5"/>
  <c r="A18" i="5"/>
  <c r="A17" i="5"/>
  <c r="F18" i="5" s="1"/>
  <c r="A16" i="5"/>
  <c r="F58" i="5" l="1"/>
  <c r="F44" i="5"/>
  <c r="A53" i="4" l="1"/>
  <c r="A52" i="4"/>
  <c r="A51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28" i="4"/>
  <c r="A6" i="4"/>
  <c r="A27" i="4"/>
  <c r="A26" i="4"/>
  <c r="A25" i="4"/>
  <c r="A24" i="4"/>
  <c r="A23" i="4"/>
  <c r="A22" i="4"/>
  <c r="A21" i="4"/>
  <c r="A20" i="4"/>
  <c r="A19" i="4"/>
  <c r="A18" i="4"/>
  <c r="A16" i="4"/>
  <c r="A15" i="4"/>
  <c r="A14" i="4"/>
  <c r="A13" i="4"/>
  <c r="A12" i="4"/>
  <c r="A11" i="4"/>
  <c r="A10" i="4"/>
  <c r="A9" i="4"/>
  <c r="A8" i="4"/>
  <c r="A7" i="4"/>
</calcChain>
</file>

<file path=xl/sharedStrings.xml><?xml version="1.0" encoding="utf-8"?>
<sst xmlns="http://schemas.openxmlformats.org/spreadsheetml/2006/main" count="4827" uniqueCount="2476">
  <si>
    <t>common</t>
    <phoneticPr fontId="1" type="noConversion"/>
  </si>
  <si>
    <t>Id</t>
    <phoneticPr fontId="1" type="noConversion"/>
  </si>
  <si>
    <t>*long</t>
    <phoneticPr fontId="1" type="noConversion"/>
  </si>
  <si>
    <t>CharacterId</t>
    <phoneticPr fontId="1" type="noConversion"/>
  </si>
  <si>
    <t>common</t>
    <phoneticPr fontId="1" type="noConversion"/>
  </si>
  <si>
    <t>#게시물ID</t>
    <phoneticPr fontId="1" type="noConversion"/>
  </si>
  <si>
    <t>#캐릭터</t>
    <phoneticPr fontId="1" type="noConversion"/>
  </si>
  <si>
    <t>client</t>
    <phoneticPr fontId="1" type="noConversion"/>
  </si>
  <si>
    <t>long?</t>
    <phoneticPr fontId="1" type="noConversion"/>
  </si>
  <si>
    <t>PostType</t>
    <phoneticPr fontId="1" type="noConversion"/>
  </si>
  <si>
    <t>#포스트 비율</t>
    <phoneticPr fontId="1" type="noConversion"/>
  </si>
  <si>
    <t>RatioA</t>
    <phoneticPr fontId="1" type="noConversion"/>
  </si>
  <si>
    <t>PostRatio</t>
    <phoneticPr fontId="1" type="noConversion"/>
  </si>
  <si>
    <t>PostRatio</t>
    <phoneticPr fontId="1" type="noConversion"/>
  </si>
  <si>
    <t>PostType</t>
    <phoneticPr fontId="1" type="noConversion"/>
  </si>
  <si>
    <t>client</t>
    <phoneticPr fontId="1" type="noConversion"/>
  </si>
  <si>
    <t>#포스트 형태</t>
    <phoneticPr fontId="1" type="noConversion"/>
  </si>
  <si>
    <t>Source</t>
    <phoneticPr fontId="1" type="noConversion"/>
  </si>
  <si>
    <t>[string]</t>
    <phoneticPr fontId="1" type="noConversion"/>
  </si>
  <si>
    <t>#리소스 파일명</t>
    <phoneticPr fontId="1" type="noConversion"/>
  </si>
  <si>
    <t>Image</t>
    <phoneticPr fontId="1" type="noConversion"/>
  </si>
  <si>
    <t>Thumbnail</t>
    <phoneticPr fontId="1" type="noConversion"/>
  </si>
  <si>
    <t>#미리보기(썸네일) 파일명</t>
    <phoneticPr fontId="1" type="noConversion"/>
  </si>
  <si>
    <t>string?</t>
    <phoneticPr fontId="1" type="noConversion"/>
  </si>
  <si>
    <t>client</t>
    <phoneticPr fontId="1" type="noConversion"/>
  </si>
  <si>
    <t>Comment</t>
    <phoneticPr fontId="1" type="noConversion"/>
  </si>
  <si>
    <t>string</t>
    <phoneticPr fontId="1" type="noConversion"/>
  </si>
  <si>
    <t>client</t>
    <phoneticPr fontId="1" type="noConversion"/>
  </si>
  <si>
    <t>#게시물 코멘트</t>
    <phoneticPr fontId="1" type="noConversion"/>
  </si>
  <si>
    <t>QuickMove</t>
    <phoneticPr fontId="1" type="noConversion"/>
  </si>
  <si>
    <t>$QuickMove?</t>
    <phoneticPr fontId="1" type="noConversion"/>
  </si>
  <si>
    <t>#퀵무브</t>
    <phoneticPr fontId="1" type="noConversion"/>
  </si>
  <si>
    <t>QuickMoveString</t>
    <phoneticPr fontId="1" type="noConversion"/>
  </si>
  <si>
    <t>#퀵무브 스트링</t>
    <phoneticPr fontId="1" type="noConversion"/>
  </si>
  <si>
    <t>IsSpecial</t>
    <phoneticPr fontId="1" type="noConversion"/>
  </si>
  <si>
    <t>bool</t>
    <phoneticPr fontId="1" type="noConversion"/>
  </si>
  <si>
    <t>#스페셜 페이지 노출여부</t>
    <phoneticPr fontId="1" type="noConversion"/>
  </si>
  <si>
    <t>IsShow</t>
    <phoneticPr fontId="1" type="noConversion"/>
  </si>
  <si>
    <t>bool</t>
    <phoneticPr fontId="1" type="noConversion"/>
  </si>
  <si>
    <t>#게시물 노출 여부</t>
    <phoneticPr fontId="1" type="noConversion"/>
  </si>
  <si>
    <t>RatioB</t>
    <phoneticPr fontId="1" type="noConversion"/>
  </si>
  <si>
    <t>string?</t>
    <phoneticPr fontId="1" type="noConversion"/>
  </si>
  <si>
    <t>RatioC</t>
    <phoneticPr fontId="1" type="noConversion"/>
  </si>
  <si>
    <t>Condition</t>
    <phoneticPr fontId="1" type="noConversion"/>
  </si>
  <si>
    <t>[dsl]</t>
    <phoneticPr fontId="1" type="noConversion"/>
  </si>
  <si>
    <t>common</t>
    <phoneticPr fontId="1" type="noConversion"/>
  </si>
  <si>
    <t>#게시 조건</t>
    <phoneticPr fontId="1" type="noConversion"/>
  </si>
  <si>
    <t>DelayTime</t>
    <phoneticPr fontId="1" type="noConversion"/>
  </si>
  <si>
    <t>TimeSpan?</t>
    <phoneticPr fontId="1" type="noConversion"/>
  </si>
  <si>
    <t>#게시 딜레이</t>
    <phoneticPr fontId="1" type="noConversion"/>
  </si>
  <si>
    <t>#게시자ID</t>
    <phoneticPr fontId="1" type="noConversion"/>
  </si>
  <si>
    <t>ProfileId</t>
    <phoneticPr fontId="1" type="noConversion"/>
  </si>
  <si>
    <t>Nickname</t>
    <phoneticPr fontId="1" type="noConversion"/>
  </si>
  <si>
    <t>string</t>
    <phoneticPr fontId="1" type="noConversion"/>
  </si>
  <si>
    <t>client</t>
    <phoneticPr fontId="1" type="noConversion"/>
  </si>
  <si>
    <t>#캐릭터 SNS ID</t>
    <phoneticPr fontId="1" type="noConversion"/>
  </si>
  <si>
    <t>#댓글 ID</t>
    <phoneticPr fontId="1" type="noConversion"/>
  </si>
  <si>
    <t>#매칭 대상</t>
    <phoneticPr fontId="1" type="noConversion"/>
  </si>
  <si>
    <t>Icon</t>
    <phoneticPr fontId="1" type="noConversion"/>
  </si>
  <si>
    <t>string</t>
    <phoneticPr fontId="1" type="noConversion"/>
  </si>
  <si>
    <t>client</t>
    <phoneticPr fontId="1" type="noConversion"/>
  </si>
  <si>
    <t>character_aurora_01</t>
  </si>
  <si>
    <t>#캐릭터 아이콘(초상화)</t>
    <phoneticPr fontId="1" type="noConversion"/>
  </si>
  <si>
    <t>character_mana_01</t>
  </si>
  <si>
    <t>character_airen_01</t>
  </si>
  <si>
    <t>character_archphase_01</t>
  </si>
  <si>
    <t>character_crimson_01</t>
  </si>
  <si>
    <t>character_shale_01</t>
  </si>
  <si>
    <t>Order</t>
    <phoneticPr fontId="1" type="noConversion"/>
  </si>
  <si>
    <t>int</t>
    <phoneticPr fontId="1" type="noConversion"/>
  </si>
  <si>
    <t>string</t>
    <phoneticPr fontId="1" type="noConversion"/>
  </si>
  <si>
    <t>client</t>
    <phoneticPr fontId="1" type="noConversion"/>
  </si>
  <si>
    <t>#내용</t>
    <phoneticPr fontId="1" type="noConversion"/>
  </si>
  <si>
    <t>Author</t>
    <phoneticPr fontId="1" type="noConversion"/>
  </si>
  <si>
    <t>$InstarseedProfile</t>
  </si>
  <si>
    <t>$InstarseedProfile</t>
    <phoneticPr fontId="1" type="noConversion"/>
  </si>
  <si>
    <t>common</t>
    <phoneticPr fontId="1" type="noConversion"/>
  </si>
  <si>
    <t>#댓글 작성자</t>
    <phoneticPr fontId="1" type="noConversion"/>
  </si>
  <si>
    <t>MatchID</t>
    <phoneticPr fontId="1" type="noConversion"/>
  </si>
  <si>
    <t>MatchReply</t>
    <phoneticPr fontId="1" type="noConversion"/>
  </si>
  <si>
    <t>#대댓글 매칭</t>
    <phoneticPr fontId="1" type="noConversion"/>
  </si>
  <si>
    <t>long?</t>
    <phoneticPr fontId="1" type="noConversion"/>
  </si>
  <si>
    <t>$InstarseedPost</t>
    <phoneticPr fontId="1" type="noConversion"/>
  </si>
  <si>
    <t>Desc</t>
    <phoneticPr fontId="1" type="noConversion"/>
  </si>
  <si>
    <t>#캐릭터 프로필 문구</t>
    <phoneticPr fontId="1" type="noConversion"/>
  </si>
  <si>
    <t>메리샤</t>
  </si>
  <si>
    <t>릴리안</t>
  </si>
  <si>
    <t>다리아</t>
  </si>
  <si>
    <t>스노프릴</t>
  </si>
  <si>
    <t>앤</t>
  </si>
  <si>
    <t>타이나</t>
  </si>
  <si>
    <t>다이아나</t>
  </si>
  <si>
    <t>세라펄사</t>
  </si>
  <si>
    <t>아이라스</t>
  </si>
  <si>
    <t>앰브로시아</t>
  </si>
  <si>
    <t>시아</t>
  </si>
  <si>
    <t>메아</t>
  </si>
  <si>
    <t>레이첼</t>
  </si>
  <si>
    <t>이사벨라</t>
  </si>
  <si>
    <t>발렌시아</t>
  </si>
  <si>
    <t>벨리타</t>
  </si>
  <si>
    <t>베르베타</t>
  </si>
  <si>
    <t>아셀스</t>
  </si>
  <si>
    <t>안젤리카</t>
  </si>
  <si>
    <t>브륀힐데</t>
  </si>
  <si>
    <t>유나</t>
  </si>
  <si>
    <t>그레이</t>
  </si>
  <si>
    <t>페이</t>
  </si>
  <si>
    <t>아이렌</t>
  </si>
  <si>
    <t>클레아스</t>
  </si>
  <si>
    <t>프레이야</t>
  </si>
  <si>
    <t>에라디카</t>
  </si>
  <si>
    <t>카나타</t>
  </si>
  <si>
    <t>이드</t>
  </si>
  <si>
    <t>아크페이즈</t>
  </si>
  <si>
    <t>쉐리</t>
  </si>
  <si>
    <t>패트리샤</t>
  </si>
  <si>
    <t>레나스</t>
  </si>
  <si>
    <t>라일라</t>
  </si>
  <si>
    <t>에리카</t>
  </si>
  <si>
    <t>에이코</t>
  </si>
  <si>
    <t>크림슨</t>
  </si>
  <si>
    <t>페렐</t>
  </si>
  <si>
    <t>이노</t>
  </si>
  <si>
    <t>마나</t>
  </si>
  <si>
    <t>오로라</t>
  </si>
  <si>
    <t>유리지아</t>
  </si>
  <si>
    <t>샤레</t>
  </si>
  <si>
    <t>레이호우</t>
  </si>
  <si>
    <t>헬렌</t>
  </si>
  <si>
    <t>할로나</t>
  </si>
  <si>
    <t>엘리나</t>
  </si>
  <si>
    <t>시즈</t>
  </si>
  <si>
    <t>#</t>
    <phoneticPr fontId="1" type="noConversion"/>
  </si>
  <si>
    <t>#이름</t>
    <phoneticPr fontId="1" type="noConversion"/>
  </si>
  <si>
    <t>Name.Character.itus</t>
  </si>
  <si>
    <t>Name.Character.lilian</t>
  </si>
  <si>
    <t>Name.Character.daria</t>
  </si>
  <si>
    <t>Name.Character.snopril</t>
  </si>
  <si>
    <t>Name.Character.anne</t>
  </si>
  <si>
    <t>Name.Character.taina</t>
  </si>
  <si>
    <t>Name.Character.diana</t>
  </si>
  <si>
    <t>Name.Character.lue</t>
  </si>
  <si>
    <t>Name.Character.kaito.aile</t>
  </si>
  <si>
    <t>Name.Character.serapulsar</t>
  </si>
  <si>
    <t>Name.Character.iras</t>
  </si>
  <si>
    <t>Name.Character.ambrosia</t>
  </si>
  <si>
    <t>Name.Character.sia</t>
  </si>
  <si>
    <t>Name.Character.mea</t>
  </si>
  <si>
    <t>Name.Character.rachel</t>
  </si>
  <si>
    <t>Name.Character.isabella</t>
  </si>
  <si>
    <t>Name.Character.balencia</t>
  </si>
  <si>
    <t>Name.Character.belita</t>
  </si>
  <si>
    <t>Name.Character.belebeta</t>
  </si>
  <si>
    <t>Name.Character.arcels</t>
  </si>
  <si>
    <t>Name.Character.angelica</t>
  </si>
  <si>
    <t>Name.Character.brynhild</t>
  </si>
  <si>
    <t>Name.Character.yuna</t>
  </si>
  <si>
    <t>Name.Character.gray</t>
  </si>
  <si>
    <t>Name.Character.fei</t>
  </si>
  <si>
    <t>Name.Character.airen</t>
  </si>
  <si>
    <t>Name.Character.klairs</t>
  </si>
  <si>
    <t>Name.Character.ermeil</t>
  </si>
  <si>
    <t>Name.Character.freyja</t>
  </si>
  <si>
    <t>Name.Character.eradica</t>
  </si>
  <si>
    <t>Name.Character.kanata</t>
  </si>
  <si>
    <t>Name.Character.id</t>
  </si>
  <si>
    <t>Name.Character.archphase</t>
  </si>
  <si>
    <t>Name.Character.shery</t>
  </si>
  <si>
    <t>Name.Character.patricia</t>
  </si>
  <si>
    <t>Name.Character.renas</t>
  </si>
  <si>
    <t>Name.Character.leila</t>
  </si>
  <si>
    <t>Name.Character.erica</t>
  </si>
  <si>
    <t>Name.Character.eiko</t>
  </si>
  <si>
    <t>Name.Character.crimson</t>
  </si>
  <si>
    <t>Name.Character.ferrel</t>
  </si>
  <si>
    <t>Name.Character.ino</t>
  </si>
  <si>
    <t>Name.Character.mana</t>
  </si>
  <si>
    <t>Name.Character.aurora</t>
  </si>
  <si>
    <t>Name.Character.iolet</t>
  </si>
  <si>
    <t>Name.Character.yurizia</t>
  </si>
  <si>
    <t>Name.Character.shale</t>
  </si>
  <si>
    <t>Name.Character.rayhou</t>
  </si>
  <si>
    <t>Name.Character.hellen</t>
  </si>
  <si>
    <t>Name.Character.hallona</t>
  </si>
  <si>
    <t>Name.Character.elina</t>
  </si>
  <si>
    <t>Name.Character.siege</t>
  </si>
  <si>
    <t>Name.Character.reen</t>
  </si>
  <si>
    <t>character_diana_01</t>
  </si>
  <si>
    <t>character_itus_01</t>
  </si>
  <si>
    <t>character_melissa_01</t>
  </si>
  <si>
    <t>character_lilian_01</t>
  </si>
  <si>
    <t>character_daria_01</t>
  </si>
  <si>
    <t>character_snopril_01</t>
  </si>
  <si>
    <t>character_anne_01</t>
  </si>
  <si>
    <t>character_taina_01</t>
  </si>
  <si>
    <t>character_lue_01</t>
  </si>
  <si>
    <t>character_kaito.aile_01</t>
  </si>
  <si>
    <t>character_serapulsar_01</t>
  </si>
  <si>
    <t>character_iras_01</t>
  </si>
  <si>
    <t>character_ambrosia_01</t>
  </si>
  <si>
    <t>character_sia_01</t>
  </si>
  <si>
    <t>character_mea_01</t>
  </si>
  <si>
    <t>character_rachel_01</t>
  </si>
  <si>
    <t>character_isabella_01</t>
  </si>
  <si>
    <t>character_balencia_01</t>
  </si>
  <si>
    <t>character_belita_01</t>
  </si>
  <si>
    <t>character_belebeta_01</t>
  </si>
  <si>
    <t>character_arcels_01</t>
  </si>
  <si>
    <t>character_angelica_01</t>
  </si>
  <si>
    <t>character_brynhild_01</t>
  </si>
  <si>
    <t>character_yuna_01</t>
  </si>
  <si>
    <t>character_gray_01</t>
  </si>
  <si>
    <t>character_fei_01</t>
  </si>
  <si>
    <t>character_klairs_01</t>
  </si>
  <si>
    <t>character_ermeil_01</t>
  </si>
  <si>
    <t>character_freyja_01</t>
  </si>
  <si>
    <t>character_eradica_01</t>
  </si>
  <si>
    <t>character_kanata_01</t>
  </si>
  <si>
    <t>character_id_01</t>
  </si>
  <si>
    <t>character_shery_01</t>
  </si>
  <si>
    <t>character_patricia_01</t>
  </si>
  <si>
    <t>character_renas_01</t>
  </si>
  <si>
    <t>character_leila_01</t>
  </si>
  <si>
    <t>character_erica_01</t>
  </si>
  <si>
    <t>character_eiko_01</t>
  </si>
  <si>
    <t>character_ferrel_01</t>
  </si>
  <si>
    <t>character_ino_01</t>
  </si>
  <si>
    <t>character_iolet_01</t>
  </si>
  <si>
    <t>character_yurizia_01</t>
  </si>
  <si>
    <t>character_rayhou_01</t>
  </si>
  <si>
    <t>character_hellen_01</t>
  </si>
  <si>
    <t>character_hallona_01</t>
  </si>
  <si>
    <t>character_elina_01</t>
  </si>
  <si>
    <t>character_siege_01</t>
  </si>
  <si>
    <t>character_reen_01</t>
  </si>
  <si>
    <t>#게시물설명</t>
    <phoneticPr fontId="1" type="noConversion"/>
  </si>
  <si>
    <t>아이렌 10레벨 달성</t>
    <phoneticPr fontId="1" type="noConversion"/>
  </si>
  <si>
    <t>아이렌 SR등급 달성</t>
    <phoneticPr fontId="1" type="noConversion"/>
  </si>
  <si>
    <t>아이렌 스토리 1번 완료</t>
    <phoneticPr fontId="1" type="noConversion"/>
  </si>
  <si>
    <t>메인 스토리 1번 완료</t>
    <phoneticPr fontId="1" type="noConversion"/>
  </si>
  <si>
    <t>링크 1레벨 달성 (돌격프록시안훈련소)</t>
    <phoneticPr fontId="1" type="noConversion"/>
  </si>
  <si>
    <t>팩션 스토리 순수예술과 1번 완료</t>
    <phoneticPr fontId="1" type="noConversion"/>
  </si>
  <si>
    <t>1섹터 보스 스테이지(30) 클리어</t>
    <phoneticPr fontId="1" type="noConversion"/>
  </si>
  <si>
    <t>린(N등급)</t>
    <phoneticPr fontId="1" type="noConversion"/>
  </si>
  <si>
    <t>이올렛(N등급)</t>
    <phoneticPr fontId="1" type="noConversion"/>
  </si>
  <si>
    <t>에르메일(N등급)</t>
    <phoneticPr fontId="1" type="noConversion"/>
  </si>
  <si>
    <t>루(N등급)</t>
    <phoneticPr fontId="1" type="noConversion"/>
  </si>
  <si>
    <t>이드(업데이트)</t>
    <phoneticPr fontId="1" type="noConversion"/>
  </si>
  <si>
    <t>앤(업데이트)</t>
    <phoneticPr fontId="1" type="noConversion"/>
  </si>
  <si>
    <t>시아(업데이트)</t>
    <phoneticPr fontId="1" type="noConversion"/>
  </si>
  <si>
    <t>에라디카(업데이트)</t>
    <phoneticPr fontId="1" type="noConversion"/>
  </si>
  <si>
    <t>아이투스(업데이트)</t>
    <phoneticPr fontId="1" type="noConversion"/>
  </si>
  <si>
    <t>괴도 엘(업데이트)</t>
    <phoneticPr fontId="1" type="noConversion"/>
  </si>
  <si>
    <t>할로나(업데이트)</t>
    <phoneticPr fontId="1" type="noConversion"/>
  </si>
  <si>
    <t>프레데리카(업데이트)</t>
    <phoneticPr fontId="1" type="noConversion"/>
  </si>
  <si>
    <t>아이렌 - 최초</t>
    <phoneticPr fontId="1" type="noConversion"/>
  </si>
  <si>
    <t>앰브로시아 - 최초</t>
    <phoneticPr fontId="1" type="noConversion"/>
  </si>
  <si>
    <t>오로라 (영상) - 최초</t>
    <phoneticPr fontId="1" type="noConversion"/>
  </si>
  <si>
    <t>시즈 - 최초</t>
    <phoneticPr fontId="1" type="noConversion"/>
  </si>
  <si>
    <t>마나 - 최초</t>
    <phoneticPr fontId="1" type="noConversion"/>
  </si>
  <si>
    <t>#타입구분</t>
    <phoneticPr fontId="1" type="noConversion"/>
  </si>
  <si>
    <t>#포스팅구분</t>
    <phoneticPr fontId="1" type="noConversion"/>
  </si>
  <si>
    <t>0001</t>
    <phoneticPr fontId="1" type="noConversion"/>
  </si>
  <si>
    <t>0002</t>
    <phoneticPr fontId="1" type="noConversion"/>
  </si>
  <si>
    <t>0003</t>
  </si>
  <si>
    <t>0004</t>
  </si>
  <si>
    <t>0005</t>
  </si>
  <si>
    <t>0006</t>
  </si>
  <si>
    <t>0007</t>
  </si>
  <si>
    <t>0008</t>
  </si>
  <si>
    <t>0009</t>
  </si>
  <si>
    <t>0010</t>
  </si>
  <si>
    <t>0101</t>
  </si>
  <si>
    <t>0102</t>
  </si>
  <si>
    <t>0103</t>
  </si>
  <si>
    <t>0201</t>
  </si>
  <si>
    <t>0202</t>
  </si>
  <si>
    <t>0203</t>
  </si>
  <si>
    <t>0301</t>
  </si>
  <si>
    <t>0302</t>
  </si>
  <si>
    <t>0303</t>
  </si>
  <si>
    <t>0401</t>
  </si>
  <si>
    <t>0402</t>
  </si>
  <si>
    <t>0403</t>
  </si>
  <si>
    <t>0501</t>
  </si>
  <si>
    <t>0502</t>
  </si>
  <si>
    <t>0601</t>
  </si>
  <si>
    <t>0602</t>
  </si>
  <si>
    <t>0603</t>
  </si>
  <si>
    <t>0701</t>
  </si>
  <si>
    <t>0702</t>
  </si>
  <si>
    <t>0801</t>
  </si>
  <si>
    <t>0802</t>
  </si>
  <si>
    <t>0901</t>
  </si>
  <si>
    <t>0902</t>
  </si>
  <si>
    <t>1001</t>
  </si>
  <si>
    <t>1002</t>
  </si>
  <si>
    <t>1201</t>
  </si>
  <si>
    <t>1301</t>
  </si>
  <si>
    <t>1302</t>
  </si>
  <si>
    <t>1401</t>
  </si>
  <si>
    <t>RatioC</t>
  </si>
  <si>
    <t>Video</t>
  </si>
  <si>
    <t>#오픈스펙에서 퀵무브기능은 사용하지않음 (기능은 동작함)</t>
    <phoneticPr fontId="1" type="noConversion"/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</si>
  <si>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</si>
  <si>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</si>
  <si>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</si>
  <si>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</si>
  <si>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</si>
  <si>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</si>
  <si>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</si>
  <si>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</si>
  <si>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</si>
  <si>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</si>
  <si>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</si>
  <si>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</si>
  <si>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</si>
  <si>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</si>
  <si>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</si>
  <si>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</si>
  <si>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</si>
  <si>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</si>
  <si>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</si>
  <si>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</si>
  <si>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</si>
  <si>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</si>
  <si>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</si>
  <si>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</si>
  <si>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</si>
  <si>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</si>
  <si>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</si>
  <si>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</si>
  <si>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</si>
  <si>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</si>
  <si>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</si>
  <si>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</si>
  <si>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</si>
  <si>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</si>
  <si>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</si>
  <si>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라일라 - 팔로우</t>
    <phoneticPr fontId="1" type="noConversion"/>
  </si>
  <si>
    <t>레나스 - 팔로우</t>
    <phoneticPr fontId="1" type="noConversion"/>
  </si>
  <si>
    <t>샤레 - 팔로우</t>
    <phoneticPr fontId="1" type="noConversion"/>
  </si>
  <si>
    <t>레이호우 - 팔로우</t>
    <phoneticPr fontId="1" type="noConversion"/>
  </si>
  <si>
    <t>패트리샤 - 팔로우</t>
    <phoneticPr fontId="1" type="noConversion"/>
  </si>
  <si>
    <t>아이라스 - 팔로우</t>
    <phoneticPr fontId="1" type="noConversion"/>
  </si>
  <si>
    <t>아크페이즈 - 팔로우</t>
    <phoneticPr fontId="1" type="noConversion"/>
  </si>
  <si>
    <t>베르베타 - 팔로우</t>
    <phoneticPr fontId="1" type="noConversion"/>
  </si>
  <si>
    <t>벨리타 - 팔로우</t>
    <phoneticPr fontId="1" type="noConversion"/>
  </si>
  <si>
    <t>안젤리카 - 팔로우</t>
    <phoneticPr fontId="1" type="noConversion"/>
  </si>
  <si>
    <t>에리카 - 팔로우</t>
    <phoneticPr fontId="1" type="noConversion"/>
  </si>
  <si>
    <t>크림슨 - 팔로우</t>
    <phoneticPr fontId="1" type="noConversion"/>
  </si>
  <si>
    <t>페렐 - 팔로우</t>
    <phoneticPr fontId="1" type="noConversion"/>
  </si>
  <si>
    <t>발렌시아 - 팔로우</t>
    <phoneticPr fontId="1" type="noConversion"/>
  </si>
  <si>
    <t>페이 - 팔로우</t>
    <phoneticPr fontId="1" type="noConversion"/>
  </si>
  <si>
    <t>이사벨라 - 팔로우</t>
    <phoneticPr fontId="1" type="noConversion"/>
  </si>
  <si>
    <t>릴리안 - 팔로우</t>
    <phoneticPr fontId="1" type="noConversion"/>
  </si>
  <si>
    <t>아셀스 - 팔로우</t>
    <phoneticPr fontId="1" type="noConversion"/>
  </si>
  <si>
    <t>스노프릴 - 팔로우</t>
    <phoneticPr fontId="1" type="noConversion"/>
  </si>
  <si>
    <t>유나 - 팔로우</t>
    <phoneticPr fontId="1" type="noConversion"/>
  </si>
  <si>
    <t>이노 - 팔로우</t>
    <phoneticPr fontId="1" type="noConversion"/>
  </si>
  <si>
    <t>엘리나 - 팔로우</t>
    <phoneticPr fontId="1" type="noConversion"/>
  </si>
  <si>
    <t>헬렌 - 팔로우</t>
    <phoneticPr fontId="1" type="noConversion"/>
  </si>
  <si>
    <t>다리아 - 팔로우</t>
    <phoneticPr fontId="1" type="noConversion"/>
  </si>
  <si>
    <t>그레이 - 팔로우</t>
    <phoneticPr fontId="1" type="noConversion"/>
  </si>
  <si>
    <t>메아 - 팔로우</t>
    <phoneticPr fontId="1" type="noConversion"/>
  </si>
  <si>
    <t>타이나 - 팔로우</t>
    <phoneticPr fontId="1" type="noConversion"/>
  </si>
  <si>
    <t>이드(업데이트) - 팔로우</t>
    <phoneticPr fontId="1" type="noConversion"/>
  </si>
  <si>
    <t>앤(업데이트) - 팔로우</t>
    <phoneticPr fontId="1" type="noConversion"/>
  </si>
  <si>
    <t>시아(업데이트) - 팔로우</t>
    <phoneticPr fontId="1" type="noConversion"/>
  </si>
  <si>
    <t>에라디카(업데이트) - 팔로우</t>
    <phoneticPr fontId="1" type="noConversion"/>
  </si>
  <si>
    <t>아이투스(업데이트) - 팔로우</t>
    <phoneticPr fontId="1" type="noConversion"/>
  </si>
  <si>
    <t>괴도 엘(업데이트) - 팔로우</t>
    <phoneticPr fontId="1" type="noConversion"/>
  </si>
  <si>
    <t>할로나(업데이트) - 팔로우</t>
    <phoneticPr fontId="1" type="noConversion"/>
  </si>
  <si>
    <t>프레데리카(업데이트) - 팔로우</t>
    <phoneticPr fontId="1" type="noConversion"/>
  </si>
  <si>
    <t>메리샤 - 팔로우</t>
    <phoneticPr fontId="1" type="noConversion"/>
  </si>
  <si>
    <t>다이아나 - 팔로우</t>
    <phoneticPr fontId="1" type="noConversion"/>
  </si>
  <si>
    <t>브륀힐데 - 팔로우</t>
    <phoneticPr fontId="1" type="noConversion"/>
  </si>
  <si>
    <t>클레아스 - 팔로우</t>
    <phoneticPr fontId="1" type="noConversion"/>
  </si>
  <si>
    <t>쉐리 - 팔로우</t>
    <phoneticPr fontId="1" type="noConversion"/>
  </si>
  <si>
    <t>0003</t>
    <phoneticPr fontId="1" type="noConversion"/>
  </si>
  <si>
    <t>0006</t>
    <phoneticPr fontId="1" type="noConversion"/>
  </si>
  <si>
    <t>오로라 - 13일차</t>
    <phoneticPr fontId="1" type="noConversion"/>
  </si>
  <si>
    <t>라일라 - 14일차</t>
    <phoneticPr fontId="1" type="noConversion"/>
  </si>
  <si>
    <t>#ID=캐릭터ID+10 (캐릭터ID가 너무 길어서 앞 1010은 제외)</t>
    <phoneticPr fontId="1" type="noConversion"/>
  </si>
  <si>
    <t>#ID=게시물ID+오더</t>
    <phoneticPr fontId="1" type="noConversion"/>
  </si>
  <si>
    <t>FollowerIcon</t>
    <phoneticPr fontId="1" type="noConversion"/>
  </si>
  <si>
    <t>FollowingIcon</t>
    <phoneticPr fontId="1" type="noConversion"/>
  </si>
  <si>
    <t>#팔로워 아이콘</t>
    <phoneticPr fontId="1" type="noConversion"/>
  </si>
  <si>
    <t>#팔로잉 아이콘</t>
    <phoneticPr fontId="1" type="noConversion"/>
  </si>
  <si>
    <t>common</t>
    <phoneticPr fontId="1" type="noConversion"/>
  </si>
  <si>
    <t>Reward</t>
    <phoneticPr fontId="1" type="noConversion"/>
  </si>
  <si>
    <t>$Reward?</t>
    <phoneticPr fontId="1" type="noConversion"/>
  </si>
  <si>
    <t>#보상</t>
    <phoneticPr fontId="1" type="noConversion"/>
  </si>
  <si>
    <t>아이렌 호감도 2레벨 달성</t>
    <phoneticPr fontId="1" type="noConversion"/>
  </si>
  <si>
    <t>기간 테스트</t>
    <phoneticPr fontId="1" type="noConversion"/>
  </si>
  <si>
    <t>#기간 설정 (UTC)</t>
    <phoneticPr fontId="1" type="noConversion"/>
  </si>
  <si>
    <t>instarseed_Follower_01</t>
    <phoneticPr fontId="1" type="noConversion"/>
  </si>
  <si>
    <t>instarseed_Follower_09</t>
    <phoneticPr fontId="1" type="noConversion"/>
  </si>
  <si>
    <t>instarseed_Follower_06</t>
    <phoneticPr fontId="1" type="noConversion"/>
  </si>
  <si>
    <t>instarseed_Follower_04</t>
    <phoneticPr fontId="1" type="noConversion"/>
  </si>
  <si>
    <t>instarseed_Follower_05</t>
    <phoneticPr fontId="1" type="noConversion"/>
  </si>
  <si>
    <t>instarseed_Follower_07</t>
    <phoneticPr fontId="1" type="noConversion"/>
  </si>
  <si>
    <t>instarseed_Follower_03</t>
    <phoneticPr fontId="1" type="noConversion"/>
  </si>
  <si>
    <t>instarseed_Follower_02</t>
    <phoneticPr fontId="1" type="noConversion"/>
  </si>
  <si>
    <t>instarseed_Follower_08</t>
    <phoneticPr fontId="1" type="noConversion"/>
  </si>
  <si>
    <t>instarseed_Follower_10</t>
    <phoneticPr fontId="1" type="noConversion"/>
  </si>
  <si>
    <t>프레이야(업데이트)</t>
    <phoneticPr fontId="1" type="noConversion"/>
  </si>
  <si>
    <t>카나타(업데이트)</t>
    <phoneticPr fontId="1" type="noConversion"/>
  </si>
  <si>
    <t>레이첼(업데이트)</t>
    <phoneticPr fontId="1" type="noConversion"/>
  </si>
  <si>
    <t>레이첼(업데이트) - 팔로우</t>
    <phoneticPr fontId="1" type="noConversion"/>
  </si>
  <si>
    <t>프레이야(업데이트) - 팔로우</t>
    <phoneticPr fontId="1" type="noConversion"/>
  </si>
  <si>
    <t>카나타(업데이트) - 팔로우</t>
    <phoneticPr fontId="1" type="noConversion"/>
  </si>
  <si>
    <t>유리지아(업데이트) - 팔로우</t>
    <phoneticPr fontId="1" type="noConversion"/>
  </si>
  <si>
    <t>1101</t>
    <phoneticPr fontId="1" type="noConversion"/>
  </si>
  <si>
    <t>#정규 데이터 테스트</t>
    <phoneticPr fontId="1" type="noConversion"/>
  </si>
  <si>
    <t>마릴라이트(NPC)</t>
  </si>
  <si>
    <t>마릴라이트(NPC)</t>
    <phoneticPr fontId="1" type="noConversion"/>
  </si>
  <si>
    <t>Name.Character.Mother</t>
  </si>
  <si>
    <t>Name.Character.Luyten</t>
    <phoneticPr fontId="12" type="noConversion"/>
  </si>
  <si>
    <t>Name.Character.Pollux</t>
    <phoneticPr fontId="12" type="noConversion"/>
  </si>
  <si>
    <t>Name.Character.Ehrii</t>
    <phoneticPr fontId="12" type="noConversion"/>
  </si>
  <si>
    <t>루이텐(NPC)</t>
    <phoneticPr fontId="12" type="noConversion"/>
  </si>
  <si>
    <t>폴럭스(NPC)</t>
    <phoneticPr fontId="12" type="noConversion"/>
  </si>
  <si>
    <t>에리이(NPC)</t>
    <phoneticPr fontId="12" type="noConversion"/>
  </si>
  <si>
    <t>character_pollux_01</t>
    <phoneticPr fontId="1" type="noConversion"/>
  </si>
  <si>
    <t>character_luyten_01</t>
    <phoneticPr fontId="1" type="noConversion"/>
  </si>
  <si>
    <t>character_ehrii_01</t>
    <phoneticPr fontId="1" type="noConversion"/>
  </si>
  <si>
    <t>#게시물 설명</t>
    <phoneticPr fontId="1" type="noConversion"/>
  </si>
  <si>
    <t>SNS테스트(전투참여 1회)</t>
    <phoneticPr fontId="1" type="noConversion"/>
  </si>
  <si>
    <t>SNS테스트(데이터타워 1회)</t>
    <phoneticPr fontId="1" type="noConversion"/>
  </si>
  <si>
    <t>SNS테스트(아카데미 1회)</t>
    <phoneticPr fontId="1" type="noConversion"/>
  </si>
  <si>
    <t>SNS테스트(아카데미 SR 달성)</t>
    <phoneticPr fontId="1" type="noConversion"/>
  </si>
  <si>
    <t>SNS테스트(선물 SSR 1개 사용)</t>
    <phoneticPr fontId="1" type="noConversion"/>
  </si>
  <si>
    <t>SNS테스트(미션완료)</t>
    <phoneticPr fontId="1" type="noConversion"/>
  </si>
  <si>
    <t>아이렌 교류 테스트</t>
    <phoneticPr fontId="1" type="noConversion"/>
  </si>
  <si>
    <t>에이코</t>
    <phoneticPr fontId="1" type="noConversion"/>
  </si>
  <si>
    <t>#기능 테스트 케이스</t>
    <phoneticPr fontId="1" type="noConversion"/>
  </si>
  <si>
    <t>#조건 테스트 케이스</t>
    <phoneticPr fontId="1" type="noConversion"/>
  </si>
  <si>
    <t>앰브로시아 - 기능 테스트</t>
    <phoneticPr fontId="1" type="noConversion"/>
  </si>
  <si>
    <t>에이코 - 팔로우</t>
    <phoneticPr fontId="1" type="noConversion"/>
  </si>
  <si>
    <t>QuickMove.Gacha</t>
    <phoneticPr fontId="1" type="noConversion"/>
  </si>
  <si>
    <t>검색(뽑기) 상점으로 이동</t>
    <phoneticPr fontId="1" type="noConversion"/>
  </si>
  <si>
    <t>Post.Unlock.Reply.Text_0002_01</t>
  </si>
  <si>
    <t>폴럭스(NPC)</t>
    <phoneticPr fontId="12" type="noConversion"/>
  </si>
  <si>
    <t>Post.Unlock.Reply.Text_0002_02</t>
  </si>
  <si>
    <t>Post.Unlock.Reply.Text_0002_02_01</t>
  </si>
  <si>
    <t>다이아나</t>
    <phoneticPr fontId="1" type="noConversion"/>
  </si>
  <si>
    <t>Post.Unlock.Reply.Text_0002_03</t>
    <phoneticPr fontId="1" type="noConversion"/>
  </si>
  <si>
    <t>앰브로시아</t>
    <phoneticPr fontId="1" type="noConversion"/>
  </si>
  <si>
    <t>Post.Unlock.Reply.Text_0002_04</t>
  </si>
  <si>
    <t>이노</t>
    <phoneticPr fontId="1" type="noConversion"/>
  </si>
  <si>
    <t>이노</t>
    <phoneticPr fontId="1" type="noConversion"/>
  </si>
  <si>
    <t>Post.Unlock.Reply.Text_0002_05</t>
  </si>
  <si>
    <t>Post.Unlock.Reply.Text_0003_01</t>
  </si>
  <si>
    <t>Post.Unlock.Reply.Text_0003_01_01</t>
  </si>
  <si>
    <t>레이첼</t>
    <phoneticPr fontId="1" type="noConversion"/>
  </si>
  <si>
    <t>Post.Unlock.Reply.Text_0003_02</t>
  </si>
  <si>
    <t>Post.Unlock.Reply.Text_0003_02_01</t>
  </si>
  <si>
    <t>크림슨</t>
    <phoneticPr fontId="1" type="noConversion"/>
  </si>
  <si>
    <t>쉐리</t>
    <phoneticPr fontId="1" type="noConversion"/>
  </si>
  <si>
    <t>Post.Unlock.Reply.Text_0003_03_01</t>
  </si>
  <si>
    <t>Post.Unlock.Reply.Text_0005_01</t>
  </si>
  <si>
    <t>Post.Unlock.Reply.Text_0005_02</t>
  </si>
  <si>
    <t>Post.Unlock.Reply.Text_0005_02_01</t>
  </si>
  <si>
    <t>유나</t>
    <phoneticPr fontId="1" type="noConversion"/>
  </si>
  <si>
    <t>Post.Unlock.Reply.Text_0005_03</t>
  </si>
  <si>
    <t>마나</t>
    <phoneticPr fontId="1" type="noConversion"/>
  </si>
  <si>
    <t>Post.Unlock.Reply.Text_0005_03_01</t>
  </si>
  <si>
    <t>아크페이즈</t>
    <phoneticPr fontId="1" type="noConversion"/>
  </si>
  <si>
    <t>Post.Unlock.Reply.Text_0005_04</t>
  </si>
  <si>
    <t>Post.Unlock.Reply.Text_0006_01</t>
  </si>
  <si>
    <t>Post.Unlock.Reply.Text_0006_02</t>
  </si>
  <si>
    <t>Post.Unlock.Reply.Text_0006_02_01</t>
  </si>
  <si>
    <t>Post.Unlock.Reply.Text_0006_02_02</t>
  </si>
  <si>
    <t>시즈</t>
    <phoneticPr fontId="1" type="noConversion"/>
  </si>
  <si>
    <t>시즈</t>
    <phoneticPr fontId="1" type="noConversion"/>
  </si>
  <si>
    <t>Post.Unlock.Reply.Text_0006_03</t>
  </si>
  <si>
    <t>페이</t>
    <phoneticPr fontId="1" type="noConversion"/>
  </si>
  <si>
    <t>Post.Unlock.Reply.Text_0006_03_01</t>
  </si>
  <si>
    <t>Post.Unlock.Reply.Text_0006_03_02</t>
  </si>
  <si>
    <t>Post.Unlock.Reply.Text_0007_01</t>
  </si>
  <si>
    <t>Post.Unlock.Reply.Text_0007_01_01</t>
  </si>
  <si>
    <t>루이텐(NPC)</t>
    <phoneticPr fontId="12" type="noConversion"/>
  </si>
  <si>
    <t>Post.Unlock.Reply.Text_0007_02</t>
  </si>
  <si>
    <t>Post.Unlock.Reply.Text_0007_02_01</t>
  </si>
  <si>
    <t>Post.Unlock.Reply.Text_0007_02_02</t>
  </si>
  <si>
    <t>크림슨</t>
    <phoneticPr fontId="1" type="noConversion"/>
  </si>
  <si>
    <t>Post.Unlock.Reply.Text_0007_03</t>
  </si>
  <si>
    <t>메아</t>
    <phoneticPr fontId="1" type="noConversion"/>
  </si>
  <si>
    <t>Post.Unlock.Reply.Text_0007_03_01</t>
  </si>
  <si>
    <t>오로라</t>
    <phoneticPr fontId="1" type="noConversion"/>
  </si>
  <si>
    <t>Post.Unlock.Reply.Text_0007_03_02</t>
  </si>
  <si>
    <t>Post.Unlock.Reply.Text_0008_01</t>
  </si>
  <si>
    <t>Post.Unlock.Reply.Text_0008_01_01</t>
  </si>
  <si>
    <t>Post.Unlock.Reply.Text_0008_01_02</t>
  </si>
  <si>
    <t>Post.Unlock.Reply.Text_0008_02</t>
  </si>
  <si>
    <t>Post.Unlock.Reply.Text_0008_02_01</t>
  </si>
  <si>
    <t>오로라</t>
    <phoneticPr fontId="1" type="noConversion"/>
  </si>
  <si>
    <t>Post.Unlock.Reply.Text_0008_03</t>
  </si>
  <si>
    <t>Post.Unlock.Reply.Text_0008_03_01</t>
  </si>
  <si>
    <t>다이아나</t>
    <phoneticPr fontId="1" type="noConversion"/>
  </si>
  <si>
    <t>Post.Unlock.Reply.Text_0008_03_02</t>
  </si>
  <si>
    <t>시즈</t>
    <phoneticPr fontId="1" type="noConversion"/>
  </si>
  <si>
    <t>Post.Unlock.Reply.Text_0008_03_03</t>
  </si>
  <si>
    <t>Post.Unlock.Reply.Text_0009_01</t>
  </si>
  <si>
    <t>Post.Unlock.Reply.Text_0009_01_01</t>
  </si>
  <si>
    <t>Post.Unlock.Reply.Text_0009_02</t>
  </si>
  <si>
    <t>Post.Unlock.Reply.Text_0009_02_01</t>
  </si>
  <si>
    <t>Post.Unlock.Reply.Text_0010_01</t>
  </si>
  <si>
    <t>Post.Unlock.Reply.Text_0010_02</t>
  </si>
  <si>
    <t>Post.Unlock.Reply.Text_0010_02_01</t>
  </si>
  <si>
    <t>클레아스</t>
    <phoneticPr fontId="1" type="noConversion"/>
  </si>
  <si>
    <t>클레아스</t>
    <phoneticPr fontId="1" type="noConversion"/>
  </si>
  <si>
    <t>Post.Bace.Reply.Text_0101_01</t>
  </si>
  <si>
    <t>이사벨라</t>
    <phoneticPr fontId="1" type="noConversion"/>
  </si>
  <si>
    <t>Post.Bace.Reply.Text_0101_01_01</t>
  </si>
  <si>
    <t>페렐</t>
    <phoneticPr fontId="1" type="noConversion"/>
  </si>
  <si>
    <t>페렐</t>
    <phoneticPr fontId="1" type="noConversion"/>
  </si>
  <si>
    <t>Post.Bace.Reply.Text_0101_02</t>
  </si>
  <si>
    <t>Post.Bace.Reply.Text_0101_02_01</t>
  </si>
  <si>
    <t>마나</t>
    <phoneticPr fontId="1" type="noConversion"/>
  </si>
  <si>
    <t>Post.Bace.Reply.Text_0101_03</t>
  </si>
  <si>
    <t>Post.Bace.Reply.Text_0101_03_01</t>
  </si>
  <si>
    <t>Post.Bace.Reply.Text_0101_03_02</t>
  </si>
  <si>
    <t>이사벨라</t>
    <phoneticPr fontId="1" type="noConversion"/>
  </si>
  <si>
    <t>Post.Bace.Reply.Text_0101_03_03</t>
  </si>
  <si>
    <t>샤레</t>
    <phoneticPr fontId="1" type="noConversion"/>
  </si>
  <si>
    <t>Post.Bace.Reply.Text_0103_01</t>
  </si>
  <si>
    <t>벨리타</t>
    <phoneticPr fontId="1" type="noConversion"/>
  </si>
  <si>
    <t>Post.Bace.Reply.Text_0103_02</t>
  </si>
  <si>
    <t>샤레</t>
    <phoneticPr fontId="1" type="noConversion"/>
  </si>
  <si>
    <t>Post.Bace.Reply.Text_0103_02_01</t>
  </si>
  <si>
    <t>Post.Bace.Reply.Text_0103_03</t>
  </si>
  <si>
    <t>베르베타</t>
    <phoneticPr fontId="1" type="noConversion"/>
  </si>
  <si>
    <t>Post.Bace.Reply.Text_0103_03_01</t>
  </si>
  <si>
    <t>Post.Bace.Reply.Text_0103_03_02</t>
  </si>
  <si>
    <t>Post.Bace.Reply.Text_0103_03_03</t>
  </si>
  <si>
    <t>에리카</t>
    <phoneticPr fontId="1" type="noConversion"/>
  </si>
  <si>
    <t>에리카</t>
    <phoneticPr fontId="1" type="noConversion"/>
  </si>
  <si>
    <t>Post.Bace.Reply.Text_0201_01</t>
    <phoneticPr fontId="1" type="noConversion"/>
  </si>
  <si>
    <t>다이아나</t>
    <phoneticPr fontId="1" type="noConversion"/>
  </si>
  <si>
    <t>Post.Bace.Reply.Text_0201_02</t>
    <phoneticPr fontId="1" type="noConversion"/>
  </si>
  <si>
    <t>다리아</t>
    <phoneticPr fontId="1" type="noConversion"/>
  </si>
  <si>
    <t>다리아</t>
    <phoneticPr fontId="1" type="noConversion"/>
  </si>
  <si>
    <t>Post.Bace.Reply.Text_0201_02_01</t>
    <phoneticPr fontId="1" type="noConversion"/>
  </si>
  <si>
    <t>Post.Bace.Reply.Text_0201_02_02</t>
    <phoneticPr fontId="1" type="noConversion"/>
  </si>
  <si>
    <t>앰브로시아</t>
    <phoneticPr fontId="1" type="noConversion"/>
  </si>
  <si>
    <t>Post.Bace.Reply.Text_0201_03</t>
    <phoneticPr fontId="1" type="noConversion"/>
  </si>
  <si>
    <t>레이호우</t>
    <phoneticPr fontId="1" type="noConversion"/>
  </si>
  <si>
    <t>Post.Bace.Reply.Text_0201_03_01</t>
    <phoneticPr fontId="1" type="noConversion"/>
  </si>
  <si>
    <t>에리카</t>
    <phoneticPr fontId="1" type="noConversion"/>
  </si>
  <si>
    <t>Post.Bace.Reply.Text_0201_03_02</t>
    <phoneticPr fontId="1" type="noConversion"/>
  </si>
  <si>
    <t>Post.Bace.Reply.Text_0201_03_03</t>
    <phoneticPr fontId="1" type="noConversion"/>
  </si>
  <si>
    <t>Post.Bace.Reply.Text_0202_01</t>
  </si>
  <si>
    <t>라일라</t>
    <phoneticPr fontId="1" type="noConversion"/>
  </si>
  <si>
    <t>Post.Bace.Reply.Text_0202_02</t>
  </si>
  <si>
    <t>안젤리카</t>
    <phoneticPr fontId="1" type="noConversion"/>
  </si>
  <si>
    <t>Post.Bace.Reply.Text_0202_02_01</t>
  </si>
  <si>
    <t>헬렌</t>
    <phoneticPr fontId="1" type="noConversion"/>
  </si>
  <si>
    <t>Post.Bace.Reply.Text_0202_03</t>
  </si>
  <si>
    <t>아이라스</t>
    <phoneticPr fontId="1" type="noConversion"/>
  </si>
  <si>
    <t>Post.Bace.Reply.Text_0202_04</t>
  </si>
  <si>
    <t>Post.Bace.Reply.Text_0203_01</t>
    <phoneticPr fontId="1" type="noConversion"/>
  </si>
  <si>
    <t>메리샤</t>
    <phoneticPr fontId="1" type="noConversion"/>
  </si>
  <si>
    <t>Post.Bace.Reply.Text_0203_02</t>
    <phoneticPr fontId="1" type="noConversion"/>
  </si>
  <si>
    <t>Post.Bace.Reply.Text_0203_02_01</t>
    <phoneticPr fontId="1" type="noConversion"/>
  </si>
  <si>
    <t>샤레</t>
    <phoneticPr fontId="1" type="noConversion"/>
  </si>
  <si>
    <t>Post.Bace.Reply.Text_0203_02_02</t>
    <phoneticPr fontId="1" type="noConversion"/>
  </si>
  <si>
    <t>유리지아</t>
    <phoneticPr fontId="1" type="noConversion"/>
  </si>
  <si>
    <t>Post.Bace.Reply.Text_0203_03</t>
    <phoneticPr fontId="1" type="noConversion"/>
  </si>
  <si>
    <t>이드</t>
    <phoneticPr fontId="1" type="noConversion"/>
  </si>
  <si>
    <t>Post.Bace.Reply.Text_0203_03_01</t>
    <phoneticPr fontId="1" type="noConversion"/>
  </si>
  <si>
    <t>Post.Bace.Reply.Text_0203_03_02</t>
    <phoneticPr fontId="1" type="noConversion"/>
  </si>
  <si>
    <t>메리샤</t>
    <phoneticPr fontId="1" type="noConversion"/>
  </si>
  <si>
    <t>Post.Bace.Reply.Text_0203_03_03</t>
    <phoneticPr fontId="1" type="noConversion"/>
  </si>
  <si>
    <t>Post.Bace.Reply.Text_0203_03_04</t>
    <phoneticPr fontId="1" type="noConversion"/>
  </si>
  <si>
    <t>Post.Bace.Reply.Text_0203_03_05</t>
    <phoneticPr fontId="1" type="noConversion"/>
  </si>
  <si>
    <t>타이나</t>
    <phoneticPr fontId="1" type="noConversion"/>
  </si>
  <si>
    <t>Post.Bace.Reply.Text_0302_01</t>
    <phoneticPr fontId="1" type="noConversion"/>
  </si>
  <si>
    <t>앤</t>
    <phoneticPr fontId="1" type="noConversion"/>
  </si>
  <si>
    <t>Post.Bace.Reply.Text_0302_01_01</t>
    <phoneticPr fontId="1" type="noConversion"/>
  </si>
  <si>
    <t>엘리나</t>
    <phoneticPr fontId="1" type="noConversion"/>
  </si>
  <si>
    <t>Post.Bace.Reply.Text_0302_02</t>
    <phoneticPr fontId="1" type="noConversion"/>
  </si>
  <si>
    <t>Post.Bace.Reply.Text_0302_02_01</t>
    <phoneticPr fontId="1" type="noConversion"/>
  </si>
  <si>
    <t>Post.Bace.Reply.Text_0302_03</t>
    <phoneticPr fontId="1" type="noConversion"/>
  </si>
  <si>
    <t>브륀힐데</t>
    <phoneticPr fontId="1" type="noConversion"/>
  </si>
  <si>
    <t>Post.Bace.Reply.Text_0302_03_01</t>
    <phoneticPr fontId="1" type="noConversion"/>
  </si>
  <si>
    <t>Post.Bace.Reply.Text_0302_03_02</t>
    <phoneticPr fontId="1" type="noConversion"/>
  </si>
  <si>
    <t>Post.Bace.Reply.Text_0302_03_03</t>
    <phoneticPr fontId="1" type="noConversion"/>
  </si>
  <si>
    <t>Post.Bace.Reply.Text_0302_03_04</t>
    <phoneticPr fontId="1" type="noConversion"/>
  </si>
  <si>
    <t>Post.Bace.Reply.Text_0303_01</t>
    <phoneticPr fontId="1" type="noConversion"/>
  </si>
  <si>
    <t>발렌시아</t>
    <phoneticPr fontId="1" type="noConversion"/>
  </si>
  <si>
    <t>Post.Bace.Reply.Text_0303_01_01</t>
    <phoneticPr fontId="1" type="noConversion"/>
  </si>
  <si>
    <t>Post.Bace.Reply.Text_0303_02</t>
    <phoneticPr fontId="1" type="noConversion"/>
  </si>
  <si>
    <t>Post.Bace.Reply.Text_0303_02_01</t>
    <phoneticPr fontId="1" type="noConversion"/>
  </si>
  <si>
    <t>릴리안</t>
    <phoneticPr fontId="1" type="noConversion"/>
  </si>
  <si>
    <t>Post.Bace.Reply.Text_0401_01</t>
    <phoneticPr fontId="1" type="noConversion"/>
  </si>
  <si>
    <t>세라펄사</t>
    <phoneticPr fontId="1" type="noConversion"/>
  </si>
  <si>
    <t>세라펄사</t>
    <phoneticPr fontId="1" type="noConversion"/>
  </si>
  <si>
    <t>Post.Bace.Reply.Text_0401_02</t>
    <phoneticPr fontId="1" type="noConversion"/>
  </si>
  <si>
    <t>Post.Bace.Reply.Text_0401_03</t>
    <phoneticPr fontId="1" type="noConversion"/>
  </si>
  <si>
    <t>Post.Bace.Reply.Text_0401_03_01</t>
    <phoneticPr fontId="1" type="noConversion"/>
  </si>
  <si>
    <t>Post.Bace.Reply.Text_0402_01</t>
    <phoneticPr fontId="1" type="noConversion"/>
  </si>
  <si>
    <t>마나</t>
    <phoneticPr fontId="1" type="noConversion"/>
  </si>
  <si>
    <t>Post.Bace.Reply.Text_0402_01_01</t>
    <phoneticPr fontId="1" type="noConversion"/>
  </si>
  <si>
    <t>Post.Bace.Reply.Text_0402_01_02</t>
    <phoneticPr fontId="1" type="noConversion"/>
  </si>
  <si>
    <t>Post.Bace.Reply.Text_0402_01_03</t>
    <phoneticPr fontId="1" type="noConversion"/>
  </si>
  <si>
    <t>Post.Bace.Reply.Text_0402_01_04</t>
    <phoneticPr fontId="1" type="noConversion"/>
  </si>
  <si>
    <t>Post.Bace.Reply.Text_0402_02</t>
    <phoneticPr fontId="1" type="noConversion"/>
  </si>
  <si>
    <t>Post.Bace.Reply.Text_0402_02_01</t>
    <phoneticPr fontId="1" type="noConversion"/>
  </si>
  <si>
    <t>아셀스</t>
    <phoneticPr fontId="1" type="noConversion"/>
  </si>
  <si>
    <t>Post.Bace.Reply.Text_0403_01</t>
    <phoneticPr fontId="1" type="noConversion"/>
  </si>
  <si>
    <t>레나스</t>
    <phoneticPr fontId="1" type="noConversion"/>
  </si>
  <si>
    <t>Post.Bace.Reply.Text_0403_01_01</t>
    <phoneticPr fontId="1" type="noConversion"/>
  </si>
  <si>
    <t>Post.Bace.Reply.Text_0403_02</t>
    <phoneticPr fontId="1" type="noConversion"/>
  </si>
  <si>
    <t>Post.Bace.Reply.Text_0403_02_01</t>
    <phoneticPr fontId="1" type="noConversion"/>
  </si>
  <si>
    <t>Post.Bace.Reply.Text_0502_01</t>
    <phoneticPr fontId="1" type="noConversion"/>
  </si>
  <si>
    <t>Post.Bace.Reply.Text_0502_01_01</t>
    <phoneticPr fontId="1" type="noConversion"/>
  </si>
  <si>
    <t>Post.Bace.Reply.Text_0502_02</t>
    <phoneticPr fontId="1" type="noConversion"/>
  </si>
  <si>
    <t>아이라스</t>
    <phoneticPr fontId="1" type="noConversion"/>
  </si>
  <si>
    <t>Post.Bace.Reply.Text_0502_02_01</t>
    <phoneticPr fontId="1" type="noConversion"/>
  </si>
  <si>
    <t>벨리타</t>
    <phoneticPr fontId="1" type="noConversion"/>
  </si>
  <si>
    <t>Post.Bace.Reply.Text_0502_02_02</t>
    <phoneticPr fontId="1" type="noConversion"/>
  </si>
  <si>
    <t>Post.Bace.Reply.Text_0502_02_03</t>
    <phoneticPr fontId="1" type="noConversion"/>
  </si>
  <si>
    <t>그레이</t>
    <phoneticPr fontId="1" type="noConversion"/>
  </si>
  <si>
    <t>Post.Bace.Reply.Text_0502_03</t>
    <phoneticPr fontId="1" type="noConversion"/>
  </si>
  <si>
    <t>Post.Bace.Reply.Text_0502_03_01</t>
    <phoneticPr fontId="1" type="noConversion"/>
  </si>
  <si>
    <t>Post.Bace.Reply.Text_0502_03_02</t>
    <phoneticPr fontId="1" type="noConversion"/>
  </si>
  <si>
    <t>Post.Bace.Reply.Text_0601_01</t>
    <phoneticPr fontId="1" type="noConversion"/>
  </si>
  <si>
    <t>Post.Bace.Reply.Text_0601_01_01</t>
    <phoneticPr fontId="1" type="noConversion"/>
  </si>
  <si>
    <t>Post.Bace.Reply.Text_0601_01_02</t>
    <phoneticPr fontId="1" type="noConversion"/>
  </si>
  <si>
    <t>Post.Bace.Reply.Text_0601_02</t>
    <phoneticPr fontId="1" type="noConversion"/>
  </si>
  <si>
    <t>Post.Bace.Reply.Text_0601_02_01</t>
    <phoneticPr fontId="1" type="noConversion"/>
  </si>
  <si>
    <t>Post.Bace.Reply.Text_0601_02_02</t>
    <phoneticPr fontId="1" type="noConversion"/>
  </si>
  <si>
    <t>Post.Bace.Reply.Text_0601_02_03</t>
    <phoneticPr fontId="1" type="noConversion"/>
  </si>
  <si>
    <t>Post.Bace.Reply.Text_0601_03</t>
    <phoneticPr fontId="1" type="noConversion"/>
  </si>
  <si>
    <t>Post.Bace.Reply.Text_0602_01</t>
    <phoneticPr fontId="1" type="noConversion"/>
  </si>
  <si>
    <t>패트리샤</t>
    <phoneticPr fontId="1" type="noConversion"/>
  </si>
  <si>
    <t>Post.Bace.Reply.Text_0602_01_01</t>
    <phoneticPr fontId="1" type="noConversion"/>
  </si>
  <si>
    <t>타이나</t>
    <phoneticPr fontId="1" type="noConversion"/>
  </si>
  <si>
    <t>Post.Bace.Reply.Text_0602_02</t>
    <phoneticPr fontId="1" type="noConversion"/>
  </si>
  <si>
    <t>Post.Bace.Reply.Text_0602_02_01</t>
    <phoneticPr fontId="1" type="noConversion"/>
  </si>
  <si>
    <t>Post.Bace.Reply.Text_0602_03</t>
    <phoneticPr fontId="1" type="noConversion"/>
  </si>
  <si>
    <t>Post.Bace.Reply.Text_0602_03_01</t>
    <phoneticPr fontId="1" type="noConversion"/>
  </si>
  <si>
    <t>Post.Bace.Reply.Text_0602_03_02</t>
    <phoneticPr fontId="1" type="noConversion"/>
  </si>
  <si>
    <t>엘리나</t>
    <phoneticPr fontId="1" type="noConversion"/>
  </si>
  <si>
    <t>Post.Bace.Reply.Text_0602_03_03</t>
    <phoneticPr fontId="1" type="noConversion"/>
  </si>
  <si>
    <t>패트리샤</t>
    <phoneticPr fontId="1" type="noConversion"/>
  </si>
  <si>
    <t>Post.Bace.Reply.Text_0602_03_04</t>
    <phoneticPr fontId="1" type="noConversion"/>
  </si>
  <si>
    <t>Post.Bace.Reply.Text_0603_01</t>
    <phoneticPr fontId="1" type="noConversion"/>
  </si>
  <si>
    <t>Post.Bace.Reply.Text_0603_02</t>
    <phoneticPr fontId="1" type="noConversion"/>
  </si>
  <si>
    <t>Post.Bace.Reply.Text_0603_02_01</t>
    <phoneticPr fontId="1" type="noConversion"/>
  </si>
  <si>
    <t>Post.Bace.Reply.Text_0603_03</t>
    <phoneticPr fontId="1" type="noConversion"/>
  </si>
  <si>
    <t>Post.Bace.Reply.Text_0701_01</t>
    <phoneticPr fontId="1" type="noConversion"/>
  </si>
  <si>
    <t>Post.Bace.Reply.Text_0701_01_01</t>
    <phoneticPr fontId="1" type="noConversion"/>
  </si>
  <si>
    <t>스노프릴</t>
    <phoneticPr fontId="1" type="noConversion"/>
  </si>
  <si>
    <t>Post.Bace.Reply.Text_0701_02</t>
    <phoneticPr fontId="1" type="noConversion"/>
  </si>
  <si>
    <t>Post.Bace.Reply.Text_0701_02_01</t>
    <phoneticPr fontId="1" type="noConversion"/>
  </si>
  <si>
    <t>Post.Bace.Reply.Text_0701_02_02</t>
    <phoneticPr fontId="1" type="noConversion"/>
  </si>
  <si>
    <t>Post.Bace.Reply.Text_0701_02_03</t>
    <phoneticPr fontId="1" type="noConversion"/>
  </si>
  <si>
    <t>Post.Bace.Reply.Text_0701_03</t>
    <phoneticPr fontId="1" type="noConversion"/>
  </si>
  <si>
    <t>Post.Bace.Reply.Text_0701_03_01</t>
    <phoneticPr fontId="1" type="noConversion"/>
  </si>
  <si>
    <t>Post.Bace.Reply.Text_0701_03_02</t>
    <phoneticPr fontId="1" type="noConversion"/>
  </si>
  <si>
    <t>레나스</t>
    <phoneticPr fontId="1" type="noConversion"/>
  </si>
  <si>
    <t>Post.Bace.Reply.Text_0702_01</t>
    <phoneticPr fontId="1" type="noConversion"/>
  </si>
  <si>
    <t>아셀스</t>
    <phoneticPr fontId="1" type="noConversion"/>
  </si>
  <si>
    <t>Post.Bace.Reply.Text_0702_01_01</t>
    <phoneticPr fontId="1" type="noConversion"/>
  </si>
  <si>
    <t>Post.Bace.Reply.Text_0702_02</t>
    <phoneticPr fontId="1" type="noConversion"/>
  </si>
  <si>
    <t>Post.Bace.Reply.Text_0702_02_01</t>
    <phoneticPr fontId="1" type="noConversion"/>
  </si>
  <si>
    <t>Post.Bace.Reply.Text_0702_02_02</t>
    <phoneticPr fontId="1" type="noConversion"/>
  </si>
  <si>
    <t>Post.Bace.Reply.Text_0702_02_03</t>
    <phoneticPr fontId="1" type="noConversion"/>
  </si>
  <si>
    <t>Post.Bace.Reply.Text_0702_02_04</t>
    <phoneticPr fontId="1" type="noConversion"/>
  </si>
  <si>
    <t>Post.Bace.Reply.Text_0702_02_05</t>
    <phoneticPr fontId="1" type="noConversion"/>
  </si>
  <si>
    <t>Post.Bace.Reply.Text_0702_03</t>
    <phoneticPr fontId="1" type="noConversion"/>
  </si>
  <si>
    <t>Post.Bace.Reply.Text_0802_01</t>
    <phoneticPr fontId="1" type="noConversion"/>
  </si>
  <si>
    <t>Post.Bace.Reply.Text_0802_01_01</t>
    <phoneticPr fontId="1" type="noConversion"/>
  </si>
  <si>
    <t>Post.Bace.Reply.Text_0802_01_02</t>
    <phoneticPr fontId="1" type="noConversion"/>
  </si>
  <si>
    <t>Post.Bace.Reply.Text_0802_01_03</t>
    <phoneticPr fontId="1" type="noConversion"/>
  </si>
  <si>
    <t>Post.Bace.Reply.Text_0802_02</t>
    <phoneticPr fontId="1" type="noConversion"/>
  </si>
  <si>
    <t>Post.Bace.Reply.Text_0802_02_01</t>
    <phoneticPr fontId="1" type="noConversion"/>
  </si>
  <si>
    <t>Post.Bace.Reply.Text_0802_02_02</t>
    <phoneticPr fontId="1" type="noConversion"/>
  </si>
  <si>
    <t>Post.Bace.Reply.Text_0901_01</t>
    <phoneticPr fontId="1" type="noConversion"/>
  </si>
  <si>
    <t>Post.Bace.Reply.Text_0901_01_01</t>
    <phoneticPr fontId="1" type="noConversion"/>
  </si>
  <si>
    <t>Post.Bace.Reply.Text_0901_01_02</t>
    <phoneticPr fontId="1" type="noConversion"/>
  </si>
  <si>
    <t>Post.Bace.Reply.Text_0901_02</t>
    <phoneticPr fontId="1" type="noConversion"/>
  </si>
  <si>
    <t>Post.Bace.Reply.Text_0901_02_01</t>
    <phoneticPr fontId="1" type="noConversion"/>
  </si>
  <si>
    <t>아이렌</t>
    <phoneticPr fontId="1" type="noConversion"/>
  </si>
  <si>
    <t>Post.Bace.Reply.Text_0901_02_02</t>
    <phoneticPr fontId="1" type="noConversion"/>
  </si>
  <si>
    <t>Post.Bace.Reply.Text_0901_02_03</t>
    <phoneticPr fontId="1" type="noConversion"/>
  </si>
  <si>
    <t>Post.Bace.Reply.Text_0901_02_04</t>
    <phoneticPr fontId="1" type="noConversion"/>
  </si>
  <si>
    <t>Post.Bace.Reply.Text_0902_01</t>
    <phoneticPr fontId="1" type="noConversion"/>
  </si>
  <si>
    <t>Post.Bace.Reply.Text_0902_02</t>
    <phoneticPr fontId="1" type="noConversion"/>
  </si>
  <si>
    <t>Post.Bace.Reply.Text_0902_03</t>
    <phoneticPr fontId="1" type="noConversion"/>
  </si>
  <si>
    <t>Post.Bace.Reply.Text_0902_04</t>
    <phoneticPr fontId="1" type="noConversion"/>
  </si>
  <si>
    <t>Post.Bace.Reply.Text_1001_01</t>
    <phoneticPr fontId="1" type="noConversion"/>
  </si>
  <si>
    <t>Post.Bace.Reply.Text_1001_01_01</t>
    <phoneticPr fontId="1" type="noConversion"/>
  </si>
  <si>
    <t>Post.Bace.Reply.Text_1001_02</t>
    <phoneticPr fontId="1" type="noConversion"/>
  </si>
  <si>
    <t>Post.Bace.Reply.Text_1001_02_01</t>
    <phoneticPr fontId="1" type="noConversion"/>
  </si>
  <si>
    <t>Post.Bace.Reply.Text_1001_02_02</t>
    <phoneticPr fontId="1" type="noConversion"/>
  </si>
  <si>
    <t>Post.Bace.Reply.Text_1001_03</t>
    <phoneticPr fontId="1" type="noConversion"/>
  </si>
  <si>
    <t>Post.Bace.Reply.Text_1001_03_01</t>
    <phoneticPr fontId="1" type="noConversion"/>
  </si>
  <si>
    <t>카나타</t>
    <phoneticPr fontId="1" type="noConversion"/>
  </si>
  <si>
    <t>Post.Bace.Reply.Text_1001_04</t>
    <phoneticPr fontId="1" type="noConversion"/>
  </si>
  <si>
    <t>Post.Bace.Reply.Text_1002_01</t>
    <phoneticPr fontId="1" type="noConversion"/>
  </si>
  <si>
    <t>Post.Bace.Reply.Text_1002_02</t>
    <phoneticPr fontId="1" type="noConversion"/>
  </si>
  <si>
    <t>Post.Bace.Reply.Text_1002_02_01</t>
    <phoneticPr fontId="1" type="noConversion"/>
  </si>
  <si>
    <t>Post.Bace.Reply.Text_1002_02_02</t>
    <phoneticPr fontId="1" type="noConversion"/>
  </si>
  <si>
    <t>Post.Bace.Reply.Text_1101_01</t>
    <phoneticPr fontId="1" type="noConversion"/>
  </si>
  <si>
    <t>Post.Bace.Reply.Text_1101_01_01</t>
    <phoneticPr fontId="1" type="noConversion"/>
  </si>
  <si>
    <t>Post.Bace.Reply.Text_1101_01_02</t>
  </si>
  <si>
    <t>Post.Bace.Reply.Text_1101_01_03</t>
  </si>
  <si>
    <t>Post.Bace.Reply.Text_1101_01_04</t>
  </si>
  <si>
    <t>Post.Bace.Reply.Text_1101_01_05</t>
  </si>
  <si>
    <t>Post.Bace.Reply.Text_1201_01</t>
    <phoneticPr fontId="1" type="noConversion"/>
  </si>
  <si>
    <t>Post.Bace.Reply.Text_1201_01_01</t>
    <phoneticPr fontId="1" type="noConversion"/>
  </si>
  <si>
    <t>Post.Bace.Reply.Text_1201_01_02</t>
    <phoneticPr fontId="1" type="noConversion"/>
  </si>
  <si>
    <t>Post.Bace.Reply.Text_1201_02</t>
    <phoneticPr fontId="1" type="noConversion"/>
  </si>
  <si>
    <t>Post.Bace.Reply.Text_1201_03</t>
    <phoneticPr fontId="1" type="noConversion"/>
  </si>
  <si>
    <t>Post.Bace.Reply.Text_1201_03_01</t>
    <phoneticPr fontId="1" type="noConversion"/>
  </si>
  <si>
    <t>Post.Bace.Reply.Text_1201_03_02</t>
    <phoneticPr fontId="1" type="noConversion"/>
  </si>
  <si>
    <t>Post.Bace.Reply.Text_1201_03_03</t>
    <phoneticPr fontId="1" type="noConversion"/>
  </si>
  <si>
    <t>Post.Bace.Reply.Text_1301_01</t>
    <phoneticPr fontId="1" type="noConversion"/>
  </si>
  <si>
    <t>Post.Bace.Reply.Text_1301_01_01</t>
    <phoneticPr fontId="1" type="noConversion"/>
  </si>
  <si>
    <t>Post.Bace.Reply.Text_1301_02</t>
    <phoneticPr fontId="1" type="noConversion"/>
  </si>
  <si>
    <t>Post.Bace.Reply.Text_1301_02_01</t>
    <phoneticPr fontId="1" type="noConversion"/>
  </si>
  <si>
    <t>Post.Bace.Reply.Text_1301_02_02</t>
    <phoneticPr fontId="1" type="noConversion"/>
  </si>
  <si>
    <t>Post.Bace.Reply.Text_1301_03</t>
    <phoneticPr fontId="1" type="noConversion"/>
  </si>
  <si>
    <t>Post.Bace.Reply.Text_1301_03_01</t>
    <phoneticPr fontId="1" type="noConversion"/>
  </si>
  <si>
    <t>Post.Bace.Reply.Text_1301_03_02</t>
    <phoneticPr fontId="1" type="noConversion"/>
  </si>
  <si>
    <t>Post.Bace.Reply.Text_1302_01</t>
    <phoneticPr fontId="1" type="noConversion"/>
  </si>
  <si>
    <t>Post.Bace.Reply.Text_1302_01_01</t>
    <phoneticPr fontId="1" type="noConversion"/>
  </si>
  <si>
    <t>Post.Bace.Reply.Text_1302_02</t>
    <phoneticPr fontId="1" type="noConversion"/>
  </si>
  <si>
    <t>Post.Bace.Reply.Text_1302_02_01</t>
    <phoneticPr fontId="1" type="noConversion"/>
  </si>
  <si>
    <t>Post.Bace.Reply.Text_1302_02_02</t>
    <phoneticPr fontId="1" type="noConversion"/>
  </si>
  <si>
    <t>Post.Bace.Reply.Text_1302_02_03</t>
    <phoneticPr fontId="1" type="noConversion"/>
  </si>
  <si>
    <t>Post.Bace.Reply.Text_1302_02_04</t>
    <phoneticPr fontId="1" type="noConversion"/>
  </si>
  <si>
    <t>Post.Bace.Reply.Text_1302_02_05</t>
    <phoneticPr fontId="1" type="noConversion"/>
  </si>
  <si>
    <t>Post.Unlock.Text_0010</t>
  </si>
  <si>
    <t>Post.Unlock.Text_0005</t>
  </si>
  <si>
    <t>Post.Unlock.Text_0006</t>
  </si>
  <si>
    <t>Post.Unlock.Text_0007</t>
  </si>
  <si>
    <t>Post.Unlock.Text_0008</t>
  </si>
  <si>
    <t>Post.Unlock.Text_0009</t>
  </si>
  <si>
    <t>Post.Bace.Text_0101</t>
  </si>
  <si>
    <t>Post.Bace.Text_0103</t>
  </si>
  <si>
    <t>Post.Bace.Text_0201</t>
  </si>
  <si>
    <t>Post.Bace.Text_0202</t>
  </si>
  <si>
    <t>Post.Bace.Text_0203</t>
  </si>
  <si>
    <t>Post.Bace.Text_0303</t>
  </si>
  <si>
    <t>Post.Bace.Text_0402</t>
  </si>
  <si>
    <t>Post.Bace.Text_0403</t>
  </si>
  <si>
    <t>Post.Bace.Text_0302</t>
  </si>
  <si>
    <t>Post.Bace.Text_0401</t>
  </si>
  <si>
    <t>Post.Bace.Text_0602</t>
  </si>
  <si>
    <t>Post.Bace.Text_0603</t>
  </si>
  <si>
    <t>Post.Bace.Text_0702</t>
  </si>
  <si>
    <t>Post.Bace.Text_0502</t>
  </si>
  <si>
    <t>Post.Bace.Text_0601</t>
  </si>
  <si>
    <t>Post.Bace.Text_0701</t>
  </si>
  <si>
    <t>Post.Bace.Text_1002</t>
  </si>
  <si>
    <t>Post.Bace.Text_1302</t>
  </si>
  <si>
    <t>Post.Bace.Text_0802</t>
  </si>
  <si>
    <t>Post.Bace.Text_0901</t>
  </si>
  <si>
    <t>Post.Bace.Text_0902</t>
  </si>
  <si>
    <t>Post.Bace.Text_1001</t>
  </si>
  <si>
    <t>Post.Bace.Text_1101</t>
  </si>
  <si>
    <t>Post.Bace.Text_1201</t>
  </si>
  <si>
    <t>Post.Bace.Text_1301</t>
  </si>
  <si>
    <t>유리지아(업데이트) - 테스트</t>
    <phoneticPr fontId="1" type="noConversion"/>
  </si>
  <si>
    <t>Post.Bace.Reply.Text_1501_01</t>
  </si>
  <si>
    <t>Post.Bace.Reply.Text_1501_01_01</t>
  </si>
  <si>
    <t>Post.Bace.Reply.Text_1501_02</t>
  </si>
  <si>
    <t>Post.Bace.Reply.Text_1501_02_01</t>
  </si>
  <si>
    <t>Post.Bace.Reply.Text_1501_03</t>
  </si>
  <si>
    <t>Post.Bace.Reply.Text_1501_03_01</t>
  </si>
  <si>
    <t>Post.Bace.Reply.Text_1601_01</t>
  </si>
  <si>
    <t>Post.Bace.Reply.Text_1601_01_01</t>
  </si>
  <si>
    <t>Post.Bace.Reply.Text_1601_01_02</t>
  </si>
  <si>
    <t>Post.Bace.Reply.Text_1601_01_03</t>
  </si>
  <si>
    <t>Post.Bace.Reply.Text_1601_02</t>
  </si>
  <si>
    <t>Post.Bace.Reply.Text_1601_03</t>
  </si>
  <si>
    <t>Post.Bace.Reply.Text_1601_03_01</t>
  </si>
  <si>
    <t>Post.Bace.Reply.Text_1701_01</t>
  </si>
  <si>
    <t>Post.Bace.Reply.Text_1701_01_01</t>
  </si>
  <si>
    <t>Post.Bace.Reply.Text_1701_02</t>
  </si>
  <si>
    <t>Post.Bace.Reply.Text_1701_02_01</t>
  </si>
  <si>
    <t>Post.Bace.Reply.Text_1701_02_02</t>
  </si>
  <si>
    <t>Post.Bace.Reply.Text_1701_02_03</t>
  </si>
  <si>
    <t>Post.Bace.Reply.Text_1701_02_04</t>
  </si>
  <si>
    <t>Post.Bace.Reply.Text_1701_02_05</t>
  </si>
  <si>
    <t>Post.Bace.Reply.Text_1701_02_06</t>
  </si>
  <si>
    <t>Post.Bace.Reply.Text_1901_01</t>
  </si>
  <si>
    <t>Post.Bace.Reply.Text_1901_01_01</t>
  </si>
  <si>
    <t>Post.Bace.Reply.Text_1901_02</t>
  </si>
  <si>
    <t>Post.Bace.Reply.Text_1901_02_01</t>
  </si>
  <si>
    <t>Post.Bace.Reply.Text_1901_03</t>
  </si>
  <si>
    <t>Post.Bace.Reply.Text_1901_03_01</t>
  </si>
  <si>
    <t>Post.Bace.Reply.Text_2101_01</t>
  </si>
  <si>
    <t>Post.Bace.Reply.Text_2101_01_01</t>
  </si>
  <si>
    <t>Post.Bace.Reply.Text_2101_01_02</t>
  </si>
  <si>
    <t>Post.Bace.Reply.Text_2101_01_03</t>
  </si>
  <si>
    <t>Post.Bace.Reply.Text_2101_01_04</t>
  </si>
  <si>
    <t>Post.Bace.Reply.Text_2101_01_05</t>
  </si>
  <si>
    <t>Post.Follow.Reply.Text_0001_01</t>
  </si>
  <si>
    <t>Post.Follow.Reply.Text_0001_02</t>
  </si>
  <si>
    <t>Post.Follow.Reply.Text_0001_02_01</t>
  </si>
  <si>
    <t>Post.Follow.Reply.Text_0001_02_02</t>
  </si>
  <si>
    <t>Post.Follow.Reply.Text_0001_03</t>
  </si>
  <si>
    <t>Post.Follow.Reply.Text_0001_03_01</t>
  </si>
  <si>
    <t>Post.Follow.Reply.Text_0002_01</t>
  </si>
  <si>
    <t>Post.Follow.Reply.Text_0002_01_01</t>
  </si>
  <si>
    <t>Post.Follow.Reply.Text_0002_02</t>
  </si>
  <si>
    <t>Post.Follow.Reply.Text_0002_02_01</t>
  </si>
  <si>
    <t>Post.Follow.Reply.Text_0002_03</t>
  </si>
  <si>
    <t>Post.Follow.Reply.Text_0002_03_01</t>
  </si>
  <si>
    <t>Post.Follow.Reply.Text_0002_04</t>
  </si>
  <si>
    <t>Post.Follow.Reply.Text_0002_04_01</t>
  </si>
  <si>
    <t>Post.Follow.Reply.Text_0003_01</t>
  </si>
  <si>
    <t>Post.Follow.Reply.Text_0003_01_01</t>
  </si>
  <si>
    <t>Post.Follow.Reply.Text_0003_02</t>
  </si>
  <si>
    <t>Post.Follow.Reply.Text_0003_02_01</t>
  </si>
  <si>
    <t>Post.Follow.Reply.Text_0003_02_02</t>
  </si>
  <si>
    <t>Post.Follow.Reply.Text_0003_02_03</t>
  </si>
  <si>
    <t>Post.Follow.Reply.Text_0003_02_04</t>
  </si>
  <si>
    <t>Post.Follow.Reply.Text_0003_02_05</t>
  </si>
  <si>
    <t>Post.Follow.Reply.Text_0004_01</t>
  </si>
  <si>
    <t>Post.Follow.Reply.Text_0004_01_01</t>
  </si>
  <si>
    <t>Post.Follow.Reply.Text_0004_01_02</t>
  </si>
  <si>
    <t>Post.Follow.Reply.Text_0004_02</t>
  </si>
  <si>
    <t>Post.Follow.Reply.Text_0004_02_01</t>
  </si>
  <si>
    <t>Post.Follow.Reply.Text_0004_02_02</t>
  </si>
  <si>
    <t>Post.Follow.Reply.Text_0004_03</t>
  </si>
  <si>
    <t>Post.Follow.Reply.Text_0004_03_01</t>
  </si>
  <si>
    <t>Post.Follow.Reply.Text_0005_01</t>
  </si>
  <si>
    <t>Post.Follow.Reply.Text_0005_01_01</t>
  </si>
  <si>
    <t>Post.Follow.Reply.Text_0005_01_02</t>
  </si>
  <si>
    <t>Post.Follow.Reply.Text_0005_02</t>
  </si>
  <si>
    <t>Post.Follow.Reply.Text_0005_02_01</t>
  </si>
  <si>
    <t>Post.Follow.Reply.Text_0005_02_02</t>
  </si>
  <si>
    <t>Post.Follow.Reply.Text_0005_02_03</t>
  </si>
  <si>
    <t>Post.Follow.Reply.Text_0005_02_04</t>
  </si>
  <si>
    <t>Post.Follow.Reply.Text_0006_01</t>
  </si>
  <si>
    <t>Post.Follow.Reply.Text_0006_01_01</t>
  </si>
  <si>
    <t>Post.Follow.Reply.Text_0006_01_02</t>
  </si>
  <si>
    <t>Post.Follow.Reply.Text_0007_01</t>
  </si>
  <si>
    <t>Post.Follow.Reply.Text_0007_01_01</t>
  </si>
  <si>
    <t>Post.Follow.Reply.Text_0007_01_02</t>
  </si>
  <si>
    <t>Post.Follow.Reply.Text_0007_01_03</t>
  </si>
  <si>
    <t>Post.Follow.Reply.Text_0007_02</t>
  </si>
  <si>
    <t>Post.Follow.Reply.Text_0007_02_01</t>
  </si>
  <si>
    <t>Post.Follow.Reply.Text_0007_03</t>
  </si>
  <si>
    <t>Post.Follow.Reply.Text_0007_03_01</t>
  </si>
  <si>
    <t>Post.Follow.Reply.Text_0008_01</t>
  </si>
  <si>
    <t>Post.Follow.Reply.Text_0008_01_01</t>
  </si>
  <si>
    <t>Post.Follow.Reply.Text_0008_01_02</t>
  </si>
  <si>
    <t>Post.Follow.Reply.Text_0008_02</t>
  </si>
  <si>
    <t>Post.Follow.Reply.Text_0008_02_01</t>
  </si>
  <si>
    <t>Post.Follow.Reply.Text_0008_02_02</t>
  </si>
  <si>
    <t>Post.Follow.Reply.Text_0008_03</t>
  </si>
  <si>
    <t>Post.Follow.Reply.Text_0009_01</t>
  </si>
  <si>
    <t>Post.Follow.Reply.Text_0009_01_01</t>
  </si>
  <si>
    <t>Post.Follow.Reply.Text_0010_01</t>
  </si>
  <si>
    <t>Post.Follow.Reply.Text_0010_01_01</t>
  </si>
  <si>
    <t>Post.Follow.Reply.Text_0010_01_02</t>
  </si>
  <si>
    <t>Post.Follow.Reply.Text_0010_01_03</t>
  </si>
  <si>
    <t>Post.Follow.Reply.Text_0010_01_04</t>
  </si>
  <si>
    <t>Post.Follow.Reply.Text_0010_02</t>
  </si>
  <si>
    <t>Post.Follow.Reply.Text_0010_02_01</t>
  </si>
  <si>
    <t>Post.Follow.Reply.Text_0010_02_02</t>
  </si>
  <si>
    <t>Post.Follow.Reply.Text_0011_01</t>
  </si>
  <si>
    <t>Post.Follow.Reply.Text_0011_01_01</t>
  </si>
  <si>
    <t>Post.Follow.Reply.Text_0011_01_02</t>
  </si>
  <si>
    <t>Post.Follow.Reply.Text_0011_02</t>
  </si>
  <si>
    <t>Post.Follow.Reply.Text_0011_02_01</t>
  </si>
  <si>
    <t>Post.Follow.Reply.Text_0011_02_02</t>
  </si>
  <si>
    <t>Post.Follow.Reply.Text_0012_01</t>
  </si>
  <si>
    <t>Post.Follow.Reply.Text_0012_01_01</t>
  </si>
  <si>
    <t>Post.Follow.Reply.Text_0012_02</t>
  </si>
  <si>
    <t>Post.Follow.Reply.Text_0012_02_01</t>
  </si>
  <si>
    <t>Post.Follow.Reply.Text_0012_02_02</t>
  </si>
  <si>
    <t>Post.Follow.Reply.Text_0012_02_03</t>
  </si>
  <si>
    <t>Post.Follow.Reply.Text_0013_01</t>
  </si>
  <si>
    <t>Post.Follow.Reply.Text_0013_01_01</t>
  </si>
  <si>
    <t>Post.Follow.Reply.Text_0013_02</t>
  </si>
  <si>
    <t>Post.Follow.Reply.Text_0013_02_01</t>
  </si>
  <si>
    <t>Post.Follow.Reply.Text_0013_02_02</t>
  </si>
  <si>
    <t>Post.Follow.Reply.Text_0014_01</t>
  </si>
  <si>
    <t>Post.Follow.Reply.Text_0014_01_01</t>
  </si>
  <si>
    <t>Post.Follow.Reply.Text_0014_01_02</t>
  </si>
  <si>
    <t>Post.Follow.Reply.Text_0014_01_03</t>
  </si>
  <si>
    <t>Post.Follow.Reply.Text_0014_01_04</t>
  </si>
  <si>
    <t>Post.Follow.Reply.Text_0014_02</t>
  </si>
  <si>
    <t>Post.Follow.Reply.Text_0014_02_01</t>
  </si>
  <si>
    <t>Post.Follow.Reply.Text_0014_02_02</t>
  </si>
  <si>
    <t>Post.Follow.Reply.Text_0015_01</t>
  </si>
  <si>
    <t>Post.Follow.Reply.Text_0015_01_01</t>
  </si>
  <si>
    <t>Post.Follow.Reply.Text_0015_01_02</t>
  </si>
  <si>
    <t>Post.Follow.Reply.Text_0015_01_03</t>
  </si>
  <si>
    <t>Post.Follow.Reply.Text_0015_02</t>
  </si>
  <si>
    <t>Post.Follow.Reply.Text_0015_02_01</t>
  </si>
  <si>
    <t>Post.Follow.Reply.Text_0015_02_02</t>
  </si>
  <si>
    <t>Post.Follow.Reply.Text_0015_02_03</t>
  </si>
  <si>
    <t>Post.Follow.Reply.Text_0015_02_04</t>
  </si>
  <si>
    <t>Post.Follow.Reply.Text_0015_03</t>
  </si>
  <si>
    <t>Post.Follow.Reply.Text_0015_03_01</t>
  </si>
  <si>
    <t>Post.Follow.Reply.Text_0015_03_02</t>
  </si>
  <si>
    <t>Post.Follow.Reply.Text_0016_01</t>
  </si>
  <si>
    <t>Post.Follow.Reply.Text_0016_01_01</t>
  </si>
  <si>
    <t>Post.Follow.Reply.Text_0016_01_02</t>
  </si>
  <si>
    <t>Post.Follow.Reply.Text_0016_02</t>
  </si>
  <si>
    <t>Post.Follow.Reply.Text_0016_02_01</t>
  </si>
  <si>
    <t>Post.Follow.Reply.Text_0016_02_02</t>
  </si>
  <si>
    <t>Post.Follow.Reply.Text_0016_02_03</t>
  </si>
  <si>
    <t>Post.Follow.Reply.Text_0016_03</t>
  </si>
  <si>
    <t>Post.Follow.Reply.Text_0016_03_01</t>
  </si>
  <si>
    <t>Post.Follow.Reply.Text_0017_01</t>
  </si>
  <si>
    <t>Post.Follow.Reply.Text_0017_01_01</t>
  </si>
  <si>
    <t>Post.Follow.Reply.Text_0017_01_02</t>
  </si>
  <si>
    <t>Post.Follow.Reply.Text_0017_01_03</t>
  </si>
  <si>
    <t>Post.Follow.Reply.Text_0017_01_04</t>
  </si>
  <si>
    <t>Post.Follow.Reply.Text_0017_02</t>
  </si>
  <si>
    <t>Post.Follow.Reply.Text_0017_02_01</t>
  </si>
  <si>
    <t>Post.Follow.Reply.Text_0017_02_02</t>
  </si>
  <si>
    <t>Post.Follow.Reply.Text_0017_02_03</t>
  </si>
  <si>
    <t>Post.Follow.Reply.Text_0017_02_04</t>
  </si>
  <si>
    <t>Post.Follow.Reply.Text_0018_01</t>
  </si>
  <si>
    <t>Post.Follow.Reply.Text_0018_01_01</t>
  </si>
  <si>
    <t>Post.Follow.Reply.Text_0018_02</t>
  </si>
  <si>
    <t>Post.Follow.Reply.Text_0018_02_01</t>
  </si>
  <si>
    <t>Post.Follow.Reply.Text_0018_02_02</t>
  </si>
  <si>
    <t>Post.Follow.Reply.Text_0018_02_03</t>
  </si>
  <si>
    <t>Post.Follow.Reply.Text_0018_02_04</t>
  </si>
  <si>
    <t>Post.Follow.Reply.Text_0018_02_05</t>
  </si>
  <si>
    <t>Post.Follow.Reply.Text_0018_02_06</t>
  </si>
  <si>
    <t>Post.Follow.Reply.Text_0019_01</t>
  </si>
  <si>
    <t>Post.Follow.Reply.Text_0019_01_01</t>
  </si>
  <si>
    <t>Post.Follow.Reply.Text_0019_01_02</t>
  </si>
  <si>
    <t>Post.Follow.Reply.Text_0019_01_03</t>
  </si>
  <si>
    <t>Post.Follow.Reply.Text_0019_02</t>
  </si>
  <si>
    <t>Post.Follow.Reply.Text_0019_02_01</t>
  </si>
  <si>
    <t>Post.Follow.Reply.Text_0019_02_02</t>
  </si>
  <si>
    <t>Post.Follow.Reply.Text_0020_01</t>
  </si>
  <si>
    <t>Post.Follow.Reply.Text_0020_01_01</t>
  </si>
  <si>
    <t>Post.Follow.Reply.Text_0020_01_02</t>
  </si>
  <si>
    <t>Post.Follow.Reply.Text_0020_02</t>
  </si>
  <si>
    <t>Post.Follow.Reply.Text_0020_02_01</t>
  </si>
  <si>
    <t>Post.Follow.Reply.Text_0020_02_02</t>
  </si>
  <si>
    <t>Post.Follow.Reply.Text_0020_02_03</t>
  </si>
  <si>
    <t>Post.Follow.Reply.Text_0021_01</t>
  </si>
  <si>
    <t>Post.Follow.Reply.Text_0021_01_01</t>
  </si>
  <si>
    <t>Post.Follow.Reply.Text_0021_01_02</t>
  </si>
  <si>
    <t>Post.Follow.Reply.Text_0021_02</t>
  </si>
  <si>
    <t>Post.Follow.Reply.Text_0021_02_01</t>
  </si>
  <si>
    <t>Post.Follow.Reply.Text_0021_02_02</t>
  </si>
  <si>
    <t>Post.Follow.Reply.Text_0021_02_03</t>
  </si>
  <si>
    <t>Post.Follow.Reply.Text_0022_01</t>
  </si>
  <si>
    <t>Post.Follow.Reply.Text_0022_01_01</t>
  </si>
  <si>
    <t>Post.Follow.Reply.Text_0022_01_02</t>
  </si>
  <si>
    <t>Post.Follow.Reply.Text_0022_01_03</t>
  </si>
  <si>
    <t>Post.Follow.Reply.Text_0022_02</t>
  </si>
  <si>
    <t>Post.Follow.Reply.Text_0022_02_01</t>
  </si>
  <si>
    <t>Post.Follow.Reply.Text_0022_02_02</t>
  </si>
  <si>
    <t>Post.Follow.Reply.Text_0022_02_03</t>
  </si>
  <si>
    <t>Post.Follow.Reply.Text_0023_01</t>
  </si>
  <si>
    <t>Post.Follow.Reply.Text_0023_01_01</t>
  </si>
  <si>
    <t>Post.Follow.Reply.Text_0023_01_02</t>
  </si>
  <si>
    <t>Post.Follow.Reply.Text_0023_01_03</t>
  </si>
  <si>
    <t>Post.Follow.Reply.Text_0023_01_04</t>
  </si>
  <si>
    <t>Post.Follow.Reply.Text_0023_02</t>
  </si>
  <si>
    <t>Post.Follow.Reply.Text_0023_02_01</t>
  </si>
  <si>
    <t>Post.Follow.Reply.Text_0024_01</t>
  </si>
  <si>
    <t>Post.Follow.Reply.Text_0024_01_01</t>
  </si>
  <si>
    <t>Post.Follow.Reply.Text_0024_01_02</t>
  </si>
  <si>
    <t>Post.Follow.Reply.Text_0024_01_03</t>
  </si>
  <si>
    <t>Post.Follow.Reply.Text_0024_02</t>
  </si>
  <si>
    <t>Post.Follow.Reply.Text_0024_02_01</t>
  </si>
  <si>
    <t>Post.Follow.Reply.Text_0024_02_02</t>
  </si>
  <si>
    <t>Post.Follow.Reply.Text_0024_02_03</t>
  </si>
  <si>
    <t>Post.Follow.Reply.Text_0024_02_04</t>
  </si>
  <si>
    <t>Post.Follow.Reply.Text_0025_01</t>
  </si>
  <si>
    <t>Post.Follow.Reply.Text_0025_01_01</t>
  </si>
  <si>
    <t>Post.Follow.Reply.Text_0025_01_02</t>
  </si>
  <si>
    <t>Post.Follow.Reply.Text_0025_01_03</t>
  </si>
  <si>
    <t>Post.Follow.Reply.Text_0025_01_04</t>
  </si>
  <si>
    <t>Post.Follow.Reply.Text_0025_01_05</t>
  </si>
  <si>
    <t>Post.Follow.Reply.Text_0025_01_06</t>
  </si>
  <si>
    <t>Post.Follow.Reply.Text_0026_01</t>
  </si>
  <si>
    <t>Post.Follow.Reply.Text_0026_01_01</t>
  </si>
  <si>
    <t>Post.Follow.Reply.Text_0026_01_02</t>
  </si>
  <si>
    <t>Post.Follow.Reply.Text_0026_01_03</t>
  </si>
  <si>
    <t>Post.Follow.Reply.Text_0026_01_04</t>
  </si>
  <si>
    <t>Post.Follow.Reply.Text_0026_01_05</t>
  </si>
  <si>
    <t>Post.Follow.Reply.Text_0026_01_06</t>
  </si>
  <si>
    <t>Post.Follow.Reply.Text_0026_01_07</t>
  </si>
  <si>
    <t>Post.Follow.Reply.Text_0027_01</t>
  </si>
  <si>
    <t>Post.Follow.Reply.Text_0027_01_01</t>
  </si>
  <si>
    <t>Post.Follow.Reply.Text_0027_01_02</t>
  </si>
  <si>
    <t>Post.Follow.Reply.Text_0027_02</t>
  </si>
  <si>
    <t>Post.Follow.Reply.Text_0027_02_01</t>
  </si>
  <si>
    <t>Post.Follow.Reply.Text_0027_02_02</t>
  </si>
  <si>
    <t>Post.Follow.Reply.Text_0027_02_03</t>
  </si>
  <si>
    <t>Post.Follow.Reply.Text_0027_02_04</t>
  </si>
  <si>
    <t>Post.Follow.Reply.Text_0028_01</t>
  </si>
  <si>
    <t>Post.Follow.Reply.Text_0028_01_01</t>
  </si>
  <si>
    <t>Post.Follow.Reply.Text_0028_01_02</t>
  </si>
  <si>
    <t>Post.Follow.Reply.Text_0028_01_03</t>
  </si>
  <si>
    <t>Post.Follow.Reply.Text_0028_01_04</t>
  </si>
  <si>
    <t>Post.Follow.Reply.Text_0028_01_05</t>
  </si>
  <si>
    <t>Post.Follow.Reply.Text_0028_01_06</t>
  </si>
  <si>
    <t>Post.Follow.Reply.Text_0028_01_07</t>
  </si>
  <si>
    <t>Post.Follow.Reply.Text_0028_01_08</t>
  </si>
  <si>
    <t>Post.Follow.Reply.Text_0029_01</t>
  </si>
  <si>
    <t>Post.Follow.Reply.Text_0029_02</t>
  </si>
  <si>
    <t>Post.Follow.Reply.Text_0029_02_01</t>
  </si>
  <si>
    <t>Post.Follow.Reply.Text_0029_02_02</t>
  </si>
  <si>
    <t>Post.Follow.Reply.Text_0029_03</t>
  </si>
  <si>
    <t>Post.Follow.Reply.Text_0029_03_01</t>
  </si>
  <si>
    <t>Post.Follow.Reply.Text_0029_03_02</t>
  </si>
  <si>
    <t>Post.Follow.Reply.Text_0029_03_03</t>
  </si>
  <si>
    <t>Post.Follow.Reply.Text_0029_03_04</t>
  </si>
  <si>
    <t>Post.Follow.Reply.Text_0030_01</t>
  </si>
  <si>
    <t>Post.Follow.Reply.Text_0030_01_01</t>
  </si>
  <si>
    <t>Post.Follow.Reply.Text_0030_01_02</t>
  </si>
  <si>
    <t>Post.Follow.Reply.Text_0030_01_03</t>
  </si>
  <si>
    <t>Post.Follow.Reply.Text_0030_02</t>
  </si>
  <si>
    <t>Post.Follow.Reply.Text_0030_02_01</t>
  </si>
  <si>
    <t>Post.Follow.Reply.Text_0030_02_02</t>
  </si>
  <si>
    <t>Post.Follow.Reply.Text_0030_02_03</t>
  </si>
  <si>
    <t>Post.Follow.Reply.Text_0031_01</t>
  </si>
  <si>
    <t>Post.Follow.Reply.Text_0031_01_01</t>
  </si>
  <si>
    <t>Post.Follow.Reply.Text_0031_01_02</t>
  </si>
  <si>
    <t>Post.Follow.Reply.Text_0031_01_03</t>
  </si>
  <si>
    <t>Post.Follow.Reply.Text_0031_02</t>
  </si>
  <si>
    <t>Post.Follow.Reply.Text_0031_02_01</t>
  </si>
  <si>
    <t>Post.Follow.Reply.Text_0031_02_02</t>
  </si>
  <si>
    <t>Post.Follow.Reply.Text_0031_02_03</t>
  </si>
  <si>
    <t>Post.Follow.Reply.Text_0031_02_04</t>
  </si>
  <si>
    <t>Post.Follow.Reply.Text_0032_01</t>
  </si>
  <si>
    <t>Post.Follow.Reply.Text_0032_01_01</t>
  </si>
  <si>
    <t>Post.Follow.Reply.Text_0032_01_02</t>
  </si>
  <si>
    <t>Post.Follow.Reply.Text_0032_01_03</t>
  </si>
  <si>
    <t>Post.Follow.Reply.Text_0032_01_04</t>
  </si>
  <si>
    <t>Post.Follow.Reply.Text_0032_01_05</t>
  </si>
  <si>
    <t>Post.Follow.Reply.Text_0033_01</t>
  </si>
  <si>
    <t>Post.Follow.Reply.Text_0033_01_01</t>
  </si>
  <si>
    <t>Post.Follow.Reply.Text_0033_01_02</t>
  </si>
  <si>
    <t>Post.Follow.Reply.Text_0033_01_03</t>
  </si>
  <si>
    <t>Post.Follow.Reply.Text_0033_02</t>
  </si>
  <si>
    <t>Post.Follow.Reply.Text_0033_02_01</t>
  </si>
  <si>
    <t>Post.Follow.Reply.Text_0033_02_02</t>
  </si>
  <si>
    <t>Post.Follow.Reply.Text_0034_01</t>
  </si>
  <si>
    <t>Post.Follow.Reply.Text_0034_01_01</t>
  </si>
  <si>
    <t>Post.Follow.Reply.Text_0034_01_02</t>
  </si>
  <si>
    <t>Post.Follow.Reply.Text_0034_01_03</t>
  </si>
  <si>
    <t>Post.Follow.Reply.Text_0034_01_04</t>
  </si>
  <si>
    <t>Post.Follow.Reply.Text_0034_01_05</t>
  </si>
  <si>
    <t>Post.Follow.Reply.Text_0034_01_06</t>
  </si>
  <si>
    <t>Post.Follow.Reply.Text_0035_01</t>
  </si>
  <si>
    <t>Post.Follow.Reply.Text_0035_01_01</t>
  </si>
  <si>
    <t>Post.Follow.Reply.Text_0035_01_02</t>
  </si>
  <si>
    <t>Post.Follow.Reply.Text_0035_01_03</t>
  </si>
  <si>
    <t>Post.Follow.Reply.Text_0035_01_04</t>
  </si>
  <si>
    <t>Post.Follow.Reply.Text_0035_01_05</t>
  </si>
  <si>
    <t>Post.Follow.Reply.Text_0035_02</t>
  </si>
  <si>
    <t>Post.Follow.Reply.Text_0035_02_01</t>
  </si>
  <si>
    <t>Post.Follow.Reply.Text_0036_01</t>
  </si>
  <si>
    <t>Post.Follow.Reply.Text_0036_01_01</t>
  </si>
  <si>
    <t>Post.Follow.Reply.Text_0036_01_02</t>
  </si>
  <si>
    <t>Post.Follow.Reply.Text_0036_01_03</t>
  </si>
  <si>
    <t>Post.Follow.Reply.Text_0036_01_04</t>
  </si>
  <si>
    <t>Post.Follow.Reply.Text_0036_01_05</t>
  </si>
  <si>
    <t>Post.Follow.Reply.Text_0036_02</t>
  </si>
  <si>
    <t>Post.Follow.Reply.Text_0036_02_01</t>
  </si>
  <si>
    <t>Post.Follow.Reply.Text_0036_02_02</t>
  </si>
  <si>
    <t>Post.Follow.Reply.Text_0036_02_03</t>
  </si>
  <si>
    <t>Post.Follow.Reply.Text_0037_01</t>
  </si>
  <si>
    <t>Post.Follow.Reply.Text_0037_01_01</t>
  </si>
  <si>
    <t>Post.Follow.Reply.Text_0037_01_02</t>
  </si>
  <si>
    <t>Post.Follow.Reply.Text_0037_02</t>
  </si>
  <si>
    <t>Post.Follow.Reply.Text_0037_02_01</t>
  </si>
  <si>
    <t>Post.Follow.Reply.Text_0037_02_02</t>
  </si>
  <si>
    <t>Post.Follow.Reply.Text_0037_02_03</t>
  </si>
  <si>
    <t>Post.Follow.Reply.Text_0038_01</t>
  </si>
  <si>
    <t>Post.Follow.Reply.Text_0038_01_01</t>
  </si>
  <si>
    <t>Post.Follow.Reply.Text_0038_01_02</t>
  </si>
  <si>
    <t>Post.Follow.Reply.Text_0038_02</t>
  </si>
  <si>
    <t>Post.Follow.Reply.Text_0038_02_01</t>
  </si>
  <si>
    <t>Post.Follow.Reply.Text_0038_02_02</t>
  </si>
  <si>
    <t>Post.Follow.Reply.Text_0038_02_03</t>
  </si>
  <si>
    <t>Post.Follow.Reply.Text_0038_02_04</t>
  </si>
  <si>
    <t>Post.Follow.Reply.Text_0038_02_05</t>
  </si>
  <si>
    <t>Post.Follow.Reply.Text_0038_02_06</t>
  </si>
  <si>
    <t>Post.Follow.Reply.Text_0039_01</t>
  </si>
  <si>
    <t>Post.Follow.Reply.Text_0039_01_01</t>
  </si>
  <si>
    <t>Post.Follow.Reply.Text_0039_01_02</t>
  </si>
  <si>
    <t>Post.Follow.Reply.Text_0039_02</t>
  </si>
  <si>
    <t>Post.Follow.Reply.Text_0039_02_01</t>
  </si>
  <si>
    <t>Post.Follow.Reply.Text_0039_02_02</t>
  </si>
  <si>
    <t>Post.Follow.Reply.Text_0039_02_03</t>
  </si>
  <si>
    <t>Post.Follow.Reply.Text_0040_01</t>
  </si>
  <si>
    <t>Post.Follow.Reply.Text_0040_01_01</t>
  </si>
  <si>
    <t>Post.Follow.Reply.Text_0040_01_02</t>
  </si>
  <si>
    <t>Post.Follow.Reply.Text_0040_01_03</t>
  </si>
  <si>
    <t>Post.Follow.Reply.Text_0040_01_04</t>
  </si>
  <si>
    <t>Post.Follow.Reply.Text_0040_01_05</t>
  </si>
  <si>
    <t>Post.Follow.Reply.Text_0040_02</t>
  </si>
  <si>
    <t>Post.Follow.Reply.Text_0040_02_01</t>
  </si>
  <si>
    <t>Post.Follow.Reply.Text_0040_02_02</t>
  </si>
  <si>
    <t>Post.Follow.Reply.Text_0041_01</t>
  </si>
  <si>
    <t>Post.Follow.Reply.Text_0041_01_01</t>
  </si>
  <si>
    <t>Post.Follow.Reply.Text_0041_01_02</t>
  </si>
  <si>
    <t>Post.Follow.Reply.Text_0041_02</t>
  </si>
  <si>
    <t>Post.Follow.Reply.Text_0041_02_01</t>
  </si>
  <si>
    <t>Post.Follow.Reply.Text_0041_03</t>
  </si>
  <si>
    <t>Post.Follow.Reply.Text_0041_03_01</t>
  </si>
  <si>
    <t>Post.Follow.Reply.Text_0042_01</t>
  </si>
  <si>
    <t>Post.Follow.Reply.Text_0042_01_01</t>
  </si>
  <si>
    <t>Post.Follow.Reply.Text_0042_02</t>
  </si>
  <si>
    <t>Post.Follow.Reply.Text_0042_02_01</t>
  </si>
  <si>
    <t>Post.Follow.Reply.Text_0042_03</t>
  </si>
  <si>
    <t>Post.Follow.Reply.Text_0042_03_01</t>
  </si>
  <si>
    <t>Post.Follow.Reply.Text_0042_03_02</t>
  </si>
  <si>
    <t>Post.Follow.Reply.Text_0043_01</t>
  </si>
  <si>
    <t>Post.Follow.Reply.Text_0043_01_01</t>
  </si>
  <si>
    <t>Post.Follow.Reply.Text_0043_01_02</t>
  </si>
  <si>
    <t>Post.Follow.Reply.Text_0043_01_03</t>
  </si>
  <si>
    <t>Post.Follow.Reply.Text_0043_01_04</t>
  </si>
  <si>
    <t>Post.Follow.Reply.Text_0043_01_05</t>
  </si>
  <si>
    <t>Post.Follow.Reply.Text_0043_01_06</t>
  </si>
  <si>
    <t>Post.Follow.Reply.Text_0043_02</t>
  </si>
  <si>
    <t>Post.Follow.Reply.Text_0043_02_01</t>
  </si>
  <si>
    <t>Post.Follow.Reply.Text_0043_02_02</t>
  </si>
  <si>
    <t>Post.Follow.Reply.Text_0043_02_03</t>
  </si>
  <si>
    <t>Post.Follow.Reply.Text_0043_02_04</t>
  </si>
  <si>
    <t>Post.Follow.Reply.Text_0043_02_05</t>
  </si>
  <si>
    <t>Post.Follow.Reply.Text_0044_01</t>
  </si>
  <si>
    <t>Post.Follow.Reply.Text_0044_01_01</t>
  </si>
  <si>
    <t>Post.Follow.Reply.Text_0044_01_02</t>
  </si>
  <si>
    <t>Post.Follow.Reply.Text_0044_02</t>
  </si>
  <si>
    <t>Post.Follow.Reply.Text_0044_02_01</t>
  </si>
  <si>
    <t>Post.Follow.Reply.Text_0044_02_02</t>
  </si>
  <si>
    <t>Post.Follow.Reply.Text_0044_02_03</t>
  </si>
  <si>
    <t>Post.Follow.Reply.Text_0044_03</t>
  </si>
  <si>
    <t>Post.Follow.Reply.Text_0044_03_01</t>
  </si>
  <si>
    <t>Post.Bace.Reply.Text_1401_01</t>
  </si>
  <si>
    <t>Post.Bace.Reply.Text_1401_01_01</t>
  </si>
  <si>
    <t>Post.Bace.Reply.Text_1401_02</t>
  </si>
  <si>
    <t>Post.Bace.Reply.Text_1401_02_01</t>
  </si>
  <si>
    <t>Post.Bace.Reply.Text_1401_02_02</t>
  </si>
  <si>
    <t>Post.Bace.Reply.Text_1401_03</t>
  </si>
  <si>
    <t>Post.Bace.Reply.Text_1401_04</t>
  </si>
  <si>
    <t>Post.Bace.Reply.Text_1401_04_01</t>
  </si>
  <si>
    <t>Post.Bace.Reply.Text_1401_04_02</t>
  </si>
  <si>
    <t>루이텐(NPC)</t>
  </si>
  <si>
    <t>폴럭스(NPC)</t>
  </si>
  <si>
    <t>메리샤 - 팔로우1</t>
  </si>
  <si>
    <t>릴리안 - 팔로우1</t>
  </si>
  <si>
    <t>다리아 - 팔로우1</t>
  </si>
  <si>
    <t>스노프릴 - 팔로우1</t>
  </si>
  <si>
    <t>타이나 - 팔로우1</t>
  </si>
  <si>
    <t>다이아나 - 팔로우1</t>
  </si>
  <si>
    <t>아이라스 - 팔로우1</t>
  </si>
  <si>
    <t>메아 - 팔로우1</t>
  </si>
  <si>
    <t>레이첼 - 팔로우1</t>
  </si>
  <si>
    <t>이사벨라 - 팔로우1</t>
  </si>
  <si>
    <t>발렌시아 - 팔로우1</t>
  </si>
  <si>
    <t>벨리타 - 팔로우1</t>
  </si>
  <si>
    <t>베르베타 - 팔로우1</t>
  </si>
  <si>
    <t>아셀스 - 팔로우1</t>
  </si>
  <si>
    <t>안젤리카 - 팔로우1</t>
  </si>
  <si>
    <t>브륀힐데 - 팔로우1</t>
  </si>
  <si>
    <t>유나 - 팔로우1</t>
  </si>
  <si>
    <t>그레이 - 팔로우1</t>
  </si>
  <si>
    <t>페이 - 팔로우1</t>
  </si>
  <si>
    <t>클레아스 - 팔로우1</t>
  </si>
  <si>
    <t>프레이야 - 팔로우1</t>
  </si>
  <si>
    <t>카나타 - 팔로우1</t>
  </si>
  <si>
    <t>아크페이즈 - 팔로우1</t>
  </si>
  <si>
    <t>쉐리 - 팔로우1</t>
  </si>
  <si>
    <t>패트리샤 - 팔로우1</t>
  </si>
  <si>
    <t>레나스 - 팔로우1</t>
  </si>
  <si>
    <t>라일라 - 팔로우1</t>
  </si>
  <si>
    <t>에리카 - 팔로우1</t>
  </si>
  <si>
    <t>에이코 - 팔로우1</t>
  </si>
  <si>
    <t>크림슨 - 팔로우1</t>
  </si>
  <si>
    <t>페렐 - 팔로우1</t>
  </si>
  <si>
    <t>이노 - 팔로우1</t>
  </si>
  <si>
    <t>유리지아 - 팔로우1</t>
  </si>
  <si>
    <t>샤레 - 팔로우1</t>
  </si>
  <si>
    <t>레이호우 - 팔로우1</t>
  </si>
  <si>
    <t>헬렌 - 팔로우1</t>
  </si>
  <si>
    <t>엘리나 - 팔로우1</t>
  </si>
  <si>
    <t>이드 - 팔로우1</t>
  </si>
  <si>
    <t>앤 - 팔로우1</t>
  </si>
  <si>
    <t>시아 - 팔로우1</t>
  </si>
  <si>
    <t>에라디카 - 팔로우1</t>
  </si>
  <si>
    <t>아이투스 - 팔로우1</t>
  </si>
  <si>
    <t>아이투스</t>
  </si>
  <si>
    <t>괴도엘 - 팔로우1</t>
  </si>
  <si>
    <t>괴도엘</t>
  </si>
  <si>
    <t>할로나 - 팔로우1</t>
  </si>
  <si>
    <t>앰브로시아</t>
    <phoneticPr fontId="1" type="noConversion"/>
  </si>
  <si>
    <t>페이</t>
    <phoneticPr fontId="1" type="noConversion"/>
  </si>
  <si>
    <t>Post.Bace.Reply.Text_1002_01_01</t>
    <phoneticPr fontId="1" type="noConversion"/>
  </si>
  <si>
    <t>Post.Bace.Reply.Text_1002_01_02</t>
  </si>
  <si>
    <t>Post.Bace.Reply.Text_1002_01_03</t>
  </si>
  <si>
    <t>#정규데이터 (Unlock-최초포스팅)</t>
    <phoneticPr fontId="1" type="noConversion"/>
  </si>
  <si>
    <t>#정규데이터 (Follow-획득포스팅)</t>
    <phoneticPr fontId="1" type="noConversion"/>
  </si>
  <si>
    <t>Post.Pickup.Reply.Text_0001_01</t>
  </si>
  <si>
    <t>Post.Pickup.Reply.Text_0001_01_01</t>
  </si>
  <si>
    <t>Post.Pickup.Reply.Text_0001_01_02</t>
  </si>
  <si>
    <t>Post.Pickup.Reply.Text_0001_01_03</t>
  </si>
  <si>
    <t>Post.Pickup.Reply.Text_0001_01_04</t>
  </si>
  <si>
    <t>Post.Pickup.Reply.Text_0001_02</t>
  </si>
  <si>
    <t>Post.Pickup.Reply.Text_0001_02_01</t>
  </si>
  <si>
    <t>Post.Pickup.Reply.Text_0001_03</t>
  </si>
  <si>
    <t>Post.Pickup.Reply.Text_0001_03_01</t>
  </si>
  <si>
    <t>Post.Pickup.Reply.Text_0002_01</t>
  </si>
  <si>
    <t>Post.Pickup.Reply.Text_0002_01_01</t>
  </si>
  <si>
    <t>Post.Pickup.Reply.Text_0002_01_02</t>
  </si>
  <si>
    <t>Post.Pickup.Reply.Text_0002_01_03</t>
  </si>
  <si>
    <t>Post.Pickup.Reply.Text_0002_01_04</t>
  </si>
  <si>
    <t>Post.Pickup.Reply.Text_0002_01_05</t>
  </si>
  <si>
    <t>Post.Pickup.Reply.Text_0002_01_06</t>
  </si>
  <si>
    <t>Post.Pickup.Reply.Text_0002_01_07</t>
  </si>
  <si>
    <t>Post.Pickup.Reply.Text_0002_02</t>
  </si>
  <si>
    <t>Post.Pickup.Reply.Text_0002_02_01</t>
  </si>
  <si>
    <t>Post.Pickup.Reply.Text_0002_02_02</t>
  </si>
  <si>
    <t>Post.Pickup.Reply.Text_0003_01</t>
  </si>
  <si>
    <t>Post.Pickup.Reply.Text_0003_01_01</t>
  </si>
  <si>
    <t>Post.Pickup.Reply.Text_0003_01_02</t>
  </si>
  <si>
    <t>Post.Pickup.Reply.Text_0003_02</t>
  </si>
  <si>
    <t>Post.Pickup.Reply.Text_0003_02_01</t>
  </si>
  <si>
    <t>Post.Pickup.Reply.Text_0003_03</t>
  </si>
  <si>
    <t>Post.Pickup.Reply.Text_0003_03_01</t>
  </si>
  <si>
    <t>Post.Pickup.Reply.Text_0003_03_02</t>
  </si>
  <si>
    <t>Post.Pickup.Reply.Text_0003_03_03</t>
  </si>
  <si>
    <t>Name.Character.melissa</t>
    <phoneticPr fontId="1" type="noConversion"/>
  </si>
  <si>
    <t>Post.Profil.Text_melissa</t>
  </si>
  <si>
    <t>Post.Profil.Text_lilian</t>
  </si>
  <si>
    <t>Post.Profil.Text_daria</t>
  </si>
  <si>
    <t>Post.Profil.Text_snopril</t>
  </si>
  <si>
    <t>Post.Profil.Text_taina</t>
  </si>
  <si>
    <t>Post.Profil.Text_diana</t>
  </si>
  <si>
    <t>Post.Profil.Text_iras</t>
  </si>
  <si>
    <t>Post.Profil.Text_ambrosia</t>
  </si>
  <si>
    <t>Post.Profil.Text_mea</t>
  </si>
  <si>
    <t>Post.Profil.Text_rachel</t>
  </si>
  <si>
    <t>Post.Profil.Text_isabella</t>
  </si>
  <si>
    <t>Post.Profil.Text_balencia</t>
  </si>
  <si>
    <t>Post.Profil.Text_belita</t>
  </si>
  <si>
    <t>Post.Profil.Text_belebeta</t>
  </si>
  <si>
    <t>Post.Profil.Text_arcels</t>
  </si>
  <si>
    <t>Post.Profil.Text_angelica</t>
  </si>
  <si>
    <t>Post.Profil.Text_brynhild</t>
  </si>
  <si>
    <t>Post.Profil.Text_yuna</t>
  </si>
  <si>
    <t>Post.Profil.Text_gray</t>
  </si>
  <si>
    <t>Post.Profil.Text_fei</t>
  </si>
  <si>
    <t>Post.Profil.Text_airen</t>
  </si>
  <si>
    <t>Post.Profil.Text_klairs</t>
  </si>
  <si>
    <t>Post.Profil.Text_freyja</t>
  </si>
  <si>
    <t>Post.Profil.Text_kanata</t>
  </si>
  <si>
    <t>Post.Profil.Text_archphase</t>
  </si>
  <si>
    <t>Post.Profil.Text_shery</t>
  </si>
  <si>
    <t>Post.Profil.Text_patricia</t>
  </si>
  <si>
    <t>Post.Profil.Text_renas</t>
  </si>
  <si>
    <t>Post.Profil.Text_leila</t>
  </si>
  <si>
    <t>Post.Profil.Text_erica</t>
  </si>
  <si>
    <t>Post.Profil.Text_eiko</t>
  </si>
  <si>
    <t>Post.Profil.Text_crimson</t>
  </si>
  <si>
    <t>Post.Profil.Text_ferrel</t>
  </si>
  <si>
    <t>Post.Profil.Text_ino</t>
  </si>
  <si>
    <t>Post.Profil.Text_mana</t>
  </si>
  <si>
    <t>Post.Profil.Text_aurora</t>
  </si>
  <si>
    <t>Post.Profil.Text_yurizia</t>
  </si>
  <si>
    <t>Post.Profil.Text_shale</t>
  </si>
  <si>
    <t>Post.Profil.Text_rayhou</t>
  </si>
  <si>
    <t>Post.Profil.Text_hellen</t>
  </si>
  <si>
    <t>Post.Profil.Text_elina</t>
  </si>
  <si>
    <t>Post.Profil.Text_siege</t>
  </si>
  <si>
    <t>Post.Profil.Text_id</t>
  </si>
  <si>
    <t>Post.Profil.Text_anne</t>
  </si>
  <si>
    <t>Post.Profil.Text_sia</t>
  </si>
  <si>
    <t>Post.Profil.Text_eradica</t>
  </si>
  <si>
    <t>Post.Profil.Text_itus</t>
  </si>
  <si>
    <t>Post.Profil.Text_kaito.aile</t>
  </si>
  <si>
    <t>Post.Profil.Text_hallona</t>
  </si>
  <si>
    <t>Post.Unlock.Reply.Text_0001_01</t>
  </si>
  <si>
    <t>Post.Unlock.Reply.Text_0001_01_01</t>
  </si>
  <si>
    <t>Post.Unlock.Reply.Text_0001_01_02</t>
  </si>
  <si>
    <t>Post.Unlock.Reply.Text_0001_02</t>
  </si>
  <si>
    <t>Post.Unlock.Reply.Text_0001_02_01</t>
  </si>
  <si>
    <t>Post.Unlock.Reply.Text_0001_02_02</t>
  </si>
  <si>
    <t>Post.Unlock.Reply.Text_0001_02_03</t>
  </si>
  <si>
    <t>Post.Unlock.Reply.Text_0001_02_04</t>
  </si>
  <si>
    <t>Post.Unlock.Reply.Text_0001_02_05</t>
  </si>
  <si>
    <t>Post.Profil.Text_serapulsar</t>
    <phoneticPr fontId="1" type="noConversion"/>
  </si>
  <si>
    <t>벨리타</t>
    <phoneticPr fontId="1" type="noConversion"/>
  </si>
  <si>
    <t>Post.Bace.Reply.Text_0102_01</t>
    <phoneticPr fontId="1" type="noConversion"/>
  </si>
  <si>
    <t>샤레</t>
    <phoneticPr fontId="1" type="noConversion"/>
  </si>
  <si>
    <t>Post.Bace.Reply.Text_0102_01_01</t>
    <phoneticPr fontId="1" type="noConversion"/>
  </si>
  <si>
    <t>베르베타</t>
    <phoneticPr fontId="1" type="noConversion"/>
  </si>
  <si>
    <t>Post.Bace.Reply.Text_0102_01_02</t>
  </si>
  <si>
    <t>샤레</t>
    <phoneticPr fontId="1" type="noConversion"/>
  </si>
  <si>
    <t>Post.Bace.Reply.Text_0102_01_03</t>
  </si>
  <si>
    <t>아이라스</t>
    <phoneticPr fontId="1" type="noConversion"/>
  </si>
  <si>
    <t>Post.Bace.Reply.Text_0102_01_04</t>
  </si>
  <si>
    <t>샤레</t>
    <phoneticPr fontId="1" type="noConversion"/>
  </si>
  <si>
    <t>Post.Bace.Reply.Text_0102_01_05</t>
  </si>
  <si>
    <t>안젤리카</t>
    <phoneticPr fontId="1" type="noConversion"/>
  </si>
  <si>
    <t>Post.Bace.Reply.Text_0301_01</t>
    <phoneticPr fontId="1" type="noConversion"/>
  </si>
  <si>
    <t>헬렌</t>
    <phoneticPr fontId="1" type="noConversion"/>
  </si>
  <si>
    <t>Post.Bace.Reply.Text_0301_01_01</t>
    <phoneticPr fontId="1" type="noConversion"/>
  </si>
  <si>
    <t>라일라</t>
    <phoneticPr fontId="1" type="noConversion"/>
  </si>
  <si>
    <t>Post.Bace.Reply.Text_0301_01_02</t>
    <phoneticPr fontId="1" type="noConversion"/>
  </si>
  <si>
    <t>오로라</t>
    <phoneticPr fontId="1" type="noConversion"/>
  </si>
  <si>
    <t>Post.Bace.Reply.Text_0301_02</t>
    <phoneticPr fontId="1" type="noConversion"/>
  </si>
  <si>
    <t>크림슨</t>
    <phoneticPr fontId="1" type="noConversion"/>
  </si>
  <si>
    <t>Post.Bace.Reply.Text_0301_02_01</t>
    <phoneticPr fontId="1" type="noConversion"/>
  </si>
  <si>
    <t>Post.Bace.Reply.Text_0301_02_02</t>
  </si>
  <si>
    <t>Post.Bace.Reply.Text_0301_02_03</t>
  </si>
  <si>
    <t>Post.Bace.Reply.Text_0501_01</t>
    <phoneticPr fontId="1" type="noConversion"/>
  </si>
  <si>
    <t>Post.Bace.Reply.Text_0501_01_02</t>
  </si>
  <si>
    <t>Post.Bace.Reply.Text_0501_01_03</t>
  </si>
  <si>
    <t>Post.Bace.Reply.Text_0501_01_04</t>
  </si>
  <si>
    <t>Post.Bace.Reply.Text_0501_01_05</t>
  </si>
  <si>
    <t>Post.Bace.Reply.Text_0501_01_06</t>
  </si>
  <si>
    <t>Post.Bace.Reply.Text_0501_01_07</t>
  </si>
  <si>
    <t>Post.Bace.Reply.Text_0501_01_08</t>
  </si>
  <si>
    <t>Post.Bace.Reply.Text_0801_01_01</t>
    <phoneticPr fontId="1" type="noConversion"/>
  </si>
  <si>
    <t>Post.Bace.Reply.Text_0801_01_02</t>
    <phoneticPr fontId="1" type="noConversion"/>
  </si>
  <si>
    <t>Post.Bace.Reply.Text_0801_02_01</t>
    <phoneticPr fontId="1" type="noConversion"/>
  </si>
  <si>
    <t>Post.Bace.Reply.Text_0801_03</t>
    <phoneticPr fontId="1" type="noConversion"/>
  </si>
  <si>
    <t>Post.Bace.Reply.Text_0801_03_02</t>
  </si>
  <si>
    <t>Post.Bace.Reply.Text_0801_03_03</t>
  </si>
  <si>
    <t>#ID=타입구분+포스팅구분 (포스팅 데이터 삭제 금지. 데이터 삭제가 불가피할 경우 서버 담당자에게 DB삭제를 요청할 것!)</t>
    <phoneticPr fontId="1" type="noConversion"/>
  </si>
  <si>
    <t>Post.Unlock.Reply.Text_0003_03</t>
    <phoneticPr fontId="1" type="noConversion"/>
  </si>
  <si>
    <t>Post.Unlock.Reply.Text_0004_01_01</t>
    <phoneticPr fontId="1" type="noConversion"/>
  </si>
  <si>
    <t>Post.Unlock.Reply.Text_0004_01_02</t>
  </si>
  <si>
    <t>Post.Unlock.Reply.Text_0004_01_03</t>
  </si>
  <si>
    <t>Post.Unlock.Reply.Text_0004_02_02</t>
  </si>
  <si>
    <t>Post.Unlock.Reply.Text_0004_02_03</t>
  </si>
  <si>
    <t>마나</t>
    <phoneticPr fontId="1" type="noConversion"/>
  </si>
  <si>
    <t>Post.Unlock.Reply.Text_0004_01</t>
    <phoneticPr fontId="1" type="noConversion"/>
  </si>
  <si>
    <t>유나</t>
    <phoneticPr fontId="1" type="noConversion"/>
  </si>
  <si>
    <t>에이코</t>
    <phoneticPr fontId="1" type="noConversion"/>
  </si>
  <si>
    <t>오로라</t>
    <phoneticPr fontId="1" type="noConversion"/>
  </si>
  <si>
    <t>라일라</t>
    <phoneticPr fontId="1" type="noConversion"/>
  </si>
  <si>
    <t>Post.Unlock.Reply.Text_0004_02</t>
    <phoneticPr fontId="1" type="noConversion"/>
  </si>
  <si>
    <t>안젤리카</t>
    <phoneticPr fontId="1" type="noConversion"/>
  </si>
  <si>
    <t>Post.Unlock.Reply.Text_0004_02_01</t>
    <phoneticPr fontId="1" type="noConversion"/>
  </si>
  <si>
    <t>character_marillight_03</t>
    <phoneticPr fontId="1" type="noConversion"/>
  </si>
  <si>
    <t>테스트 포스팅 3</t>
  </si>
  <si>
    <t>테스트 포스팅 4</t>
  </si>
  <si>
    <t>테스트 포스팅 5</t>
  </si>
  <si>
    <t>테스트 포스팅 6</t>
  </si>
  <si>
    <t>테스트 포스팅 7</t>
  </si>
  <si>
    <t>테스트 포스팅 8</t>
  </si>
  <si>
    <t>테스트 포스팅 9</t>
  </si>
  <si>
    <t>테스트 포스팅 10</t>
  </si>
  <si>
    <t>테스트 포스팅 11</t>
  </si>
  <si>
    <t>테스트 포스팅 12</t>
  </si>
  <si>
    <t>테스트 포스팅 14</t>
  </si>
  <si>
    <t>테스트 포스팅 15</t>
  </si>
  <si>
    <t>테스트 포스팅 16</t>
  </si>
  <si>
    <t>0004</t>
    <phoneticPr fontId="1" type="noConversion"/>
  </si>
  <si>
    <t>0005</t>
    <phoneticPr fontId="1" type="noConversion"/>
  </si>
  <si>
    <t>Post.Bace.Reply.Text_0501_01_01</t>
    <phoneticPr fontId="1" type="noConversion"/>
  </si>
  <si>
    <t>유나</t>
    <phoneticPr fontId="1" type="noConversion"/>
  </si>
  <si>
    <t>에이코</t>
    <phoneticPr fontId="1" type="noConversion"/>
  </si>
  <si>
    <t>Post.Bace.Reply.Text_0801_01</t>
    <phoneticPr fontId="1" type="noConversion"/>
  </si>
  <si>
    <t>Post.Bace.Reply.Text_0801_02</t>
    <phoneticPr fontId="1" type="noConversion"/>
  </si>
  <si>
    <t>Post.Bace.Reply.Text_0801_03_01</t>
    <phoneticPr fontId="1" type="noConversion"/>
  </si>
  <si>
    <t>Post.Follow.Reply.Text_0011_02_03</t>
  </si>
  <si>
    <t>Post.Follow.Reply.Text_0011_02_04</t>
  </si>
  <si>
    <t>타이나</t>
    <phoneticPr fontId="1" type="noConversion"/>
  </si>
  <si>
    <t>Name.Character.frederica</t>
    <phoneticPr fontId="1" type="noConversion"/>
  </si>
  <si>
    <t>character_frederica_01</t>
    <phoneticPr fontId="1" type="noConversion"/>
  </si>
  <si>
    <t>Post.Profil.Text_frederica</t>
    <phoneticPr fontId="1" type="noConversion"/>
  </si>
  <si>
    <t>92000610</t>
  </si>
  <si>
    <t>StaticDateRange(2023-06-26 00:00:00 ~ 2023-07-12 00:00:00)</t>
  </si>
  <si>
    <t>DateRangeCondition</t>
    <phoneticPr fontId="1" type="noConversion"/>
  </si>
  <si>
    <t>dsl?</t>
    <phoneticPr fontId="1" type="noConversion"/>
  </si>
  <si>
    <t>Post.Pickup.Reply.Text_0005_01_02</t>
  </si>
  <si>
    <t>Post.Pickup.Reply.Text_0005_01_03</t>
  </si>
  <si>
    <t>Post.Pickup.Reply.Text_0005_01_04</t>
  </si>
  <si>
    <t>Post.Pickup.Reply.Text_0006_01_02</t>
  </si>
  <si>
    <t>Post.Pickup.Reply.Text_0006_01_03</t>
  </si>
  <si>
    <t>Post.Pickup.Reply.Text_0005_01</t>
  </si>
  <si>
    <t>Post.Pickup.Reply.Text_0005_01_01</t>
  </si>
  <si>
    <t>Post.Pickup.Reply.Text_0006_01</t>
  </si>
  <si>
    <t>Post.Pickup.Reply.Text_0006_01_01</t>
  </si>
  <si>
    <t>프레데리카 - 팔로우1</t>
  </si>
  <si>
    <t>Post.Follow.Reply.Text_0045_01</t>
  </si>
  <si>
    <t>프레데리카</t>
  </si>
  <si>
    <t>Post.Follow.Reply.Text_0045_01_01</t>
  </si>
  <si>
    <t>Post.Follow.Reply.Text_0045_02</t>
  </si>
  <si>
    <t>Post.Follow.Reply.Text_0045_02_01</t>
  </si>
  <si>
    <t>Post.Follow.Reply.Text_0045_02_02</t>
  </si>
  <si>
    <t>Post.Follow.Reply.Text_0045_03</t>
  </si>
  <si>
    <t>Post.Follow.Reply.Text_0045_03_01</t>
  </si>
  <si>
    <t>Post.Follow.Reply.Text_0045_03_02</t>
  </si>
  <si>
    <t>Post.Pickup.Reply.Text_0004_01</t>
  </si>
  <si>
    <t>Post.Pickup.Reply.Text_0004_01_01</t>
  </si>
  <si>
    <t>Post.Pickup.Reply.Text_0004_01_02</t>
  </si>
  <si>
    <t>Post.Pickup.Reply.Text_0004_01_03</t>
  </si>
  <si>
    <t>Post.Pickup.Reply.Text_0004_01_04</t>
  </si>
  <si>
    <t>Post.Pickup.Reply.Text_0004_02</t>
  </si>
  <si>
    <t>Post.Pickup.Reply.Text_0004_02_01</t>
  </si>
  <si>
    <t>Post.Pickup.Reply.Text_0004_03</t>
  </si>
  <si>
    <t>Post.Pickup.Reply.Text_0004_03_01</t>
  </si>
  <si>
    <t>Post.Pickup.Reply.Text_0004_03_02</t>
  </si>
  <si>
    <t>Post.Pickup.Reply.Text_0005_01_05</t>
  </si>
  <si>
    <t>Post.Pickup.Reply.Text_0006_02</t>
  </si>
  <si>
    <t>Post.Pickup.Reply.Text_0006_02_01</t>
  </si>
  <si>
    <t>Post.Pickup.Reply.Text_0006_03</t>
  </si>
  <si>
    <t>Post.Pickup.Reply.Text_0006_03_01</t>
  </si>
  <si>
    <t>#정규데이터 (Favor-호감도3레벨)</t>
    <phoneticPr fontId="1" type="noConversion"/>
  </si>
  <si>
    <t>프레이야</t>
    <phoneticPr fontId="1" type="noConversion"/>
  </si>
  <si>
    <t>#정규데이터 (Favor-호감도5레벨)</t>
    <phoneticPr fontId="1" type="noConversion"/>
  </si>
  <si>
    <t>세라펄사 (영상)</t>
    <phoneticPr fontId="1" type="noConversion"/>
  </si>
  <si>
    <t>라일라 (영상)</t>
    <phoneticPr fontId="1" type="noConversion"/>
  </si>
  <si>
    <t>유나 (영상)</t>
    <phoneticPr fontId="1" type="noConversion"/>
  </si>
  <si>
    <t>아이라스 (영상)</t>
    <phoneticPr fontId="1" type="noConversion"/>
  </si>
  <si>
    <t>레이호우(영상)</t>
    <phoneticPr fontId="1" type="noConversion"/>
  </si>
  <si>
    <t>유리지아(영상)</t>
    <phoneticPr fontId="1" type="noConversion"/>
  </si>
  <si>
    <t>카나타(영상)</t>
    <phoneticPr fontId="1" type="noConversion"/>
  </si>
  <si>
    <t xml:space="preserve">오로라 </t>
    <phoneticPr fontId="1" type="noConversion"/>
  </si>
  <si>
    <t>페트리샤</t>
    <phoneticPr fontId="1" type="noConversion"/>
  </si>
  <si>
    <t>#정규데이터 (Favor-호감도7레벨)</t>
    <phoneticPr fontId="1" type="noConversion"/>
  </si>
  <si>
    <t>MissionProgress(2112000000004,1)</t>
    <phoneticPr fontId="1" type="noConversion"/>
  </si>
  <si>
    <t>세라펄사 (스피카)</t>
    <phoneticPr fontId="1" type="noConversion"/>
  </si>
  <si>
    <t>레나스 (스피카)</t>
    <phoneticPr fontId="1" type="noConversion"/>
  </si>
  <si>
    <t>그레이 (스피카)</t>
    <phoneticPr fontId="1" type="noConversion"/>
  </si>
  <si>
    <t>페이 (스피카)</t>
    <phoneticPr fontId="1" type="noConversion"/>
  </si>
  <si>
    <t>에리카 (스피카)</t>
    <phoneticPr fontId="1" type="noConversion"/>
  </si>
  <si>
    <t>발렌시아 (스피카)</t>
    <phoneticPr fontId="1" type="noConversion"/>
  </si>
  <si>
    <t>릴리안 (스피카)</t>
    <phoneticPr fontId="1" type="noConversion"/>
  </si>
  <si>
    <t>베르베타 (알타이르)</t>
    <phoneticPr fontId="1" type="noConversion"/>
  </si>
  <si>
    <t>라일라 (알타이르)</t>
    <phoneticPr fontId="1" type="noConversion"/>
  </si>
  <si>
    <t>안젤리카 (알타이르)</t>
    <phoneticPr fontId="1" type="noConversion"/>
  </si>
  <si>
    <t>쉐리 (알타이르)</t>
    <phoneticPr fontId="1" type="noConversion"/>
  </si>
  <si>
    <t>에이코 (알타이르)</t>
    <phoneticPr fontId="1" type="noConversion"/>
  </si>
  <si>
    <t>벨리타 (알타이르)</t>
    <phoneticPr fontId="1" type="noConversion"/>
  </si>
  <si>
    <t>아셀스 (알타이르)</t>
    <phoneticPr fontId="1" type="noConversion"/>
  </si>
  <si>
    <t>0001</t>
    <phoneticPr fontId="1" type="noConversion"/>
  </si>
  <si>
    <t>0002</t>
    <phoneticPr fontId="1" type="noConversion"/>
  </si>
  <si>
    <t>레나스</t>
    <phoneticPr fontId="1" type="noConversion"/>
  </si>
  <si>
    <t>0001</t>
    <phoneticPr fontId="1" type="noConversion"/>
  </si>
  <si>
    <t>0002</t>
    <phoneticPr fontId="1" type="noConversion"/>
  </si>
  <si>
    <t>메아 (승급)</t>
    <phoneticPr fontId="1" type="noConversion"/>
  </si>
  <si>
    <t>유나 (승급)</t>
    <phoneticPr fontId="1" type="noConversion"/>
  </si>
  <si>
    <t>세라펄사 (승급)</t>
    <phoneticPr fontId="1" type="noConversion"/>
  </si>
  <si>
    <t>패트리샤 (승급)</t>
    <phoneticPr fontId="1" type="noConversion"/>
  </si>
  <si>
    <t>베르베타 (승급)</t>
    <phoneticPr fontId="1" type="noConversion"/>
  </si>
  <si>
    <t>페이 (승급)</t>
    <phoneticPr fontId="1" type="noConversion"/>
  </si>
  <si>
    <t>안젤리카 (승급)</t>
    <phoneticPr fontId="1" type="noConversion"/>
  </si>
  <si>
    <t>라일라 (승급)</t>
    <phoneticPr fontId="1" type="noConversion"/>
  </si>
  <si>
    <t>이노 (승급)</t>
    <phoneticPr fontId="1" type="noConversion"/>
  </si>
  <si>
    <t>아이라스 (승급)</t>
    <phoneticPr fontId="1" type="noConversion"/>
  </si>
  <si>
    <t>앰브로시아 (승급)</t>
    <phoneticPr fontId="1" type="noConversion"/>
  </si>
  <si>
    <t>레이호우 (승급)</t>
    <phoneticPr fontId="1" type="noConversion"/>
  </si>
  <si>
    <t>샤레 (승급)</t>
    <phoneticPr fontId="1" type="noConversion"/>
  </si>
  <si>
    <t>헬렌 (승급)</t>
    <phoneticPr fontId="1" type="noConversion"/>
  </si>
  <si>
    <t>StoryRead(airen01_01)</t>
    <phoneticPr fontId="1" type="noConversion"/>
  </si>
  <si>
    <t>StoryRead(Chapter01_01)</t>
    <phoneticPr fontId="1" type="noConversion"/>
  </si>
  <si>
    <t>StageClear(스테이지30)</t>
    <phoneticPr fontId="1" type="noConversion"/>
  </si>
  <si>
    <t>CharacterLink(1400000000000, 1)</t>
    <phoneticPr fontId="1" type="noConversion"/>
  </si>
  <si>
    <t>StoryRead(순수예술과_1)</t>
    <phoneticPr fontId="1" type="noConversion"/>
  </si>
  <si>
    <t>MissionProgress(2112000000001,2)</t>
    <phoneticPr fontId="1" type="noConversion"/>
  </si>
  <si>
    <t>MissionProgress(2112000000002,1)</t>
    <phoneticPr fontId="1" type="noConversion"/>
  </si>
  <si>
    <t>MissionProgress(2112000000003,2)</t>
    <phoneticPr fontId="1" type="noConversion"/>
  </si>
  <si>
    <t>MissionProgress(2112000000005,10)</t>
    <phoneticPr fontId="1" type="noConversion"/>
  </si>
  <si>
    <t>MissionComplete(2112000000001)</t>
    <phoneticPr fontId="1" type="noConversion"/>
  </si>
  <si>
    <t>FavorCommunication(1, 1010320001)</t>
    <phoneticPr fontId="1" type="noConversion"/>
  </si>
  <si>
    <t>메아 (월드레이드)</t>
    <phoneticPr fontId="1" type="noConversion"/>
  </si>
  <si>
    <t>유나 (월드레이드)</t>
    <phoneticPr fontId="1" type="noConversion"/>
  </si>
  <si>
    <t>세라펄사 (월드레이드)</t>
    <phoneticPr fontId="1" type="noConversion"/>
  </si>
  <si>
    <t>아크페이즈 (월드레이드)</t>
    <phoneticPr fontId="1" type="noConversion"/>
  </si>
  <si>
    <t>패트리샤 (월드레이드)</t>
    <phoneticPr fontId="1" type="noConversion"/>
  </si>
  <si>
    <t>스노프릴 (데이터타워)</t>
    <phoneticPr fontId="1" type="noConversion"/>
  </si>
  <si>
    <t>샤레 (데이터타워)</t>
    <phoneticPr fontId="1" type="noConversion"/>
  </si>
  <si>
    <t>ConditionDesc</t>
    <phoneticPr fontId="1" type="noConversion"/>
  </si>
  <si>
    <t>string</t>
    <phoneticPr fontId="1" type="noConversion"/>
  </si>
  <si>
    <t>client</t>
    <phoneticPr fontId="1" type="noConversion"/>
  </si>
  <si>
    <t>#등장 조건 스트링</t>
    <phoneticPr fontId="1" type="noConversion"/>
  </si>
  <si>
    <t>UI.SNS.Post.PostInfo005</t>
    <phoneticPr fontId="1" type="noConversion"/>
  </si>
  <si>
    <t>UI.SNS.Post.PostInfo007</t>
    <phoneticPr fontId="1" type="noConversion"/>
  </si>
  <si>
    <t>UI.SNS.Post.PostInfo009</t>
    <phoneticPr fontId="1" type="noConversion"/>
  </si>
  <si>
    <t>UI.SNS.Post.PostInfo001</t>
    <phoneticPr fontId="1" type="noConversion"/>
  </si>
  <si>
    <t>UI.SNS.Post.PostInfo011</t>
    <phoneticPr fontId="1" type="noConversion"/>
  </si>
  <si>
    <t>UI.SNS.Post.PostInfo012</t>
    <phoneticPr fontId="1" type="noConversion"/>
  </si>
  <si>
    <t>UI.SNS.Post.PostInfo013</t>
    <phoneticPr fontId="1" type="noConversion"/>
  </si>
  <si>
    <t>UI.SNS.Post.PostInfo013</t>
    <phoneticPr fontId="1" type="noConversion"/>
  </si>
  <si>
    <t>UI.SNS.Post.PostInfo002</t>
    <phoneticPr fontId="1" type="noConversion"/>
  </si>
  <si>
    <t>UI.SNS.Post.PostInfo002</t>
    <phoneticPr fontId="1" type="noConversion"/>
  </si>
  <si>
    <t>UI.SNS.Post.PostInfo014</t>
    <phoneticPr fontId="1" type="noConversion"/>
  </si>
  <si>
    <t>UI.SNS.Post.PostInfo016</t>
    <phoneticPr fontId="1" type="noConversion"/>
  </si>
  <si>
    <t>UI.SNS.Post.PostInfo017</t>
    <phoneticPr fontId="1" type="noConversion"/>
  </si>
  <si>
    <t>세라펄사 - 팔로우</t>
    <phoneticPr fontId="1" type="noConversion"/>
  </si>
  <si>
    <t>샤례 (영상)</t>
    <phoneticPr fontId="1" type="noConversion"/>
  </si>
  <si>
    <t>#정규데이터 (Academy-아카데미 LR 등급 달성)</t>
    <phoneticPr fontId="1" type="noConversion"/>
  </si>
  <si>
    <t>#정규데이터 (Promote-승급 LR 등급 달성)</t>
    <phoneticPr fontId="1" type="noConversion"/>
  </si>
  <si>
    <t>#정규데이터 (Battle-전투 참여)</t>
    <phoneticPr fontId="1" type="noConversion"/>
  </si>
  <si>
    <t>Post.Academy.Text_0002</t>
  </si>
  <si>
    <t>Post.Academy.Text_0003</t>
  </si>
  <si>
    <t>Post.Academy.Text_0004</t>
  </si>
  <si>
    <t>Post.Academy.Text_0005</t>
  </si>
  <si>
    <t>Post.Academy.Text_0006</t>
  </si>
  <si>
    <t>Post.Academy.Text_0007</t>
  </si>
  <si>
    <t>Post.Academy.Text_0008</t>
  </si>
  <si>
    <t>Post.Academy.Text_0009</t>
  </si>
  <si>
    <t>Post.Academy.Text_0010</t>
  </si>
  <si>
    <t>Post.Academy.Text_0011</t>
  </si>
  <si>
    <t>Post.Academy.Text_0012</t>
  </si>
  <si>
    <t>Post.Academy.Text_0013</t>
  </si>
  <si>
    <t>Post.Academy.Text_0014</t>
  </si>
  <si>
    <t>Post.Academy.Text_0015</t>
  </si>
  <si>
    <t>Post.Academy.Text_0016</t>
  </si>
  <si>
    <t>Post.Academy.Text_0017</t>
  </si>
  <si>
    <t>Post.Academy.Text_0018</t>
  </si>
  <si>
    <t>Post.Academy.Text_0019</t>
  </si>
  <si>
    <t>Post.Academy.Text_0020</t>
  </si>
  <si>
    <t>Post.Promote.Text_0001</t>
  </si>
  <si>
    <t>Post.Promote.Text_0002</t>
  </si>
  <si>
    <t>Post.Promote.Text_0003</t>
  </si>
  <si>
    <t>Post.Promote.Text_0004</t>
  </si>
  <si>
    <t>Post.Promote.Text_0005</t>
  </si>
  <si>
    <t>Post.Promote.Text_0006</t>
  </si>
  <si>
    <t>Post.Promote.Text_0007</t>
  </si>
  <si>
    <t>Post.Promote.Text_0008</t>
  </si>
  <si>
    <t>Post.Promote.Text_0009</t>
  </si>
  <si>
    <t>Post.Promote.Text_0010</t>
  </si>
  <si>
    <t>Post.Promote.Text_0011</t>
  </si>
  <si>
    <t>Post.Promote.Text_0012</t>
  </si>
  <si>
    <t>Post.Promote.Text_0013</t>
  </si>
  <si>
    <t>Post.Promote.Text_0014</t>
  </si>
  <si>
    <t>106000101</t>
  </si>
  <si>
    <t>메아 - 승급1</t>
  </si>
  <si>
    <t>1060001</t>
  </si>
  <si>
    <t>Post.Promote.Reply.Text_0001_01</t>
  </si>
  <si>
    <t>Post.Promote.Reply.Text_0001_01_01</t>
  </si>
  <si>
    <t>106000103</t>
  </si>
  <si>
    <t>Post.Promote.Reply.Text_0001_02</t>
  </si>
  <si>
    <t>Post.Promote.Reply.Text_0001_02_01</t>
  </si>
  <si>
    <t>106000105</t>
  </si>
  <si>
    <t>Post.Promote.Reply.Text_0001_03</t>
  </si>
  <si>
    <t>Post.Promote.Reply.Text_0001_03_01</t>
  </si>
  <si>
    <t>유나 - 승급1</t>
  </si>
  <si>
    <t>1060002</t>
  </si>
  <si>
    <t>Post.Promote.Reply.Text_0002_01</t>
  </si>
  <si>
    <t>Post.Promote.Reply.Text_0002_02</t>
  </si>
  <si>
    <t>Post.Promote.Reply.Text_0002_03</t>
  </si>
  <si>
    <t>Post.Promote.Reply.Text_0002_04</t>
  </si>
  <si>
    <t>세라펄사 - 승급1</t>
  </si>
  <si>
    <t>1060003</t>
  </si>
  <si>
    <t>Post.Promote.Reply.Text_0003_01</t>
  </si>
  <si>
    <t>Post.Promote.Reply.Text_0003_02</t>
  </si>
  <si>
    <t>106000401</t>
  </si>
  <si>
    <t>패트리샤 - 승급1</t>
  </si>
  <si>
    <t>1060004</t>
  </si>
  <si>
    <t>Post.Promote.Reply.Text_0004_01</t>
  </si>
  <si>
    <t>Post.Promote.Reply.Text_0004_02</t>
  </si>
  <si>
    <t>106000403</t>
  </si>
  <si>
    <t>Post.Promote.Reply.Text_0004_02_01</t>
  </si>
  <si>
    <t>베르베타 - 승급1</t>
  </si>
  <si>
    <t>1060005</t>
  </si>
  <si>
    <t>Post.Promote.Reply.Text_0005_01</t>
  </si>
  <si>
    <t>Post.Promote.Reply.Text_0005_02</t>
  </si>
  <si>
    <t>Post.Promote.Reply.Text_0005_03</t>
  </si>
  <si>
    <t>페이 - 승급1</t>
  </si>
  <si>
    <t>1060006</t>
  </si>
  <si>
    <t>Post.Promote.Reply.Text_0006_01</t>
  </si>
  <si>
    <t>Post.Promote.Reply.Text_0006_02</t>
  </si>
  <si>
    <t>Post.Promote.Reply.Text_0006_03</t>
  </si>
  <si>
    <t>안젤리카 - 승급1</t>
  </si>
  <si>
    <t>1060007</t>
  </si>
  <si>
    <t>Post.Promote.Reply.Text_0007_01</t>
  </si>
  <si>
    <t>라일라 - 승급1</t>
  </si>
  <si>
    <t>1060008</t>
  </si>
  <si>
    <t>Post.Promote.Reply.Text_0008_01</t>
  </si>
  <si>
    <t>Post.Promote.Reply.Text_0008_02</t>
  </si>
  <si>
    <t>Post.Promote.Reply.Text_0008_03</t>
  </si>
  <si>
    <t>이노 - 승급1</t>
  </si>
  <si>
    <t>1060009</t>
  </si>
  <si>
    <t>Post.Promote.Reply.Text_0009_01</t>
  </si>
  <si>
    <t>Post.Promote.Reply.Text_0009_02</t>
  </si>
  <si>
    <t>106001001</t>
  </si>
  <si>
    <t>아이라스 - 승급1</t>
  </si>
  <si>
    <t>1060010</t>
  </si>
  <si>
    <t>Post.Promote.Reply.Text_0010_01</t>
  </si>
  <si>
    <t>Post.Promote.Reply.Text_0010_01_01</t>
  </si>
  <si>
    <t>Post.Promote.Reply.Text_0010_02</t>
  </si>
  <si>
    <t>Post.Promote.Reply.Text_0010_03</t>
  </si>
  <si>
    <t>앰브로시아 - 승급1</t>
  </si>
  <si>
    <t>1060011</t>
  </si>
  <si>
    <t>Post.Promote.Reply.Text_0011_01</t>
  </si>
  <si>
    <t>Post.Promote.Reply.Text_0011_02</t>
  </si>
  <si>
    <t>Post.Promote.Reply.Text_0011_03</t>
  </si>
  <si>
    <t>레이호우 - 승급1</t>
  </si>
  <si>
    <t>1060012</t>
  </si>
  <si>
    <t>Post.Promote.Reply.Text_0012_01</t>
  </si>
  <si>
    <t>Post.Promote.Reply.Text_0012_02</t>
  </si>
  <si>
    <t>Post.Promote.Reply.Text_0012_03</t>
  </si>
  <si>
    <t>샤레 - 승급1</t>
  </si>
  <si>
    <t>1060013</t>
  </si>
  <si>
    <t>Post.Promote.Reply.Text_0013_01</t>
  </si>
  <si>
    <t>Post.Promote.Reply.Text_0013_02</t>
  </si>
  <si>
    <t>Post.Promote.Reply.Text_0013_03</t>
  </si>
  <si>
    <t>헬렌 - 승급1</t>
  </si>
  <si>
    <t>1060014</t>
  </si>
  <si>
    <t>Post.Promote.Reply.Text_0014_01</t>
  </si>
  <si>
    <t>Post.Promote.Reply.Text_0014_02</t>
  </si>
  <si>
    <t>Post.Promote.Reply.Text_0014_03</t>
  </si>
  <si>
    <t>세라펄사 - 스피카1</t>
  </si>
  <si>
    <t>1050001</t>
  </si>
  <si>
    <t>Post.Academy.Reply.Text_0001_01</t>
  </si>
  <si>
    <t>Post.Academy.Reply.Text_0001_02</t>
  </si>
  <si>
    <t>105000103</t>
  </si>
  <si>
    <t>루이텐</t>
  </si>
  <si>
    <t>Post.Academy.Reply.Text_0001_03</t>
  </si>
  <si>
    <t>폴럭스</t>
  </si>
  <si>
    <t>Post.Academy.Reply.Text_0001_03_01</t>
  </si>
  <si>
    <t>Post.Academy.Reply.Text_0001_03_02</t>
  </si>
  <si>
    <t>레나스 - 스피카1</t>
  </si>
  <si>
    <t>1050002</t>
  </si>
  <si>
    <t>Post.Academy.Reply.Text_0002_01</t>
  </si>
  <si>
    <t>Post.Academy.Reply.Text_0002_02</t>
  </si>
  <si>
    <t>그레이 - 스피카1</t>
  </si>
  <si>
    <t>1050003</t>
  </si>
  <si>
    <t>Post.Academy.Reply.Text_0003_01</t>
  </si>
  <si>
    <t>105000302</t>
  </si>
  <si>
    <t>마릴라이트</t>
  </si>
  <si>
    <t>Post.Academy.Reply.Text_0003_02</t>
  </si>
  <si>
    <t>Post.Academy.Reply.Text_0003_02_01</t>
  </si>
  <si>
    <t>페이 - 스피카1</t>
  </si>
  <si>
    <t>1050004</t>
  </si>
  <si>
    <t>Post.Academy.Reply.Text_0004_01</t>
  </si>
  <si>
    <t>Post.Academy.Reply.Text_0004_02</t>
  </si>
  <si>
    <t>Post.Academy.Reply.Text_0004_03</t>
  </si>
  <si>
    <t>에리카 - 스피카1</t>
  </si>
  <si>
    <t>1050005</t>
  </si>
  <si>
    <t>Post.Academy.Reply.Text_0005_01</t>
  </si>
  <si>
    <t>Post.Academy.Reply.Text_0005_02</t>
  </si>
  <si>
    <t>Post.Academy.Reply.Text_0005_03</t>
  </si>
  <si>
    <t>Post.Academy.Reply.Text_0005_04</t>
  </si>
  <si>
    <t>발렌시아 - 스피카1</t>
  </si>
  <si>
    <t>1050006</t>
  </si>
  <si>
    <t>Post.Academy.Reply.Text_0006_01</t>
  </si>
  <si>
    <t>Post.Academy.Reply.Text_0006_02</t>
  </si>
  <si>
    <t>Post.Academy.Reply.Text_0006_03</t>
  </si>
  <si>
    <t>릴리안 - 스피카1</t>
  </si>
  <si>
    <t>1050007</t>
  </si>
  <si>
    <t>Post.Academy.Reply.Text_0007_01</t>
  </si>
  <si>
    <t>Post.Academy.Reply.Text_0007_02</t>
  </si>
  <si>
    <t>Post.Academy.Reply.Text_0007_03</t>
  </si>
  <si>
    <t>베르베타 - 알타이르1</t>
  </si>
  <si>
    <t>1050008</t>
  </si>
  <si>
    <t>Post.Academy.Reply.Text_0008_01</t>
  </si>
  <si>
    <t>105000802</t>
  </si>
  <si>
    <t>Post.Academy.Reply.Text_0008_02</t>
  </si>
  <si>
    <t>Post.Academy.Reply.Text_0008_02_01</t>
  </si>
  <si>
    <t>Post.Academy.Reply.Text_0008_03</t>
  </si>
  <si>
    <t>라일라 - 알타이르1</t>
  </si>
  <si>
    <t>1050009</t>
  </si>
  <si>
    <t>Post.Academy.Reply.Text_0009_01</t>
  </si>
  <si>
    <t>Post.Academy.Reply.Text_0009_02</t>
  </si>
  <si>
    <t>105001001</t>
  </si>
  <si>
    <t>안젤리카 - 알타이르1</t>
  </si>
  <si>
    <t>1050010</t>
  </si>
  <si>
    <t>Post.Academy.Reply.Text_0010_01</t>
  </si>
  <si>
    <t>Post.Academy.Reply.Text_0010_01_01</t>
  </si>
  <si>
    <t>105001003</t>
  </si>
  <si>
    <t>Post.Academy.Reply.Text_0010_02</t>
  </si>
  <si>
    <t>Post.Academy.Reply.Text_0010_02_01</t>
  </si>
  <si>
    <t>쉐리 - 알타이르1</t>
  </si>
  <si>
    <t>1050011</t>
  </si>
  <si>
    <t>Post.Academy.Reply.Text_0011_01</t>
  </si>
  <si>
    <t>105001102</t>
  </si>
  <si>
    <t>Post.Academy.Reply.Text_0011_02</t>
  </si>
  <si>
    <t>Post.Academy.Reply.Text_0011_02_01</t>
  </si>
  <si>
    <t>Post.Academy.Reply.Text_0011_03</t>
  </si>
  <si>
    <t>Post.Academy.Reply.Text_0011_04</t>
  </si>
  <si>
    <t>에이코 - 알타이르1</t>
  </si>
  <si>
    <t>1050012</t>
  </si>
  <si>
    <t>Post.Academy.Reply.Text_0012_01</t>
  </si>
  <si>
    <t>Post.Academy.Reply.Text_0012_02</t>
  </si>
  <si>
    <t>Post.Academy.Reply.Text_0012_03</t>
  </si>
  <si>
    <t>105001301</t>
  </si>
  <si>
    <t>벨리타 - 알타이르1</t>
  </si>
  <si>
    <t>1050013</t>
  </si>
  <si>
    <t>Post.Academy.Reply.Text_0013_01</t>
  </si>
  <si>
    <t>Post.Academy.Reply.Text_0013_01_01</t>
  </si>
  <si>
    <t>Post.Academy.Reply.Text_0013_02</t>
  </si>
  <si>
    <t>아셀스 - 알타이르1</t>
  </si>
  <si>
    <t>1050014</t>
  </si>
  <si>
    <t>Post.Academy.Reply.Text_0014_01</t>
  </si>
  <si>
    <t>91000110</t>
  </si>
  <si>
    <t>Post.Academy.Reply.Text_0014_02</t>
  </si>
  <si>
    <t>105001501</t>
  </si>
  <si>
    <t>레이호우 - 시리우스1</t>
  </si>
  <si>
    <t>1050015</t>
  </si>
  <si>
    <t>Post.Academy.Reply.Text_0015_01</t>
  </si>
  <si>
    <t>Post.Academy.Reply.Text_0015_01_01</t>
  </si>
  <si>
    <t>105001503</t>
  </si>
  <si>
    <t>Post.Academy.Reply.Text_0015_02</t>
  </si>
  <si>
    <t>Post.Academy.Reply.Text_0015_02_01</t>
  </si>
  <si>
    <t>105001601</t>
  </si>
  <si>
    <t>스노프릴 - 시리우스1</t>
  </si>
  <si>
    <t>1050016</t>
  </si>
  <si>
    <t>Post.Academy.Reply.Text_0016_01</t>
  </si>
  <si>
    <t>Post.Academy.Reply.Text_0016_01_01</t>
  </si>
  <si>
    <t>Post.Academy.Reply.Text_0016_02</t>
  </si>
  <si>
    <t>Post.Academy.Reply.Text_0016_03</t>
  </si>
  <si>
    <t>메아 - 시리우스1</t>
  </si>
  <si>
    <t>1050017</t>
  </si>
  <si>
    <t>Post.Academy.Reply.Text_0017_01</t>
  </si>
  <si>
    <t>Post.Academy.Reply.Text_0017_02</t>
  </si>
  <si>
    <t>Post.Academy.Reply.Text_0017_03</t>
  </si>
  <si>
    <t>유나 - 시리우스1</t>
  </si>
  <si>
    <t>1050018</t>
  </si>
  <si>
    <t>Post.Academy.Reply.Text_0018_01</t>
  </si>
  <si>
    <t>Post.Academy.Reply.Text_0018_02</t>
  </si>
  <si>
    <t>Post.Academy.Reply.Text_0018_03</t>
  </si>
  <si>
    <t>105001804</t>
  </si>
  <si>
    <t>Post.Academy.Reply.Text_0018_04</t>
  </si>
  <si>
    <t>Post.Academy.Reply.Text_0018_04_01</t>
  </si>
  <si>
    <t>Post.Academy.Reply.Text_0018_04_02</t>
  </si>
  <si>
    <t>패트리샤 - 시리우스1</t>
  </si>
  <si>
    <t>1050019</t>
  </si>
  <si>
    <t>Post.Academy.Reply.Text_0019_01</t>
  </si>
  <si>
    <t>Post.Academy.Reply.Text_0019_02</t>
  </si>
  <si>
    <t>105002001</t>
  </si>
  <si>
    <t>아이라스 - 시리우스1</t>
  </si>
  <si>
    <t>1050020</t>
  </si>
  <si>
    <t>Post.Academy.Reply.Text_0020_01</t>
  </si>
  <si>
    <t>105002002</t>
  </si>
  <si>
    <t>Post.Academy.Reply.Text_0020_01_01</t>
  </si>
  <si>
    <t>Post.Academy.Reply.Text_0020_02</t>
  </si>
  <si>
    <t>Post.Academy.Reply.Text_0020_02_01</t>
  </si>
  <si>
    <t>Post.Academy.Reply.Text_0020_03</t>
  </si>
  <si>
    <t>Post.Promote.Reply.Text_0004_01_01</t>
  </si>
  <si>
    <t>페이 (길드작전-톡식)</t>
    <phoneticPr fontId="1" type="noConversion"/>
  </si>
  <si>
    <t>라일라 (길드작전-톡식)</t>
    <phoneticPr fontId="1" type="noConversion"/>
  </si>
  <si>
    <t>이노 (길드작전-골리앗)</t>
    <phoneticPr fontId="1" type="noConversion"/>
  </si>
  <si>
    <t>에리카 (길드작전-골리앗)</t>
    <phoneticPr fontId="1" type="noConversion"/>
  </si>
  <si>
    <t>레이호우 (시리우스-업데이트)</t>
    <phoneticPr fontId="1" type="noConversion"/>
  </si>
  <si>
    <t>스노프릴 (시리우스-업데이트)</t>
    <phoneticPr fontId="1" type="noConversion"/>
  </si>
  <si>
    <t>메아 (시리우스-업데이트)</t>
    <phoneticPr fontId="1" type="noConversion"/>
  </si>
  <si>
    <t>유나 (시리우스-업데이트)</t>
    <phoneticPr fontId="1" type="noConversion"/>
  </si>
  <si>
    <t>패트리샤 (시리우스-업데이트)</t>
    <phoneticPr fontId="1" type="noConversion"/>
  </si>
  <si>
    <t>아이라스 (시리우스-업데이트)</t>
    <phoneticPr fontId="1" type="noConversion"/>
  </si>
  <si>
    <t>베르베타 (길드 총력전-업데이트)</t>
    <phoneticPr fontId="1" type="noConversion"/>
  </si>
  <si>
    <t>안젤리카 (길드 총력전-업데이트)</t>
    <phoneticPr fontId="1" type="noConversion"/>
  </si>
  <si>
    <t>발렌시아 (길드 총력전-업데이트)</t>
    <phoneticPr fontId="1" type="noConversion"/>
  </si>
  <si>
    <t>아이라스 (길드 총력전-업데이트)</t>
    <phoneticPr fontId="1" type="noConversion"/>
  </si>
  <si>
    <t>UI.SNS.Post.PostInfo018</t>
    <phoneticPr fontId="1" type="noConversion"/>
  </si>
  <si>
    <t>UI.SNS.Post.PostInfo019</t>
    <phoneticPr fontId="1" type="noConversion"/>
  </si>
  <si>
    <t>세라펄사 - 호감도5레벨</t>
    <phoneticPr fontId="1" type="noConversion"/>
  </si>
  <si>
    <t>아이렌 - 팔로우</t>
    <phoneticPr fontId="1" type="noConversion"/>
  </si>
  <si>
    <t>레나스 - 호감도3레벨</t>
    <phoneticPr fontId="1" type="noConversion"/>
  </si>
  <si>
    <t>오로라 - 팔로우</t>
    <phoneticPr fontId="1" type="noConversion"/>
  </si>
  <si>
    <t>라일라 - 호감도3레벨</t>
    <phoneticPr fontId="1" type="noConversion"/>
  </si>
  <si>
    <t>앰브로시아 - 팔로우</t>
    <phoneticPr fontId="1" type="noConversion"/>
  </si>
  <si>
    <t>오로라 - 호감도3레벨</t>
    <phoneticPr fontId="1" type="noConversion"/>
  </si>
  <si>
    <t>시즈 - 팔로우</t>
    <phoneticPr fontId="1" type="noConversion"/>
  </si>
  <si>
    <t>마나 - 팔로우</t>
    <phoneticPr fontId="1" type="noConversion"/>
  </si>
  <si>
    <t>오로라 - 호감도5레벨</t>
    <phoneticPr fontId="1" type="noConversion"/>
  </si>
  <si>
    <t>이사벨라 - 호감도3레벨</t>
    <phoneticPr fontId="1" type="noConversion"/>
  </si>
  <si>
    <t>샤레 - 호감도5레벨</t>
    <phoneticPr fontId="1" type="noConversion"/>
  </si>
  <si>
    <t>베르베타 - 호감도3레벨</t>
    <phoneticPr fontId="1" type="noConversion"/>
  </si>
  <si>
    <t>레이호우 - 호감도3레벨</t>
    <phoneticPr fontId="1" type="noConversion"/>
  </si>
  <si>
    <t>벨리타 - 호감도3레벨</t>
    <phoneticPr fontId="1" type="noConversion"/>
  </si>
  <si>
    <t>샤레 - 호감도3레벨</t>
    <phoneticPr fontId="1" type="noConversion"/>
  </si>
  <si>
    <t>라일라 - 호감도5레벨</t>
    <phoneticPr fontId="1" type="noConversion"/>
  </si>
  <si>
    <t>이노 - 호감도3레벨</t>
    <phoneticPr fontId="1" type="noConversion"/>
  </si>
  <si>
    <t>발렌시아 - 호감도3레벨</t>
    <phoneticPr fontId="1" type="noConversion"/>
  </si>
  <si>
    <t>아크페이즈 - 호감도3레벨</t>
    <phoneticPr fontId="1" type="noConversion"/>
  </si>
  <si>
    <t>마나 - 호감도3레벨</t>
    <phoneticPr fontId="1" type="noConversion"/>
  </si>
  <si>
    <t>레나스 - 호감도5레벨</t>
    <phoneticPr fontId="1" type="noConversion"/>
  </si>
  <si>
    <t>유나 - 호감도5레벨</t>
    <phoneticPr fontId="1" type="noConversion"/>
  </si>
  <si>
    <t>아이라스 - 호감도3레벨</t>
    <phoneticPr fontId="1" type="noConversion"/>
  </si>
  <si>
    <t>크림슨 - 호감도3레벨</t>
    <phoneticPr fontId="1" type="noConversion"/>
  </si>
  <si>
    <t>패트리샤 - 호감도3레벨</t>
    <phoneticPr fontId="1" type="noConversion"/>
  </si>
  <si>
    <t>릴리안 - 호감도3레벨</t>
    <phoneticPr fontId="1" type="noConversion"/>
  </si>
  <si>
    <t>세라펄사 - 호감도3레벨</t>
    <phoneticPr fontId="1" type="noConversion"/>
  </si>
  <si>
    <t>아셀스 - 호감도3레벨</t>
    <phoneticPr fontId="1" type="noConversion"/>
  </si>
  <si>
    <t>아이라스 - 호감도5레벨</t>
    <phoneticPr fontId="1" type="noConversion"/>
  </si>
  <si>
    <t>페렐 - 호감도3레벨</t>
    <phoneticPr fontId="1" type="noConversion"/>
  </si>
  <si>
    <t>스노프릴 - 호감도3레벨</t>
    <phoneticPr fontId="1" type="noConversion"/>
  </si>
  <si>
    <t>앰브로시아 - 호감도3레벨</t>
    <phoneticPr fontId="1" type="noConversion"/>
  </si>
  <si>
    <t>페이 - 호감도3레벨</t>
    <phoneticPr fontId="1" type="noConversion"/>
  </si>
  <si>
    <t>아크페이즈 - 호감도5레벨</t>
    <phoneticPr fontId="1" type="noConversion"/>
  </si>
  <si>
    <t>앰브로시아 - 호감도5레벨</t>
    <phoneticPr fontId="1" type="noConversion"/>
  </si>
  <si>
    <t>유나 - 호감도3레벨</t>
    <phoneticPr fontId="1" type="noConversion"/>
  </si>
  <si>
    <t>에리카 - 호감도3레벨</t>
    <phoneticPr fontId="1" type="noConversion"/>
  </si>
  <si>
    <t>오로라 - 호감도7레벨</t>
    <phoneticPr fontId="1" type="noConversion"/>
  </si>
  <si>
    <t>라일라 - 호감도7레벨</t>
    <phoneticPr fontId="1" type="noConversion"/>
  </si>
  <si>
    <t>시즈 - 호감도5레벨</t>
    <phoneticPr fontId="1" type="noConversion"/>
  </si>
  <si>
    <t>안젤리카 - 호감도3레벨</t>
    <phoneticPr fontId="1" type="noConversion"/>
  </si>
  <si>
    <t>패트리샤 - 호감도5레벨</t>
    <phoneticPr fontId="1" type="noConversion"/>
  </si>
  <si>
    <t>세라펄사 - 팔로우</t>
    <phoneticPr fontId="1" type="noConversion"/>
  </si>
  <si>
    <t>아이렌 - 호감도3레벨</t>
    <phoneticPr fontId="1" type="noConversion"/>
  </si>
  <si>
    <t>레이호우 - 호감도5레벨</t>
    <phoneticPr fontId="1" type="noConversion"/>
  </si>
  <si>
    <t>유리지아 - 호감도5레벨</t>
    <phoneticPr fontId="1" type="noConversion"/>
  </si>
  <si>
    <t>카나타 - 호감도5레벨</t>
    <phoneticPr fontId="1" type="noConversion"/>
  </si>
  <si>
    <t>유리지아 - 호감도3레벨</t>
    <phoneticPr fontId="1" type="noConversion"/>
  </si>
  <si>
    <t>프레이야 - 호감도3레벨</t>
    <phoneticPr fontId="1" type="noConversion"/>
  </si>
  <si>
    <t>카나타 - 호감도3레벨</t>
    <phoneticPr fontId="1" type="noConversion"/>
  </si>
  <si>
    <t>안젤리카 (데이터타워)</t>
    <phoneticPr fontId="1" type="noConversion"/>
  </si>
  <si>
    <t>발렌시아 (데이터타워)</t>
    <phoneticPr fontId="1" type="noConversion"/>
  </si>
  <si>
    <t>베르베타 (데이터타워)</t>
    <phoneticPr fontId="1" type="noConversion"/>
  </si>
  <si>
    <t>107000203</t>
  </si>
  <si>
    <t>107000301</t>
  </si>
  <si>
    <t>107000403</t>
  </si>
  <si>
    <t>107000501</t>
  </si>
  <si>
    <t>107000601</t>
  </si>
  <si>
    <t>107000604</t>
  </si>
  <si>
    <t>107000701</t>
  </si>
  <si>
    <t>107000704</t>
  </si>
  <si>
    <t>107000801</t>
  </si>
  <si>
    <t>107000803</t>
  </si>
  <si>
    <t>107000901</t>
  </si>
  <si>
    <t>107000904</t>
  </si>
  <si>
    <t>107001401</t>
  </si>
  <si>
    <t>107001501</t>
  </si>
  <si>
    <t>107001503</t>
  </si>
  <si>
    <t>107001601</t>
  </si>
  <si>
    <t>107001606</t>
  </si>
  <si>
    <t>107001701</t>
  </si>
  <si>
    <t>107001704</t>
  </si>
  <si>
    <t>107001801</t>
  </si>
  <si>
    <t>107001803</t>
  </si>
  <si>
    <t>메아</t>
    <phoneticPr fontId="12" type="noConversion"/>
  </si>
  <si>
    <t>벨리타</t>
    <phoneticPr fontId="12" type="noConversion"/>
  </si>
  <si>
    <t>마나</t>
    <phoneticPr fontId="12" type="noConversion"/>
  </si>
  <si>
    <t>에이코</t>
    <phoneticPr fontId="12" type="noConversion"/>
  </si>
  <si>
    <t>오로라</t>
    <phoneticPr fontId="12" type="noConversion"/>
  </si>
  <si>
    <t>유나</t>
    <phoneticPr fontId="12" type="noConversion"/>
  </si>
  <si>
    <t>세라펄사</t>
    <phoneticPr fontId="12" type="noConversion"/>
  </si>
  <si>
    <t>크림슨</t>
    <phoneticPr fontId="12" type="noConversion"/>
  </si>
  <si>
    <t>아크페이즈</t>
    <phoneticPr fontId="12" type="noConversion"/>
  </si>
  <si>
    <t>쉐리</t>
    <phoneticPr fontId="12" type="noConversion"/>
  </si>
  <si>
    <t>시즈</t>
    <phoneticPr fontId="12" type="noConversion"/>
  </si>
  <si>
    <t>패트리샤</t>
    <phoneticPr fontId="12" type="noConversion"/>
  </si>
  <si>
    <t>클레아스</t>
    <phoneticPr fontId="12" type="noConversion"/>
  </si>
  <si>
    <t>페이</t>
    <phoneticPr fontId="12" type="noConversion"/>
  </si>
  <si>
    <t>이사벨라</t>
    <phoneticPr fontId="12" type="noConversion"/>
  </si>
  <si>
    <t>라일라</t>
    <phoneticPr fontId="12" type="noConversion"/>
  </si>
  <si>
    <t>안젤리카</t>
    <phoneticPr fontId="12" type="noConversion"/>
  </si>
  <si>
    <t>엘리나</t>
    <phoneticPr fontId="12" type="noConversion"/>
  </si>
  <si>
    <t>이노</t>
    <phoneticPr fontId="12" type="noConversion"/>
  </si>
  <si>
    <t>에리카</t>
    <phoneticPr fontId="12" type="noConversion"/>
  </si>
  <si>
    <t>레이호우</t>
    <phoneticPr fontId="12" type="noConversion"/>
  </si>
  <si>
    <t>다이아나</t>
    <phoneticPr fontId="12" type="noConversion"/>
  </si>
  <si>
    <t>스노프릴</t>
    <phoneticPr fontId="12" type="noConversion"/>
  </si>
  <si>
    <t>다리아</t>
    <phoneticPr fontId="12" type="noConversion"/>
  </si>
  <si>
    <t>아이라스</t>
    <phoneticPr fontId="12" type="noConversion"/>
  </si>
  <si>
    <t>메리샤</t>
    <phoneticPr fontId="12" type="noConversion"/>
  </si>
  <si>
    <t>안젤리카</t>
    <phoneticPr fontId="12" type="noConversion"/>
  </si>
  <si>
    <t>그레이</t>
    <phoneticPr fontId="12" type="noConversion"/>
  </si>
  <si>
    <t>발렌시아</t>
    <phoneticPr fontId="12" type="noConversion"/>
  </si>
  <si>
    <t>앰브로시아</t>
    <phoneticPr fontId="12" type="noConversion"/>
  </si>
  <si>
    <t>베르베타</t>
    <phoneticPr fontId="12" type="noConversion"/>
  </si>
  <si>
    <t>아이렌</t>
    <phoneticPr fontId="12" type="noConversion"/>
  </si>
  <si>
    <t>Post.Battle.Reply.Text_0001_01</t>
    <phoneticPr fontId="12" type="noConversion"/>
  </si>
  <si>
    <t>Post.Battle.Reply.Text_0001_01_01</t>
    <phoneticPr fontId="12" type="noConversion"/>
  </si>
  <si>
    <t>Post.Battle.Reply.Text_0001_02</t>
    <phoneticPr fontId="12" type="noConversion"/>
  </si>
  <si>
    <t>Post.Battle.Reply.Text_0001_02_01</t>
    <phoneticPr fontId="12" type="noConversion"/>
  </si>
  <si>
    <t>Post.Battle.Reply.Text_0002_01</t>
  </si>
  <si>
    <t>Post.Battle.Reply.Text_0002_02</t>
  </si>
  <si>
    <t>Post.Battle.Reply.Text_0002_03</t>
  </si>
  <si>
    <t>Post.Battle.Reply.Text_0002_03_01</t>
    <phoneticPr fontId="12" type="noConversion"/>
  </si>
  <si>
    <t>Post.Battle.Reply.Text_0002_03_02</t>
  </si>
  <si>
    <t>Post.Battle.Reply.Text_0002_03_03</t>
  </si>
  <si>
    <t>Post.Battle.Reply.Text_0003_01</t>
  </si>
  <si>
    <t>Post.Battle.Reply.Text_0003_01_01</t>
    <phoneticPr fontId="12" type="noConversion"/>
  </si>
  <si>
    <t>Post.Battle.Reply.Text_0003_01_02</t>
  </si>
  <si>
    <t>Post.Battle.Reply.Text_0003_01_03</t>
  </si>
  <si>
    <t>Post.Battle.Reply.Text_0003_02</t>
    <phoneticPr fontId="12" type="noConversion"/>
  </si>
  <si>
    <t>Post.Battle.Reply.Text_0004_01</t>
  </si>
  <si>
    <t>Post.Battle.Reply.Text_0004_02</t>
  </si>
  <si>
    <t>Post.Battle.Reply.Text_0004_03</t>
  </si>
  <si>
    <t>Post.Battle.Reply.Text_0004_03_01</t>
    <phoneticPr fontId="12" type="noConversion"/>
  </si>
  <si>
    <t>Post.Battle.Reply.Text_0005_01</t>
  </si>
  <si>
    <t>Post.Battle.Reply.Text_0005_01_01</t>
    <phoneticPr fontId="12" type="noConversion"/>
  </si>
  <si>
    <t>Post.Battle.Reply.Text_0005_01_02</t>
  </si>
  <si>
    <t>Post.Battle.Reply.Text_0005_01_03</t>
  </si>
  <si>
    <t>Post.Battle.Reply.Text_0006_01</t>
  </si>
  <si>
    <t>Post.Battle.Reply.Text_0006_01_01</t>
    <phoneticPr fontId="12" type="noConversion"/>
  </si>
  <si>
    <t>Post.Battle.Reply.Text_0006_01_02</t>
  </si>
  <si>
    <t>Post.Battle.Reply.Text_0006_02</t>
    <phoneticPr fontId="12" type="noConversion"/>
  </si>
  <si>
    <t>Post.Battle.Reply.Text_0006_02_01</t>
    <phoneticPr fontId="12" type="noConversion"/>
  </si>
  <si>
    <t>Post.Battle.Reply.Text_0007_01</t>
  </si>
  <si>
    <t>Post.Battle.Reply.Text_0007_01_01</t>
    <phoneticPr fontId="12" type="noConversion"/>
  </si>
  <si>
    <t>Post.Battle.Reply.Text_0007_01_02</t>
  </si>
  <si>
    <t>Post.Battle.Reply.Text_0007_02</t>
    <phoneticPr fontId="12" type="noConversion"/>
  </si>
  <si>
    <t>Post.Battle.Reply.Text_0007_02_01</t>
    <phoneticPr fontId="12" type="noConversion"/>
  </si>
  <si>
    <t>Post.Battle.Reply.Text_0008_01</t>
  </si>
  <si>
    <t>Post.Battle.Reply.Text_0008_01_01</t>
    <phoneticPr fontId="12" type="noConversion"/>
  </si>
  <si>
    <t>Post.Battle.Reply.Text_0008_02</t>
    <phoneticPr fontId="12" type="noConversion"/>
  </si>
  <si>
    <t>Post.Battle.Reply.Text_0008_02_01</t>
    <phoneticPr fontId="12" type="noConversion"/>
  </si>
  <si>
    <t>Post.Battle.Reply.Text_0009_01</t>
    <phoneticPr fontId="12" type="noConversion"/>
  </si>
  <si>
    <t>Post.Battle.Reply.Text_0009_01_01</t>
    <phoneticPr fontId="12" type="noConversion"/>
  </si>
  <si>
    <t>Post.Battle.Reply.Text_0009_01_02</t>
  </si>
  <si>
    <t>Post.Battle.Reply.Text_0009_02</t>
    <phoneticPr fontId="12" type="noConversion"/>
  </si>
  <si>
    <t>Post.Battle.Reply.Text_0009_02_01</t>
    <phoneticPr fontId="12" type="noConversion"/>
  </si>
  <si>
    <t>Post.Battle.Reply.Text_0014_01</t>
  </si>
  <si>
    <t>Post.Battle.Reply.Text_0014_01_01</t>
    <phoneticPr fontId="12" type="noConversion"/>
  </si>
  <si>
    <t>Post.Battle.Reply.Text_0014_01_02</t>
  </si>
  <si>
    <t>Post.Battle.Reply.Text_0014_01_03</t>
  </si>
  <si>
    <t>Post.Battle.Reply.Text_0014_02</t>
    <phoneticPr fontId="12" type="noConversion"/>
  </si>
  <si>
    <t>Post.Battle.Reply.Text_0015_01</t>
  </si>
  <si>
    <t>Post.Battle.Reply.Text_0015_01_01</t>
    <phoneticPr fontId="12" type="noConversion"/>
  </si>
  <si>
    <t>Post.Battle.Reply.Text_0015_02</t>
    <phoneticPr fontId="12" type="noConversion"/>
  </si>
  <si>
    <t>Post.Battle.Reply.Text_0015_02_01</t>
    <phoneticPr fontId="12" type="noConversion"/>
  </si>
  <si>
    <t>Post.Battle.Reply.Text_0015_03</t>
    <phoneticPr fontId="12" type="noConversion"/>
  </si>
  <si>
    <t>Post.Battle.Reply.Text_0016_01</t>
  </si>
  <si>
    <t>Post.Battle.Reply.Text_0016_01_01</t>
    <phoneticPr fontId="12" type="noConversion"/>
  </si>
  <si>
    <t>Post.Battle.Reply.Text_0016_01_02</t>
  </si>
  <si>
    <t>Post.Battle.Reply.Text_0016_01_03</t>
  </si>
  <si>
    <t>Post.Battle.Reply.Text_0016_01_04</t>
  </si>
  <si>
    <t>Post.Battle.Reply.Text_0016_02</t>
    <phoneticPr fontId="12" type="noConversion"/>
  </si>
  <si>
    <t>Post.Battle.Reply.Text_0016_02_01</t>
    <phoneticPr fontId="12" type="noConversion"/>
  </si>
  <si>
    <t>Post.Battle.Reply.Text_0017_01</t>
  </si>
  <si>
    <t>Post.Battle.Reply.Text_0017_01_01</t>
    <phoneticPr fontId="12" type="noConversion"/>
  </si>
  <si>
    <t>Post.Battle.Reply.Text_0017_01_02</t>
    <phoneticPr fontId="12" type="noConversion"/>
  </si>
  <si>
    <t>Post.Battle.Reply.Text_0017_02</t>
  </si>
  <si>
    <t>Post.Battle.Reply.Text_0017_02_01</t>
  </si>
  <si>
    <t>Post.Battle.Reply.Text_0017_02_02</t>
  </si>
  <si>
    <t>Post.Battle.Reply.Text_0018_01</t>
  </si>
  <si>
    <t>Post.Battle.Reply.Text_0018_01_01</t>
    <phoneticPr fontId="12" type="noConversion"/>
  </si>
  <si>
    <t>Post.Battle.Reply.Text_0018_02</t>
  </si>
  <si>
    <t>Post.Battle.Reply.Text_0018_02_01</t>
    <phoneticPr fontId="12" type="noConversion"/>
  </si>
  <si>
    <t>Post.Battle.Reply.Text_0018_02_02</t>
  </si>
  <si>
    <t>1070001</t>
    <phoneticPr fontId="12" type="noConversion"/>
  </si>
  <si>
    <t>1070002</t>
    <phoneticPr fontId="12" type="noConversion"/>
  </si>
  <si>
    <t>1070003</t>
    <phoneticPr fontId="12" type="noConversion"/>
  </si>
  <si>
    <t>1070004</t>
    <phoneticPr fontId="12" type="noConversion"/>
  </si>
  <si>
    <t>1070005</t>
    <phoneticPr fontId="12" type="noConversion"/>
  </si>
  <si>
    <t>1070006</t>
    <phoneticPr fontId="12" type="noConversion"/>
  </si>
  <si>
    <t>1070007</t>
    <phoneticPr fontId="12" type="noConversion"/>
  </si>
  <si>
    <t>1070008</t>
    <phoneticPr fontId="12" type="noConversion"/>
  </si>
  <si>
    <t>1070009</t>
    <phoneticPr fontId="12" type="noConversion"/>
  </si>
  <si>
    <t>1070014</t>
    <phoneticPr fontId="12" type="noConversion"/>
  </si>
  <si>
    <t>1070015</t>
    <phoneticPr fontId="12" type="noConversion"/>
  </si>
  <si>
    <t>1070016</t>
    <phoneticPr fontId="12" type="noConversion"/>
  </si>
  <si>
    <t>1070017</t>
    <phoneticPr fontId="12" type="noConversion"/>
  </si>
  <si>
    <t>1070018</t>
    <phoneticPr fontId="12" type="noConversion"/>
  </si>
  <si>
    <t>아이투스(업데이트)</t>
    <phoneticPr fontId="12" type="noConversion"/>
  </si>
  <si>
    <t>이드(업데이트)</t>
    <phoneticPr fontId="12" type="noConversion"/>
  </si>
  <si>
    <t>유리지아(업데이트)</t>
    <phoneticPr fontId="12" type="noConversion"/>
  </si>
  <si>
    <t>프레이야(업데이트)</t>
    <phoneticPr fontId="12" type="noConversion"/>
  </si>
  <si>
    <t>샤레</t>
    <phoneticPr fontId="12" type="noConversion"/>
  </si>
  <si>
    <t>시아(업데이트)</t>
    <phoneticPr fontId="12" type="noConversion"/>
  </si>
  <si>
    <t>에라디카(업데이트)</t>
    <phoneticPr fontId="12" type="noConversion"/>
  </si>
  <si>
    <t>마릴라이트(NPC)</t>
    <phoneticPr fontId="12" type="noConversion"/>
  </si>
  <si>
    <t>72000110</t>
  </si>
  <si>
    <t>72000510</t>
  </si>
  <si>
    <t>94000210</t>
  </si>
  <si>
    <t>33000110</t>
  </si>
  <si>
    <t>53000110</t>
  </si>
  <si>
    <t>33000210</t>
  </si>
  <si>
    <t>52000310</t>
  </si>
  <si>
    <t>92000510</t>
  </si>
  <si>
    <t>93000210</t>
  </si>
  <si>
    <t>92000210</t>
  </si>
  <si>
    <t>53000210</t>
  </si>
  <si>
    <t>93000510</t>
  </si>
  <si>
    <t>73000110</t>
  </si>
  <si>
    <t>34000110</t>
  </si>
  <si>
    <t>73000210</t>
  </si>
  <si>
    <t>32000210</t>
  </si>
  <si>
    <t>52000510</t>
  </si>
  <si>
    <t>72000310</t>
  </si>
  <si>
    <t>73000410</t>
  </si>
  <si>
    <t>52000110</t>
  </si>
  <si>
    <t>54000110</t>
  </si>
  <si>
    <t>53000410</t>
  </si>
  <si>
    <t>73000510</t>
  </si>
  <si>
    <t>94000310</t>
  </si>
  <si>
    <t>93000110</t>
  </si>
  <si>
    <t>31000110</t>
  </si>
  <si>
    <t>71000310</t>
  </si>
  <si>
    <t>71000210</t>
  </si>
  <si>
    <t>92000310</t>
  </si>
  <si>
    <t>94000110</t>
  </si>
  <si>
    <t>93000410</t>
  </si>
  <si>
    <t>91000210</t>
  </si>
  <si>
    <t>52000410</t>
  </si>
  <si>
    <t>72000410</t>
  </si>
  <si>
    <t>92000410</t>
  </si>
  <si>
    <t>72000610</t>
  </si>
  <si>
    <t>32000110</t>
  </si>
  <si>
    <t>RatioA</t>
  </si>
  <si>
    <t>괴도엘</t>
    <phoneticPr fontId="1" type="noConversion"/>
  </si>
  <si>
    <t>92000110</t>
  </si>
  <si>
    <t>샤레</t>
    <phoneticPr fontId="1" type="noConversion"/>
  </si>
  <si>
    <t>아이라스</t>
    <phoneticPr fontId="1" type="noConversion"/>
  </si>
  <si>
    <t>메리샤</t>
    <phoneticPr fontId="1" type="noConversion"/>
  </si>
  <si>
    <t>아셀스</t>
    <phoneticPr fontId="1" type="noConversion"/>
  </si>
  <si>
    <t>페렐</t>
    <phoneticPr fontId="1" type="noConversion"/>
  </si>
  <si>
    <t>레나스</t>
    <phoneticPr fontId="1" type="noConversion"/>
  </si>
  <si>
    <t>Post.Bace.Reply.Text_0403_02_02</t>
    <phoneticPr fontId="1" type="noConversion"/>
  </si>
  <si>
    <t>발렌시아</t>
    <phoneticPr fontId="1" type="noConversion"/>
  </si>
  <si>
    <t>릴리안</t>
    <phoneticPr fontId="1" type="noConversion"/>
  </si>
  <si>
    <t>Post.Bace.Reply.Text_0603_03_01</t>
    <phoneticPr fontId="1" type="noConversion"/>
  </si>
  <si>
    <t>릴리안 - 호감도3레벨</t>
    <phoneticPr fontId="1" type="noConversion"/>
  </si>
  <si>
    <t>샤레</t>
    <phoneticPr fontId="1" type="noConversion"/>
  </si>
  <si>
    <t>벨리타</t>
    <phoneticPr fontId="1" type="noConversion"/>
  </si>
  <si>
    <t>헬렌</t>
    <phoneticPr fontId="12" type="noConversion"/>
  </si>
  <si>
    <t>시즈</t>
    <phoneticPr fontId="1" type="noConversion"/>
  </si>
  <si>
    <t>발렌시아</t>
    <phoneticPr fontId="1" type="noConversion"/>
  </si>
  <si>
    <t>Post.Bace.Reply.Text_1101_02</t>
    <phoneticPr fontId="12" type="noConversion"/>
  </si>
  <si>
    <t>Post.Bace.Reply.Text_1101_02_01</t>
    <phoneticPr fontId="12" type="noConversion"/>
  </si>
  <si>
    <t>유리지아</t>
    <phoneticPr fontId="12" type="noConversion"/>
  </si>
  <si>
    <t>괴도엘</t>
    <phoneticPr fontId="12" type="noConversion"/>
  </si>
  <si>
    <t>안젤리카</t>
    <phoneticPr fontId="12" type="noConversion"/>
  </si>
  <si>
    <t>이사벨라</t>
    <phoneticPr fontId="12" type="noConversion"/>
  </si>
  <si>
    <t>시즈</t>
    <phoneticPr fontId="12" type="noConversion"/>
  </si>
  <si>
    <t>할로나</t>
    <phoneticPr fontId="12" type="noConversion"/>
  </si>
  <si>
    <t>이사벨라</t>
    <phoneticPr fontId="12" type="noConversion"/>
  </si>
  <si>
    <t>아이렌</t>
    <phoneticPr fontId="12" type="noConversion"/>
  </si>
  <si>
    <t>메리샤 - 팔로우1</t>
    <phoneticPr fontId="1" type="noConversion"/>
  </si>
  <si>
    <t>Post.Follow.Reply.Text_0001_03_02</t>
    <phoneticPr fontId="12" type="noConversion"/>
  </si>
  <si>
    <t>다이아나</t>
    <phoneticPr fontId="12" type="noConversion"/>
  </si>
  <si>
    <t>이노</t>
    <phoneticPr fontId="12" type="noConversion"/>
  </si>
  <si>
    <t>Post.Follow.Reply.Text_0009_02_01</t>
    <phoneticPr fontId="12" type="noConversion"/>
  </si>
  <si>
    <t>메아</t>
    <phoneticPr fontId="12" type="noConversion"/>
  </si>
  <si>
    <t>폴럭스</t>
    <phoneticPr fontId="12" type="noConversion"/>
  </si>
  <si>
    <t>Post.Follow.Reply.Text_0009_03_01</t>
    <phoneticPr fontId="12" type="noConversion"/>
  </si>
  <si>
    <t>Post.Follow.Reply.Text_0009_02_02</t>
    <phoneticPr fontId="12" type="noConversion"/>
  </si>
  <si>
    <t>쉐리</t>
    <phoneticPr fontId="12" type="noConversion"/>
  </si>
  <si>
    <t>레이첼</t>
    <phoneticPr fontId="12" type="noConversion"/>
  </si>
  <si>
    <t>Post.Follow.Reply.Text_0009_02</t>
    <phoneticPr fontId="12" type="noConversion"/>
  </si>
  <si>
    <t>Post.Follow.Reply.Text_0009_03</t>
    <phoneticPr fontId="12" type="noConversion"/>
  </si>
  <si>
    <t>발렌시아</t>
    <phoneticPr fontId="12" type="noConversion"/>
  </si>
  <si>
    <t>앰브로시아</t>
    <phoneticPr fontId="12" type="noConversion"/>
  </si>
  <si>
    <t>이드</t>
    <phoneticPr fontId="12" type="noConversion"/>
  </si>
  <si>
    <t>폴럭스(NPC)</t>
    <phoneticPr fontId="1" type="noConversion"/>
  </si>
  <si>
    <t>루이텐(NPC)</t>
    <phoneticPr fontId="12" type="noConversion"/>
  </si>
  <si>
    <t>아셀스</t>
    <phoneticPr fontId="12" type="noConversion"/>
  </si>
  <si>
    <t>루이텐(NPC)</t>
    <phoneticPr fontId="12" type="noConversion"/>
  </si>
  <si>
    <t>유리지아</t>
    <phoneticPr fontId="12" type="noConversion"/>
  </si>
  <si>
    <t>유리지아</t>
    <phoneticPr fontId="12" type="noConversion"/>
  </si>
  <si>
    <t>오로라</t>
    <phoneticPr fontId="12" type="noConversion"/>
  </si>
  <si>
    <t>Post.Follow.Reply.Text_0022_01_04</t>
    <phoneticPr fontId="12" type="noConversion"/>
  </si>
  <si>
    <t>카나타</t>
    <phoneticPr fontId="12" type="noConversion"/>
  </si>
  <si>
    <t>엘리나</t>
    <phoneticPr fontId="12" type="noConversion"/>
  </si>
  <si>
    <t>Post.Follow.Reply.Text_0029_01_01</t>
    <phoneticPr fontId="12" type="noConversion"/>
  </si>
  <si>
    <t>타이나</t>
    <phoneticPr fontId="12" type="noConversion"/>
  </si>
  <si>
    <t>Post.Follow.Reply.Text_0037_02_04</t>
    <phoneticPr fontId="12" type="noConversion"/>
  </si>
  <si>
    <t>앤</t>
    <phoneticPr fontId="12" type="noConversion"/>
  </si>
  <si>
    <t>Post.Follow.Reply.Text_0037_02_06</t>
    <phoneticPr fontId="12" type="noConversion"/>
  </si>
  <si>
    <t>타이나</t>
    <phoneticPr fontId="12" type="noConversion"/>
  </si>
  <si>
    <t>타이나</t>
    <phoneticPr fontId="12" type="noConversion"/>
  </si>
  <si>
    <t>Post.Follow.Reply.Text_0037_02_05</t>
    <phoneticPr fontId="12" type="noConversion"/>
  </si>
  <si>
    <t>안젤리카</t>
    <phoneticPr fontId="12" type="noConversion"/>
  </si>
  <si>
    <t>이드</t>
    <phoneticPr fontId="12" type="noConversion"/>
  </si>
  <si>
    <t>베르베타</t>
    <phoneticPr fontId="12" type="noConversion"/>
  </si>
  <si>
    <t>베르베타</t>
    <phoneticPr fontId="12" type="noConversion"/>
  </si>
  <si>
    <t>패트리샤</t>
    <phoneticPr fontId="12" type="noConversion"/>
  </si>
  <si>
    <t>시아</t>
    <phoneticPr fontId="12" type="noConversion"/>
  </si>
  <si>
    <t>다리아</t>
    <phoneticPr fontId="12" type="noConversion"/>
  </si>
  <si>
    <t>Post.Pickup.Reply.Text_0001_02_02</t>
    <phoneticPr fontId="12" type="noConversion"/>
  </si>
  <si>
    <t>Post.Pickup.Reply.Text_0003_02_02</t>
    <phoneticPr fontId="12" type="noConversion"/>
  </si>
  <si>
    <t>Post.Pickup.Reply.Text_0003_02_03</t>
    <phoneticPr fontId="12" type="noConversion"/>
  </si>
  <si>
    <t>프레이야</t>
    <phoneticPr fontId="12" type="noConversion"/>
  </si>
  <si>
    <t>Post.Pickup.Reply.Text_0006_01_04</t>
    <phoneticPr fontId="12" type="noConversion"/>
  </si>
  <si>
    <t>오로라</t>
    <phoneticPr fontId="12" type="noConversion"/>
  </si>
  <si>
    <t>Post.Pickup.Reply.Text_0006_02_02</t>
    <phoneticPr fontId="12" type="noConversion"/>
  </si>
  <si>
    <t>카나타 - 호감도3레벨</t>
    <phoneticPr fontId="1" type="noConversion"/>
  </si>
  <si>
    <t>1030015010</t>
  </si>
  <si>
    <t>Video/post_unlock_0004.usm</t>
  </si>
  <si>
    <t>Video/post_unlock_0001.usm</t>
  </si>
  <si>
    <t>Video/post_bace_0102.usm</t>
  </si>
  <si>
    <t>Video/post_bace_0301.usm</t>
  </si>
  <si>
    <t>Video/post_bace_0501.usm</t>
  </si>
  <si>
    <t>Video/post_bace_0801.usm</t>
  </si>
  <si>
    <t>Video/post_pickup_0001.usm</t>
  </si>
  <si>
    <t>Video/post_pickup_0002.usm</t>
  </si>
  <si>
    <t>Video/post_pickup_0003.usm</t>
  </si>
  <si>
    <t>앰브로시아</t>
    <phoneticPr fontId="1" type="noConversion"/>
  </si>
  <si>
    <t>CommentFemale</t>
    <phoneticPr fontId="1" type="noConversion"/>
  </si>
  <si>
    <t>72000210</t>
  </si>
  <si>
    <t>93000310</t>
  </si>
  <si>
    <t>51000110</t>
  </si>
  <si>
    <t>74000210</t>
  </si>
  <si>
    <t>Post.Unlock.Text_0001</t>
  </si>
  <si>
    <t>Post.Bace.Text_0102</t>
  </si>
  <si>
    <t>Post.Bace.Text_0301</t>
  </si>
  <si>
    <t>Post.Bace.Text_0501</t>
  </si>
  <si>
    <t>Post.Bace.Text_0801</t>
  </si>
  <si>
    <t>Post.Pickup.Text_0001</t>
  </si>
  <si>
    <t>Post.Pickup.Text_0002</t>
  </si>
  <si>
    <t>Post.Pickup.Text_0003</t>
  </si>
  <si>
    <t>Post.Unlock.Text_0004</t>
  </si>
  <si>
    <t>Comment</t>
  </si>
  <si>
    <t>string</t>
  </si>
  <si>
    <t>client</t>
  </si>
  <si>
    <t>#게시물 코멘트</t>
  </si>
  <si>
    <t>포스팅 사이즈 테스트&lt;sprite index=24&gt;&lt;sprite index=24&gt;&lt;sprite index=24&gt;
A타입 포스팅 = 16:9 비율
&lt;color=#3f729b&gt;#기능테스트 #이런것도가능&lt;/color&gt;</t>
  </si>
  <si>
    <t>포스팅 사이즈 테스트
B타입 포스팅 = 1:1 비율 &lt;sprite index=27&gt;
&lt;color=#3f729b&gt;#기능테스트 #이런것도가능&lt;/color&gt;</t>
  </si>
  <si>
    <t>포스팅 사이즈&lt;sprite index=33&gt;&lt;sprite index=33&gt; 테스트
C타입 포스팅 = 4:5 비율
&lt;color=#3f729b&gt;#기능테스트 #이런것도가능&lt;/color&gt;</t>
  </si>
  <si>
    <t>바로가기 기능 테스트
상점으로 이동 &lt;sprite index=29&gt; &lt;sprite index=29&gt;
&lt;color=#3f729b&gt;#기능테스트 #이런것도가능&lt;/color&gt;</t>
  </si>
  <si>
    <t>보상 기능 테스트
캐시 재화를 받으시오!!
&lt;color=#3f729b&gt;#기능테스트 #이런것도가능&lt;/color&gt;</t>
  </si>
  <si>
    <t>기간 설정 테스트
기간은 23년 7월 12일까지!
&lt;color=#3f729b&gt;#기능테스트 #이런것도가능&lt;/color&gt;</t>
  </si>
  <si>
    <t>내용 없음.</t>
  </si>
  <si>
    <t>모든 기능을 적용한 영상 포스팅 입니다.
테스트용 이기 때문에 출력되는 기능만 확인할 것!
&lt;color=#3f729b&gt;#기능테스트 #종합기능&lt;/color&gt;</t>
  </si>
  <si>
    <t>테스트 포스팅 1</t>
  </si>
  <si>
    <t>테스트 포스팅 2</t>
  </si>
  <si>
    <t>SNS테스트(아카데미 SR 달성) 포스팅 테스트</t>
  </si>
  <si>
    <t>Post.Unlock.Text_0002</t>
  </si>
  <si>
    <t>Post.Follow.Text_0001</t>
  </si>
  <si>
    <t>Post.Follow.Text_0002</t>
  </si>
  <si>
    <t>Post.Follow.Text_0003</t>
  </si>
  <si>
    <t>Post.Follow.Text_0004</t>
  </si>
  <si>
    <t>Post.Follow.Text_0005</t>
  </si>
  <si>
    <t>Post.Follow.Text_0006</t>
  </si>
  <si>
    <t>Post.Follow.Text_0007</t>
  </si>
  <si>
    <t>Post.Follow.Text_0008</t>
  </si>
  <si>
    <t>Post.Follow.Text_0009</t>
  </si>
  <si>
    <t>Post.Follow.Text_0010</t>
  </si>
  <si>
    <t>Post.Follow.Text_0011</t>
  </si>
  <si>
    <t>Post.Follow.Text_0012</t>
  </si>
  <si>
    <t>Post.Follow.Text_0013</t>
  </si>
  <si>
    <t>Post.Follow.Text_0014</t>
  </si>
  <si>
    <t>Post.Follow.Text_0015</t>
  </si>
  <si>
    <t>Post.Follow.Text_0016</t>
  </si>
  <si>
    <t>Post.Follow.Text_0017</t>
  </si>
  <si>
    <t>Post.Follow.Text_0018</t>
  </si>
  <si>
    <t>Post.Follow.Text_0019</t>
  </si>
  <si>
    <t>Post.Follow.Text_0020</t>
  </si>
  <si>
    <t>Post.Follow.Text_0021</t>
  </si>
  <si>
    <t>Post.Follow.Text_0022</t>
  </si>
  <si>
    <t>Post.Follow.Text_0023</t>
  </si>
  <si>
    <t>Post.Follow.Text_0024</t>
  </si>
  <si>
    <t>Post.Follow.Text_0025</t>
  </si>
  <si>
    <t>Post.Follow.Text_0026</t>
  </si>
  <si>
    <t>Post.Follow.Text_0027</t>
  </si>
  <si>
    <t>Post.Follow.Text_0028</t>
  </si>
  <si>
    <t>Post.Follow.Text_0029</t>
  </si>
  <si>
    <t>Post.Follow.Text_0030</t>
  </si>
  <si>
    <t>Post.Follow.Text_0031</t>
  </si>
  <si>
    <t>Post.Follow.Text_0032</t>
  </si>
  <si>
    <t>Post.Follow.Text_0033</t>
  </si>
  <si>
    <t>Post.Follow.Text_0034</t>
  </si>
  <si>
    <t>Post.Follow.Text_0035</t>
  </si>
  <si>
    <t>Post.Follow.Text_0036</t>
  </si>
  <si>
    <t>Post.Follow.Text_0037</t>
  </si>
  <si>
    <t>Post.Follow.Text_0038</t>
  </si>
  <si>
    <t>Post.Follow.Text_0039</t>
  </si>
  <si>
    <t>Post.Follow.Text_0040</t>
  </si>
  <si>
    <t>Post.Follow.Text_0041</t>
  </si>
  <si>
    <t>Post.Follow.Text_0042</t>
  </si>
  <si>
    <t>Post.Follow.Text_0043</t>
  </si>
  <si>
    <t>Post.Follow.Text_0044</t>
  </si>
  <si>
    <t>Post.Follow.Text_0045</t>
  </si>
  <si>
    <t>Post.Bace.Text_1901</t>
  </si>
  <si>
    <t>Post.Unlock.Text_0003</t>
  </si>
  <si>
    <t>Post.Bace.Text_1601</t>
  </si>
  <si>
    <t>Post.Bace.Text_2101</t>
  </si>
  <si>
    <t>Post.Pickup.Text_0004</t>
  </si>
  <si>
    <t>Post.Pickup.Text_0005</t>
  </si>
  <si>
    <t>Post.Pickup.Text_0006</t>
  </si>
  <si>
    <t>Post.Bace.Text_1501</t>
  </si>
  <si>
    <t>Post.Bace.Text_1701</t>
  </si>
  <si>
    <t>Post.Bace.Text_1401</t>
  </si>
  <si>
    <t>Post.Academy.Text_0001</t>
  </si>
  <si>
    <t>Post.Battle.Text_0001</t>
  </si>
  <si>
    <t>Post.Battle.Text_0002</t>
  </si>
  <si>
    <t>Post.Battle.Text_0003</t>
  </si>
  <si>
    <t>Post.Battle.Text_0004</t>
  </si>
  <si>
    <t>Post.Battle.Text_0005</t>
  </si>
  <si>
    <t>Post.Battle.Text_0006</t>
  </si>
  <si>
    <t>Post.Battle.Text_0007</t>
  </si>
  <si>
    <t>Post.Battle.Text_0008</t>
  </si>
  <si>
    <t>Post.Battle.Text_0009</t>
  </si>
  <si>
    <t>베르베타 (길드 총력전-업데이트) 전투 참여 조건 게시물 (임시 이미지)</t>
  </si>
  <si>
    <t>안젤리카 (길드 총력전-업데이트) 전투 참여 조건 게시물 (임시 이미지)</t>
  </si>
  <si>
    <t>발렌시아 (길드 총력전-업데이트) 전투 참여 조건 게시물 (임시 이미지)</t>
  </si>
  <si>
    <t>아이라스 (길드 총력전-업데이트) 전투 참여 조건 게시물 (임시 이미지)</t>
  </si>
  <si>
    <t>Post.Battle.Text_0014</t>
  </si>
  <si>
    <t>Post.Battle.Text_0015</t>
  </si>
  <si>
    <t>Post.Battle.Text_0016</t>
  </si>
  <si>
    <t>Post.Battle.Text_0017</t>
  </si>
  <si>
    <t>Post.Battle.Text_0018</t>
  </si>
  <si>
    <t>AD</t>
    <phoneticPr fontId="1" type="noConversion"/>
  </si>
  <si>
    <t>#광고</t>
    <phoneticPr fontId="1" type="noConversion"/>
  </si>
  <si>
    <t>콜라보 (임시)</t>
    <phoneticPr fontId="1" type="noConversion"/>
  </si>
  <si>
    <t>#콜라보 테스트 데이터</t>
    <phoneticPr fontId="1" type="noConversion"/>
  </si>
  <si>
    <t>0001</t>
    <phoneticPr fontId="1" type="noConversion"/>
  </si>
  <si>
    <t>StaticDateRange(2024-04-23 00:00:00 ~ 2024-07-12 00:00:00)</t>
    <phoneticPr fontId="1" type="noConversion"/>
  </si>
  <si>
    <t>Instarseed/Instarseed_005/post_3_unlock_0002.png</t>
  </si>
  <si>
    <t>Instarseed/Instarseed_005/post_3_unlock_0002_t.png</t>
  </si>
  <si>
    <t>Instarseed/Instarseed_005/post_3_unlock_0006.png</t>
  </si>
  <si>
    <t>Instarseed/Instarseed_005/post_3_unlock_0006_t.png</t>
  </si>
  <si>
    <t>Instarseed/Instarseed_005/post_2_unlock_0008.png</t>
  </si>
  <si>
    <t>Instarseed/Instarseed_005/post_2_unlock_0008_t.png</t>
  </si>
  <si>
    <t>Instarseed/Instarseed_005/post_2_unlock_0009.png</t>
  </si>
  <si>
    <t>Instarseed/Instarseed_005/post_2_unlock_0009_t.png</t>
  </si>
  <si>
    <t>Instarseed/Instarseed_002/post_2_follow_0001.png</t>
  </si>
  <si>
    <t>Instarseed/Instarseed_002/post_2_follow_0001_t.png</t>
  </si>
  <si>
    <t>Instarseed/Instarseed_002/post_2_follow_0002.png</t>
  </si>
  <si>
    <t>Instarseed/Instarseed_002/post_2_follow_0002_t.png</t>
  </si>
  <si>
    <t>Instarseed/Instarseed_002/post_2_follow_0003.png</t>
  </si>
  <si>
    <t>Instarseed/Instarseed_002/post_2_follow_0003_t.png</t>
  </si>
  <si>
    <t>Instarseed/Instarseed_003/post_2_follow_0004.png</t>
  </si>
  <si>
    <t>Instarseed/Instarseed_003/post_2_follow_0004_t.png</t>
  </si>
  <si>
    <t>Instarseed/Instarseed_003/post_2_follow_0005.png</t>
  </si>
  <si>
    <t>Instarseed/Instarseed_003/post_2_follow_0005_t.png</t>
  </si>
  <si>
    <t>Instarseed/Instarseed_003/post_2_follow_0006.png</t>
  </si>
  <si>
    <t>Instarseed/Instarseed_003/post_2_follow_0006_t.png</t>
  </si>
  <si>
    <t>Instarseed/Instarseed_003/post_2_follow_0007.png</t>
  </si>
  <si>
    <t>Instarseed/Instarseed_003/post_2_follow_0007_t.png</t>
  </si>
  <si>
    <t>Instarseed/Instarseed_003/post_2_follow_0008.png</t>
  </si>
  <si>
    <t>Instarseed/Instarseed_003/post_2_follow_0008_t.png</t>
  </si>
  <si>
    <t>Instarseed/Instarseed_003/post_2_follow_0009.png</t>
  </si>
  <si>
    <t>Instarseed/Instarseed_003/post_2_follow_0009_t.png</t>
  </si>
  <si>
    <t>Instarseed/Instarseed_003/post_2_follow_0010.png</t>
  </si>
  <si>
    <t>Instarseed/Instarseed_003/post_2_follow_0010_t.png</t>
  </si>
  <si>
    <t>Instarseed/Instarseed_003/post_2_follow_0011.png</t>
  </si>
  <si>
    <t>Instarseed/Instarseed_003/post_2_follow_0011_t.png</t>
  </si>
  <si>
    <t>Instarseed/Instarseed_003/post_2_follow_0012.png</t>
  </si>
  <si>
    <t>Instarseed/Instarseed_003/post_2_follow_0012_t.png</t>
  </si>
  <si>
    <t>Instarseed/Instarseed_003/post_2_follow_0013.png</t>
  </si>
  <si>
    <t>Instarseed/Instarseed_003/post_2_follow_0013_t.png</t>
  </si>
  <si>
    <t>Instarseed/Instarseed_003/post_2_follow_0014.png</t>
  </si>
  <si>
    <t>Instarseed/Instarseed_003/post_2_follow_0014_t.png</t>
  </si>
  <si>
    <t>Instarseed/Instarseed_003/post_2_follow_0015.png</t>
  </si>
  <si>
    <t>Instarseed/Instarseed_003/post_2_follow_0015_t.png</t>
  </si>
  <si>
    <t>Instarseed/Instarseed_003/post_2_follow_0016.png</t>
  </si>
  <si>
    <t>Instarseed/Instarseed_003/post_2_follow_0016_t.png</t>
  </si>
  <si>
    <t>Instarseed/Instarseed_005/post_3_follow_0017.png</t>
  </si>
  <si>
    <t>Instarseed/Instarseed_005/post_3_follow_0017_t.png</t>
  </si>
  <si>
    <t>Instarseed/Instarseed_003/post_2_follow_0018.png</t>
  </si>
  <si>
    <t>Instarseed/Instarseed_003/post_2_follow_0018_t.png</t>
  </si>
  <si>
    <t>Instarseed/Instarseed_003/post_2_follow_0019.png</t>
  </si>
  <si>
    <t>Instarseed/Instarseed_003/post_2_follow_0019_t.png</t>
  </si>
  <si>
    <t>Instarseed/Instarseed_003/post_2_follow_0020.png</t>
  </si>
  <si>
    <t>Instarseed/Instarseed_003/post_2_follow_0020_t.png</t>
  </si>
  <si>
    <t>Instarseed/Instarseed_003/post_2_follow_0021.png</t>
  </si>
  <si>
    <t>Instarseed/Instarseed_003/post_2_follow_0021_t.png</t>
  </si>
  <si>
    <t>Instarseed/Instarseed_003/post_2_follow_0022.png</t>
  </si>
  <si>
    <t>Instarseed/Instarseed_003/post_2_follow_0022_t.png</t>
  </si>
  <si>
    <t>Instarseed/Instarseed_003/post_2_follow_0023.png</t>
  </si>
  <si>
    <t>Instarseed/Instarseed_003/post_2_follow_0023_t.png</t>
  </si>
  <si>
    <t>Instarseed/Instarseed_003/post_2_follow_0024.png</t>
  </si>
  <si>
    <t>Instarseed/Instarseed_003/post_2_follow_0024_t.png</t>
  </si>
  <si>
    <t>Instarseed/Instarseed_004/post_2_follow_0025.png</t>
  </si>
  <si>
    <t>Instarseed/Instarseed_004/post_2_follow_0025_t.png</t>
  </si>
  <si>
    <t>Instarseed/Instarseed_004/post_2_follow_0026.png</t>
  </si>
  <si>
    <t>Instarseed/Instarseed_004/post_2_follow_0026_t.png</t>
  </si>
  <si>
    <t>Instarseed/Instarseed_004/post_2_follow_0027.png</t>
  </si>
  <si>
    <t>Instarseed/Instarseed_004/post_2_follow_0027_t.png</t>
  </si>
  <si>
    <t>Instarseed/Instarseed_004/post_2_follow_0028.png</t>
  </si>
  <si>
    <t>Instarseed/Instarseed_004/post_2_follow_0028_t.png</t>
  </si>
  <si>
    <t>Instarseed/Instarseed_004/post_2_follow_0029.png</t>
  </si>
  <si>
    <t>Instarseed/Instarseed_004/post_2_follow_0029_t.png</t>
  </si>
  <si>
    <t>Instarseed/Instarseed_004/post_2_follow_0030.png</t>
  </si>
  <si>
    <t>Instarseed/Instarseed_004/post_2_follow_0030_t.png</t>
  </si>
  <si>
    <t>Instarseed/Instarseed_004/post_2_follow_0031.png</t>
  </si>
  <si>
    <t>Instarseed/Instarseed_004/post_2_follow_0031_t.png</t>
  </si>
  <si>
    <t>Instarseed/Instarseed_004/post_2_follow_0032.png</t>
  </si>
  <si>
    <t>Instarseed/Instarseed_004/post_2_follow_0032_t.png</t>
  </si>
  <si>
    <t>Instarseed/Instarseed_004/post_2_follow_0033.png</t>
  </si>
  <si>
    <t>Instarseed/Instarseed_004/post_2_follow_0033_t.png</t>
  </si>
  <si>
    <t>Instarseed/Instarseed_004/post_2_follow_0034.png</t>
  </si>
  <si>
    <t>Instarseed/Instarseed_004/post_2_follow_0034_t.png</t>
  </si>
  <si>
    <t>Instarseed/Instarseed_004/post_2_follow_0035.png</t>
  </si>
  <si>
    <t>Instarseed/Instarseed_004/post_2_follow_0035_t.png</t>
  </si>
  <si>
    <t>Instarseed/Instarseed_004/post_2_follow_0036.png</t>
  </si>
  <si>
    <t>Instarseed/Instarseed_004/post_2_follow_0036_t.png</t>
  </si>
  <si>
    <t>Instarseed/Instarseed_004/post_2_follow_0037.png</t>
  </si>
  <si>
    <t>Instarseed/Instarseed_004/post_2_follow_0037_t.png</t>
  </si>
  <si>
    <t>Instarseed/Instarseed_004/post_2_follow_0038.png</t>
  </si>
  <si>
    <t>Instarseed/Instarseed_004/post_2_follow_0038_t.png</t>
  </si>
  <si>
    <t>Instarseed/Instarseed_004/post_2_follow_0039.png</t>
  </si>
  <si>
    <t>Instarseed/Instarseed_004/post_2_follow_0039_t.png</t>
  </si>
  <si>
    <t>Instarseed/Instarseed_004/post_2_follow_0040.png</t>
  </si>
  <si>
    <t>Instarseed/Instarseed_004/post_2_follow_0040_t.png</t>
  </si>
  <si>
    <t>Instarseed/Instarseed_004/post_2_follow_0041.png</t>
  </si>
  <si>
    <t>Instarseed/Instarseed_004/post_2_follow_0041_t.png</t>
  </si>
  <si>
    <t>Instarseed/Instarseed_004/post_2_follow_0042.png</t>
  </si>
  <si>
    <t>Instarseed/Instarseed_004/post_2_follow_0042_t.png</t>
  </si>
  <si>
    <t>Instarseed/Instarseed_004/post_2_follow_0043.png</t>
  </si>
  <si>
    <t>Instarseed/Instarseed_004/post_2_follow_0043_t.png</t>
  </si>
  <si>
    <t>Instarseed/Instarseed_004/post_2_follow_0044.png</t>
  </si>
  <si>
    <t>Instarseed/Instarseed_004/post_2_follow_0044_t.png</t>
  </si>
  <si>
    <t>Instarseed/Instarseed_005/post_2_follow_0045.png</t>
  </si>
  <si>
    <t>Instarseed/Instarseed_005/post_2_follow_0045_t.png</t>
  </si>
  <si>
    <t>Instarseed/Instarseed_002/post_1_favor_1021901.png</t>
  </si>
  <si>
    <t>Instarseed/Instarseed_002/post_1_favor_1021901_t.png</t>
  </si>
  <si>
    <t>Instarseed/Instarseed_001/post_1_favor_1010003.png</t>
  </si>
  <si>
    <t>Instarseed/Instarseed_001/post_1_favor_1010003_t.png</t>
  </si>
  <si>
    <t>Instarseed/Instarseed_001/post_1_favor_1010005.png</t>
  </si>
  <si>
    <t>Instarseed/Instarseed_001/post_1_favor_1010005_t.png</t>
  </si>
  <si>
    <t>Instarseed/Instarseed_001/post_1_favor_1010007.png</t>
  </si>
  <si>
    <t>Instarseed/Instarseed_001/post_1_favor_1010007_t.png</t>
  </si>
  <si>
    <t>Instarseed/Instarseed_001/post_1_favor_1020101.png</t>
  </si>
  <si>
    <t>Instarseed/Instarseed_001/post_1_favor_1020101_t.png</t>
  </si>
  <si>
    <t>Instarseed/Instarseed_001/post_1_favor_1020103.png</t>
  </si>
  <si>
    <t>Instarseed/Instarseed_001/post_1_favor_1020103_t.png</t>
  </si>
  <si>
    <t>Instarseed/Instarseed_001/post_1_favor_1020201.png</t>
  </si>
  <si>
    <t>Instarseed/Instarseed_001/post_1_favor_1020201_t.png</t>
  </si>
  <si>
    <t>Instarseed/Instarseed_001/post_1_favor_1020202.png</t>
  </si>
  <si>
    <t>Instarseed/Instarseed_001/post_1_favor_1020202_t.png</t>
  </si>
  <si>
    <t>Instarseed/Instarseed_001/post_1_favor_1020203.png</t>
  </si>
  <si>
    <t>Instarseed/Instarseed_001/post_1_favor_1020203_t.png</t>
  </si>
  <si>
    <t>Instarseed/Instarseed_001/post_1_favor_1020302.png</t>
  </si>
  <si>
    <t>Instarseed/Instarseed_001/post_1_favor_1020302_t.png</t>
  </si>
  <si>
    <t>Instarseed/Instarseed_001/post_1_favor_1020303.png</t>
  </si>
  <si>
    <t>Instarseed/Instarseed_001/post_1_favor_1020303_t.png</t>
  </si>
  <si>
    <t>Instarseed/Instarseed_001/post_1_favor_1020401.png</t>
  </si>
  <si>
    <t>Instarseed/Instarseed_001/post_1_favor_1020401_t.png</t>
  </si>
  <si>
    <t>Instarseed/Instarseed_002/post_2_favor_1020402.png</t>
  </si>
  <si>
    <t>Instarseed/Instarseed_002/post_2_favor_1020402_t.png</t>
  </si>
  <si>
    <t>Instarseed/Instarseed_001/post_1_favor_1020502.png</t>
  </si>
  <si>
    <t>Instarseed/Instarseed_001/post_1_favor_1020502_t.png</t>
  </si>
  <si>
    <t>Instarseed/Instarseed_001/post_1_favor_1020601.png</t>
  </si>
  <si>
    <t>Instarseed/Instarseed_001/post_1_favor_1020601_t.png</t>
  </si>
  <si>
    <t>Instarseed/Instarseed_001/post_1_favor_1020602.png</t>
  </si>
  <si>
    <t>Instarseed/Instarseed_001/post_1_favor_1020602_t.png</t>
  </si>
  <si>
    <t>Instarseed/Instarseed_001/post_1_favor_1020603.png</t>
  </si>
  <si>
    <t>Instarseed/Instarseed_001/post_1_favor_1020603_t.png</t>
  </si>
  <si>
    <t>Instarseed/Instarseed_001/post_1_favor_1020701.png</t>
  </si>
  <si>
    <t>Instarseed/Instarseed_001/post_1_favor_1020701_t.png</t>
  </si>
  <si>
    <t>Instarseed/Instarseed_001/post_1_favor_1020702.png</t>
  </si>
  <si>
    <t>Instarseed/Instarseed_001/post_1_favor_1020702_t.png</t>
  </si>
  <si>
    <t>Instarseed/Instarseed_001/post_1_favor_1020802.png</t>
  </si>
  <si>
    <t>Instarseed/Instarseed_001/post_1_favor_1020802_t.png</t>
  </si>
  <si>
    <t>Instarseed/Instarseed_002/post_1_favor_1020901.png</t>
  </si>
  <si>
    <t>Instarseed/Instarseed_002/post_1_favor_1020901_t.png</t>
  </si>
  <si>
    <t>Instarseed/Instarseed_002/post_2_favor_1020902.png</t>
  </si>
  <si>
    <t>Instarseed/Instarseed_002/post_2_favor_1020902_t.png</t>
  </si>
  <si>
    <t>Instarseed/Instarseed_002/post_1_favor_1021001.png</t>
  </si>
  <si>
    <t>Instarseed/Instarseed_002/post_1_favor_1021001_t.png</t>
  </si>
  <si>
    <t>Instarseed/Instarseed_002/post_1_favor_1021201.png</t>
  </si>
  <si>
    <t>Instarseed/Instarseed_002/post_1_favor_1021201_t.png</t>
  </si>
  <si>
    <t>Instarseed/Instarseed_002/post_1_favor_1021301.png</t>
  </si>
  <si>
    <t>Instarseed/Instarseed_002/post_1_favor_1021301_t.png</t>
  </si>
  <si>
    <t>Instarseed/Instarseed_002/post_1_favor_1021601.png</t>
  </si>
  <si>
    <t>Instarseed/Instarseed_002/post_1_favor_1021601_t.png</t>
  </si>
  <si>
    <t>Instarseed/Instarseed_002/post_1_favor_1022101.png</t>
  </si>
  <si>
    <t>Instarseed/Instarseed_002/post_1_favor_1022101_t.png</t>
  </si>
  <si>
    <t>Instarseed/Instarseed_002/post_1_favor_1040004.png</t>
  </si>
  <si>
    <t>Instarseed/Instarseed_002/post_1_favor_1040004_t.png</t>
  </si>
  <si>
    <t>Instarseed/Instarseed_002/post_1_favor_1040005.png</t>
  </si>
  <si>
    <t>Instarseed/Instarseed_002/post_1_favor_1040005_t.png</t>
  </si>
  <si>
    <t>Instarseed/Instarseed_002/post_1_favor_1040006.png</t>
  </si>
  <si>
    <t>Instarseed/Instarseed_002/post_1_favor_1040006_t.png</t>
  </si>
  <si>
    <t>Instarseed/Instarseed_001/post_1_favor_1010010.png</t>
  </si>
  <si>
    <t>Instarseed/Instarseed_001/post_1_favor_1010010_t.png</t>
  </si>
  <si>
    <t>Instarseed/Instarseed_001/post_1_favor_1020403.png</t>
  </si>
  <si>
    <t>Instarseed/Instarseed_001/post_1_favor_1020403_t.png</t>
  </si>
  <si>
    <t>Instarseed/Instarseed_002/post_1_favor_1021002.png</t>
  </si>
  <si>
    <t>Instarseed/Instarseed_002/post_1_favor_1021002_t.png</t>
  </si>
  <si>
    <t>Instarseed/Instarseed_005/post_3_favor_1021101.png</t>
  </si>
  <si>
    <t>Instarseed/Instarseed_005/post_3_favor_1021101_t.png</t>
  </si>
  <si>
    <t>Instarseed/Instarseed_002/post_2_favor_1021501.png</t>
  </si>
  <si>
    <t>Instarseed/Instarseed_002/post_2_favor_1021501_t.png</t>
  </si>
  <si>
    <t>Instarseed/Instarseed_002/post_1_favor_1021701.png</t>
  </si>
  <si>
    <t>Instarseed/Instarseed_002/post_1_favor_1021701_t.png</t>
  </si>
  <si>
    <t>Instarseed/Instarseed_002/post_1_favor_1021302.png</t>
  </si>
  <si>
    <t>Instarseed/Instarseed_002/post_1_favor_1021302_t.png</t>
  </si>
  <si>
    <t>Instarseed/Instarseed_002/post_1_favor_1021401.png</t>
  </si>
  <si>
    <t>Instarseed/Instarseed_002/post_1_favor_1021401_t.png</t>
  </si>
  <si>
    <t>Instarseed/Instarseed_005/post_battle_0001.png</t>
  </si>
  <si>
    <t>Instarseed/Instarseed_005/post_battle_thumbnail_0001.png</t>
  </si>
  <si>
    <t>Instarseed/Instarseed_005/post_battle_0002.png</t>
  </si>
  <si>
    <t>Instarseed/Instarseed_005/post_battle_thumbnail_0002.png</t>
  </si>
  <si>
    <t>Instarseed/Instarseed_005/post_battle_0003.png</t>
  </si>
  <si>
    <t>Instarseed/Instarseed_005/post_battle_thumbnail_0003.png</t>
  </si>
  <si>
    <t>Instarseed/Instarseed_005/post_battle_0004.png</t>
  </si>
  <si>
    <t>Instarseed/Instarseed_005/post_battle_thumbnail_0004.png</t>
  </si>
  <si>
    <t>Instarseed/Instarseed_005/post_battle_0005.png</t>
  </si>
  <si>
    <t>Instarseed/Instarseed_005/post_battle_thumbnail_0005.png</t>
  </si>
  <si>
    <t>Instarseed/Instarseed_005/post_battle_0006.png</t>
  </si>
  <si>
    <t>Instarseed/Instarseed_005/post_battle_thumbnail_0006.png</t>
  </si>
  <si>
    <t>Instarseed/Instarseed_005/post_battle_0007.png</t>
  </si>
  <si>
    <t>Instarseed/Instarseed_005/post_battle_thumbnail_0007.png</t>
  </si>
  <si>
    <t>Instarseed/Instarseed_005/post_battle_0008.png</t>
  </si>
  <si>
    <t>Instarseed/Instarseed_005/post_battle_thumbnail_0008.png</t>
  </si>
  <si>
    <t>Instarseed/Instarseed_005/post_battle_0009.png</t>
  </si>
  <si>
    <t>Instarseed/Instarseed_005/post_battle_thumbnail_0009.png</t>
  </si>
  <si>
    <t>Instarseed/Instarseed_005/post_battle_0014.png</t>
  </si>
  <si>
    <t>Instarseed/Instarseed_005/post_battle_thumbnail_0014.png</t>
  </si>
  <si>
    <t>Instarseed/Instarseed_005/post_battle_0015.png</t>
  </si>
  <si>
    <t>Instarseed/Instarseed_005/post_battle_thumbnail_0015.png</t>
  </si>
  <si>
    <t>Instarseed/Instarseed_005/post_battle_0016.png</t>
  </si>
  <si>
    <t>Instarseed/Instarseed_005/post_battle_thumbnail_0016.png</t>
  </si>
  <si>
    <t>Instarseed/Instarseed_005/post_battle_0017.png</t>
  </si>
  <si>
    <t>Instarseed/Instarseed_005/post_battle_thumbnail_0017.png</t>
  </si>
  <si>
    <t>Instarseed/Instarseed_006/post_battle_0018.png</t>
  </si>
  <si>
    <t>Instarseed/Instarseed_006/post_battle_thumbnail_0018.png</t>
  </si>
  <si>
    <t>Instarseed/Instarseed_Localize/post_1_academy_0001.png</t>
  </si>
  <si>
    <t>Instarseed/Instarseed_Localize/post_1_academy_thumbnail_0001.png</t>
  </si>
  <si>
    <t>Instarseed/Instarseed_Localize/post_1_academy_0002.png</t>
  </si>
  <si>
    <t>Instarseed/Instarseed_Localize/post_1_academy_thumbnail_0002.png</t>
  </si>
  <si>
    <t>Instarseed/Instarseed_Localize/post_1_academy_0003.png</t>
  </si>
  <si>
    <t>Instarseed/Instarseed_Localize/post_1_academy_thumbnail_0003.png</t>
  </si>
  <si>
    <t>Instarseed/Instarseed_Localize/post_1_academy_0004.png</t>
  </si>
  <si>
    <t>Instarseed/Instarseed_Localize/post_1_academy_thumbnail_0004.png</t>
  </si>
  <si>
    <t>Instarseed/Instarseed_Localize/post_1_academy_0005.png</t>
  </si>
  <si>
    <t>Instarseed/Instarseed_Localize/post_1_academy_thumbnail_0005.png</t>
  </si>
  <si>
    <t>Instarseed/Instarseed_Localize/post_1_academy_0006.png</t>
  </si>
  <si>
    <t>Instarseed/Instarseed_Localize/post_1_academy_thumbnail_0006.png</t>
  </si>
  <si>
    <t>Instarseed/Instarseed_Localize/post_1_academy_0007.png</t>
  </si>
  <si>
    <t>Instarseed/Instarseed_Localize/post_1_academy_thumbnail_0007.png</t>
  </si>
  <si>
    <t>Instarseed/Instarseed_Localize/post_1_academy_0008.png</t>
  </si>
  <si>
    <t>Instarseed/Instarseed_Localize/post_1_academy_thumbnail_0008.png</t>
  </si>
  <si>
    <t>Instarseed/Instarseed_Localize/post_1_academy_0009.png</t>
  </si>
  <si>
    <t>Instarseed/Instarseed_Localize/post_1_academy_thumbnail_0009.png</t>
  </si>
  <si>
    <t>Instarseed/Instarseed_Localize/post_1_academy_0010.png</t>
  </si>
  <si>
    <t>Instarseed/Instarseed_Localize/post_1_academy_thumbnail_0010.png</t>
  </si>
  <si>
    <t>Instarseed/Instarseed_Localize/post_1_academy_0011.png</t>
  </si>
  <si>
    <t>Instarseed/Instarseed_Localize/post_1_academy_thumbnail_0011.png</t>
  </si>
  <si>
    <t>Instarseed/Instarseed_Localize/post_1_academy_0012.png</t>
  </si>
  <si>
    <t>Instarseed/Instarseed_Localize/post_1_academy_thumbnail_0012.png</t>
  </si>
  <si>
    <t>Instarseed/Instarseed_Localize/post_1_academy_0013.png</t>
  </si>
  <si>
    <t>Instarseed/Instarseed_Localize/post_1_academy_thumbnail_0013.png</t>
  </si>
  <si>
    <t>Instarseed/Instarseed_Localize/post_1_academy_0014.png</t>
  </si>
  <si>
    <t>Instarseed/Instarseed_Localize/post_1_academy_thumbnail_0014.png</t>
  </si>
  <si>
    <t>Instarseed/Instarseed_Localize/post_1_academy_0015.png</t>
  </si>
  <si>
    <t>Instarseed/Instarseed_Localize/post_1_academy_thumbnail_0015.png</t>
  </si>
  <si>
    <t>Instarseed/Instarseed_Localize/post_1_academy_0016.png</t>
  </si>
  <si>
    <t>Instarseed/Instarseed_Localize/post_1_academy_thumbnail_0016.png</t>
  </si>
  <si>
    <t>Instarseed/Instarseed_Localize/post_1_academy_0017.png</t>
  </si>
  <si>
    <t>Instarseed/Instarseed_Localize/post_1_academy_thumbnail_0017.png</t>
  </si>
  <si>
    <t>Instarseed/Instarseed_Localize/post_1_academy_0018.png</t>
  </si>
  <si>
    <t>Instarseed/Instarseed_Localize/post_1_academy_thumbnail_0018.png</t>
  </si>
  <si>
    <t>Instarseed/Instarseed_Localize/post_1_academy_0019.png</t>
  </si>
  <si>
    <t>Instarseed/Instarseed_Localize/post_1_academy_thumbnail_0019.png</t>
  </si>
  <si>
    <t>Instarseed/Instarseed_Localize/post_1_academy_0020.png</t>
  </si>
  <si>
    <t>Instarseed/Instarseed_Localize/post_1_academy_thumbnail_0020.png</t>
  </si>
  <si>
    <t>Instarseed/Instarseed_Localize/post_1_promote_0001.png</t>
  </si>
  <si>
    <t>Instarseed/Instarseed_Localize/post_1_promote_thumbnail_0001.png</t>
  </si>
  <si>
    <t>Instarseed/Instarseed_Localize/post_1_promote_0002.png</t>
  </si>
  <si>
    <t>Instarseed/Instarseed_Localize/post_1_promote_thumbnail_0002.png</t>
  </si>
  <si>
    <t>Instarseed/Instarseed_Localize/post_1_promote_0003.png</t>
  </si>
  <si>
    <t>Instarseed/Instarseed_Localize/post_1_promote_thumbnail_0003.png</t>
  </si>
  <si>
    <t>Instarseed/Instarseed_Localize/post_2_promote_0004.png</t>
  </si>
  <si>
    <t>Instarseed/Instarseed_Localize/post_2_promote_thumbnail_0004.png</t>
  </si>
  <si>
    <t>Instarseed/Instarseed_Localize/post_1_promote_0005.png</t>
  </si>
  <si>
    <t>Instarseed/Instarseed_Localize/post_1_promote_thumbnail_0005.png</t>
  </si>
  <si>
    <t>Instarseed/Instarseed_Localize/post_1_promote_0006.png</t>
  </si>
  <si>
    <t>Instarseed/Instarseed_Localize/post_1_promote_thumbnail_0006.png</t>
  </si>
  <si>
    <t>Instarseed/Instarseed_Localize/post_1_promote_0007.png</t>
  </si>
  <si>
    <t>Instarseed/Instarseed_Localize/post_1_promote_thumbnail_0007.png</t>
  </si>
  <si>
    <t>Instarseed/Instarseed_Localize/post_1_promote_0008.png</t>
  </si>
  <si>
    <t>Instarseed/Instarseed_Localize/post_1_promote_thumbnail_0008.png</t>
  </si>
  <si>
    <t>Instarseed/Instarseed_Localize/post_1_promote_0009.png</t>
  </si>
  <si>
    <t>Instarseed/Instarseed_Localize/post_1_promote_thumbnail_0009.png</t>
  </si>
  <si>
    <t>Instarseed/Instarseed_Localize/post_1_promote_0010.png</t>
  </si>
  <si>
    <t>Instarseed/Instarseed_Localize/post_1_promote_thumbnail_0010.png</t>
  </si>
  <si>
    <t>Instarseed/Instarseed_Localize/post_1_promote_0011.png</t>
  </si>
  <si>
    <t>Instarseed/Instarseed_Localize/post_1_promote_thumbnail_0011.png</t>
  </si>
  <si>
    <t>Instarseed/Instarseed_Localize/post_1_promote_0012.png</t>
  </si>
  <si>
    <t>Instarseed/Instarseed_Localize/post_1_promote_thumbnail_0012.png</t>
  </si>
  <si>
    <t>Instarseed/Instarseed_Localize/post_1_promote_0013.png</t>
  </si>
  <si>
    <t>Instarseed/Instarseed_Localize/post_1_promote_thumbnail_0013.png</t>
  </si>
  <si>
    <t>Instarseed/Instarseed_Localize/post_1_promote_0014.png</t>
  </si>
  <si>
    <t>Instarseed/Instarseed_Localize/post_1_promote_thumbnail_0014.png</t>
  </si>
  <si>
    <t>Instarseed/Instarseed_Mov/post_unlock_thumbnail_0004.png</t>
  </si>
  <si>
    <t>Instarseed/Instarseed_Mov/post_unlock_thumbnail_0001.png</t>
  </si>
  <si>
    <t>Instarseed/Instarseed_Mov/post_bace_thumbnail_0102.png</t>
  </si>
  <si>
    <t>Instarseed/Instarseed_Mov/post_bace_thumbnail_0301.png</t>
  </si>
  <si>
    <t>Instarseed/Instarseed_Mov/post_bace_thumbnail_0501.png</t>
  </si>
  <si>
    <t>Instarseed/Instarseed_Mov/post_bace_thumbnail_0801.png</t>
  </si>
  <si>
    <t>Instarseed/Instarseed_Mov/post_pickup_thumbnail_0001.png</t>
  </si>
  <si>
    <t>Instarseed/Instarseed_Mov/post_pickup_thumbnail_0002.png</t>
  </si>
  <si>
    <t>Instarseed/Instarseed_Mov/post_pickup_thumbnail_0003.png</t>
  </si>
  <si>
    <t>Post.Profil.Text_Mother</t>
    <phoneticPr fontId="1" type="noConversion"/>
  </si>
  <si>
    <t>Post.Profil.Text_Luyten</t>
    <phoneticPr fontId="1" type="noConversion"/>
  </si>
  <si>
    <t>Post.Profil.Text_Pollux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</si>
</sst>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9"/>
      <color theme="0"/>
      <name val="맑은 고딕"/>
      <family val="3"/>
      <charset val="129"/>
    </font>
    <font>
      <sz val="9"/>
      <color theme="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name val="맑은 고딕"/>
      <family val="3"/>
      <charset val="129"/>
    </font>
    <font>
      <sz val="9"/>
      <color rgb="FF7030A0"/>
      <name val="맑은 고딕"/>
      <family val="3"/>
      <charset val="129"/>
      <scheme val="minor"/>
    </font>
    <font>
      <sz val="9"/>
      <color rgb="FF7030A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theme="1"/>
      <name val="나눔바른고딕"/>
      <family val="3"/>
      <charset val="129"/>
    </font>
    <font>
      <sz val="9"/>
      <color rgb="FF000000"/>
      <name val="나눔바른고딕"/>
      <family val="3"/>
      <charset val="129"/>
    </font>
    <font>
      <sz val="8"/>
      <name val="맑은 고딕"/>
      <family val="2"/>
      <charset val="129"/>
      <scheme val="minor"/>
    </font>
    <font>
      <sz val="9"/>
      <color rgb="FF000000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3" borderId="1" xfId="0" applyFont="1" applyFill="1" applyBorder="1"/>
    <xf numFmtId="0" fontId="4" fillId="3" borderId="0" xfId="0" applyFont="1" applyFill="1"/>
    <xf numFmtId="0" fontId="4" fillId="4" borderId="1" xfId="0" applyFont="1" applyFill="1" applyBorder="1" applyAlignment="1">
      <alignment horizontal="center" vertical="center"/>
    </xf>
    <xf numFmtId="0" fontId="4" fillId="4" borderId="0" xfId="0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6" borderId="1" xfId="0" applyFont="1" applyFill="1" applyBorder="1" applyAlignment="1">
      <alignment horizontal="center" vertical="center"/>
    </xf>
    <xf numFmtId="0" fontId="4" fillId="6" borderId="0" xfId="0" applyFont="1" applyFill="1"/>
    <xf numFmtId="0" fontId="4" fillId="0" borderId="1" xfId="0" applyFont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49" fontId="4" fillId="0" borderId="1" xfId="0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vertical="center"/>
    </xf>
    <xf numFmtId="0" fontId="10" fillId="3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10" fillId="3" borderId="1" xfId="0" applyNumberFormat="1" applyFont="1" applyFill="1" applyBorder="1" applyAlignment="1">
      <alignment horizontal="center" vertical="center" wrapText="1"/>
    </xf>
    <xf numFmtId="49" fontId="10" fillId="4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left" vertical="center" wrapText="1"/>
    </xf>
    <xf numFmtId="0" fontId="11" fillId="4" borderId="1" xfId="0" applyFont="1" applyFill="1" applyBorder="1" applyAlignment="1">
      <alignment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/>
    </xf>
    <xf numFmtId="0" fontId="7" fillId="6" borderId="0" xfId="0" applyFont="1" applyFill="1"/>
    <xf numFmtId="0" fontId="4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9" borderId="0" xfId="0" applyFont="1" applyFill="1"/>
    <xf numFmtId="0" fontId="10" fillId="9" borderId="0" xfId="0" applyFont="1" applyFill="1" applyAlignment="1">
      <alignment vertical="center" wrapText="1"/>
    </xf>
    <xf numFmtId="0" fontId="6" fillId="9" borderId="0" xfId="0" applyFont="1" applyFill="1" applyAlignment="1">
      <alignment horizontal="left" vertical="center"/>
    </xf>
    <xf numFmtId="0" fontId="4" fillId="9" borderId="0" xfId="0" applyFont="1" applyFill="1" applyAlignment="1">
      <alignment vertical="center"/>
    </xf>
    <xf numFmtId="0" fontId="2" fillId="6" borderId="3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left"/>
    </xf>
    <xf numFmtId="0" fontId="9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6" borderId="0" xfId="0" applyFont="1" applyFill="1" applyAlignment="1">
      <alignment vertical="center"/>
    </xf>
    <xf numFmtId="21" fontId="4" fillId="0" borderId="1" xfId="0" applyNumberFormat="1" applyFont="1" applyBorder="1" applyAlignment="1">
      <alignment vertical="center"/>
    </xf>
    <xf numFmtId="49" fontId="4" fillId="3" borderId="1" xfId="0" applyNumberFormat="1" applyFont="1" applyFill="1" applyBorder="1" applyAlignment="1">
      <alignment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9" borderId="0" xfId="0" applyFont="1" applyFill="1" applyAlignment="1">
      <alignment vertical="center"/>
    </xf>
    <xf numFmtId="49" fontId="4" fillId="9" borderId="0" xfId="0" applyNumberFormat="1" applyFont="1" applyFill="1" applyAlignment="1">
      <alignment horizontal="center" vertical="center"/>
    </xf>
    <xf numFmtId="21" fontId="4" fillId="3" borderId="1" xfId="0" applyNumberFormat="1" applyFont="1" applyFill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4" fillId="4" borderId="0" xfId="0" applyFont="1" applyFill="1" applyAlignment="1">
      <alignment vertical="center"/>
    </xf>
    <xf numFmtId="0" fontId="4" fillId="0" borderId="1" xfId="0" applyFont="1" applyBorder="1" applyAlignment="1">
      <alignment horizontal="right"/>
    </xf>
    <xf numFmtId="0" fontId="2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1" fillId="4" borderId="1" xfId="0" applyFont="1" applyFill="1" applyBorder="1" applyAlignment="1">
      <alignment horizontal="right" vertical="center" wrapText="1"/>
    </xf>
    <xf numFmtId="0" fontId="8" fillId="6" borderId="1" xfId="0" applyFont="1" applyFill="1" applyBorder="1" applyAlignment="1">
      <alignment horizontal="right" vertical="center"/>
    </xf>
    <xf numFmtId="0" fontId="4" fillId="0" borderId="0" xfId="0" applyFont="1" applyAlignment="1">
      <alignment horizontal="right"/>
    </xf>
    <xf numFmtId="0" fontId="4" fillId="9" borderId="4" xfId="0" applyFont="1" applyFill="1" applyBorder="1" applyAlignment="1">
      <alignment vertical="center"/>
    </xf>
    <xf numFmtId="0" fontId="9" fillId="9" borderId="4" xfId="0" applyFont="1" applyFill="1" applyBorder="1" applyAlignment="1">
      <alignment vertical="center"/>
    </xf>
    <xf numFmtId="0" fontId="10" fillId="9" borderId="4" xfId="0" applyFont="1" applyFill="1" applyBorder="1" applyAlignment="1">
      <alignment vertical="center" wrapText="1"/>
    </xf>
    <xf numFmtId="49" fontId="4" fillId="9" borderId="4" xfId="0" applyNumberFormat="1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vertical="center"/>
    </xf>
    <xf numFmtId="0" fontId="11" fillId="10" borderId="1" xfId="0" applyFont="1" applyFill="1" applyBorder="1" applyAlignment="1">
      <alignment vertical="center" wrapText="1"/>
    </xf>
    <xf numFmtId="0" fontId="11" fillId="10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/>
    </xf>
    <xf numFmtId="49" fontId="10" fillId="10" borderId="1" xfId="0" applyNumberFormat="1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left" vertical="center"/>
    </xf>
    <xf numFmtId="0" fontId="4" fillId="10" borderId="0" xfId="0" applyFont="1" applyFill="1" applyAlignment="1">
      <alignment vertical="center"/>
    </xf>
    <xf numFmtId="0" fontId="4" fillId="9" borderId="1" xfId="0" applyFont="1" applyFill="1" applyBorder="1"/>
    <xf numFmtId="0" fontId="4" fillId="9" borderId="1" xfId="0" applyFont="1" applyFill="1" applyBorder="1" applyAlignment="1">
      <alignment horizontal="left"/>
    </xf>
    <xf numFmtId="0" fontId="4" fillId="9" borderId="1" xfId="0" applyFont="1" applyFill="1" applyBorder="1" applyAlignment="1">
      <alignment horizontal="right"/>
    </xf>
    <xf numFmtId="0" fontId="4" fillId="11" borderId="1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right"/>
    </xf>
    <xf numFmtId="0" fontId="4" fillId="11" borderId="1" xfId="0" applyFont="1" applyFill="1" applyBorder="1"/>
    <xf numFmtId="0" fontId="4" fillId="11" borderId="1" xfId="0" applyFont="1" applyFill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3" xfId="0" applyFont="1" applyBorder="1"/>
    <xf numFmtId="0" fontId="4" fillId="0" borderId="5" xfId="0" applyFont="1" applyBorder="1" applyAlignment="1">
      <alignment horizontal="left"/>
    </xf>
    <xf numFmtId="0" fontId="4" fillId="0" borderId="5" xfId="0" applyFont="1" applyBorder="1"/>
    <xf numFmtId="0" fontId="4" fillId="0" borderId="5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4" fillId="11" borderId="3" xfId="0" applyFont="1" applyFill="1" applyBorder="1" applyAlignment="1">
      <alignment horizontal="left"/>
    </xf>
    <xf numFmtId="0" fontId="4" fillId="11" borderId="3" xfId="0" applyFont="1" applyFill="1" applyBorder="1"/>
    <xf numFmtId="0" fontId="4" fillId="11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4" fillId="0" borderId="0" xfId="0" applyFont="1" applyFill="1"/>
    <xf numFmtId="0" fontId="4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/>
    </xf>
    <xf numFmtId="0" fontId="13" fillId="12" borderId="1" xfId="0" applyFont="1" applyFill="1" applyBorder="1" applyAlignment="1">
      <alignment vertical="center"/>
    </xf>
    <xf numFmtId="0" fontId="4" fillId="11" borderId="1" xfId="0" applyFont="1" applyFill="1" applyBorder="1" applyAlignment="1">
      <alignment vertical="center" wrapText="1"/>
    </xf>
    <xf numFmtId="49" fontId="10" fillId="11" borderId="1" xfId="0" quotePrefix="1" applyNumberFormat="1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21" fontId="4" fillId="4" borderId="1" xfId="0" applyNumberFormat="1" applyFont="1" applyFill="1" applyBorder="1" applyAlignment="1">
      <alignment vertical="center"/>
    </xf>
  </cellXfs>
  <cellStyles count="1">
    <cellStyle name="표준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198"/>
  <sheetViews>
    <sheetView tabSelected="1" workbookViewId="0">
      <pane ySplit="4" topLeftCell="A29" activePane="bottomLeft" state="frozen"/>
      <selection pane="bottomLeft" activeCell="E53" sqref="E53"/>
    </sheetView>
  </sheetViews>
  <sheetFormatPr defaultRowHeight="12"/>
  <cols>
    <col min="1" max="1" width="9.875" style="3" customWidth="1"/>
    <col min="2" max="2" width="16.625" style="3" bestFit="1" customWidth="1"/>
    <col min="3" max="3" width="10.25" style="3" bestFit="1" customWidth="1"/>
    <col min="4" max="4" width="20.375" style="3" bestFit="1" customWidth="1"/>
    <col min="5" max="5" width="18.125" style="3" bestFit="1" customWidth="1"/>
    <col min="6" max="6" width="79" style="3" bestFit="1" customWidth="1"/>
    <col min="7" max="7" width="18.375" style="3" customWidth="1"/>
    <col min="8" max="8" width="18.875" style="3" customWidth="1"/>
    <col min="9" max="9" width="8" style="61" bestFit="1" customWidth="1"/>
    <col min="10" max="16384" width="9" style="3"/>
  </cols>
  <sheetData>
    <row r="1" spans="1:9">
      <c r="A1" s="1" t="s">
        <v>1</v>
      </c>
      <c r="B1" s="27" t="s">
        <v>133</v>
      </c>
      <c r="C1" s="1" t="s">
        <v>3</v>
      </c>
      <c r="D1" s="2" t="s">
        <v>52</v>
      </c>
      <c r="E1" s="2" t="s">
        <v>58</v>
      </c>
      <c r="F1" s="2" t="s">
        <v>83</v>
      </c>
      <c r="G1" s="2" t="s">
        <v>386</v>
      </c>
      <c r="H1" s="2" t="s">
        <v>387</v>
      </c>
      <c r="I1" s="1" t="s">
        <v>2188</v>
      </c>
    </row>
    <row r="2" spans="1:9">
      <c r="A2" s="1" t="s">
        <v>2</v>
      </c>
      <c r="B2" s="27" t="s">
        <v>133</v>
      </c>
      <c r="C2" s="1" t="s">
        <v>8</v>
      </c>
      <c r="D2" s="2" t="s">
        <v>53</v>
      </c>
      <c r="E2" s="2" t="s">
        <v>59</v>
      </c>
      <c r="F2" s="2" t="s">
        <v>26</v>
      </c>
      <c r="G2" s="2" t="s">
        <v>26</v>
      </c>
      <c r="H2" s="2" t="s">
        <v>26</v>
      </c>
      <c r="I2" s="1" t="s">
        <v>35</v>
      </c>
    </row>
    <row r="3" spans="1:9">
      <c r="A3" s="1" t="s">
        <v>0</v>
      </c>
      <c r="B3" s="27" t="s">
        <v>133</v>
      </c>
      <c r="C3" s="1" t="s">
        <v>0</v>
      </c>
      <c r="D3" s="2" t="s">
        <v>54</v>
      </c>
      <c r="E3" s="2" t="s">
        <v>60</v>
      </c>
      <c r="F3" s="2" t="s">
        <v>7</v>
      </c>
      <c r="G3" s="2" t="s">
        <v>7</v>
      </c>
      <c r="H3" s="2" t="s">
        <v>7</v>
      </c>
      <c r="I3" s="1" t="s">
        <v>7</v>
      </c>
    </row>
    <row r="4" spans="1:9">
      <c r="A4" s="1" t="s">
        <v>50</v>
      </c>
      <c r="B4" s="27" t="s">
        <v>134</v>
      </c>
      <c r="C4" s="1" t="s">
        <v>6</v>
      </c>
      <c r="D4" s="2" t="s">
        <v>55</v>
      </c>
      <c r="E4" s="2" t="s">
        <v>62</v>
      </c>
      <c r="F4" s="2" t="s">
        <v>84</v>
      </c>
      <c r="G4" s="2" t="s">
        <v>388</v>
      </c>
      <c r="H4" s="2" t="s">
        <v>389</v>
      </c>
      <c r="I4" s="1" t="s">
        <v>2189</v>
      </c>
    </row>
    <row r="5" spans="1:9" s="13" customFormat="1">
      <c r="A5" s="22" t="s">
        <v>384</v>
      </c>
      <c r="B5" s="12"/>
      <c r="C5" s="23"/>
      <c r="D5" s="12"/>
      <c r="E5" s="15"/>
      <c r="F5" s="15"/>
      <c r="G5" s="54"/>
      <c r="H5" s="54"/>
      <c r="I5" s="30"/>
    </row>
    <row r="6" spans="1:9">
      <c r="A6" s="18" t="str">
        <f>RIGHT(C6,6)&amp;"10"</f>
        <v>32000110</v>
      </c>
      <c r="B6" s="14" t="s">
        <v>108</v>
      </c>
      <c r="C6" s="4">
        <v>1010320001</v>
      </c>
      <c r="D6" s="14" t="s">
        <v>160</v>
      </c>
      <c r="E6" s="18" t="s">
        <v>64</v>
      </c>
      <c r="F6" s="18" t="s">
        <v>1259</v>
      </c>
      <c r="G6" s="47" t="s">
        <v>406</v>
      </c>
      <c r="H6" s="47" t="s">
        <v>401</v>
      </c>
      <c r="I6" s="14" t="b">
        <v>0</v>
      </c>
    </row>
    <row r="7" spans="1:9">
      <c r="A7" s="18" t="str">
        <f>RIGHT(C7,6)&amp;"10"</f>
        <v>91000210</v>
      </c>
      <c r="B7" s="14" t="s">
        <v>85</v>
      </c>
      <c r="C7" s="4">
        <v>1010910002</v>
      </c>
      <c r="D7" s="14" t="s">
        <v>1238</v>
      </c>
      <c r="E7" s="18" t="s">
        <v>190</v>
      </c>
      <c r="F7" s="18" t="s">
        <v>1239</v>
      </c>
      <c r="G7" s="47" t="s">
        <v>397</v>
      </c>
      <c r="H7" s="47" t="s">
        <v>405</v>
      </c>
      <c r="I7" s="14" t="b">
        <v>0</v>
      </c>
    </row>
    <row r="8" spans="1:9">
      <c r="A8" s="18" t="str">
        <f t="shared" ref="A8:A53" si="0">RIGHT(C8,6)&amp;"10"</f>
        <v>71000110</v>
      </c>
      <c r="B8" s="14" t="s">
        <v>86</v>
      </c>
      <c r="C8" s="4">
        <v>1010710001</v>
      </c>
      <c r="D8" s="14" t="s">
        <v>136</v>
      </c>
      <c r="E8" s="18" t="s">
        <v>191</v>
      </c>
      <c r="F8" s="18" t="s">
        <v>1240</v>
      </c>
      <c r="G8" s="47" t="s">
        <v>398</v>
      </c>
      <c r="H8" s="47" t="s">
        <v>399</v>
      </c>
      <c r="I8" s="14" t="b">
        <v>0</v>
      </c>
    </row>
    <row r="9" spans="1:9">
      <c r="A9" s="18" t="str">
        <f t="shared" si="0"/>
        <v>71000210</v>
      </c>
      <c r="B9" s="14" t="s">
        <v>87</v>
      </c>
      <c r="C9" s="4">
        <v>1010710002</v>
      </c>
      <c r="D9" s="14" t="s">
        <v>137</v>
      </c>
      <c r="E9" s="18" t="s">
        <v>192</v>
      </c>
      <c r="F9" s="18" t="s">
        <v>1241</v>
      </c>
      <c r="G9" s="47" t="s">
        <v>399</v>
      </c>
      <c r="H9" s="47" t="s">
        <v>402</v>
      </c>
      <c r="I9" s="14" t="b">
        <v>0</v>
      </c>
    </row>
    <row r="10" spans="1:9">
      <c r="A10" s="18" t="str">
        <f t="shared" si="0"/>
        <v>71000310</v>
      </c>
      <c r="B10" s="14" t="s">
        <v>88</v>
      </c>
      <c r="C10" s="4">
        <v>1010710003</v>
      </c>
      <c r="D10" s="14" t="s">
        <v>138</v>
      </c>
      <c r="E10" s="18" t="s">
        <v>193</v>
      </c>
      <c r="F10" s="18" t="s">
        <v>1242</v>
      </c>
      <c r="G10" s="47" t="s">
        <v>400</v>
      </c>
      <c r="H10" s="47" t="s">
        <v>405</v>
      </c>
      <c r="I10" s="14" t="b">
        <v>0</v>
      </c>
    </row>
    <row r="11" spans="1:9">
      <c r="A11" s="18" t="str">
        <f t="shared" si="0"/>
        <v>51000210</v>
      </c>
      <c r="B11" s="14" t="s">
        <v>90</v>
      </c>
      <c r="C11" s="4">
        <v>1010510002</v>
      </c>
      <c r="D11" s="14" t="s">
        <v>140</v>
      </c>
      <c r="E11" s="18" t="s">
        <v>195</v>
      </c>
      <c r="F11" s="18" t="s">
        <v>1243</v>
      </c>
      <c r="G11" s="47" t="s">
        <v>401</v>
      </c>
      <c r="H11" s="47" t="s">
        <v>398</v>
      </c>
      <c r="I11" s="14" t="b">
        <v>0</v>
      </c>
    </row>
    <row r="12" spans="1:9">
      <c r="A12" s="18" t="str">
        <f t="shared" si="0"/>
        <v>31000110</v>
      </c>
      <c r="B12" s="14" t="s">
        <v>91</v>
      </c>
      <c r="C12" s="4">
        <v>1010310001</v>
      </c>
      <c r="D12" s="14" t="s">
        <v>141</v>
      </c>
      <c r="E12" s="18" t="s">
        <v>188</v>
      </c>
      <c r="F12" s="18" t="s">
        <v>1244</v>
      </c>
      <c r="G12" s="47" t="s">
        <v>399</v>
      </c>
      <c r="H12" s="47" t="s">
        <v>406</v>
      </c>
      <c r="I12" s="14" t="b">
        <v>0</v>
      </c>
    </row>
    <row r="13" spans="1:9">
      <c r="A13" s="18" t="str">
        <f t="shared" si="0"/>
        <v>92000210</v>
      </c>
      <c r="B13" s="14" t="s">
        <v>92</v>
      </c>
      <c r="C13" s="4">
        <v>1010920002</v>
      </c>
      <c r="D13" s="14" t="s">
        <v>144</v>
      </c>
      <c r="E13" s="18" t="s">
        <v>198</v>
      </c>
      <c r="F13" s="18" t="s">
        <v>1297</v>
      </c>
      <c r="G13" s="47" t="s">
        <v>402</v>
      </c>
      <c r="H13" s="47" t="s">
        <v>397</v>
      </c>
      <c r="I13" s="14" t="b">
        <v>0</v>
      </c>
    </row>
    <row r="14" spans="1:9">
      <c r="A14" s="18" t="str">
        <f t="shared" si="0"/>
        <v>92000310</v>
      </c>
      <c r="B14" s="14" t="s">
        <v>93</v>
      </c>
      <c r="C14" s="4">
        <v>1010920003</v>
      </c>
      <c r="D14" s="14" t="s">
        <v>145</v>
      </c>
      <c r="E14" s="18" t="s">
        <v>199</v>
      </c>
      <c r="F14" s="18" t="s">
        <v>1245</v>
      </c>
      <c r="G14" s="47" t="s">
        <v>400</v>
      </c>
      <c r="H14" s="47" t="s">
        <v>403</v>
      </c>
      <c r="I14" s="14" t="b">
        <v>0</v>
      </c>
    </row>
    <row r="15" spans="1:9">
      <c r="A15" s="18" t="str">
        <f t="shared" si="0"/>
        <v>92000410</v>
      </c>
      <c r="B15" s="14" t="s">
        <v>94</v>
      </c>
      <c r="C15" s="4">
        <v>1010920004</v>
      </c>
      <c r="D15" s="14" t="s">
        <v>146</v>
      </c>
      <c r="E15" s="18" t="s">
        <v>200</v>
      </c>
      <c r="F15" s="18" t="s">
        <v>1246</v>
      </c>
      <c r="G15" s="47" t="s">
        <v>402</v>
      </c>
      <c r="H15" s="47" t="s">
        <v>404</v>
      </c>
      <c r="I15" s="14" t="b">
        <v>0</v>
      </c>
    </row>
    <row r="16" spans="1:9">
      <c r="A16" s="18" t="str">
        <f t="shared" si="0"/>
        <v>72000110</v>
      </c>
      <c r="B16" s="14" t="s">
        <v>96</v>
      </c>
      <c r="C16" s="4">
        <v>1010720001</v>
      </c>
      <c r="D16" s="14" t="s">
        <v>148</v>
      </c>
      <c r="E16" s="18" t="s">
        <v>202</v>
      </c>
      <c r="F16" s="18" t="s">
        <v>1247</v>
      </c>
      <c r="G16" s="47" t="s">
        <v>401</v>
      </c>
      <c r="H16" s="47" t="s">
        <v>406</v>
      </c>
      <c r="I16" s="14" t="b">
        <v>0</v>
      </c>
    </row>
    <row r="17" spans="1:9" s="9" customFormat="1">
      <c r="A17" s="20" t="s">
        <v>2085</v>
      </c>
      <c r="B17" s="16" t="s">
        <v>409</v>
      </c>
      <c r="C17" s="8"/>
      <c r="D17" s="16" t="s">
        <v>149</v>
      </c>
      <c r="E17" s="20" t="s">
        <v>203</v>
      </c>
      <c r="F17" s="20" t="s">
        <v>1248</v>
      </c>
      <c r="G17" s="48" t="s">
        <v>401</v>
      </c>
      <c r="H17" s="48" t="s">
        <v>397</v>
      </c>
      <c r="I17" s="14" t="b">
        <v>0</v>
      </c>
    </row>
    <row r="18" spans="1:9">
      <c r="A18" s="18" t="str">
        <f t="shared" si="0"/>
        <v>72000310</v>
      </c>
      <c r="B18" s="14" t="s">
        <v>98</v>
      </c>
      <c r="C18" s="4">
        <v>1010720003</v>
      </c>
      <c r="D18" s="14" t="s">
        <v>150</v>
      </c>
      <c r="E18" s="18" t="s">
        <v>204</v>
      </c>
      <c r="F18" s="18" t="s">
        <v>1249</v>
      </c>
      <c r="G18" s="47" t="s">
        <v>403</v>
      </c>
      <c r="H18" s="47" t="s">
        <v>404</v>
      </c>
      <c r="I18" s="14" t="b">
        <v>0</v>
      </c>
    </row>
    <row r="19" spans="1:9">
      <c r="A19" s="18" t="str">
        <f t="shared" si="0"/>
        <v>72000410</v>
      </c>
      <c r="B19" s="14" t="s">
        <v>99</v>
      </c>
      <c r="C19" s="4">
        <v>1010720004</v>
      </c>
      <c r="D19" s="14" t="s">
        <v>151</v>
      </c>
      <c r="E19" s="18" t="s">
        <v>205</v>
      </c>
      <c r="F19" s="18" t="s">
        <v>1250</v>
      </c>
      <c r="G19" s="47" t="s">
        <v>397</v>
      </c>
      <c r="H19" s="47" t="s">
        <v>406</v>
      </c>
      <c r="I19" s="14" t="b">
        <v>0</v>
      </c>
    </row>
    <row r="20" spans="1:9">
      <c r="A20" s="18" t="str">
        <f t="shared" si="0"/>
        <v>72000510</v>
      </c>
      <c r="B20" s="14" t="s">
        <v>100</v>
      </c>
      <c r="C20" s="4">
        <v>1010720005</v>
      </c>
      <c r="D20" s="14" t="s">
        <v>152</v>
      </c>
      <c r="E20" s="18" t="s">
        <v>206</v>
      </c>
      <c r="F20" s="18" t="s">
        <v>1251</v>
      </c>
      <c r="G20" s="47" t="s">
        <v>404</v>
      </c>
      <c r="H20" s="47" t="s">
        <v>403</v>
      </c>
      <c r="I20" s="14" t="b">
        <v>0</v>
      </c>
    </row>
    <row r="21" spans="1:9">
      <c r="A21" s="18" t="str">
        <f t="shared" si="0"/>
        <v>72000610</v>
      </c>
      <c r="B21" s="14" t="s">
        <v>101</v>
      </c>
      <c r="C21" s="4">
        <v>1010720006</v>
      </c>
      <c r="D21" s="14" t="s">
        <v>153</v>
      </c>
      <c r="E21" s="18" t="s">
        <v>207</v>
      </c>
      <c r="F21" s="18" t="s">
        <v>1252</v>
      </c>
      <c r="G21" s="47" t="s">
        <v>403</v>
      </c>
      <c r="H21" s="47" t="s">
        <v>397</v>
      </c>
      <c r="I21" s="14" t="b">
        <v>0</v>
      </c>
    </row>
    <row r="22" spans="1:9">
      <c r="A22" s="18" t="str">
        <f t="shared" si="0"/>
        <v>72000710</v>
      </c>
      <c r="B22" s="14" t="s">
        <v>102</v>
      </c>
      <c r="C22" s="4">
        <v>1010720007</v>
      </c>
      <c r="D22" s="14" t="s">
        <v>154</v>
      </c>
      <c r="E22" s="18" t="s">
        <v>208</v>
      </c>
      <c r="F22" s="18" t="s">
        <v>1253</v>
      </c>
      <c r="G22" s="47" t="s">
        <v>405</v>
      </c>
      <c r="H22" s="47" t="s">
        <v>399</v>
      </c>
      <c r="I22" s="14" t="b">
        <v>0</v>
      </c>
    </row>
    <row r="23" spans="1:9">
      <c r="A23" s="18" t="str">
        <f t="shared" si="0"/>
        <v>52000110</v>
      </c>
      <c r="B23" s="14" t="s">
        <v>103</v>
      </c>
      <c r="C23" s="4">
        <v>1010520001</v>
      </c>
      <c r="D23" s="14" t="s">
        <v>155</v>
      </c>
      <c r="E23" s="18" t="s">
        <v>209</v>
      </c>
      <c r="F23" s="18" t="s">
        <v>1254</v>
      </c>
      <c r="G23" s="47" t="s">
        <v>398</v>
      </c>
      <c r="H23" s="47" t="s">
        <v>404</v>
      </c>
      <c r="I23" s="14" t="b">
        <v>0</v>
      </c>
    </row>
    <row r="24" spans="1:9">
      <c r="A24" s="18" t="str">
        <f t="shared" si="0"/>
        <v>52000210</v>
      </c>
      <c r="B24" s="14" t="s">
        <v>104</v>
      </c>
      <c r="C24" s="4">
        <v>1010520002</v>
      </c>
      <c r="D24" s="14" t="s">
        <v>156</v>
      </c>
      <c r="E24" s="18" t="s">
        <v>210</v>
      </c>
      <c r="F24" s="18" t="s">
        <v>1255</v>
      </c>
      <c r="G24" s="47" t="s">
        <v>398</v>
      </c>
      <c r="H24" s="47" t="s">
        <v>403</v>
      </c>
      <c r="I24" s="14" t="b">
        <v>0</v>
      </c>
    </row>
    <row r="25" spans="1:9">
      <c r="A25" s="18" t="str">
        <f t="shared" si="0"/>
        <v>52000310</v>
      </c>
      <c r="B25" s="14" t="s">
        <v>105</v>
      </c>
      <c r="C25" s="4">
        <v>1010520003</v>
      </c>
      <c r="D25" s="14" t="s">
        <v>157</v>
      </c>
      <c r="E25" s="18" t="s">
        <v>211</v>
      </c>
      <c r="F25" s="18" t="s">
        <v>1256</v>
      </c>
      <c r="G25" s="47" t="s">
        <v>405</v>
      </c>
      <c r="H25" s="47" t="s">
        <v>402</v>
      </c>
      <c r="I25" s="14" t="b">
        <v>0</v>
      </c>
    </row>
    <row r="26" spans="1:9">
      <c r="A26" s="18" t="str">
        <f t="shared" si="0"/>
        <v>52000410</v>
      </c>
      <c r="B26" s="14" t="s">
        <v>106</v>
      </c>
      <c r="C26" s="4">
        <v>1010520004</v>
      </c>
      <c r="D26" s="14" t="s">
        <v>158</v>
      </c>
      <c r="E26" s="18" t="s">
        <v>212</v>
      </c>
      <c r="F26" s="18" t="s">
        <v>1257</v>
      </c>
      <c r="G26" s="47" t="s">
        <v>401</v>
      </c>
      <c r="H26" s="47" t="s">
        <v>403</v>
      </c>
      <c r="I26" s="14" t="b">
        <v>0</v>
      </c>
    </row>
    <row r="27" spans="1:9">
      <c r="A27" s="18" t="str">
        <f t="shared" si="0"/>
        <v>52000510</v>
      </c>
      <c r="B27" s="14" t="s">
        <v>107</v>
      </c>
      <c r="C27" s="4">
        <v>1010520005</v>
      </c>
      <c r="D27" s="14" t="s">
        <v>159</v>
      </c>
      <c r="E27" s="18" t="s">
        <v>213</v>
      </c>
      <c r="F27" s="18" t="s">
        <v>1258</v>
      </c>
      <c r="G27" s="47" t="s">
        <v>399</v>
      </c>
      <c r="H27" s="47" t="s">
        <v>400</v>
      </c>
      <c r="I27" s="14" t="b">
        <v>0</v>
      </c>
    </row>
    <row r="28" spans="1:9">
      <c r="A28" s="18" t="str">
        <f t="shared" si="0"/>
        <v>32000210</v>
      </c>
      <c r="B28" s="14" t="s">
        <v>109</v>
      </c>
      <c r="C28" s="4">
        <v>1010320002</v>
      </c>
      <c r="D28" s="14" t="s">
        <v>161</v>
      </c>
      <c r="E28" s="18" t="s">
        <v>214</v>
      </c>
      <c r="F28" s="18" t="s">
        <v>1260</v>
      </c>
      <c r="G28" s="47" t="s">
        <v>397</v>
      </c>
      <c r="H28" s="47" t="s">
        <v>399</v>
      </c>
      <c r="I28" s="14" t="b">
        <v>0</v>
      </c>
    </row>
    <row r="29" spans="1:9" s="9" customFormat="1">
      <c r="A29" s="94" t="s">
        <v>1982</v>
      </c>
      <c r="B29" s="106" t="s">
        <v>407</v>
      </c>
      <c r="C29" s="112">
        <v>1010930001</v>
      </c>
      <c r="D29" s="106" t="s">
        <v>163</v>
      </c>
      <c r="E29" s="94" t="s">
        <v>216</v>
      </c>
      <c r="F29" s="94" t="s">
        <v>1261</v>
      </c>
      <c r="G29" s="113" t="s">
        <v>406</v>
      </c>
      <c r="H29" s="113" t="s">
        <v>400</v>
      </c>
      <c r="I29" s="14" t="b">
        <v>0</v>
      </c>
    </row>
    <row r="30" spans="1:9" s="9" customFormat="1">
      <c r="A30" s="20" t="s">
        <v>2086</v>
      </c>
      <c r="B30" s="16" t="s">
        <v>408</v>
      </c>
      <c r="C30" s="8"/>
      <c r="D30" s="16" t="s">
        <v>165</v>
      </c>
      <c r="E30" s="20" t="s">
        <v>218</v>
      </c>
      <c r="F30" s="20" t="s">
        <v>1262</v>
      </c>
      <c r="G30" s="48" t="s">
        <v>402</v>
      </c>
      <c r="H30" s="48" t="s">
        <v>403</v>
      </c>
      <c r="I30" s="14" t="b">
        <v>0</v>
      </c>
    </row>
    <row r="31" spans="1:9">
      <c r="A31" s="18" t="str">
        <f t="shared" si="0"/>
        <v>93000510</v>
      </c>
      <c r="B31" s="14" t="s">
        <v>114</v>
      </c>
      <c r="C31" s="4">
        <v>1010930005</v>
      </c>
      <c r="D31" s="14" t="s">
        <v>167</v>
      </c>
      <c r="E31" s="18" t="s">
        <v>65</v>
      </c>
      <c r="F31" s="18" t="s">
        <v>1263</v>
      </c>
      <c r="G31" s="47" t="s">
        <v>404</v>
      </c>
      <c r="H31" s="47" t="s">
        <v>402</v>
      </c>
      <c r="I31" s="14" t="b">
        <v>0</v>
      </c>
    </row>
    <row r="32" spans="1:9">
      <c r="A32" s="18" t="str">
        <f t="shared" si="0"/>
        <v>73000110</v>
      </c>
      <c r="B32" s="14" t="s">
        <v>115</v>
      </c>
      <c r="C32" s="4">
        <v>1010730001</v>
      </c>
      <c r="D32" s="14" t="s">
        <v>168</v>
      </c>
      <c r="E32" s="18" t="s">
        <v>220</v>
      </c>
      <c r="F32" s="18" t="s">
        <v>1264</v>
      </c>
      <c r="G32" s="47" t="s">
        <v>403</v>
      </c>
      <c r="H32" s="47" t="s">
        <v>405</v>
      </c>
      <c r="I32" s="14" t="b">
        <v>0</v>
      </c>
    </row>
    <row r="33" spans="1:9">
      <c r="A33" s="18" t="str">
        <f t="shared" si="0"/>
        <v>73000210</v>
      </c>
      <c r="B33" s="14" t="s">
        <v>116</v>
      </c>
      <c r="C33" s="4">
        <v>1010730002</v>
      </c>
      <c r="D33" s="14" t="s">
        <v>169</v>
      </c>
      <c r="E33" s="18" t="s">
        <v>221</v>
      </c>
      <c r="F33" s="18" t="s">
        <v>1265</v>
      </c>
      <c r="G33" s="47" t="s">
        <v>406</v>
      </c>
      <c r="H33" s="47" t="s">
        <v>403</v>
      </c>
      <c r="I33" s="14" t="b">
        <v>0</v>
      </c>
    </row>
    <row r="34" spans="1:9">
      <c r="A34" s="18" t="str">
        <f t="shared" si="0"/>
        <v>73000310</v>
      </c>
      <c r="B34" s="14" t="s">
        <v>1448</v>
      </c>
      <c r="C34" s="4">
        <v>1010730003</v>
      </c>
      <c r="D34" s="14" t="s">
        <v>170</v>
      </c>
      <c r="E34" s="18" t="s">
        <v>222</v>
      </c>
      <c r="F34" s="18" t="s">
        <v>1266</v>
      </c>
      <c r="G34" s="47" t="s">
        <v>398</v>
      </c>
      <c r="H34" s="47" t="s">
        <v>400</v>
      </c>
      <c r="I34" s="14" t="b">
        <v>0</v>
      </c>
    </row>
    <row r="35" spans="1:9">
      <c r="A35" s="18" t="str">
        <f t="shared" si="0"/>
        <v>73000410</v>
      </c>
      <c r="B35" s="14" t="s">
        <v>118</v>
      </c>
      <c r="C35" s="4">
        <v>1010730004</v>
      </c>
      <c r="D35" s="14" t="s">
        <v>171</v>
      </c>
      <c r="E35" s="18" t="s">
        <v>223</v>
      </c>
      <c r="F35" s="18" t="s">
        <v>1267</v>
      </c>
      <c r="G35" s="47" t="s">
        <v>405</v>
      </c>
      <c r="H35" s="47" t="s">
        <v>397</v>
      </c>
      <c r="I35" s="14" t="b">
        <v>0</v>
      </c>
    </row>
    <row r="36" spans="1:9">
      <c r="A36" s="18" t="str">
        <f t="shared" si="0"/>
        <v>73000510</v>
      </c>
      <c r="B36" s="14" t="s">
        <v>119</v>
      </c>
      <c r="C36" s="4">
        <v>1010730005</v>
      </c>
      <c r="D36" s="14" t="s">
        <v>172</v>
      </c>
      <c r="E36" s="18" t="s">
        <v>224</v>
      </c>
      <c r="F36" s="18" t="s">
        <v>1268</v>
      </c>
      <c r="G36" s="47" t="s">
        <v>397</v>
      </c>
      <c r="H36" s="47" t="s">
        <v>398</v>
      </c>
      <c r="I36" s="14" t="b">
        <v>0</v>
      </c>
    </row>
    <row r="37" spans="1:9">
      <c r="A37" s="18" t="str">
        <f t="shared" si="0"/>
        <v>53000110</v>
      </c>
      <c r="B37" s="14" t="s">
        <v>436</v>
      </c>
      <c r="C37" s="4">
        <v>1010530001</v>
      </c>
      <c r="D37" s="14" t="s">
        <v>173</v>
      </c>
      <c r="E37" s="18" t="s">
        <v>225</v>
      </c>
      <c r="F37" s="18" t="s">
        <v>1269</v>
      </c>
      <c r="G37" s="47" t="s">
        <v>404</v>
      </c>
      <c r="H37" s="47" t="s">
        <v>400</v>
      </c>
      <c r="I37" s="14" t="b">
        <v>0</v>
      </c>
    </row>
    <row r="38" spans="1:9">
      <c r="A38" s="18" t="str">
        <f t="shared" si="0"/>
        <v>53000210</v>
      </c>
      <c r="B38" s="14" t="s">
        <v>121</v>
      </c>
      <c r="C38" s="4">
        <v>1010530002</v>
      </c>
      <c r="D38" s="14" t="s">
        <v>174</v>
      </c>
      <c r="E38" s="18" t="s">
        <v>66</v>
      </c>
      <c r="F38" s="18" t="s">
        <v>1270</v>
      </c>
      <c r="G38" s="47" t="s">
        <v>406</v>
      </c>
      <c r="H38" s="47" t="s">
        <v>404</v>
      </c>
      <c r="I38" s="14" t="b">
        <v>0</v>
      </c>
    </row>
    <row r="39" spans="1:9">
      <c r="A39" s="18" t="str">
        <f t="shared" si="0"/>
        <v>53000310</v>
      </c>
      <c r="B39" s="14" t="s">
        <v>122</v>
      </c>
      <c r="C39" s="4">
        <v>1010530003</v>
      </c>
      <c r="D39" s="14" t="s">
        <v>175</v>
      </c>
      <c r="E39" s="18" t="s">
        <v>226</v>
      </c>
      <c r="F39" s="18" t="s">
        <v>1271</v>
      </c>
      <c r="G39" s="47" t="s">
        <v>405</v>
      </c>
      <c r="H39" s="47" t="s">
        <v>406</v>
      </c>
      <c r="I39" s="14" t="b">
        <v>0</v>
      </c>
    </row>
    <row r="40" spans="1:9">
      <c r="A40" s="18" t="str">
        <f t="shared" si="0"/>
        <v>53000410</v>
      </c>
      <c r="B40" s="14" t="s">
        <v>123</v>
      </c>
      <c r="C40" s="4">
        <v>1010530004</v>
      </c>
      <c r="D40" s="14" t="s">
        <v>176</v>
      </c>
      <c r="E40" s="18" t="s">
        <v>227</v>
      </c>
      <c r="F40" s="18" t="s">
        <v>1272</v>
      </c>
      <c r="G40" s="47" t="s">
        <v>399</v>
      </c>
      <c r="H40" s="47" t="s">
        <v>398</v>
      </c>
      <c r="I40" s="14" t="b">
        <v>0</v>
      </c>
    </row>
    <row r="41" spans="1:9">
      <c r="A41" s="18" t="str">
        <f t="shared" si="0"/>
        <v>33000110</v>
      </c>
      <c r="B41" s="14" t="s">
        <v>124</v>
      </c>
      <c r="C41" s="4">
        <v>1010330001</v>
      </c>
      <c r="D41" s="14" t="s">
        <v>177</v>
      </c>
      <c r="E41" s="18" t="s">
        <v>63</v>
      </c>
      <c r="F41" s="19" t="s">
        <v>1273</v>
      </c>
      <c r="G41" s="4" t="s">
        <v>402</v>
      </c>
      <c r="H41" s="4" t="s">
        <v>403</v>
      </c>
      <c r="I41" s="14" t="b">
        <v>0</v>
      </c>
    </row>
    <row r="42" spans="1:9">
      <c r="A42" s="18" t="str">
        <f t="shared" si="0"/>
        <v>33000210</v>
      </c>
      <c r="B42" s="14" t="s">
        <v>125</v>
      </c>
      <c r="C42" s="4">
        <v>1010330002</v>
      </c>
      <c r="D42" s="14" t="s">
        <v>178</v>
      </c>
      <c r="E42" s="18" t="s">
        <v>61</v>
      </c>
      <c r="F42" s="18" t="s">
        <v>1274</v>
      </c>
      <c r="G42" s="47" t="s">
        <v>400</v>
      </c>
      <c r="H42" s="47" t="s">
        <v>399</v>
      </c>
      <c r="I42" s="14" t="b">
        <v>0</v>
      </c>
    </row>
    <row r="43" spans="1:9" s="111" customFormat="1">
      <c r="A43" s="107" t="str">
        <f t="shared" si="0"/>
        <v>94000110</v>
      </c>
      <c r="B43" s="108" t="s">
        <v>569</v>
      </c>
      <c r="C43" s="109">
        <v>1010940001</v>
      </c>
      <c r="D43" s="108" t="s">
        <v>180</v>
      </c>
      <c r="E43" s="107" t="s">
        <v>229</v>
      </c>
      <c r="F43" s="107" t="s">
        <v>1275</v>
      </c>
      <c r="G43" s="110" t="s">
        <v>400</v>
      </c>
      <c r="H43" s="110" t="s">
        <v>402</v>
      </c>
      <c r="I43" s="14" t="b">
        <v>0</v>
      </c>
    </row>
    <row r="44" spans="1:9">
      <c r="A44" s="18" t="str">
        <f t="shared" si="0"/>
        <v>94000210</v>
      </c>
      <c r="B44" s="14" t="s">
        <v>127</v>
      </c>
      <c r="C44" s="4">
        <v>1010940002</v>
      </c>
      <c r="D44" s="14" t="s">
        <v>181</v>
      </c>
      <c r="E44" s="18" t="s">
        <v>67</v>
      </c>
      <c r="F44" s="18" t="s">
        <v>1276</v>
      </c>
      <c r="G44" s="47" t="s">
        <v>404</v>
      </c>
      <c r="H44" s="47" t="s">
        <v>399</v>
      </c>
      <c r="I44" s="14" t="b">
        <v>0</v>
      </c>
    </row>
    <row r="45" spans="1:9">
      <c r="A45" s="18" t="str">
        <f t="shared" si="0"/>
        <v>94000310</v>
      </c>
      <c r="B45" s="14" t="s">
        <v>128</v>
      </c>
      <c r="C45" s="4">
        <v>1010940003</v>
      </c>
      <c r="D45" s="14" t="s">
        <v>182</v>
      </c>
      <c r="E45" s="18" t="s">
        <v>230</v>
      </c>
      <c r="F45" s="18" t="s">
        <v>1277</v>
      </c>
      <c r="G45" s="47" t="s">
        <v>400</v>
      </c>
      <c r="H45" s="47" t="s">
        <v>401</v>
      </c>
      <c r="I45" s="14" t="b">
        <v>0</v>
      </c>
    </row>
    <row r="46" spans="1:9">
      <c r="A46" s="18" t="str">
        <f t="shared" si="0"/>
        <v>74000110</v>
      </c>
      <c r="B46" s="14" t="s">
        <v>129</v>
      </c>
      <c r="C46" s="4">
        <v>1010740001</v>
      </c>
      <c r="D46" s="14" t="s">
        <v>183</v>
      </c>
      <c r="E46" s="18" t="s">
        <v>231</v>
      </c>
      <c r="F46" s="18" t="s">
        <v>1278</v>
      </c>
      <c r="G46" s="47" t="s">
        <v>404</v>
      </c>
      <c r="H46" s="47" t="s">
        <v>401</v>
      </c>
      <c r="I46" s="14" t="b">
        <v>0</v>
      </c>
    </row>
    <row r="47" spans="1:9">
      <c r="A47" s="18" t="str">
        <f t="shared" si="0"/>
        <v>54000110</v>
      </c>
      <c r="B47" s="14" t="s">
        <v>131</v>
      </c>
      <c r="C47" s="4">
        <v>1010540001</v>
      </c>
      <c r="D47" s="14" t="s">
        <v>185</v>
      </c>
      <c r="E47" s="18" t="s">
        <v>233</v>
      </c>
      <c r="F47" s="18" t="s">
        <v>1279</v>
      </c>
      <c r="G47" s="47" t="s">
        <v>401</v>
      </c>
      <c r="H47" s="47" t="s">
        <v>404</v>
      </c>
      <c r="I47" s="14" t="b">
        <v>0</v>
      </c>
    </row>
    <row r="48" spans="1:9">
      <c r="A48" s="18" t="str">
        <f t="shared" si="0"/>
        <v>34000110</v>
      </c>
      <c r="B48" s="14" t="s">
        <v>132</v>
      </c>
      <c r="C48" s="4">
        <v>1010340001</v>
      </c>
      <c r="D48" s="14" t="s">
        <v>186</v>
      </c>
      <c r="E48" s="18" t="s">
        <v>234</v>
      </c>
      <c r="F48" s="18" t="s">
        <v>1280</v>
      </c>
      <c r="G48" s="47" t="s">
        <v>403</v>
      </c>
      <c r="H48" s="47" t="s">
        <v>406</v>
      </c>
      <c r="I48" s="14" t="b">
        <v>0</v>
      </c>
    </row>
    <row r="49" spans="1:9" s="9" customFormat="1">
      <c r="A49" s="20" t="s">
        <v>1988</v>
      </c>
      <c r="B49" s="16" t="s">
        <v>248</v>
      </c>
      <c r="C49" s="118">
        <v>1010930004</v>
      </c>
      <c r="D49" s="16" t="s">
        <v>166</v>
      </c>
      <c r="E49" s="20" t="s">
        <v>219</v>
      </c>
      <c r="F49" s="20" t="s">
        <v>1281</v>
      </c>
      <c r="G49" s="47" t="s">
        <v>402</v>
      </c>
      <c r="H49" s="47" t="s">
        <v>401</v>
      </c>
      <c r="I49" s="14" t="b">
        <v>0</v>
      </c>
    </row>
    <row r="50" spans="1:9" s="9" customFormat="1">
      <c r="A50" s="20" t="s">
        <v>2087</v>
      </c>
      <c r="B50" s="16" t="s">
        <v>249</v>
      </c>
      <c r="C50" s="8"/>
      <c r="D50" s="16" t="s">
        <v>139</v>
      </c>
      <c r="E50" s="20" t="s">
        <v>194</v>
      </c>
      <c r="F50" s="20" t="s">
        <v>1282</v>
      </c>
      <c r="G50" s="47" t="s">
        <v>405</v>
      </c>
      <c r="H50" s="47" t="s">
        <v>398</v>
      </c>
      <c r="I50" s="14" t="b">
        <v>0</v>
      </c>
    </row>
    <row r="51" spans="1:9" s="111" customFormat="1" ht="12.75" customHeight="1">
      <c r="A51" s="107" t="str">
        <f t="shared" si="0"/>
        <v>92000510</v>
      </c>
      <c r="B51" s="108" t="s">
        <v>250</v>
      </c>
      <c r="C51" s="109">
        <v>1010920005</v>
      </c>
      <c r="D51" s="108" t="s">
        <v>147</v>
      </c>
      <c r="E51" s="107" t="s">
        <v>201</v>
      </c>
      <c r="F51" s="107" t="s">
        <v>1283</v>
      </c>
      <c r="G51" s="110" t="s">
        <v>403</v>
      </c>
      <c r="H51" s="110" t="s">
        <v>398</v>
      </c>
      <c r="I51" s="14" t="b">
        <v>0</v>
      </c>
    </row>
    <row r="52" spans="1:9" s="111" customFormat="1">
      <c r="A52" s="107" t="str">
        <f t="shared" si="0"/>
        <v>93000210</v>
      </c>
      <c r="B52" s="108" t="s">
        <v>251</v>
      </c>
      <c r="C52" s="109">
        <v>1010930002</v>
      </c>
      <c r="D52" s="108" t="s">
        <v>164</v>
      </c>
      <c r="E52" s="107" t="s">
        <v>217</v>
      </c>
      <c r="F52" s="107" t="s">
        <v>1284</v>
      </c>
      <c r="G52" s="110" t="s">
        <v>399</v>
      </c>
      <c r="H52" s="110" t="s">
        <v>405</v>
      </c>
      <c r="I52" s="108" t="b">
        <v>0</v>
      </c>
    </row>
    <row r="53" spans="1:9" s="111" customFormat="1">
      <c r="A53" s="107" t="str">
        <f t="shared" si="0"/>
        <v>91000110</v>
      </c>
      <c r="B53" s="108" t="s">
        <v>252</v>
      </c>
      <c r="C53" s="109">
        <v>1010910001</v>
      </c>
      <c r="D53" s="108" t="s">
        <v>135</v>
      </c>
      <c r="E53" s="107" t="s">
        <v>189</v>
      </c>
      <c r="F53" s="107" t="s">
        <v>1285</v>
      </c>
      <c r="G53" s="110" t="s">
        <v>402</v>
      </c>
      <c r="H53" s="110" t="s">
        <v>400</v>
      </c>
      <c r="I53" s="14" t="b">
        <v>0</v>
      </c>
    </row>
    <row r="54" spans="1:9" s="9" customFormat="1">
      <c r="A54" s="20" t="s">
        <v>1997</v>
      </c>
      <c r="B54" s="16" t="s">
        <v>253</v>
      </c>
      <c r="C54" s="8"/>
      <c r="D54" s="16" t="s">
        <v>143</v>
      </c>
      <c r="E54" s="20" t="s">
        <v>197</v>
      </c>
      <c r="F54" s="20" t="s">
        <v>1286</v>
      </c>
      <c r="G54" s="47" t="s">
        <v>398</v>
      </c>
      <c r="H54" s="47" t="s">
        <v>401</v>
      </c>
      <c r="I54" s="14" t="b">
        <v>0</v>
      </c>
    </row>
    <row r="55" spans="1:9" s="9" customFormat="1">
      <c r="A55" s="20" t="s">
        <v>2088</v>
      </c>
      <c r="B55" s="16" t="s">
        <v>254</v>
      </c>
      <c r="C55" s="118"/>
      <c r="D55" s="16" t="s">
        <v>184</v>
      </c>
      <c r="E55" s="20" t="s">
        <v>232</v>
      </c>
      <c r="F55" s="20" t="s">
        <v>1287</v>
      </c>
      <c r="G55" s="47" t="s">
        <v>397</v>
      </c>
      <c r="H55" s="47" t="s">
        <v>402</v>
      </c>
      <c r="I55" s="14" t="b">
        <v>0</v>
      </c>
    </row>
    <row r="56" spans="1:9" s="9" customFormat="1">
      <c r="A56" s="20" t="s">
        <v>1380</v>
      </c>
      <c r="B56" s="16" t="s">
        <v>255</v>
      </c>
      <c r="C56" s="8"/>
      <c r="D56" s="16" t="s">
        <v>1377</v>
      </c>
      <c r="E56" s="20" t="s">
        <v>1378</v>
      </c>
      <c r="F56" s="20" t="s">
        <v>1379</v>
      </c>
      <c r="G56" s="47" t="s">
        <v>406</v>
      </c>
      <c r="H56" s="47" t="s">
        <v>397</v>
      </c>
      <c r="I56" s="14" t="b">
        <v>0</v>
      </c>
    </row>
    <row r="57" spans="1:9" s="11" customFormat="1">
      <c r="A57" s="21">
        <v>1</v>
      </c>
      <c r="B57" s="17" t="s">
        <v>244</v>
      </c>
      <c r="C57" s="10"/>
      <c r="D57" s="17" t="s">
        <v>187</v>
      </c>
      <c r="E57" s="21" t="s">
        <v>235</v>
      </c>
      <c r="F57" s="21"/>
      <c r="G57" s="21"/>
      <c r="H57" s="21"/>
      <c r="I57" s="14" t="b">
        <v>0</v>
      </c>
    </row>
    <row r="58" spans="1:9" s="11" customFormat="1">
      <c r="A58" s="21">
        <v>2</v>
      </c>
      <c r="B58" s="17" t="s">
        <v>245</v>
      </c>
      <c r="C58" s="10"/>
      <c r="D58" s="17" t="s">
        <v>179</v>
      </c>
      <c r="E58" s="21" t="s">
        <v>228</v>
      </c>
      <c r="F58" s="21"/>
      <c r="G58" s="21"/>
      <c r="H58" s="21"/>
      <c r="I58" s="14" t="b">
        <v>0</v>
      </c>
    </row>
    <row r="59" spans="1:9" s="11" customFormat="1">
      <c r="A59" s="21">
        <v>3</v>
      </c>
      <c r="B59" s="17" t="s">
        <v>246</v>
      </c>
      <c r="C59" s="10"/>
      <c r="D59" s="17" t="s">
        <v>162</v>
      </c>
      <c r="E59" s="21" t="s">
        <v>215</v>
      </c>
      <c r="F59" s="21"/>
      <c r="G59" s="21"/>
      <c r="H59" s="21"/>
      <c r="I59" s="14" t="b">
        <v>0</v>
      </c>
    </row>
    <row r="60" spans="1:9" s="11" customFormat="1">
      <c r="A60" s="21">
        <v>4</v>
      </c>
      <c r="B60" s="17" t="s">
        <v>247</v>
      </c>
      <c r="C60" s="10"/>
      <c r="D60" s="17" t="s">
        <v>142</v>
      </c>
      <c r="E60" s="17" t="s">
        <v>196</v>
      </c>
      <c r="F60" s="17"/>
      <c r="G60" s="21"/>
      <c r="H60" s="21"/>
      <c r="I60" s="14" t="b">
        <v>0</v>
      </c>
    </row>
    <row r="61" spans="1:9" s="7" customFormat="1">
      <c r="A61" s="55">
        <v>10000110</v>
      </c>
      <c r="B61" s="34" t="s">
        <v>417</v>
      </c>
      <c r="C61" s="56"/>
      <c r="D61" s="34" t="s">
        <v>418</v>
      </c>
      <c r="E61" s="34" t="s">
        <v>1352</v>
      </c>
      <c r="F61" s="34" t="s">
        <v>2473</v>
      </c>
      <c r="G61" s="46"/>
      <c r="H61" s="46"/>
      <c r="I61" s="14" t="b">
        <v>0</v>
      </c>
    </row>
    <row r="62" spans="1:9" s="7" customFormat="1">
      <c r="A62" s="55">
        <v>10000210</v>
      </c>
      <c r="B62" s="57" t="s">
        <v>422</v>
      </c>
      <c r="C62" s="6"/>
      <c r="D62" s="57" t="s">
        <v>419</v>
      </c>
      <c r="E62" s="6" t="s">
        <v>426</v>
      </c>
      <c r="F62" s="6" t="s">
        <v>2474</v>
      </c>
      <c r="G62" s="6"/>
      <c r="H62" s="6"/>
      <c r="I62" s="14" t="b">
        <v>0</v>
      </c>
    </row>
    <row r="63" spans="1:9" s="7" customFormat="1">
      <c r="A63" s="55">
        <v>10000310</v>
      </c>
      <c r="B63" s="57" t="s">
        <v>423</v>
      </c>
      <c r="C63" s="6"/>
      <c r="D63" s="57" t="s">
        <v>420</v>
      </c>
      <c r="E63" s="6" t="s">
        <v>425</v>
      </c>
      <c r="F63" s="6" t="s">
        <v>2475</v>
      </c>
      <c r="G63" s="6"/>
      <c r="H63" s="6"/>
      <c r="I63" s="14" t="b">
        <v>0</v>
      </c>
    </row>
    <row r="64" spans="1:9" s="7" customFormat="1">
      <c r="A64" s="55">
        <v>10000410</v>
      </c>
      <c r="B64" s="57" t="s">
        <v>424</v>
      </c>
      <c r="C64" s="6"/>
      <c r="D64" s="57" t="s">
        <v>421</v>
      </c>
      <c r="E64" s="6" t="s">
        <v>427</v>
      </c>
      <c r="F64" s="6"/>
      <c r="G64" s="6"/>
      <c r="H64" s="6"/>
      <c r="I64" s="14" t="b">
        <v>0</v>
      </c>
    </row>
    <row r="65" spans="1:9">
      <c r="A65" s="97">
        <v>10099999</v>
      </c>
      <c r="B65" s="96" t="s">
        <v>2190</v>
      </c>
      <c r="C65" s="96"/>
      <c r="D65" s="115" t="s">
        <v>421</v>
      </c>
      <c r="E65" s="96" t="s">
        <v>427</v>
      </c>
      <c r="F65" s="96"/>
      <c r="G65" s="96"/>
      <c r="H65" s="96"/>
      <c r="I65" s="106" t="b">
        <v>1</v>
      </c>
    </row>
    <row r="66" spans="1:9">
      <c r="I66" s="3"/>
    </row>
    <row r="67" spans="1:9">
      <c r="I67" s="3"/>
    </row>
    <row r="68" spans="1:9">
      <c r="I68" s="3"/>
    </row>
    <row r="69" spans="1:9">
      <c r="I69" s="3"/>
    </row>
    <row r="70" spans="1:9">
      <c r="I70" s="3"/>
    </row>
    <row r="71" spans="1:9">
      <c r="I71" s="3"/>
    </row>
    <row r="72" spans="1:9">
      <c r="I72" s="3"/>
    </row>
    <row r="73" spans="1:9">
      <c r="I73" s="3"/>
    </row>
    <row r="74" spans="1:9">
      <c r="I74" s="3"/>
    </row>
    <row r="75" spans="1:9">
      <c r="I75" s="3"/>
    </row>
    <row r="76" spans="1:9">
      <c r="I76" s="3"/>
    </row>
    <row r="77" spans="1:9">
      <c r="I77" s="3"/>
    </row>
    <row r="78" spans="1:9">
      <c r="I78" s="3"/>
    </row>
    <row r="79" spans="1:9">
      <c r="I79" s="3"/>
    </row>
    <row r="80" spans="1:9">
      <c r="I80" s="3"/>
    </row>
    <row r="81" spans="9:9">
      <c r="I81" s="3"/>
    </row>
    <row r="82" spans="9:9">
      <c r="I82" s="3"/>
    </row>
    <row r="83" spans="9:9">
      <c r="I83" s="3"/>
    </row>
    <row r="84" spans="9:9">
      <c r="I84" s="3"/>
    </row>
    <row r="85" spans="9:9">
      <c r="I85" s="3"/>
    </row>
    <row r="86" spans="9:9">
      <c r="I86" s="3"/>
    </row>
    <row r="87" spans="9:9">
      <c r="I87" s="3"/>
    </row>
    <row r="88" spans="9:9">
      <c r="I88" s="3"/>
    </row>
    <row r="89" spans="9:9">
      <c r="I89" s="3"/>
    </row>
    <row r="90" spans="9:9">
      <c r="I90" s="3"/>
    </row>
    <row r="91" spans="9:9">
      <c r="I91" s="3"/>
    </row>
    <row r="92" spans="9:9">
      <c r="I92" s="3"/>
    </row>
    <row r="93" spans="9:9">
      <c r="I93" s="3"/>
    </row>
    <row r="94" spans="9:9">
      <c r="I94" s="3"/>
    </row>
    <row r="95" spans="9:9">
      <c r="I95" s="3"/>
    </row>
    <row r="96" spans="9:9">
      <c r="I96" s="3"/>
    </row>
    <row r="97" spans="9:9">
      <c r="I97" s="3"/>
    </row>
    <row r="98" spans="9:9">
      <c r="I98" s="3"/>
    </row>
    <row r="99" spans="9:9">
      <c r="I99" s="3"/>
    </row>
    <row r="100" spans="9:9">
      <c r="I100" s="3"/>
    </row>
    <row r="101" spans="9:9">
      <c r="I101" s="3"/>
    </row>
    <row r="102" spans="9:9">
      <c r="I102" s="3"/>
    </row>
    <row r="103" spans="9:9">
      <c r="I103" s="3"/>
    </row>
    <row r="104" spans="9:9">
      <c r="I104" s="3"/>
    </row>
    <row r="105" spans="9:9">
      <c r="I105" s="3"/>
    </row>
    <row r="106" spans="9:9">
      <c r="I106" s="3"/>
    </row>
    <row r="107" spans="9:9">
      <c r="I107" s="3"/>
    </row>
    <row r="108" spans="9:9">
      <c r="I108" s="3"/>
    </row>
    <row r="109" spans="9:9">
      <c r="I109" s="3"/>
    </row>
    <row r="110" spans="9:9">
      <c r="I110" s="3"/>
    </row>
    <row r="111" spans="9:9">
      <c r="I111" s="3"/>
    </row>
    <row r="112" spans="9:9">
      <c r="I112" s="3"/>
    </row>
    <row r="113" spans="9:9">
      <c r="I113" s="3"/>
    </row>
    <row r="114" spans="9:9">
      <c r="I114" s="3"/>
    </row>
    <row r="115" spans="9:9">
      <c r="I115" s="3"/>
    </row>
    <row r="116" spans="9:9">
      <c r="I116" s="3"/>
    </row>
    <row r="117" spans="9:9">
      <c r="I117" s="3"/>
    </row>
    <row r="118" spans="9:9">
      <c r="I118" s="3"/>
    </row>
    <row r="119" spans="9:9">
      <c r="I119" s="3"/>
    </row>
    <row r="120" spans="9:9">
      <c r="I120" s="3"/>
    </row>
    <row r="121" spans="9:9">
      <c r="I121" s="3"/>
    </row>
    <row r="122" spans="9:9">
      <c r="I122" s="3"/>
    </row>
    <row r="123" spans="9:9">
      <c r="I123" s="3"/>
    </row>
    <row r="124" spans="9:9">
      <c r="I124" s="3"/>
    </row>
    <row r="125" spans="9:9">
      <c r="I125" s="3"/>
    </row>
    <row r="126" spans="9:9">
      <c r="I126" s="3"/>
    </row>
    <row r="127" spans="9:9">
      <c r="I127" s="3"/>
    </row>
    <row r="128" spans="9:9">
      <c r="I128" s="3"/>
    </row>
    <row r="129" spans="9:9">
      <c r="I129" s="3"/>
    </row>
    <row r="130" spans="9:9">
      <c r="I130" s="3"/>
    </row>
    <row r="131" spans="9:9">
      <c r="I131" s="3"/>
    </row>
    <row r="132" spans="9:9">
      <c r="I132" s="3"/>
    </row>
    <row r="133" spans="9:9">
      <c r="I133" s="3"/>
    </row>
    <row r="134" spans="9:9">
      <c r="I134" s="3"/>
    </row>
    <row r="135" spans="9:9">
      <c r="I135" s="3"/>
    </row>
    <row r="136" spans="9:9">
      <c r="I136" s="3"/>
    </row>
    <row r="137" spans="9:9">
      <c r="I137" s="3"/>
    </row>
    <row r="138" spans="9:9">
      <c r="I138" s="3"/>
    </row>
    <row r="139" spans="9:9">
      <c r="I139" s="3"/>
    </row>
    <row r="140" spans="9:9">
      <c r="I140" s="3"/>
    </row>
    <row r="141" spans="9:9">
      <c r="I141" s="3"/>
    </row>
    <row r="142" spans="9:9">
      <c r="I142" s="3"/>
    </row>
    <row r="143" spans="9:9">
      <c r="I143" s="3"/>
    </row>
    <row r="144" spans="9:9">
      <c r="I144" s="3"/>
    </row>
    <row r="145" spans="9:9">
      <c r="I145" s="3"/>
    </row>
    <row r="146" spans="9:9">
      <c r="I146" s="3"/>
    </row>
    <row r="147" spans="9:9">
      <c r="I147" s="3"/>
    </row>
    <row r="148" spans="9:9">
      <c r="I148" s="3"/>
    </row>
    <row r="149" spans="9:9">
      <c r="I149" s="3"/>
    </row>
    <row r="150" spans="9:9">
      <c r="I150" s="3"/>
    </row>
    <row r="151" spans="9:9">
      <c r="I151" s="3"/>
    </row>
    <row r="152" spans="9:9">
      <c r="I152" s="3"/>
    </row>
    <row r="153" spans="9:9">
      <c r="I153" s="3"/>
    </row>
    <row r="154" spans="9:9">
      <c r="I154" s="3"/>
    </row>
    <row r="155" spans="9:9">
      <c r="I155" s="3"/>
    </row>
    <row r="156" spans="9:9">
      <c r="I156" s="3"/>
    </row>
    <row r="157" spans="9:9">
      <c r="I157" s="3"/>
    </row>
    <row r="158" spans="9:9">
      <c r="I158" s="3"/>
    </row>
    <row r="159" spans="9:9">
      <c r="I159" s="3"/>
    </row>
    <row r="160" spans="9:9">
      <c r="I160" s="3"/>
    </row>
    <row r="161" spans="9:9">
      <c r="I161" s="3"/>
    </row>
    <row r="162" spans="9:9">
      <c r="I162" s="3"/>
    </row>
    <row r="163" spans="9:9">
      <c r="I163" s="3"/>
    </row>
    <row r="164" spans="9:9">
      <c r="I164" s="3"/>
    </row>
    <row r="165" spans="9:9">
      <c r="I165" s="3"/>
    </row>
    <row r="166" spans="9:9">
      <c r="I166" s="3"/>
    </row>
    <row r="167" spans="9:9">
      <c r="I167" s="3"/>
    </row>
    <row r="168" spans="9:9">
      <c r="I168" s="3"/>
    </row>
    <row r="169" spans="9:9">
      <c r="I169" s="3"/>
    </row>
    <row r="170" spans="9:9">
      <c r="I170" s="3"/>
    </row>
    <row r="171" spans="9:9">
      <c r="I171" s="3"/>
    </row>
    <row r="172" spans="9:9">
      <c r="I172" s="3"/>
    </row>
    <row r="173" spans="9:9">
      <c r="I173" s="3"/>
    </row>
    <row r="174" spans="9:9">
      <c r="I174" s="3"/>
    </row>
    <row r="175" spans="9:9">
      <c r="I175" s="3"/>
    </row>
    <row r="176" spans="9:9">
      <c r="I176" s="3"/>
    </row>
    <row r="177" spans="9:9">
      <c r="I177" s="3"/>
    </row>
    <row r="178" spans="9:9">
      <c r="I178" s="3"/>
    </row>
    <row r="179" spans="9:9">
      <c r="I179" s="3"/>
    </row>
    <row r="180" spans="9:9">
      <c r="I180" s="3"/>
    </row>
    <row r="181" spans="9:9">
      <c r="I181" s="3"/>
    </row>
    <row r="182" spans="9:9">
      <c r="I182" s="3"/>
    </row>
    <row r="183" spans="9:9">
      <c r="I183" s="3"/>
    </row>
    <row r="184" spans="9:9">
      <c r="I184" s="3"/>
    </row>
    <row r="185" spans="9:9">
      <c r="I185" s="3"/>
    </row>
    <row r="186" spans="9:9">
      <c r="I186" s="3"/>
    </row>
    <row r="187" spans="9:9">
      <c r="I187" s="3"/>
    </row>
    <row r="188" spans="9:9">
      <c r="I188" s="3"/>
    </row>
    <row r="189" spans="9:9">
      <c r="I189" s="3"/>
    </row>
    <row r="190" spans="9:9">
      <c r="I190" s="3"/>
    </row>
    <row r="191" spans="9:9">
      <c r="I191" s="3"/>
    </row>
    <row r="192" spans="9:9">
      <c r="I192" s="3"/>
    </row>
    <row r="193" spans="9:9">
      <c r="I193" s="3"/>
    </row>
    <row r="194" spans="9:9">
      <c r="I194" s="3"/>
    </row>
    <row r="195" spans="9:9">
      <c r="I195" s="3"/>
    </row>
    <row r="196" spans="9:9">
      <c r="I196" s="3"/>
    </row>
    <row r="197" spans="9:9">
      <c r="I197" s="3"/>
    </row>
    <row r="198" spans="9:9">
      <c r="I198" s="3"/>
    </row>
  </sheetData>
  <phoneticPr fontId="1" type="noConversion"/>
  <conditionalFormatting sqref="C56">
    <cfRule type="duplicateValues" dxfId="10" priority="7"/>
  </conditionalFormatting>
  <conditionalFormatting sqref="C57:C60 C5:C28 C30:C48 C50:C55">
    <cfRule type="duplicateValues" dxfId="9" priority="8"/>
  </conditionalFormatting>
  <conditionalFormatting sqref="C61">
    <cfRule type="duplicateValues" dxfId="8" priority="6"/>
  </conditionalFormatting>
  <conditionalFormatting sqref="D62:D63">
    <cfRule type="duplicateValues" dxfId="7" priority="5"/>
  </conditionalFormatting>
  <conditionalFormatting sqref="D64">
    <cfRule type="duplicateValues" dxfId="6" priority="4"/>
  </conditionalFormatting>
  <conditionalFormatting sqref="D65">
    <cfRule type="duplicateValues" dxfId="5" priority="3"/>
  </conditionalFormatting>
  <conditionalFormatting sqref="C29">
    <cfRule type="duplicateValues" dxfId="4" priority="2"/>
  </conditionalFormatting>
  <conditionalFormatting sqref="C49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T190"/>
  <sheetViews>
    <sheetView zoomScaleNormal="100" workbookViewId="0">
      <pane ySplit="4" topLeftCell="A92" activePane="bottomLeft" state="frozen"/>
      <selection pane="bottomLeft" activeCell="C114" sqref="C114"/>
    </sheetView>
  </sheetViews>
  <sheetFormatPr defaultRowHeight="12"/>
  <cols>
    <col min="1" max="1" width="11.25" style="61" customWidth="1"/>
    <col min="2" max="2" width="13.625" style="61" bestFit="1" customWidth="1"/>
    <col min="3" max="3" width="29.375" style="61" bestFit="1" customWidth="1"/>
    <col min="4" max="4" width="8.375" style="61" customWidth="1"/>
    <col min="5" max="5" width="11.625" style="61" customWidth="1"/>
    <col min="6" max="7" width="10.625" style="61" customWidth="1"/>
    <col min="8" max="8" width="44.125" style="61" bestFit="1" customWidth="1"/>
    <col min="9" max="9" width="52.375" style="61" bestFit="1" customWidth="1"/>
    <col min="10" max="11" width="58.25" style="61" bestFit="1" customWidth="1"/>
    <col min="12" max="13" width="26.625" style="61" customWidth="1"/>
    <col min="14" max="14" width="10.625" style="61" customWidth="1"/>
    <col min="15" max="15" width="3.875" style="61" customWidth="1"/>
    <col min="16" max="16" width="3.75" style="61" customWidth="1"/>
    <col min="17" max="17" width="19.5" style="61" bestFit="1" customWidth="1"/>
    <col min="18" max="18" width="14.5" style="61" bestFit="1" customWidth="1"/>
    <col min="19" max="19" width="48.875" style="61" bestFit="1" customWidth="1"/>
    <col min="20" max="20" width="8" style="61" bestFit="1" customWidth="1"/>
    <col min="21" max="16384" width="9" style="61"/>
  </cols>
  <sheetData>
    <row r="1" spans="1:20">
      <c r="A1" s="1" t="s">
        <v>1</v>
      </c>
      <c r="B1" s="1" t="s">
        <v>51</v>
      </c>
      <c r="C1" s="27" t="s">
        <v>133</v>
      </c>
      <c r="D1" s="27" t="s">
        <v>133</v>
      </c>
      <c r="E1" s="27" t="s">
        <v>133</v>
      </c>
      <c r="F1" s="1" t="s">
        <v>12</v>
      </c>
      <c r="G1" s="1" t="s">
        <v>9</v>
      </c>
      <c r="H1" s="1" t="s">
        <v>17</v>
      </c>
      <c r="I1" s="1" t="s">
        <v>21</v>
      </c>
      <c r="J1" s="1" t="s">
        <v>2098</v>
      </c>
      <c r="K1" s="1" t="s">
        <v>2084</v>
      </c>
      <c r="L1" s="1" t="s">
        <v>43</v>
      </c>
      <c r="M1" s="1" t="s">
        <v>1483</v>
      </c>
      <c r="N1" s="1" t="s">
        <v>47</v>
      </c>
      <c r="O1" s="28" t="s">
        <v>29</v>
      </c>
      <c r="P1" s="28" t="s">
        <v>32</v>
      </c>
      <c r="Q1" s="1" t="s">
        <v>34</v>
      </c>
      <c r="R1" s="1" t="s">
        <v>37</v>
      </c>
      <c r="S1" s="25" t="s">
        <v>1382</v>
      </c>
      <c r="T1" s="1" t="s">
        <v>391</v>
      </c>
    </row>
    <row r="2" spans="1:20">
      <c r="A2" s="1" t="s">
        <v>2</v>
      </c>
      <c r="B2" s="1" t="s">
        <v>75</v>
      </c>
      <c r="C2" s="27" t="s">
        <v>133</v>
      </c>
      <c r="D2" s="27" t="s">
        <v>133</v>
      </c>
      <c r="E2" s="27" t="s">
        <v>133</v>
      </c>
      <c r="F2" s="1" t="s">
        <v>13</v>
      </c>
      <c r="G2" s="1" t="s">
        <v>14</v>
      </c>
      <c r="H2" s="1" t="s">
        <v>18</v>
      </c>
      <c r="I2" s="1" t="s">
        <v>23</v>
      </c>
      <c r="J2" s="1" t="s">
        <v>2099</v>
      </c>
      <c r="K2" s="1" t="s">
        <v>26</v>
      </c>
      <c r="L2" s="1" t="s">
        <v>44</v>
      </c>
      <c r="M2" s="1" t="s">
        <v>1484</v>
      </c>
      <c r="N2" s="1" t="s">
        <v>48</v>
      </c>
      <c r="O2" s="28" t="s">
        <v>30</v>
      </c>
      <c r="P2" s="28" t="s">
        <v>41</v>
      </c>
      <c r="Q2" s="1" t="s">
        <v>35</v>
      </c>
      <c r="R2" s="1" t="s">
        <v>38</v>
      </c>
      <c r="S2" s="25" t="s">
        <v>1383</v>
      </c>
      <c r="T2" s="1" t="s">
        <v>392</v>
      </c>
    </row>
    <row r="3" spans="1:20">
      <c r="A3" s="1" t="s">
        <v>0</v>
      </c>
      <c r="B3" s="1" t="s">
        <v>4</v>
      </c>
      <c r="C3" s="27" t="s">
        <v>133</v>
      </c>
      <c r="D3" s="27" t="s">
        <v>133</v>
      </c>
      <c r="E3" s="27" t="s">
        <v>133</v>
      </c>
      <c r="F3" s="1" t="s">
        <v>7</v>
      </c>
      <c r="G3" s="1" t="s">
        <v>15</v>
      </c>
      <c r="H3" s="1" t="s">
        <v>7</v>
      </c>
      <c r="I3" s="1" t="s">
        <v>24</v>
      </c>
      <c r="J3" s="1" t="s">
        <v>2100</v>
      </c>
      <c r="K3" s="1" t="s">
        <v>27</v>
      </c>
      <c r="L3" s="1" t="s">
        <v>45</v>
      </c>
      <c r="M3" s="1" t="s">
        <v>1485</v>
      </c>
      <c r="N3" s="1" t="s">
        <v>45</v>
      </c>
      <c r="O3" s="28" t="s">
        <v>7</v>
      </c>
      <c r="P3" s="28" t="s">
        <v>24</v>
      </c>
      <c r="Q3" s="1" t="s">
        <v>7</v>
      </c>
      <c r="R3" s="1" t="s">
        <v>7</v>
      </c>
      <c r="S3" s="25" t="s">
        <v>390</v>
      </c>
      <c r="T3" s="1" t="s">
        <v>390</v>
      </c>
    </row>
    <row r="4" spans="1:20">
      <c r="A4" s="1" t="s">
        <v>5</v>
      </c>
      <c r="B4" s="1" t="s">
        <v>50</v>
      </c>
      <c r="C4" s="27" t="s">
        <v>236</v>
      </c>
      <c r="D4" s="27" t="s">
        <v>261</v>
      </c>
      <c r="E4" s="27" t="s">
        <v>262</v>
      </c>
      <c r="F4" s="1" t="s">
        <v>10</v>
      </c>
      <c r="G4" s="1" t="s">
        <v>16</v>
      </c>
      <c r="H4" s="1" t="s">
        <v>19</v>
      </c>
      <c r="I4" s="1" t="s">
        <v>22</v>
      </c>
      <c r="J4" s="1" t="s">
        <v>2101</v>
      </c>
      <c r="K4" s="1" t="s">
        <v>28</v>
      </c>
      <c r="L4" s="1" t="s">
        <v>46</v>
      </c>
      <c r="M4" s="1" t="s">
        <v>1486</v>
      </c>
      <c r="N4" s="1" t="s">
        <v>49</v>
      </c>
      <c r="O4" s="28" t="s">
        <v>31</v>
      </c>
      <c r="P4" s="28" t="s">
        <v>33</v>
      </c>
      <c r="Q4" s="1" t="s">
        <v>36</v>
      </c>
      <c r="R4" s="1" t="s">
        <v>39</v>
      </c>
      <c r="S4" s="25" t="s">
        <v>396</v>
      </c>
      <c r="T4" s="1" t="s">
        <v>393</v>
      </c>
    </row>
    <row r="5" spans="1:20" s="62" customFormat="1">
      <c r="A5" s="31" t="s">
        <v>1336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31" t="s">
        <v>304</v>
      </c>
      <c r="P5" s="29"/>
      <c r="Q5" s="29"/>
      <c r="R5" s="53"/>
      <c r="S5" s="30"/>
      <c r="T5" s="30"/>
    </row>
    <row r="6" spans="1:20" s="52" customFormat="1">
      <c r="A6" s="52" t="s">
        <v>437</v>
      </c>
    </row>
    <row r="7" spans="1:20" ht="36">
      <c r="A7" s="14">
        <v>200</v>
      </c>
      <c r="B7" s="59">
        <v>92000410</v>
      </c>
      <c r="C7" s="36" t="s">
        <v>439</v>
      </c>
      <c r="D7" s="24">
        <v>101</v>
      </c>
      <c r="E7" s="4" t="s">
        <v>268</v>
      </c>
      <c r="F7" s="14" t="s">
        <v>11</v>
      </c>
      <c r="G7" s="14" t="s">
        <v>20</v>
      </c>
      <c r="H7" s="14" t="str">
        <f t="shared" ref="H7:H14" si="0">"Instarseed/post_2_"&amp;IF(D7=101,"unlock",IF(D7=102,"bace",IF(D7=103,"follow",IF(D7=104,"pickup","타입값확인필요"))))&amp;"_"&amp;E7&amp;".png"</f>
        <v>Instarseed/post_2_unlock_0006.png</v>
      </c>
      <c r="I7" s="14" t="str">
        <f t="shared" ref="I7:I14" si="1">"Instarseed/post_2_"&amp;IF(D7=101,"unlock",IF(D7=102,"bace",IF(D7=103,"follow",IF(D7=104,"pickup","타입값확인필요"))))&amp;"_"&amp;E7&amp;"_t.png"</f>
        <v>Instarseed/post_2_unlock_0006_t.png</v>
      </c>
      <c r="J7" s="60" t="s">
        <v>2102</v>
      </c>
      <c r="K7" s="60"/>
      <c r="L7" s="14"/>
      <c r="M7" s="14"/>
      <c r="N7" s="14"/>
      <c r="O7" s="14"/>
      <c r="P7" s="14"/>
      <c r="Q7" s="14" t="b">
        <v>0</v>
      </c>
      <c r="R7" s="14" t="b">
        <v>0</v>
      </c>
      <c r="S7" s="14"/>
      <c r="T7" s="14"/>
    </row>
    <row r="8" spans="1:20" ht="36">
      <c r="A8" s="14">
        <v>201</v>
      </c>
      <c r="B8" s="59">
        <v>92000410</v>
      </c>
      <c r="C8" s="36" t="s">
        <v>439</v>
      </c>
      <c r="D8" s="24">
        <v>101</v>
      </c>
      <c r="E8" s="4" t="s">
        <v>268</v>
      </c>
      <c r="F8" s="26" t="s">
        <v>40</v>
      </c>
      <c r="G8" s="14" t="s">
        <v>20</v>
      </c>
      <c r="H8" s="14" t="str">
        <f t="shared" si="0"/>
        <v>Instarseed/post_2_unlock_0006.png</v>
      </c>
      <c r="I8" s="14" t="str">
        <f t="shared" si="1"/>
        <v>Instarseed/post_2_unlock_0006_t.png</v>
      </c>
      <c r="J8" s="60" t="s">
        <v>2103</v>
      </c>
      <c r="K8" s="60"/>
      <c r="L8" s="14"/>
      <c r="M8" s="14"/>
      <c r="N8" s="14"/>
      <c r="O8" s="14"/>
      <c r="P8" s="14"/>
      <c r="Q8" s="14" t="b">
        <v>0</v>
      </c>
      <c r="R8" s="14" t="b">
        <v>0</v>
      </c>
      <c r="S8" s="14"/>
      <c r="T8" s="14"/>
    </row>
    <row r="9" spans="1:20" ht="36">
      <c r="A9" s="14">
        <v>202</v>
      </c>
      <c r="B9" s="59">
        <v>92000410</v>
      </c>
      <c r="C9" s="36" t="s">
        <v>439</v>
      </c>
      <c r="D9" s="24">
        <v>101</v>
      </c>
      <c r="E9" s="4" t="s">
        <v>268</v>
      </c>
      <c r="F9" s="26" t="s">
        <v>42</v>
      </c>
      <c r="G9" s="26" t="s">
        <v>20</v>
      </c>
      <c r="H9" s="14" t="str">
        <f t="shared" si="0"/>
        <v>Instarseed/post_2_unlock_0006.png</v>
      </c>
      <c r="I9" s="14" t="str">
        <f t="shared" si="1"/>
        <v>Instarseed/post_2_unlock_0006_t.png</v>
      </c>
      <c r="J9" s="60" t="s">
        <v>2104</v>
      </c>
      <c r="K9" s="60"/>
      <c r="L9" s="14"/>
      <c r="M9" s="14"/>
      <c r="N9" s="14"/>
      <c r="O9" s="14"/>
      <c r="P9" s="14"/>
      <c r="Q9" s="14" t="b">
        <v>0</v>
      </c>
      <c r="R9" s="14" t="b">
        <v>0</v>
      </c>
      <c r="S9" s="14"/>
      <c r="T9" s="14"/>
    </row>
    <row r="10" spans="1:20" ht="36">
      <c r="A10" s="14">
        <v>203</v>
      </c>
      <c r="B10" s="59">
        <v>92000410</v>
      </c>
      <c r="C10" s="36" t="s">
        <v>439</v>
      </c>
      <c r="D10" s="24">
        <v>101</v>
      </c>
      <c r="E10" s="4" t="s">
        <v>268</v>
      </c>
      <c r="F10" s="26" t="s">
        <v>40</v>
      </c>
      <c r="G10" s="14" t="s">
        <v>20</v>
      </c>
      <c r="H10" s="14" t="str">
        <f t="shared" si="0"/>
        <v>Instarseed/post_2_unlock_0006.png</v>
      </c>
      <c r="I10" s="14" t="str">
        <f t="shared" si="1"/>
        <v>Instarseed/post_2_unlock_0006_t.png</v>
      </c>
      <c r="J10" s="60" t="s">
        <v>2105</v>
      </c>
      <c r="K10" s="60"/>
      <c r="L10" s="14"/>
      <c r="M10" s="14"/>
      <c r="N10" s="14"/>
      <c r="O10" s="26" t="s">
        <v>441</v>
      </c>
      <c r="P10" s="26" t="s">
        <v>442</v>
      </c>
      <c r="Q10" s="14" t="b">
        <v>0</v>
      </c>
      <c r="R10" s="14" t="b">
        <v>0</v>
      </c>
      <c r="S10" s="14"/>
      <c r="T10" s="14"/>
    </row>
    <row r="11" spans="1:20" ht="36">
      <c r="A11" s="14">
        <v>204</v>
      </c>
      <c r="B11" s="59">
        <v>92000410</v>
      </c>
      <c r="C11" s="36" t="s">
        <v>439</v>
      </c>
      <c r="D11" s="24">
        <v>101</v>
      </c>
      <c r="E11" s="4" t="s">
        <v>268</v>
      </c>
      <c r="F11" s="26" t="s">
        <v>40</v>
      </c>
      <c r="G11" s="14" t="s">
        <v>20</v>
      </c>
      <c r="H11" s="14" t="str">
        <f t="shared" si="0"/>
        <v>Instarseed/post_2_unlock_0006.png</v>
      </c>
      <c r="I11" s="14" t="str">
        <f t="shared" si="1"/>
        <v>Instarseed/post_2_unlock_0006_t.png</v>
      </c>
      <c r="J11" s="60" t="s">
        <v>2106</v>
      </c>
      <c r="K11" s="60"/>
      <c r="L11" s="14"/>
      <c r="M11" s="14"/>
      <c r="N11" s="14"/>
      <c r="O11" s="14"/>
      <c r="P11" s="14"/>
      <c r="Q11" s="14" t="b">
        <v>0</v>
      </c>
      <c r="R11" s="14" t="b">
        <v>0</v>
      </c>
      <c r="S11" s="14"/>
      <c r="T11" s="14">
        <v>41101</v>
      </c>
    </row>
    <row r="12" spans="1:20" ht="36">
      <c r="A12" s="14">
        <v>205</v>
      </c>
      <c r="B12" s="59">
        <v>92000410</v>
      </c>
      <c r="C12" s="36" t="s">
        <v>439</v>
      </c>
      <c r="D12" s="24">
        <v>101</v>
      </c>
      <c r="E12" s="4" t="s">
        <v>268</v>
      </c>
      <c r="F12" s="26" t="s">
        <v>40</v>
      </c>
      <c r="G12" s="14" t="s">
        <v>20</v>
      </c>
      <c r="H12" s="14" t="str">
        <f t="shared" si="0"/>
        <v>Instarseed/post_2_unlock_0006.png</v>
      </c>
      <c r="I12" s="14" t="str">
        <f t="shared" si="1"/>
        <v>Instarseed/post_2_unlock_0006_t.png</v>
      </c>
      <c r="J12" s="60" t="s">
        <v>2107</v>
      </c>
      <c r="K12" s="60"/>
      <c r="L12" s="14"/>
      <c r="M12" s="14"/>
      <c r="N12" s="14"/>
      <c r="O12" s="14"/>
      <c r="P12" s="14"/>
      <c r="Q12" s="14" t="b">
        <v>0</v>
      </c>
      <c r="R12" s="14" t="b">
        <v>0</v>
      </c>
      <c r="S12" s="14" t="s">
        <v>1381</v>
      </c>
      <c r="T12" s="14"/>
    </row>
    <row r="13" spans="1:20">
      <c r="A13" s="14">
        <v>206</v>
      </c>
      <c r="B13" s="59">
        <v>92000410</v>
      </c>
      <c r="C13" s="36" t="s">
        <v>439</v>
      </c>
      <c r="D13" s="24">
        <v>101</v>
      </c>
      <c r="E13" s="4" t="s">
        <v>268</v>
      </c>
      <c r="F13" s="26" t="s">
        <v>40</v>
      </c>
      <c r="G13" s="14" t="s">
        <v>20</v>
      </c>
      <c r="H13" s="14" t="str">
        <f t="shared" si="0"/>
        <v>Instarseed/post_2_unlock_0006.png</v>
      </c>
      <c r="I13" s="14" t="str">
        <f t="shared" si="1"/>
        <v>Instarseed/post_2_unlock_0006_t.png</v>
      </c>
      <c r="J13" s="60" t="s">
        <v>2108</v>
      </c>
      <c r="K13" s="60"/>
      <c r="L13" s="14"/>
      <c r="M13" s="14"/>
      <c r="N13" s="14"/>
      <c r="O13" s="14"/>
      <c r="P13" s="14"/>
      <c r="Q13" s="14" t="b">
        <v>0</v>
      </c>
      <c r="R13" s="14" t="b">
        <v>0</v>
      </c>
      <c r="S13" s="14"/>
      <c r="T13" s="14"/>
    </row>
    <row r="14" spans="1:20">
      <c r="A14" s="14">
        <v>207</v>
      </c>
      <c r="B14" s="59">
        <v>92000410</v>
      </c>
      <c r="C14" s="36" t="s">
        <v>439</v>
      </c>
      <c r="D14" s="24">
        <v>101</v>
      </c>
      <c r="E14" s="4" t="s">
        <v>268</v>
      </c>
      <c r="F14" s="26" t="s">
        <v>40</v>
      </c>
      <c r="G14" s="14" t="s">
        <v>20</v>
      </c>
      <c r="H14" s="14" t="str">
        <f t="shared" si="0"/>
        <v>Instarseed/post_2_unlock_0006.png</v>
      </c>
      <c r="I14" s="14" t="str">
        <f t="shared" si="1"/>
        <v>Instarseed/post_2_unlock_0006_t.png</v>
      </c>
      <c r="J14" s="60" t="s">
        <v>2108</v>
      </c>
      <c r="K14" s="60"/>
      <c r="L14" s="14"/>
      <c r="M14" s="14"/>
      <c r="N14" s="14"/>
      <c r="O14" s="26" t="s">
        <v>441</v>
      </c>
      <c r="P14" s="26" t="s">
        <v>442</v>
      </c>
      <c r="Q14" s="14" t="b">
        <v>0</v>
      </c>
      <c r="R14" s="14" t="b">
        <v>0</v>
      </c>
      <c r="S14" s="14"/>
      <c r="T14" s="14">
        <v>41101</v>
      </c>
    </row>
    <row r="15" spans="1:20" ht="36">
      <c r="A15" s="14">
        <v>208</v>
      </c>
      <c r="B15" s="59">
        <v>94000110</v>
      </c>
      <c r="C15" s="36" t="s">
        <v>769</v>
      </c>
      <c r="D15" s="24">
        <v>101</v>
      </c>
      <c r="E15" s="65" t="s">
        <v>263</v>
      </c>
      <c r="F15" s="33" t="s">
        <v>302</v>
      </c>
      <c r="G15" s="34" t="s">
        <v>303</v>
      </c>
      <c r="H15" s="34" t="str">
        <f>"Video/post_unlock_"&amp;E15&amp;"."&amp;IF(G15="Image","png","usm")</f>
        <v>Video/post_unlock_0001.usm</v>
      </c>
      <c r="I15" s="34" t="str">
        <f>"Instarseed/post_unlock_thumbnail_"&amp;E15&amp;".png"</f>
        <v>Instarseed/post_unlock_thumbnail_0001.png</v>
      </c>
      <c r="J15" s="60" t="s">
        <v>2109</v>
      </c>
      <c r="K15" s="60"/>
      <c r="L15" s="14"/>
      <c r="M15" s="14"/>
      <c r="N15" s="14"/>
      <c r="O15" s="26" t="s">
        <v>441</v>
      </c>
      <c r="P15" s="26" t="s">
        <v>442</v>
      </c>
      <c r="Q15" s="14" t="b">
        <v>0</v>
      </c>
      <c r="R15" s="14" t="b">
        <v>0</v>
      </c>
      <c r="S15" s="14"/>
      <c r="T15" s="14">
        <v>41101</v>
      </c>
    </row>
    <row r="16" spans="1:20" s="52" customFormat="1">
      <c r="A16" s="52" t="s">
        <v>438</v>
      </c>
    </row>
    <row r="17" spans="1:20">
      <c r="A17" s="14">
        <v>100</v>
      </c>
      <c r="B17" s="14">
        <v>32000110</v>
      </c>
      <c r="C17" s="4" t="s">
        <v>237</v>
      </c>
      <c r="D17" s="24">
        <v>101</v>
      </c>
      <c r="E17" s="4" t="s">
        <v>268</v>
      </c>
      <c r="F17" s="26" t="s">
        <v>40</v>
      </c>
      <c r="G17" s="14" t="s">
        <v>20</v>
      </c>
      <c r="H17" s="14" t="str">
        <f t="shared" ref="H17:H32" si="2">"Instarseed/post_2_"&amp;IF(D17=101,"unlock",IF(D17=102,"bace",IF(D17=103,"follow",IF(D17=104,"pickup","타입값확인필요"))))&amp;"_"&amp;E17&amp;".png"</f>
        <v>Instarseed/post_2_unlock_0006.png</v>
      </c>
      <c r="I17" s="14" t="str">
        <f t="shared" ref="I17:I32" si="3">"Instarseed/post_2_"&amp;IF(D17=101,"unlock",IF(D17=102,"bace",IF(D17=103,"follow",IF(D17=104,"pickup","타입값확인필요"))))&amp;"_"&amp;E17&amp;"_t.png"</f>
        <v>Instarseed/post_2_unlock_0006_t.png</v>
      </c>
      <c r="J17" s="14" t="s">
        <v>2110</v>
      </c>
      <c r="K17" s="14"/>
      <c r="L17" s="14" t="str">
        <f>"CharacterLevel(10, 1010"&amp;LEFT(B17,6)&amp;")"</f>
        <v>CharacterLevel(10, 1010320001)</v>
      </c>
      <c r="M17" s="14"/>
      <c r="N17" s="14"/>
      <c r="O17" s="14"/>
      <c r="P17" s="14"/>
      <c r="Q17" s="14" t="b">
        <v>0</v>
      </c>
      <c r="R17" s="14" t="b">
        <v>0</v>
      </c>
      <c r="S17" s="14"/>
      <c r="T17" s="14"/>
    </row>
    <row r="18" spans="1:20">
      <c r="A18" s="14">
        <v>101</v>
      </c>
      <c r="B18" s="14">
        <v>32000110</v>
      </c>
      <c r="C18" s="4" t="s">
        <v>238</v>
      </c>
      <c r="D18" s="24">
        <v>101</v>
      </c>
      <c r="E18" s="4" t="s">
        <v>268</v>
      </c>
      <c r="F18" s="26" t="s">
        <v>40</v>
      </c>
      <c r="G18" s="14" t="s">
        <v>20</v>
      </c>
      <c r="H18" s="14" t="str">
        <f t="shared" si="2"/>
        <v>Instarseed/post_2_unlock_0006.png</v>
      </c>
      <c r="I18" s="14" t="str">
        <f t="shared" si="3"/>
        <v>Instarseed/post_2_unlock_0006_t.png</v>
      </c>
      <c r="J18" s="14" t="s">
        <v>2111</v>
      </c>
      <c r="K18" s="14"/>
      <c r="L18" s="14" t="str">
        <f>"CharacterGrade(SR, 1010"&amp;LEFT(B18,6)&amp;")"</f>
        <v>CharacterGrade(SR, 1010320001)</v>
      </c>
      <c r="M18" s="14"/>
      <c r="N18" s="14"/>
      <c r="O18" s="14"/>
      <c r="P18" s="14"/>
      <c r="Q18" s="14" t="b">
        <v>0</v>
      </c>
      <c r="R18" s="14" t="b">
        <v>0</v>
      </c>
      <c r="S18" s="14"/>
      <c r="T18" s="14"/>
    </row>
    <row r="19" spans="1:20">
      <c r="A19" s="14">
        <v>102</v>
      </c>
      <c r="B19" s="14">
        <v>32000110</v>
      </c>
      <c r="C19" s="4" t="s">
        <v>239</v>
      </c>
      <c r="D19" s="24">
        <v>101</v>
      </c>
      <c r="E19" s="4" t="s">
        <v>268</v>
      </c>
      <c r="F19" s="26" t="s">
        <v>40</v>
      </c>
      <c r="G19" s="14" t="s">
        <v>20</v>
      </c>
      <c r="H19" s="14" t="str">
        <f t="shared" si="2"/>
        <v>Instarseed/post_2_unlock_0006.png</v>
      </c>
      <c r="I19" s="14" t="str">
        <f t="shared" si="3"/>
        <v>Instarseed/post_2_unlock_0006_t.png</v>
      </c>
      <c r="J19" s="14" t="s">
        <v>1353</v>
      </c>
      <c r="K19" s="14"/>
      <c r="L19" s="14" t="s">
        <v>1465</v>
      </c>
      <c r="M19" s="14"/>
      <c r="N19" s="14"/>
      <c r="O19" s="14"/>
      <c r="P19" s="14"/>
      <c r="Q19" s="14" t="b">
        <v>0</v>
      </c>
      <c r="R19" s="14" t="b">
        <v>0</v>
      </c>
      <c r="S19" s="14"/>
      <c r="T19" s="14"/>
    </row>
    <row r="20" spans="1:20">
      <c r="A20" s="14">
        <v>103</v>
      </c>
      <c r="B20" s="14">
        <v>32000110</v>
      </c>
      <c r="C20" s="4" t="s">
        <v>240</v>
      </c>
      <c r="D20" s="24">
        <v>101</v>
      </c>
      <c r="E20" s="4" t="s">
        <v>268</v>
      </c>
      <c r="F20" s="26" t="s">
        <v>40</v>
      </c>
      <c r="G20" s="14" t="s">
        <v>20</v>
      </c>
      <c r="H20" s="14" t="str">
        <f t="shared" si="2"/>
        <v>Instarseed/post_2_unlock_0006.png</v>
      </c>
      <c r="I20" s="14" t="str">
        <f t="shared" si="3"/>
        <v>Instarseed/post_2_unlock_0006_t.png</v>
      </c>
      <c r="J20" s="14" t="s">
        <v>1354</v>
      </c>
      <c r="K20" s="14"/>
      <c r="L20" s="14" t="s">
        <v>1466</v>
      </c>
      <c r="M20" s="14"/>
      <c r="N20" s="14"/>
      <c r="O20" s="14"/>
      <c r="P20" s="14"/>
      <c r="Q20" s="14" t="b">
        <v>0</v>
      </c>
      <c r="R20" s="14" t="b">
        <v>0</v>
      </c>
      <c r="S20" s="14"/>
      <c r="T20" s="14"/>
    </row>
    <row r="21" spans="1:20">
      <c r="A21" s="14">
        <v>104</v>
      </c>
      <c r="B21" s="14">
        <v>32000110</v>
      </c>
      <c r="C21" s="4" t="s">
        <v>243</v>
      </c>
      <c r="D21" s="24">
        <v>101</v>
      </c>
      <c r="E21" s="4" t="s">
        <v>268</v>
      </c>
      <c r="F21" s="26" t="s">
        <v>40</v>
      </c>
      <c r="G21" s="14" t="s">
        <v>20</v>
      </c>
      <c r="H21" s="14" t="str">
        <f t="shared" si="2"/>
        <v>Instarseed/post_2_unlock_0006.png</v>
      </c>
      <c r="I21" s="14" t="str">
        <f t="shared" si="3"/>
        <v>Instarseed/post_2_unlock_0006_t.png</v>
      </c>
      <c r="J21" s="14" t="s">
        <v>1355</v>
      </c>
      <c r="K21" s="14"/>
      <c r="L21" s="14" t="s">
        <v>1467</v>
      </c>
      <c r="M21" s="14"/>
      <c r="N21" s="14"/>
      <c r="O21" s="14"/>
      <c r="P21" s="14"/>
      <c r="Q21" s="14" t="b">
        <v>0</v>
      </c>
      <c r="R21" s="14" t="b">
        <v>0</v>
      </c>
      <c r="S21" s="14"/>
      <c r="T21" s="14"/>
    </row>
    <row r="22" spans="1:20">
      <c r="A22" s="14">
        <v>105</v>
      </c>
      <c r="B22" s="14">
        <v>32000110</v>
      </c>
      <c r="C22" s="4" t="s">
        <v>241</v>
      </c>
      <c r="D22" s="24">
        <v>101</v>
      </c>
      <c r="E22" s="4" t="s">
        <v>268</v>
      </c>
      <c r="F22" s="26" t="s">
        <v>40</v>
      </c>
      <c r="G22" s="14" t="s">
        <v>20</v>
      </c>
      <c r="H22" s="14" t="str">
        <f t="shared" si="2"/>
        <v>Instarseed/post_2_unlock_0006.png</v>
      </c>
      <c r="I22" s="14" t="str">
        <f t="shared" si="3"/>
        <v>Instarseed/post_2_unlock_0006_t.png</v>
      </c>
      <c r="J22" s="14" t="s">
        <v>1356</v>
      </c>
      <c r="K22" s="14"/>
      <c r="L22" s="14" t="s">
        <v>1468</v>
      </c>
      <c r="M22" s="14"/>
      <c r="N22" s="14"/>
      <c r="O22" s="14"/>
      <c r="P22" s="14"/>
      <c r="Q22" s="14" t="b">
        <v>0</v>
      </c>
      <c r="R22" s="14" t="b">
        <v>0</v>
      </c>
      <c r="S22" s="14"/>
      <c r="T22" s="14"/>
    </row>
    <row r="23" spans="1:20">
      <c r="A23" s="14">
        <v>106</v>
      </c>
      <c r="B23" s="14">
        <v>32000110</v>
      </c>
      <c r="C23" s="4" t="s">
        <v>242</v>
      </c>
      <c r="D23" s="24">
        <v>101</v>
      </c>
      <c r="E23" s="4" t="s">
        <v>268</v>
      </c>
      <c r="F23" s="26" t="s">
        <v>40</v>
      </c>
      <c r="G23" s="14" t="s">
        <v>20</v>
      </c>
      <c r="H23" s="14" t="str">
        <f t="shared" si="2"/>
        <v>Instarseed/post_2_unlock_0006.png</v>
      </c>
      <c r="I23" s="14" t="str">
        <f t="shared" si="3"/>
        <v>Instarseed/post_2_unlock_0006_t.png</v>
      </c>
      <c r="J23" s="14" t="s">
        <v>1357</v>
      </c>
      <c r="K23" s="14"/>
      <c r="L23" s="14" t="s">
        <v>1469</v>
      </c>
      <c r="M23" s="14"/>
      <c r="N23" s="14"/>
      <c r="O23" s="14"/>
      <c r="P23" s="14"/>
      <c r="Q23" s="14" t="b">
        <v>0</v>
      </c>
      <c r="R23" s="14" t="b">
        <v>0</v>
      </c>
      <c r="S23" s="14"/>
      <c r="T23" s="14"/>
    </row>
    <row r="24" spans="1:20">
      <c r="A24" s="14">
        <v>107</v>
      </c>
      <c r="B24" s="14">
        <v>32000110</v>
      </c>
      <c r="C24" s="4" t="s">
        <v>394</v>
      </c>
      <c r="D24" s="24">
        <v>101</v>
      </c>
      <c r="E24" s="4" t="s">
        <v>268</v>
      </c>
      <c r="F24" s="26" t="s">
        <v>40</v>
      </c>
      <c r="G24" s="14" t="s">
        <v>20</v>
      </c>
      <c r="H24" s="14" t="str">
        <f t="shared" si="2"/>
        <v>Instarseed/post_2_unlock_0006.png</v>
      </c>
      <c r="I24" s="14" t="str">
        <f t="shared" si="3"/>
        <v>Instarseed/post_2_unlock_0006_t.png</v>
      </c>
      <c r="J24" s="14" t="s">
        <v>1358</v>
      </c>
      <c r="K24" s="14"/>
      <c r="L24" s="14" t="str">
        <f>"FavorabilityLevel(2, 1010"&amp;LEFT(B24,6)&amp;")"</f>
        <v>FavorabilityLevel(2, 1010320001)</v>
      </c>
      <c r="M24" s="14"/>
      <c r="N24" s="14"/>
      <c r="O24" s="14"/>
      <c r="P24" s="14"/>
      <c r="Q24" s="14" t="b">
        <v>0</v>
      </c>
      <c r="R24" s="14" t="b">
        <v>0</v>
      </c>
      <c r="S24" s="14"/>
      <c r="T24" s="14"/>
    </row>
    <row r="25" spans="1:20">
      <c r="A25" s="14">
        <v>108</v>
      </c>
      <c r="B25" s="14">
        <v>32000110</v>
      </c>
      <c r="C25" s="4" t="s">
        <v>395</v>
      </c>
      <c r="D25" s="24">
        <v>101</v>
      </c>
      <c r="E25" s="4" t="s">
        <v>268</v>
      </c>
      <c r="F25" s="26" t="s">
        <v>40</v>
      </c>
      <c r="G25" s="14" t="s">
        <v>20</v>
      </c>
      <c r="H25" s="14" t="str">
        <f t="shared" si="2"/>
        <v>Instarseed/post_2_unlock_0006.png</v>
      </c>
      <c r="I25" s="14" t="str">
        <f t="shared" si="3"/>
        <v>Instarseed/post_2_unlock_0006_t.png</v>
      </c>
      <c r="J25" s="14" t="s">
        <v>1359</v>
      </c>
      <c r="K25" s="14"/>
      <c r="L25" s="14"/>
      <c r="M25" s="14"/>
      <c r="N25" s="14"/>
      <c r="O25" s="14"/>
      <c r="P25" s="14"/>
      <c r="Q25" s="14" t="b">
        <v>0</v>
      </c>
      <c r="R25" s="14" t="b">
        <v>0</v>
      </c>
      <c r="S25" s="14"/>
      <c r="T25" s="14"/>
    </row>
    <row r="26" spans="1:20">
      <c r="A26" s="14">
        <v>109</v>
      </c>
      <c r="B26" s="14">
        <v>32000110</v>
      </c>
      <c r="C26" s="4" t="s">
        <v>429</v>
      </c>
      <c r="D26" s="24">
        <v>101</v>
      </c>
      <c r="E26" s="4" t="s">
        <v>268</v>
      </c>
      <c r="F26" s="26" t="s">
        <v>40</v>
      </c>
      <c r="G26" s="14" t="s">
        <v>20</v>
      </c>
      <c r="H26" s="14" t="str">
        <f t="shared" si="2"/>
        <v>Instarseed/post_2_unlock_0006.png</v>
      </c>
      <c r="I26" s="14" t="str">
        <f t="shared" si="3"/>
        <v>Instarseed/post_2_unlock_0006_t.png</v>
      </c>
      <c r="J26" s="14" t="s">
        <v>1360</v>
      </c>
      <c r="K26" s="14"/>
      <c r="L26" s="14" t="s">
        <v>1470</v>
      </c>
      <c r="M26" s="14"/>
      <c r="N26" s="14"/>
      <c r="O26" s="14"/>
      <c r="P26" s="14"/>
      <c r="Q26" s="14" t="b">
        <v>0</v>
      </c>
      <c r="R26" s="14" t="b">
        <v>0</v>
      </c>
      <c r="S26" s="14"/>
      <c r="T26" s="14"/>
    </row>
    <row r="27" spans="1:20">
      <c r="A27" s="14">
        <v>110</v>
      </c>
      <c r="B27" s="14">
        <v>32000110</v>
      </c>
      <c r="C27" s="4" t="s">
        <v>430</v>
      </c>
      <c r="D27" s="24">
        <v>101</v>
      </c>
      <c r="E27" s="4" t="s">
        <v>268</v>
      </c>
      <c r="F27" s="26" t="s">
        <v>40</v>
      </c>
      <c r="G27" s="14" t="s">
        <v>20</v>
      </c>
      <c r="H27" s="14" t="str">
        <f t="shared" si="2"/>
        <v>Instarseed/post_2_unlock_0006.png</v>
      </c>
      <c r="I27" s="14" t="str">
        <f t="shared" si="3"/>
        <v>Instarseed/post_2_unlock_0006_t.png</v>
      </c>
      <c r="J27" s="14" t="s">
        <v>1361</v>
      </c>
      <c r="K27" s="14"/>
      <c r="L27" s="14" t="s">
        <v>1471</v>
      </c>
      <c r="M27" s="14"/>
      <c r="N27" s="14"/>
      <c r="O27" s="14"/>
      <c r="P27" s="14"/>
      <c r="Q27" s="14" t="b">
        <v>0</v>
      </c>
      <c r="R27" s="14" t="b">
        <v>0</v>
      </c>
      <c r="S27" s="14"/>
      <c r="T27" s="14"/>
    </row>
    <row r="28" spans="1:20">
      <c r="A28" s="14">
        <v>111</v>
      </c>
      <c r="B28" s="14">
        <v>32000110</v>
      </c>
      <c r="C28" s="4" t="s">
        <v>431</v>
      </c>
      <c r="D28" s="24">
        <v>101</v>
      </c>
      <c r="E28" s="4" t="s">
        <v>268</v>
      </c>
      <c r="F28" s="26" t="s">
        <v>40</v>
      </c>
      <c r="G28" s="14" t="s">
        <v>20</v>
      </c>
      <c r="H28" s="14" t="str">
        <f t="shared" si="2"/>
        <v>Instarseed/post_2_unlock_0006.png</v>
      </c>
      <c r="I28" s="14" t="str">
        <f t="shared" si="3"/>
        <v>Instarseed/post_2_unlock_0006_t.png</v>
      </c>
      <c r="J28" s="14" t="s">
        <v>1362</v>
      </c>
      <c r="K28" s="14"/>
      <c r="L28" s="14" t="s">
        <v>1472</v>
      </c>
      <c r="M28" s="14"/>
      <c r="N28" s="14"/>
      <c r="O28" s="14"/>
      <c r="P28" s="14"/>
      <c r="Q28" s="14" t="b">
        <v>0</v>
      </c>
      <c r="R28" s="14" t="b">
        <v>0</v>
      </c>
      <c r="S28" s="14"/>
      <c r="T28" s="14"/>
    </row>
    <row r="29" spans="1:20">
      <c r="A29" s="14">
        <v>112</v>
      </c>
      <c r="B29" s="14">
        <v>32000110</v>
      </c>
      <c r="C29" s="4" t="s">
        <v>432</v>
      </c>
      <c r="D29" s="24">
        <v>101</v>
      </c>
      <c r="E29" s="4" t="s">
        <v>268</v>
      </c>
      <c r="F29" s="26" t="s">
        <v>40</v>
      </c>
      <c r="G29" s="14" t="s">
        <v>20</v>
      </c>
      <c r="H29" s="14" t="str">
        <f t="shared" si="2"/>
        <v>Instarseed/post_2_unlock_0006.png</v>
      </c>
      <c r="I29" s="14" t="str">
        <f t="shared" si="3"/>
        <v>Instarseed/post_2_unlock_0006_t.png</v>
      </c>
      <c r="J29" s="14" t="s">
        <v>2112</v>
      </c>
      <c r="K29" s="14"/>
      <c r="L29" s="14" t="s">
        <v>1431</v>
      </c>
      <c r="M29" s="14"/>
      <c r="N29" s="14"/>
      <c r="O29" s="14"/>
      <c r="P29" s="14"/>
      <c r="Q29" s="14" t="b">
        <v>0</v>
      </c>
      <c r="R29" s="14" t="b">
        <v>0</v>
      </c>
      <c r="S29" s="14"/>
      <c r="T29" s="14"/>
    </row>
    <row r="30" spans="1:20">
      <c r="A30" s="14">
        <v>113</v>
      </c>
      <c r="B30" s="14">
        <v>32000110</v>
      </c>
      <c r="C30" s="4" t="s">
        <v>433</v>
      </c>
      <c r="D30" s="24">
        <v>101</v>
      </c>
      <c r="E30" s="4" t="s">
        <v>268</v>
      </c>
      <c r="F30" s="26" t="s">
        <v>40</v>
      </c>
      <c r="G30" s="14" t="s">
        <v>20</v>
      </c>
      <c r="H30" s="14" t="str">
        <f t="shared" si="2"/>
        <v>Instarseed/post_2_unlock_0006.png</v>
      </c>
      <c r="I30" s="14" t="str">
        <f t="shared" si="3"/>
        <v>Instarseed/post_2_unlock_0006_t.png</v>
      </c>
      <c r="J30" s="14" t="s">
        <v>1363</v>
      </c>
      <c r="K30" s="14"/>
      <c r="L30" s="14" t="s">
        <v>1473</v>
      </c>
      <c r="M30" s="14"/>
      <c r="N30" s="14"/>
      <c r="O30" s="14"/>
      <c r="P30" s="14"/>
      <c r="Q30" s="14" t="b">
        <v>0</v>
      </c>
      <c r="R30" s="14" t="b">
        <v>0</v>
      </c>
      <c r="S30" s="14"/>
      <c r="T30" s="14"/>
    </row>
    <row r="31" spans="1:20">
      <c r="A31" s="14">
        <v>114</v>
      </c>
      <c r="B31" s="14">
        <v>32000110</v>
      </c>
      <c r="C31" s="4" t="s">
        <v>434</v>
      </c>
      <c r="D31" s="24">
        <v>101</v>
      </c>
      <c r="E31" s="4" t="s">
        <v>268</v>
      </c>
      <c r="F31" s="26" t="s">
        <v>40</v>
      </c>
      <c r="G31" s="14" t="s">
        <v>20</v>
      </c>
      <c r="H31" s="14" t="str">
        <f t="shared" si="2"/>
        <v>Instarseed/post_2_unlock_0006.png</v>
      </c>
      <c r="I31" s="14" t="str">
        <f t="shared" si="3"/>
        <v>Instarseed/post_2_unlock_0006_t.png</v>
      </c>
      <c r="J31" s="14" t="s">
        <v>1364</v>
      </c>
      <c r="K31" s="14"/>
      <c r="L31" s="14" t="s">
        <v>1474</v>
      </c>
      <c r="M31" s="14"/>
      <c r="N31" s="14"/>
      <c r="O31" s="14"/>
      <c r="P31" s="14"/>
      <c r="Q31" s="14" t="b">
        <v>0</v>
      </c>
      <c r="R31" s="14" t="b">
        <v>0</v>
      </c>
      <c r="S31" s="14"/>
      <c r="T31" s="14"/>
    </row>
    <row r="32" spans="1:20">
      <c r="A32" s="14">
        <v>115</v>
      </c>
      <c r="B32" s="14">
        <v>32000110</v>
      </c>
      <c r="C32" s="4" t="s">
        <v>435</v>
      </c>
      <c r="D32" s="24">
        <v>101</v>
      </c>
      <c r="E32" s="4" t="s">
        <v>268</v>
      </c>
      <c r="F32" s="26" t="s">
        <v>40</v>
      </c>
      <c r="G32" s="14" t="s">
        <v>20</v>
      </c>
      <c r="H32" s="14" t="str">
        <f t="shared" si="2"/>
        <v>Instarseed/post_2_unlock_0006.png</v>
      </c>
      <c r="I32" s="14" t="str">
        <f t="shared" si="3"/>
        <v>Instarseed/post_2_unlock_0006_t.png</v>
      </c>
      <c r="J32" s="14" t="s">
        <v>1365</v>
      </c>
      <c r="K32" s="14"/>
      <c r="L32" s="14" t="s">
        <v>1475</v>
      </c>
      <c r="M32" s="14"/>
      <c r="N32" s="14"/>
      <c r="O32" s="14"/>
      <c r="P32" s="14"/>
      <c r="Q32" s="14" t="b">
        <v>0</v>
      </c>
      <c r="R32" s="14" t="b">
        <v>0</v>
      </c>
      <c r="S32" s="14"/>
      <c r="T32" s="14"/>
    </row>
    <row r="33" spans="1:20" s="52" customFormat="1">
      <c r="A33" s="52" t="s">
        <v>1207</v>
      </c>
    </row>
    <row r="34" spans="1:20" s="66" customFormat="1">
      <c r="A34" s="34" t="str">
        <f t="shared" ref="A34:A38" si="4">D34&amp;E34</f>
        <v>1010004</v>
      </c>
      <c r="B34" s="67">
        <v>33000210</v>
      </c>
      <c r="C34" s="35" t="s">
        <v>258</v>
      </c>
      <c r="D34" s="56">
        <v>101</v>
      </c>
      <c r="E34" s="65" t="s">
        <v>266</v>
      </c>
      <c r="F34" s="33" t="s">
        <v>302</v>
      </c>
      <c r="G34" s="34" t="s">
        <v>303</v>
      </c>
      <c r="H34" s="34" t="s">
        <v>2074</v>
      </c>
      <c r="I34" s="34" t="s">
        <v>2464</v>
      </c>
      <c r="J34" s="114" t="s">
        <v>2097</v>
      </c>
      <c r="K34" s="34"/>
      <c r="L34" s="14" t="str">
        <f t="shared" ref="L34:L38" si="5">"CharacterNameTag(1010"&amp;LEFT(B34,6)&amp;")"</f>
        <v>CharacterNameTag(1010330002)</v>
      </c>
      <c r="M34" s="14" t="s">
        <v>1490</v>
      </c>
      <c r="N34" s="34"/>
      <c r="O34" s="34"/>
      <c r="P34" s="34"/>
      <c r="Q34" s="34" t="b">
        <v>1</v>
      </c>
      <c r="R34" s="34" t="b">
        <v>1</v>
      </c>
      <c r="S34" s="34"/>
      <c r="T34" s="34"/>
    </row>
    <row r="35" spans="1:20">
      <c r="A35" s="14" t="str">
        <f>D35&amp;E35</f>
        <v>1010002</v>
      </c>
      <c r="B35" s="59">
        <v>32000110</v>
      </c>
      <c r="C35" s="36" t="s">
        <v>256</v>
      </c>
      <c r="D35" s="4">
        <v>101</v>
      </c>
      <c r="E35" s="24" t="s">
        <v>264</v>
      </c>
      <c r="F35" s="26" t="s">
        <v>40</v>
      </c>
      <c r="G35" s="14" t="s">
        <v>20</v>
      </c>
      <c r="H35" s="14" t="s">
        <v>2194</v>
      </c>
      <c r="I35" s="14" t="s">
        <v>2195</v>
      </c>
      <c r="J35" s="60" t="s">
        <v>2113</v>
      </c>
      <c r="K35" s="60"/>
      <c r="L35" s="14" t="str">
        <f t="shared" si="5"/>
        <v>CharacterNameTag(1010320001)</v>
      </c>
      <c r="M35" s="14" t="s">
        <v>1490</v>
      </c>
      <c r="N35" s="63"/>
      <c r="O35" s="14"/>
      <c r="P35" s="14"/>
      <c r="Q35" s="14" t="b">
        <v>1</v>
      </c>
      <c r="R35" s="14" t="b">
        <v>1</v>
      </c>
      <c r="S35" s="14"/>
      <c r="T35" s="14"/>
    </row>
    <row r="36" spans="1:20">
      <c r="A36" s="14" t="str">
        <f t="shared" si="4"/>
        <v>1010006</v>
      </c>
      <c r="B36" s="59">
        <v>92000410</v>
      </c>
      <c r="C36" s="36" t="s">
        <v>257</v>
      </c>
      <c r="D36" s="4">
        <v>101</v>
      </c>
      <c r="E36" s="24" t="s">
        <v>381</v>
      </c>
      <c r="F36" s="26" t="s">
        <v>40</v>
      </c>
      <c r="G36" s="14" t="s">
        <v>20</v>
      </c>
      <c r="H36" s="14" t="s">
        <v>2196</v>
      </c>
      <c r="I36" s="14" t="s">
        <v>2197</v>
      </c>
      <c r="J36" s="60" t="s">
        <v>740</v>
      </c>
      <c r="K36" s="60"/>
      <c r="L36" s="14" t="str">
        <f t="shared" si="5"/>
        <v>CharacterNameTag(1010920004)</v>
      </c>
      <c r="M36" s="14" t="s">
        <v>1490</v>
      </c>
      <c r="N36" s="63"/>
      <c r="O36" s="14"/>
      <c r="P36" s="14"/>
      <c r="Q36" s="14" t="b">
        <v>0</v>
      </c>
      <c r="R36" s="14" t="b">
        <v>1</v>
      </c>
      <c r="S36" s="14"/>
      <c r="T36" s="14"/>
    </row>
    <row r="37" spans="1:20">
      <c r="A37" s="14" t="str">
        <f t="shared" si="4"/>
        <v>1010008</v>
      </c>
      <c r="B37" s="59">
        <v>34000110</v>
      </c>
      <c r="C37" s="36" t="s">
        <v>259</v>
      </c>
      <c r="D37" s="4">
        <v>101</v>
      </c>
      <c r="E37" s="24" t="s">
        <v>270</v>
      </c>
      <c r="F37" s="26" t="s">
        <v>40</v>
      </c>
      <c r="G37" s="14" t="s">
        <v>20</v>
      </c>
      <c r="H37" s="14" t="s">
        <v>2198</v>
      </c>
      <c r="I37" s="14" t="s">
        <v>2199</v>
      </c>
      <c r="J37" s="60" t="s">
        <v>742</v>
      </c>
      <c r="K37" s="60"/>
      <c r="L37" s="14" t="str">
        <f t="shared" si="5"/>
        <v>CharacterNameTag(1010340001)</v>
      </c>
      <c r="M37" s="14" t="s">
        <v>1490</v>
      </c>
      <c r="N37" s="63"/>
      <c r="O37" s="14"/>
      <c r="P37" s="14"/>
      <c r="Q37" s="14" t="b">
        <v>0</v>
      </c>
      <c r="R37" s="14" t="b">
        <v>1</v>
      </c>
      <c r="S37" s="14"/>
      <c r="T37" s="14"/>
    </row>
    <row r="38" spans="1:20">
      <c r="A38" s="14" t="str">
        <f t="shared" si="4"/>
        <v>1010009</v>
      </c>
      <c r="B38" s="59">
        <v>33000110</v>
      </c>
      <c r="C38" s="36" t="s">
        <v>260</v>
      </c>
      <c r="D38" s="4">
        <v>101</v>
      </c>
      <c r="E38" s="24" t="s">
        <v>271</v>
      </c>
      <c r="F38" s="26" t="s">
        <v>40</v>
      </c>
      <c r="G38" s="14" t="s">
        <v>20</v>
      </c>
      <c r="H38" s="14" t="s">
        <v>2200</v>
      </c>
      <c r="I38" s="14" t="s">
        <v>2201</v>
      </c>
      <c r="J38" s="60" t="s">
        <v>743</v>
      </c>
      <c r="K38" s="60"/>
      <c r="L38" s="14" t="str">
        <f t="shared" si="5"/>
        <v>CharacterNameTag(1010330001)</v>
      </c>
      <c r="M38" s="14" t="s">
        <v>1490</v>
      </c>
      <c r="N38" s="63"/>
      <c r="O38" s="14"/>
      <c r="P38" s="14"/>
      <c r="Q38" s="14" t="b">
        <v>0</v>
      </c>
      <c r="R38" s="14" t="b">
        <v>1</v>
      </c>
      <c r="S38" s="14"/>
      <c r="T38" s="14"/>
    </row>
    <row r="39" spans="1:20" s="52" customFormat="1">
      <c r="A39" s="52" t="s">
        <v>1208</v>
      </c>
      <c r="B39" s="68"/>
      <c r="C39" s="50"/>
      <c r="D39" s="69"/>
      <c r="E39" s="69"/>
      <c r="F39" s="51"/>
    </row>
    <row r="40" spans="1:20">
      <c r="A40" s="14" t="str">
        <f t="shared" ref="A40:A84" si="6">D40&amp;E40</f>
        <v>1030001</v>
      </c>
      <c r="B40" s="40">
        <v>91000210</v>
      </c>
      <c r="C40" s="41" t="s">
        <v>375</v>
      </c>
      <c r="D40" s="4">
        <v>103</v>
      </c>
      <c r="E40" s="37" t="s">
        <v>263</v>
      </c>
      <c r="F40" s="26" t="s">
        <v>40</v>
      </c>
      <c r="G40" s="14" t="s">
        <v>20</v>
      </c>
      <c r="H40" s="14" t="s">
        <v>2202</v>
      </c>
      <c r="I40" s="14" t="s">
        <v>2203</v>
      </c>
      <c r="J40" s="14" t="s">
        <v>2114</v>
      </c>
      <c r="K40" s="14"/>
      <c r="L40" s="14" t="str">
        <f t="shared" ref="L40:L85" si="7">"CharacterNameTag(1010"&amp;LEFT(B40,6)&amp;")"</f>
        <v>CharacterNameTag(1010910002)</v>
      </c>
      <c r="M40" s="14" t="s">
        <v>1490</v>
      </c>
      <c r="N40" s="14"/>
      <c r="O40" s="14"/>
      <c r="P40" s="14"/>
      <c r="Q40" s="14" t="b">
        <v>0</v>
      </c>
      <c r="R40" s="14" t="b">
        <v>1</v>
      </c>
      <c r="S40" s="14"/>
      <c r="T40" s="14"/>
    </row>
    <row r="41" spans="1:20">
      <c r="A41" s="14" t="str">
        <f t="shared" si="6"/>
        <v>1030002</v>
      </c>
      <c r="B41" s="40">
        <v>71000110</v>
      </c>
      <c r="C41" s="41" t="s">
        <v>356</v>
      </c>
      <c r="D41" s="4">
        <v>103</v>
      </c>
      <c r="E41" s="37" t="s">
        <v>264</v>
      </c>
      <c r="F41" s="26" t="s">
        <v>40</v>
      </c>
      <c r="G41" s="14" t="s">
        <v>20</v>
      </c>
      <c r="H41" s="14" t="s">
        <v>2204</v>
      </c>
      <c r="I41" s="14" t="s">
        <v>2205</v>
      </c>
      <c r="J41" s="14" t="s">
        <v>2115</v>
      </c>
      <c r="K41" s="14"/>
      <c r="L41" s="14" t="str">
        <f t="shared" si="7"/>
        <v>CharacterNameTag(1010710001)</v>
      </c>
      <c r="M41" s="14" t="s">
        <v>1490</v>
      </c>
      <c r="N41" s="14"/>
      <c r="O41" s="14"/>
      <c r="P41" s="14"/>
      <c r="Q41" s="14" t="b">
        <v>0</v>
      </c>
      <c r="R41" s="14" t="b">
        <v>1</v>
      </c>
      <c r="S41" s="14"/>
      <c r="T41" s="14"/>
    </row>
    <row r="42" spans="1:20">
      <c r="A42" s="14" t="str">
        <f t="shared" si="6"/>
        <v>1030003</v>
      </c>
      <c r="B42" s="40">
        <v>71000210</v>
      </c>
      <c r="C42" s="41" t="s">
        <v>363</v>
      </c>
      <c r="D42" s="4">
        <v>103</v>
      </c>
      <c r="E42" s="37" t="s">
        <v>265</v>
      </c>
      <c r="F42" s="26" t="s">
        <v>40</v>
      </c>
      <c r="G42" s="14" t="s">
        <v>20</v>
      </c>
      <c r="H42" s="14" t="s">
        <v>2206</v>
      </c>
      <c r="I42" s="14" t="s">
        <v>2207</v>
      </c>
      <c r="J42" s="14" t="s">
        <v>2116</v>
      </c>
      <c r="K42" s="14"/>
      <c r="L42" s="14" t="str">
        <f t="shared" si="7"/>
        <v>CharacterNameTag(1010710002)</v>
      </c>
      <c r="M42" s="14" t="s">
        <v>1490</v>
      </c>
      <c r="N42" s="14"/>
      <c r="O42" s="14"/>
      <c r="P42" s="14"/>
      <c r="Q42" s="14" t="b">
        <v>0</v>
      </c>
      <c r="R42" s="14" t="b">
        <v>1</v>
      </c>
      <c r="S42" s="14"/>
      <c r="T42" s="14"/>
    </row>
    <row r="43" spans="1:20">
      <c r="A43" s="14" t="str">
        <f t="shared" si="6"/>
        <v>1030004</v>
      </c>
      <c r="B43" s="40">
        <v>71000310</v>
      </c>
      <c r="C43" s="41" t="s">
        <v>358</v>
      </c>
      <c r="D43" s="4">
        <v>103</v>
      </c>
      <c r="E43" s="37" t="s">
        <v>266</v>
      </c>
      <c r="F43" s="26" t="s">
        <v>40</v>
      </c>
      <c r="G43" s="14" t="s">
        <v>20</v>
      </c>
      <c r="H43" s="14" t="s">
        <v>2208</v>
      </c>
      <c r="I43" s="14" t="s">
        <v>2209</v>
      </c>
      <c r="J43" s="14" t="s">
        <v>2117</v>
      </c>
      <c r="K43" s="14"/>
      <c r="L43" s="14" t="str">
        <f t="shared" si="7"/>
        <v>CharacterNameTag(1010710003)</v>
      </c>
      <c r="M43" s="14" t="s">
        <v>1490</v>
      </c>
      <c r="N43" s="14"/>
      <c r="O43" s="14"/>
      <c r="P43" s="14"/>
      <c r="Q43" s="14" t="b">
        <v>0</v>
      </c>
      <c r="R43" s="14" t="b">
        <v>1</v>
      </c>
      <c r="S43" s="14"/>
      <c r="T43" s="14"/>
    </row>
    <row r="44" spans="1:20">
      <c r="A44" s="14" t="str">
        <f t="shared" si="6"/>
        <v>1030005</v>
      </c>
      <c r="B44" s="40">
        <v>51000210</v>
      </c>
      <c r="C44" s="41" t="s">
        <v>366</v>
      </c>
      <c r="D44" s="4">
        <v>103</v>
      </c>
      <c r="E44" s="37" t="s">
        <v>267</v>
      </c>
      <c r="F44" s="26" t="s">
        <v>40</v>
      </c>
      <c r="G44" s="14" t="s">
        <v>20</v>
      </c>
      <c r="H44" s="14" t="s">
        <v>2210</v>
      </c>
      <c r="I44" s="14" t="s">
        <v>2211</v>
      </c>
      <c r="J44" s="14" t="s">
        <v>2118</v>
      </c>
      <c r="K44" s="14"/>
      <c r="L44" s="14" t="str">
        <f t="shared" si="7"/>
        <v>CharacterNameTag(1010510002)</v>
      </c>
      <c r="M44" s="14" t="s">
        <v>1490</v>
      </c>
      <c r="N44" s="14"/>
      <c r="O44" s="14"/>
      <c r="P44" s="14"/>
      <c r="Q44" s="14" t="b">
        <v>0</v>
      </c>
      <c r="R44" s="14" t="b">
        <v>1</v>
      </c>
      <c r="S44" s="14"/>
      <c r="T44" s="14"/>
    </row>
    <row r="45" spans="1:20">
      <c r="A45" s="14" t="str">
        <f t="shared" si="6"/>
        <v>1030006</v>
      </c>
      <c r="B45" s="40">
        <v>31000110</v>
      </c>
      <c r="C45" s="41" t="s">
        <v>376</v>
      </c>
      <c r="D45" s="4">
        <v>103</v>
      </c>
      <c r="E45" s="37" t="s">
        <v>268</v>
      </c>
      <c r="F45" s="26" t="s">
        <v>40</v>
      </c>
      <c r="G45" s="14" t="s">
        <v>20</v>
      </c>
      <c r="H45" s="14" t="s">
        <v>2212</v>
      </c>
      <c r="I45" s="14" t="s">
        <v>2213</v>
      </c>
      <c r="J45" s="14" t="s">
        <v>2119</v>
      </c>
      <c r="K45" s="14"/>
      <c r="L45" s="14" t="str">
        <f t="shared" si="7"/>
        <v>CharacterNameTag(1010310001)</v>
      </c>
      <c r="M45" s="14" t="s">
        <v>1490</v>
      </c>
      <c r="N45" s="14"/>
      <c r="O45" s="14"/>
      <c r="P45" s="14"/>
      <c r="Q45" s="14" t="b">
        <v>1</v>
      </c>
      <c r="R45" s="14" t="b">
        <v>1</v>
      </c>
      <c r="S45" s="14"/>
      <c r="T45" s="14"/>
    </row>
    <row r="46" spans="1:20">
      <c r="A46" s="14" t="str">
        <f t="shared" si="6"/>
        <v>1030007</v>
      </c>
      <c r="B46" s="40">
        <v>92000310</v>
      </c>
      <c r="C46" s="41" t="s">
        <v>345</v>
      </c>
      <c r="D46" s="4">
        <v>103</v>
      </c>
      <c r="E46" s="37" t="s">
        <v>269</v>
      </c>
      <c r="F46" s="26" t="s">
        <v>40</v>
      </c>
      <c r="G46" s="14" t="s">
        <v>20</v>
      </c>
      <c r="H46" s="14" t="s">
        <v>2214</v>
      </c>
      <c r="I46" s="14" t="s">
        <v>2215</v>
      </c>
      <c r="J46" s="14" t="s">
        <v>2120</v>
      </c>
      <c r="K46" s="14"/>
      <c r="L46" s="14" t="str">
        <f t="shared" si="7"/>
        <v>CharacterNameTag(1010920003)</v>
      </c>
      <c r="M46" s="14" t="s">
        <v>1490</v>
      </c>
      <c r="N46" s="14"/>
      <c r="O46" s="14"/>
      <c r="P46" s="14"/>
      <c r="Q46" s="14" t="b">
        <v>0</v>
      </c>
      <c r="R46" s="14" t="b">
        <v>1</v>
      </c>
      <c r="S46" s="14"/>
      <c r="T46" s="14"/>
    </row>
    <row r="47" spans="1:20">
      <c r="A47" s="14" t="str">
        <f t="shared" si="6"/>
        <v>1030008</v>
      </c>
      <c r="B47" s="40">
        <v>72000110</v>
      </c>
      <c r="C47" s="41" t="s">
        <v>365</v>
      </c>
      <c r="D47" s="4">
        <v>103</v>
      </c>
      <c r="E47" s="37" t="s">
        <v>270</v>
      </c>
      <c r="F47" s="26" t="s">
        <v>40</v>
      </c>
      <c r="G47" s="14" t="s">
        <v>20</v>
      </c>
      <c r="H47" s="14" t="s">
        <v>2216</v>
      </c>
      <c r="I47" s="14" t="s">
        <v>2217</v>
      </c>
      <c r="J47" s="14" t="s">
        <v>2121</v>
      </c>
      <c r="K47" s="14"/>
      <c r="L47" s="14" t="str">
        <f t="shared" si="7"/>
        <v>CharacterNameTag(1010720001)</v>
      </c>
      <c r="M47" s="14" t="s">
        <v>1490</v>
      </c>
      <c r="N47" s="14"/>
      <c r="O47" s="14"/>
      <c r="P47" s="14"/>
      <c r="Q47" s="14" t="b">
        <v>1</v>
      </c>
      <c r="R47" s="14" t="b">
        <v>1</v>
      </c>
      <c r="S47" s="14"/>
      <c r="T47" s="14"/>
    </row>
    <row r="48" spans="1:20" s="72" customFormat="1">
      <c r="A48" s="16" t="str">
        <f t="shared" si="6"/>
        <v>1030009</v>
      </c>
      <c r="B48" s="42">
        <v>72000210</v>
      </c>
      <c r="C48" s="43" t="s">
        <v>410</v>
      </c>
      <c r="D48" s="8">
        <v>103</v>
      </c>
      <c r="E48" s="39" t="s">
        <v>271</v>
      </c>
      <c r="F48" s="32" t="s">
        <v>40</v>
      </c>
      <c r="G48" s="16" t="s">
        <v>20</v>
      </c>
      <c r="H48" s="14" t="s">
        <v>2218</v>
      </c>
      <c r="I48" s="14" t="s">
        <v>2219</v>
      </c>
      <c r="J48" s="16" t="s">
        <v>2122</v>
      </c>
      <c r="K48" s="16"/>
      <c r="L48" s="16" t="str">
        <f t="shared" si="7"/>
        <v>CharacterNameTag(1010720002)</v>
      </c>
      <c r="M48" s="14" t="s">
        <v>1490</v>
      </c>
      <c r="N48" s="16"/>
      <c r="O48" s="16"/>
      <c r="P48" s="16"/>
      <c r="Q48" s="16" t="b">
        <v>1</v>
      </c>
      <c r="R48" s="16" t="b">
        <v>1</v>
      </c>
      <c r="S48" s="16"/>
      <c r="T48" s="16"/>
    </row>
    <row r="49" spans="1:20">
      <c r="A49" s="14" t="str">
        <f t="shared" si="6"/>
        <v>1030010</v>
      </c>
      <c r="B49" s="40">
        <v>72000310</v>
      </c>
      <c r="C49" s="41" t="s">
        <v>355</v>
      </c>
      <c r="D49" s="4">
        <v>103</v>
      </c>
      <c r="E49" s="37" t="s">
        <v>272</v>
      </c>
      <c r="F49" s="26" t="s">
        <v>40</v>
      </c>
      <c r="G49" s="14" t="s">
        <v>20</v>
      </c>
      <c r="H49" s="14" t="s">
        <v>2220</v>
      </c>
      <c r="I49" s="14" t="s">
        <v>2221</v>
      </c>
      <c r="J49" s="14" t="s">
        <v>2123</v>
      </c>
      <c r="K49" s="14"/>
      <c r="L49" s="14" t="str">
        <f t="shared" si="7"/>
        <v>CharacterNameTag(1010720003)</v>
      </c>
      <c r="M49" s="14" t="s">
        <v>1490</v>
      </c>
      <c r="N49" s="14"/>
      <c r="O49" s="14"/>
      <c r="P49" s="14"/>
      <c r="Q49" s="14" t="b">
        <v>0</v>
      </c>
      <c r="R49" s="14" t="b">
        <v>1</v>
      </c>
      <c r="S49" s="14"/>
      <c r="T49" s="14"/>
    </row>
    <row r="50" spans="1:20">
      <c r="A50" s="14" t="str">
        <f t="shared" si="6"/>
        <v>1030011</v>
      </c>
      <c r="B50" s="40">
        <v>72000410</v>
      </c>
      <c r="C50" s="41" t="s">
        <v>353</v>
      </c>
      <c r="D50" s="4">
        <v>103</v>
      </c>
      <c r="E50" s="37" t="s">
        <v>305</v>
      </c>
      <c r="F50" s="26" t="s">
        <v>40</v>
      </c>
      <c r="G50" s="14" t="s">
        <v>20</v>
      </c>
      <c r="H50" s="14" t="s">
        <v>2222</v>
      </c>
      <c r="I50" s="14" t="s">
        <v>2223</v>
      </c>
      <c r="J50" s="14" t="s">
        <v>2124</v>
      </c>
      <c r="K50" s="14"/>
      <c r="L50" s="14" t="str">
        <f t="shared" si="7"/>
        <v>CharacterNameTag(1010720004)</v>
      </c>
      <c r="M50" s="14" t="s">
        <v>1490</v>
      </c>
      <c r="N50" s="14"/>
      <c r="O50" s="14"/>
      <c r="P50" s="14"/>
      <c r="Q50" s="14" t="b">
        <v>0</v>
      </c>
      <c r="R50" s="14" t="b">
        <v>1</v>
      </c>
      <c r="S50" s="14"/>
      <c r="T50" s="14"/>
    </row>
    <row r="51" spans="1:20">
      <c r="A51" s="14" t="str">
        <f t="shared" si="6"/>
        <v>1030012</v>
      </c>
      <c r="B51" s="40">
        <v>72000510</v>
      </c>
      <c r="C51" s="41" t="s">
        <v>348</v>
      </c>
      <c r="D51" s="4">
        <v>103</v>
      </c>
      <c r="E51" s="37" t="s">
        <v>306</v>
      </c>
      <c r="F51" s="26" t="s">
        <v>40</v>
      </c>
      <c r="G51" s="14" t="s">
        <v>20</v>
      </c>
      <c r="H51" s="14" t="s">
        <v>2224</v>
      </c>
      <c r="I51" s="14" t="s">
        <v>2225</v>
      </c>
      <c r="J51" s="14" t="s">
        <v>2125</v>
      </c>
      <c r="K51" s="14"/>
      <c r="L51" s="14" t="str">
        <f t="shared" si="7"/>
        <v>CharacterNameTag(1010720005)</v>
      </c>
      <c r="M51" s="14" t="s">
        <v>1490</v>
      </c>
      <c r="N51" s="14"/>
      <c r="O51" s="14"/>
      <c r="P51" s="14"/>
      <c r="Q51" s="14" t="b">
        <v>0</v>
      </c>
      <c r="R51" s="14" t="b">
        <v>1</v>
      </c>
      <c r="S51" s="14"/>
      <c r="T51" s="14"/>
    </row>
    <row r="52" spans="1:20">
      <c r="A52" s="14" t="str">
        <f t="shared" si="6"/>
        <v>1030013</v>
      </c>
      <c r="B52" s="40">
        <v>72000610</v>
      </c>
      <c r="C52" s="41" t="s">
        <v>347</v>
      </c>
      <c r="D52" s="4">
        <v>103</v>
      </c>
      <c r="E52" s="37" t="s">
        <v>307</v>
      </c>
      <c r="F52" s="26" t="s">
        <v>40</v>
      </c>
      <c r="G52" s="14" t="s">
        <v>20</v>
      </c>
      <c r="H52" s="14" t="s">
        <v>2226</v>
      </c>
      <c r="I52" s="14" t="s">
        <v>2227</v>
      </c>
      <c r="J52" s="14" t="s">
        <v>2126</v>
      </c>
      <c r="K52" s="14"/>
      <c r="L52" s="14" t="str">
        <f t="shared" si="7"/>
        <v>CharacterNameTag(1010720006)</v>
      </c>
      <c r="M52" s="14" t="s">
        <v>1490</v>
      </c>
      <c r="N52" s="14"/>
      <c r="O52" s="14"/>
      <c r="P52" s="14"/>
      <c r="Q52" s="14" t="b">
        <v>0</v>
      </c>
      <c r="R52" s="14" t="b">
        <v>1</v>
      </c>
      <c r="S52" s="14"/>
      <c r="T52" s="14"/>
    </row>
    <row r="53" spans="1:20">
      <c r="A53" s="14" t="str">
        <f t="shared" si="6"/>
        <v>1030014</v>
      </c>
      <c r="B53" s="40">
        <v>72000710</v>
      </c>
      <c r="C53" s="41" t="s">
        <v>357</v>
      </c>
      <c r="D53" s="4">
        <v>103</v>
      </c>
      <c r="E53" s="37" t="s">
        <v>308</v>
      </c>
      <c r="F53" s="26" t="s">
        <v>40</v>
      </c>
      <c r="G53" s="14" t="s">
        <v>20</v>
      </c>
      <c r="H53" s="14" t="s">
        <v>2228</v>
      </c>
      <c r="I53" s="14" t="s">
        <v>2229</v>
      </c>
      <c r="J53" s="14" t="s">
        <v>2127</v>
      </c>
      <c r="K53" s="14"/>
      <c r="L53" s="14" t="str">
        <f t="shared" si="7"/>
        <v>CharacterNameTag(1010720007)</v>
      </c>
      <c r="M53" s="14" t="s">
        <v>1490</v>
      </c>
      <c r="N53" s="14"/>
      <c r="O53" s="14"/>
      <c r="P53" s="14"/>
      <c r="Q53" s="14" t="b">
        <v>0</v>
      </c>
      <c r="R53" s="14" t="b">
        <v>1</v>
      </c>
      <c r="S53" s="14"/>
      <c r="T53" s="14"/>
    </row>
    <row r="54" spans="1:20">
      <c r="A54" s="14" t="str">
        <f t="shared" si="6"/>
        <v>1030015</v>
      </c>
      <c r="B54" s="40">
        <v>52000110</v>
      </c>
      <c r="C54" s="41" t="s">
        <v>349</v>
      </c>
      <c r="D54" s="4">
        <v>103</v>
      </c>
      <c r="E54" s="37" t="s">
        <v>309</v>
      </c>
      <c r="F54" s="26" t="s">
        <v>40</v>
      </c>
      <c r="G54" s="14" t="s">
        <v>20</v>
      </c>
      <c r="H54" s="14" t="s">
        <v>2230</v>
      </c>
      <c r="I54" s="14" t="s">
        <v>2231</v>
      </c>
      <c r="J54" s="14" t="s">
        <v>2128</v>
      </c>
      <c r="K54" s="14"/>
      <c r="L54" s="14" t="str">
        <f t="shared" si="7"/>
        <v>CharacterNameTag(1010520001)</v>
      </c>
      <c r="M54" s="14" t="s">
        <v>1490</v>
      </c>
      <c r="N54" s="14"/>
      <c r="O54" s="14"/>
      <c r="P54" s="14"/>
      <c r="Q54" s="14" t="b">
        <v>0</v>
      </c>
      <c r="R54" s="14" t="b">
        <v>1</v>
      </c>
      <c r="S54" s="14"/>
      <c r="T54" s="14"/>
    </row>
    <row r="55" spans="1:20">
      <c r="A55" s="14" t="str">
        <f t="shared" si="6"/>
        <v>1030016</v>
      </c>
      <c r="B55" s="40">
        <v>52000210</v>
      </c>
      <c r="C55" s="41" t="s">
        <v>377</v>
      </c>
      <c r="D55" s="4">
        <v>103</v>
      </c>
      <c r="E55" s="37" t="s">
        <v>310</v>
      </c>
      <c r="F55" s="26" t="s">
        <v>40</v>
      </c>
      <c r="G55" s="14" t="s">
        <v>20</v>
      </c>
      <c r="H55" s="14" t="s">
        <v>2232</v>
      </c>
      <c r="I55" s="14" t="s">
        <v>2233</v>
      </c>
      <c r="J55" s="14" t="s">
        <v>2129</v>
      </c>
      <c r="K55" s="14"/>
      <c r="L55" s="14" t="str">
        <f t="shared" si="7"/>
        <v>CharacterNameTag(1010520002)</v>
      </c>
      <c r="M55" s="14" t="s">
        <v>1490</v>
      </c>
      <c r="N55" s="14"/>
      <c r="O55" s="14"/>
      <c r="P55" s="14"/>
      <c r="Q55" s="14" t="b">
        <v>0</v>
      </c>
      <c r="R55" s="14" t="b">
        <v>1</v>
      </c>
      <c r="S55" s="14"/>
      <c r="T55" s="14"/>
    </row>
    <row r="56" spans="1:20">
      <c r="A56" s="14" t="str">
        <f t="shared" si="6"/>
        <v>1030017</v>
      </c>
      <c r="B56" s="40">
        <v>52000310</v>
      </c>
      <c r="C56" s="41" t="s">
        <v>359</v>
      </c>
      <c r="D56" s="4">
        <v>103</v>
      </c>
      <c r="E56" s="37" t="s">
        <v>311</v>
      </c>
      <c r="F56" s="26" t="s">
        <v>40</v>
      </c>
      <c r="G56" s="14" t="s">
        <v>20</v>
      </c>
      <c r="H56" s="106" t="s">
        <v>2234</v>
      </c>
      <c r="I56" s="106" t="s">
        <v>2235</v>
      </c>
      <c r="J56" s="14" t="s">
        <v>2130</v>
      </c>
      <c r="K56" s="14"/>
      <c r="L56" s="14" t="str">
        <f t="shared" si="7"/>
        <v>CharacterNameTag(1010520003)</v>
      </c>
      <c r="M56" s="14" t="s">
        <v>1490</v>
      </c>
      <c r="N56" s="14"/>
      <c r="O56" s="14"/>
      <c r="P56" s="14"/>
      <c r="Q56" s="14" t="b">
        <v>0</v>
      </c>
      <c r="R56" s="14" t="b">
        <v>1</v>
      </c>
      <c r="S56" s="14"/>
      <c r="T56" s="14"/>
    </row>
    <row r="57" spans="1:20">
      <c r="A57" s="14" t="str">
        <f t="shared" si="6"/>
        <v>1030018</v>
      </c>
      <c r="B57" s="40">
        <v>52000410</v>
      </c>
      <c r="C57" s="41" t="s">
        <v>364</v>
      </c>
      <c r="D57" s="4">
        <v>103</v>
      </c>
      <c r="E57" s="37" t="s">
        <v>312</v>
      </c>
      <c r="F57" s="26" t="s">
        <v>40</v>
      </c>
      <c r="G57" s="14" t="s">
        <v>20</v>
      </c>
      <c r="H57" s="14" t="s">
        <v>2236</v>
      </c>
      <c r="I57" s="14" t="s">
        <v>2237</v>
      </c>
      <c r="J57" s="14" t="s">
        <v>2131</v>
      </c>
      <c r="K57" s="14"/>
      <c r="L57" s="14" t="str">
        <f t="shared" si="7"/>
        <v>CharacterNameTag(1010520004)</v>
      </c>
      <c r="M57" s="14" t="s">
        <v>1490</v>
      </c>
      <c r="N57" s="14"/>
      <c r="O57" s="14"/>
      <c r="P57" s="14"/>
      <c r="Q57" s="14" t="b">
        <v>0</v>
      </c>
      <c r="R57" s="14" t="b">
        <v>1</v>
      </c>
      <c r="S57" s="14"/>
      <c r="T57" s="14"/>
    </row>
    <row r="58" spans="1:20">
      <c r="A58" s="14" t="str">
        <f t="shared" si="6"/>
        <v>1030019</v>
      </c>
      <c r="B58" s="40">
        <v>52000510</v>
      </c>
      <c r="C58" s="41" t="s">
        <v>354</v>
      </c>
      <c r="D58" s="4">
        <v>103</v>
      </c>
      <c r="E58" s="37" t="s">
        <v>313</v>
      </c>
      <c r="F58" s="26" t="s">
        <v>40</v>
      </c>
      <c r="G58" s="14" t="s">
        <v>20</v>
      </c>
      <c r="H58" s="14" t="s">
        <v>2238</v>
      </c>
      <c r="I58" s="14" t="s">
        <v>2239</v>
      </c>
      <c r="J58" s="14" t="s">
        <v>2132</v>
      </c>
      <c r="K58" s="14"/>
      <c r="L58" s="14" t="str">
        <f t="shared" si="7"/>
        <v>CharacterNameTag(1010520005)</v>
      </c>
      <c r="M58" s="14" t="s">
        <v>1490</v>
      </c>
      <c r="N58" s="14"/>
      <c r="O58" s="14"/>
      <c r="P58" s="14"/>
      <c r="Q58" s="14" t="b">
        <v>0</v>
      </c>
      <c r="R58" s="14" t="b">
        <v>1</v>
      </c>
      <c r="S58" s="14"/>
      <c r="T58" s="14"/>
    </row>
    <row r="59" spans="1:20">
      <c r="A59" s="14" t="str">
        <f t="shared" si="6"/>
        <v>1030020</v>
      </c>
      <c r="B59" s="40">
        <v>32000210</v>
      </c>
      <c r="C59" s="41" t="s">
        <v>378</v>
      </c>
      <c r="D59" s="4">
        <v>103</v>
      </c>
      <c r="E59" s="37" t="s">
        <v>314</v>
      </c>
      <c r="F59" s="26" t="s">
        <v>40</v>
      </c>
      <c r="G59" s="14" t="s">
        <v>20</v>
      </c>
      <c r="H59" s="14" t="s">
        <v>2240</v>
      </c>
      <c r="I59" s="14" t="s">
        <v>2241</v>
      </c>
      <c r="J59" s="14" t="s">
        <v>2133</v>
      </c>
      <c r="K59" s="14"/>
      <c r="L59" s="14" t="str">
        <f t="shared" si="7"/>
        <v>CharacterNameTag(1010320002)</v>
      </c>
      <c r="M59" s="14" t="s">
        <v>1490</v>
      </c>
      <c r="N59" s="14"/>
      <c r="O59" s="14"/>
      <c r="P59" s="14"/>
      <c r="Q59" s="14" t="b">
        <v>0</v>
      </c>
      <c r="R59" s="14" t="b">
        <v>1</v>
      </c>
      <c r="S59" s="14"/>
      <c r="T59" s="14"/>
    </row>
    <row r="60" spans="1:20" s="72" customFormat="1">
      <c r="A60" s="16" t="str">
        <f t="shared" si="6"/>
        <v>1030021</v>
      </c>
      <c r="B60" s="42">
        <v>93000110</v>
      </c>
      <c r="C60" s="43" t="s">
        <v>411</v>
      </c>
      <c r="D60" s="8">
        <v>103</v>
      </c>
      <c r="E60" s="39" t="s">
        <v>315</v>
      </c>
      <c r="F60" s="32" t="s">
        <v>40</v>
      </c>
      <c r="G60" s="16" t="s">
        <v>20</v>
      </c>
      <c r="H60" s="14" t="s">
        <v>2242</v>
      </c>
      <c r="I60" s="14" t="s">
        <v>2243</v>
      </c>
      <c r="J60" s="16" t="s">
        <v>2134</v>
      </c>
      <c r="K60" s="16"/>
      <c r="L60" s="16" t="str">
        <f t="shared" si="7"/>
        <v>CharacterNameTag(1010930001)</v>
      </c>
      <c r="M60" s="14" t="s">
        <v>1490</v>
      </c>
      <c r="N60" s="16"/>
      <c r="O60" s="16"/>
      <c r="P60" s="16"/>
      <c r="Q60" s="16" t="b">
        <v>1</v>
      </c>
      <c r="R60" s="16" t="b">
        <v>1</v>
      </c>
      <c r="S60" s="16"/>
      <c r="T60" s="16"/>
    </row>
    <row r="61" spans="1:20" s="72" customFormat="1">
      <c r="A61" s="16" t="str">
        <f t="shared" si="6"/>
        <v>1030022</v>
      </c>
      <c r="B61" s="42">
        <v>93000310</v>
      </c>
      <c r="C61" s="43" t="s">
        <v>412</v>
      </c>
      <c r="D61" s="8">
        <v>103</v>
      </c>
      <c r="E61" s="39" t="s">
        <v>316</v>
      </c>
      <c r="F61" s="32" t="s">
        <v>40</v>
      </c>
      <c r="G61" s="16" t="s">
        <v>20</v>
      </c>
      <c r="H61" s="14" t="s">
        <v>2244</v>
      </c>
      <c r="I61" s="14" t="s">
        <v>2245</v>
      </c>
      <c r="J61" s="16" t="s">
        <v>2135</v>
      </c>
      <c r="K61" s="16"/>
      <c r="L61" s="16" t="str">
        <f t="shared" si="7"/>
        <v>CharacterNameTag(1010930003)</v>
      </c>
      <c r="M61" s="14" t="s">
        <v>1490</v>
      </c>
      <c r="N61" s="16"/>
      <c r="O61" s="16"/>
      <c r="P61" s="16"/>
      <c r="Q61" s="16" t="b">
        <v>1</v>
      </c>
      <c r="R61" s="16" t="b">
        <v>1</v>
      </c>
      <c r="S61" s="16"/>
      <c r="T61" s="16"/>
    </row>
    <row r="62" spans="1:20">
      <c r="A62" s="14" t="str">
        <f t="shared" si="6"/>
        <v>1030023</v>
      </c>
      <c r="B62" s="40">
        <v>93000510</v>
      </c>
      <c r="C62" s="41" t="s">
        <v>346</v>
      </c>
      <c r="D62" s="4">
        <v>103</v>
      </c>
      <c r="E62" s="37" t="s">
        <v>317</v>
      </c>
      <c r="F62" s="26" t="s">
        <v>40</v>
      </c>
      <c r="G62" s="14" t="s">
        <v>20</v>
      </c>
      <c r="H62" s="14" t="s">
        <v>2246</v>
      </c>
      <c r="I62" s="14" t="s">
        <v>2247</v>
      </c>
      <c r="J62" s="14" t="s">
        <v>2136</v>
      </c>
      <c r="K62" s="14"/>
      <c r="L62" s="14" t="str">
        <f t="shared" si="7"/>
        <v>CharacterNameTag(1010930005)</v>
      </c>
      <c r="M62" s="14" t="s">
        <v>1490</v>
      </c>
      <c r="N62" s="14"/>
      <c r="O62" s="14"/>
      <c r="P62" s="14"/>
      <c r="Q62" s="14" t="b">
        <v>0</v>
      </c>
      <c r="R62" s="14" t="b">
        <v>1</v>
      </c>
      <c r="S62" s="14"/>
      <c r="T62" s="14"/>
    </row>
    <row r="63" spans="1:20">
      <c r="A63" s="14" t="str">
        <f t="shared" si="6"/>
        <v>1030024</v>
      </c>
      <c r="B63" s="40">
        <v>73000110</v>
      </c>
      <c r="C63" s="41" t="s">
        <v>379</v>
      </c>
      <c r="D63" s="4">
        <v>103</v>
      </c>
      <c r="E63" s="37" t="s">
        <v>318</v>
      </c>
      <c r="F63" s="26" t="s">
        <v>40</v>
      </c>
      <c r="G63" s="14" t="s">
        <v>20</v>
      </c>
      <c r="H63" s="14" t="s">
        <v>2248</v>
      </c>
      <c r="I63" s="14" t="s">
        <v>2249</v>
      </c>
      <c r="J63" s="14" t="s">
        <v>2137</v>
      </c>
      <c r="K63" s="14"/>
      <c r="L63" s="14" t="str">
        <f t="shared" si="7"/>
        <v>CharacterNameTag(1010730001)</v>
      </c>
      <c r="M63" s="14" t="s">
        <v>1490</v>
      </c>
      <c r="N63" s="14"/>
      <c r="O63" s="14"/>
      <c r="P63" s="14"/>
      <c r="Q63" s="14" t="b">
        <v>0</v>
      </c>
      <c r="R63" s="14" t="b">
        <v>1</v>
      </c>
      <c r="S63" s="14"/>
      <c r="T63" s="14"/>
    </row>
    <row r="64" spans="1:20">
      <c r="A64" s="14" t="str">
        <f t="shared" si="6"/>
        <v>1030025</v>
      </c>
      <c r="B64" s="40">
        <v>73000210</v>
      </c>
      <c r="C64" s="41" t="s">
        <v>344</v>
      </c>
      <c r="D64" s="4">
        <v>103</v>
      </c>
      <c r="E64" s="37" t="s">
        <v>319</v>
      </c>
      <c r="F64" s="26" t="s">
        <v>40</v>
      </c>
      <c r="G64" s="14" t="s">
        <v>20</v>
      </c>
      <c r="H64" s="14" t="s">
        <v>2250</v>
      </c>
      <c r="I64" s="14" t="s">
        <v>2251</v>
      </c>
      <c r="J64" s="14" t="s">
        <v>2138</v>
      </c>
      <c r="K64" s="14"/>
      <c r="L64" s="14" t="str">
        <f t="shared" si="7"/>
        <v>CharacterNameTag(1010730002)</v>
      </c>
      <c r="M64" s="14" t="s">
        <v>1490</v>
      </c>
      <c r="N64" s="14"/>
      <c r="O64" s="14"/>
      <c r="P64" s="14"/>
      <c r="Q64" s="14" t="b">
        <v>1</v>
      </c>
      <c r="R64" s="14" t="b">
        <v>1</v>
      </c>
      <c r="S64" s="14"/>
      <c r="T64" s="14"/>
    </row>
    <row r="65" spans="1:20">
      <c r="A65" s="14" t="str">
        <f t="shared" si="6"/>
        <v>1030026</v>
      </c>
      <c r="B65" s="40">
        <v>73000310</v>
      </c>
      <c r="C65" s="41" t="s">
        <v>341</v>
      </c>
      <c r="D65" s="4">
        <v>103</v>
      </c>
      <c r="E65" s="37" t="s">
        <v>320</v>
      </c>
      <c r="F65" s="26" t="s">
        <v>40</v>
      </c>
      <c r="G65" s="14" t="s">
        <v>20</v>
      </c>
      <c r="H65" s="14" t="s">
        <v>2252</v>
      </c>
      <c r="I65" s="14" t="s">
        <v>2253</v>
      </c>
      <c r="J65" s="14" t="s">
        <v>2139</v>
      </c>
      <c r="K65" s="14"/>
      <c r="L65" s="14" t="str">
        <f t="shared" si="7"/>
        <v>CharacterNameTag(1010730003)</v>
      </c>
      <c r="M65" s="14" t="s">
        <v>1490</v>
      </c>
      <c r="N65" s="14"/>
      <c r="O65" s="14"/>
      <c r="P65" s="14"/>
      <c r="Q65" s="14" t="b">
        <v>0</v>
      </c>
      <c r="R65" s="14" t="b">
        <v>1</v>
      </c>
      <c r="S65" s="14"/>
      <c r="T65" s="14"/>
    </row>
    <row r="66" spans="1:20">
      <c r="A66" s="14" t="str">
        <f t="shared" si="6"/>
        <v>1030027</v>
      </c>
      <c r="B66" s="40">
        <v>73000410</v>
      </c>
      <c r="C66" s="41" t="s">
        <v>340</v>
      </c>
      <c r="D66" s="4">
        <v>103</v>
      </c>
      <c r="E66" s="37" t="s">
        <v>321</v>
      </c>
      <c r="F66" s="26" t="s">
        <v>40</v>
      </c>
      <c r="G66" s="14" t="s">
        <v>20</v>
      </c>
      <c r="H66" s="14" t="s">
        <v>2254</v>
      </c>
      <c r="I66" s="14" t="s">
        <v>2255</v>
      </c>
      <c r="J66" s="14" t="s">
        <v>2140</v>
      </c>
      <c r="K66" s="14"/>
      <c r="L66" s="14" t="str">
        <f t="shared" si="7"/>
        <v>CharacterNameTag(1010730004)</v>
      </c>
      <c r="M66" s="14" t="s">
        <v>1490</v>
      </c>
      <c r="N66" s="14"/>
      <c r="O66" s="14"/>
      <c r="P66" s="14"/>
      <c r="Q66" s="14" t="b">
        <v>0</v>
      </c>
      <c r="R66" s="14" t="b">
        <v>1</v>
      </c>
      <c r="S66" s="14"/>
      <c r="T66" s="14"/>
    </row>
    <row r="67" spans="1:20">
      <c r="A67" s="14" t="str">
        <f t="shared" si="6"/>
        <v>1030028</v>
      </c>
      <c r="B67" s="40">
        <v>73000510</v>
      </c>
      <c r="C67" s="41" t="s">
        <v>350</v>
      </c>
      <c r="D67" s="4">
        <v>103</v>
      </c>
      <c r="E67" s="37" t="s">
        <v>322</v>
      </c>
      <c r="F67" s="26" t="s">
        <v>40</v>
      </c>
      <c r="G67" s="14" t="s">
        <v>20</v>
      </c>
      <c r="H67" s="14" t="s">
        <v>2256</v>
      </c>
      <c r="I67" s="14" t="s">
        <v>2257</v>
      </c>
      <c r="J67" s="14" t="s">
        <v>2141</v>
      </c>
      <c r="K67" s="14"/>
      <c r="L67" s="14" t="str">
        <f t="shared" si="7"/>
        <v>CharacterNameTag(1010730005)</v>
      </c>
      <c r="M67" s="14" t="s">
        <v>1490</v>
      </c>
      <c r="N67" s="14"/>
      <c r="O67" s="14"/>
      <c r="P67" s="14"/>
      <c r="Q67" s="14" t="b">
        <v>0</v>
      </c>
      <c r="R67" s="14" t="b">
        <v>1</v>
      </c>
      <c r="S67" s="14"/>
      <c r="T67" s="14"/>
    </row>
    <row r="68" spans="1:20">
      <c r="A68" s="14" t="str">
        <f t="shared" si="6"/>
        <v>1030029</v>
      </c>
      <c r="B68" s="40">
        <v>53000110</v>
      </c>
      <c r="C68" s="41" t="s">
        <v>440</v>
      </c>
      <c r="D68" s="4">
        <v>103</v>
      </c>
      <c r="E68" s="37" t="s">
        <v>323</v>
      </c>
      <c r="F68" s="26" t="s">
        <v>40</v>
      </c>
      <c r="G68" s="14" t="s">
        <v>20</v>
      </c>
      <c r="H68" s="14" t="s">
        <v>2258</v>
      </c>
      <c r="I68" s="14" t="s">
        <v>2259</v>
      </c>
      <c r="J68" s="14" t="s">
        <v>2142</v>
      </c>
      <c r="K68" s="14"/>
      <c r="L68" s="14" t="str">
        <f t="shared" si="7"/>
        <v>CharacterNameTag(1010530001)</v>
      </c>
      <c r="M68" s="14" t="s">
        <v>1490</v>
      </c>
      <c r="N68" s="14"/>
      <c r="O68" s="14"/>
      <c r="P68" s="14"/>
      <c r="Q68" s="14" t="b">
        <v>1</v>
      </c>
      <c r="R68" s="14" t="b">
        <v>1</v>
      </c>
      <c r="S68" s="14"/>
      <c r="T68" s="14"/>
    </row>
    <row r="69" spans="1:20">
      <c r="A69" s="14" t="str">
        <f t="shared" si="6"/>
        <v>1030030</v>
      </c>
      <c r="B69" s="40">
        <v>53000210</v>
      </c>
      <c r="C69" s="41" t="s">
        <v>351</v>
      </c>
      <c r="D69" s="4">
        <v>103</v>
      </c>
      <c r="E69" s="37" t="s">
        <v>324</v>
      </c>
      <c r="F69" s="26" t="s">
        <v>40</v>
      </c>
      <c r="G69" s="14" t="s">
        <v>20</v>
      </c>
      <c r="H69" s="14" t="s">
        <v>2260</v>
      </c>
      <c r="I69" s="14" t="s">
        <v>2261</v>
      </c>
      <c r="J69" s="14" t="s">
        <v>2143</v>
      </c>
      <c r="K69" s="14"/>
      <c r="L69" s="14" t="str">
        <f t="shared" si="7"/>
        <v>CharacterNameTag(1010530002)</v>
      </c>
      <c r="M69" s="14" t="s">
        <v>1490</v>
      </c>
      <c r="N69" s="14"/>
      <c r="O69" s="14"/>
      <c r="P69" s="14"/>
      <c r="Q69" s="14" t="b">
        <v>0</v>
      </c>
      <c r="R69" s="14" t="b">
        <v>1</v>
      </c>
      <c r="S69" s="14"/>
      <c r="T69" s="14"/>
    </row>
    <row r="70" spans="1:20">
      <c r="A70" s="14" t="str">
        <f t="shared" si="6"/>
        <v>1030031</v>
      </c>
      <c r="B70" s="40">
        <v>53000310</v>
      </c>
      <c r="C70" s="41" t="s">
        <v>352</v>
      </c>
      <c r="D70" s="4">
        <v>103</v>
      </c>
      <c r="E70" s="37" t="s">
        <v>325</v>
      </c>
      <c r="F70" s="26" t="s">
        <v>40</v>
      </c>
      <c r="G70" s="14" t="s">
        <v>20</v>
      </c>
      <c r="H70" s="14" t="s">
        <v>2262</v>
      </c>
      <c r="I70" s="14" t="s">
        <v>2263</v>
      </c>
      <c r="J70" s="14" t="s">
        <v>2144</v>
      </c>
      <c r="K70" s="14"/>
      <c r="L70" s="14" t="str">
        <f t="shared" si="7"/>
        <v>CharacterNameTag(1010530003)</v>
      </c>
      <c r="M70" s="14" t="s">
        <v>1490</v>
      </c>
      <c r="N70" s="14"/>
      <c r="O70" s="14"/>
      <c r="P70" s="14"/>
      <c r="Q70" s="14" t="b">
        <v>1</v>
      </c>
      <c r="R70" s="14" t="b">
        <v>1</v>
      </c>
      <c r="S70" s="14"/>
      <c r="T70" s="14"/>
    </row>
    <row r="71" spans="1:20">
      <c r="A71" s="14" t="str">
        <f t="shared" si="6"/>
        <v>1030032</v>
      </c>
      <c r="B71" s="40">
        <v>53000410</v>
      </c>
      <c r="C71" s="41" t="s">
        <v>360</v>
      </c>
      <c r="D71" s="4">
        <v>103</v>
      </c>
      <c r="E71" s="37" t="s">
        <v>326</v>
      </c>
      <c r="F71" s="26" t="s">
        <v>40</v>
      </c>
      <c r="G71" s="14" t="s">
        <v>20</v>
      </c>
      <c r="H71" s="14" t="s">
        <v>2264</v>
      </c>
      <c r="I71" s="14" t="s">
        <v>2265</v>
      </c>
      <c r="J71" s="14" t="s">
        <v>2145</v>
      </c>
      <c r="K71" s="14"/>
      <c r="L71" s="14" t="str">
        <f t="shared" si="7"/>
        <v>CharacterNameTag(1010530004)</v>
      </c>
      <c r="M71" s="14" t="s">
        <v>1490</v>
      </c>
      <c r="N71" s="14"/>
      <c r="O71" s="14"/>
      <c r="P71" s="14"/>
      <c r="Q71" s="14" t="b">
        <v>0</v>
      </c>
      <c r="R71" s="14" t="b">
        <v>1</v>
      </c>
      <c r="S71" s="14"/>
      <c r="T71" s="14"/>
    </row>
    <row r="72" spans="1:20" s="72" customFormat="1">
      <c r="A72" s="16" t="str">
        <f t="shared" si="6"/>
        <v>1030033</v>
      </c>
      <c r="B72" s="42">
        <v>94000110</v>
      </c>
      <c r="C72" s="43" t="s">
        <v>413</v>
      </c>
      <c r="D72" s="8">
        <v>103</v>
      </c>
      <c r="E72" s="39" t="s">
        <v>327</v>
      </c>
      <c r="F72" s="32" t="s">
        <v>40</v>
      </c>
      <c r="G72" s="16" t="s">
        <v>20</v>
      </c>
      <c r="H72" s="14" t="s">
        <v>2266</v>
      </c>
      <c r="I72" s="14" t="s">
        <v>2267</v>
      </c>
      <c r="J72" s="16" t="s">
        <v>2146</v>
      </c>
      <c r="K72" s="16"/>
      <c r="L72" s="16" t="str">
        <f t="shared" si="7"/>
        <v>CharacterNameTag(1010940001)</v>
      </c>
      <c r="M72" s="14" t="s">
        <v>1490</v>
      </c>
      <c r="N72" s="16"/>
      <c r="O72" s="16"/>
      <c r="P72" s="16"/>
      <c r="Q72" s="16" t="b">
        <v>0</v>
      </c>
      <c r="R72" s="16" t="b">
        <v>1</v>
      </c>
      <c r="S72" s="16"/>
      <c r="T72" s="16"/>
    </row>
    <row r="73" spans="1:20">
      <c r="A73" s="14" t="str">
        <f t="shared" si="6"/>
        <v>1030034</v>
      </c>
      <c r="B73" s="40">
        <v>94000210</v>
      </c>
      <c r="C73" s="41" t="s">
        <v>342</v>
      </c>
      <c r="D73" s="4">
        <v>103</v>
      </c>
      <c r="E73" s="37" t="s">
        <v>328</v>
      </c>
      <c r="F73" s="26" t="s">
        <v>40</v>
      </c>
      <c r="G73" s="14" t="s">
        <v>20</v>
      </c>
      <c r="H73" s="14" t="s">
        <v>2268</v>
      </c>
      <c r="I73" s="14" t="s">
        <v>2269</v>
      </c>
      <c r="J73" s="14" t="s">
        <v>2147</v>
      </c>
      <c r="K73" s="14"/>
      <c r="L73" s="14" t="str">
        <f t="shared" si="7"/>
        <v>CharacterNameTag(1010940002)</v>
      </c>
      <c r="M73" s="14" t="s">
        <v>1490</v>
      </c>
      <c r="N73" s="14"/>
      <c r="O73" s="14"/>
      <c r="P73" s="14"/>
      <c r="Q73" s="14" t="b">
        <v>0</v>
      </c>
      <c r="R73" s="14" t="b">
        <v>1</v>
      </c>
      <c r="S73" s="14"/>
      <c r="T73" s="14"/>
    </row>
    <row r="74" spans="1:20">
      <c r="A74" s="14" t="str">
        <f t="shared" si="6"/>
        <v>1030035</v>
      </c>
      <c r="B74" s="40">
        <v>94000310</v>
      </c>
      <c r="C74" s="41" t="s">
        <v>343</v>
      </c>
      <c r="D74" s="4">
        <v>103</v>
      </c>
      <c r="E74" s="37" t="s">
        <v>329</v>
      </c>
      <c r="F74" s="26" t="s">
        <v>40</v>
      </c>
      <c r="G74" s="14" t="s">
        <v>20</v>
      </c>
      <c r="H74" s="14" t="s">
        <v>2270</v>
      </c>
      <c r="I74" s="14" t="s">
        <v>2271</v>
      </c>
      <c r="J74" s="14" t="s">
        <v>2148</v>
      </c>
      <c r="K74" s="14"/>
      <c r="L74" s="14" t="str">
        <f t="shared" si="7"/>
        <v>CharacterNameTag(1010940003)</v>
      </c>
      <c r="M74" s="14" t="s">
        <v>1490</v>
      </c>
      <c r="N74" s="14"/>
      <c r="O74" s="14"/>
      <c r="P74" s="14"/>
      <c r="Q74" s="14" t="b">
        <v>0</v>
      </c>
      <c r="R74" s="14" t="b">
        <v>1</v>
      </c>
      <c r="S74" s="14"/>
      <c r="T74" s="14"/>
    </row>
    <row r="75" spans="1:20">
      <c r="A75" s="14" t="str">
        <f t="shared" si="6"/>
        <v>1030036</v>
      </c>
      <c r="B75" s="40">
        <v>74000110</v>
      </c>
      <c r="C75" s="41" t="s">
        <v>362</v>
      </c>
      <c r="D75" s="4">
        <v>103</v>
      </c>
      <c r="E75" s="37" t="s">
        <v>330</v>
      </c>
      <c r="F75" s="26" t="s">
        <v>40</v>
      </c>
      <c r="G75" s="14" t="s">
        <v>20</v>
      </c>
      <c r="H75" s="14" t="s">
        <v>2272</v>
      </c>
      <c r="I75" s="14" t="s">
        <v>2273</v>
      </c>
      <c r="J75" s="14" t="s">
        <v>2149</v>
      </c>
      <c r="K75" s="14"/>
      <c r="L75" s="14" t="str">
        <f t="shared" si="7"/>
        <v>CharacterNameTag(1010740001)</v>
      </c>
      <c r="M75" s="14" t="s">
        <v>1490</v>
      </c>
      <c r="N75" s="14"/>
      <c r="O75" s="14"/>
      <c r="P75" s="14"/>
      <c r="Q75" s="14" t="b">
        <v>0</v>
      </c>
      <c r="R75" s="14" t="b">
        <v>1</v>
      </c>
      <c r="S75" s="14"/>
      <c r="T75" s="14"/>
    </row>
    <row r="76" spans="1:20">
      <c r="A76" s="14" t="str">
        <f t="shared" si="6"/>
        <v>1030037</v>
      </c>
      <c r="B76" s="40">
        <v>54000110</v>
      </c>
      <c r="C76" s="41" t="s">
        <v>361</v>
      </c>
      <c r="D76" s="4">
        <v>103</v>
      </c>
      <c r="E76" s="37" t="s">
        <v>331</v>
      </c>
      <c r="F76" s="26" t="s">
        <v>40</v>
      </c>
      <c r="G76" s="14" t="s">
        <v>20</v>
      </c>
      <c r="H76" s="14" t="s">
        <v>2274</v>
      </c>
      <c r="I76" s="14" t="s">
        <v>2275</v>
      </c>
      <c r="J76" s="14" t="s">
        <v>2150</v>
      </c>
      <c r="K76" s="14"/>
      <c r="L76" s="14" t="str">
        <f t="shared" si="7"/>
        <v>CharacterNameTag(1010540001)</v>
      </c>
      <c r="M76" s="14" t="s">
        <v>1490</v>
      </c>
      <c r="N76" s="14"/>
      <c r="O76" s="14"/>
      <c r="P76" s="14"/>
      <c r="Q76" s="14" t="b">
        <v>0</v>
      </c>
      <c r="R76" s="14" t="b">
        <v>1</v>
      </c>
      <c r="S76" s="14"/>
      <c r="T76" s="14"/>
    </row>
    <row r="77" spans="1:20" s="72" customFormat="1">
      <c r="A77" s="16" t="str">
        <f t="shared" si="6"/>
        <v>1030038</v>
      </c>
      <c r="B77" s="42">
        <v>93000410</v>
      </c>
      <c r="C77" s="43" t="s">
        <v>367</v>
      </c>
      <c r="D77" s="8">
        <v>103</v>
      </c>
      <c r="E77" s="39" t="s">
        <v>332</v>
      </c>
      <c r="F77" s="32" t="s">
        <v>40</v>
      </c>
      <c r="G77" s="16" t="s">
        <v>20</v>
      </c>
      <c r="H77" s="14" t="s">
        <v>2276</v>
      </c>
      <c r="I77" s="14" t="s">
        <v>2277</v>
      </c>
      <c r="J77" s="16" t="s">
        <v>2151</v>
      </c>
      <c r="K77" s="16"/>
      <c r="L77" s="16" t="str">
        <f t="shared" si="7"/>
        <v>CharacterNameTag(1010930004)</v>
      </c>
      <c r="M77" s="14" t="s">
        <v>1490</v>
      </c>
      <c r="N77" s="16"/>
      <c r="O77" s="16"/>
      <c r="P77" s="16"/>
      <c r="Q77" s="16" t="b">
        <v>1</v>
      </c>
      <c r="R77" s="16" t="b">
        <v>1</v>
      </c>
      <c r="S77" s="16"/>
      <c r="T77" s="16"/>
    </row>
    <row r="78" spans="1:20" s="72" customFormat="1">
      <c r="A78" s="16" t="str">
        <f t="shared" si="6"/>
        <v>1030039</v>
      </c>
      <c r="B78" s="42">
        <v>51000110</v>
      </c>
      <c r="C78" s="43" t="s">
        <v>368</v>
      </c>
      <c r="D78" s="8">
        <v>103</v>
      </c>
      <c r="E78" s="39" t="s">
        <v>333</v>
      </c>
      <c r="F78" s="32" t="s">
        <v>40</v>
      </c>
      <c r="G78" s="16" t="s">
        <v>20</v>
      </c>
      <c r="H78" s="14" t="s">
        <v>2278</v>
      </c>
      <c r="I78" s="14" t="s">
        <v>2279</v>
      </c>
      <c r="J78" s="16" t="s">
        <v>2152</v>
      </c>
      <c r="K78" s="16"/>
      <c r="L78" s="16" t="str">
        <f t="shared" si="7"/>
        <v>CharacterNameTag(1010510001)</v>
      </c>
      <c r="M78" s="14" t="s">
        <v>1490</v>
      </c>
      <c r="N78" s="16"/>
      <c r="O78" s="16"/>
      <c r="P78" s="16"/>
      <c r="Q78" s="16" t="b">
        <v>1</v>
      </c>
      <c r="R78" s="16" t="b">
        <v>1</v>
      </c>
      <c r="S78" s="16"/>
      <c r="T78" s="16"/>
    </row>
    <row r="79" spans="1:20" s="72" customFormat="1">
      <c r="A79" s="16" t="str">
        <f t="shared" si="6"/>
        <v>1030040</v>
      </c>
      <c r="B79" s="42">
        <v>92000510</v>
      </c>
      <c r="C79" s="43" t="s">
        <v>369</v>
      </c>
      <c r="D79" s="8">
        <v>103</v>
      </c>
      <c r="E79" s="39" t="s">
        <v>334</v>
      </c>
      <c r="F79" s="32" t="s">
        <v>40</v>
      </c>
      <c r="G79" s="16" t="s">
        <v>20</v>
      </c>
      <c r="H79" s="14" t="s">
        <v>2280</v>
      </c>
      <c r="I79" s="14" t="s">
        <v>2281</v>
      </c>
      <c r="J79" s="16" t="s">
        <v>2153</v>
      </c>
      <c r="K79" s="16"/>
      <c r="L79" s="16" t="str">
        <f t="shared" si="7"/>
        <v>CharacterNameTag(1010920005)</v>
      </c>
      <c r="M79" s="14" t="s">
        <v>1490</v>
      </c>
      <c r="N79" s="16"/>
      <c r="O79" s="16"/>
      <c r="P79" s="16"/>
      <c r="Q79" s="16" t="b">
        <v>1</v>
      </c>
      <c r="R79" s="16" t="b">
        <v>1</v>
      </c>
      <c r="S79" s="16"/>
      <c r="T79" s="16"/>
    </row>
    <row r="80" spans="1:20" s="72" customFormat="1">
      <c r="A80" s="16" t="str">
        <f t="shared" si="6"/>
        <v>1030041</v>
      </c>
      <c r="B80" s="42">
        <v>93000210</v>
      </c>
      <c r="C80" s="43" t="s">
        <v>370</v>
      </c>
      <c r="D80" s="8">
        <v>103</v>
      </c>
      <c r="E80" s="39" t="s">
        <v>335</v>
      </c>
      <c r="F80" s="32" t="s">
        <v>40</v>
      </c>
      <c r="G80" s="16" t="s">
        <v>20</v>
      </c>
      <c r="H80" s="14" t="s">
        <v>2282</v>
      </c>
      <c r="I80" s="14" t="s">
        <v>2283</v>
      </c>
      <c r="J80" s="16" t="s">
        <v>2154</v>
      </c>
      <c r="K80" s="16"/>
      <c r="L80" s="16" t="str">
        <f t="shared" si="7"/>
        <v>CharacterNameTag(1010930002)</v>
      </c>
      <c r="M80" s="14" t="s">
        <v>1490</v>
      </c>
      <c r="N80" s="16"/>
      <c r="O80" s="16"/>
      <c r="P80" s="16"/>
      <c r="Q80" s="16" t="b">
        <v>1</v>
      </c>
      <c r="R80" s="16" t="b">
        <v>1</v>
      </c>
      <c r="S80" s="16"/>
      <c r="T80" s="16"/>
    </row>
    <row r="81" spans="1:20" s="72" customFormat="1">
      <c r="A81" s="16" t="str">
        <f t="shared" si="6"/>
        <v>1030042</v>
      </c>
      <c r="B81" s="42">
        <v>91000110</v>
      </c>
      <c r="C81" s="43" t="s">
        <v>371</v>
      </c>
      <c r="D81" s="8">
        <v>103</v>
      </c>
      <c r="E81" s="39" t="s">
        <v>336</v>
      </c>
      <c r="F81" s="32" t="s">
        <v>40</v>
      </c>
      <c r="G81" s="16" t="s">
        <v>20</v>
      </c>
      <c r="H81" s="14" t="s">
        <v>2284</v>
      </c>
      <c r="I81" s="14" t="s">
        <v>2285</v>
      </c>
      <c r="J81" s="16" t="s">
        <v>2155</v>
      </c>
      <c r="K81" s="16"/>
      <c r="L81" s="16" t="str">
        <f t="shared" si="7"/>
        <v>CharacterNameTag(1010910001)</v>
      </c>
      <c r="M81" s="14" t="s">
        <v>1490</v>
      </c>
      <c r="N81" s="16"/>
      <c r="O81" s="16"/>
      <c r="P81" s="16"/>
      <c r="Q81" s="16" t="b">
        <v>1</v>
      </c>
      <c r="R81" s="16" t="b">
        <v>1</v>
      </c>
      <c r="S81" s="16"/>
      <c r="T81" s="16"/>
    </row>
    <row r="82" spans="1:20" s="72" customFormat="1">
      <c r="A82" s="16" t="str">
        <f t="shared" si="6"/>
        <v>1030043</v>
      </c>
      <c r="B82" s="42">
        <v>92000110</v>
      </c>
      <c r="C82" s="43" t="s">
        <v>372</v>
      </c>
      <c r="D82" s="8">
        <v>103</v>
      </c>
      <c r="E82" s="39" t="s">
        <v>337</v>
      </c>
      <c r="F82" s="32" t="s">
        <v>40</v>
      </c>
      <c r="G82" s="16" t="s">
        <v>20</v>
      </c>
      <c r="H82" s="14" t="s">
        <v>2286</v>
      </c>
      <c r="I82" s="14" t="s">
        <v>2287</v>
      </c>
      <c r="J82" s="16" t="s">
        <v>2156</v>
      </c>
      <c r="K82" s="16"/>
      <c r="L82" s="16" t="str">
        <f t="shared" si="7"/>
        <v>CharacterNameTag(1010920001)</v>
      </c>
      <c r="M82" s="14" t="s">
        <v>1490</v>
      </c>
      <c r="N82" s="16"/>
      <c r="O82" s="16"/>
      <c r="P82" s="16"/>
      <c r="Q82" s="16" t="b">
        <v>1</v>
      </c>
      <c r="R82" s="16" t="b">
        <v>1</v>
      </c>
      <c r="S82" s="16"/>
      <c r="T82" s="16"/>
    </row>
    <row r="83" spans="1:20" s="72" customFormat="1">
      <c r="A83" s="16" t="str">
        <f t="shared" si="6"/>
        <v>1030044</v>
      </c>
      <c r="B83" s="42">
        <v>74000210</v>
      </c>
      <c r="C83" s="43" t="s">
        <v>373</v>
      </c>
      <c r="D83" s="8">
        <v>103</v>
      </c>
      <c r="E83" s="39" t="s">
        <v>338</v>
      </c>
      <c r="F83" s="32" t="s">
        <v>40</v>
      </c>
      <c r="G83" s="16" t="s">
        <v>20</v>
      </c>
      <c r="H83" s="14" t="s">
        <v>2288</v>
      </c>
      <c r="I83" s="14" t="s">
        <v>2289</v>
      </c>
      <c r="J83" s="16" t="s">
        <v>2157</v>
      </c>
      <c r="K83" s="16"/>
      <c r="L83" s="16" t="str">
        <f t="shared" si="7"/>
        <v>CharacterNameTag(1010740002)</v>
      </c>
      <c r="M83" s="14" t="s">
        <v>1490</v>
      </c>
      <c r="N83" s="16"/>
      <c r="O83" s="16"/>
      <c r="P83" s="16"/>
      <c r="Q83" s="16" t="b">
        <v>1</v>
      </c>
      <c r="R83" s="16" t="b">
        <v>1</v>
      </c>
      <c r="S83" s="16"/>
      <c r="T83" s="16"/>
    </row>
    <row r="84" spans="1:20" s="72" customFormat="1">
      <c r="A84" s="16" t="str">
        <f t="shared" si="6"/>
        <v>1030045</v>
      </c>
      <c r="B84" s="76" t="s">
        <v>1380</v>
      </c>
      <c r="C84" s="43" t="s">
        <v>374</v>
      </c>
      <c r="D84" s="8">
        <v>103</v>
      </c>
      <c r="E84" s="39" t="s">
        <v>339</v>
      </c>
      <c r="F84" s="32" t="s">
        <v>40</v>
      </c>
      <c r="G84" s="16" t="s">
        <v>20</v>
      </c>
      <c r="H84" s="14" t="s">
        <v>2290</v>
      </c>
      <c r="I84" s="14" t="s">
        <v>2291</v>
      </c>
      <c r="J84" s="16" t="s">
        <v>2158</v>
      </c>
      <c r="K84" s="16"/>
      <c r="L84" s="16" t="str">
        <f t="shared" si="7"/>
        <v>CharacterNameTag(1010920006)</v>
      </c>
      <c r="M84" s="14" t="s">
        <v>1490</v>
      </c>
      <c r="N84" s="16"/>
      <c r="O84" s="16"/>
      <c r="P84" s="16"/>
      <c r="Q84" s="16" t="b">
        <v>1</v>
      </c>
      <c r="R84" s="16" t="b">
        <v>1</v>
      </c>
      <c r="S84" s="16"/>
      <c r="T84" s="16"/>
    </row>
    <row r="85" spans="1:20">
      <c r="A85" s="14" t="str">
        <f>D85&amp;E85</f>
        <v>1021901</v>
      </c>
      <c r="B85" s="59">
        <v>92000210</v>
      </c>
      <c r="C85" s="36" t="s">
        <v>1500</v>
      </c>
      <c r="D85" s="4">
        <v>102</v>
      </c>
      <c r="E85" s="24">
        <v>1901</v>
      </c>
      <c r="F85" s="26" t="s">
        <v>40</v>
      </c>
      <c r="G85" s="14" t="s">
        <v>20</v>
      </c>
      <c r="H85" s="14" t="s">
        <v>2292</v>
      </c>
      <c r="I85" s="14" t="s">
        <v>2293</v>
      </c>
      <c r="J85" s="14" t="s">
        <v>2159</v>
      </c>
      <c r="K85" s="14"/>
      <c r="L85" s="14" t="str">
        <f t="shared" si="7"/>
        <v>CharacterNameTag(1010920002)</v>
      </c>
      <c r="M85" s="14" t="s">
        <v>1490</v>
      </c>
      <c r="N85" s="63"/>
      <c r="O85" s="14"/>
      <c r="P85" s="14"/>
      <c r="Q85" s="14" t="b">
        <v>0</v>
      </c>
      <c r="R85" s="14" t="b">
        <v>1</v>
      </c>
      <c r="S85" s="14"/>
      <c r="T85" s="14"/>
    </row>
    <row r="86" spans="1:20" s="79" customFormat="1">
      <c r="A86" s="79" t="s">
        <v>1418</v>
      </c>
      <c r="B86" s="80"/>
      <c r="C86" s="81"/>
      <c r="D86" s="82"/>
      <c r="E86" s="82"/>
      <c r="F86" s="83"/>
    </row>
    <row r="87" spans="1:20">
      <c r="A87" s="14" t="str">
        <f t="shared" ref="A87:A115" si="8">D87&amp;E87</f>
        <v>1010003</v>
      </c>
      <c r="B87" s="59">
        <v>73000310</v>
      </c>
      <c r="C87" s="36" t="s">
        <v>613</v>
      </c>
      <c r="D87" s="4">
        <v>101</v>
      </c>
      <c r="E87" s="24" t="s">
        <v>380</v>
      </c>
      <c r="F87" s="26" t="s">
        <v>40</v>
      </c>
      <c r="G87" s="14" t="s">
        <v>20</v>
      </c>
      <c r="H87" s="14" t="s">
        <v>2294</v>
      </c>
      <c r="I87" s="14" t="s">
        <v>2295</v>
      </c>
      <c r="J87" s="60" t="s">
        <v>2160</v>
      </c>
      <c r="K87" s="60"/>
      <c r="L87" s="14" t="str">
        <f>"FavorabilityLevel(3,1010"&amp;LEFT(B87,6)&amp;")"</f>
        <v>FavorabilityLevel(3,1010730003)</v>
      </c>
      <c r="M87" s="14" t="s">
        <v>1487</v>
      </c>
      <c r="N87" s="63"/>
      <c r="O87" s="14"/>
      <c r="P87" s="14"/>
      <c r="Q87" s="14" t="b">
        <v>1</v>
      </c>
      <c r="R87" s="14" t="b">
        <v>1</v>
      </c>
      <c r="S87" s="14"/>
      <c r="T87" s="14"/>
    </row>
    <row r="88" spans="1:20">
      <c r="A88" s="14" t="str">
        <f t="shared" si="8"/>
        <v>1010005</v>
      </c>
      <c r="B88" s="59">
        <v>73000410</v>
      </c>
      <c r="C88" s="36" t="s">
        <v>555</v>
      </c>
      <c r="D88" s="4">
        <v>101</v>
      </c>
      <c r="E88" s="24" t="s">
        <v>267</v>
      </c>
      <c r="F88" s="26" t="s">
        <v>40</v>
      </c>
      <c r="G88" s="14" t="s">
        <v>20</v>
      </c>
      <c r="H88" s="14" t="s">
        <v>2296</v>
      </c>
      <c r="I88" s="14" t="s">
        <v>2297</v>
      </c>
      <c r="J88" s="60" t="s">
        <v>739</v>
      </c>
      <c r="K88" s="60"/>
      <c r="L88" s="14" t="str">
        <f>"FavorabilityLevel(3,1010"&amp;LEFT(B88,6)&amp;")"</f>
        <v>FavorabilityLevel(3,1010730004)</v>
      </c>
      <c r="M88" s="14" t="s">
        <v>1487</v>
      </c>
      <c r="N88" s="63"/>
      <c r="O88" s="14"/>
      <c r="P88" s="14"/>
      <c r="Q88" s="14" t="b">
        <v>0</v>
      </c>
      <c r="R88" s="14" t="b">
        <v>1</v>
      </c>
      <c r="S88" s="14"/>
      <c r="T88" s="14"/>
    </row>
    <row r="89" spans="1:20">
      <c r="A89" s="14" t="str">
        <f t="shared" si="8"/>
        <v>1010007</v>
      </c>
      <c r="B89" s="59">
        <v>33000210</v>
      </c>
      <c r="C89" s="36" t="s">
        <v>491</v>
      </c>
      <c r="D89" s="4">
        <v>101</v>
      </c>
      <c r="E89" s="24" t="s">
        <v>269</v>
      </c>
      <c r="F89" s="26" t="s">
        <v>40</v>
      </c>
      <c r="G89" s="14" t="s">
        <v>20</v>
      </c>
      <c r="H89" s="14" t="s">
        <v>2298</v>
      </c>
      <c r="I89" s="14" t="s">
        <v>2299</v>
      </c>
      <c r="J89" s="60" t="s">
        <v>741</v>
      </c>
      <c r="K89" s="60"/>
      <c r="L89" s="14" t="str">
        <f t="shared" ref="L89:L115" si="9">"FavorabilityLevel(3,1010"&amp;LEFT(B89,6)&amp;")"</f>
        <v>FavorabilityLevel(3,1010330002)</v>
      </c>
      <c r="M89" s="14" t="s">
        <v>1487</v>
      </c>
      <c r="N89" s="63"/>
      <c r="O89" s="14"/>
      <c r="P89" s="14"/>
      <c r="Q89" s="14" t="b">
        <v>1</v>
      </c>
      <c r="R89" s="14" t="b">
        <v>1</v>
      </c>
      <c r="S89" s="14"/>
      <c r="T89" s="14"/>
    </row>
    <row r="90" spans="1:20">
      <c r="A90" s="14" t="str">
        <f t="shared" si="8"/>
        <v>1020101</v>
      </c>
      <c r="B90" s="59">
        <v>72000310</v>
      </c>
      <c r="C90" s="36" t="s">
        <v>515</v>
      </c>
      <c r="D90" s="4">
        <v>102</v>
      </c>
      <c r="E90" s="37" t="s">
        <v>273</v>
      </c>
      <c r="F90" s="26" t="s">
        <v>40</v>
      </c>
      <c r="G90" s="14" t="s">
        <v>20</v>
      </c>
      <c r="H90" s="14" t="s">
        <v>2300</v>
      </c>
      <c r="I90" s="14" t="s">
        <v>2301</v>
      </c>
      <c r="J90" s="14" t="s">
        <v>744</v>
      </c>
      <c r="K90" s="14"/>
      <c r="L90" s="14" t="str">
        <f t="shared" si="9"/>
        <v>FavorabilityLevel(3,1010720003)</v>
      </c>
      <c r="M90" s="14" t="s">
        <v>1487</v>
      </c>
      <c r="N90" s="63"/>
      <c r="O90" s="14"/>
      <c r="P90" s="14"/>
      <c r="Q90" s="14" t="b">
        <v>0</v>
      </c>
      <c r="R90" s="14" t="b">
        <v>1</v>
      </c>
      <c r="S90" s="14"/>
      <c r="T90" s="14"/>
    </row>
    <row r="91" spans="1:20">
      <c r="A91" s="14" t="str">
        <f t="shared" si="8"/>
        <v>1020103</v>
      </c>
      <c r="B91" s="59">
        <v>72000610</v>
      </c>
      <c r="C91" s="71" t="s">
        <v>534</v>
      </c>
      <c r="D91" s="4">
        <v>102</v>
      </c>
      <c r="E91" s="37" t="s">
        <v>275</v>
      </c>
      <c r="F91" s="26" t="s">
        <v>40</v>
      </c>
      <c r="G91" s="14" t="s">
        <v>20</v>
      </c>
      <c r="H91" s="14" t="s">
        <v>2302</v>
      </c>
      <c r="I91" s="14" t="s">
        <v>2303</v>
      </c>
      <c r="J91" s="14" t="s">
        <v>745</v>
      </c>
      <c r="K91" s="14"/>
      <c r="L91" s="14" t="str">
        <f t="shared" si="9"/>
        <v>FavorabilityLevel(3,1010720006)</v>
      </c>
      <c r="M91" s="14" t="s">
        <v>1487</v>
      </c>
      <c r="N91" s="63"/>
      <c r="O91" s="14"/>
      <c r="P91" s="14"/>
      <c r="Q91" s="14" t="b">
        <v>1</v>
      </c>
      <c r="R91" s="14" t="b">
        <v>1</v>
      </c>
      <c r="S91" s="14"/>
      <c r="T91" s="14"/>
    </row>
    <row r="92" spans="1:20">
      <c r="A92" s="14" t="str">
        <f t="shared" si="8"/>
        <v>1020201</v>
      </c>
      <c r="B92" s="59">
        <v>94000310</v>
      </c>
      <c r="C92" s="36" t="s">
        <v>549</v>
      </c>
      <c r="D92" s="4">
        <v>102</v>
      </c>
      <c r="E92" s="37" t="s">
        <v>276</v>
      </c>
      <c r="F92" s="26" t="s">
        <v>40</v>
      </c>
      <c r="G92" s="14" t="s">
        <v>20</v>
      </c>
      <c r="H92" s="14" t="s">
        <v>2304</v>
      </c>
      <c r="I92" s="14" t="s">
        <v>2305</v>
      </c>
      <c r="J92" s="14" t="s">
        <v>746</v>
      </c>
      <c r="K92" s="14"/>
      <c r="L92" s="14" t="str">
        <f t="shared" si="9"/>
        <v>FavorabilityLevel(3,1010940003)</v>
      </c>
      <c r="M92" s="14" t="s">
        <v>1487</v>
      </c>
      <c r="N92" s="63"/>
      <c r="O92" s="14"/>
      <c r="P92" s="14"/>
      <c r="Q92" s="14" t="b">
        <v>0</v>
      </c>
      <c r="R92" s="14" t="b">
        <v>1</v>
      </c>
      <c r="S92" s="14"/>
      <c r="T92" s="14"/>
    </row>
    <row r="93" spans="1:20">
      <c r="A93" s="14" t="str">
        <f t="shared" si="8"/>
        <v>1020202</v>
      </c>
      <c r="B93" s="14">
        <v>72000510</v>
      </c>
      <c r="C93" s="36" t="s">
        <v>529</v>
      </c>
      <c r="D93" s="4">
        <v>102</v>
      </c>
      <c r="E93" s="37" t="s">
        <v>277</v>
      </c>
      <c r="F93" s="26" t="s">
        <v>40</v>
      </c>
      <c r="G93" s="14" t="s">
        <v>20</v>
      </c>
      <c r="H93" s="14" t="s">
        <v>2306</v>
      </c>
      <c r="I93" s="14" t="s">
        <v>2307</v>
      </c>
      <c r="J93" s="14" t="s">
        <v>747</v>
      </c>
      <c r="K93" s="14"/>
      <c r="L93" s="14" t="str">
        <f t="shared" si="9"/>
        <v>FavorabilityLevel(3,1010720005)</v>
      </c>
      <c r="M93" s="14" t="s">
        <v>1487</v>
      </c>
      <c r="N93" s="63"/>
      <c r="O93" s="14"/>
      <c r="P93" s="14"/>
      <c r="Q93" s="14" t="b">
        <v>0</v>
      </c>
      <c r="R93" s="14" t="b">
        <v>1</v>
      </c>
      <c r="S93" s="14"/>
      <c r="T93" s="14"/>
    </row>
    <row r="94" spans="1:20">
      <c r="A94" s="14" t="str">
        <f t="shared" si="8"/>
        <v>1020203</v>
      </c>
      <c r="B94" s="14">
        <v>94000210</v>
      </c>
      <c r="C94" s="36" t="s">
        <v>527</v>
      </c>
      <c r="D94" s="4">
        <v>102</v>
      </c>
      <c r="E94" s="37" t="s">
        <v>278</v>
      </c>
      <c r="F94" s="26" t="s">
        <v>40</v>
      </c>
      <c r="G94" s="14" t="s">
        <v>20</v>
      </c>
      <c r="H94" s="14" t="s">
        <v>2308</v>
      </c>
      <c r="I94" s="14" t="s">
        <v>2309</v>
      </c>
      <c r="J94" s="14" t="s">
        <v>748</v>
      </c>
      <c r="K94" s="14"/>
      <c r="L94" s="14" t="str">
        <f t="shared" si="9"/>
        <v>FavorabilityLevel(3,1010940002)</v>
      </c>
      <c r="M94" s="14" t="s">
        <v>1487</v>
      </c>
      <c r="N94" s="63"/>
      <c r="O94" s="14"/>
      <c r="P94" s="14"/>
      <c r="Q94" s="14" t="b">
        <v>1</v>
      </c>
      <c r="R94" s="14" t="b">
        <v>1</v>
      </c>
      <c r="S94" s="14"/>
      <c r="T94" s="14"/>
    </row>
    <row r="95" spans="1:20">
      <c r="A95" s="14" t="str">
        <f t="shared" si="8"/>
        <v>1020302</v>
      </c>
      <c r="B95" s="59">
        <v>53000410</v>
      </c>
      <c r="C95" s="36" t="s">
        <v>451</v>
      </c>
      <c r="D95" s="4">
        <v>102</v>
      </c>
      <c r="E95" s="37" t="s">
        <v>280</v>
      </c>
      <c r="F95" s="26" t="s">
        <v>40</v>
      </c>
      <c r="G95" s="14" t="s">
        <v>20</v>
      </c>
      <c r="H95" s="14" t="s">
        <v>2310</v>
      </c>
      <c r="I95" s="14" t="s">
        <v>2311</v>
      </c>
      <c r="J95" s="14" t="s">
        <v>752</v>
      </c>
      <c r="K95" s="14"/>
      <c r="L95" s="14" t="str">
        <f t="shared" si="9"/>
        <v>FavorabilityLevel(3,1010530004)</v>
      </c>
      <c r="M95" s="14" t="s">
        <v>1487</v>
      </c>
      <c r="N95" s="63"/>
      <c r="O95" s="14"/>
      <c r="P95" s="14"/>
      <c r="Q95" s="14" t="b">
        <v>1</v>
      </c>
      <c r="R95" s="14" t="b">
        <v>1</v>
      </c>
      <c r="S95" s="14"/>
      <c r="T95" s="14"/>
    </row>
    <row r="96" spans="1:20">
      <c r="A96" s="14" t="str">
        <f t="shared" si="8"/>
        <v>1020303</v>
      </c>
      <c r="B96" s="59">
        <v>72000410</v>
      </c>
      <c r="C96" s="36" t="s">
        <v>592</v>
      </c>
      <c r="D96" s="4">
        <v>102</v>
      </c>
      <c r="E96" s="37" t="s">
        <v>281</v>
      </c>
      <c r="F96" s="26" t="s">
        <v>40</v>
      </c>
      <c r="G96" s="14" t="s">
        <v>20</v>
      </c>
      <c r="H96" s="14" t="s">
        <v>2312</v>
      </c>
      <c r="I96" s="14" t="s">
        <v>2313</v>
      </c>
      <c r="J96" s="14" t="s">
        <v>749</v>
      </c>
      <c r="K96" s="14"/>
      <c r="L96" s="14" t="str">
        <f t="shared" si="9"/>
        <v>FavorabilityLevel(3,1010720004)</v>
      </c>
      <c r="M96" s="14" t="s">
        <v>1487</v>
      </c>
      <c r="N96" s="63"/>
      <c r="O96" s="14"/>
      <c r="P96" s="14"/>
      <c r="Q96" s="14" t="b">
        <v>0</v>
      </c>
      <c r="R96" s="14" t="b">
        <v>1</v>
      </c>
      <c r="S96" s="14"/>
      <c r="T96" s="14"/>
    </row>
    <row r="97" spans="1:20">
      <c r="A97" s="14" t="str">
        <f t="shared" si="8"/>
        <v>1020401</v>
      </c>
      <c r="B97" s="14">
        <v>93000510</v>
      </c>
      <c r="C97" s="36" t="s">
        <v>469</v>
      </c>
      <c r="D97" s="4">
        <v>102</v>
      </c>
      <c r="E97" s="37" t="s">
        <v>282</v>
      </c>
      <c r="F97" s="26" t="s">
        <v>40</v>
      </c>
      <c r="G97" s="14" t="s">
        <v>20</v>
      </c>
      <c r="H97" s="14" t="s">
        <v>2314</v>
      </c>
      <c r="I97" s="14" t="s">
        <v>2315</v>
      </c>
      <c r="J97" s="14" t="s">
        <v>753</v>
      </c>
      <c r="K97" s="14"/>
      <c r="L97" s="14" t="str">
        <f t="shared" si="9"/>
        <v>FavorabilityLevel(3,1010930005)</v>
      </c>
      <c r="M97" s="14" t="s">
        <v>1487</v>
      </c>
      <c r="N97" s="63"/>
      <c r="O97" s="14"/>
      <c r="P97" s="14"/>
      <c r="Q97" s="14" t="b">
        <v>0</v>
      </c>
      <c r="R97" s="14" t="b">
        <v>1</v>
      </c>
      <c r="S97" s="14"/>
      <c r="T97" s="14"/>
    </row>
    <row r="98" spans="1:20">
      <c r="A98" s="14" t="str">
        <f t="shared" si="8"/>
        <v>1020402</v>
      </c>
      <c r="B98" s="59">
        <v>33000110</v>
      </c>
      <c r="C98" s="36" t="s">
        <v>467</v>
      </c>
      <c r="D98" s="4">
        <v>102</v>
      </c>
      <c r="E98" s="37" t="s">
        <v>283</v>
      </c>
      <c r="F98" s="26" t="s">
        <v>40</v>
      </c>
      <c r="G98" s="14" t="s">
        <v>20</v>
      </c>
      <c r="H98" s="106" t="s">
        <v>2316</v>
      </c>
      <c r="I98" s="106" t="s">
        <v>2317</v>
      </c>
      <c r="J98" s="14" t="s">
        <v>750</v>
      </c>
      <c r="K98" s="14"/>
      <c r="L98" s="14" t="str">
        <f t="shared" si="9"/>
        <v>FavorabilityLevel(3,1010330001)</v>
      </c>
      <c r="M98" s="14" t="s">
        <v>1487</v>
      </c>
      <c r="N98" s="63"/>
      <c r="O98" s="14"/>
      <c r="P98" s="14"/>
      <c r="Q98" s="14" t="b">
        <v>0</v>
      </c>
      <c r="R98" s="14" t="b">
        <v>1</v>
      </c>
      <c r="S98" s="14"/>
      <c r="T98" s="14"/>
    </row>
    <row r="99" spans="1:20">
      <c r="A99" s="14" t="str">
        <f t="shared" si="8"/>
        <v>1020502</v>
      </c>
      <c r="B99" s="14">
        <v>92000310</v>
      </c>
      <c r="C99" s="36" t="s">
        <v>561</v>
      </c>
      <c r="D99" s="4">
        <v>102</v>
      </c>
      <c r="E99" s="37" t="s">
        <v>286</v>
      </c>
      <c r="F99" s="26" t="s">
        <v>40</v>
      </c>
      <c r="G99" s="14" t="s">
        <v>20</v>
      </c>
      <c r="H99" s="14" t="s">
        <v>2318</v>
      </c>
      <c r="I99" s="14" t="s">
        <v>2319</v>
      </c>
      <c r="J99" s="14" t="s">
        <v>757</v>
      </c>
      <c r="K99" s="14"/>
      <c r="L99" s="14" t="str">
        <f t="shared" si="9"/>
        <v>FavorabilityLevel(3,1010920003)</v>
      </c>
      <c r="M99" s="14" t="s">
        <v>1487</v>
      </c>
      <c r="N99" s="63"/>
      <c r="O99" s="14"/>
      <c r="P99" s="14"/>
      <c r="Q99" s="14" t="b">
        <v>0</v>
      </c>
      <c r="R99" s="14" t="b">
        <v>1</v>
      </c>
      <c r="S99" s="14"/>
      <c r="T99" s="14"/>
    </row>
    <row r="100" spans="1:20">
      <c r="A100" s="14" t="str">
        <f t="shared" si="8"/>
        <v>1020601</v>
      </c>
      <c r="B100" s="59">
        <v>53000210</v>
      </c>
      <c r="C100" s="36" t="s">
        <v>459</v>
      </c>
      <c r="D100" s="4">
        <v>102</v>
      </c>
      <c r="E100" s="37" t="s">
        <v>287</v>
      </c>
      <c r="F100" s="26" t="s">
        <v>40</v>
      </c>
      <c r="G100" s="14" t="s">
        <v>20</v>
      </c>
      <c r="H100" s="14" t="s">
        <v>2320</v>
      </c>
      <c r="I100" s="14" t="s">
        <v>2321</v>
      </c>
      <c r="J100" s="14" t="s">
        <v>758</v>
      </c>
      <c r="K100" s="14"/>
      <c r="L100" s="14" t="str">
        <f t="shared" si="9"/>
        <v>FavorabilityLevel(3,1010530002)</v>
      </c>
      <c r="M100" s="14" t="s">
        <v>1487</v>
      </c>
      <c r="N100" s="63"/>
      <c r="O100" s="14"/>
      <c r="P100" s="14"/>
      <c r="Q100" s="14" t="b">
        <v>0</v>
      </c>
      <c r="R100" s="14" t="b">
        <v>1</v>
      </c>
      <c r="S100" s="14"/>
      <c r="T100" s="14"/>
    </row>
    <row r="101" spans="1:20">
      <c r="A101" s="14" t="str">
        <f t="shared" si="8"/>
        <v>1020602</v>
      </c>
      <c r="B101" s="59">
        <v>73000210</v>
      </c>
      <c r="C101" s="36" t="s">
        <v>638</v>
      </c>
      <c r="D101" s="4">
        <v>102</v>
      </c>
      <c r="E101" s="37" t="s">
        <v>288</v>
      </c>
      <c r="F101" s="26" t="s">
        <v>40</v>
      </c>
      <c r="G101" s="14" t="s">
        <v>20</v>
      </c>
      <c r="H101" s="14" t="s">
        <v>2322</v>
      </c>
      <c r="I101" s="14" t="s">
        <v>2323</v>
      </c>
      <c r="J101" s="14" t="s">
        <v>754</v>
      </c>
      <c r="K101" s="14"/>
      <c r="L101" s="14" t="str">
        <f t="shared" si="9"/>
        <v>FavorabilityLevel(3,1010730002)</v>
      </c>
      <c r="M101" s="14" t="s">
        <v>1487</v>
      </c>
      <c r="N101" s="63"/>
      <c r="O101" s="14"/>
      <c r="P101" s="14"/>
      <c r="Q101" s="14" t="b">
        <v>0</v>
      </c>
      <c r="R101" s="14" t="b">
        <v>1</v>
      </c>
      <c r="S101" s="14"/>
      <c r="T101" s="14"/>
    </row>
    <row r="102" spans="1:20">
      <c r="A102" s="14" t="str">
        <f t="shared" si="8"/>
        <v>1020603</v>
      </c>
      <c r="B102" s="59">
        <v>71000110</v>
      </c>
      <c r="C102" s="36" t="s">
        <v>596</v>
      </c>
      <c r="D102" s="4">
        <v>102</v>
      </c>
      <c r="E102" s="37" t="s">
        <v>289</v>
      </c>
      <c r="F102" s="26" t="s">
        <v>40</v>
      </c>
      <c r="G102" s="14" t="s">
        <v>20</v>
      </c>
      <c r="H102" s="14" t="s">
        <v>2324</v>
      </c>
      <c r="I102" s="14" t="s">
        <v>2325</v>
      </c>
      <c r="J102" s="14" t="s">
        <v>755</v>
      </c>
      <c r="K102" s="14"/>
      <c r="L102" s="14" t="str">
        <f t="shared" si="9"/>
        <v>FavorabilityLevel(3,1010710001)</v>
      </c>
      <c r="M102" s="14" t="s">
        <v>1487</v>
      </c>
      <c r="N102" s="63"/>
      <c r="O102" s="14"/>
      <c r="P102" s="14"/>
      <c r="Q102" s="14" t="b">
        <v>1</v>
      </c>
      <c r="R102" s="14" t="b">
        <v>1</v>
      </c>
      <c r="S102" s="14"/>
      <c r="T102" s="14"/>
    </row>
    <row r="103" spans="1:20">
      <c r="A103" s="14" t="str">
        <f t="shared" si="8"/>
        <v>1020701</v>
      </c>
      <c r="B103" s="14">
        <v>92000210</v>
      </c>
      <c r="C103" s="36" t="s">
        <v>598</v>
      </c>
      <c r="D103" s="4">
        <v>102</v>
      </c>
      <c r="E103" s="37" t="s">
        <v>290</v>
      </c>
      <c r="F103" s="26" t="s">
        <v>40</v>
      </c>
      <c r="G103" s="14" t="s">
        <v>20</v>
      </c>
      <c r="H103" s="14" t="s">
        <v>2326</v>
      </c>
      <c r="I103" s="14" t="s">
        <v>2327</v>
      </c>
      <c r="J103" s="14" t="s">
        <v>759</v>
      </c>
      <c r="K103" s="14"/>
      <c r="L103" s="14" t="str">
        <f t="shared" si="9"/>
        <v>FavorabilityLevel(3,1010920002)</v>
      </c>
      <c r="M103" s="14" t="s">
        <v>1487</v>
      </c>
      <c r="N103" s="63"/>
      <c r="O103" s="14"/>
      <c r="P103" s="14"/>
      <c r="Q103" s="14" t="b">
        <v>0</v>
      </c>
      <c r="R103" s="14" t="b">
        <v>1</v>
      </c>
      <c r="S103" s="14"/>
      <c r="T103" s="14"/>
    </row>
    <row r="104" spans="1:20">
      <c r="A104" s="14" t="str">
        <f t="shared" si="8"/>
        <v>1020702</v>
      </c>
      <c r="B104" s="59">
        <v>72000710</v>
      </c>
      <c r="C104" s="36" t="s">
        <v>611</v>
      </c>
      <c r="D104" s="4">
        <v>102</v>
      </c>
      <c r="E104" s="37" t="s">
        <v>291</v>
      </c>
      <c r="F104" s="26" t="s">
        <v>40</v>
      </c>
      <c r="G104" s="14" t="s">
        <v>20</v>
      </c>
      <c r="H104" s="14" t="s">
        <v>2328</v>
      </c>
      <c r="I104" s="14" t="s">
        <v>2329</v>
      </c>
      <c r="J104" s="14" t="s">
        <v>756</v>
      </c>
      <c r="K104" s="14"/>
      <c r="L104" s="14" t="str">
        <f t="shared" si="9"/>
        <v>FavorabilityLevel(3,1010720007)</v>
      </c>
      <c r="M104" s="14" t="s">
        <v>1487</v>
      </c>
      <c r="N104" s="63"/>
      <c r="O104" s="14"/>
      <c r="P104" s="14"/>
      <c r="Q104" s="14" t="b">
        <v>0</v>
      </c>
      <c r="R104" s="14" t="b">
        <v>1</v>
      </c>
      <c r="S104" s="14"/>
      <c r="T104" s="14"/>
    </row>
    <row r="105" spans="1:20">
      <c r="A105" s="14" t="str">
        <f t="shared" si="8"/>
        <v>1020802</v>
      </c>
      <c r="B105" s="59">
        <v>53000310</v>
      </c>
      <c r="C105" s="36" t="s">
        <v>517</v>
      </c>
      <c r="D105" s="4">
        <v>102</v>
      </c>
      <c r="E105" s="24" t="s">
        <v>293</v>
      </c>
      <c r="F105" s="26" t="s">
        <v>40</v>
      </c>
      <c r="G105" s="14" t="s">
        <v>20</v>
      </c>
      <c r="H105" s="14" t="s">
        <v>2330</v>
      </c>
      <c r="I105" s="14" t="s">
        <v>2331</v>
      </c>
      <c r="J105" s="14" t="s">
        <v>762</v>
      </c>
      <c r="K105" s="14"/>
      <c r="L105" s="14" t="str">
        <f t="shared" si="9"/>
        <v>FavorabilityLevel(3,1010530003)</v>
      </c>
      <c r="M105" s="14" t="s">
        <v>1487</v>
      </c>
      <c r="N105" s="63"/>
      <c r="O105" s="14"/>
      <c r="P105" s="14"/>
      <c r="Q105" s="14" t="b">
        <v>1</v>
      </c>
      <c r="R105" s="14" t="b">
        <v>1</v>
      </c>
      <c r="S105" s="14"/>
      <c r="T105" s="14"/>
    </row>
    <row r="106" spans="1:20">
      <c r="A106" s="14" t="str">
        <f t="shared" si="8"/>
        <v>1020901</v>
      </c>
      <c r="B106" s="59">
        <v>71000310</v>
      </c>
      <c r="C106" s="36" t="s">
        <v>656</v>
      </c>
      <c r="D106" s="4">
        <v>102</v>
      </c>
      <c r="E106" s="24" t="s">
        <v>294</v>
      </c>
      <c r="F106" s="26" t="s">
        <v>40</v>
      </c>
      <c r="G106" s="14" t="s">
        <v>20</v>
      </c>
      <c r="H106" s="14" t="s">
        <v>2332</v>
      </c>
      <c r="I106" s="14" t="s">
        <v>2333</v>
      </c>
      <c r="J106" s="14" t="s">
        <v>763</v>
      </c>
      <c r="K106" s="14"/>
      <c r="L106" s="14" t="str">
        <f t="shared" si="9"/>
        <v>FavorabilityLevel(3,1010710003)</v>
      </c>
      <c r="M106" s="14" t="s">
        <v>1487</v>
      </c>
      <c r="N106" s="63"/>
      <c r="O106" s="14"/>
      <c r="P106" s="14"/>
      <c r="Q106" s="14" t="b">
        <v>0</v>
      </c>
      <c r="R106" s="14" t="b">
        <v>1</v>
      </c>
      <c r="S106" s="14"/>
      <c r="T106" s="14"/>
    </row>
    <row r="107" spans="1:20">
      <c r="A107" s="14" t="str">
        <f t="shared" si="8"/>
        <v>1020902</v>
      </c>
      <c r="B107" s="14">
        <v>92000410</v>
      </c>
      <c r="C107" s="36" t="s">
        <v>2083</v>
      </c>
      <c r="D107" s="4">
        <v>102</v>
      </c>
      <c r="E107" s="24" t="s">
        <v>295</v>
      </c>
      <c r="F107" s="26" t="s">
        <v>40</v>
      </c>
      <c r="G107" s="14" t="s">
        <v>20</v>
      </c>
      <c r="H107" s="14" t="s">
        <v>2334</v>
      </c>
      <c r="I107" s="14" t="s">
        <v>2335</v>
      </c>
      <c r="J107" s="14" t="s">
        <v>764</v>
      </c>
      <c r="K107" s="14"/>
      <c r="L107" s="14" t="str">
        <f t="shared" si="9"/>
        <v>FavorabilityLevel(3,1010920004)</v>
      </c>
      <c r="M107" s="14" t="s">
        <v>1487</v>
      </c>
      <c r="N107" s="63"/>
      <c r="O107" s="14"/>
      <c r="P107" s="14"/>
      <c r="Q107" s="14" t="b">
        <v>0</v>
      </c>
      <c r="R107" s="14" t="b">
        <v>1</v>
      </c>
      <c r="S107" s="14"/>
      <c r="T107" s="14"/>
    </row>
    <row r="108" spans="1:20">
      <c r="A108" s="14" t="str">
        <f t="shared" si="8"/>
        <v>1021001</v>
      </c>
      <c r="B108" s="59">
        <v>52000510</v>
      </c>
      <c r="C108" s="36" t="s">
        <v>478</v>
      </c>
      <c r="D108" s="4">
        <v>102</v>
      </c>
      <c r="E108" s="24" t="s">
        <v>296</v>
      </c>
      <c r="F108" s="26" t="s">
        <v>40</v>
      </c>
      <c r="G108" s="14" t="s">
        <v>20</v>
      </c>
      <c r="H108" s="14" t="s">
        <v>2336</v>
      </c>
      <c r="I108" s="14" t="s">
        <v>2337</v>
      </c>
      <c r="J108" s="14" t="s">
        <v>765</v>
      </c>
      <c r="K108" s="14"/>
      <c r="L108" s="14" t="str">
        <f t="shared" si="9"/>
        <v>FavorabilityLevel(3,1010520005)</v>
      </c>
      <c r="M108" s="14" t="s">
        <v>1487</v>
      </c>
      <c r="N108" s="63"/>
      <c r="O108" s="14"/>
      <c r="P108" s="14"/>
      <c r="Q108" s="14" t="b">
        <v>0</v>
      </c>
      <c r="R108" s="14" t="b">
        <v>1</v>
      </c>
      <c r="S108" s="14"/>
      <c r="T108" s="14"/>
    </row>
    <row r="109" spans="1:20">
      <c r="A109" s="14" t="str">
        <f t="shared" si="8"/>
        <v>1021201</v>
      </c>
      <c r="B109" s="59">
        <v>52000310</v>
      </c>
      <c r="C109" s="36" t="s">
        <v>465</v>
      </c>
      <c r="D109" s="4">
        <v>102</v>
      </c>
      <c r="E109" s="24" t="s">
        <v>298</v>
      </c>
      <c r="F109" s="26" t="s">
        <v>40</v>
      </c>
      <c r="G109" s="14" t="s">
        <v>20</v>
      </c>
      <c r="H109" s="14" t="s">
        <v>2338</v>
      </c>
      <c r="I109" s="14" t="s">
        <v>2339</v>
      </c>
      <c r="J109" s="14" t="s">
        <v>767</v>
      </c>
      <c r="K109" s="14"/>
      <c r="L109" s="14" t="str">
        <f t="shared" si="9"/>
        <v>FavorabilityLevel(3,1010520003)</v>
      </c>
      <c r="M109" s="14" t="s">
        <v>1487</v>
      </c>
      <c r="N109" s="63"/>
      <c r="O109" s="14"/>
      <c r="P109" s="14"/>
      <c r="Q109" s="14" t="b">
        <v>0</v>
      </c>
      <c r="R109" s="14" t="b">
        <v>1</v>
      </c>
      <c r="S109" s="14"/>
      <c r="T109" s="14"/>
    </row>
    <row r="110" spans="1:20">
      <c r="A110" s="14" t="str">
        <f t="shared" si="8"/>
        <v>1021301</v>
      </c>
      <c r="B110" s="59">
        <v>73000510</v>
      </c>
      <c r="C110" s="36" t="s">
        <v>538</v>
      </c>
      <c r="D110" s="4">
        <v>102</v>
      </c>
      <c r="E110" s="24" t="s">
        <v>299</v>
      </c>
      <c r="F110" s="26" t="s">
        <v>40</v>
      </c>
      <c r="G110" s="14" t="s">
        <v>20</v>
      </c>
      <c r="H110" s="14" t="s">
        <v>2340</v>
      </c>
      <c r="I110" s="14" t="s">
        <v>2341</v>
      </c>
      <c r="J110" s="14" t="s">
        <v>768</v>
      </c>
      <c r="K110" s="14"/>
      <c r="L110" s="14" t="str">
        <f t="shared" si="9"/>
        <v>FavorabilityLevel(3,1010730005)</v>
      </c>
      <c r="M110" s="14" t="s">
        <v>1487</v>
      </c>
      <c r="N110" s="63"/>
      <c r="O110" s="14"/>
      <c r="P110" s="14"/>
      <c r="Q110" s="14" t="b">
        <v>0</v>
      </c>
      <c r="R110" s="14" t="b">
        <v>1</v>
      </c>
      <c r="S110" s="14"/>
      <c r="T110" s="14"/>
    </row>
    <row r="111" spans="1:20">
      <c r="A111" s="14" t="str">
        <f t="shared" si="8"/>
        <v>1021601</v>
      </c>
      <c r="B111" s="59">
        <v>52000110</v>
      </c>
      <c r="C111" s="36" t="s">
        <v>557</v>
      </c>
      <c r="D111" s="4">
        <v>102</v>
      </c>
      <c r="E111" s="24">
        <v>1601</v>
      </c>
      <c r="F111" s="26" t="s">
        <v>40</v>
      </c>
      <c r="G111" s="14" t="s">
        <v>20</v>
      </c>
      <c r="H111" s="14" t="s">
        <v>2342</v>
      </c>
      <c r="I111" s="14" t="s">
        <v>2343</v>
      </c>
      <c r="J111" s="14" t="s">
        <v>2161</v>
      </c>
      <c r="K111" s="14"/>
      <c r="L111" s="14" t="str">
        <f t="shared" si="9"/>
        <v>FavorabilityLevel(3,1010520001)</v>
      </c>
      <c r="M111" s="14" t="s">
        <v>1487</v>
      </c>
      <c r="N111" s="63"/>
      <c r="O111" s="14"/>
      <c r="P111" s="14"/>
      <c r="Q111" s="14" t="b">
        <v>0</v>
      </c>
      <c r="R111" s="14" t="b">
        <v>1</v>
      </c>
      <c r="S111" s="14"/>
      <c r="T111" s="14"/>
    </row>
    <row r="112" spans="1:20">
      <c r="A112" s="14" t="str">
        <f t="shared" si="8"/>
        <v>1022101</v>
      </c>
      <c r="B112" s="14">
        <v>32000110</v>
      </c>
      <c r="C112" s="36" t="s">
        <v>687</v>
      </c>
      <c r="D112" s="4">
        <v>102</v>
      </c>
      <c r="E112" s="24">
        <v>2101</v>
      </c>
      <c r="F112" s="26" t="s">
        <v>40</v>
      </c>
      <c r="G112" s="14" t="s">
        <v>20</v>
      </c>
      <c r="H112" s="14" t="s">
        <v>2344</v>
      </c>
      <c r="I112" s="14" t="s">
        <v>2345</v>
      </c>
      <c r="J112" s="14" t="s">
        <v>2162</v>
      </c>
      <c r="K112" s="14"/>
      <c r="L112" s="14" t="str">
        <f t="shared" si="9"/>
        <v>FavorabilityLevel(3,1010320001)</v>
      </c>
      <c r="M112" s="14" t="s">
        <v>1487</v>
      </c>
      <c r="N112" s="63"/>
      <c r="O112" s="14"/>
      <c r="P112" s="14"/>
      <c r="Q112" s="14" t="b">
        <v>0</v>
      </c>
      <c r="R112" s="14" t="b">
        <v>1</v>
      </c>
      <c r="S112" s="14"/>
      <c r="T112" s="14"/>
    </row>
    <row r="113" spans="1:20">
      <c r="A113" s="14" t="str">
        <f t="shared" si="8"/>
        <v>1040004</v>
      </c>
      <c r="B113" s="14">
        <v>94000110</v>
      </c>
      <c r="C113" s="14" t="s">
        <v>569</v>
      </c>
      <c r="D113" s="4">
        <v>104</v>
      </c>
      <c r="E113" s="24" t="s">
        <v>1366</v>
      </c>
      <c r="F113" s="26" t="s">
        <v>40</v>
      </c>
      <c r="G113" s="14" t="s">
        <v>20</v>
      </c>
      <c r="H113" s="14" t="s">
        <v>2346</v>
      </c>
      <c r="I113" s="14" t="s">
        <v>2347</v>
      </c>
      <c r="J113" s="14" t="s">
        <v>2163</v>
      </c>
      <c r="K113" s="14"/>
      <c r="L113" s="14" t="str">
        <f t="shared" si="9"/>
        <v>FavorabilityLevel(3,1010940001)</v>
      </c>
      <c r="M113" s="14" t="s">
        <v>1487</v>
      </c>
      <c r="N113" s="63"/>
      <c r="O113" s="14"/>
      <c r="P113" s="14"/>
      <c r="Q113" s="14" t="b">
        <v>0</v>
      </c>
      <c r="R113" s="14" t="b">
        <v>1</v>
      </c>
      <c r="S113" s="14"/>
      <c r="T113" s="14"/>
    </row>
    <row r="114" spans="1:20" s="72" customFormat="1">
      <c r="A114" s="16" t="str">
        <f t="shared" si="8"/>
        <v>1040005</v>
      </c>
      <c r="B114" s="16">
        <v>93000110</v>
      </c>
      <c r="C114" s="16" t="s">
        <v>1419</v>
      </c>
      <c r="D114" s="118">
        <v>104</v>
      </c>
      <c r="E114" s="119" t="s">
        <v>1367</v>
      </c>
      <c r="F114" s="32" t="s">
        <v>40</v>
      </c>
      <c r="G114" s="16" t="s">
        <v>20</v>
      </c>
      <c r="H114" s="16" t="s">
        <v>2348</v>
      </c>
      <c r="I114" s="16" t="s">
        <v>2349</v>
      </c>
      <c r="J114" s="16" t="s">
        <v>2164</v>
      </c>
      <c r="K114" s="16"/>
      <c r="L114" s="16" t="str">
        <f t="shared" si="9"/>
        <v>FavorabilityLevel(3,1010930001)</v>
      </c>
      <c r="M114" s="16" t="s">
        <v>1487</v>
      </c>
      <c r="N114" s="120"/>
      <c r="O114" s="16"/>
      <c r="P114" s="16"/>
      <c r="Q114" s="16" t="b">
        <v>1</v>
      </c>
      <c r="R114" s="16" t="b">
        <v>1</v>
      </c>
      <c r="S114" s="16"/>
      <c r="T114" s="16"/>
    </row>
    <row r="115" spans="1:20">
      <c r="A115" s="14" t="str">
        <f t="shared" si="8"/>
        <v>1040006</v>
      </c>
      <c r="B115" s="14">
        <v>93000310</v>
      </c>
      <c r="C115" s="14" t="s">
        <v>702</v>
      </c>
      <c r="D115" s="4">
        <v>104</v>
      </c>
      <c r="E115" s="24" t="s">
        <v>381</v>
      </c>
      <c r="F115" s="26" t="s">
        <v>40</v>
      </c>
      <c r="G115" s="14" t="s">
        <v>20</v>
      </c>
      <c r="H115" s="14" t="s">
        <v>2350</v>
      </c>
      <c r="I115" s="14" t="s">
        <v>2351</v>
      </c>
      <c r="J115" s="14" t="s">
        <v>2165</v>
      </c>
      <c r="K115" s="14"/>
      <c r="L115" s="14" t="str">
        <f t="shared" si="9"/>
        <v>FavorabilityLevel(3,1010930003)</v>
      </c>
      <c r="M115" s="14" t="s">
        <v>1487</v>
      </c>
      <c r="N115" s="63"/>
      <c r="O115" s="14"/>
      <c r="P115" s="14"/>
      <c r="Q115" s="14" t="b">
        <v>0</v>
      </c>
      <c r="R115" s="14" t="b">
        <v>1</v>
      </c>
      <c r="S115" s="14"/>
      <c r="T115" s="14"/>
    </row>
    <row r="116" spans="1:20" s="79" customFormat="1">
      <c r="A116" s="79" t="s">
        <v>1420</v>
      </c>
      <c r="B116" s="80"/>
      <c r="C116" s="81"/>
      <c r="D116" s="82"/>
      <c r="E116" s="82"/>
      <c r="F116" s="83"/>
    </row>
    <row r="117" spans="1:20" s="66" customFormat="1">
      <c r="A117" s="64" t="str">
        <f>D117&amp;E117</f>
        <v>1010001</v>
      </c>
      <c r="B117" s="34">
        <v>92000210</v>
      </c>
      <c r="C117" s="35" t="s">
        <v>1421</v>
      </c>
      <c r="D117" s="56">
        <v>101</v>
      </c>
      <c r="E117" s="65" t="s">
        <v>263</v>
      </c>
      <c r="F117" s="33" t="s">
        <v>302</v>
      </c>
      <c r="G117" s="34" t="s">
        <v>303</v>
      </c>
      <c r="H117" s="34" t="s">
        <v>2075</v>
      </c>
      <c r="I117" s="34" t="s">
        <v>2465</v>
      </c>
      <c r="J117" s="114" t="s">
        <v>2089</v>
      </c>
      <c r="K117" s="34"/>
      <c r="L117" s="14" t="str">
        <f t="shared" ref="L117:L124" si="10">"FavorabilityLevel(5,1010"&amp;LEFT(B117,6)&amp;")"</f>
        <v>FavorabilityLevel(5,1010920002)</v>
      </c>
      <c r="M117" s="14" t="s">
        <v>1488</v>
      </c>
      <c r="N117" s="34"/>
      <c r="O117" s="34"/>
      <c r="P117" s="34"/>
      <c r="Q117" s="34" t="b">
        <v>1</v>
      </c>
      <c r="R117" s="34" t="b">
        <v>1</v>
      </c>
      <c r="S117" s="34"/>
      <c r="T117" s="34"/>
    </row>
    <row r="118" spans="1:20" s="66" customFormat="1">
      <c r="A118" s="34" t="str">
        <f>D118&amp;E118</f>
        <v>1020102</v>
      </c>
      <c r="B118" s="34">
        <v>94000210</v>
      </c>
      <c r="C118" s="35" t="s">
        <v>1501</v>
      </c>
      <c r="D118" s="56">
        <v>102</v>
      </c>
      <c r="E118" s="38" t="s">
        <v>274</v>
      </c>
      <c r="F118" s="33" t="s">
        <v>302</v>
      </c>
      <c r="G118" s="34" t="s">
        <v>303</v>
      </c>
      <c r="H118" s="34" t="s">
        <v>2076</v>
      </c>
      <c r="I118" s="34" t="s">
        <v>2466</v>
      </c>
      <c r="J118" s="114" t="s">
        <v>2090</v>
      </c>
      <c r="K118" s="34"/>
      <c r="L118" s="14" t="str">
        <f t="shared" si="10"/>
        <v>FavorabilityLevel(5,1010940002)</v>
      </c>
      <c r="M118" s="14" t="s">
        <v>1488</v>
      </c>
      <c r="N118" s="70"/>
      <c r="O118" s="34"/>
      <c r="P118" s="34"/>
      <c r="Q118" s="34" t="b">
        <v>1</v>
      </c>
      <c r="R118" s="34" t="b">
        <v>1</v>
      </c>
      <c r="S118" s="34"/>
      <c r="T118" s="34"/>
    </row>
    <row r="119" spans="1:20" s="66" customFormat="1">
      <c r="A119" s="34" t="str">
        <f>D119&amp;E119</f>
        <v>1020301</v>
      </c>
      <c r="B119" s="34">
        <v>73000410</v>
      </c>
      <c r="C119" s="35" t="s">
        <v>1422</v>
      </c>
      <c r="D119" s="56">
        <v>102</v>
      </c>
      <c r="E119" s="38" t="s">
        <v>279</v>
      </c>
      <c r="F119" s="33" t="s">
        <v>302</v>
      </c>
      <c r="G119" s="34" t="s">
        <v>303</v>
      </c>
      <c r="H119" s="34" t="s">
        <v>2077</v>
      </c>
      <c r="I119" s="34" t="s">
        <v>2467</v>
      </c>
      <c r="J119" s="114" t="s">
        <v>2091</v>
      </c>
      <c r="K119" s="34"/>
      <c r="L119" s="14" t="str">
        <f t="shared" si="10"/>
        <v>FavorabilityLevel(5,1010730004)</v>
      </c>
      <c r="M119" s="14" t="s">
        <v>1488</v>
      </c>
      <c r="N119" s="70"/>
      <c r="O119" s="34"/>
      <c r="P119" s="34"/>
      <c r="Q119" s="34" t="b">
        <v>1</v>
      </c>
      <c r="R119" s="34" t="b">
        <v>1</v>
      </c>
      <c r="S119" s="34"/>
      <c r="T119" s="34"/>
    </row>
    <row r="120" spans="1:20" s="66" customFormat="1">
      <c r="A120" s="34" t="str">
        <f>D120&amp;E120</f>
        <v>1020501</v>
      </c>
      <c r="B120" s="34">
        <v>52000310</v>
      </c>
      <c r="C120" s="35" t="s">
        <v>1423</v>
      </c>
      <c r="D120" s="56">
        <v>102</v>
      </c>
      <c r="E120" s="38" t="s">
        <v>285</v>
      </c>
      <c r="F120" s="33" t="s">
        <v>302</v>
      </c>
      <c r="G120" s="34" t="s">
        <v>303</v>
      </c>
      <c r="H120" s="34" t="s">
        <v>2078</v>
      </c>
      <c r="I120" s="34" t="s">
        <v>2468</v>
      </c>
      <c r="J120" s="114" t="s">
        <v>2092</v>
      </c>
      <c r="K120" s="34"/>
      <c r="L120" s="14" t="str">
        <f t="shared" si="10"/>
        <v>FavorabilityLevel(5,1010520003)</v>
      </c>
      <c r="M120" s="14" t="s">
        <v>1488</v>
      </c>
      <c r="N120" s="70"/>
      <c r="O120" s="34"/>
      <c r="P120" s="34"/>
      <c r="Q120" s="34" t="b">
        <v>1</v>
      </c>
      <c r="R120" s="34" t="b">
        <v>1</v>
      </c>
      <c r="S120" s="34"/>
      <c r="T120" s="34"/>
    </row>
    <row r="121" spans="1:20" s="66" customFormat="1">
      <c r="A121" s="34" t="str">
        <f>D121&amp;E121</f>
        <v>1020801</v>
      </c>
      <c r="B121" s="34">
        <v>92000310</v>
      </c>
      <c r="C121" s="35" t="s">
        <v>1424</v>
      </c>
      <c r="D121" s="56">
        <v>102</v>
      </c>
      <c r="E121" s="65" t="s">
        <v>292</v>
      </c>
      <c r="F121" s="33" t="s">
        <v>302</v>
      </c>
      <c r="G121" s="34" t="s">
        <v>303</v>
      </c>
      <c r="H121" s="34" t="s">
        <v>2079</v>
      </c>
      <c r="I121" s="34" t="s">
        <v>2469</v>
      </c>
      <c r="J121" s="114" t="s">
        <v>2093</v>
      </c>
      <c r="K121" s="34"/>
      <c r="L121" s="14" t="str">
        <f t="shared" si="10"/>
        <v>FavorabilityLevel(5,1010920003)</v>
      </c>
      <c r="M121" s="14" t="s">
        <v>1488</v>
      </c>
      <c r="N121" s="70"/>
      <c r="O121" s="34"/>
      <c r="P121" s="34"/>
      <c r="Q121" s="34" t="b">
        <v>1</v>
      </c>
      <c r="R121" s="34" t="b">
        <v>1</v>
      </c>
      <c r="S121" s="34"/>
      <c r="T121" s="34"/>
    </row>
    <row r="122" spans="1:20" s="66" customFormat="1">
      <c r="A122" s="34" t="str">
        <f t="shared" ref="A122:A130" si="11">D122&amp;E122</f>
        <v>1040001</v>
      </c>
      <c r="B122" s="34">
        <v>94000310</v>
      </c>
      <c r="C122" s="34" t="s">
        <v>1425</v>
      </c>
      <c r="D122" s="56">
        <v>104</v>
      </c>
      <c r="E122" s="65" t="s">
        <v>263</v>
      </c>
      <c r="F122" s="33" t="s">
        <v>302</v>
      </c>
      <c r="G122" s="34" t="s">
        <v>303</v>
      </c>
      <c r="H122" s="34" t="s">
        <v>2080</v>
      </c>
      <c r="I122" s="34" t="s">
        <v>2470</v>
      </c>
      <c r="J122" s="114" t="s">
        <v>2094</v>
      </c>
      <c r="K122" s="34"/>
      <c r="L122" s="14" t="str">
        <f t="shared" si="10"/>
        <v>FavorabilityLevel(5,1010940003)</v>
      </c>
      <c r="M122" s="14" t="s">
        <v>1488</v>
      </c>
      <c r="N122" s="70"/>
      <c r="O122" s="34"/>
      <c r="P122" s="34"/>
      <c r="Q122" s="34" t="b">
        <v>1</v>
      </c>
      <c r="R122" s="34" t="b">
        <v>1</v>
      </c>
      <c r="S122" s="34"/>
      <c r="T122" s="34"/>
    </row>
    <row r="123" spans="1:20" s="66" customFormat="1">
      <c r="A123" s="34" t="str">
        <f t="shared" si="11"/>
        <v>1040002</v>
      </c>
      <c r="B123" s="34">
        <v>94000110</v>
      </c>
      <c r="C123" s="34" t="s">
        <v>1426</v>
      </c>
      <c r="D123" s="56">
        <v>104</v>
      </c>
      <c r="E123" s="65" t="s">
        <v>264</v>
      </c>
      <c r="F123" s="33" t="s">
        <v>302</v>
      </c>
      <c r="G123" s="34" t="s">
        <v>303</v>
      </c>
      <c r="H123" s="34" t="s">
        <v>2081</v>
      </c>
      <c r="I123" s="34" t="s">
        <v>2471</v>
      </c>
      <c r="J123" s="114" t="s">
        <v>2095</v>
      </c>
      <c r="K123" s="34"/>
      <c r="L123" s="14" t="str">
        <f t="shared" si="10"/>
        <v>FavorabilityLevel(5,1010940001)</v>
      </c>
      <c r="M123" s="14" t="s">
        <v>1488</v>
      </c>
      <c r="N123" s="70"/>
      <c r="O123" s="34"/>
      <c r="P123" s="34"/>
      <c r="Q123" s="34" t="b">
        <v>1</v>
      </c>
      <c r="R123" s="34" t="b">
        <v>1</v>
      </c>
      <c r="S123" s="34"/>
      <c r="T123" s="34"/>
    </row>
    <row r="124" spans="1:20" s="66" customFormat="1">
      <c r="A124" s="34" t="str">
        <f t="shared" si="11"/>
        <v>1040003</v>
      </c>
      <c r="B124" s="34">
        <v>93000310</v>
      </c>
      <c r="C124" s="34" t="s">
        <v>1427</v>
      </c>
      <c r="D124" s="56">
        <v>104</v>
      </c>
      <c r="E124" s="65" t="s">
        <v>380</v>
      </c>
      <c r="F124" s="33" t="s">
        <v>302</v>
      </c>
      <c r="G124" s="34" t="s">
        <v>303</v>
      </c>
      <c r="H124" s="34" t="s">
        <v>2082</v>
      </c>
      <c r="I124" s="34" t="s">
        <v>2472</v>
      </c>
      <c r="J124" s="114" t="s">
        <v>2096</v>
      </c>
      <c r="K124" s="34"/>
      <c r="L124" s="14" t="str">
        <f t="shared" si="10"/>
        <v>FavorabilityLevel(5,1010930003)</v>
      </c>
      <c r="M124" s="14" t="s">
        <v>1488</v>
      </c>
      <c r="N124" s="70"/>
      <c r="O124" s="34"/>
      <c r="P124" s="34"/>
      <c r="Q124" s="34" t="b">
        <v>1</v>
      </c>
      <c r="R124" s="34" t="b">
        <v>1</v>
      </c>
      <c r="S124" s="34"/>
      <c r="T124" s="34"/>
    </row>
    <row r="125" spans="1:20">
      <c r="A125" s="14" t="str">
        <f t="shared" si="11"/>
        <v>1010010</v>
      </c>
      <c r="B125" s="59">
        <v>33000210</v>
      </c>
      <c r="C125" s="36" t="s">
        <v>1428</v>
      </c>
      <c r="D125" s="4">
        <v>101</v>
      </c>
      <c r="E125" s="24" t="s">
        <v>272</v>
      </c>
      <c r="F125" s="26" t="s">
        <v>40</v>
      </c>
      <c r="G125" s="14" t="s">
        <v>20</v>
      </c>
      <c r="H125" s="14" t="s">
        <v>2352</v>
      </c>
      <c r="I125" s="14" t="s">
        <v>2353</v>
      </c>
      <c r="J125" s="60" t="s">
        <v>738</v>
      </c>
      <c r="K125" s="60"/>
      <c r="L125" s="14" t="str">
        <f>"FavorabilityLevel(5,1010"&amp;LEFT(B125,6)&amp;")"</f>
        <v>FavorabilityLevel(5,1010330002)</v>
      </c>
      <c r="M125" s="14" t="s">
        <v>1488</v>
      </c>
      <c r="N125" s="63"/>
      <c r="O125" s="14"/>
      <c r="P125" s="14"/>
      <c r="Q125" s="14" t="b">
        <v>0</v>
      </c>
      <c r="R125" s="14" t="b">
        <v>1</v>
      </c>
      <c r="S125" s="14"/>
      <c r="T125" s="14"/>
    </row>
    <row r="126" spans="1:20">
      <c r="A126" s="14" t="str">
        <f t="shared" si="11"/>
        <v>1020403</v>
      </c>
      <c r="B126" s="14">
        <v>73000310</v>
      </c>
      <c r="C126" s="36" t="s">
        <v>613</v>
      </c>
      <c r="D126" s="4">
        <v>102</v>
      </c>
      <c r="E126" s="37" t="s">
        <v>284</v>
      </c>
      <c r="F126" s="26" t="s">
        <v>40</v>
      </c>
      <c r="G126" s="14" t="s">
        <v>20</v>
      </c>
      <c r="H126" s="14" t="s">
        <v>2354</v>
      </c>
      <c r="I126" s="14" t="s">
        <v>2355</v>
      </c>
      <c r="J126" s="14" t="s">
        <v>751</v>
      </c>
      <c r="K126" s="14"/>
      <c r="L126" s="14" t="str">
        <f t="shared" ref="L126:L130" si="12">"FavorabilityLevel(5,1010"&amp;LEFT(B126,6)&amp;")"</f>
        <v>FavorabilityLevel(5,1010730003)</v>
      </c>
      <c r="M126" s="14" t="s">
        <v>1488</v>
      </c>
      <c r="N126" s="63"/>
      <c r="O126" s="14"/>
      <c r="P126" s="14"/>
      <c r="Q126" s="14" t="b">
        <v>1</v>
      </c>
      <c r="R126" s="14" t="b">
        <v>1</v>
      </c>
      <c r="S126" s="14"/>
      <c r="T126" s="14"/>
    </row>
    <row r="127" spans="1:20">
      <c r="A127" s="14" t="str">
        <f t="shared" si="11"/>
        <v>1021002</v>
      </c>
      <c r="B127" s="59">
        <v>93000510</v>
      </c>
      <c r="C127" s="36" t="s">
        <v>469</v>
      </c>
      <c r="D127" s="4">
        <v>102</v>
      </c>
      <c r="E127" s="24" t="s">
        <v>297</v>
      </c>
      <c r="F127" s="26" t="s">
        <v>40</v>
      </c>
      <c r="G127" s="14" t="s">
        <v>20</v>
      </c>
      <c r="H127" s="106" t="s">
        <v>2356</v>
      </c>
      <c r="I127" s="106" t="s">
        <v>2357</v>
      </c>
      <c r="J127" s="14" t="s">
        <v>760</v>
      </c>
      <c r="K127" s="14"/>
      <c r="L127" s="14" t="str">
        <f t="shared" si="12"/>
        <v>FavorabilityLevel(5,1010930005)</v>
      </c>
      <c r="M127" s="14" t="s">
        <v>1488</v>
      </c>
      <c r="N127" s="63"/>
      <c r="O127" s="14"/>
      <c r="P127" s="14"/>
      <c r="Q127" s="14" t="b">
        <v>0</v>
      </c>
      <c r="R127" s="14" t="b">
        <v>1</v>
      </c>
      <c r="S127" s="14"/>
      <c r="T127" s="14"/>
    </row>
    <row r="128" spans="1:20">
      <c r="A128" s="14" t="str">
        <f t="shared" si="11"/>
        <v>1021101</v>
      </c>
      <c r="B128" s="59">
        <v>92000410</v>
      </c>
      <c r="C128" s="36" t="s">
        <v>449</v>
      </c>
      <c r="D128" s="4">
        <v>102</v>
      </c>
      <c r="E128" s="24" t="s">
        <v>414</v>
      </c>
      <c r="F128" s="26" t="s">
        <v>40</v>
      </c>
      <c r="G128" s="14" t="s">
        <v>20</v>
      </c>
      <c r="H128" s="106" t="s">
        <v>2358</v>
      </c>
      <c r="I128" s="106" t="s">
        <v>2359</v>
      </c>
      <c r="J128" s="14" t="s">
        <v>766</v>
      </c>
      <c r="K128" s="14"/>
      <c r="L128" s="14" t="str">
        <f t="shared" si="12"/>
        <v>FavorabilityLevel(5,1010920004)</v>
      </c>
      <c r="M128" s="14" t="s">
        <v>1488</v>
      </c>
      <c r="N128" s="63"/>
      <c r="O128" s="14"/>
      <c r="P128" s="14"/>
      <c r="Q128" s="14" t="b">
        <v>0</v>
      </c>
      <c r="R128" s="14" t="b">
        <v>1</v>
      </c>
      <c r="S128" s="14"/>
      <c r="T128" s="14"/>
    </row>
    <row r="129" spans="1:20">
      <c r="A129" s="14" t="str">
        <f t="shared" si="11"/>
        <v>1021501</v>
      </c>
      <c r="B129" s="59">
        <v>34000110</v>
      </c>
      <c r="C129" s="36" t="s">
        <v>475</v>
      </c>
      <c r="D129" s="4">
        <v>102</v>
      </c>
      <c r="E129" s="24">
        <v>1501</v>
      </c>
      <c r="F129" s="26" t="s">
        <v>40</v>
      </c>
      <c r="G129" s="14" t="s">
        <v>20</v>
      </c>
      <c r="H129" s="14" t="s">
        <v>2360</v>
      </c>
      <c r="I129" s="14" t="s">
        <v>2361</v>
      </c>
      <c r="J129" s="14" t="s">
        <v>2166</v>
      </c>
      <c r="K129" s="14"/>
      <c r="L129" s="14" t="str">
        <f t="shared" si="12"/>
        <v>FavorabilityLevel(5,1010340001)</v>
      </c>
      <c r="M129" s="14" t="s">
        <v>1488</v>
      </c>
      <c r="N129" s="63"/>
      <c r="O129" s="14"/>
      <c r="P129" s="14"/>
      <c r="Q129" s="14" t="b">
        <v>0</v>
      </c>
      <c r="R129" s="14" t="b">
        <v>1</v>
      </c>
      <c r="S129" s="14"/>
      <c r="T129" s="14"/>
    </row>
    <row r="130" spans="1:20">
      <c r="A130" s="14" t="str">
        <f t="shared" si="11"/>
        <v>1021701</v>
      </c>
      <c r="B130" s="14">
        <v>73000210</v>
      </c>
      <c r="C130" s="36" t="s">
        <v>1429</v>
      </c>
      <c r="D130" s="4">
        <v>102</v>
      </c>
      <c r="E130" s="24">
        <v>1701</v>
      </c>
      <c r="F130" s="26" t="s">
        <v>40</v>
      </c>
      <c r="G130" s="14" t="s">
        <v>20</v>
      </c>
      <c r="H130" s="14" t="s">
        <v>2362</v>
      </c>
      <c r="I130" s="14" t="s">
        <v>2363</v>
      </c>
      <c r="J130" s="14" t="s">
        <v>2167</v>
      </c>
      <c r="K130" s="14"/>
      <c r="L130" s="14" t="str">
        <f t="shared" si="12"/>
        <v>FavorabilityLevel(5,1010730002)</v>
      </c>
      <c r="M130" s="14" t="s">
        <v>1488</v>
      </c>
      <c r="N130" s="63"/>
      <c r="O130" s="14"/>
      <c r="P130" s="14"/>
      <c r="Q130" s="14" t="b">
        <v>0</v>
      </c>
      <c r="R130" s="14" t="b">
        <v>1</v>
      </c>
      <c r="S130" s="14"/>
      <c r="T130" s="14"/>
    </row>
    <row r="131" spans="1:20" s="79" customFormat="1">
      <c r="A131" s="79" t="s">
        <v>1430</v>
      </c>
      <c r="B131" s="80"/>
      <c r="C131" s="81"/>
      <c r="D131" s="82"/>
      <c r="E131" s="82"/>
      <c r="F131" s="83"/>
    </row>
    <row r="132" spans="1:20">
      <c r="A132" s="14" t="str">
        <f t="shared" ref="A132:A133" si="13">D132&amp;E132</f>
        <v>1021302</v>
      </c>
      <c r="B132" s="59">
        <v>33000210</v>
      </c>
      <c r="C132" s="36" t="s">
        <v>382</v>
      </c>
      <c r="D132" s="4">
        <v>102</v>
      </c>
      <c r="E132" s="24" t="s">
        <v>300</v>
      </c>
      <c r="F132" s="26" t="s">
        <v>40</v>
      </c>
      <c r="G132" s="14" t="s">
        <v>20</v>
      </c>
      <c r="H132" s="14" t="s">
        <v>2364</v>
      </c>
      <c r="I132" s="14" t="s">
        <v>2365</v>
      </c>
      <c r="J132" s="14" t="s">
        <v>761</v>
      </c>
      <c r="K132" s="14"/>
      <c r="L132" s="14" t="str">
        <f>"FavorabilityLevel(7,1010"&amp;LEFT(B132,6)&amp;")"</f>
        <v>FavorabilityLevel(7,1010330002)</v>
      </c>
      <c r="M132" s="14" t="s">
        <v>1489</v>
      </c>
      <c r="N132" s="63"/>
      <c r="O132" s="14"/>
      <c r="P132" s="14"/>
      <c r="Q132" s="14" t="b">
        <v>0</v>
      </c>
      <c r="R132" s="14" t="b">
        <v>1</v>
      </c>
      <c r="S132" s="14"/>
      <c r="T132" s="14"/>
    </row>
    <row r="133" spans="1:20">
      <c r="A133" s="14" t="str">
        <f t="shared" si="13"/>
        <v>1021401</v>
      </c>
      <c r="B133" s="59">
        <v>73000410</v>
      </c>
      <c r="C133" s="36" t="s">
        <v>383</v>
      </c>
      <c r="D133" s="4">
        <v>102</v>
      </c>
      <c r="E133" s="24" t="s">
        <v>301</v>
      </c>
      <c r="F133" s="26" t="s">
        <v>40</v>
      </c>
      <c r="G133" s="14" t="s">
        <v>20</v>
      </c>
      <c r="H133" s="14" t="s">
        <v>2366</v>
      </c>
      <c r="I133" s="14" t="s">
        <v>2367</v>
      </c>
      <c r="J133" s="14" t="s">
        <v>2168</v>
      </c>
      <c r="K133" s="14"/>
      <c r="L133" s="14" t="str">
        <f t="shared" ref="L133" si="14">"FavorabilityLevel(7,1010"&amp;LEFT(B133,6)&amp;")"</f>
        <v>FavorabilityLevel(7,1010730004)</v>
      </c>
      <c r="M133" s="14" t="s">
        <v>1489</v>
      </c>
      <c r="N133" s="63"/>
      <c r="O133" s="14"/>
      <c r="P133" s="14"/>
      <c r="Q133" s="14" t="b">
        <v>0</v>
      </c>
      <c r="R133" s="14" t="b">
        <v>1</v>
      </c>
      <c r="S133" s="14"/>
      <c r="T133" s="14"/>
    </row>
    <row r="134" spans="1:20" s="52" customFormat="1">
      <c r="A134" s="52" t="s">
        <v>1502</v>
      </c>
    </row>
    <row r="135" spans="1:20">
      <c r="A135" s="14" t="str">
        <f t="shared" ref="A135:A154" si="15">D135&amp;E135</f>
        <v>1050001</v>
      </c>
      <c r="B135" s="14">
        <v>92000210</v>
      </c>
      <c r="C135" s="36" t="s">
        <v>1432</v>
      </c>
      <c r="D135" s="4">
        <v>105</v>
      </c>
      <c r="E135" s="37" t="s">
        <v>1446</v>
      </c>
      <c r="F135" s="26" t="s">
        <v>40</v>
      </c>
      <c r="G135" s="14" t="s">
        <v>20</v>
      </c>
      <c r="H135" s="14" t="s">
        <v>2396</v>
      </c>
      <c r="I135" s="14" t="s">
        <v>2397</v>
      </c>
      <c r="J135" s="14" t="s">
        <v>2169</v>
      </c>
      <c r="K135" s="14"/>
      <c r="L135" s="14" t="str">
        <f>"MissionProgress(211200"&amp;A135&amp;",1)"</f>
        <v>MissionProgress(2112001050001,1)</v>
      </c>
      <c r="M135" s="14" t="s">
        <v>1491</v>
      </c>
      <c r="N135" s="63"/>
      <c r="O135" s="14"/>
      <c r="P135" s="14"/>
      <c r="Q135" s="14" t="b">
        <v>0</v>
      </c>
      <c r="R135" s="14" t="b">
        <v>1</v>
      </c>
      <c r="S135" s="14"/>
      <c r="T135" s="14"/>
    </row>
    <row r="136" spans="1:20">
      <c r="A136" s="14" t="str">
        <f t="shared" si="15"/>
        <v>1050002</v>
      </c>
      <c r="B136" s="40">
        <v>73000310</v>
      </c>
      <c r="C136" s="41" t="s">
        <v>1433</v>
      </c>
      <c r="D136" s="4">
        <v>105</v>
      </c>
      <c r="E136" s="37" t="s">
        <v>1447</v>
      </c>
      <c r="F136" s="26" t="s">
        <v>40</v>
      </c>
      <c r="G136" s="14" t="s">
        <v>20</v>
      </c>
      <c r="H136" s="14" t="s">
        <v>2398</v>
      </c>
      <c r="I136" s="14" t="s">
        <v>2399</v>
      </c>
      <c r="J136" s="14" t="s">
        <v>1505</v>
      </c>
      <c r="K136" s="14"/>
      <c r="L136" s="14" t="str">
        <f t="shared" ref="L136:L154" si="16">"MissionProgress(211200"&amp;A136&amp;",1)"</f>
        <v>MissionProgress(2112001050002,1)</v>
      </c>
      <c r="M136" s="14" t="s">
        <v>1491</v>
      </c>
      <c r="N136" s="14"/>
      <c r="O136" s="14"/>
      <c r="P136" s="14"/>
      <c r="Q136" s="14" t="b">
        <v>0</v>
      </c>
      <c r="R136" s="14" t="b">
        <v>1</v>
      </c>
      <c r="S136" s="14"/>
      <c r="T136" s="14"/>
    </row>
    <row r="137" spans="1:20">
      <c r="A137" s="14" t="str">
        <f t="shared" si="15"/>
        <v>1050003</v>
      </c>
      <c r="B137" s="40">
        <v>52000410</v>
      </c>
      <c r="C137" s="41" t="s">
        <v>1434</v>
      </c>
      <c r="D137" s="4">
        <v>105</v>
      </c>
      <c r="E137" s="37" t="s">
        <v>265</v>
      </c>
      <c r="F137" s="26" t="s">
        <v>40</v>
      </c>
      <c r="G137" s="14" t="s">
        <v>20</v>
      </c>
      <c r="H137" s="14" t="s">
        <v>2400</v>
      </c>
      <c r="I137" s="14" t="s">
        <v>2401</v>
      </c>
      <c r="J137" s="14" t="s">
        <v>1506</v>
      </c>
      <c r="K137" s="14"/>
      <c r="L137" s="14" t="str">
        <f t="shared" si="16"/>
        <v>MissionProgress(2112001050003,1)</v>
      </c>
      <c r="M137" s="14" t="s">
        <v>1491</v>
      </c>
      <c r="N137" s="14"/>
      <c r="O137" s="14"/>
      <c r="P137" s="14"/>
      <c r="Q137" s="14" t="b">
        <v>0</v>
      </c>
      <c r="R137" s="14" t="b">
        <v>1</v>
      </c>
      <c r="S137" s="14"/>
      <c r="T137" s="14"/>
    </row>
    <row r="138" spans="1:20">
      <c r="A138" s="14" t="str">
        <f t="shared" si="15"/>
        <v>1050004</v>
      </c>
      <c r="B138" s="40">
        <v>52000510</v>
      </c>
      <c r="C138" s="41" t="s">
        <v>1435</v>
      </c>
      <c r="D138" s="4">
        <v>105</v>
      </c>
      <c r="E138" s="37" t="s">
        <v>266</v>
      </c>
      <c r="F138" s="26" t="s">
        <v>40</v>
      </c>
      <c r="G138" s="14" t="s">
        <v>20</v>
      </c>
      <c r="H138" s="14" t="s">
        <v>2402</v>
      </c>
      <c r="I138" s="14" t="s">
        <v>2403</v>
      </c>
      <c r="J138" s="14" t="s">
        <v>1507</v>
      </c>
      <c r="K138" s="14"/>
      <c r="L138" s="14" t="str">
        <f t="shared" si="16"/>
        <v>MissionProgress(2112001050004,1)</v>
      </c>
      <c r="M138" s="14" t="s">
        <v>1491</v>
      </c>
      <c r="N138" s="14"/>
      <c r="O138" s="14"/>
      <c r="P138" s="14"/>
      <c r="Q138" s="14" t="b">
        <v>0</v>
      </c>
      <c r="R138" s="14" t="b">
        <v>1</v>
      </c>
      <c r="S138" s="14"/>
      <c r="T138" s="14"/>
    </row>
    <row r="139" spans="1:20">
      <c r="A139" s="14" t="str">
        <f t="shared" si="15"/>
        <v>1050005</v>
      </c>
      <c r="B139" s="40">
        <v>73000510</v>
      </c>
      <c r="C139" s="41" t="s">
        <v>1436</v>
      </c>
      <c r="D139" s="4">
        <v>105</v>
      </c>
      <c r="E139" s="37" t="s">
        <v>267</v>
      </c>
      <c r="F139" s="26" t="s">
        <v>40</v>
      </c>
      <c r="G139" s="14" t="s">
        <v>20</v>
      </c>
      <c r="H139" s="14" t="s">
        <v>2404</v>
      </c>
      <c r="I139" s="14" t="s">
        <v>2405</v>
      </c>
      <c r="J139" s="14" t="s">
        <v>1508</v>
      </c>
      <c r="K139" s="14"/>
      <c r="L139" s="14" t="str">
        <f t="shared" si="16"/>
        <v>MissionProgress(2112001050005,1)</v>
      </c>
      <c r="M139" s="14" t="s">
        <v>1491</v>
      </c>
      <c r="N139" s="14"/>
      <c r="O139" s="14"/>
      <c r="P139" s="14"/>
      <c r="Q139" s="14" t="b">
        <v>0</v>
      </c>
      <c r="R139" s="14" t="b">
        <v>1</v>
      </c>
      <c r="S139" s="14"/>
      <c r="T139" s="14"/>
    </row>
    <row r="140" spans="1:20">
      <c r="A140" s="14" t="str">
        <f t="shared" si="15"/>
        <v>1050006</v>
      </c>
      <c r="B140" s="40">
        <v>72000410</v>
      </c>
      <c r="C140" s="41" t="s">
        <v>1437</v>
      </c>
      <c r="D140" s="4">
        <v>105</v>
      </c>
      <c r="E140" s="37" t="s">
        <v>268</v>
      </c>
      <c r="F140" s="26" t="s">
        <v>40</v>
      </c>
      <c r="G140" s="14" t="s">
        <v>20</v>
      </c>
      <c r="H140" s="14" t="s">
        <v>2406</v>
      </c>
      <c r="I140" s="14" t="s">
        <v>2407</v>
      </c>
      <c r="J140" s="14" t="s">
        <v>1509</v>
      </c>
      <c r="K140" s="14"/>
      <c r="L140" s="14" t="str">
        <f t="shared" si="16"/>
        <v>MissionProgress(2112001050006,1)</v>
      </c>
      <c r="M140" s="14" t="s">
        <v>1491</v>
      </c>
      <c r="N140" s="14"/>
      <c r="O140" s="14"/>
      <c r="P140" s="14"/>
      <c r="Q140" s="14" t="b">
        <v>0</v>
      </c>
      <c r="R140" s="14" t="b">
        <v>1</v>
      </c>
      <c r="S140" s="14"/>
      <c r="T140" s="14"/>
    </row>
    <row r="141" spans="1:20">
      <c r="A141" s="14" t="str">
        <f t="shared" si="15"/>
        <v>1050007</v>
      </c>
      <c r="B141" s="40">
        <v>71000110</v>
      </c>
      <c r="C141" s="41" t="s">
        <v>1438</v>
      </c>
      <c r="D141" s="4">
        <v>105</v>
      </c>
      <c r="E141" s="37" t="s">
        <v>269</v>
      </c>
      <c r="F141" s="26" t="s">
        <v>40</v>
      </c>
      <c r="G141" s="14" t="s">
        <v>20</v>
      </c>
      <c r="H141" s="14" t="s">
        <v>2408</v>
      </c>
      <c r="I141" s="14" t="s">
        <v>2409</v>
      </c>
      <c r="J141" s="14" t="s">
        <v>1510</v>
      </c>
      <c r="K141" s="14"/>
      <c r="L141" s="14" t="str">
        <f t="shared" si="16"/>
        <v>MissionProgress(2112001050007,1)</v>
      </c>
      <c r="M141" s="14" t="s">
        <v>1491</v>
      </c>
      <c r="N141" s="14"/>
      <c r="O141" s="14"/>
      <c r="P141" s="14"/>
      <c r="Q141" s="14" t="b">
        <v>0</v>
      </c>
      <c r="R141" s="14" t="b">
        <v>1</v>
      </c>
      <c r="S141" s="14"/>
      <c r="T141" s="14"/>
    </row>
    <row r="142" spans="1:20">
      <c r="A142" s="14" t="str">
        <f t="shared" si="15"/>
        <v>1050008</v>
      </c>
      <c r="B142" s="40">
        <v>72000610</v>
      </c>
      <c r="C142" s="41" t="s">
        <v>1439</v>
      </c>
      <c r="D142" s="4">
        <v>105</v>
      </c>
      <c r="E142" s="37" t="s">
        <v>270</v>
      </c>
      <c r="F142" s="26" t="s">
        <v>40</v>
      </c>
      <c r="G142" s="14" t="s">
        <v>20</v>
      </c>
      <c r="H142" s="14" t="s">
        <v>2410</v>
      </c>
      <c r="I142" s="14" t="s">
        <v>2411</v>
      </c>
      <c r="J142" s="14" t="s">
        <v>1511</v>
      </c>
      <c r="K142" s="14"/>
      <c r="L142" s="14" t="str">
        <f t="shared" si="16"/>
        <v>MissionProgress(2112001050008,1)</v>
      </c>
      <c r="M142" s="14" t="s">
        <v>1492</v>
      </c>
      <c r="N142" s="14"/>
      <c r="O142" s="14"/>
      <c r="P142" s="14"/>
      <c r="Q142" s="14" t="b">
        <v>0</v>
      </c>
      <c r="R142" s="14" t="b">
        <v>1</v>
      </c>
      <c r="S142" s="14"/>
      <c r="T142" s="14"/>
    </row>
    <row r="143" spans="1:20">
      <c r="A143" s="14" t="str">
        <f t="shared" si="15"/>
        <v>1050009</v>
      </c>
      <c r="B143" s="40">
        <v>73000410</v>
      </c>
      <c r="C143" s="41" t="s">
        <v>1440</v>
      </c>
      <c r="D143" s="4">
        <v>105</v>
      </c>
      <c r="E143" s="37" t="s">
        <v>271</v>
      </c>
      <c r="F143" s="26" t="s">
        <v>40</v>
      </c>
      <c r="G143" s="14" t="s">
        <v>20</v>
      </c>
      <c r="H143" s="14" t="s">
        <v>2412</v>
      </c>
      <c r="I143" s="14" t="s">
        <v>2413</v>
      </c>
      <c r="J143" s="14" t="s">
        <v>1512</v>
      </c>
      <c r="K143" s="14"/>
      <c r="L143" s="14" t="str">
        <f t="shared" si="16"/>
        <v>MissionProgress(2112001050009,1)</v>
      </c>
      <c r="M143" s="14" t="s">
        <v>1492</v>
      </c>
      <c r="N143" s="14"/>
      <c r="O143" s="14"/>
      <c r="P143" s="14"/>
      <c r="Q143" s="14" t="b">
        <v>0</v>
      </c>
      <c r="R143" s="14" t="b">
        <v>1</v>
      </c>
      <c r="S143" s="14"/>
      <c r="T143" s="14"/>
    </row>
    <row r="144" spans="1:20">
      <c r="A144" s="14" t="str">
        <f t="shared" si="15"/>
        <v>1050010</v>
      </c>
      <c r="B144" s="40">
        <v>52000110</v>
      </c>
      <c r="C144" s="41" t="s">
        <v>1441</v>
      </c>
      <c r="D144" s="4">
        <v>105</v>
      </c>
      <c r="E144" s="37" t="s">
        <v>272</v>
      </c>
      <c r="F144" s="26" t="s">
        <v>40</v>
      </c>
      <c r="G144" s="14" t="s">
        <v>20</v>
      </c>
      <c r="H144" s="14" t="s">
        <v>2414</v>
      </c>
      <c r="I144" s="14" t="s">
        <v>2415</v>
      </c>
      <c r="J144" s="14" t="s">
        <v>1513</v>
      </c>
      <c r="K144" s="14"/>
      <c r="L144" s="14" t="str">
        <f t="shared" si="16"/>
        <v>MissionProgress(2112001050010,1)</v>
      </c>
      <c r="M144" s="14" t="s">
        <v>1492</v>
      </c>
      <c r="N144" s="14"/>
      <c r="O144" s="14"/>
      <c r="P144" s="14"/>
      <c r="Q144" s="14" t="b">
        <v>0</v>
      </c>
      <c r="R144" s="14" t="b">
        <v>1</v>
      </c>
      <c r="S144" s="14"/>
      <c r="T144" s="14"/>
    </row>
    <row r="145" spans="1:20">
      <c r="A145" s="14" t="str">
        <f t="shared" si="15"/>
        <v>1050011</v>
      </c>
      <c r="B145" s="40">
        <v>73000110</v>
      </c>
      <c r="C145" s="41" t="s">
        <v>1442</v>
      </c>
      <c r="D145" s="4">
        <v>105</v>
      </c>
      <c r="E145" s="37" t="s">
        <v>305</v>
      </c>
      <c r="F145" s="26" t="s">
        <v>40</v>
      </c>
      <c r="G145" s="14" t="s">
        <v>20</v>
      </c>
      <c r="H145" s="14" t="s">
        <v>2416</v>
      </c>
      <c r="I145" s="14" t="s">
        <v>2417</v>
      </c>
      <c r="J145" s="14" t="s">
        <v>1514</v>
      </c>
      <c r="K145" s="14"/>
      <c r="L145" s="14" t="str">
        <f t="shared" si="16"/>
        <v>MissionProgress(2112001050011,1)</v>
      </c>
      <c r="M145" s="14" t="s">
        <v>1492</v>
      </c>
      <c r="N145" s="14"/>
      <c r="O145" s="14"/>
      <c r="P145" s="14"/>
      <c r="Q145" s="14" t="b">
        <v>0</v>
      </c>
      <c r="R145" s="14" t="b">
        <v>1</v>
      </c>
      <c r="S145" s="14"/>
      <c r="T145" s="14"/>
    </row>
    <row r="146" spans="1:20">
      <c r="A146" s="14" t="str">
        <f t="shared" si="15"/>
        <v>1050012</v>
      </c>
      <c r="B146" s="40">
        <v>53000110</v>
      </c>
      <c r="C146" s="41" t="s">
        <v>1443</v>
      </c>
      <c r="D146" s="4">
        <v>105</v>
      </c>
      <c r="E146" s="37" t="s">
        <v>306</v>
      </c>
      <c r="F146" s="26" t="s">
        <v>40</v>
      </c>
      <c r="G146" s="14" t="s">
        <v>20</v>
      </c>
      <c r="H146" s="14" t="s">
        <v>2418</v>
      </c>
      <c r="I146" s="14" t="s">
        <v>2419</v>
      </c>
      <c r="J146" s="14" t="s">
        <v>1515</v>
      </c>
      <c r="K146" s="14"/>
      <c r="L146" s="14" t="str">
        <f t="shared" si="16"/>
        <v>MissionProgress(2112001050012,1)</v>
      </c>
      <c r="M146" s="14" t="s">
        <v>1492</v>
      </c>
      <c r="N146" s="14"/>
      <c r="O146" s="14"/>
      <c r="P146" s="14"/>
      <c r="Q146" s="14" t="b">
        <v>0</v>
      </c>
      <c r="R146" s="14" t="b">
        <v>1</v>
      </c>
      <c r="S146" s="14"/>
      <c r="T146" s="14"/>
    </row>
    <row r="147" spans="1:20">
      <c r="A147" s="14" t="str">
        <f t="shared" si="15"/>
        <v>1050013</v>
      </c>
      <c r="B147" s="40">
        <v>72000510</v>
      </c>
      <c r="C147" s="41" t="s">
        <v>1444</v>
      </c>
      <c r="D147" s="4">
        <v>105</v>
      </c>
      <c r="E147" s="37" t="s">
        <v>307</v>
      </c>
      <c r="F147" s="26" t="s">
        <v>40</v>
      </c>
      <c r="G147" s="14" t="s">
        <v>20</v>
      </c>
      <c r="H147" s="14" t="s">
        <v>2420</v>
      </c>
      <c r="I147" s="14" t="s">
        <v>2421</v>
      </c>
      <c r="J147" s="14" t="s">
        <v>1516</v>
      </c>
      <c r="K147" s="14"/>
      <c r="L147" s="14" t="str">
        <f t="shared" si="16"/>
        <v>MissionProgress(2112001050013,1)</v>
      </c>
      <c r="M147" s="14" t="s">
        <v>1492</v>
      </c>
      <c r="N147" s="14"/>
      <c r="O147" s="14"/>
      <c r="P147" s="14"/>
      <c r="Q147" s="14" t="b">
        <v>0</v>
      </c>
      <c r="R147" s="14" t="b">
        <v>1</v>
      </c>
      <c r="S147" s="14"/>
      <c r="T147" s="14"/>
    </row>
    <row r="148" spans="1:20">
      <c r="A148" s="14" t="str">
        <f t="shared" si="15"/>
        <v>1050014</v>
      </c>
      <c r="B148" s="40">
        <v>72000710</v>
      </c>
      <c r="C148" s="41" t="s">
        <v>1445</v>
      </c>
      <c r="D148" s="4">
        <v>105</v>
      </c>
      <c r="E148" s="37" t="s">
        <v>308</v>
      </c>
      <c r="F148" s="26" t="s">
        <v>40</v>
      </c>
      <c r="G148" s="14" t="s">
        <v>20</v>
      </c>
      <c r="H148" s="14" t="s">
        <v>2422</v>
      </c>
      <c r="I148" s="14" t="s">
        <v>2423</v>
      </c>
      <c r="J148" s="14" t="s">
        <v>1517</v>
      </c>
      <c r="K148" s="14"/>
      <c r="L148" s="14" t="str">
        <f t="shared" si="16"/>
        <v>MissionProgress(2112001050014,1)</v>
      </c>
      <c r="M148" s="14" t="s">
        <v>1492</v>
      </c>
      <c r="N148" s="14"/>
      <c r="O148" s="14"/>
      <c r="P148" s="14"/>
      <c r="Q148" s="14" t="b">
        <v>0</v>
      </c>
      <c r="R148" s="14" t="b">
        <v>1</v>
      </c>
      <c r="S148" s="14"/>
      <c r="T148" s="14"/>
    </row>
    <row r="149" spans="1:20" s="90" customFormat="1">
      <c r="A149" s="84" t="str">
        <f t="shared" si="15"/>
        <v>1050015</v>
      </c>
      <c r="B149" s="85">
        <v>94000310</v>
      </c>
      <c r="C149" s="86" t="s">
        <v>1747</v>
      </c>
      <c r="D149" s="87">
        <v>105</v>
      </c>
      <c r="E149" s="88" t="s">
        <v>309</v>
      </c>
      <c r="F149" s="89" t="s">
        <v>40</v>
      </c>
      <c r="G149" s="84" t="s">
        <v>20</v>
      </c>
      <c r="H149" s="84" t="s">
        <v>2424</v>
      </c>
      <c r="I149" s="84" t="s">
        <v>2425</v>
      </c>
      <c r="J149" s="84" t="s">
        <v>1518</v>
      </c>
      <c r="K149" s="84"/>
      <c r="L149" s="84" t="str">
        <f t="shared" si="16"/>
        <v>MissionProgress(2112001050015,1)</v>
      </c>
      <c r="M149" s="84" t="s">
        <v>1493</v>
      </c>
      <c r="N149" s="84"/>
      <c r="O149" s="84"/>
      <c r="P149" s="84"/>
      <c r="Q149" s="84" t="b">
        <v>0</v>
      </c>
      <c r="R149" s="84" t="b">
        <v>0</v>
      </c>
      <c r="S149" s="84"/>
      <c r="T149" s="84"/>
    </row>
    <row r="150" spans="1:20" s="90" customFormat="1">
      <c r="A150" s="84" t="str">
        <f t="shared" si="15"/>
        <v>1050016</v>
      </c>
      <c r="B150" s="85">
        <v>71000310</v>
      </c>
      <c r="C150" s="86" t="s">
        <v>1748</v>
      </c>
      <c r="D150" s="87">
        <v>105</v>
      </c>
      <c r="E150" s="88" t="s">
        <v>310</v>
      </c>
      <c r="F150" s="89" t="s">
        <v>40</v>
      </c>
      <c r="G150" s="84" t="s">
        <v>20</v>
      </c>
      <c r="H150" s="84" t="s">
        <v>2426</v>
      </c>
      <c r="I150" s="84" t="s">
        <v>2427</v>
      </c>
      <c r="J150" s="84" t="s">
        <v>1519</v>
      </c>
      <c r="K150" s="84"/>
      <c r="L150" s="84" t="str">
        <f t="shared" si="16"/>
        <v>MissionProgress(2112001050016,1)</v>
      </c>
      <c r="M150" s="84" t="s">
        <v>1493</v>
      </c>
      <c r="N150" s="84"/>
      <c r="O150" s="84"/>
      <c r="P150" s="84"/>
      <c r="Q150" s="84" t="b">
        <v>0</v>
      </c>
      <c r="R150" s="84" t="b">
        <v>0</v>
      </c>
      <c r="S150" s="84"/>
      <c r="T150" s="84"/>
    </row>
    <row r="151" spans="1:20" s="90" customFormat="1">
      <c r="A151" s="84" t="str">
        <f t="shared" si="15"/>
        <v>1050017</v>
      </c>
      <c r="B151" s="85">
        <v>72000110</v>
      </c>
      <c r="C151" s="86" t="s">
        <v>1749</v>
      </c>
      <c r="D151" s="87">
        <v>105</v>
      </c>
      <c r="E151" s="88" t="s">
        <v>311</v>
      </c>
      <c r="F151" s="89" t="s">
        <v>40</v>
      </c>
      <c r="G151" s="84" t="s">
        <v>20</v>
      </c>
      <c r="H151" s="84" t="s">
        <v>2428</v>
      </c>
      <c r="I151" s="84" t="s">
        <v>2429</v>
      </c>
      <c r="J151" s="84" t="s">
        <v>1520</v>
      </c>
      <c r="K151" s="84"/>
      <c r="L151" s="84" t="str">
        <f t="shared" si="16"/>
        <v>MissionProgress(2112001050017,1)</v>
      </c>
      <c r="M151" s="84" t="s">
        <v>1494</v>
      </c>
      <c r="N151" s="84"/>
      <c r="O151" s="84"/>
      <c r="P151" s="84"/>
      <c r="Q151" s="84" t="b">
        <v>0</v>
      </c>
      <c r="R151" s="84" t="b">
        <v>0</v>
      </c>
      <c r="S151" s="84"/>
      <c r="T151" s="84"/>
    </row>
    <row r="152" spans="1:20" s="90" customFormat="1">
      <c r="A152" s="84" t="str">
        <f t="shared" si="15"/>
        <v>1050018</v>
      </c>
      <c r="B152" s="85">
        <v>52000310</v>
      </c>
      <c r="C152" s="86" t="s">
        <v>1750</v>
      </c>
      <c r="D152" s="87">
        <v>105</v>
      </c>
      <c r="E152" s="88" t="s">
        <v>312</v>
      </c>
      <c r="F152" s="89" t="s">
        <v>40</v>
      </c>
      <c r="G152" s="84" t="s">
        <v>20</v>
      </c>
      <c r="H152" s="84" t="s">
        <v>2430</v>
      </c>
      <c r="I152" s="84" t="s">
        <v>2431</v>
      </c>
      <c r="J152" s="84" t="s">
        <v>1521</v>
      </c>
      <c r="K152" s="84"/>
      <c r="L152" s="84" t="str">
        <f t="shared" si="16"/>
        <v>MissionProgress(2112001050018,1)</v>
      </c>
      <c r="M152" s="84" t="s">
        <v>1493</v>
      </c>
      <c r="N152" s="84"/>
      <c r="O152" s="84"/>
      <c r="P152" s="84"/>
      <c r="Q152" s="84" t="b">
        <v>0</v>
      </c>
      <c r="R152" s="84" t="b">
        <v>0</v>
      </c>
      <c r="S152" s="84"/>
      <c r="T152" s="84"/>
    </row>
    <row r="153" spans="1:20" s="90" customFormat="1">
      <c r="A153" s="84" t="str">
        <f t="shared" si="15"/>
        <v>1050019</v>
      </c>
      <c r="B153" s="85">
        <v>73000210</v>
      </c>
      <c r="C153" s="86" t="s">
        <v>1751</v>
      </c>
      <c r="D153" s="87">
        <v>105</v>
      </c>
      <c r="E153" s="88" t="s">
        <v>313</v>
      </c>
      <c r="F153" s="89" t="s">
        <v>40</v>
      </c>
      <c r="G153" s="84" t="s">
        <v>20</v>
      </c>
      <c r="H153" s="84" t="s">
        <v>2432</v>
      </c>
      <c r="I153" s="84" t="s">
        <v>2433</v>
      </c>
      <c r="J153" s="84" t="s">
        <v>1522</v>
      </c>
      <c r="K153" s="84"/>
      <c r="L153" s="84" t="str">
        <f t="shared" si="16"/>
        <v>MissionProgress(2112001050019,1)</v>
      </c>
      <c r="M153" s="84" t="s">
        <v>1493</v>
      </c>
      <c r="N153" s="84"/>
      <c r="O153" s="84"/>
      <c r="P153" s="84"/>
      <c r="Q153" s="84" t="b">
        <v>0</v>
      </c>
      <c r="R153" s="84" t="b">
        <v>0</v>
      </c>
      <c r="S153" s="84"/>
      <c r="T153" s="84"/>
    </row>
    <row r="154" spans="1:20" s="90" customFormat="1">
      <c r="A154" s="84" t="str">
        <f t="shared" si="15"/>
        <v>1050020</v>
      </c>
      <c r="B154" s="85">
        <v>92000310</v>
      </c>
      <c r="C154" s="86" t="s">
        <v>1752</v>
      </c>
      <c r="D154" s="87">
        <v>105</v>
      </c>
      <c r="E154" s="88" t="s">
        <v>314</v>
      </c>
      <c r="F154" s="89" t="s">
        <v>40</v>
      </c>
      <c r="G154" s="84" t="s">
        <v>20</v>
      </c>
      <c r="H154" s="84" t="s">
        <v>2434</v>
      </c>
      <c r="I154" s="84" t="s">
        <v>2435</v>
      </c>
      <c r="J154" s="84" t="s">
        <v>1523</v>
      </c>
      <c r="K154" s="84"/>
      <c r="L154" s="84" t="str">
        <f t="shared" si="16"/>
        <v>MissionProgress(2112001050020,1)</v>
      </c>
      <c r="M154" s="84" t="s">
        <v>1493</v>
      </c>
      <c r="N154" s="84"/>
      <c r="O154" s="84"/>
      <c r="P154" s="84"/>
      <c r="Q154" s="84" t="b">
        <v>0</v>
      </c>
      <c r="R154" s="84" t="b">
        <v>0</v>
      </c>
      <c r="S154" s="84"/>
      <c r="T154" s="84"/>
    </row>
    <row r="155" spans="1:20" s="52" customFormat="1">
      <c r="A155" s="52" t="s">
        <v>1503</v>
      </c>
    </row>
    <row r="156" spans="1:20">
      <c r="A156" s="14" t="str">
        <f t="shared" ref="A156:A169" si="17">D156&amp;E156</f>
        <v>1060001</v>
      </c>
      <c r="B156" s="40">
        <v>72000110</v>
      </c>
      <c r="C156" s="41" t="s">
        <v>1451</v>
      </c>
      <c r="D156" s="4">
        <v>106</v>
      </c>
      <c r="E156" s="37" t="s">
        <v>1449</v>
      </c>
      <c r="F156" s="26" t="s">
        <v>42</v>
      </c>
      <c r="G156" s="14" t="s">
        <v>20</v>
      </c>
      <c r="H156" s="14" t="s">
        <v>2436</v>
      </c>
      <c r="I156" s="14" t="s">
        <v>2437</v>
      </c>
      <c r="J156" s="14" t="s">
        <v>1524</v>
      </c>
      <c r="K156" s="14"/>
      <c r="L156" s="14" t="str">
        <f>"CharacterGrade(LR, 1010"&amp;LEFT(B156,6)&amp;")"</f>
        <v>CharacterGrade(LR, 1010720001)</v>
      </c>
      <c r="M156" s="14" t="s">
        <v>1496</v>
      </c>
      <c r="N156" s="14"/>
      <c r="O156" s="14"/>
      <c r="P156" s="14"/>
      <c r="Q156" s="14" t="b">
        <v>0</v>
      </c>
      <c r="R156" s="14" t="b">
        <v>1</v>
      </c>
      <c r="S156" s="14"/>
      <c r="T156" s="14"/>
    </row>
    <row r="157" spans="1:20">
      <c r="A157" s="14" t="str">
        <f t="shared" si="17"/>
        <v>1060002</v>
      </c>
      <c r="B157" s="40">
        <v>52000310</v>
      </c>
      <c r="C157" s="41" t="s">
        <v>1452</v>
      </c>
      <c r="D157" s="4">
        <v>106</v>
      </c>
      <c r="E157" s="37" t="s">
        <v>1450</v>
      </c>
      <c r="F157" s="26" t="s">
        <v>42</v>
      </c>
      <c r="G157" s="14" t="s">
        <v>20</v>
      </c>
      <c r="H157" s="14" t="s">
        <v>2438</v>
      </c>
      <c r="I157" s="14" t="s">
        <v>2439</v>
      </c>
      <c r="J157" s="14" t="s">
        <v>1525</v>
      </c>
      <c r="K157" s="14"/>
      <c r="L157" s="14" t="str">
        <f t="shared" ref="L157:L169" si="18">"CharacterGrade(LR, 1010"&amp;LEFT(B157,6)&amp;")"</f>
        <v>CharacterGrade(LR, 1010520003)</v>
      </c>
      <c r="M157" s="14" t="s">
        <v>1495</v>
      </c>
      <c r="N157" s="14"/>
      <c r="O157" s="14"/>
      <c r="P157" s="14"/>
      <c r="Q157" s="14" t="b">
        <v>0</v>
      </c>
      <c r="R157" s="14" t="b">
        <v>1</v>
      </c>
      <c r="S157" s="14"/>
      <c r="T157" s="14"/>
    </row>
    <row r="158" spans="1:20">
      <c r="A158" s="14" t="str">
        <f t="shared" si="17"/>
        <v>1060003</v>
      </c>
      <c r="B158" s="14">
        <v>92000210</v>
      </c>
      <c r="C158" s="36" t="s">
        <v>1453</v>
      </c>
      <c r="D158" s="4">
        <v>106</v>
      </c>
      <c r="E158" s="37" t="s">
        <v>265</v>
      </c>
      <c r="F158" s="26" t="s">
        <v>42</v>
      </c>
      <c r="G158" s="14" t="s">
        <v>20</v>
      </c>
      <c r="H158" s="14" t="s">
        <v>2440</v>
      </c>
      <c r="I158" s="14" t="s">
        <v>2441</v>
      </c>
      <c r="J158" s="14" t="s">
        <v>1526</v>
      </c>
      <c r="K158" s="14"/>
      <c r="L158" s="14" t="str">
        <f t="shared" si="18"/>
        <v>CharacterGrade(LR, 1010920002)</v>
      </c>
      <c r="M158" s="14" t="s">
        <v>1495</v>
      </c>
      <c r="N158" s="63"/>
      <c r="O158" s="14"/>
      <c r="P158" s="14"/>
      <c r="Q158" s="14" t="b">
        <v>0</v>
      </c>
      <c r="R158" s="14" t="b">
        <v>1</v>
      </c>
      <c r="S158" s="14"/>
      <c r="T158" s="14"/>
    </row>
    <row r="159" spans="1:20">
      <c r="A159" s="14" t="str">
        <f t="shared" si="17"/>
        <v>1060004</v>
      </c>
      <c r="B159" s="40">
        <v>73000210</v>
      </c>
      <c r="C159" s="41" t="s">
        <v>1454</v>
      </c>
      <c r="D159" s="4">
        <v>106</v>
      </c>
      <c r="E159" s="37" t="s">
        <v>266</v>
      </c>
      <c r="F159" s="26" t="s">
        <v>42</v>
      </c>
      <c r="G159" s="14" t="s">
        <v>20</v>
      </c>
      <c r="H159" s="14" t="s">
        <v>2442</v>
      </c>
      <c r="I159" s="14" t="s">
        <v>2443</v>
      </c>
      <c r="J159" s="14" t="s">
        <v>1527</v>
      </c>
      <c r="K159" s="14"/>
      <c r="L159" s="14" t="str">
        <f t="shared" si="18"/>
        <v>CharacterGrade(LR, 1010730002)</v>
      </c>
      <c r="M159" s="14" t="s">
        <v>1495</v>
      </c>
      <c r="N159" s="14"/>
      <c r="O159" s="14"/>
      <c r="P159" s="14"/>
      <c r="Q159" s="14" t="b">
        <v>0</v>
      </c>
      <c r="R159" s="14" t="b">
        <v>1</v>
      </c>
      <c r="S159" s="14"/>
      <c r="T159" s="14"/>
    </row>
    <row r="160" spans="1:20">
      <c r="A160" s="14" t="str">
        <f t="shared" si="17"/>
        <v>1060005</v>
      </c>
      <c r="B160" s="40">
        <v>72000610</v>
      </c>
      <c r="C160" s="41" t="s">
        <v>1455</v>
      </c>
      <c r="D160" s="4">
        <v>106</v>
      </c>
      <c r="E160" s="37" t="s">
        <v>267</v>
      </c>
      <c r="F160" s="26" t="s">
        <v>42</v>
      </c>
      <c r="G160" s="14" t="s">
        <v>20</v>
      </c>
      <c r="H160" s="14" t="s">
        <v>2444</v>
      </c>
      <c r="I160" s="14" t="s">
        <v>2445</v>
      </c>
      <c r="J160" s="14" t="s">
        <v>1528</v>
      </c>
      <c r="K160" s="14"/>
      <c r="L160" s="14" t="str">
        <f t="shared" si="18"/>
        <v>CharacterGrade(LR, 1010720006)</v>
      </c>
      <c r="M160" s="14" t="s">
        <v>1495</v>
      </c>
      <c r="N160" s="14"/>
      <c r="O160" s="14"/>
      <c r="P160" s="14"/>
      <c r="Q160" s="14" t="b">
        <v>0</v>
      </c>
      <c r="R160" s="14" t="b">
        <v>1</v>
      </c>
      <c r="S160" s="14"/>
      <c r="T160" s="14"/>
    </row>
    <row r="161" spans="1:20">
      <c r="A161" s="14" t="str">
        <f t="shared" si="17"/>
        <v>1060006</v>
      </c>
      <c r="B161" s="40">
        <v>52000510</v>
      </c>
      <c r="C161" s="41" t="s">
        <v>1456</v>
      </c>
      <c r="D161" s="4">
        <v>106</v>
      </c>
      <c r="E161" s="37" t="s">
        <v>268</v>
      </c>
      <c r="F161" s="26" t="s">
        <v>42</v>
      </c>
      <c r="G161" s="14" t="s">
        <v>20</v>
      </c>
      <c r="H161" s="14" t="s">
        <v>2446</v>
      </c>
      <c r="I161" s="14" t="s">
        <v>2447</v>
      </c>
      <c r="J161" s="14" t="s">
        <v>1529</v>
      </c>
      <c r="K161" s="14"/>
      <c r="L161" s="14" t="str">
        <f t="shared" si="18"/>
        <v>CharacterGrade(LR, 1010520005)</v>
      </c>
      <c r="M161" s="14" t="s">
        <v>1495</v>
      </c>
      <c r="N161" s="14"/>
      <c r="O161" s="14"/>
      <c r="P161" s="14"/>
      <c r="Q161" s="14" t="b">
        <v>0</v>
      </c>
      <c r="R161" s="14" t="b">
        <v>1</v>
      </c>
      <c r="S161" s="14"/>
      <c r="T161" s="14"/>
    </row>
    <row r="162" spans="1:20">
      <c r="A162" s="14" t="str">
        <f t="shared" si="17"/>
        <v>1060007</v>
      </c>
      <c r="B162" s="40">
        <v>52000110</v>
      </c>
      <c r="C162" s="41" t="s">
        <v>1457</v>
      </c>
      <c r="D162" s="4">
        <v>106</v>
      </c>
      <c r="E162" s="37" t="s">
        <v>269</v>
      </c>
      <c r="F162" s="26" t="s">
        <v>42</v>
      </c>
      <c r="G162" s="14" t="s">
        <v>20</v>
      </c>
      <c r="H162" s="14" t="s">
        <v>2448</v>
      </c>
      <c r="I162" s="14" t="s">
        <v>2449</v>
      </c>
      <c r="J162" s="14" t="s">
        <v>1530</v>
      </c>
      <c r="K162" s="14"/>
      <c r="L162" s="14" t="str">
        <f t="shared" si="18"/>
        <v>CharacterGrade(LR, 1010520001)</v>
      </c>
      <c r="M162" s="14" t="s">
        <v>1495</v>
      </c>
      <c r="N162" s="14"/>
      <c r="O162" s="14"/>
      <c r="P162" s="14"/>
      <c r="Q162" s="14" t="b">
        <v>0</v>
      </c>
      <c r="R162" s="14" t="b">
        <v>1</v>
      </c>
      <c r="S162" s="14"/>
      <c r="T162" s="14"/>
    </row>
    <row r="163" spans="1:20">
      <c r="A163" s="14" t="str">
        <f t="shared" si="17"/>
        <v>1060008</v>
      </c>
      <c r="B163" s="40">
        <v>73000410</v>
      </c>
      <c r="C163" s="41" t="s">
        <v>1458</v>
      </c>
      <c r="D163" s="4">
        <v>106</v>
      </c>
      <c r="E163" s="37" t="s">
        <v>270</v>
      </c>
      <c r="F163" s="26" t="s">
        <v>42</v>
      </c>
      <c r="G163" s="14" t="s">
        <v>20</v>
      </c>
      <c r="H163" s="14" t="s">
        <v>2450</v>
      </c>
      <c r="I163" s="14" t="s">
        <v>2451</v>
      </c>
      <c r="J163" s="14" t="s">
        <v>1531</v>
      </c>
      <c r="K163" s="14"/>
      <c r="L163" s="14" t="str">
        <f t="shared" si="18"/>
        <v>CharacterGrade(LR, 1010730004)</v>
      </c>
      <c r="M163" s="14" t="s">
        <v>1495</v>
      </c>
      <c r="N163" s="14"/>
      <c r="O163" s="14"/>
      <c r="P163" s="14"/>
      <c r="Q163" s="14" t="b">
        <v>0</v>
      </c>
      <c r="R163" s="14" t="b">
        <v>1</v>
      </c>
      <c r="S163" s="14"/>
      <c r="T163" s="14"/>
    </row>
    <row r="164" spans="1:20">
      <c r="A164" s="14" t="str">
        <f t="shared" si="17"/>
        <v>1060009</v>
      </c>
      <c r="B164" s="40">
        <v>53000410</v>
      </c>
      <c r="C164" s="41" t="s">
        <v>1459</v>
      </c>
      <c r="D164" s="4">
        <v>106</v>
      </c>
      <c r="E164" s="37" t="s">
        <v>271</v>
      </c>
      <c r="F164" s="26" t="s">
        <v>42</v>
      </c>
      <c r="G164" s="14" t="s">
        <v>20</v>
      </c>
      <c r="H164" s="14" t="s">
        <v>2452</v>
      </c>
      <c r="I164" s="14" t="s">
        <v>2453</v>
      </c>
      <c r="J164" s="14" t="s">
        <v>1532</v>
      </c>
      <c r="K164" s="14"/>
      <c r="L164" s="14" t="str">
        <f t="shared" si="18"/>
        <v>CharacterGrade(LR, 1010530004)</v>
      </c>
      <c r="M164" s="14" t="s">
        <v>1495</v>
      </c>
      <c r="N164" s="14"/>
      <c r="O164" s="14"/>
      <c r="P164" s="14"/>
      <c r="Q164" s="14" t="b">
        <v>0</v>
      </c>
      <c r="R164" s="14" t="b">
        <v>1</v>
      </c>
      <c r="S164" s="14"/>
      <c r="T164" s="14"/>
    </row>
    <row r="165" spans="1:20">
      <c r="A165" s="14" t="str">
        <f t="shared" si="17"/>
        <v>1060010</v>
      </c>
      <c r="B165" s="40">
        <v>92000310</v>
      </c>
      <c r="C165" s="41" t="s">
        <v>1460</v>
      </c>
      <c r="D165" s="4">
        <v>106</v>
      </c>
      <c r="E165" s="37" t="s">
        <v>272</v>
      </c>
      <c r="F165" s="26" t="s">
        <v>42</v>
      </c>
      <c r="G165" s="14" t="s">
        <v>20</v>
      </c>
      <c r="H165" s="14" t="s">
        <v>2454</v>
      </c>
      <c r="I165" s="14" t="s">
        <v>2455</v>
      </c>
      <c r="J165" s="14" t="s">
        <v>1533</v>
      </c>
      <c r="K165" s="14"/>
      <c r="L165" s="14" t="str">
        <f t="shared" si="18"/>
        <v>CharacterGrade(LR, 1010920003)</v>
      </c>
      <c r="M165" s="14" t="s">
        <v>1495</v>
      </c>
      <c r="N165" s="14"/>
      <c r="O165" s="14"/>
      <c r="P165" s="14"/>
      <c r="Q165" s="14" t="b">
        <v>0</v>
      </c>
      <c r="R165" s="14" t="b">
        <v>1</v>
      </c>
      <c r="S165" s="14"/>
      <c r="T165" s="14"/>
    </row>
    <row r="166" spans="1:20">
      <c r="A166" s="14" t="str">
        <f t="shared" si="17"/>
        <v>1060011</v>
      </c>
      <c r="B166" s="14">
        <v>92000410</v>
      </c>
      <c r="C166" s="36" t="s">
        <v>1461</v>
      </c>
      <c r="D166" s="4">
        <v>106</v>
      </c>
      <c r="E166" s="37" t="s">
        <v>305</v>
      </c>
      <c r="F166" s="26" t="s">
        <v>42</v>
      </c>
      <c r="G166" s="14" t="s">
        <v>20</v>
      </c>
      <c r="H166" s="14" t="s">
        <v>2456</v>
      </c>
      <c r="I166" s="14" t="s">
        <v>2457</v>
      </c>
      <c r="J166" s="14" t="s">
        <v>1534</v>
      </c>
      <c r="K166" s="14"/>
      <c r="L166" s="14" t="str">
        <f t="shared" si="18"/>
        <v>CharacterGrade(LR, 1010920004)</v>
      </c>
      <c r="M166" s="14" t="s">
        <v>1495</v>
      </c>
      <c r="N166" s="63"/>
      <c r="O166" s="14"/>
      <c r="P166" s="14"/>
      <c r="Q166" s="14" t="b">
        <v>0</v>
      </c>
      <c r="R166" s="14" t="b">
        <v>1</v>
      </c>
      <c r="S166" s="14"/>
      <c r="T166" s="14"/>
    </row>
    <row r="167" spans="1:20">
      <c r="A167" s="14" t="str">
        <f t="shared" si="17"/>
        <v>1060012</v>
      </c>
      <c r="B167" s="40">
        <v>94000310</v>
      </c>
      <c r="C167" s="41" t="s">
        <v>1462</v>
      </c>
      <c r="D167" s="4">
        <v>106</v>
      </c>
      <c r="E167" s="37" t="s">
        <v>306</v>
      </c>
      <c r="F167" s="26" t="s">
        <v>42</v>
      </c>
      <c r="G167" s="14" t="s">
        <v>20</v>
      </c>
      <c r="H167" s="14" t="s">
        <v>2458</v>
      </c>
      <c r="I167" s="14" t="s">
        <v>2459</v>
      </c>
      <c r="J167" s="14" t="s">
        <v>1535</v>
      </c>
      <c r="K167" s="14"/>
      <c r="L167" s="14" t="str">
        <f t="shared" si="18"/>
        <v>CharacterGrade(LR, 1010940003)</v>
      </c>
      <c r="M167" s="14" t="s">
        <v>1495</v>
      </c>
      <c r="N167" s="14"/>
      <c r="O167" s="14"/>
      <c r="P167" s="14"/>
      <c r="Q167" s="14" t="b">
        <v>0</v>
      </c>
      <c r="R167" s="14" t="b">
        <v>1</v>
      </c>
      <c r="S167" s="14"/>
      <c r="T167" s="14"/>
    </row>
    <row r="168" spans="1:20">
      <c r="A168" s="14" t="str">
        <f t="shared" si="17"/>
        <v>1060013</v>
      </c>
      <c r="B168" s="40">
        <v>94000210</v>
      </c>
      <c r="C168" s="41" t="s">
        <v>1463</v>
      </c>
      <c r="D168" s="4">
        <v>106</v>
      </c>
      <c r="E168" s="37" t="s">
        <v>307</v>
      </c>
      <c r="F168" s="26" t="s">
        <v>42</v>
      </c>
      <c r="G168" s="14" t="s">
        <v>20</v>
      </c>
      <c r="H168" s="14" t="s">
        <v>2460</v>
      </c>
      <c r="I168" s="14" t="s">
        <v>2461</v>
      </c>
      <c r="J168" s="14" t="s">
        <v>1536</v>
      </c>
      <c r="K168" s="14"/>
      <c r="L168" s="14" t="str">
        <f t="shared" si="18"/>
        <v>CharacterGrade(LR, 1010940002)</v>
      </c>
      <c r="M168" s="14" t="s">
        <v>1495</v>
      </c>
      <c r="N168" s="14"/>
      <c r="O168" s="14"/>
      <c r="P168" s="14"/>
      <c r="Q168" s="14" t="b">
        <v>0</v>
      </c>
      <c r="R168" s="14" t="b">
        <v>1</v>
      </c>
      <c r="S168" s="14"/>
      <c r="T168" s="14"/>
    </row>
    <row r="169" spans="1:20">
      <c r="A169" s="14" t="str">
        <f t="shared" si="17"/>
        <v>1060014</v>
      </c>
      <c r="B169" s="40">
        <v>74000110</v>
      </c>
      <c r="C169" s="41" t="s">
        <v>1464</v>
      </c>
      <c r="D169" s="4">
        <v>106</v>
      </c>
      <c r="E169" s="37" t="s">
        <v>308</v>
      </c>
      <c r="F169" s="26" t="s">
        <v>42</v>
      </c>
      <c r="G169" s="14" t="s">
        <v>20</v>
      </c>
      <c r="H169" s="14" t="s">
        <v>2462</v>
      </c>
      <c r="I169" s="14" t="s">
        <v>2463</v>
      </c>
      <c r="J169" s="14" t="s">
        <v>1537</v>
      </c>
      <c r="K169" s="14"/>
      <c r="L169" s="14" t="str">
        <f t="shared" si="18"/>
        <v>CharacterGrade(LR, 1010740001)</v>
      </c>
      <c r="M169" s="14" t="s">
        <v>1495</v>
      </c>
      <c r="N169" s="14"/>
      <c r="O169" s="14"/>
      <c r="P169" s="14"/>
      <c r="Q169" s="14" t="b">
        <v>0</v>
      </c>
      <c r="R169" s="14" t="b">
        <v>1</v>
      </c>
      <c r="S169" s="14"/>
      <c r="T169" s="14"/>
    </row>
    <row r="170" spans="1:20" s="52" customFormat="1">
      <c r="A170" s="52" t="s">
        <v>1504</v>
      </c>
    </row>
    <row r="171" spans="1:20">
      <c r="A171" s="14" t="str">
        <f t="shared" ref="A171:A186" si="19">D171&amp;E171</f>
        <v>1070001</v>
      </c>
      <c r="B171" s="40">
        <v>72000110</v>
      </c>
      <c r="C171" s="41" t="s">
        <v>1476</v>
      </c>
      <c r="D171" s="4">
        <v>107</v>
      </c>
      <c r="E171" s="37" t="s">
        <v>1449</v>
      </c>
      <c r="F171" s="26" t="s">
        <v>1995</v>
      </c>
      <c r="G171" s="14" t="s">
        <v>20</v>
      </c>
      <c r="H171" s="14" t="s">
        <v>2368</v>
      </c>
      <c r="I171" s="14" t="s">
        <v>2369</v>
      </c>
      <c r="J171" s="14" t="s">
        <v>2170</v>
      </c>
      <c r="K171" s="14"/>
      <c r="L171" s="14" t="str">
        <f t="shared" ref="L171:L188" si="20">"MissionProgress(211200"&amp;A171&amp;",1)"</f>
        <v>MissionProgress(2112001070001,1)</v>
      </c>
      <c r="M171" s="14" t="s">
        <v>1497</v>
      </c>
      <c r="N171" s="14"/>
      <c r="O171" s="14"/>
      <c r="P171" s="14"/>
      <c r="Q171" s="14" t="b">
        <v>0</v>
      </c>
      <c r="R171" s="14" t="b">
        <v>1</v>
      </c>
      <c r="S171" s="14"/>
      <c r="T171" s="14"/>
    </row>
    <row r="172" spans="1:20">
      <c r="A172" s="14" t="str">
        <f t="shared" si="19"/>
        <v>1070002</v>
      </c>
      <c r="B172" s="40">
        <v>52000310</v>
      </c>
      <c r="C172" s="41" t="s">
        <v>1477</v>
      </c>
      <c r="D172" s="4">
        <v>107</v>
      </c>
      <c r="E172" s="37" t="s">
        <v>1450</v>
      </c>
      <c r="F172" s="26" t="s">
        <v>1995</v>
      </c>
      <c r="G172" s="14" t="s">
        <v>20</v>
      </c>
      <c r="H172" s="14" t="s">
        <v>2370</v>
      </c>
      <c r="I172" s="14" t="s">
        <v>2371</v>
      </c>
      <c r="J172" s="14" t="s">
        <v>2171</v>
      </c>
      <c r="K172" s="14"/>
      <c r="L172" s="14" t="str">
        <f t="shared" si="20"/>
        <v>MissionProgress(2112001070002,1)</v>
      </c>
      <c r="M172" s="14" t="s">
        <v>1497</v>
      </c>
      <c r="N172" s="14"/>
      <c r="O172" s="14"/>
      <c r="P172" s="14"/>
      <c r="Q172" s="14" t="b">
        <v>0</v>
      </c>
      <c r="R172" s="14" t="b">
        <v>1</v>
      </c>
      <c r="S172" s="14"/>
      <c r="T172" s="14"/>
    </row>
    <row r="173" spans="1:20">
      <c r="A173" s="14" t="str">
        <f t="shared" si="19"/>
        <v>1070003</v>
      </c>
      <c r="B173" s="14">
        <v>92000210</v>
      </c>
      <c r="C173" s="36" t="s">
        <v>1478</v>
      </c>
      <c r="D173" s="4">
        <v>107</v>
      </c>
      <c r="E173" s="37" t="s">
        <v>265</v>
      </c>
      <c r="F173" s="26" t="s">
        <v>1995</v>
      </c>
      <c r="G173" s="14" t="s">
        <v>20</v>
      </c>
      <c r="H173" s="14" t="s">
        <v>2372</v>
      </c>
      <c r="I173" s="14" t="s">
        <v>2373</v>
      </c>
      <c r="J173" s="14" t="s">
        <v>2172</v>
      </c>
      <c r="K173" s="14"/>
      <c r="L173" s="14" t="str">
        <f t="shared" si="20"/>
        <v>MissionProgress(2112001070003,1)</v>
      </c>
      <c r="M173" s="14" t="s">
        <v>1497</v>
      </c>
      <c r="N173" s="63"/>
      <c r="O173" s="14"/>
      <c r="P173" s="14"/>
      <c r="Q173" s="14" t="b">
        <v>0</v>
      </c>
      <c r="R173" s="14" t="b">
        <v>1</v>
      </c>
      <c r="S173" s="14"/>
      <c r="T173" s="14"/>
    </row>
    <row r="174" spans="1:20">
      <c r="A174" s="14" t="str">
        <f t="shared" si="19"/>
        <v>1070004</v>
      </c>
      <c r="B174" s="40">
        <v>93000510</v>
      </c>
      <c r="C174" s="41" t="s">
        <v>1479</v>
      </c>
      <c r="D174" s="4">
        <v>107</v>
      </c>
      <c r="E174" s="37" t="s">
        <v>266</v>
      </c>
      <c r="F174" s="26" t="s">
        <v>1995</v>
      </c>
      <c r="G174" s="14" t="s">
        <v>20</v>
      </c>
      <c r="H174" s="14" t="s">
        <v>2374</v>
      </c>
      <c r="I174" s="14" t="s">
        <v>2375</v>
      </c>
      <c r="J174" s="14" t="s">
        <v>2173</v>
      </c>
      <c r="K174" s="14"/>
      <c r="L174" s="14" t="str">
        <f t="shared" si="20"/>
        <v>MissionProgress(2112001070004,1)</v>
      </c>
      <c r="M174" s="14" t="s">
        <v>1497</v>
      </c>
      <c r="N174" s="14"/>
      <c r="O174" s="14"/>
      <c r="P174" s="14"/>
      <c r="Q174" s="14" t="b">
        <v>0</v>
      </c>
      <c r="R174" s="14" t="b">
        <v>1</v>
      </c>
      <c r="S174" s="14"/>
      <c r="T174" s="14"/>
    </row>
    <row r="175" spans="1:20">
      <c r="A175" s="14" t="str">
        <f t="shared" si="19"/>
        <v>1070005</v>
      </c>
      <c r="B175" s="40">
        <v>73000210</v>
      </c>
      <c r="C175" s="41" t="s">
        <v>1480</v>
      </c>
      <c r="D175" s="4">
        <v>107</v>
      </c>
      <c r="E175" s="37" t="s">
        <v>267</v>
      </c>
      <c r="F175" s="26" t="s">
        <v>1995</v>
      </c>
      <c r="G175" s="14" t="s">
        <v>20</v>
      </c>
      <c r="H175" s="14" t="s">
        <v>2376</v>
      </c>
      <c r="I175" s="14" t="s">
        <v>2377</v>
      </c>
      <c r="J175" s="14" t="s">
        <v>2174</v>
      </c>
      <c r="K175" s="14"/>
      <c r="L175" s="14" t="str">
        <f t="shared" si="20"/>
        <v>MissionProgress(2112001070005,1)</v>
      </c>
      <c r="M175" s="14" t="s">
        <v>1497</v>
      </c>
      <c r="N175" s="14"/>
      <c r="O175" s="14"/>
      <c r="P175" s="14"/>
      <c r="Q175" s="14" t="b">
        <v>0</v>
      </c>
      <c r="R175" s="14" t="b">
        <v>1</v>
      </c>
      <c r="S175" s="14"/>
      <c r="T175" s="14"/>
    </row>
    <row r="176" spans="1:20">
      <c r="A176" s="14" t="str">
        <f t="shared" si="19"/>
        <v>1070006</v>
      </c>
      <c r="B176" s="40">
        <v>52000510</v>
      </c>
      <c r="C176" s="41" t="s">
        <v>1743</v>
      </c>
      <c r="D176" s="4">
        <v>107</v>
      </c>
      <c r="E176" s="37" t="s">
        <v>268</v>
      </c>
      <c r="F176" s="26" t="s">
        <v>1995</v>
      </c>
      <c r="G176" s="14" t="s">
        <v>20</v>
      </c>
      <c r="H176" s="14" t="s">
        <v>2378</v>
      </c>
      <c r="I176" s="14" t="s">
        <v>2379</v>
      </c>
      <c r="J176" s="14" t="s">
        <v>2175</v>
      </c>
      <c r="K176" s="14"/>
      <c r="L176" s="14" t="str">
        <f t="shared" si="20"/>
        <v>MissionProgress(2112001070006,1)</v>
      </c>
      <c r="M176" s="14" t="s">
        <v>1757</v>
      </c>
      <c r="N176" s="14"/>
      <c r="O176" s="14"/>
      <c r="P176" s="14"/>
      <c r="Q176" s="14" t="b">
        <v>0</v>
      </c>
      <c r="R176" s="14" t="b">
        <v>1</v>
      </c>
      <c r="S176" s="14"/>
      <c r="T176" s="14"/>
    </row>
    <row r="177" spans="1:20">
      <c r="A177" s="14" t="str">
        <f t="shared" si="19"/>
        <v>1070007</v>
      </c>
      <c r="B177" s="40">
        <v>73000410</v>
      </c>
      <c r="C177" s="41" t="s">
        <v>1744</v>
      </c>
      <c r="D177" s="4">
        <v>107</v>
      </c>
      <c r="E177" s="37" t="s">
        <v>269</v>
      </c>
      <c r="F177" s="26" t="s">
        <v>1995</v>
      </c>
      <c r="G177" s="14" t="s">
        <v>20</v>
      </c>
      <c r="H177" s="14" t="s">
        <v>2380</v>
      </c>
      <c r="I177" s="14" t="s">
        <v>2381</v>
      </c>
      <c r="J177" s="14" t="s">
        <v>2176</v>
      </c>
      <c r="K177" s="14"/>
      <c r="L177" s="14" t="str">
        <f t="shared" si="20"/>
        <v>MissionProgress(2112001070007,1)</v>
      </c>
      <c r="M177" s="14" t="s">
        <v>1757</v>
      </c>
      <c r="N177" s="14"/>
      <c r="O177" s="14"/>
      <c r="P177" s="14"/>
      <c r="Q177" s="14" t="b">
        <v>0</v>
      </c>
      <c r="R177" s="14" t="b">
        <v>1</v>
      </c>
      <c r="S177" s="14"/>
      <c r="T177" s="14"/>
    </row>
    <row r="178" spans="1:20">
      <c r="A178" s="14" t="str">
        <f t="shared" si="19"/>
        <v>1070008</v>
      </c>
      <c r="B178" s="40">
        <v>53000410</v>
      </c>
      <c r="C178" s="41" t="s">
        <v>1745</v>
      </c>
      <c r="D178" s="4">
        <v>107</v>
      </c>
      <c r="E178" s="37" t="s">
        <v>270</v>
      </c>
      <c r="F178" s="26" t="s">
        <v>1995</v>
      </c>
      <c r="G178" s="14" t="s">
        <v>20</v>
      </c>
      <c r="H178" s="14" t="s">
        <v>2382</v>
      </c>
      <c r="I178" s="14" t="s">
        <v>2383</v>
      </c>
      <c r="J178" s="14" t="s">
        <v>2177</v>
      </c>
      <c r="K178" s="14"/>
      <c r="L178" s="14" t="str">
        <f t="shared" si="20"/>
        <v>MissionProgress(2112001070008,1)</v>
      </c>
      <c r="M178" s="14" t="s">
        <v>1758</v>
      </c>
      <c r="N178" s="14"/>
      <c r="O178" s="14"/>
      <c r="P178" s="14"/>
      <c r="Q178" s="14" t="b">
        <v>0</v>
      </c>
      <c r="R178" s="14" t="b">
        <v>1</v>
      </c>
      <c r="S178" s="14"/>
      <c r="T178" s="14"/>
    </row>
    <row r="179" spans="1:20">
      <c r="A179" s="14" t="str">
        <f t="shared" si="19"/>
        <v>1070009</v>
      </c>
      <c r="B179" s="40">
        <v>73000510</v>
      </c>
      <c r="C179" s="41" t="s">
        <v>1746</v>
      </c>
      <c r="D179" s="4">
        <v>107</v>
      </c>
      <c r="E179" s="37" t="s">
        <v>271</v>
      </c>
      <c r="F179" s="26" t="s">
        <v>1995</v>
      </c>
      <c r="G179" s="14" t="s">
        <v>20</v>
      </c>
      <c r="H179" s="14" t="s">
        <v>2384</v>
      </c>
      <c r="I179" s="14" t="s">
        <v>2385</v>
      </c>
      <c r="J179" s="14" t="s">
        <v>2178</v>
      </c>
      <c r="K179" s="14"/>
      <c r="L179" s="14" t="str">
        <f t="shared" si="20"/>
        <v>MissionProgress(2112001070009,1)</v>
      </c>
      <c r="M179" s="14" t="s">
        <v>1758</v>
      </c>
      <c r="N179" s="14"/>
      <c r="O179" s="14"/>
      <c r="P179" s="14"/>
      <c r="Q179" s="14" t="b">
        <v>0</v>
      </c>
      <c r="R179" s="14" t="b">
        <v>1</v>
      </c>
      <c r="S179" s="14"/>
      <c r="T179" s="14"/>
    </row>
    <row r="180" spans="1:20" s="90" customFormat="1">
      <c r="A180" s="84" t="str">
        <f t="shared" si="19"/>
        <v>1070010</v>
      </c>
      <c r="B180" s="85">
        <v>72000610</v>
      </c>
      <c r="C180" s="86" t="s">
        <v>1753</v>
      </c>
      <c r="D180" s="87">
        <v>107</v>
      </c>
      <c r="E180" s="88" t="s">
        <v>272</v>
      </c>
      <c r="F180" s="89" t="s">
        <v>1995</v>
      </c>
      <c r="G180" s="84" t="s">
        <v>20</v>
      </c>
      <c r="H180" s="84" t="s">
        <v>2302</v>
      </c>
      <c r="I180" s="84" t="s">
        <v>2303</v>
      </c>
      <c r="J180" s="14" t="s">
        <v>2179</v>
      </c>
      <c r="K180" s="14"/>
      <c r="L180" s="84" t="str">
        <f t="shared" si="20"/>
        <v>MissionProgress(2112001070010,1)</v>
      </c>
      <c r="M180" s="84" t="s">
        <v>1498</v>
      </c>
      <c r="N180" s="84"/>
      <c r="O180" s="84"/>
      <c r="P180" s="84"/>
      <c r="Q180" s="84" t="b">
        <v>0</v>
      </c>
      <c r="R180" s="84" t="b">
        <v>0</v>
      </c>
      <c r="S180" s="84"/>
      <c r="T180" s="84"/>
    </row>
    <row r="181" spans="1:20" s="90" customFormat="1">
      <c r="A181" s="84" t="str">
        <f t="shared" si="19"/>
        <v>1070011</v>
      </c>
      <c r="B181" s="85">
        <v>52000110</v>
      </c>
      <c r="C181" s="86" t="s">
        <v>1754</v>
      </c>
      <c r="D181" s="87">
        <v>107</v>
      </c>
      <c r="E181" s="88" t="s">
        <v>305</v>
      </c>
      <c r="F181" s="89" t="s">
        <v>1995</v>
      </c>
      <c r="G181" s="84" t="s">
        <v>20</v>
      </c>
      <c r="H181" s="84" t="s">
        <v>2342</v>
      </c>
      <c r="I181" s="84" t="s">
        <v>2343</v>
      </c>
      <c r="J181" s="14" t="s">
        <v>2180</v>
      </c>
      <c r="K181" s="14"/>
      <c r="L181" s="84" t="str">
        <f t="shared" si="20"/>
        <v>MissionProgress(2112001070011,1)</v>
      </c>
      <c r="M181" s="84" t="s">
        <v>1498</v>
      </c>
      <c r="N181" s="84"/>
      <c r="O181" s="84"/>
      <c r="P181" s="84"/>
      <c r="Q181" s="84" t="b">
        <v>0</v>
      </c>
      <c r="R181" s="84" t="b">
        <v>0</v>
      </c>
      <c r="S181" s="84"/>
      <c r="T181" s="84"/>
    </row>
    <row r="182" spans="1:20" s="90" customFormat="1">
      <c r="A182" s="84" t="str">
        <f t="shared" si="19"/>
        <v>1070012</v>
      </c>
      <c r="B182" s="85">
        <v>72000410</v>
      </c>
      <c r="C182" s="86" t="s">
        <v>1755</v>
      </c>
      <c r="D182" s="87">
        <v>107</v>
      </c>
      <c r="E182" s="88" t="s">
        <v>306</v>
      </c>
      <c r="F182" s="89" t="s">
        <v>1995</v>
      </c>
      <c r="G182" s="84" t="s">
        <v>20</v>
      </c>
      <c r="H182" s="84" t="s">
        <v>2312</v>
      </c>
      <c r="I182" s="84" t="s">
        <v>2313</v>
      </c>
      <c r="J182" s="14" t="s">
        <v>2181</v>
      </c>
      <c r="K182" s="14"/>
      <c r="L182" s="84" t="str">
        <f t="shared" si="20"/>
        <v>MissionProgress(2112001070012,1)</v>
      </c>
      <c r="M182" s="84" t="s">
        <v>1498</v>
      </c>
      <c r="N182" s="84"/>
      <c r="O182" s="84"/>
      <c r="P182" s="84"/>
      <c r="Q182" s="84" t="b">
        <v>0</v>
      </c>
      <c r="R182" s="84" t="b">
        <v>0</v>
      </c>
      <c r="S182" s="84"/>
      <c r="T182" s="84"/>
    </row>
    <row r="183" spans="1:20" s="90" customFormat="1">
      <c r="A183" s="84" t="str">
        <f t="shared" si="19"/>
        <v>1070013</v>
      </c>
      <c r="B183" s="85">
        <v>92000310</v>
      </c>
      <c r="C183" s="86" t="s">
        <v>1756</v>
      </c>
      <c r="D183" s="87">
        <v>107</v>
      </c>
      <c r="E183" s="88" t="s">
        <v>307</v>
      </c>
      <c r="F183" s="89" t="s">
        <v>1995</v>
      </c>
      <c r="G183" s="84" t="s">
        <v>20</v>
      </c>
      <c r="H183" s="84" t="s">
        <v>2318</v>
      </c>
      <c r="I183" s="84" t="s">
        <v>2319</v>
      </c>
      <c r="J183" s="14" t="s">
        <v>2182</v>
      </c>
      <c r="K183" s="14"/>
      <c r="L183" s="84" t="str">
        <f t="shared" si="20"/>
        <v>MissionProgress(2112001070013,1)</v>
      </c>
      <c r="M183" s="84" t="s">
        <v>1498</v>
      </c>
      <c r="N183" s="84"/>
      <c r="O183" s="84"/>
      <c r="P183" s="84"/>
      <c r="Q183" s="84" t="b">
        <v>0</v>
      </c>
      <c r="R183" s="84" t="b">
        <v>0</v>
      </c>
      <c r="S183" s="84"/>
      <c r="T183" s="84"/>
    </row>
    <row r="184" spans="1:20">
      <c r="A184" s="14" t="str">
        <f t="shared" si="19"/>
        <v>1070014</v>
      </c>
      <c r="B184" s="40">
        <v>71000310</v>
      </c>
      <c r="C184" s="41" t="s">
        <v>1481</v>
      </c>
      <c r="D184" s="4">
        <v>107</v>
      </c>
      <c r="E184" s="37" t="s">
        <v>308</v>
      </c>
      <c r="F184" s="26" t="s">
        <v>1995</v>
      </c>
      <c r="G184" s="14" t="s">
        <v>20</v>
      </c>
      <c r="H184" s="14" t="s">
        <v>2386</v>
      </c>
      <c r="I184" s="14" t="s">
        <v>2387</v>
      </c>
      <c r="J184" s="14" t="s">
        <v>2183</v>
      </c>
      <c r="K184" s="14"/>
      <c r="L184" s="14" t="str">
        <f t="shared" si="20"/>
        <v>MissionProgress(2112001070014,1)</v>
      </c>
      <c r="M184" s="14" t="s">
        <v>1499</v>
      </c>
      <c r="N184" s="14"/>
      <c r="O184" s="14"/>
      <c r="P184" s="14"/>
      <c r="Q184" s="14" t="b">
        <v>0</v>
      </c>
      <c r="R184" s="14" t="b">
        <v>1</v>
      </c>
      <c r="S184" s="14"/>
      <c r="T184" s="14"/>
    </row>
    <row r="185" spans="1:20">
      <c r="A185" s="14" t="str">
        <f t="shared" si="19"/>
        <v>1070015</v>
      </c>
      <c r="B185" s="40">
        <v>94000210</v>
      </c>
      <c r="C185" s="41" t="s">
        <v>1482</v>
      </c>
      <c r="D185" s="4">
        <v>107</v>
      </c>
      <c r="E185" s="37" t="s">
        <v>309</v>
      </c>
      <c r="F185" s="26" t="s">
        <v>1995</v>
      </c>
      <c r="G185" s="14" t="s">
        <v>20</v>
      </c>
      <c r="H185" s="14" t="s">
        <v>2388</v>
      </c>
      <c r="I185" s="14" t="s">
        <v>2389</v>
      </c>
      <c r="J185" s="14" t="s">
        <v>2184</v>
      </c>
      <c r="K185" s="14"/>
      <c r="L185" s="14" t="str">
        <f t="shared" si="20"/>
        <v>MissionProgress(2112001070015,1)</v>
      </c>
      <c r="M185" s="14" t="s">
        <v>1499</v>
      </c>
      <c r="N185" s="14"/>
      <c r="O185" s="14"/>
      <c r="P185" s="14"/>
      <c r="Q185" s="14" t="b">
        <v>0</v>
      </c>
      <c r="R185" s="14" t="b">
        <v>1</v>
      </c>
      <c r="S185" s="14"/>
      <c r="T185" s="14"/>
    </row>
    <row r="186" spans="1:20">
      <c r="A186" s="14" t="str">
        <f t="shared" si="19"/>
        <v>1070016</v>
      </c>
      <c r="B186" s="40">
        <v>52000110</v>
      </c>
      <c r="C186" s="41" t="s">
        <v>1810</v>
      </c>
      <c r="D186" s="4">
        <v>107</v>
      </c>
      <c r="E186" s="37" t="s">
        <v>310</v>
      </c>
      <c r="F186" s="26" t="s">
        <v>1995</v>
      </c>
      <c r="G186" s="14" t="s">
        <v>20</v>
      </c>
      <c r="H186" s="14" t="s">
        <v>2390</v>
      </c>
      <c r="I186" s="14" t="s">
        <v>2391</v>
      </c>
      <c r="J186" s="14" t="s">
        <v>2185</v>
      </c>
      <c r="K186" s="14"/>
      <c r="L186" s="14" t="str">
        <f t="shared" si="20"/>
        <v>MissionProgress(2112001070016,1)</v>
      </c>
      <c r="M186" s="14" t="s">
        <v>1499</v>
      </c>
      <c r="N186" s="14"/>
      <c r="O186" s="14"/>
      <c r="P186" s="14"/>
      <c r="Q186" s="14" t="b">
        <v>0</v>
      </c>
      <c r="R186" s="14" t="b">
        <v>1</v>
      </c>
      <c r="S186" s="14"/>
      <c r="T186" s="14"/>
    </row>
    <row r="187" spans="1:20">
      <c r="A187" s="14" t="str">
        <f t="shared" ref="A187:A188" si="21">D187&amp;E187</f>
        <v>1070017</v>
      </c>
      <c r="B187" s="40">
        <v>72000410</v>
      </c>
      <c r="C187" s="41" t="s">
        <v>1811</v>
      </c>
      <c r="D187" s="4">
        <v>107</v>
      </c>
      <c r="E187" s="37" t="s">
        <v>311</v>
      </c>
      <c r="F187" s="26" t="s">
        <v>1995</v>
      </c>
      <c r="G187" s="14" t="s">
        <v>20</v>
      </c>
      <c r="H187" s="14" t="s">
        <v>2392</v>
      </c>
      <c r="I187" s="14" t="s">
        <v>2393</v>
      </c>
      <c r="J187" s="14" t="s">
        <v>2186</v>
      </c>
      <c r="K187" s="14"/>
      <c r="L187" s="14" t="str">
        <f t="shared" si="20"/>
        <v>MissionProgress(2112001070017,1)</v>
      </c>
      <c r="M187" s="14" t="s">
        <v>1499</v>
      </c>
      <c r="N187" s="14"/>
      <c r="O187" s="14"/>
      <c r="P187" s="14"/>
      <c r="Q187" s="14" t="b">
        <v>0</v>
      </c>
      <c r="R187" s="14" t="b">
        <v>1</v>
      </c>
      <c r="S187" s="14"/>
      <c r="T187" s="14"/>
    </row>
    <row r="188" spans="1:20">
      <c r="A188" s="14" t="str">
        <f t="shared" si="21"/>
        <v>1070018</v>
      </c>
      <c r="B188" s="40">
        <v>72000610</v>
      </c>
      <c r="C188" s="41" t="s">
        <v>1812</v>
      </c>
      <c r="D188" s="4">
        <v>107</v>
      </c>
      <c r="E188" s="37" t="s">
        <v>312</v>
      </c>
      <c r="F188" s="26" t="s">
        <v>1995</v>
      </c>
      <c r="G188" s="14" t="s">
        <v>20</v>
      </c>
      <c r="H188" s="14" t="s">
        <v>2394</v>
      </c>
      <c r="I188" s="14" t="s">
        <v>2395</v>
      </c>
      <c r="J188" s="14" t="s">
        <v>2187</v>
      </c>
      <c r="K188" s="14"/>
      <c r="L188" s="14" t="str">
        <f t="shared" si="20"/>
        <v>MissionProgress(2112001070018,1)</v>
      </c>
      <c r="M188" s="14" t="s">
        <v>1499</v>
      </c>
      <c r="N188" s="14"/>
      <c r="O188" s="14"/>
      <c r="P188" s="14"/>
      <c r="Q188" s="14" t="b">
        <v>0</v>
      </c>
      <c r="R188" s="14" t="b">
        <v>1</v>
      </c>
      <c r="S188" s="14"/>
      <c r="T188" s="14"/>
    </row>
    <row r="189" spans="1:20" s="52" customFormat="1">
      <c r="A189" s="52" t="s">
        <v>2191</v>
      </c>
    </row>
    <row r="190" spans="1:20">
      <c r="A190" s="106">
        <v>1090001</v>
      </c>
      <c r="B190" s="97">
        <v>10099999</v>
      </c>
      <c r="C190" s="96" t="s">
        <v>2190</v>
      </c>
      <c r="D190" s="106">
        <v>199</v>
      </c>
      <c r="E190" s="116" t="s">
        <v>2192</v>
      </c>
      <c r="F190" s="117" t="s">
        <v>1995</v>
      </c>
      <c r="G190" s="106" t="s">
        <v>20</v>
      </c>
      <c r="H190" s="106" t="s">
        <v>2368</v>
      </c>
      <c r="I190" s="106" t="s">
        <v>2369</v>
      </c>
      <c r="J190" s="106" t="s">
        <v>2170</v>
      </c>
      <c r="K190" s="106"/>
      <c r="L190" s="106"/>
      <c r="M190" s="106"/>
      <c r="N190" s="106"/>
      <c r="O190" s="106"/>
      <c r="P190" s="106"/>
      <c r="Q190" s="106" t="b">
        <v>0</v>
      </c>
      <c r="R190" s="14" t="b">
        <v>0</v>
      </c>
      <c r="S190" s="106" t="s">
        <v>2193</v>
      </c>
      <c r="T190" s="106"/>
    </row>
  </sheetData>
  <phoneticPr fontId="1" type="noConversion"/>
  <pageMargins left="0.7" right="0.7" top="0.75" bottom="0.75" header="0.3" footer="0.3"/>
  <pageSetup paperSize="9" orientation="portrait" r:id="rId1"/>
  <ignoredErrors>
    <ignoredError sqref="E135:E154 E156:E188 E86:E133 E7:E38 B84 E40:E8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932"/>
  <sheetViews>
    <sheetView zoomScale="115" zoomScaleNormal="115" workbookViewId="0">
      <pane ySplit="4" topLeftCell="A892" activePane="bottomLeft" state="frozen"/>
      <selection pane="bottomLeft" activeCell="I7" sqref="I7:I933"/>
    </sheetView>
  </sheetViews>
  <sheetFormatPr defaultRowHeight="12"/>
  <cols>
    <col min="1" max="1" width="11.5" style="3" customWidth="1"/>
    <col min="2" max="2" width="13.625" style="75" bestFit="1" customWidth="1"/>
    <col min="3" max="3" width="15" style="3" bestFit="1" customWidth="1"/>
    <col min="4" max="4" width="19.625" style="3" customWidth="1"/>
    <col min="5" max="5" width="12.125" style="78" bestFit="1" customWidth="1"/>
    <col min="6" max="6" width="10.375" style="78" bestFit="1" customWidth="1"/>
    <col min="7" max="7" width="7.375" style="78" bestFit="1" customWidth="1"/>
    <col min="8" max="9" width="52.25" style="3" customWidth="1"/>
    <col min="10" max="16384" width="9" style="3"/>
  </cols>
  <sheetData>
    <row r="1" spans="1:9">
      <c r="A1" s="1" t="s">
        <v>1</v>
      </c>
      <c r="B1" s="74" t="s">
        <v>73</v>
      </c>
      <c r="C1" s="27" t="s">
        <v>133</v>
      </c>
      <c r="D1" s="27" t="s">
        <v>133</v>
      </c>
      <c r="E1" s="1" t="s">
        <v>78</v>
      </c>
      <c r="F1" s="1" t="s">
        <v>79</v>
      </c>
      <c r="G1" s="1" t="s">
        <v>68</v>
      </c>
      <c r="H1" s="1" t="s">
        <v>25</v>
      </c>
      <c r="I1" s="1" t="s">
        <v>2084</v>
      </c>
    </row>
    <row r="2" spans="1:9">
      <c r="A2" s="1" t="s">
        <v>2</v>
      </c>
      <c r="B2" s="74" t="s">
        <v>74</v>
      </c>
      <c r="C2" s="27" t="s">
        <v>133</v>
      </c>
      <c r="D2" s="27" t="s">
        <v>133</v>
      </c>
      <c r="E2" s="1" t="s">
        <v>82</v>
      </c>
      <c r="F2" s="1" t="s">
        <v>81</v>
      </c>
      <c r="G2" s="1" t="s">
        <v>69</v>
      </c>
      <c r="H2" s="1" t="s">
        <v>26</v>
      </c>
      <c r="I2" s="1" t="s">
        <v>70</v>
      </c>
    </row>
    <row r="3" spans="1:9">
      <c r="A3" s="1" t="s">
        <v>0</v>
      </c>
      <c r="B3" s="74" t="s">
        <v>76</v>
      </c>
      <c r="C3" s="27" t="s">
        <v>133</v>
      </c>
      <c r="D3" s="27" t="s">
        <v>133</v>
      </c>
      <c r="E3" s="1" t="s">
        <v>71</v>
      </c>
      <c r="F3" s="1" t="s">
        <v>24</v>
      </c>
      <c r="G3" s="1" t="s">
        <v>24</v>
      </c>
      <c r="H3" s="1" t="s">
        <v>7</v>
      </c>
      <c r="I3" s="1" t="s">
        <v>71</v>
      </c>
    </row>
    <row r="4" spans="1:9">
      <c r="A4" s="1" t="s">
        <v>56</v>
      </c>
      <c r="B4" s="74" t="s">
        <v>77</v>
      </c>
      <c r="C4" s="27" t="s">
        <v>77</v>
      </c>
      <c r="D4" s="27" t="s">
        <v>428</v>
      </c>
      <c r="E4" s="1" t="s">
        <v>57</v>
      </c>
      <c r="F4" s="1" t="s">
        <v>80</v>
      </c>
      <c r="G4" s="1" t="s">
        <v>56</v>
      </c>
      <c r="H4" s="1" t="s">
        <v>72</v>
      </c>
      <c r="I4" s="1" t="s">
        <v>72</v>
      </c>
    </row>
    <row r="5" spans="1:9" s="45" customFormat="1">
      <c r="A5" s="31" t="s">
        <v>385</v>
      </c>
      <c r="B5" s="31"/>
      <c r="C5" s="44"/>
      <c r="D5" s="44"/>
      <c r="E5" s="77"/>
      <c r="F5" s="77"/>
      <c r="G5" s="77"/>
      <c r="H5" s="44"/>
      <c r="I5" s="44"/>
    </row>
    <row r="6" spans="1:9" s="49" customFormat="1">
      <c r="A6" s="91" t="s">
        <v>415</v>
      </c>
      <c r="B6" s="92"/>
      <c r="C6" s="91"/>
      <c r="D6" s="91"/>
      <c r="E6" s="93"/>
      <c r="F6" s="93"/>
      <c r="G6" s="93"/>
      <c r="H6" s="91"/>
      <c r="I6" s="91"/>
    </row>
    <row r="7" spans="1:9">
      <c r="A7" s="5" t="str">
        <f t="shared" ref="A7:A15" si="0">(E7*10)&amp;G7</f>
        <v>101000101</v>
      </c>
      <c r="B7" s="58">
        <v>71000110</v>
      </c>
      <c r="C7" s="5" t="s">
        <v>596</v>
      </c>
      <c r="D7" s="5" t="s">
        <v>1759</v>
      </c>
      <c r="E7" s="73">
        <v>1010001</v>
      </c>
      <c r="F7" s="73"/>
      <c r="G7" s="73">
        <v>1</v>
      </c>
      <c r="H7" s="5" t="s">
        <v>1288</v>
      </c>
      <c r="I7" s="5"/>
    </row>
    <row r="8" spans="1:9">
      <c r="A8" s="5" t="str">
        <f t="shared" si="0"/>
        <v>101000102</v>
      </c>
      <c r="B8" s="58">
        <v>93000510</v>
      </c>
      <c r="C8" s="5" t="s">
        <v>469</v>
      </c>
      <c r="D8" s="5" t="s">
        <v>1759</v>
      </c>
      <c r="E8" s="73">
        <v>1010001</v>
      </c>
      <c r="F8" s="73">
        <v>101000101</v>
      </c>
      <c r="G8" s="73">
        <v>2</v>
      </c>
      <c r="H8" s="5" t="s">
        <v>1289</v>
      </c>
      <c r="I8" s="5"/>
    </row>
    <row r="9" spans="1:9">
      <c r="A9" s="5" t="str">
        <f t="shared" si="0"/>
        <v>101000103</v>
      </c>
      <c r="B9" s="58">
        <v>92000210</v>
      </c>
      <c r="C9" s="5" t="s">
        <v>598</v>
      </c>
      <c r="D9" s="5" t="s">
        <v>1759</v>
      </c>
      <c r="E9" s="73">
        <v>1010001</v>
      </c>
      <c r="F9" s="73">
        <v>101000101</v>
      </c>
      <c r="G9" s="73">
        <v>3</v>
      </c>
      <c r="H9" s="5" t="s">
        <v>1290</v>
      </c>
      <c r="I9" s="5"/>
    </row>
    <row r="10" spans="1:9">
      <c r="A10" s="5" t="str">
        <f t="shared" si="0"/>
        <v>101000104</v>
      </c>
      <c r="B10" s="58">
        <v>10000110</v>
      </c>
      <c r="C10" s="5" t="s">
        <v>417</v>
      </c>
      <c r="D10" s="5" t="s">
        <v>1759</v>
      </c>
      <c r="E10" s="73">
        <v>1010001</v>
      </c>
      <c r="F10" s="73"/>
      <c r="G10" s="73">
        <v>4</v>
      </c>
      <c r="H10" s="5" t="s">
        <v>1291</v>
      </c>
      <c r="I10" s="5"/>
    </row>
    <row r="11" spans="1:9">
      <c r="A11" s="5" t="str">
        <f t="shared" si="0"/>
        <v>101000105</v>
      </c>
      <c r="B11" s="58">
        <v>10000310</v>
      </c>
      <c r="C11" s="5" t="s">
        <v>423</v>
      </c>
      <c r="D11" s="5" t="s">
        <v>1759</v>
      </c>
      <c r="E11" s="73">
        <v>1010001</v>
      </c>
      <c r="F11" s="73">
        <v>101000104</v>
      </c>
      <c r="G11" s="73">
        <v>5</v>
      </c>
      <c r="H11" s="5" t="s">
        <v>1292</v>
      </c>
      <c r="I11" s="5"/>
    </row>
    <row r="12" spans="1:9">
      <c r="A12" s="5" t="str">
        <f t="shared" si="0"/>
        <v>101000106</v>
      </c>
      <c r="B12" s="58">
        <v>10000110</v>
      </c>
      <c r="C12" s="5" t="s">
        <v>417</v>
      </c>
      <c r="D12" s="5" t="s">
        <v>1759</v>
      </c>
      <c r="E12" s="73">
        <v>1010001</v>
      </c>
      <c r="F12" s="73">
        <v>101000104</v>
      </c>
      <c r="G12" s="73">
        <v>6</v>
      </c>
      <c r="H12" s="5" t="s">
        <v>1293</v>
      </c>
      <c r="I12" s="5"/>
    </row>
    <row r="13" spans="1:9">
      <c r="A13" s="5" t="str">
        <f t="shared" si="0"/>
        <v>101000107</v>
      </c>
      <c r="B13" s="58">
        <v>92000210</v>
      </c>
      <c r="C13" s="5" t="s">
        <v>598</v>
      </c>
      <c r="D13" s="5" t="s">
        <v>1759</v>
      </c>
      <c r="E13" s="73">
        <v>1010001</v>
      </c>
      <c r="F13" s="73">
        <v>101000104</v>
      </c>
      <c r="G13" s="73">
        <v>7</v>
      </c>
      <c r="H13" s="5" t="s">
        <v>1294</v>
      </c>
      <c r="I13" s="5"/>
    </row>
    <row r="14" spans="1:9">
      <c r="A14" s="5" t="str">
        <f t="shared" si="0"/>
        <v>101000108</v>
      </c>
      <c r="B14" s="58">
        <v>10000110</v>
      </c>
      <c r="C14" s="5" t="s">
        <v>417</v>
      </c>
      <c r="D14" s="5" t="s">
        <v>1759</v>
      </c>
      <c r="E14" s="73">
        <v>1010001</v>
      </c>
      <c r="F14" s="73">
        <v>101000104</v>
      </c>
      <c r="G14" s="73">
        <v>8</v>
      </c>
      <c r="H14" s="5" t="s">
        <v>1295</v>
      </c>
      <c r="I14" s="5"/>
    </row>
    <row r="15" spans="1:9">
      <c r="A15" s="5" t="str">
        <f t="shared" si="0"/>
        <v>101000109</v>
      </c>
      <c r="B15" s="58">
        <v>10000210</v>
      </c>
      <c r="C15" s="5" t="s">
        <v>422</v>
      </c>
      <c r="D15" s="5" t="s">
        <v>1759</v>
      </c>
      <c r="E15" s="73">
        <v>1010001</v>
      </c>
      <c r="F15" s="73">
        <v>101000104</v>
      </c>
      <c r="G15" s="73">
        <v>9</v>
      </c>
      <c r="H15" s="5" t="s">
        <v>1296</v>
      </c>
      <c r="I15" s="5"/>
    </row>
    <row r="16" spans="1:9">
      <c r="A16" s="5" t="str">
        <f>(E16*10)&amp;G16</f>
        <v>101000201</v>
      </c>
      <c r="B16" s="18">
        <v>10000110</v>
      </c>
      <c r="C16" s="5" t="s">
        <v>416</v>
      </c>
      <c r="D16" s="5" t="s">
        <v>1760</v>
      </c>
      <c r="E16" s="73">
        <v>1010002</v>
      </c>
      <c r="F16" s="73"/>
      <c r="G16" s="73">
        <v>1</v>
      </c>
      <c r="H16" s="5" t="s">
        <v>443</v>
      </c>
      <c r="I16" s="5"/>
    </row>
    <row r="17" spans="1:9">
      <c r="A17" s="5" t="str">
        <f t="shared" ref="A17:A203" si="1">(E17*10)&amp;G17</f>
        <v>101000202</v>
      </c>
      <c r="B17" s="18">
        <v>10000310</v>
      </c>
      <c r="C17" s="5" t="s">
        <v>444</v>
      </c>
      <c r="D17" s="5" t="s">
        <v>1760</v>
      </c>
      <c r="E17" s="73">
        <v>1010002</v>
      </c>
      <c r="F17" s="73"/>
      <c r="G17" s="73">
        <v>2</v>
      </c>
      <c r="H17" s="5" t="s">
        <v>445</v>
      </c>
      <c r="I17" s="5"/>
    </row>
    <row r="18" spans="1:9">
      <c r="A18" s="5" t="str">
        <f t="shared" si="1"/>
        <v>101000203</v>
      </c>
      <c r="B18" s="18">
        <v>10000210</v>
      </c>
      <c r="C18" s="5" t="s">
        <v>422</v>
      </c>
      <c r="D18" s="5" t="s">
        <v>1760</v>
      </c>
      <c r="E18" s="73">
        <v>1010002</v>
      </c>
      <c r="F18" s="73" t="str">
        <f>A17</f>
        <v>101000202</v>
      </c>
      <c r="G18" s="73">
        <v>3</v>
      </c>
      <c r="H18" s="5" t="s">
        <v>446</v>
      </c>
      <c r="I18" s="5"/>
    </row>
    <row r="19" spans="1:9">
      <c r="A19" s="5" t="str">
        <f t="shared" si="1"/>
        <v>101000204</v>
      </c>
      <c r="B19" s="18">
        <v>31000110</v>
      </c>
      <c r="C19" s="5" t="s">
        <v>447</v>
      </c>
      <c r="D19" s="5" t="s">
        <v>1760</v>
      </c>
      <c r="E19" s="73">
        <v>1010002</v>
      </c>
      <c r="F19" s="73"/>
      <c r="G19" s="73">
        <v>4</v>
      </c>
      <c r="H19" s="5" t="s">
        <v>448</v>
      </c>
      <c r="I19" s="5"/>
    </row>
    <row r="20" spans="1:9">
      <c r="A20" s="5" t="str">
        <f t="shared" si="1"/>
        <v>101000205</v>
      </c>
      <c r="B20" s="18">
        <v>92000410</v>
      </c>
      <c r="C20" s="5" t="s">
        <v>449</v>
      </c>
      <c r="D20" s="5" t="s">
        <v>1760</v>
      </c>
      <c r="E20" s="73">
        <v>1010002</v>
      </c>
      <c r="F20" s="73"/>
      <c r="G20" s="73">
        <v>5</v>
      </c>
      <c r="H20" s="5" t="s">
        <v>450</v>
      </c>
      <c r="I20" s="5"/>
    </row>
    <row r="21" spans="1:9">
      <c r="A21" s="5" t="str">
        <f t="shared" si="1"/>
        <v>101000206</v>
      </c>
      <c r="B21" s="18">
        <v>53000410</v>
      </c>
      <c r="C21" s="5" t="s">
        <v>452</v>
      </c>
      <c r="D21" s="5" t="s">
        <v>1760</v>
      </c>
      <c r="E21" s="73">
        <v>1010002</v>
      </c>
      <c r="F21" s="73"/>
      <c r="G21" s="73">
        <v>6</v>
      </c>
      <c r="H21" s="5" t="s">
        <v>453</v>
      </c>
      <c r="I21" s="5"/>
    </row>
    <row r="22" spans="1:9">
      <c r="A22" s="5" t="str">
        <f t="shared" si="1"/>
        <v>101000301</v>
      </c>
      <c r="B22" s="18">
        <v>72000110</v>
      </c>
      <c r="C22" s="5" t="s">
        <v>96</v>
      </c>
      <c r="D22" s="60" t="s">
        <v>1761</v>
      </c>
      <c r="E22" s="73">
        <v>1010003</v>
      </c>
      <c r="F22" s="73"/>
      <c r="G22" s="73">
        <v>1</v>
      </c>
      <c r="H22" s="5" t="s">
        <v>454</v>
      </c>
      <c r="I22" s="5"/>
    </row>
    <row r="23" spans="1:9">
      <c r="A23" s="5" t="str">
        <f t="shared" si="1"/>
        <v>101000302</v>
      </c>
      <c r="B23" s="58">
        <v>73000310</v>
      </c>
      <c r="C23" s="18" t="s">
        <v>117</v>
      </c>
      <c r="D23" s="60" t="s">
        <v>1761</v>
      </c>
      <c r="E23" s="73">
        <v>1010003</v>
      </c>
      <c r="F23" s="73" t="str">
        <f>A22</f>
        <v>101000301</v>
      </c>
      <c r="G23" s="73">
        <v>2</v>
      </c>
      <c r="H23" s="5" t="s">
        <v>455</v>
      </c>
      <c r="I23" s="5"/>
    </row>
    <row r="24" spans="1:9">
      <c r="A24" s="5" t="str">
        <f t="shared" si="1"/>
        <v>101000303</v>
      </c>
      <c r="B24" s="58">
        <v>72000210</v>
      </c>
      <c r="C24" s="18" t="s">
        <v>456</v>
      </c>
      <c r="D24" s="60" t="s">
        <v>1761</v>
      </c>
      <c r="E24" s="73">
        <v>1010003</v>
      </c>
      <c r="F24" s="73"/>
      <c r="G24" s="73">
        <v>3</v>
      </c>
      <c r="H24" s="5" t="s">
        <v>457</v>
      </c>
      <c r="I24" s="5"/>
    </row>
    <row r="25" spans="1:9">
      <c r="A25" s="5" t="str">
        <f t="shared" si="1"/>
        <v>101000304</v>
      </c>
      <c r="B25" s="58">
        <v>71000310</v>
      </c>
      <c r="C25" s="18" t="s">
        <v>88</v>
      </c>
      <c r="D25" s="60" t="s">
        <v>1761</v>
      </c>
      <c r="E25" s="73">
        <v>1010003</v>
      </c>
      <c r="F25" s="73" t="str">
        <f>A24</f>
        <v>101000303</v>
      </c>
      <c r="G25" s="73">
        <v>4</v>
      </c>
      <c r="H25" s="5" t="s">
        <v>458</v>
      </c>
      <c r="I25" s="5"/>
    </row>
    <row r="26" spans="1:9">
      <c r="A26" s="5" t="str">
        <f t="shared" si="1"/>
        <v>101000305</v>
      </c>
      <c r="B26" s="58">
        <v>53000210</v>
      </c>
      <c r="C26" s="18" t="s">
        <v>459</v>
      </c>
      <c r="D26" s="60" t="s">
        <v>1761</v>
      </c>
      <c r="E26" s="73">
        <v>1010003</v>
      </c>
      <c r="F26" s="73"/>
      <c r="G26" s="73">
        <v>5</v>
      </c>
      <c r="H26" s="5" t="s">
        <v>1337</v>
      </c>
      <c r="I26" s="5"/>
    </row>
    <row r="27" spans="1:9">
      <c r="A27" s="5" t="str">
        <f t="shared" si="1"/>
        <v>101000306</v>
      </c>
      <c r="B27" s="58">
        <v>73000110</v>
      </c>
      <c r="C27" s="18" t="s">
        <v>460</v>
      </c>
      <c r="D27" s="60" t="s">
        <v>1761</v>
      </c>
      <c r="E27" s="73">
        <v>1010003</v>
      </c>
      <c r="F27" s="73">
        <v>101000305</v>
      </c>
      <c r="G27" s="73">
        <v>6</v>
      </c>
      <c r="H27" s="5" t="s">
        <v>461</v>
      </c>
      <c r="I27" s="5"/>
    </row>
    <row r="28" spans="1:9">
      <c r="A28" s="5" t="str">
        <f t="shared" si="1"/>
        <v>101000401</v>
      </c>
      <c r="B28" s="18">
        <v>33000110</v>
      </c>
      <c r="C28" s="18" t="s">
        <v>1343</v>
      </c>
      <c r="D28" s="60" t="s">
        <v>1762</v>
      </c>
      <c r="E28" s="73">
        <v>1010004</v>
      </c>
      <c r="F28" s="73"/>
      <c r="G28" s="73">
        <v>1</v>
      </c>
      <c r="H28" s="5" t="s">
        <v>1344</v>
      </c>
      <c r="I28" s="5"/>
    </row>
    <row r="29" spans="1:9">
      <c r="A29" s="5" t="str">
        <f t="shared" si="1"/>
        <v>101000402</v>
      </c>
      <c r="B29" s="18">
        <v>52000310</v>
      </c>
      <c r="C29" s="18" t="s">
        <v>1345</v>
      </c>
      <c r="D29" s="60" t="s">
        <v>1762</v>
      </c>
      <c r="E29" s="73">
        <v>1010004</v>
      </c>
      <c r="F29" s="73">
        <v>101000401</v>
      </c>
      <c r="G29" s="73">
        <v>2</v>
      </c>
      <c r="H29" s="5" t="s">
        <v>1338</v>
      </c>
      <c r="I29" s="5"/>
    </row>
    <row r="30" spans="1:9">
      <c r="A30" s="5" t="str">
        <f t="shared" si="1"/>
        <v>101000403</v>
      </c>
      <c r="B30" s="18">
        <v>53000110</v>
      </c>
      <c r="C30" s="18" t="s">
        <v>1346</v>
      </c>
      <c r="D30" s="60" t="s">
        <v>1762</v>
      </c>
      <c r="E30" s="73">
        <v>1010004</v>
      </c>
      <c r="F30" s="73">
        <v>101000401</v>
      </c>
      <c r="G30" s="73">
        <v>3</v>
      </c>
      <c r="H30" s="5" t="s">
        <v>1339</v>
      </c>
      <c r="I30" s="5"/>
    </row>
    <row r="31" spans="1:9">
      <c r="A31" s="5" t="str">
        <f t="shared" si="1"/>
        <v>101000404</v>
      </c>
      <c r="B31" s="18">
        <v>33000210</v>
      </c>
      <c r="C31" s="18" t="s">
        <v>1347</v>
      </c>
      <c r="D31" s="60" t="s">
        <v>1762</v>
      </c>
      <c r="E31" s="73">
        <v>1010004</v>
      </c>
      <c r="F31" s="73">
        <v>101000401</v>
      </c>
      <c r="G31" s="73">
        <v>4</v>
      </c>
      <c r="H31" s="5" t="s">
        <v>1340</v>
      </c>
      <c r="I31" s="5"/>
    </row>
    <row r="32" spans="1:9">
      <c r="A32" s="5" t="str">
        <f t="shared" si="1"/>
        <v>101000405</v>
      </c>
      <c r="B32" s="18">
        <v>73000410</v>
      </c>
      <c r="C32" s="18" t="s">
        <v>1348</v>
      </c>
      <c r="D32" s="60" t="s">
        <v>1762</v>
      </c>
      <c r="E32" s="73">
        <v>1010004</v>
      </c>
      <c r="F32" s="73"/>
      <c r="G32" s="73">
        <v>5</v>
      </c>
      <c r="H32" s="5" t="s">
        <v>1349</v>
      </c>
      <c r="I32" s="5"/>
    </row>
    <row r="33" spans="1:9">
      <c r="A33" s="5" t="str">
        <f t="shared" si="1"/>
        <v>101000406</v>
      </c>
      <c r="B33" s="18">
        <v>52000110</v>
      </c>
      <c r="C33" s="18" t="s">
        <v>1350</v>
      </c>
      <c r="D33" s="60" t="s">
        <v>1762</v>
      </c>
      <c r="E33" s="73">
        <v>1010004</v>
      </c>
      <c r="F33" s="73">
        <v>101000405</v>
      </c>
      <c r="G33" s="73">
        <v>6</v>
      </c>
      <c r="H33" s="5" t="s">
        <v>1351</v>
      </c>
      <c r="I33" s="5"/>
    </row>
    <row r="34" spans="1:9">
      <c r="A34" s="5" t="str">
        <f t="shared" si="1"/>
        <v>101000407</v>
      </c>
      <c r="B34" s="18">
        <v>33000210</v>
      </c>
      <c r="C34" s="18" t="s">
        <v>1347</v>
      </c>
      <c r="D34" s="60" t="s">
        <v>1762</v>
      </c>
      <c r="E34" s="73">
        <v>1010004</v>
      </c>
      <c r="F34" s="73">
        <v>101000405</v>
      </c>
      <c r="G34" s="73">
        <v>7</v>
      </c>
      <c r="H34" s="5" t="s">
        <v>1341</v>
      </c>
      <c r="I34" s="5"/>
    </row>
    <row r="35" spans="1:9">
      <c r="A35" s="5" t="str">
        <f t="shared" si="1"/>
        <v>101000408</v>
      </c>
      <c r="B35" s="18">
        <v>52000110</v>
      </c>
      <c r="C35" s="18" t="s">
        <v>1350</v>
      </c>
      <c r="D35" s="60" t="s">
        <v>1762</v>
      </c>
      <c r="E35" s="73">
        <v>1010004</v>
      </c>
      <c r="F35" s="73">
        <v>101000405</v>
      </c>
      <c r="G35" s="73">
        <v>8</v>
      </c>
      <c r="H35" s="5" t="s">
        <v>1342</v>
      </c>
      <c r="I35" s="5"/>
    </row>
    <row r="36" spans="1:9">
      <c r="A36" s="5" t="str">
        <f t="shared" si="1"/>
        <v>101000501</v>
      </c>
      <c r="B36" s="58">
        <v>52000110</v>
      </c>
      <c r="C36" s="18" t="s">
        <v>103</v>
      </c>
      <c r="D36" s="60" t="s">
        <v>1763</v>
      </c>
      <c r="E36" s="73">
        <v>1010005</v>
      </c>
      <c r="F36" s="73"/>
      <c r="G36" s="73">
        <v>1</v>
      </c>
      <c r="H36" s="5" t="s">
        <v>462</v>
      </c>
      <c r="I36" s="5"/>
    </row>
    <row r="37" spans="1:9">
      <c r="A37" s="5" t="str">
        <f t="shared" si="1"/>
        <v>101000502</v>
      </c>
      <c r="B37" s="94">
        <v>93000410</v>
      </c>
      <c r="C37" s="94" t="s">
        <v>113</v>
      </c>
      <c r="D37" s="60" t="s">
        <v>1763</v>
      </c>
      <c r="E37" s="73">
        <v>1010005</v>
      </c>
      <c r="F37" s="73"/>
      <c r="G37" s="73">
        <v>2</v>
      </c>
      <c r="H37" s="5" t="s">
        <v>463</v>
      </c>
      <c r="I37" s="5"/>
    </row>
    <row r="38" spans="1:9">
      <c r="A38" s="5" t="str">
        <f t="shared" si="1"/>
        <v>101000503</v>
      </c>
      <c r="B38" s="58">
        <v>92000310</v>
      </c>
      <c r="C38" s="18" t="s">
        <v>93</v>
      </c>
      <c r="D38" s="60" t="s">
        <v>1763</v>
      </c>
      <c r="E38" s="73">
        <v>1010005</v>
      </c>
      <c r="F38" s="73" t="str">
        <f>A37</f>
        <v>101000502</v>
      </c>
      <c r="G38" s="73">
        <v>3</v>
      </c>
      <c r="H38" s="5" t="s">
        <v>464</v>
      </c>
      <c r="I38" s="5"/>
    </row>
    <row r="39" spans="1:9">
      <c r="A39" s="5" t="str">
        <f t="shared" si="1"/>
        <v>101000504</v>
      </c>
      <c r="B39" s="58">
        <v>52000310</v>
      </c>
      <c r="C39" s="18" t="s">
        <v>105</v>
      </c>
      <c r="D39" s="60" t="s">
        <v>1763</v>
      </c>
      <c r="E39" s="73">
        <v>1010005</v>
      </c>
      <c r="F39" s="73"/>
      <c r="G39" s="73">
        <v>4</v>
      </c>
      <c r="H39" s="5" t="s">
        <v>466</v>
      </c>
      <c r="I39" s="5"/>
    </row>
    <row r="40" spans="1:9">
      <c r="A40" s="5" t="str">
        <f t="shared" si="1"/>
        <v>101000505</v>
      </c>
      <c r="B40" s="58">
        <v>33000110</v>
      </c>
      <c r="C40" s="18" t="s">
        <v>124</v>
      </c>
      <c r="D40" s="60" t="s">
        <v>1763</v>
      </c>
      <c r="E40" s="73">
        <v>1010005</v>
      </c>
      <c r="F40" s="73">
        <v>101000504</v>
      </c>
      <c r="G40" s="73">
        <v>5</v>
      </c>
      <c r="H40" s="5" t="s">
        <v>468</v>
      </c>
      <c r="I40" s="5"/>
    </row>
    <row r="41" spans="1:9">
      <c r="A41" s="5" t="str">
        <f t="shared" si="1"/>
        <v>101000506</v>
      </c>
      <c r="B41" s="58">
        <v>93000510</v>
      </c>
      <c r="C41" s="18" t="s">
        <v>114</v>
      </c>
      <c r="D41" s="60" t="s">
        <v>1763</v>
      </c>
      <c r="E41" s="73">
        <v>1010005</v>
      </c>
      <c r="F41" s="73"/>
      <c r="G41" s="73">
        <v>6</v>
      </c>
      <c r="H41" s="5" t="s">
        <v>470</v>
      </c>
      <c r="I41" s="5"/>
    </row>
    <row r="42" spans="1:9">
      <c r="A42" s="5" t="str">
        <f t="shared" si="1"/>
        <v>101000601</v>
      </c>
      <c r="B42" s="58">
        <v>73000110</v>
      </c>
      <c r="C42" s="18" t="s">
        <v>115</v>
      </c>
      <c r="D42" s="60" t="s">
        <v>1764</v>
      </c>
      <c r="E42" s="73">
        <v>1010006</v>
      </c>
      <c r="F42" s="73"/>
      <c r="G42" s="73">
        <v>1</v>
      </c>
      <c r="H42" s="5" t="s">
        <v>471</v>
      </c>
      <c r="I42" s="5"/>
    </row>
    <row r="43" spans="1:9">
      <c r="A43" s="5" t="str">
        <f t="shared" si="1"/>
        <v>101000602</v>
      </c>
      <c r="B43" s="58">
        <v>72000410</v>
      </c>
      <c r="C43" s="18" t="s">
        <v>99</v>
      </c>
      <c r="D43" s="60" t="s">
        <v>1764</v>
      </c>
      <c r="E43" s="73">
        <v>1010006</v>
      </c>
      <c r="F43" s="73"/>
      <c r="G43" s="73">
        <v>2</v>
      </c>
      <c r="H43" s="5" t="s">
        <v>472</v>
      </c>
      <c r="I43" s="5"/>
    </row>
    <row r="44" spans="1:9">
      <c r="A44" s="5" t="str">
        <f t="shared" si="1"/>
        <v>101000603</v>
      </c>
      <c r="B44" s="58">
        <v>92000410</v>
      </c>
      <c r="C44" s="18" t="s">
        <v>1202</v>
      </c>
      <c r="D44" s="60" t="s">
        <v>1764</v>
      </c>
      <c r="E44" s="73">
        <v>1010006</v>
      </c>
      <c r="F44" s="73" t="str">
        <f>A43</f>
        <v>101000602</v>
      </c>
      <c r="G44" s="73">
        <v>3</v>
      </c>
      <c r="H44" s="5" t="s">
        <v>473</v>
      </c>
      <c r="I44" s="5"/>
    </row>
    <row r="45" spans="1:9">
      <c r="A45" s="5" t="str">
        <f t="shared" si="1"/>
        <v>101000604</v>
      </c>
      <c r="B45" s="58">
        <v>72000410</v>
      </c>
      <c r="C45" s="18" t="s">
        <v>99</v>
      </c>
      <c r="D45" s="60" t="s">
        <v>1764</v>
      </c>
      <c r="E45" s="73">
        <v>1010006</v>
      </c>
      <c r="F45" s="73" t="str">
        <f>A43</f>
        <v>101000602</v>
      </c>
      <c r="G45" s="73">
        <v>4</v>
      </c>
      <c r="H45" s="5" t="s">
        <v>474</v>
      </c>
      <c r="I45" s="5"/>
    </row>
    <row r="46" spans="1:9">
      <c r="A46" s="5" t="str">
        <f t="shared" si="1"/>
        <v>101000605</v>
      </c>
      <c r="B46" s="58">
        <v>34000110</v>
      </c>
      <c r="C46" s="18" t="s">
        <v>476</v>
      </c>
      <c r="D46" s="60" t="s">
        <v>1764</v>
      </c>
      <c r="E46" s="73">
        <v>1010006</v>
      </c>
      <c r="F46" s="73"/>
      <c r="G46" s="73">
        <v>5</v>
      </c>
      <c r="H46" s="5" t="s">
        <v>477</v>
      </c>
      <c r="I46" s="5"/>
    </row>
    <row r="47" spans="1:9">
      <c r="A47" s="5" t="str">
        <f t="shared" si="1"/>
        <v>101000606</v>
      </c>
      <c r="B47" s="58">
        <v>52000510</v>
      </c>
      <c r="C47" s="18" t="s">
        <v>478</v>
      </c>
      <c r="D47" s="60" t="s">
        <v>1764</v>
      </c>
      <c r="E47" s="73">
        <v>1010006</v>
      </c>
      <c r="F47" s="73">
        <v>101000605</v>
      </c>
      <c r="G47" s="73">
        <v>6</v>
      </c>
      <c r="H47" s="5" t="s">
        <v>479</v>
      </c>
      <c r="I47" s="5"/>
    </row>
    <row r="48" spans="1:9">
      <c r="A48" s="5" t="str">
        <f t="shared" si="1"/>
        <v>101000607</v>
      </c>
      <c r="B48" s="58">
        <v>92000410</v>
      </c>
      <c r="C48" s="18" t="s">
        <v>449</v>
      </c>
      <c r="D48" s="60" t="s">
        <v>1764</v>
      </c>
      <c r="E48" s="73">
        <v>1010006</v>
      </c>
      <c r="F48" s="73">
        <v>101000605</v>
      </c>
      <c r="G48" s="73">
        <v>7</v>
      </c>
      <c r="H48" s="5" t="s">
        <v>480</v>
      </c>
      <c r="I48" s="5"/>
    </row>
    <row r="49" spans="1:9">
      <c r="A49" s="5" t="str">
        <f t="shared" si="1"/>
        <v>101000701</v>
      </c>
      <c r="B49" s="58">
        <v>33000110</v>
      </c>
      <c r="C49" s="18" t="s">
        <v>124</v>
      </c>
      <c r="D49" s="60" t="s">
        <v>1765</v>
      </c>
      <c r="E49" s="73">
        <v>1010007</v>
      </c>
      <c r="F49" s="73"/>
      <c r="G49" s="73">
        <v>1</v>
      </c>
      <c r="H49" s="5" t="s">
        <v>481</v>
      </c>
      <c r="I49" s="5"/>
    </row>
    <row r="50" spans="1:9">
      <c r="A50" s="5" t="str">
        <f t="shared" si="1"/>
        <v>101000702</v>
      </c>
      <c r="B50" s="58">
        <v>52000310</v>
      </c>
      <c r="C50" s="18" t="s">
        <v>105</v>
      </c>
      <c r="D50" s="60" t="s">
        <v>1765</v>
      </c>
      <c r="E50" s="73">
        <v>1010007</v>
      </c>
      <c r="F50" s="73" t="str">
        <f>A49</f>
        <v>101000701</v>
      </c>
      <c r="G50" s="73">
        <v>2</v>
      </c>
      <c r="H50" s="5" t="s">
        <v>482</v>
      </c>
      <c r="I50" s="5"/>
    </row>
    <row r="51" spans="1:9">
      <c r="A51" s="5" t="str">
        <f t="shared" si="1"/>
        <v>101000703</v>
      </c>
      <c r="B51" s="58">
        <v>10000210</v>
      </c>
      <c r="C51" s="18" t="s">
        <v>483</v>
      </c>
      <c r="D51" s="60" t="s">
        <v>1765</v>
      </c>
      <c r="E51" s="73">
        <v>1010007</v>
      </c>
      <c r="F51" s="73"/>
      <c r="G51" s="73">
        <v>3</v>
      </c>
      <c r="H51" s="5" t="s">
        <v>484</v>
      </c>
      <c r="I51" s="5"/>
    </row>
    <row r="52" spans="1:9">
      <c r="A52" s="5" t="str">
        <f t="shared" si="1"/>
        <v>101000704</v>
      </c>
      <c r="B52" s="58">
        <v>10000310</v>
      </c>
      <c r="C52" s="18" t="s">
        <v>423</v>
      </c>
      <c r="D52" s="60" t="s">
        <v>1765</v>
      </c>
      <c r="E52" s="73">
        <v>1010007</v>
      </c>
      <c r="F52" s="73">
        <v>101000703</v>
      </c>
      <c r="G52" s="73">
        <v>4</v>
      </c>
      <c r="H52" s="5" t="s">
        <v>485</v>
      </c>
      <c r="I52" s="5"/>
    </row>
    <row r="53" spans="1:9">
      <c r="A53" s="5" t="str">
        <f t="shared" si="1"/>
        <v>101000705</v>
      </c>
      <c r="B53" s="58">
        <v>10000210</v>
      </c>
      <c r="C53" s="18" t="s">
        <v>483</v>
      </c>
      <c r="D53" s="60" t="s">
        <v>1765</v>
      </c>
      <c r="E53" s="73">
        <v>1010007</v>
      </c>
      <c r="F53" s="73">
        <v>101000703</v>
      </c>
      <c r="G53" s="73">
        <v>5</v>
      </c>
      <c r="H53" s="5" t="s">
        <v>486</v>
      </c>
      <c r="I53" s="5"/>
    </row>
    <row r="54" spans="1:9">
      <c r="A54" s="5" t="str">
        <f t="shared" si="1"/>
        <v>101000706</v>
      </c>
      <c r="B54" s="58">
        <v>53000210</v>
      </c>
      <c r="C54" s="18" t="s">
        <v>487</v>
      </c>
      <c r="D54" s="60" t="s">
        <v>1765</v>
      </c>
      <c r="E54" s="73">
        <v>1010007</v>
      </c>
      <c r="F54" s="73"/>
      <c r="G54" s="73">
        <v>6</v>
      </c>
      <c r="H54" s="5" t="s">
        <v>488</v>
      </c>
      <c r="I54" s="5"/>
    </row>
    <row r="55" spans="1:9">
      <c r="A55" s="5" t="str">
        <f t="shared" si="1"/>
        <v>101000707</v>
      </c>
      <c r="B55" s="58">
        <v>72000110</v>
      </c>
      <c r="C55" s="18" t="s">
        <v>489</v>
      </c>
      <c r="D55" s="60" t="s">
        <v>1765</v>
      </c>
      <c r="E55" s="73">
        <v>1010007</v>
      </c>
      <c r="F55" s="73">
        <v>101000706</v>
      </c>
      <c r="G55" s="73">
        <v>7</v>
      </c>
      <c r="H55" s="5" t="s">
        <v>490</v>
      </c>
      <c r="I55" s="5"/>
    </row>
    <row r="56" spans="1:9">
      <c r="A56" s="5" t="str">
        <f t="shared" si="1"/>
        <v>101000708</v>
      </c>
      <c r="B56" s="58">
        <v>33000210</v>
      </c>
      <c r="C56" s="18" t="s">
        <v>491</v>
      </c>
      <c r="D56" s="60" t="s">
        <v>1765</v>
      </c>
      <c r="E56" s="73">
        <v>1010007</v>
      </c>
      <c r="F56" s="73">
        <v>101000706</v>
      </c>
      <c r="G56" s="73">
        <v>8</v>
      </c>
      <c r="H56" s="5" t="s">
        <v>492</v>
      </c>
      <c r="I56" s="5"/>
    </row>
    <row r="57" spans="1:9">
      <c r="A57" s="5" t="str">
        <f t="shared" si="1"/>
        <v>101000801</v>
      </c>
      <c r="B57" s="58">
        <v>52000410</v>
      </c>
      <c r="C57" s="18" t="s">
        <v>106</v>
      </c>
      <c r="D57" s="60" t="s">
        <v>1766</v>
      </c>
      <c r="E57" s="73">
        <v>1010008</v>
      </c>
      <c r="F57" s="73"/>
      <c r="G57" s="73">
        <v>1</v>
      </c>
      <c r="H57" s="5" t="s">
        <v>493</v>
      </c>
      <c r="I57" s="5"/>
    </row>
    <row r="58" spans="1:9">
      <c r="A58" s="5" t="str">
        <f t="shared" si="1"/>
        <v>101000802</v>
      </c>
      <c r="B58" s="58">
        <v>34000110</v>
      </c>
      <c r="C58" s="18" t="s">
        <v>132</v>
      </c>
      <c r="D58" s="60" t="s">
        <v>1766</v>
      </c>
      <c r="E58" s="73">
        <v>1010008</v>
      </c>
      <c r="F58" s="73" t="str">
        <f>A57</f>
        <v>101000801</v>
      </c>
      <c r="G58" s="73">
        <v>2</v>
      </c>
      <c r="H58" s="5" t="s">
        <v>494</v>
      </c>
      <c r="I58" s="5"/>
    </row>
    <row r="59" spans="1:9">
      <c r="A59" s="5" t="str">
        <f t="shared" si="1"/>
        <v>101000803</v>
      </c>
      <c r="B59" s="58">
        <v>52000410</v>
      </c>
      <c r="C59" s="18" t="s">
        <v>106</v>
      </c>
      <c r="D59" s="60" t="s">
        <v>1766</v>
      </c>
      <c r="E59" s="73">
        <v>1010008</v>
      </c>
      <c r="F59" s="73" t="str">
        <f>A57</f>
        <v>101000801</v>
      </c>
      <c r="G59" s="73">
        <v>3</v>
      </c>
      <c r="H59" s="5" t="s">
        <v>495</v>
      </c>
      <c r="I59" s="5"/>
    </row>
    <row r="60" spans="1:9">
      <c r="A60" s="5" t="str">
        <f t="shared" si="1"/>
        <v>101000804</v>
      </c>
      <c r="B60" s="58">
        <v>52000510</v>
      </c>
      <c r="C60" s="18" t="s">
        <v>107</v>
      </c>
      <c r="D60" s="60" t="s">
        <v>1766</v>
      </c>
      <c r="E60" s="73">
        <v>1010008</v>
      </c>
      <c r="F60" s="73"/>
      <c r="G60" s="73">
        <v>4</v>
      </c>
      <c r="H60" s="5" t="s">
        <v>496</v>
      </c>
      <c r="I60" s="5"/>
    </row>
    <row r="61" spans="1:9">
      <c r="A61" s="5" t="str">
        <f t="shared" si="1"/>
        <v>101000805</v>
      </c>
      <c r="B61" s="58">
        <v>34000110</v>
      </c>
      <c r="C61" s="18" t="s">
        <v>132</v>
      </c>
      <c r="D61" s="60" t="s">
        <v>1766</v>
      </c>
      <c r="E61" s="73">
        <v>1010008</v>
      </c>
      <c r="F61" s="73" t="str">
        <f>A60</f>
        <v>101000804</v>
      </c>
      <c r="G61" s="73">
        <v>5</v>
      </c>
      <c r="H61" s="5" t="s">
        <v>497</v>
      </c>
      <c r="I61" s="5"/>
    </row>
    <row r="62" spans="1:9">
      <c r="A62" s="5" t="str">
        <f t="shared" si="1"/>
        <v>101000806</v>
      </c>
      <c r="B62" s="18">
        <v>33000210</v>
      </c>
      <c r="C62" s="18" t="s">
        <v>498</v>
      </c>
      <c r="D62" s="60" t="s">
        <v>1766</v>
      </c>
      <c r="E62" s="73">
        <v>1010008</v>
      </c>
      <c r="F62" s="73"/>
      <c r="G62" s="73">
        <v>6</v>
      </c>
      <c r="H62" s="5" t="s">
        <v>499</v>
      </c>
      <c r="I62" s="5"/>
    </row>
    <row r="63" spans="1:9">
      <c r="A63" s="5" t="str">
        <f t="shared" si="1"/>
        <v>101000807</v>
      </c>
      <c r="B63" s="18">
        <v>34000110</v>
      </c>
      <c r="C63" s="18" t="s">
        <v>475</v>
      </c>
      <c r="D63" s="60" t="s">
        <v>1766</v>
      </c>
      <c r="E63" s="73">
        <v>1010008</v>
      </c>
      <c r="F63" s="73">
        <v>101000806</v>
      </c>
      <c r="G63" s="73">
        <v>7</v>
      </c>
      <c r="H63" s="5" t="s">
        <v>500</v>
      </c>
      <c r="I63" s="5"/>
    </row>
    <row r="64" spans="1:9">
      <c r="A64" s="5" t="str">
        <f t="shared" si="1"/>
        <v>101000808</v>
      </c>
      <c r="B64" s="18">
        <v>31000110</v>
      </c>
      <c r="C64" s="18" t="s">
        <v>501</v>
      </c>
      <c r="D64" s="60" t="s">
        <v>1766</v>
      </c>
      <c r="E64" s="73">
        <v>1010008</v>
      </c>
      <c r="F64" s="73">
        <v>101000806</v>
      </c>
      <c r="G64" s="73">
        <v>8</v>
      </c>
      <c r="H64" s="5" t="s">
        <v>502</v>
      </c>
      <c r="I64" s="5"/>
    </row>
    <row r="65" spans="1:9">
      <c r="A65" s="5" t="str">
        <f t="shared" si="1"/>
        <v>101000809</v>
      </c>
      <c r="B65" s="18">
        <v>34000110</v>
      </c>
      <c r="C65" s="18" t="s">
        <v>503</v>
      </c>
      <c r="D65" s="60" t="s">
        <v>1766</v>
      </c>
      <c r="E65" s="73">
        <v>1010008</v>
      </c>
      <c r="F65" s="73">
        <v>101000806</v>
      </c>
      <c r="G65" s="73">
        <v>9</v>
      </c>
      <c r="H65" s="5" t="s">
        <v>504</v>
      </c>
      <c r="I65" s="5"/>
    </row>
    <row r="66" spans="1:9">
      <c r="A66" s="5" t="str">
        <f t="shared" si="1"/>
        <v>101000901</v>
      </c>
      <c r="B66" s="58">
        <v>53000410</v>
      </c>
      <c r="C66" s="18" t="s">
        <v>123</v>
      </c>
      <c r="D66" s="60" t="s">
        <v>1767</v>
      </c>
      <c r="E66" s="73">
        <v>1010009</v>
      </c>
      <c r="F66" s="73"/>
      <c r="G66" s="73">
        <v>1</v>
      </c>
      <c r="H66" s="5" t="s">
        <v>505</v>
      </c>
      <c r="I66" s="5"/>
    </row>
    <row r="67" spans="1:9">
      <c r="A67" s="5" t="str">
        <f t="shared" si="1"/>
        <v>101000902</v>
      </c>
      <c r="B67" s="58">
        <v>52000310</v>
      </c>
      <c r="C67" s="18" t="s">
        <v>105</v>
      </c>
      <c r="D67" s="60" t="s">
        <v>1767</v>
      </c>
      <c r="E67" s="73">
        <v>1010009</v>
      </c>
      <c r="F67" s="73" t="str">
        <f>A66</f>
        <v>101000901</v>
      </c>
      <c r="G67" s="73">
        <v>2</v>
      </c>
      <c r="H67" s="5" t="s">
        <v>506</v>
      </c>
      <c r="I67" s="5"/>
    </row>
    <row r="68" spans="1:9">
      <c r="A68" s="5" t="str">
        <f t="shared" si="1"/>
        <v>101000903</v>
      </c>
      <c r="B68" s="58">
        <v>51000110</v>
      </c>
      <c r="C68" s="18" t="s">
        <v>89</v>
      </c>
      <c r="D68" s="60" t="s">
        <v>1767</v>
      </c>
      <c r="E68" s="73">
        <v>1010009</v>
      </c>
      <c r="F68" s="73"/>
      <c r="G68" s="73">
        <v>3</v>
      </c>
      <c r="H68" s="5" t="s">
        <v>507</v>
      </c>
      <c r="I68" s="5"/>
    </row>
    <row r="69" spans="1:9">
      <c r="A69" s="5" t="str">
        <f t="shared" si="1"/>
        <v>101000904</v>
      </c>
      <c r="B69" s="58">
        <v>33000210</v>
      </c>
      <c r="C69" s="18" t="s">
        <v>125</v>
      </c>
      <c r="D69" s="60" t="s">
        <v>1767</v>
      </c>
      <c r="E69" s="73">
        <v>1010009</v>
      </c>
      <c r="F69" s="73" t="str">
        <f>A68</f>
        <v>101000903</v>
      </c>
      <c r="G69" s="73">
        <v>4</v>
      </c>
      <c r="H69" s="5" t="s">
        <v>508</v>
      </c>
      <c r="I69" s="5"/>
    </row>
    <row r="70" spans="1:9">
      <c r="A70" s="5" t="str">
        <f t="shared" si="1"/>
        <v>101001001</v>
      </c>
      <c r="B70" s="58">
        <v>33000110</v>
      </c>
      <c r="C70" s="18" t="s">
        <v>124</v>
      </c>
      <c r="D70" s="60" t="s">
        <v>1768</v>
      </c>
      <c r="E70" s="73">
        <v>1010010</v>
      </c>
      <c r="F70" s="73"/>
      <c r="G70" s="73">
        <v>1</v>
      </c>
      <c r="H70" s="5" t="s">
        <v>509</v>
      </c>
      <c r="I70" s="5"/>
    </row>
    <row r="71" spans="1:9">
      <c r="A71" s="5" t="str">
        <f t="shared" si="1"/>
        <v>101001002</v>
      </c>
      <c r="B71" s="58">
        <v>32000110</v>
      </c>
      <c r="C71" s="18" t="s">
        <v>108</v>
      </c>
      <c r="D71" s="60" t="s">
        <v>1768</v>
      </c>
      <c r="E71" s="73">
        <v>1010010</v>
      </c>
      <c r="F71" s="73"/>
      <c r="G71" s="73">
        <v>2</v>
      </c>
      <c r="H71" s="5" t="s">
        <v>510</v>
      </c>
      <c r="I71" s="5"/>
    </row>
    <row r="72" spans="1:9">
      <c r="A72" s="5" t="str">
        <f t="shared" si="1"/>
        <v>101001003</v>
      </c>
      <c r="B72" s="18">
        <v>10000110</v>
      </c>
      <c r="C72" s="5" t="s">
        <v>416</v>
      </c>
      <c r="D72" s="60" t="s">
        <v>1768</v>
      </c>
      <c r="E72" s="73">
        <v>1010010</v>
      </c>
      <c r="F72" s="73" t="str">
        <f>A71</f>
        <v>101001002</v>
      </c>
      <c r="G72" s="73">
        <v>3</v>
      </c>
      <c r="H72" s="5" t="s">
        <v>511</v>
      </c>
      <c r="I72" s="5"/>
    </row>
    <row r="73" spans="1:9">
      <c r="A73" s="5" t="str">
        <f t="shared" si="1"/>
        <v>102010101</v>
      </c>
      <c r="B73" s="58">
        <v>32000210</v>
      </c>
      <c r="C73" s="5" t="s">
        <v>513</v>
      </c>
      <c r="D73" s="5" t="s">
        <v>1769</v>
      </c>
      <c r="E73" s="73">
        <v>1020101</v>
      </c>
      <c r="F73" s="73"/>
      <c r="G73" s="73">
        <v>1</v>
      </c>
      <c r="H73" s="5" t="s">
        <v>514</v>
      </c>
      <c r="I73" s="5"/>
    </row>
    <row r="74" spans="1:9">
      <c r="A74" s="5" t="str">
        <f t="shared" si="1"/>
        <v>102010102</v>
      </c>
      <c r="B74" s="58">
        <v>72000310</v>
      </c>
      <c r="C74" s="5" t="s">
        <v>515</v>
      </c>
      <c r="D74" s="5" t="s">
        <v>1769</v>
      </c>
      <c r="E74" s="73">
        <v>1020101</v>
      </c>
      <c r="F74" s="73">
        <v>102010101</v>
      </c>
      <c r="G74" s="73">
        <v>2</v>
      </c>
      <c r="H74" s="5" t="s">
        <v>516</v>
      </c>
      <c r="I74" s="5"/>
    </row>
    <row r="75" spans="1:9">
      <c r="A75" s="5" t="str">
        <f t="shared" si="1"/>
        <v>102010103</v>
      </c>
      <c r="B75" s="58">
        <v>53000310</v>
      </c>
      <c r="C75" s="5" t="s">
        <v>518</v>
      </c>
      <c r="D75" s="5" t="s">
        <v>1769</v>
      </c>
      <c r="E75" s="73">
        <v>1020101</v>
      </c>
      <c r="F75" s="73"/>
      <c r="G75" s="73">
        <v>3</v>
      </c>
      <c r="H75" s="5" t="s">
        <v>519</v>
      </c>
      <c r="I75" s="5"/>
    </row>
    <row r="76" spans="1:9">
      <c r="A76" s="5" t="str">
        <f t="shared" si="1"/>
        <v>102010104</v>
      </c>
      <c r="B76" s="58">
        <v>72000310</v>
      </c>
      <c r="C76" s="5" t="s">
        <v>515</v>
      </c>
      <c r="D76" s="5" t="s">
        <v>1769</v>
      </c>
      <c r="E76" s="73">
        <v>1020101</v>
      </c>
      <c r="F76" s="73">
        <v>102010103</v>
      </c>
      <c r="G76" s="73">
        <v>4</v>
      </c>
      <c r="H76" s="5" t="s">
        <v>520</v>
      </c>
      <c r="I76" s="5"/>
    </row>
    <row r="77" spans="1:9">
      <c r="A77" s="5" t="str">
        <f t="shared" si="1"/>
        <v>102010105</v>
      </c>
      <c r="B77" s="58">
        <v>33000110</v>
      </c>
      <c r="C77" s="5" t="s">
        <v>521</v>
      </c>
      <c r="D77" s="5" t="s">
        <v>1769</v>
      </c>
      <c r="E77" s="73">
        <v>1020101</v>
      </c>
      <c r="F77" s="73"/>
      <c r="G77" s="73">
        <v>5</v>
      </c>
      <c r="H77" s="5" t="s">
        <v>522</v>
      </c>
      <c r="I77" s="5"/>
    </row>
    <row r="78" spans="1:9">
      <c r="A78" s="5" t="str">
        <f t="shared" si="1"/>
        <v>102010106</v>
      </c>
      <c r="B78" s="58">
        <v>52000310</v>
      </c>
      <c r="C78" s="5" t="s">
        <v>465</v>
      </c>
      <c r="D78" s="5" t="s">
        <v>1769</v>
      </c>
      <c r="E78" s="73">
        <v>1020101</v>
      </c>
      <c r="F78" s="73">
        <v>102010105</v>
      </c>
      <c r="G78" s="73">
        <v>6</v>
      </c>
      <c r="H78" s="5" t="s">
        <v>523</v>
      </c>
      <c r="I78" s="5"/>
    </row>
    <row r="79" spans="1:9">
      <c r="A79" s="5" t="str">
        <f t="shared" si="1"/>
        <v>102010107</v>
      </c>
      <c r="B79" s="58">
        <v>33000110</v>
      </c>
      <c r="C79" s="5" t="s">
        <v>521</v>
      </c>
      <c r="D79" s="5" t="s">
        <v>1769</v>
      </c>
      <c r="E79" s="73">
        <v>1020101</v>
      </c>
      <c r="F79" s="73">
        <v>102010105</v>
      </c>
      <c r="G79" s="73">
        <v>7</v>
      </c>
      <c r="H79" s="5" t="s">
        <v>524</v>
      </c>
      <c r="I79" s="5"/>
    </row>
    <row r="80" spans="1:9">
      <c r="A80" s="5" t="str">
        <f t="shared" si="1"/>
        <v>102010108</v>
      </c>
      <c r="B80" s="58">
        <v>72000310</v>
      </c>
      <c r="C80" s="5" t="s">
        <v>525</v>
      </c>
      <c r="D80" s="5" t="s">
        <v>1769</v>
      </c>
      <c r="E80" s="73">
        <v>1020101</v>
      </c>
      <c r="F80" s="73">
        <v>102010105</v>
      </c>
      <c r="G80" s="73">
        <v>8</v>
      </c>
      <c r="H80" s="5" t="s">
        <v>526</v>
      </c>
      <c r="I80" s="5"/>
    </row>
    <row r="81" spans="1:9">
      <c r="A81" s="5" t="str">
        <f t="shared" si="1"/>
        <v>102010201</v>
      </c>
      <c r="B81" s="58">
        <v>72000510</v>
      </c>
      <c r="C81" s="5" t="s">
        <v>1298</v>
      </c>
      <c r="D81" s="5" t="s">
        <v>1770</v>
      </c>
      <c r="E81" s="73">
        <v>1020102</v>
      </c>
      <c r="F81" s="73"/>
      <c r="G81" s="73">
        <v>1</v>
      </c>
      <c r="H81" s="5" t="s">
        <v>1299</v>
      </c>
      <c r="I81" s="5"/>
    </row>
    <row r="82" spans="1:9">
      <c r="A82" s="5" t="str">
        <f t="shared" si="1"/>
        <v>102010202</v>
      </c>
      <c r="B82" s="58">
        <v>94000210</v>
      </c>
      <c r="C82" s="5" t="s">
        <v>1300</v>
      </c>
      <c r="D82" s="5" t="s">
        <v>1770</v>
      </c>
      <c r="E82" s="73">
        <v>1020102</v>
      </c>
      <c r="F82" s="73">
        <v>102010201</v>
      </c>
      <c r="G82" s="73">
        <v>2</v>
      </c>
      <c r="H82" s="5" t="s">
        <v>1301</v>
      </c>
      <c r="I82" s="5"/>
    </row>
    <row r="83" spans="1:9">
      <c r="A83" s="5" t="str">
        <f t="shared" si="1"/>
        <v>102010203</v>
      </c>
      <c r="B83" s="58">
        <v>72000610</v>
      </c>
      <c r="C83" s="5" t="s">
        <v>1302</v>
      </c>
      <c r="D83" s="5" t="s">
        <v>1770</v>
      </c>
      <c r="E83" s="73">
        <v>1020102</v>
      </c>
      <c r="F83" s="73">
        <v>102010201</v>
      </c>
      <c r="G83" s="73">
        <v>3</v>
      </c>
      <c r="H83" s="5" t="s">
        <v>1303</v>
      </c>
      <c r="I83" s="5"/>
    </row>
    <row r="84" spans="1:9">
      <c r="A84" s="5" t="str">
        <f t="shared" si="1"/>
        <v>102010204</v>
      </c>
      <c r="B84" s="58">
        <v>94000210</v>
      </c>
      <c r="C84" s="5" t="s">
        <v>1304</v>
      </c>
      <c r="D84" s="5" t="s">
        <v>1770</v>
      </c>
      <c r="E84" s="73">
        <v>1020102</v>
      </c>
      <c r="F84" s="73">
        <v>102010201</v>
      </c>
      <c r="G84" s="73">
        <v>4</v>
      </c>
      <c r="H84" s="5" t="s">
        <v>1305</v>
      </c>
      <c r="I84" s="5"/>
    </row>
    <row r="85" spans="1:9">
      <c r="A85" s="5" t="str">
        <f t="shared" si="1"/>
        <v>102010205</v>
      </c>
      <c r="B85" s="58">
        <v>92000310</v>
      </c>
      <c r="C85" s="5" t="s">
        <v>1306</v>
      </c>
      <c r="D85" s="5" t="s">
        <v>1770</v>
      </c>
      <c r="E85" s="73">
        <v>1020102</v>
      </c>
      <c r="F85" s="73">
        <v>102010201</v>
      </c>
      <c r="G85" s="73">
        <v>5</v>
      </c>
      <c r="H85" s="5" t="s">
        <v>1307</v>
      </c>
      <c r="I85" s="5"/>
    </row>
    <row r="86" spans="1:9">
      <c r="A86" s="5" t="str">
        <f t="shared" si="1"/>
        <v>102010206</v>
      </c>
      <c r="B86" s="58">
        <v>94000210</v>
      </c>
      <c r="C86" s="5" t="s">
        <v>1308</v>
      </c>
      <c r="D86" s="5" t="s">
        <v>1770</v>
      </c>
      <c r="E86" s="73">
        <v>1020102</v>
      </c>
      <c r="F86" s="73">
        <v>102010201</v>
      </c>
      <c r="G86" s="73">
        <v>6</v>
      </c>
      <c r="H86" s="5" t="s">
        <v>1309</v>
      </c>
      <c r="I86" s="5"/>
    </row>
    <row r="87" spans="1:9">
      <c r="A87" s="5" t="str">
        <f t="shared" si="1"/>
        <v>102010301</v>
      </c>
      <c r="B87" s="58">
        <v>94000210</v>
      </c>
      <c r="C87" s="5" t="s">
        <v>527</v>
      </c>
      <c r="D87" s="5" t="s">
        <v>1771</v>
      </c>
      <c r="E87" s="73">
        <v>1020103</v>
      </c>
      <c r="F87" s="73"/>
      <c r="G87" s="73">
        <v>1</v>
      </c>
      <c r="H87" s="5" t="s">
        <v>528</v>
      </c>
      <c r="I87" s="5"/>
    </row>
    <row r="88" spans="1:9">
      <c r="A88" s="5" t="str">
        <f t="shared" si="1"/>
        <v>102010302</v>
      </c>
      <c r="B88" s="58">
        <v>72000510</v>
      </c>
      <c r="C88" s="5" t="s">
        <v>529</v>
      </c>
      <c r="D88" s="5" t="s">
        <v>1771</v>
      </c>
      <c r="E88" s="73">
        <v>1020103</v>
      </c>
      <c r="F88" s="73"/>
      <c r="G88" s="73">
        <v>2</v>
      </c>
      <c r="H88" s="5" t="s">
        <v>530</v>
      </c>
      <c r="I88" s="5"/>
    </row>
    <row r="89" spans="1:9">
      <c r="A89" s="5" t="str">
        <f t="shared" si="1"/>
        <v>102010303</v>
      </c>
      <c r="B89" s="58">
        <v>94000210</v>
      </c>
      <c r="C89" s="5" t="s">
        <v>531</v>
      </c>
      <c r="D89" s="5" t="s">
        <v>1771</v>
      </c>
      <c r="E89" s="73">
        <v>1020103</v>
      </c>
      <c r="F89" s="73">
        <v>102010302</v>
      </c>
      <c r="G89" s="73">
        <v>3</v>
      </c>
      <c r="H89" s="5" t="s">
        <v>532</v>
      </c>
      <c r="I89" s="5"/>
    </row>
    <row r="90" spans="1:9">
      <c r="A90" s="5" t="str">
        <f t="shared" si="1"/>
        <v>102010304</v>
      </c>
      <c r="B90" s="58">
        <v>10000110</v>
      </c>
      <c r="C90" s="5" t="s">
        <v>417</v>
      </c>
      <c r="D90" s="5" t="s">
        <v>1771</v>
      </c>
      <c r="E90" s="73">
        <v>1020103</v>
      </c>
      <c r="F90" s="73"/>
      <c r="G90" s="73">
        <v>4</v>
      </c>
      <c r="H90" s="5" t="s">
        <v>533</v>
      </c>
      <c r="I90" s="5"/>
    </row>
    <row r="91" spans="1:9">
      <c r="A91" s="5" t="str">
        <f t="shared" si="1"/>
        <v>102010305</v>
      </c>
      <c r="B91" s="58">
        <v>72000610</v>
      </c>
      <c r="C91" s="5" t="s">
        <v>534</v>
      </c>
      <c r="D91" s="5" t="s">
        <v>1771</v>
      </c>
      <c r="E91" s="73">
        <v>1020103</v>
      </c>
      <c r="F91" s="73">
        <v>102010304</v>
      </c>
      <c r="G91" s="73">
        <v>5</v>
      </c>
      <c r="H91" s="5" t="s">
        <v>535</v>
      </c>
      <c r="I91" s="5"/>
    </row>
    <row r="92" spans="1:9">
      <c r="A92" s="5" t="str">
        <f t="shared" si="1"/>
        <v>102010306</v>
      </c>
      <c r="B92" s="58">
        <v>10000110</v>
      </c>
      <c r="C92" s="5" t="s">
        <v>417</v>
      </c>
      <c r="D92" s="5" t="s">
        <v>1771</v>
      </c>
      <c r="E92" s="73">
        <v>1020103</v>
      </c>
      <c r="F92" s="73">
        <v>102010304</v>
      </c>
      <c r="G92" s="73">
        <v>6</v>
      </c>
      <c r="H92" s="5" t="s">
        <v>536</v>
      </c>
      <c r="I92" s="5"/>
    </row>
    <row r="93" spans="1:9">
      <c r="A93" s="5" t="str">
        <f t="shared" si="1"/>
        <v>102010307</v>
      </c>
      <c r="B93" s="58">
        <v>72000610</v>
      </c>
      <c r="C93" s="5" t="s">
        <v>534</v>
      </c>
      <c r="D93" s="5" t="s">
        <v>1771</v>
      </c>
      <c r="E93" s="73">
        <v>1020103</v>
      </c>
      <c r="F93" s="73">
        <v>102010304</v>
      </c>
      <c r="G93" s="73">
        <v>7</v>
      </c>
      <c r="H93" s="5" t="s">
        <v>537</v>
      </c>
      <c r="I93" s="5"/>
    </row>
    <row r="94" spans="1:9">
      <c r="A94" s="5" t="str">
        <f t="shared" si="1"/>
        <v>102020101</v>
      </c>
      <c r="B94" s="58">
        <v>73000510</v>
      </c>
      <c r="C94" s="5" t="s">
        <v>539</v>
      </c>
      <c r="D94" s="5" t="s">
        <v>1772</v>
      </c>
      <c r="E94" s="73">
        <v>1020201</v>
      </c>
      <c r="F94" s="73"/>
      <c r="G94" s="73">
        <v>1</v>
      </c>
      <c r="H94" s="5" t="s">
        <v>540</v>
      </c>
      <c r="I94" s="5"/>
    </row>
    <row r="95" spans="1:9">
      <c r="A95" s="5" t="str">
        <f t="shared" si="1"/>
        <v>102020102</v>
      </c>
      <c r="B95" s="58">
        <v>31000110</v>
      </c>
      <c r="C95" s="5" t="s">
        <v>541</v>
      </c>
      <c r="D95" s="5" t="s">
        <v>1772</v>
      </c>
      <c r="E95" s="73">
        <v>1020201</v>
      </c>
      <c r="F95" s="73"/>
      <c r="G95" s="73">
        <v>2</v>
      </c>
      <c r="H95" s="5" t="s">
        <v>542</v>
      </c>
      <c r="I95" s="5"/>
    </row>
    <row r="96" spans="1:9">
      <c r="A96" s="5" t="str">
        <f t="shared" si="1"/>
        <v>102020103</v>
      </c>
      <c r="B96" s="58">
        <v>71000210</v>
      </c>
      <c r="C96" s="5" t="s">
        <v>544</v>
      </c>
      <c r="D96" s="5" t="s">
        <v>1772</v>
      </c>
      <c r="E96" s="73">
        <v>1020201</v>
      </c>
      <c r="F96" s="73">
        <v>102020102</v>
      </c>
      <c r="G96" s="73">
        <v>3</v>
      </c>
      <c r="H96" s="5" t="s">
        <v>545</v>
      </c>
      <c r="I96" s="5"/>
    </row>
    <row r="97" spans="1:9">
      <c r="A97" s="5" t="str">
        <f t="shared" si="1"/>
        <v>102020104</v>
      </c>
      <c r="B97" s="58">
        <v>31000110</v>
      </c>
      <c r="C97" s="5" t="s">
        <v>447</v>
      </c>
      <c r="D97" s="5" t="s">
        <v>1772</v>
      </c>
      <c r="E97" s="73">
        <v>1020201</v>
      </c>
      <c r="F97" s="73">
        <v>102020102</v>
      </c>
      <c r="G97" s="73">
        <v>4</v>
      </c>
      <c r="H97" s="5" t="s">
        <v>546</v>
      </c>
      <c r="I97" s="5"/>
    </row>
    <row r="98" spans="1:9">
      <c r="A98" s="5" t="str">
        <f t="shared" si="1"/>
        <v>102020105</v>
      </c>
      <c r="B98" s="97">
        <v>93000110</v>
      </c>
      <c r="C98" s="96" t="s">
        <v>110</v>
      </c>
      <c r="D98" s="5" t="s">
        <v>1772</v>
      </c>
      <c r="E98" s="73">
        <v>1020201</v>
      </c>
      <c r="F98" s="73"/>
      <c r="G98" s="73">
        <v>5</v>
      </c>
      <c r="H98" s="5" t="s">
        <v>548</v>
      </c>
      <c r="I98" s="5"/>
    </row>
    <row r="99" spans="1:9">
      <c r="A99" s="5" t="str">
        <f t="shared" si="1"/>
        <v>102020106</v>
      </c>
      <c r="B99" s="58">
        <v>94000310</v>
      </c>
      <c r="C99" s="5" t="s">
        <v>549</v>
      </c>
      <c r="D99" s="5" t="s">
        <v>1772</v>
      </c>
      <c r="E99" s="73">
        <v>1020201</v>
      </c>
      <c r="F99" s="73">
        <v>102020105</v>
      </c>
      <c r="G99" s="73">
        <v>6</v>
      </c>
      <c r="H99" s="5" t="s">
        <v>550</v>
      </c>
      <c r="I99" s="5"/>
    </row>
    <row r="100" spans="1:9">
      <c r="A100" s="5" t="str">
        <f t="shared" si="1"/>
        <v>102020107</v>
      </c>
      <c r="B100" s="58">
        <v>73000510</v>
      </c>
      <c r="C100" s="5" t="s">
        <v>551</v>
      </c>
      <c r="D100" s="5" t="s">
        <v>1772</v>
      </c>
      <c r="E100" s="73">
        <v>1020201</v>
      </c>
      <c r="F100" s="73">
        <v>102020105</v>
      </c>
      <c r="G100" s="73">
        <v>7</v>
      </c>
      <c r="H100" s="5" t="s">
        <v>552</v>
      </c>
      <c r="I100" s="5"/>
    </row>
    <row r="101" spans="1:9">
      <c r="A101" s="5" t="str">
        <f t="shared" si="1"/>
        <v>102020108</v>
      </c>
      <c r="B101" s="98">
        <v>92000410</v>
      </c>
      <c r="C101" s="99" t="s">
        <v>547</v>
      </c>
      <c r="D101" s="5" t="s">
        <v>1772</v>
      </c>
      <c r="E101" s="73">
        <v>1020201</v>
      </c>
      <c r="F101" s="73">
        <v>102020105</v>
      </c>
      <c r="G101" s="73">
        <v>8</v>
      </c>
      <c r="H101" s="5" t="s">
        <v>553</v>
      </c>
      <c r="I101" s="5"/>
    </row>
    <row r="102" spans="1:9">
      <c r="A102" s="5" t="str">
        <f t="shared" si="1"/>
        <v>102020201</v>
      </c>
      <c r="B102" s="58">
        <v>94000210</v>
      </c>
      <c r="C102" s="5" t="s">
        <v>1998</v>
      </c>
      <c r="D102" s="5" t="s">
        <v>1773</v>
      </c>
      <c r="E102" s="73">
        <v>1020202</v>
      </c>
      <c r="F102" s="73"/>
      <c r="G102" s="73">
        <v>1</v>
      </c>
      <c r="H102" s="5" t="s">
        <v>554</v>
      </c>
      <c r="I102" s="5"/>
    </row>
    <row r="103" spans="1:9">
      <c r="A103" s="5" t="str">
        <f t="shared" si="1"/>
        <v>102020202</v>
      </c>
      <c r="B103" s="97" t="s">
        <v>1997</v>
      </c>
      <c r="C103" s="96" t="s">
        <v>1996</v>
      </c>
      <c r="D103" s="5" t="s">
        <v>1773</v>
      </c>
      <c r="E103" s="73">
        <v>1020202</v>
      </c>
      <c r="F103" s="73"/>
      <c r="G103" s="73">
        <v>2</v>
      </c>
      <c r="H103" s="5" t="s">
        <v>556</v>
      </c>
      <c r="I103" s="5"/>
    </row>
    <row r="104" spans="1:9">
      <c r="A104" s="5" t="str">
        <f t="shared" si="1"/>
        <v>102020203</v>
      </c>
      <c r="B104" s="97">
        <v>72000510</v>
      </c>
      <c r="C104" s="96" t="s">
        <v>529</v>
      </c>
      <c r="D104" s="5" t="s">
        <v>1773</v>
      </c>
      <c r="E104" s="73">
        <v>1020202</v>
      </c>
      <c r="F104" s="73">
        <v>102020202</v>
      </c>
      <c r="G104" s="73">
        <v>3</v>
      </c>
      <c r="H104" s="5" t="s">
        <v>558</v>
      </c>
      <c r="I104" s="5"/>
    </row>
    <row r="105" spans="1:9">
      <c r="A105" s="5" t="str">
        <f t="shared" si="1"/>
        <v>102020204</v>
      </c>
      <c r="B105" s="58">
        <v>74000110</v>
      </c>
      <c r="C105" s="5" t="s">
        <v>559</v>
      </c>
      <c r="D105" s="5" t="s">
        <v>1773</v>
      </c>
      <c r="E105" s="73">
        <v>1020202</v>
      </c>
      <c r="F105" s="73"/>
      <c r="G105" s="73">
        <v>4</v>
      </c>
      <c r="H105" s="5" t="s">
        <v>560</v>
      </c>
      <c r="I105" s="5"/>
    </row>
    <row r="106" spans="1:9">
      <c r="A106" s="5" t="str">
        <f t="shared" si="1"/>
        <v>102020205</v>
      </c>
      <c r="B106" s="58">
        <v>92000310</v>
      </c>
      <c r="C106" s="5" t="s">
        <v>1999</v>
      </c>
      <c r="D106" s="5" t="s">
        <v>1773</v>
      </c>
      <c r="E106" s="73">
        <v>1020202</v>
      </c>
      <c r="F106" s="73"/>
      <c r="G106" s="73">
        <v>5</v>
      </c>
      <c r="H106" s="5" t="s">
        <v>562</v>
      </c>
      <c r="I106" s="5"/>
    </row>
    <row r="107" spans="1:9">
      <c r="A107" s="5" t="str">
        <f t="shared" si="1"/>
        <v>102020301</v>
      </c>
      <c r="B107" s="58">
        <v>72000610</v>
      </c>
      <c r="C107" s="5" t="s">
        <v>534</v>
      </c>
      <c r="D107" s="5" t="s">
        <v>1774</v>
      </c>
      <c r="E107" s="73">
        <v>1020203</v>
      </c>
      <c r="F107" s="73"/>
      <c r="G107" s="73">
        <v>1</v>
      </c>
      <c r="H107" s="5" t="s">
        <v>563</v>
      </c>
      <c r="I107" s="5"/>
    </row>
    <row r="108" spans="1:9">
      <c r="A108" s="5" t="str">
        <f t="shared" si="1"/>
        <v>102020302</v>
      </c>
      <c r="B108" s="97" t="s">
        <v>1997</v>
      </c>
      <c r="C108" s="96" t="s">
        <v>1996</v>
      </c>
      <c r="D108" s="5" t="s">
        <v>1774</v>
      </c>
      <c r="E108" s="73">
        <v>1020203</v>
      </c>
      <c r="F108" s="73"/>
      <c r="G108" s="73">
        <v>2</v>
      </c>
      <c r="H108" s="5" t="s">
        <v>565</v>
      </c>
      <c r="I108" s="5"/>
    </row>
    <row r="109" spans="1:9">
      <c r="A109" s="5" t="str">
        <f t="shared" si="1"/>
        <v>102020303</v>
      </c>
      <c r="B109" s="58">
        <v>74000110</v>
      </c>
      <c r="C109" s="5" t="s">
        <v>559</v>
      </c>
      <c r="D109" s="5" t="s">
        <v>1774</v>
      </c>
      <c r="E109" s="73">
        <v>1020203</v>
      </c>
      <c r="F109" s="73">
        <v>102020302</v>
      </c>
      <c r="G109" s="73">
        <v>3</v>
      </c>
      <c r="H109" s="5" t="s">
        <v>566</v>
      </c>
      <c r="I109" s="5"/>
    </row>
    <row r="110" spans="1:9">
      <c r="A110" s="5" t="str">
        <f t="shared" si="1"/>
        <v>102020304</v>
      </c>
      <c r="B110" s="58">
        <v>94000210</v>
      </c>
      <c r="C110" s="5" t="s">
        <v>527</v>
      </c>
      <c r="D110" s="5" t="s">
        <v>1774</v>
      </c>
      <c r="E110" s="73">
        <v>1020203</v>
      </c>
      <c r="F110" s="73">
        <v>102020302</v>
      </c>
      <c r="G110" s="73">
        <v>4</v>
      </c>
      <c r="H110" s="5" t="s">
        <v>568</v>
      </c>
      <c r="I110" s="5"/>
    </row>
    <row r="111" spans="1:9">
      <c r="A111" s="5" t="str">
        <f t="shared" si="1"/>
        <v>102020305</v>
      </c>
      <c r="B111" s="97">
        <v>91000210</v>
      </c>
      <c r="C111" s="96" t="s">
        <v>2000</v>
      </c>
      <c r="D111" s="5" t="s">
        <v>1774</v>
      </c>
      <c r="E111" s="73">
        <v>1020203</v>
      </c>
      <c r="F111" s="73"/>
      <c r="G111" s="73">
        <v>5</v>
      </c>
      <c r="H111" s="5" t="s">
        <v>570</v>
      </c>
      <c r="I111" s="5"/>
    </row>
    <row r="112" spans="1:9">
      <c r="A112" s="5" t="str">
        <f t="shared" si="1"/>
        <v>102020306</v>
      </c>
      <c r="B112" s="97">
        <v>72000510</v>
      </c>
      <c r="C112" s="96" t="s">
        <v>529</v>
      </c>
      <c r="D112" s="5" t="s">
        <v>1774</v>
      </c>
      <c r="E112" s="73">
        <v>1020203</v>
      </c>
      <c r="F112" s="73">
        <v>102020305</v>
      </c>
      <c r="G112" s="73">
        <v>6</v>
      </c>
      <c r="H112" s="5" t="s">
        <v>572</v>
      </c>
      <c r="I112" s="5"/>
    </row>
    <row r="113" spans="1:9">
      <c r="A113" s="5" t="str">
        <f t="shared" si="1"/>
        <v>102020307</v>
      </c>
      <c r="B113" s="97">
        <v>94000210</v>
      </c>
      <c r="C113" s="96" t="s">
        <v>527</v>
      </c>
      <c r="D113" s="5" t="s">
        <v>1774</v>
      </c>
      <c r="E113" s="73">
        <v>1020203</v>
      </c>
      <c r="F113" s="73">
        <v>102020305</v>
      </c>
      <c r="G113" s="73">
        <v>7</v>
      </c>
      <c r="H113" s="5" t="s">
        <v>573</v>
      </c>
      <c r="I113" s="5"/>
    </row>
    <row r="114" spans="1:9">
      <c r="A114" s="5" t="str">
        <f t="shared" si="1"/>
        <v>102020308</v>
      </c>
      <c r="B114" s="97">
        <v>72000510</v>
      </c>
      <c r="C114" s="96" t="s">
        <v>529</v>
      </c>
      <c r="D114" s="5" t="s">
        <v>1774</v>
      </c>
      <c r="E114" s="73">
        <v>1020203</v>
      </c>
      <c r="F114" s="73">
        <v>102020305</v>
      </c>
      <c r="G114" s="73">
        <v>8</v>
      </c>
      <c r="H114" s="5" t="s">
        <v>575</v>
      </c>
      <c r="I114" s="5"/>
    </row>
    <row r="115" spans="1:9">
      <c r="A115" s="5" t="str">
        <f t="shared" si="1"/>
        <v>102020309</v>
      </c>
      <c r="B115" s="97">
        <v>94000210</v>
      </c>
      <c r="C115" s="96" t="s">
        <v>527</v>
      </c>
      <c r="D115" s="5" t="s">
        <v>1774</v>
      </c>
      <c r="E115" s="73">
        <v>1020203</v>
      </c>
      <c r="F115" s="73">
        <v>102020305</v>
      </c>
      <c r="G115" s="73">
        <v>9</v>
      </c>
      <c r="H115" s="5" t="s">
        <v>576</v>
      </c>
      <c r="I115" s="5"/>
    </row>
    <row r="116" spans="1:9">
      <c r="A116" s="5" t="str">
        <f t="shared" si="1"/>
        <v>1020203010</v>
      </c>
      <c r="B116" s="97">
        <v>91000210</v>
      </c>
      <c r="C116" s="96" t="s">
        <v>564</v>
      </c>
      <c r="D116" s="5" t="s">
        <v>1774</v>
      </c>
      <c r="E116" s="73">
        <v>1020203</v>
      </c>
      <c r="F116" s="73">
        <v>102020305</v>
      </c>
      <c r="G116" s="73">
        <v>10</v>
      </c>
      <c r="H116" s="5" t="s">
        <v>577</v>
      </c>
      <c r="I116" s="5"/>
    </row>
    <row r="117" spans="1:9">
      <c r="A117" s="5" t="str">
        <f t="shared" si="1"/>
        <v>102030101</v>
      </c>
      <c r="B117" s="100">
        <v>52000110</v>
      </c>
      <c r="C117" s="101" t="s">
        <v>1310</v>
      </c>
      <c r="D117" s="5" t="s">
        <v>1775</v>
      </c>
      <c r="E117" s="73">
        <v>1020301</v>
      </c>
      <c r="F117" s="73"/>
      <c r="G117" s="73">
        <v>1</v>
      </c>
      <c r="H117" s="5" t="s">
        <v>1311</v>
      </c>
      <c r="I117" s="5"/>
    </row>
    <row r="118" spans="1:9">
      <c r="A118" s="5" t="str">
        <f t="shared" si="1"/>
        <v>102030102</v>
      </c>
      <c r="B118" s="58">
        <v>74000110</v>
      </c>
      <c r="C118" s="5" t="s">
        <v>1312</v>
      </c>
      <c r="D118" s="5" t="s">
        <v>1775</v>
      </c>
      <c r="E118" s="73">
        <v>1020301</v>
      </c>
      <c r="F118" s="73">
        <v>102030101</v>
      </c>
      <c r="G118" s="73">
        <v>2</v>
      </c>
      <c r="H118" s="5" t="s">
        <v>1313</v>
      </c>
      <c r="I118" s="5"/>
    </row>
    <row r="119" spans="1:9">
      <c r="A119" s="5" t="str">
        <f t="shared" si="1"/>
        <v>102030103</v>
      </c>
      <c r="B119" s="58">
        <v>73000410</v>
      </c>
      <c r="C119" s="5" t="s">
        <v>1314</v>
      </c>
      <c r="D119" s="5" t="s">
        <v>1775</v>
      </c>
      <c r="E119" s="73">
        <v>1020301</v>
      </c>
      <c r="F119" s="73">
        <v>102030101</v>
      </c>
      <c r="G119" s="73">
        <v>3</v>
      </c>
      <c r="H119" s="5" t="s">
        <v>1315</v>
      </c>
      <c r="I119" s="5"/>
    </row>
    <row r="120" spans="1:9">
      <c r="A120" s="5" t="str">
        <f t="shared" si="1"/>
        <v>102030104</v>
      </c>
      <c r="B120" s="58">
        <v>33000210</v>
      </c>
      <c r="C120" s="5" t="s">
        <v>1316</v>
      </c>
      <c r="D120" s="5" t="s">
        <v>1775</v>
      </c>
      <c r="E120" s="73">
        <v>1020301</v>
      </c>
      <c r="F120" s="73"/>
      <c r="G120" s="73">
        <v>4</v>
      </c>
      <c r="H120" s="5" t="s">
        <v>1317</v>
      </c>
      <c r="I120" s="5"/>
    </row>
    <row r="121" spans="1:9">
      <c r="A121" s="5" t="str">
        <f t="shared" si="1"/>
        <v>102030105</v>
      </c>
      <c r="B121" s="58">
        <v>53000210</v>
      </c>
      <c r="C121" s="5" t="s">
        <v>1318</v>
      </c>
      <c r="D121" s="5" t="s">
        <v>1775</v>
      </c>
      <c r="E121" s="73">
        <v>1020301</v>
      </c>
      <c r="F121" s="73">
        <v>102030104</v>
      </c>
      <c r="G121" s="73">
        <v>5</v>
      </c>
      <c r="H121" s="5" t="s">
        <v>1319</v>
      </c>
      <c r="I121" s="5"/>
    </row>
    <row r="122" spans="1:9">
      <c r="A122" s="5" t="str">
        <f t="shared" si="1"/>
        <v>102030106</v>
      </c>
      <c r="B122" s="58">
        <v>73000410</v>
      </c>
      <c r="C122" s="5" t="s">
        <v>1314</v>
      </c>
      <c r="D122" s="5" t="s">
        <v>1775</v>
      </c>
      <c r="E122" s="73">
        <v>1020301</v>
      </c>
      <c r="F122" s="73">
        <v>102030104</v>
      </c>
      <c r="G122" s="73">
        <v>6</v>
      </c>
      <c r="H122" s="5" t="s">
        <v>1320</v>
      </c>
      <c r="I122" s="5"/>
    </row>
    <row r="123" spans="1:9">
      <c r="A123" s="5" t="str">
        <f t="shared" si="1"/>
        <v>102030107</v>
      </c>
      <c r="B123" s="58">
        <v>52000110</v>
      </c>
      <c r="C123" s="5" t="s">
        <v>1310</v>
      </c>
      <c r="D123" s="5" t="s">
        <v>1775</v>
      </c>
      <c r="E123" s="73">
        <v>1020301</v>
      </c>
      <c r="F123" s="73">
        <v>102030104</v>
      </c>
      <c r="G123" s="73">
        <v>7</v>
      </c>
      <c r="H123" s="5" t="s">
        <v>1321</v>
      </c>
      <c r="I123" s="5"/>
    </row>
    <row r="124" spans="1:9">
      <c r="A124" s="5" t="str">
        <f t="shared" si="1"/>
        <v>102030201</v>
      </c>
      <c r="B124" s="58">
        <v>51000210</v>
      </c>
      <c r="C124" s="5" t="s">
        <v>578</v>
      </c>
      <c r="D124" s="5" t="s">
        <v>1776</v>
      </c>
      <c r="E124" s="73">
        <v>1020302</v>
      </c>
      <c r="F124" s="73"/>
      <c r="G124" s="73">
        <v>1</v>
      </c>
      <c r="H124" s="5" t="s">
        <v>579</v>
      </c>
      <c r="I124" s="5"/>
    </row>
    <row r="125" spans="1:9">
      <c r="A125" s="5" t="str">
        <f t="shared" si="1"/>
        <v>102030202</v>
      </c>
      <c r="B125" s="58">
        <v>51000110</v>
      </c>
      <c r="C125" s="5" t="s">
        <v>580</v>
      </c>
      <c r="D125" s="5" t="s">
        <v>1776</v>
      </c>
      <c r="E125" s="73">
        <v>1020302</v>
      </c>
      <c r="F125" s="73">
        <v>102030201</v>
      </c>
      <c r="G125" s="73">
        <v>2</v>
      </c>
      <c r="H125" s="5" t="s">
        <v>581</v>
      </c>
      <c r="I125" s="5"/>
    </row>
    <row r="126" spans="1:9">
      <c r="A126" s="5" t="str">
        <f t="shared" si="1"/>
        <v>102030203</v>
      </c>
      <c r="B126" s="58">
        <v>54000110</v>
      </c>
      <c r="C126" s="5" t="s">
        <v>582</v>
      </c>
      <c r="D126" s="5" t="s">
        <v>1776</v>
      </c>
      <c r="E126" s="73">
        <v>1020302</v>
      </c>
      <c r="F126" s="73"/>
      <c r="G126" s="73">
        <v>3</v>
      </c>
      <c r="H126" s="5" t="s">
        <v>583</v>
      </c>
      <c r="I126" s="5"/>
    </row>
    <row r="127" spans="1:9">
      <c r="A127" s="5" t="str">
        <f t="shared" si="1"/>
        <v>102030204</v>
      </c>
      <c r="B127" s="58">
        <v>53000410</v>
      </c>
      <c r="C127" s="5" t="s">
        <v>452</v>
      </c>
      <c r="D127" s="5" t="s">
        <v>1776</v>
      </c>
      <c r="E127" s="73">
        <v>1020302</v>
      </c>
      <c r="F127" s="73">
        <v>102030203</v>
      </c>
      <c r="G127" s="73">
        <v>4</v>
      </c>
      <c r="H127" s="5" t="s">
        <v>584</v>
      </c>
      <c r="I127" s="5"/>
    </row>
    <row r="128" spans="1:9">
      <c r="A128" s="5" t="str">
        <f t="shared" si="1"/>
        <v>102030205</v>
      </c>
      <c r="B128" s="58">
        <v>53000210</v>
      </c>
      <c r="C128" s="5" t="s">
        <v>487</v>
      </c>
      <c r="D128" s="5" t="s">
        <v>1776</v>
      </c>
      <c r="E128" s="73">
        <v>1020302</v>
      </c>
      <c r="F128" s="73"/>
      <c r="G128" s="73">
        <v>5</v>
      </c>
      <c r="H128" s="5" t="s">
        <v>585</v>
      </c>
      <c r="I128" s="5"/>
    </row>
    <row r="129" spans="1:9">
      <c r="A129" s="5" t="str">
        <f t="shared" si="1"/>
        <v>102030206</v>
      </c>
      <c r="B129" s="58">
        <v>52000210</v>
      </c>
      <c r="C129" s="5" t="s">
        <v>586</v>
      </c>
      <c r="D129" s="5" t="s">
        <v>1776</v>
      </c>
      <c r="E129" s="73">
        <v>1020302</v>
      </c>
      <c r="F129" s="73">
        <v>102030205</v>
      </c>
      <c r="G129" s="73">
        <v>6</v>
      </c>
      <c r="H129" s="5" t="s">
        <v>587</v>
      </c>
      <c r="I129" s="5"/>
    </row>
    <row r="130" spans="1:9">
      <c r="A130" s="5" t="str">
        <f t="shared" si="1"/>
        <v>102030207</v>
      </c>
      <c r="B130" s="58">
        <v>53000210</v>
      </c>
      <c r="C130" s="5" t="s">
        <v>487</v>
      </c>
      <c r="D130" s="5" t="s">
        <v>1776</v>
      </c>
      <c r="E130" s="73">
        <v>1020302</v>
      </c>
      <c r="F130" s="73">
        <v>102030205</v>
      </c>
      <c r="G130" s="73">
        <v>7</v>
      </c>
      <c r="H130" s="5" t="s">
        <v>588</v>
      </c>
      <c r="I130" s="5"/>
    </row>
    <row r="131" spans="1:9">
      <c r="A131" s="5" t="str">
        <f t="shared" si="1"/>
        <v>102030208</v>
      </c>
      <c r="B131" s="58">
        <v>53000410</v>
      </c>
      <c r="C131" s="5" t="s">
        <v>452</v>
      </c>
      <c r="D131" s="5" t="s">
        <v>1776</v>
      </c>
      <c r="E131" s="73">
        <v>1020302</v>
      </c>
      <c r="F131" s="73">
        <v>102030205</v>
      </c>
      <c r="G131" s="73">
        <v>8</v>
      </c>
      <c r="H131" s="5" t="s">
        <v>589</v>
      </c>
      <c r="I131" s="5"/>
    </row>
    <row r="132" spans="1:9">
      <c r="A132" s="5" t="str">
        <f t="shared" si="1"/>
        <v>102030209</v>
      </c>
      <c r="B132" s="58">
        <v>53000210</v>
      </c>
      <c r="C132" s="5" t="s">
        <v>459</v>
      </c>
      <c r="D132" s="5" t="s">
        <v>1776</v>
      </c>
      <c r="E132" s="73">
        <v>1020302</v>
      </c>
      <c r="F132" s="73">
        <v>102030205</v>
      </c>
      <c r="G132" s="73">
        <v>9</v>
      </c>
      <c r="H132" s="5" t="s">
        <v>590</v>
      </c>
      <c r="I132" s="5"/>
    </row>
    <row r="133" spans="1:9">
      <c r="A133" s="5" t="str">
        <f t="shared" si="1"/>
        <v>102030301</v>
      </c>
      <c r="B133" s="58">
        <v>92000410</v>
      </c>
      <c r="C133" s="5" t="s">
        <v>449</v>
      </c>
      <c r="D133" s="5" t="s">
        <v>1777</v>
      </c>
      <c r="E133" s="73">
        <v>1020303</v>
      </c>
      <c r="F133" s="73"/>
      <c r="G133" s="73">
        <v>1</v>
      </c>
      <c r="H133" s="5" t="s">
        <v>591</v>
      </c>
      <c r="I133" s="5"/>
    </row>
    <row r="134" spans="1:9">
      <c r="A134" s="5" t="str">
        <f t="shared" si="1"/>
        <v>102030302</v>
      </c>
      <c r="B134" s="58">
        <v>72000410</v>
      </c>
      <c r="C134" s="5" t="s">
        <v>592</v>
      </c>
      <c r="D134" s="5" t="s">
        <v>1777</v>
      </c>
      <c r="E134" s="73">
        <v>1020303</v>
      </c>
      <c r="F134" s="73">
        <v>102030301</v>
      </c>
      <c r="G134" s="73">
        <v>2</v>
      </c>
      <c r="H134" s="5" t="s">
        <v>593</v>
      </c>
      <c r="I134" s="5"/>
    </row>
    <row r="135" spans="1:9">
      <c r="A135" s="5" t="str">
        <f t="shared" si="1"/>
        <v>102030303</v>
      </c>
      <c r="B135" s="58">
        <v>34000110</v>
      </c>
      <c r="C135" s="5" t="s">
        <v>475</v>
      </c>
      <c r="D135" s="5" t="s">
        <v>1777</v>
      </c>
      <c r="E135" s="73">
        <v>1020303</v>
      </c>
      <c r="F135" s="73"/>
      <c r="G135" s="73">
        <v>3</v>
      </c>
      <c r="H135" s="5" t="s">
        <v>594</v>
      </c>
      <c r="I135" s="5"/>
    </row>
    <row r="136" spans="1:9">
      <c r="A136" s="5" t="str">
        <f t="shared" si="1"/>
        <v>102030304</v>
      </c>
      <c r="B136" s="58">
        <v>31000110</v>
      </c>
      <c r="C136" s="5" t="s">
        <v>447</v>
      </c>
      <c r="D136" s="5" t="s">
        <v>1777</v>
      </c>
      <c r="E136" s="73">
        <v>1020303</v>
      </c>
      <c r="F136" s="73">
        <v>102030303</v>
      </c>
      <c r="G136" s="73">
        <v>4</v>
      </c>
      <c r="H136" s="5" t="s">
        <v>595</v>
      </c>
      <c r="I136" s="5"/>
    </row>
    <row r="137" spans="1:9">
      <c r="A137" s="5" t="str">
        <f t="shared" si="1"/>
        <v>102040101</v>
      </c>
      <c r="B137" s="58">
        <v>71000110</v>
      </c>
      <c r="C137" s="5" t="s">
        <v>596</v>
      </c>
      <c r="D137" s="5" t="s">
        <v>1778</v>
      </c>
      <c r="E137" s="73">
        <v>1020401</v>
      </c>
      <c r="F137" s="73"/>
      <c r="G137" s="73">
        <v>1</v>
      </c>
      <c r="H137" s="5" t="s">
        <v>597</v>
      </c>
      <c r="I137" s="5"/>
    </row>
    <row r="138" spans="1:9">
      <c r="A138" s="5" t="str">
        <f t="shared" si="1"/>
        <v>102040102</v>
      </c>
      <c r="B138" s="58">
        <v>92000210</v>
      </c>
      <c r="C138" s="5" t="s">
        <v>599</v>
      </c>
      <c r="D138" s="5" t="s">
        <v>1778</v>
      </c>
      <c r="E138" s="73">
        <v>1020401</v>
      </c>
      <c r="F138" s="73"/>
      <c r="G138" s="73">
        <v>2</v>
      </c>
      <c r="H138" s="5" t="s">
        <v>600</v>
      </c>
      <c r="I138" s="5"/>
    </row>
    <row r="139" spans="1:9">
      <c r="A139" s="5" t="str">
        <f t="shared" si="1"/>
        <v>102040103</v>
      </c>
      <c r="B139" s="58">
        <v>10000310</v>
      </c>
      <c r="C139" s="5" t="s">
        <v>423</v>
      </c>
      <c r="D139" s="5" t="s">
        <v>1778</v>
      </c>
      <c r="E139" s="73">
        <v>1020401</v>
      </c>
      <c r="F139" s="73"/>
      <c r="G139" s="73">
        <v>3</v>
      </c>
      <c r="H139" s="5" t="s">
        <v>601</v>
      </c>
      <c r="I139" s="5"/>
    </row>
    <row r="140" spans="1:9">
      <c r="A140" s="5" t="str">
        <f t="shared" si="1"/>
        <v>102040104</v>
      </c>
      <c r="B140" s="58">
        <v>93000510</v>
      </c>
      <c r="C140" s="5" t="s">
        <v>469</v>
      </c>
      <c r="D140" s="5" t="s">
        <v>1778</v>
      </c>
      <c r="E140" s="73">
        <v>1020401</v>
      </c>
      <c r="F140" s="73">
        <v>102040103</v>
      </c>
      <c r="G140" s="73">
        <v>4</v>
      </c>
      <c r="H140" s="5" t="s">
        <v>602</v>
      </c>
      <c r="I140" s="5"/>
    </row>
    <row r="141" spans="1:9">
      <c r="A141" s="5" t="str">
        <f t="shared" si="1"/>
        <v>102040201</v>
      </c>
      <c r="B141" s="58">
        <v>33000210</v>
      </c>
      <c r="C141" s="5" t="s">
        <v>498</v>
      </c>
      <c r="D141" s="5" t="s">
        <v>1779</v>
      </c>
      <c r="E141" s="73">
        <v>1020402</v>
      </c>
      <c r="F141" s="73"/>
      <c r="G141" s="73">
        <v>1</v>
      </c>
      <c r="H141" s="5" t="s">
        <v>603</v>
      </c>
      <c r="I141" s="5"/>
    </row>
    <row r="142" spans="1:9">
      <c r="A142" s="5" t="str">
        <f t="shared" si="1"/>
        <v>102040202</v>
      </c>
      <c r="B142" s="58">
        <v>33000110</v>
      </c>
      <c r="C142" s="5" t="s">
        <v>604</v>
      </c>
      <c r="D142" s="5" t="s">
        <v>1779</v>
      </c>
      <c r="E142" s="73">
        <v>1020402</v>
      </c>
      <c r="F142" s="73">
        <v>102040201</v>
      </c>
      <c r="G142" s="73">
        <v>2</v>
      </c>
      <c r="H142" s="5" t="s">
        <v>605</v>
      </c>
      <c r="I142" s="5"/>
    </row>
    <row r="143" spans="1:9">
      <c r="A143" s="5" t="str">
        <f t="shared" si="1"/>
        <v>102040203</v>
      </c>
      <c r="B143" s="58">
        <v>33000210</v>
      </c>
      <c r="C143" s="5" t="s">
        <v>491</v>
      </c>
      <c r="D143" s="5" t="s">
        <v>1779</v>
      </c>
      <c r="E143" s="73">
        <v>1020402</v>
      </c>
      <c r="F143" s="73">
        <v>102040201</v>
      </c>
      <c r="G143" s="73">
        <v>3</v>
      </c>
      <c r="H143" s="5" t="s">
        <v>606</v>
      </c>
      <c r="I143" s="5"/>
    </row>
    <row r="144" spans="1:9">
      <c r="A144" s="5" t="str">
        <f t="shared" si="1"/>
        <v>102040204</v>
      </c>
      <c r="B144" s="58">
        <v>33000110</v>
      </c>
      <c r="C144" s="5" t="s">
        <v>521</v>
      </c>
      <c r="D144" s="5" t="s">
        <v>1779</v>
      </c>
      <c r="E144" s="73">
        <v>1020402</v>
      </c>
      <c r="F144" s="73">
        <v>102040201</v>
      </c>
      <c r="G144" s="73">
        <v>4</v>
      </c>
      <c r="H144" s="5" t="s">
        <v>607</v>
      </c>
      <c r="I144" s="5"/>
    </row>
    <row r="145" spans="1:9">
      <c r="A145" s="5" t="str">
        <f t="shared" si="1"/>
        <v>102040205</v>
      </c>
      <c r="B145" s="58">
        <v>33000210</v>
      </c>
      <c r="C145" s="5" t="s">
        <v>491</v>
      </c>
      <c r="D145" s="5" t="s">
        <v>1779</v>
      </c>
      <c r="E145" s="73">
        <v>1020402</v>
      </c>
      <c r="F145" s="73">
        <v>102040201</v>
      </c>
      <c r="G145" s="73">
        <v>5</v>
      </c>
      <c r="H145" s="5" t="s">
        <v>608</v>
      </c>
      <c r="I145" s="5"/>
    </row>
    <row r="146" spans="1:9">
      <c r="A146" s="5" t="str">
        <f t="shared" si="1"/>
        <v>102040206</v>
      </c>
      <c r="B146" s="58">
        <v>52000310</v>
      </c>
      <c r="C146" s="5" t="s">
        <v>465</v>
      </c>
      <c r="D146" s="5" t="s">
        <v>1779</v>
      </c>
      <c r="E146" s="73">
        <v>1020402</v>
      </c>
      <c r="F146" s="73"/>
      <c r="G146" s="73">
        <v>6</v>
      </c>
      <c r="H146" s="5" t="s">
        <v>609</v>
      </c>
      <c r="I146" s="5"/>
    </row>
    <row r="147" spans="1:9">
      <c r="A147" s="5" t="str">
        <f t="shared" si="1"/>
        <v>102040207</v>
      </c>
      <c r="B147" s="98">
        <v>33000110</v>
      </c>
      <c r="C147" s="99" t="s">
        <v>521</v>
      </c>
      <c r="D147" s="5" t="s">
        <v>1779</v>
      </c>
      <c r="E147" s="73">
        <v>1020402</v>
      </c>
      <c r="F147" s="73">
        <v>102040206</v>
      </c>
      <c r="G147" s="73">
        <v>7</v>
      </c>
      <c r="H147" s="5" t="s">
        <v>610</v>
      </c>
      <c r="I147" s="5"/>
    </row>
    <row r="148" spans="1:9">
      <c r="A148" s="5" t="str">
        <f t="shared" si="1"/>
        <v>102040301</v>
      </c>
      <c r="B148" s="58">
        <v>72000710</v>
      </c>
      <c r="C148" s="5" t="s">
        <v>2001</v>
      </c>
      <c r="D148" s="5" t="s">
        <v>1780</v>
      </c>
      <c r="E148" s="73">
        <v>1020403</v>
      </c>
      <c r="F148" s="73"/>
      <c r="G148" s="73">
        <v>1</v>
      </c>
      <c r="H148" s="5" t="s">
        <v>612</v>
      </c>
      <c r="I148" s="5"/>
    </row>
    <row r="149" spans="1:9">
      <c r="A149" s="5" t="str">
        <f t="shared" si="1"/>
        <v>102040302</v>
      </c>
      <c r="B149" s="58">
        <v>73000310</v>
      </c>
      <c r="C149" s="5" t="s">
        <v>664</v>
      </c>
      <c r="D149" s="5" t="s">
        <v>1780</v>
      </c>
      <c r="E149" s="73">
        <v>1020403</v>
      </c>
      <c r="F149" s="73">
        <v>102040301</v>
      </c>
      <c r="G149" s="73">
        <v>2</v>
      </c>
      <c r="H149" s="5" t="s">
        <v>614</v>
      </c>
      <c r="I149" s="5"/>
    </row>
    <row r="150" spans="1:9">
      <c r="A150" s="5" t="str">
        <f t="shared" si="1"/>
        <v>102040303</v>
      </c>
      <c r="B150" s="58">
        <v>53000310</v>
      </c>
      <c r="C150" s="5" t="s">
        <v>2002</v>
      </c>
      <c r="D150" s="5" t="s">
        <v>1780</v>
      </c>
      <c r="E150" s="73">
        <v>1020403</v>
      </c>
      <c r="F150" s="73"/>
      <c r="G150" s="73">
        <v>3</v>
      </c>
      <c r="H150" s="5" t="s">
        <v>615</v>
      </c>
      <c r="I150" s="5"/>
    </row>
    <row r="151" spans="1:9">
      <c r="A151" s="5" t="str">
        <f t="shared" si="1"/>
        <v>102040304</v>
      </c>
      <c r="B151" s="58">
        <v>73000310</v>
      </c>
      <c r="C151" s="5" t="s">
        <v>2003</v>
      </c>
      <c r="D151" s="5" t="s">
        <v>1780</v>
      </c>
      <c r="E151" s="73">
        <v>1020403</v>
      </c>
      <c r="F151" s="73">
        <v>102040303</v>
      </c>
      <c r="G151" s="73">
        <v>4</v>
      </c>
      <c r="H151" s="5" t="s">
        <v>616</v>
      </c>
      <c r="I151" s="5"/>
    </row>
    <row r="152" spans="1:9">
      <c r="A152" s="96" t="str">
        <f t="shared" si="1"/>
        <v>102040305</v>
      </c>
      <c r="B152" s="58">
        <v>53000310</v>
      </c>
      <c r="C152" s="5" t="s">
        <v>517</v>
      </c>
      <c r="D152" s="5" t="s">
        <v>1780</v>
      </c>
      <c r="E152" s="73">
        <v>1020403</v>
      </c>
      <c r="F152" s="73">
        <v>102040303</v>
      </c>
      <c r="G152" s="95">
        <v>5</v>
      </c>
      <c r="H152" s="96" t="s">
        <v>2004</v>
      </c>
      <c r="I152" s="96"/>
    </row>
    <row r="153" spans="1:9">
      <c r="A153" s="5" t="str">
        <f t="shared" si="1"/>
        <v>102050101</v>
      </c>
      <c r="B153" s="100">
        <v>33000110</v>
      </c>
      <c r="C153" s="101" t="s">
        <v>467</v>
      </c>
      <c r="D153" s="5" t="s">
        <v>1781</v>
      </c>
      <c r="E153" s="73">
        <v>1020501</v>
      </c>
      <c r="F153" s="73"/>
      <c r="G153" s="73">
        <v>1</v>
      </c>
      <c r="H153" s="5" t="s">
        <v>1322</v>
      </c>
      <c r="I153" s="5"/>
    </row>
    <row r="154" spans="1:9">
      <c r="A154" s="5" t="str">
        <f t="shared" si="1"/>
        <v>102050102</v>
      </c>
      <c r="B154" s="58">
        <v>52000310</v>
      </c>
      <c r="C154" s="5" t="s">
        <v>1369</v>
      </c>
      <c r="D154" s="5" t="s">
        <v>1781</v>
      </c>
      <c r="E154" s="73">
        <v>1020501</v>
      </c>
      <c r="F154" s="73">
        <v>102050101</v>
      </c>
      <c r="G154" s="73">
        <v>2</v>
      </c>
      <c r="H154" s="5" t="s">
        <v>1368</v>
      </c>
      <c r="I154" s="5"/>
    </row>
    <row r="155" spans="1:9">
      <c r="A155" s="5" t="str">
        <f t="shared" si="1"/>
        <v>102050103</v>
      </c>
      <c r="B155" s="58">
        <v>53000110</v>
      </c>
      <c r="C155" s="5" t="s">
        <v>1370</v>
      </c>
      <c r="D155" s="5" t="s">
        <v>1781</v>
      </c>
      <c r="E155" s="73">
        <v>1020501</v>
      </c>
      <c r="F155" s="73">
        <v>102050101</v>
      </c>
      <c r="G155" s="73">
        <v>3</v>
      </c>
      <c r="H155" s="5" t="s">
        <v>1323</v>
      </c>
      <c r="I155" s="5"/>
    </row>
    <row r="156" spans="1:9">
      <c r="A156" s="5" t="str">
        <f t="shared" si="1"/>
        <v>102050104</v>
      </c>
      <c r="B156" s="58">
        <v>52000310</v>
      </c>
      <c r="C156" s="5" t="s">
        <v>465</v>
      </c>
      <c r="D156" s="5" t="s">
        <v>1781</v>
      </c>
      <c r="E156" s="73">
        <v>1020501</v>
      </c>
      <c r="F156" s="73">
        <v>102050101</v>
      </c>
      <c r="G156" s="73">
        <v>4</v>
      </c>
      <c r="H156" s="5" t="s">
        <v>1324</v>
      </c>
      <c r="I156" s="5"/>
    </row>
    <row r="157" spans="1:9">
      <c r="A157" s="5" t="str">
        <f t="shared" si="1"/>
        <v>102050105</v>
      </c>
      <c r="B157" s="58">
        <v>33000210</v>
      </c>
      <c r="C157" s="5" t="s">
        <v>491</v>
      </c>
      <c r="D157" s="5" t="s">
        <v>1781</v>
      </c>
      <c r="E157" s="73">
        <v>1020501</v>
      </c>
      <c r="F157" s="73">
        <v>102050101</v>
      </c>
      <c r="G157" s="73">
        <v>5</v>
      </c>
      <c r="H157" s="5" t="s">
        <v>1325</v>
      </c>
      <c r="I157" s="5"/>
    </row>
    <row r="158" spans="1:9">
      <c r="A158" s="5" t="str">
        <f t="shared" si="1"/>
        <v>102050106</v>
      </c>
      <c r="B158" s="58">
        <v>52000310</v>
      </c>
      <c r="C158" s="5" t="s">
        <v>465</v>
      </c>
      <c r="D158" s="5" t="s">
        <v>1781</v>
      </c>
      <c r="E158" s="73">
        <v>1020501</v>
      </c>
      <c r="F158" s="73">
        <v>102050101</v>
      </c>
      <c r="G158" s="73">
        <v>6</v>
      </c>
      <c r="H158" s="5" t="s">
        <v>1326</v>
      </c>
      <c r="I158" s="5"/>
    </row>
    <row r="159" spans="1:9">
      <c r="A159" s="5" t="str">
        <f t="shared" si="1"/>
        <v>102050107</v>
      </c>
      <c r="B159" s="58">
        <v>33000110</v>
      </c>
      <c r="C159" s="5" t="s">
        <v>467</v>
      </c>
      <c r="D159" s="5" t="s">
        <v>1781</v>
      </c>
      <c r="E159" s="73">
        <v>1020501</v>
      </c>
      <c r="F159" s="73">
        <v>102050101</v>
      </c>
      <c r="G159" s="73">
        <v>7</v>
      </c>
      <c r="H159" s="5" t="s">
        <v>1327</v>
      </c>
      <c r="I159" s="5"/>
    </row>
    <row r="160" spans="1:9">
      <c r="A160" s="5" t="str">
        <f t="shared" si="1"/>
        <v>102050108</v>
      </c>
      <c r="B160" s="58">
        <v>53000110</v>
      </c>
      <c r="C160" s="5" t="s">
        <v>436</v>
      </c>
      <c r="D160" s="5" t="s">
        <v>1781</v>
      </c>
      <c r="E160" s="73">
        <v>1020501</v>
      </c>
      <c r="F160" s="73">
        <v>102050101</v>
      </c>
      <c r="G160" s="73">
        <v>8</v>
      </c>
      <c r="H160" s="5" t="s">
        <v>1328</v>
      </c>
      <c r="I160" s="5"/>
    </row>
    <row r="161" spans="1:9">
      <c r="A161" s="5" t="str">
        <f t="shared" si="1"/>
        <v>102050109</v>
      </c>
      <c r="B161" s="58">
        <v>52000310</v>
      </c>
      <c r="C161" s="5" t="s">
        <v>465</v>
      </c>
      <c r="D161" s="5" t="s">
        <v>1781</v>
      </c>
      <c r="E161" s="73">
        <v>1020501</v>
      </c>
      <c r="F161" s="73">
        <v>102050101</v>
      </c>
      <c r="G161" s="73">
        <v>9</v>
      </c>
      <c r="H161" s="5" t="s">
        <v>1329</v>
      </c>
      <c r="I161" s="5"/>
    </row>
    <row r="162" spans="1:9">
      <c r="A162" s="5" t="str">
        <f t="shared" si="1"/>
        <v>102050201</v>
      </c>
      <c r="B162" s="97" t="s">
        <v>1997</v>
      </c>
      <c r="C162" s="96" t="s">
        <v>1200</v>
      </c>
      <c r="D162" s="5" t="s">
        <v>1782</v>
      </c>
      <c r="E162" s="73">
        <v>1020502</v>
      </c>
      <c r="F162" s="73"/>
      <c r="G162" s="73">
        <v>1</v>
      </c>
      <c r="H162" s="5" t="s">
        <v>617</v>
      </c>
      <c r="I162" s="5"/>
    </row>
    <row r="163" spans="1:9">
      <c r="A163" s="5" t="str">
        <f t="shared" si="1"/>
        <v>102050202</v>
      </c>
      <c r="B163" s="58">
        <v>92000310</v>
      </c>
      <c r="C163" s="5" t="s">
        <v>561</v>
      </c>
      <c r="D163" s="5" t="s">
        <v>1782</v>
      </c>
      <c r="E163" s="73">
        <v>1020502</v>
      </c>
      <c r="F163" s="73">
        <v>102050201</v>
      </c>
      <c r="G163" s="73">
        <v>2</v>
      </c>
      <c r="H163" s="5" t="s">
        <v>618</v>
      </c>
      <c r="I163" s="5"/>
    </row>
    <row r="164" spans="1:9">
      <c r="A164" s="5" t="str">
        <f t="shared" si="1"/>
        <v>102050203</v>
      </c>
      <c r="B164" s="58">
        <v>93000410</v>
      </c>
      <c r="C164" s="5" t="s">
        <v>571</v>
      </c>
      <c r="D164" s="5" t="s">
        <v>1782</v>
      </c>
      <c r="E164" s="73">
        <v>1020502</v>
      </c>
      <c r="F164" s="73"/>
      <c r="G164" s="73">
        <v>3</v>
      </c>
      <c r="H164" s="5" t="s">
        <v>619</v>
      </c>
      <c r="I164" s="5"/>
    </row>
    <row r="165" spans="1:9">
      <c r="A165" s="5" t="str">
        <f t="shared" si="1"/>
        <v>102050204</v>
      </c>
      <c r="B165" s="58">
        <v>92000310</v>
      </c>
      <c r="C165" s="5" t="s">
        <v>620</v>
      </c>
      <c r="D165" s="5" t="s">
        <v>1782</v>
      </c>
      <c r="E165" s="73">
        <v>1020502</v>
      </c>
      <c r="F165" s="73">
        <v>102050203</v>
      </c>
      <c r="G165" s="73">
        <v>4</v>
      </c>
      <c r="H165" s="5" t="s">
        <v>621</v>
      </c>
      <c r="I165" s="5"/>
    </row>
    <row r="166" spans="1:9">
      <c r="A166" s="5" t="str">
        <f t="shared" si="1"/>
        <v>102050205</v>
      </c>
      <c r="B166" s="58">
        <v>72000510</v>
      </c>
      <c r="C166" s="5" t="s">
        <v>622</v>
      </c>
      <c r="D166" s="5" t="s">
        <v>1782</v>
      </c>
      <c r="E166" s="73">
        <v>1020502</v>
      </c>
      <c r="F166" s="73">
        <v>102050203</v>
      </c>
      <c r="G166" s="73">
        <v>5</v>
      </c>
      <c r="H166" s="5" t="s">
        <v>623</v>
      </c>
      <c r="I166" s="5"/>
    </row>
    <row r="167" spans="1:9">
      <c r="A167" s="5" t="str">
        <f t="shared" si="1"/>
        <v>102050206</v>
      </c>
      <c r="B167" s="58">
        <v>92000310</v>
      </c>
      <c r="C167" s="5" t="s">
        <v>561</v>
      </c>
      <c r="D167" s="5" t="s">
        <v>1782</v>
      </c>
      <c r="E167" s="73">
        <v>1020502</v>
      </c>
      <c r="F167" s="73">
        <v>102050203</v>
      </c>
      <c r="G167" s="73">
        <v>6</v>
      </c>
      <c r="H167" s="5" t="s">
        <v>624</v>
      </c>
      <c r="I167" s="5"/>
    </row>
    <row r="168" spans="1:9">
      <c r="A168" s="5" t="str">
        <f t="shared" si="1"/>
        <v>102050207</v>
      </c>
      <c r="B168" s="58">
        <v>52000410</v>
      </c>
      <c r="C168" s="5" t="s">
        <v>625</v>
      </c>
      <c r="D168" s="5" t="s">
        <v>1782</v>
      </c>
      <c r="E168" s="73">
        <v>1020502</v>
      </c>
      <c r="F168" s="73"/>
      <c r="G168" s="73">
        <v>7</v>
      </c>
      <c r="H168" s="5" t="s">
        <v>626</v>
      </c>
      <c r="I168" s="5"/>
    </row>
    <row r="169" spans="1:9">
      <c r="A169" s="5" t="str">
        <f t="shared" si="1"/>
        <v>102050208</v>
      </c>
      <c r="B169" s="97">
        <v>72000410</v>
      </c>
      <c r="C169" s="96" t="s">
        <v>2005</v>
      </c>
      <c r="D169" s="5" t="s">
        <v>1782</v>
      </c>
      <c r="E169" s="73">
        <v>1020502</v>
      </c>
      <c r="F169" s="73">
        <v>102050207</v>
      </c>
      <c r="G169" s="73">
        <v>8</v>
      </c>
      <c r="H169" s="5" t="s">
        <v>627</v>
      </c>
      <c r="I169" s="5"/>
    </row>
    <row r="170" spans="1:9">
      <c r="A170" s="5" t="str">
        <f t="shared" si="1"/>
        <v>102050209</v>
      </c>
      <c r="B170" s="58">
        <v>52000410</v>
      </c>
      <c r="C170" s="5" t="s">
        <v>625</v>
      </c>
      <c r="D170" s="5" t="s">
        <v>1782</v>
      </c>
      <c r="E170" s="73">
        <v>1020502</v>
      </c>
      <c r="F170" s="73">
        <v>102050207</v>
      </c>
      <c r="G170" s="73">
        <v>9</v>
      </c>
      <c r="H170" s="5" t="s">
        <v>628</v>
      </c>
      <c r="I170" s="5"/>
    </row>
    <row r="171" spans="1:9">
      <c r="A171" s="5" t="str">
        <f t="shared" si="1"/>
        <v>102060101</v>
      </c>
      <c r="B171" s="58">
        <v>73000110</v>
      </c>
      <c r="C171" s="5" t="s">
        <v>460</v>
      </c>
      <c r="D171" s="5" t="s">
        <v>1783</v>
      </c>
      <c r="E171" s="73">
        <v>1020601</v>
      </c>
      <c r="F171" s="73"/>
      <c r="G171" s="73">
        <v>1</v>
      </c>
      <c r="H171" s="5" t="s">
        <v>629</v>
      </c>
      <c r="I171" s="5"/>
    </row>
    <row r="172" spans="1:9">
      <c r="A172" s="5" t="str">
        <f t="shared" si="1"/>
        <v>102060102</v>
      </c>
      <c r="B172" s="58">
        <v>53000210</v>
      </c>
      <c r="C172" s="5" t="s">
        <v>459</v>
      </c>
      <c r="D172" s="5" t="s">
        <v>1783</v>
      </c>
      <c r="E172" s="73">
        <v>1020601</v>
      </c>
      <c r="F172" s="73">
        <v>102060101</v>
      </c>
      <c r="G172" s="73">
        <v>2</v>
      </c>
      <c r="H172" s="5" t="s">
        <v>630</v>
      </c>
      <c r="I172" s="5"/>
    </row>
    <row r="173" spans="1:9">
      <c r="A173" s="5" t="str">
        <f t="shared" si="1"/>
        <v>102060103</v>
      </c>
      <c r="B173" s="58">
        <v>73000110</v>
      </c>
      <c r="C173" s="5" t="s">
        <v>460</v>
      </c>
      <c r="D173" s="5" t="s">
        <v>1783</v>
      </c>
      <c r="E173" s="73">
        <v>1020601</v>
      </c>
      <c r="F173" s="73">
        <v>102060101</v>
      </c>
      <c r="G173" s="73">
        <v>3</v>
      </c>
      <c r="H173" s="5" t="s">
        <v>631</v>
      </c>
      <c r="I173" s="5"/>
    </row>
    <row r="174" spans="1:9">
      <c r="A174" s="5" t="str">
        <f t="shared" si="1"/>
        <v>102060104</v>
      </c>
      <c r="B174" s="58">
        <v>71000210</v>
      </c>
      <c r="C174" s="5" t="s">
        <v>543</v>
      </c>
      <c r="D174" s="5" t="s">
        <v>1783</v>
      </c>
      <c r="E174" s="73">
        <v>1020601</v>
      </c>
      <c r="F174" s="73"/>
      <c r="G174" s="73">
        <v>4</v>
      </c>
      <c r="H174" s="5" t="s">
        <v>632</v>
      </c>
      <c r="I174" s="5"/>
    </row>
    <row r="175" spans="1:9">
      <c r="A175" s="5" t="str">
        <f t="shared" si="1"/>
        <v>102060105</v>
      </c>
      <c r="B175" s="58">
        <v>53000310</v>
      </c>
      <c r="C175" s="5" t="s">
        <v>517</v>
      </c>
      <c r="D175" s="5" t="s">
        <v>1783</v>
      </c>
      <c r="E175" s="73">
        <v>1020601</v>
      </c>
      <c r="F175" s="73">
        <v>102060104</v>
      </c>
      <c r="G175" s="73">
        <v>5</v>
      </c>
      <c r="H175" s="5" t="s">
        <v>633</v>
      </c>
      <c r="I175" s="5"/>
    </row>
    <row r="176" spans="1:9">
      <c r="A176" s="5" t="str">
        <f t="shared" si="1"/>
        <v>102060106</v>
      </c>
      <c r="B176" s="58">
        <v>53000210</v>
      </c>
      <c r="C176" s="5" t="s">
        <v>459</v>
      </c>
      <c r="D176" s="5" t="s">
        <v>1783</v>
      </c>
      <c r="E176" s="73">
        <v>1020601</v>
      </c>
      <c r="F176" s="73">
        <v>102060104</v>
      </c>
      <c r="G176" s="73">
        <v>6</v>
      </c>
      <c r="H176" s="5" t="s">
        <v>634</v>
      </c>
      <c r="I176" s="5"/>
    </row>
    <row r="177" spans="1:9">
      <c r="A177" s="5" t="str">
        <f t="shared" si="1"/>
        <v>102060107</v>
      </c>
      <c r="B177" s="58">
        <v>71000210</v>
      </c>
      <c r="C177" s="5" t="s">
        <v>543</v>
      </c>
      <c r="D177" s="5" t="s">
        <v>1783</v>
      </c>
      <c r="E177" s="73">
        <v>1020601</v>
      </c>
      <c r="F177" s="73">
        <v>102060104</v>
      </c>
      <c r="G177" s="73">
        <v>7</v>
      </c>
      <c r="H177" s="5" t="s">
        <v>635</v>
      </c>
      <c r="I177" s="5"/>
    </row>
    <row r="178" spans="1:9">
      <c r="A178" s="5" t="str">
        <f t="shared" si="1"/>
        <v>102060108</v>
      </c>
      <c r="B178" s="58">
        <v>72000410</v>
      </c>
      <c r="C178" s="5" t="s">
        <v>592</v>
      </c>
      <c r="D178" s="5" t="s">
        <v>1783</v>
      </c>
      <c r="E178" s="73">
        <v>1020601</v>
      </c>
      <c r="F178" s="73"/>
      <c r="G178" s="73">
        <v>8</v>
      </c>
      <c r="H178" s="5" t="s">
        <v>636</v>
      </c>
      <c r="I178" s="5"/>
    </row>
    <row r="179" spans="1:9">
      <c r="A179" s="5" t="str">
        <f t="shared" si="1"/>
        <v>102060201</v>
      </c>
      <c r="B179" s="58">
        <v>51000110</v>
      </c>
      <c r="C179" s="5" t="s">
        <v>580</v>
      </c>
      <c r="D179" s="5" t="s">
        <v>1784</v>
      </c>
      <c r="E179" s="73">
        <v>1020602</v>
      </c>
      <c r="F179" s="73"/>
      <c r="G179" s="73">
        <v>1</v>
      </c>
      <c r="H179" s="5" t="s">
        <v>637</v>
      </c>
      <c r="I179" s="5"/>
    </row>
    <row r="180" spans="1:9">
      <c r="A180" s="5" t="str">
        <f t="shared" si="1"/>
        <v>102060202</v>
      </c>
      <c r="B180" s="97">
        <v>73000210</v>
      </c>
      <c r="C180" s="96" t="s">
        <v>648</v>
      </c>
      <c r="D180" s="5" t="s">
        <v>1784</v>
      </c>
      <c r="E180" s="73">
        <v>1020602</v>
      </c>
      <c r="F180" s="73">
        <v>102060201</v>
      </c>
      <c r="G180" s="73">
        <v>2</v>
      </c>
      <c r="H180" s="5" t="s">
        <v>639</v>
      </c>
      <c r="I180" s="5"/>
    </row>
    <row r="181" spans="1:9">
      <c r="A181" s="5" t="str">
        <f t="shared" si="1"/>
        <v>102060203</v>
      </c>
      <c r="B181" s="58">
        <v>51000210</v>
      </c>
      <c r="C181" s="5" t="s">
        <v>640</v>
      </c>
      <c r="D181" s="5" t="s">
        <v>1784</v>
      </c>
      <c r="E181" s="73">
        <v>1020602</v>
      </c>
      <c r="F181" s="73"/>
      <c r="G181" s="73">
        <v>3</v>
      </c>
      <c r="H181" s="5" t="s">
        <v>641</v>
      </c>
      <c r="I181" s="5"/>
    </row>
    <row r="182" spans="1:9">
      <c r="A182" s="5" t="str">
        <f t="shared" si="1"/>
        <v>102060204</v>
      </c>
      <c r="B182" s="58">
        <v>73000210</v>
      </c>
      <c r="C182" s="5" t="s">
        <v>638</v>
      </c>
      <c r="D182" s="5" t="s">
        <v>1784</v>
      </c>
      <c r="E182" s="73">
        <v>1020602</v>
      </c>
      <c r="F182" s="73">
        <v>102060203</v>
      </c>
      <c r="G182" s="73">
        <v>4</v>
      </c>
      <c r="H182" s="5" t="s">
        <v>642</v>
      </c>
      <c r="I182" s="5"/>
    </row>
    <row r="183" spans="1:9">
      <c r="A183" s="5" t="str">
        <f t="shared" si="1"/>
        <v>102060205</v>
      </c>
      <c r="B183" s="58">
        <v>54000110</v>
      </c>
      <c r="C183" s="5" t="s">
        <v>582</v>
      </c>
      <c r="D183" s="5" t="s">
        <v>1784</v>
      </c>
      <c r="E183" s="73">
        <v>1020602</v>
      </c>
      <c r="F183" s="73"/>
      <c r="G183" s="73">
        <v>5</v>
      </c>
      <c r="H183" s="5" t="s">
        <v>643</v>
      </c>
      <c r="I183" s="5"/>
    </row>
    <row r="184" spans="1:9">
      <c r="A184" s="5" t="str">
        <f t="shared" si="1"/>
        <v>102060206</v>
      </c>
      <c r="B184" s="58">
        <v>53000410</v>
      </c>
      <c r="C184" s="5" t="s">
        <v>451</v>
      </c>
      <c r="D184" s="5" t="s">
        <v>1784</v>
      </c>
      <c r="E184" s="73">
        <v>1020602</v>
      </c>
      <c r="F184" s="73">
        <v>102060205</v>
      </c>
      <c r="G184" s="73">
        <v>6</v>
      </c>
      <c r="H184" s="5" t="s">
        <v>644</v>
      </c>
      <c r="I184" s="5"/>
    </row>
    <row r="185" spans="1:9">
      <c r="A185" s="5" t="str">
        <f t="shared" si="1"/>
        <v>102060207</v>
      </c>
      <c r="B185" s="58">
        <v>73000210</v>
      </c>
      <c r="C185" s="5" t="s">
        <v>638</v>
      </c>
      <c r="D185" s="5" t="s">
        <v>1784</v>
      </c>
      <c r="E185" s="73">
        <v>1020602</v>
      </c>
      <c r="F185" s="73">
        <v>102060205</v>
      </c>
      <c r="G185" s="73">
        <v>7</v>
      </c>
      <c r="H185" s="5" t="s">
        <v>645</v>
      </c>
      <c r="I185" s="5"/>
    </row>
    <row r="186" spans="1:9">
      <c r="A186" s="5" t="str">
        <f t="shared" si="1"/>
        <v>102060208</v>
      </c>
      <c r="B186" s="58">
        <v>54000110</v>
      </c>
      <c r="C186" s="5" t="s">
        <v>646</v>
      </c>
      <c r="D186" s="5" t="s">
        <v>1784</v>
      </c>
      <c r="E186" s="73">
        <v>1020602</v>
      </c>
      <c r="F186" s="73">
        <v>102060205</v>
      </c>
      <c r="G186" s="73">
        <v>8</v>
      </c>
      <c r="H186" s="5" t="s">
        <v>647</v>
      </c>
      <c r="I186" s="5"/>
    </row>
    <row r="187" spans="1:9">
      <c r="A187" s="5" t="str">
        <f t="shared" si="1"/>
        <v>102060209</v>
      </c>
      <c r="B187" s="58">
        <v>73000210</v>
      </c>
      <c r="C187" s="5" t="s">
        <v>648</v>
      </c>
      <c r="D187" s="5" t="s">
        <v>1784</v>
      </c>
      <c r="E187" s="73">
        <v>1020602</v>
      </c>
      <c r="F187" s="73">
        <v>102060205</v>
      </c>
      <c r="G187" s="73">
        <v>9</v>
      </c>
      <c r="H187" s="5" t="s">
        <v>649</v>
      </c>
      <c r="I187" s="5"/>
    </row>
    <row r="188" spans="1:9">
      <c r="A188" s="5" t="str">
        <f t="shared" si="1"/>
        <v>102060301</v>
      </c>
      <c r="B188" s="58">
        <v>93000510</v>
      </c>
      <c r="C188" s="5" t="s">
        <v>469</v>
      </c>
      <c r="D188" s="5" t="s">
        <v>1785</v>
      </c>
      <c r="E188" s="73">
        <v>1020603</v>
      </c>
      <c r="F188" s="73"/>
      <c r="G188" s="73">
        <v>1</v>
      </c>
      <c r="H188" s="5" t="s">
        <v>650</v>
      </c>
      <c r="I188" s="5"/>
    </row>
    <row r="189" spans="1:9">
      <c r="A189" s="5" t="str">
        <f t="shared" si="1"/>
        <v>102060302</v>
      </c>
      <c r="B189" s="97">
        <v>92000210</v>
      </c>
      <c r="C189" s="96" t="s">
        <v>598</v>
      </c>
      <c r="D189" s="5" t="s">
        <v>1785</v>
      </c>
      <c r="E189" s="73">
        <v>1020603</v>
      </c>
      <c r="F189" s="73"/>
      <c r="G189" s="73">
        <v>2</v>
      </c>
      <c r="H189" s="5" t="s">
        <v>651</v>
      </c>
      <c r="I189" s="5"/>
    </row>
    <row r="190" spans="1:9">
      <c r="A190" s="5" t="str">
        <f t="shared" si="1"/>
        <v>102060303</v>
      </c>
      <c r="B190" s="97">
        <v>71000110</v>
      </c>
      <c r="C190" s="96" t="s">
        <v>2006</v>
      </c>
      <c r="D190" s="5" t="s">
        <v>1785</v>
      </c>
      <c r="E190" s="73">
        <v>1020603</v>
      </c>
      <c r="F190" s="73">
        <v>102060302</v>
      </c>
      <c r="G190" s="73">
        <v>3</v>
      </c>
      <c r="H190" s="5" t="s">
        <v>652</v>
      </c>
      <c r="I190" s="5"/>
    </row>
    <row r="191" spans="1:9">
      <c r="A191" s="5" t="str">
        <f t="shared" si="1"/>
        <v>102060304</v>
      </c>
      <c r="B191" s="97">
        <v>54000110</v>
      </c>
      <c r="C191" s="96" t="s">
        <v>582</v>
      </c>
      <c r="D191" s="5" t="s">
        <v>1785</v>
      </c>
      <c r="E191" s="73">
        <v>1020603</v>
      </c>
      <c r="F191" s="73"/>
      <c r="G191" s="73">
        <v>4</v>
      </c>
      <c r="H191" s="5" t="s">
        <v>653</v>
      </c>
      <c r="I191" s="5"/>
    </row>
    <row r="192" spans="1:9">
      <c r="A192" s="96" t="str">
        <f t="shared" ref="A192" si="2">(E192*10)&amp;G192</f>
        <v>102060305</v>
      </c>
      <c r="B192" s="97">
        <v>53000310</v>
      </c>
      <c r="C192" s="96" t="s">
        <v>517</v>
      </c>
      <c r="D192" s="96" t="s">
        <v>2008</v>
      </c>
      <c r="E192" s="95">
        <v>1020603</v>
      </c>
      <c r="F192" s="95">
        <v>102060304</v>
      </c>
      <c r="G192" s="95">
        <v>5</v>
      </c>
      <c r="H192" s="96" t="s">
        <v>2007</v>
      </c>
      <c r="I192" s="96"/>
    </row>
    <row r="193" spans="1:9">
      <c r="A193" s="101" t="str">
        <f t="shared" si="1"/>
        <v>102070101</v>
      </c>
      <c r="B193" s="100">
        <v>93000510</v>
      </c>
      <c r="C193" s="101" t="s">
        <v>469</v>
      </c>
      <c r="D193" s="101" t="s">
        <v>1786</v>
      </c>
      <c r="E193" s="102">
        <v>1020701</v>
      </c>
      <c r="F193" s="102"/>
      <c r="G193" s="102">
        <v>1</v>
      </c>
      <c r="H193" s="101" t="s">
        <v>654</v>
      </c>
      <c r="I193" s="101"/>
    </row>
    <row r="194" spans="1:9">
      <c r="A194" s="5" t="str">
        <f t="shared" si="1"/>
        <v>102070102</v>
      </c>
      <c r="B194" s="58">
        <v>92000210</v>
      </c>
      <c r="C194" s="5" t="s">
        <v>598</v>
      </c>
      <c r="D194" s="5" t="s">
        <v>1786</v>
      </c>
      <c r="E194" s="73">
        <v>1020701</v>
      </c>
      <c r="F194" s="73">
        <v>102070101</v>
      </c>
      <c r="G194" s="73">
        <v>2</v>
      </c>
      <c r="H194" s="5" t="s">
        <v>655</v>
      </c>
      <c r="I194" s="5"/>
    </row>
    <row r="195" spans="1:9">
      <c r="A195" s="5" t="str">
        <f t="shared" si="1"/>
        <v>102070103</v>
      </c>
      <c r="B195" s="58">
        <v>71000310</v>
      </c>
      <c r="C195" s="5" t="s">
        <v>656</v>
      </c>
      <c r="D195" s="5" t="s">
        <v>1786</v>
      </c>
      <c r="E195" s="73">
        <v>1020701</v>
      </c>
      <c r="F195" s="73"/>
      <c r="G195" s="73">
        <v>3</v>
      </c>
      <c r="H195" s="5" t="s">
        <v>657</v>
      </c>
      <c r="I195" s="5"/>
    </row>
    <row r="196" spans="1:9">
      <c r="A196" s="5" t="str">
        <f t="shared" si="1"/>
        <v>102070104</v>
      </c>
      <c r="B196" s="58">
        <v>73000310</v>
      </c>
      <c r="C196" s="5" t="s">
        <v>613</v>
      </c>
      <c r="D196" s="5" t="s">
        <v>1786</v>
      </c>
      <c r="E196" s="73">
        <v>1020701</v>
      </c>
      <c r="F196" s="73">
        <v>102070103</v>
      </c>
      <c r="G196" s="73">
        <v>4</v>
      </c>
      <c r="H196" s="5" t="s">
        <v>658</v>
      </c>
      <c r="I196" s="5"/>
    </row>
    <row r="197" spans="1:9">
      <c r="A197" s="5" t="str">
        <f t="shared" si="1"/>
        <v>102070105</v>
      </c>
      <c r="B197" s="58">
        <v>92000210</v>
      </c>
      <c r="C197" s="5" t="s">
        <v>598</v>
      </c>
      <c r="D197" s="5" t="s">
        <v>1786</v>
      </c>
      <c r="E197" s="73">
        <v>1020701</v>
      </c>
      <c r="F197" s="73">
        <v>102070103</v>
      </c>
      <c r="G197" s="73">
        <v>5</v>
      </c>
      <c r="H197" s="5" t="s">
        <v>659</v>
      </c>
      <c r="I197" s="5"/>
    </row>
    <row r="198" spans="1:9">
      <c r="A198" s="5" t="str">
        <f t="shared" si="1"/>
        <v>102070106</v>
      </c>
      <c r="B198" s="58">
        <v>71000310</v>
      </c>
      <c r="C198" s="5" t="s">
        <v>656</v>
      </c>
      <c r="D198" s="5" t="s">
        <v>1786</v>
      </c>
      <c r="E198" s="73">
        <v>1020701</v>
      </c>
      <c r="F198" s="73">
        <v>102070103</v>
      </c>
      <c r="G198" s="73">
        <v>6</v>
      </c>
      <c r="H198" s="5" t="s">
        <v>660</v>
      </c>
      <c r="I198" s="5"/>
    </row>
    <row r="199" spans="1:9">
      <c r="A199" s="5" t="str">
        <f t="shared" si="1"/>
        <v>102070107</v>
      </c>
      <c r="B199" s="97">
        <v>72000510</v>
      </c>
      <c r="C199" s="96" t="s">
        <v>529</v>
      </c>
      <c r="D199" s="5" t="s">
        <v>1786</v>
      </c>
      <c r="E199" s="73">
        <v>1020701</v>
      </c>
      <c r="F199" s="73"/>
      <c r="G199" s="73">
        <v>7</v>
      </c>
      <c r="H199" s="5" t="s">
        <v>661</v>
      </c>
      <c r="I199" s="5"/>
    </row>
    <row r="200" spans="1:9">
      <c r="A200" s="5" t="str">
        <f t="shared" si="1"/>
        <v>102070108</v>
      </c>
      <c r="B200" s="97">
        <v>94000210</v>
      </c>
      <c r="C200" s="96" t="s">
        <v>2009</v>
      </c>
      <c r="D200" s="5" t="s">
        <v>1786</v>
      </c>
      <c r="E200" s="73">
        <v>1020701</v>
      </c>
      <c r="F200" s="73">
        <v>102070107</v>
      </c>
      <c r="G200" s="73">
        <v>8</v>
      </c>
      <c r="H200" s="5" t="s">
        <v>662</v>
      </c>
      <c r="I200" s="5"/>
    </row>
    <row r="201" spans="1:9">
      <c r="A201" s="5" t="str">
        <f t="shared" si="1"/>
        <v>102070109</v>
      </c>
      <c r="B201" s="97">
        <v>72000510</v>
      </c>
      <c r="C201" s="96" t="s">
        <v>529</v>
      </c>
      <c r="D201" s="5" t="s">
        <v>1786</v>
      </c>
      <c r="E201" s="73">
        <v>1020701</v>
      </c>
      <c r="F201" s="73">
        <v>102070107</v>
      </c>
      <c r="G201" s="73">
        <v>9</v>
      </c>
      <c r="H201" s="5" t="s">
        <v>663</v>
      </c>
      <c r="I201" s="5"/>
    </row>
    <row r="202" spans="1:9">
      <c r="A202" s="5" t="str">
        <f t="shared" si="1"/>
        <v>102070201</v>
      </c>
      <c r="B202" s="100">
        <v>73000310</v>
      </c>
      <c r="C202" s="101" t="s">
        <v>664</v>
      </c>
      <c r="D202" s="5" t="s">
        <v>1787</v>
      </c>
      <c r="E202" s="73">
        <v>1020702</v>
      </c>
      <c r="F202" s="73"/>
      <c r="G202" s="73">
        <v>1</v>
      </c>
      <c r="H202" s="5" t="s">
        <v>665</v>
      </c>
      <c r="I202" s="5"/>
    </row>
    <row r="203" spans="1:9">
      <c r="A203" s="5" t="str">
        <f t="shared" si="1"/>
        <v>102070202</v>
      </c>
      <c r="B203" s="58">
        <v>72000710</v>
      </c>
      <c r="C203" s="5" t="s">
        <v>666</v>
      </c>
      <c r="D203" s="5" t="s">
        <v>1787</v>
      </c>
      <c r="E203" s="73">
        <v>1020702</v>
      </c>
      <c r="F203" s="73">
        <v>102070201</v>
      </c>
      <c r="G203" s="73">
        <v>2</v>
      </c>
      <c r="H203" s="5" t="s">
        <v>667</v>
      </c>
      <c r="I203" s="5"/>
    </row>
    <row r="204" spans="1:9">
      <c r="A204" s="5" t="str">
        <f t="shared" ref="A204:A270" si="3">(E204*10)&amp;G204</f>
        <v>102070203</v>
      </c>
      <c r="B204" s="58">
        <v>72000110</v>
      </c>
      <c r="C204" s="5" t="s">
        <v>489</v>
      </c>
      <c r="D204" s="5" t="s">
        <v>1787</v>
      </c>
      <c r="E204" s="73">
        <v>1020702</v>
      </c>
      <c r="F204" s="73"/>
      <c r="G204" s="73">
        <v>3</v>
      </c>
      <c r="H204" s="5" t="s">
        <v>668</v>
      </c>
      <c r="I204" s="5"/>
    </row>
    <row r="205" spans="1:9">
      <c r="A205" s="5" t="str">
        <f t="shared" si="3"/>
        <v>102070204</v>
      </c>
      <c r="B205" s="58">
        <v>94000210</v>
      </c>
      <c r="C205" s="5" t="s">
        <v>567</v>
      </c>
      <c r="D205" s="5" t="s">
        <v>1787</v>
      </c>
      <c r="E205" s="73">
        <v>1020702</v>
      </c>
      <c r="F205" s="73">
        <v>102070203</v>
      </c>
      <c r="G205" s="73">
        <v>4</v>
      </c>
      <c r="H205" s="5" t="s">
        <v>669</v>
      </c>
      <c r="I205" s="5"/>
    </row>
    <row r="206" spans="1:9">
      <c r="A206" s="5" t="str">
        <f t="shared" si="3"/>
        <v>102070205</v>
      </c>
      <c r="B206" s="58">
        <v>94000210</v>
      </c>
      <c r="C206" s="5" t="s">
        <v>567</v>
      </c>
      <c r="D206" s="5" t="s">
        <v>1787</v>
      </c>
      <c r="E206" s="73">
        <v>1020702</v>
      </c>
      <c r="F206" s="73">
        <v>102070203</v>
      </c>
      <c r="G206" s="73">
        <v>5</v>
      </c>
      <c r="H206" s="5" t="s">
        <v>670</v>
      </c>
      <c r="I206" s="5"/>
    </row>
    <row r="207" spans="1:9">
      <c r="A207" s="5" t="str">
        <f t="shared" si="3"/>
        <v>102070206</v>
      </c>
      <c r="B207" s="58">
        <v>94000210</v>
      </c>
      <c r="C207" s="5" t="s">
        <v>531</v>
      </c>
      <c r="D207" s="5" t="s">
        <v>1787</v>
      </c>
      <c r="E207" s="73">
        <v>1020702</v>
      </c>
      <c r="F207" s="73">
        <v>102070203</v>
      </c>
      <c r="G207" s="73">
        <v>6</v>
      </c>
      <c r="H207" s="5" t="s">
        <v>671</v>
      </c>
      <c r="I207" s="5"/>
    </row>
    <row r="208" spans="1:9">
      <c r="A208" s="5" t="str">
        <f t="shared" si="3"/>
        <v>102070207</v>
      </c>
      <c r="B208" s="97">
        <v>72000510</v>
      </c>
      <c r="C208" s="96" t="s">
        <v>2010</v>
      </c>
      <c r="D208" s="5" t="s">
        <v>1787</v>
      </c>
      <c r="E208" s="73">
        <v>1020702</v>
      </c>
      <c r="F208" s="73">
        <v>102070203</v>
      </c>
      <c r="G208" s="73">
        <v>7</v>
      </c>
      <c r="H208" s="5" t="s">
        <v>672</v>
      </c>
      <c r="I208" s="5"/>
    </row>
    <row r="209" spans="1:9">
      <c r="A209" s="5" t="str">
        <f t="shared" si="3"/>
        <v>102070208</v>
      </c>
      <c r="B209" s="58">
        <v>94000210</v>
      </c>
      <c r="C209" s="5" t="s">
        <v>531</v>
      </c>
      <c r="D209" s="5" t="s">
        <v>1787</v>
      </c>
      <c r="E209" s="73">
        <v>1020702</v>
      </c>
      <c r="F209" s="73">
        <v>102070203</v>
      </c>
      <c r="G209" s="73">
        <v>8</v>
      </c>
      <c r="H209" s="5" t="s">
        <v>673</v>
      </c>
      <c r="I209" s="5"/>
    </row>
    <row r="210" spans="1:9">
      <c r="A210" s="5" t="str">
        <f t="shared" si="3"/>
        <v>102070209</v>
      </c>
      <c r="B210" s="58">
        <v>91000210</v>
      </c>
      <c r="C210" s="5" t="s">
        <v>574</v>
      </c>
      <c r="D210" s="5" t="s">
        <v>1787</v>
      </c>
      <c r="E210" s="73">
        <v>1020702</v>
      </c>
      <c r="F210" s="73"/>
      <c r="G210" s="73">
        <v>9</v>
      </c>
      <c r="H210" s="5" t="s">
        <v>674</v>
      </c>
      <c r="I210" s="5"/>
    </row>
    <row r="211" spans="1:9">
      <c r="A211" s="5" t="str">
        <f t="shared" si="3"/>
        <v>102080101</v>
      </c>
      <c r="B211" s="58">
        <v>52000410</v>
      </c>
      <c r="C211" s="5" t="s">
        <v>625</v>
      </c>
      <c r="D211" s="5" t="s">
        <v>1788</v>
      </c>
      <c r="E211" s="73">
        <v>1020801</v>
      </c>
      <c r="F211" s="73"/>
      <c r="G211" s="73">
        <v>1</v>
      </c>
      <c r="H211" s="5" t="s">
        <v>1371</v>
      </c>
      <c r="I211" s="5"/>
    </row>
    <row r="212" spans="1:9">
      <c r="A212" s="5" t="str">
        <f t="shared" si="3"/>
        <v>102080102</v>
      </c>
      <c r="B212" s="58">
        <v>92000310</v>
      </c>
      <c r="C212" s="5" t="s">
        <v>561</v>
      </c>
      <c r="D212" s="5" t="s">
        <v>1788</v>
      </c>
      <c r="E212" s="73">
        <v>1020801</v>
      </c>
      <c r="F212" s="73">
        <v>102080101</v>
      </c>
      <c r="G212" s="73">
        <v>2</v>
      </c>
      <c r="H212" s="5" t="s">
        <v>1330</v>
      </c>
      <c r="I212" s="5"/>
    </row>
    <row r="213" spans="1:9">
      <c r="A213" s="5" t="str">
        <f t="shared" si="3"/>
        <v>102080103</v>
      </c>
      <c r="B213" s="58">
        <v>52000410</v>
      </c>
      <c r="C213" s="5" t="s">
        <v>625</v>
      </c>
      <c r="D213" s="5" t="s">
        <v>1788</v>
      </c>
      <c r="E213" s="73">
        <v>1020801</v>
      </c>
      <c r="F213" s="73">
        <v>102080101</v>
      </c>
      <c r="G213" s="73">
        <v>3</v>
      </c>
      <c r="H213" s="5" t="s">
        <v>1331</v>
      </c>
      <c r="I213" s="5"/>
    </row>
    <row r="214" spans="1:9">
      <c r="A214" s="5" t="str">
        <f t="shared" si="3"/>
        <v>102080104</v>
      </c>
      <c r="B214" s="58">
        <v>72000710</v>
      </c>
      <c r="C214" s="5" t="s">
        <v>611</v>
      </c>
      <c r="D214" s="5" t="s">
        <v>1788</v>
      </c>
      <c r="E214" s="73">
        <v>1020801</v>
      </c>
      <c r="F214" s="73"/>
      <c r="G214" s="73">
        <v>4</v>
      </c>
      <c r="H214" s="5" t="s">
        <v>1372</v>
      </c>
      <c r="I214" s="5"/>
    </row>
    <row r="215" spans="1:9">
      <c r="A215" s="5" t="str">
        <f t="shared" si="3"/>
        <v>102080105</v>
      </c>
      <c r="B215" s="58">
        <v>92000310</v>
      </c>
      <c r="C215" s="5" t="s">
        <v>561</v>
      </c>
      <c r="D215" s="5" t="s">
        <v>1788</v>
      </c>
      <c r="E215" s="73">
        <v>1020801</v>
      </c>
      <c r="F215" s="73">
        <v>102080104</v>
      </c>
      <c r="G215" s="73">
        <v>5</v>
      </c>
      <c r="H215" s="5" t="s">
        <v>1332</v>
      </c>
      <c r="I215" s="5"/>
    </row>
    <row r="216" spans="1:9">
      <c r="A216" s="5" t="str">
        <f t="shared" si="3"/>
        <v>102080106</v>
      </c>
      <c r="B216" s="58">
        <v>53000410</v>
      </c>
      <c r="C216" s="5" t="s">
        <v>451</v>
      </c>
      <c r="D216" s="5" t="s">
        <v>1788</v>
      </c>
      <c r="E216" s="73">
        <v>1020801</v>
      </c>
      <c r="F216" s="73"/>
      <c r="G216" s="73">
        <v>6</v>
      </c>
      <c r="H216" s="5" t="s">
        <v>1333</v>
      </c>
      <c r="I216" s="5"/>
    </row>
    <row r="217" spans="1:9">
      <c r="A217" s="5" t="str">
        <f t="shared" si="3"/>
        <v>102080107</v>
      </c>
      <c r="B217" s="58">
        <v>54000110</v>
      </c>
      <c r="C217" s="5" t="s">
        <v>582</v>
      </c>
      <c r="D217" s="5" t="s">
        <v>1788</v>
      </c>
      <c r="E217" s="73">
        <v>1020801</v>
      </c>
      <c r="F217" s="73">
        <v>102080106</v>
      </c>
      <c r="G217" s="73">
        <v>7</v>
      </c>
      <c r="H217" s="5" t="s">
        <v>1373</v>
      </c>
      <c r="I217" s="5"/>
    </row>
    <row r="218" spans="1:9">
      <c r="A218" s="5" t="str">
        <f t="shared" si="3"/>
        <v>102080108</v>
      </c>
      <c r="B218" s="58">
        <v>53000410</v>
      </c>
      <c r="C218" s="5" t="s">
        <v>451</v>
      </c>
      <c r="D218" s="5" t="s">
        <v>1788</v>
      </c>
      <c r="E218" s="73">
        <v>1020801</v>
      </c>
      <c r="F218" s="73">
        <v>102080106</v>
      </c>
      <c r="G218" s="73">
        <v>8</v>
      </c>
      <c r="H218" s="5" t="s">
        <v>1334</v>
      </c>
      <c r="I218" s="5"/>
    </row>
    <row r="219" spans="1:9">
      <c r="A219" s="5" t="str">
        <f t="shared" si="3"/>
        <v>102080109</v>
      </c>
      <c r="B219" s="58">
        <v>92000310</v>
      </c>
      <c r="C219" s="5" t="s">
        <v>561</v>
      </c>
      <c r="D219" s="5" t="s">
        <v>1788</v>
      </c>
      <c r="E219" s="73">
        <v>1020801</v>
      </c>
      <c r="F219" s="73">
        <v>102080106</v>
      </c>
      <c r="G219" s="73">
        <v>9</v>
      </c>
      <c r="H219" s="5" t="s">
        <v>1335</v>
      </c>
      <c r="I219" s="5"/>
    </row>
    <row r="220" spans="1:9">
      <c r="A220" s="5" t="str">
        <f t="shared" si="3"/>
        <v>102080201</v>
      </c>
      <c r="B220" s="58">
        <v>71000210</v>
      </c>
      <c r="C220" s="5" t="s">
        <v>544</v>
      </c>
      <c r="D220" s="5" t="s">
        <v>1789</v>
      </c>
      <c r="E220" s="73">
        <v>1020802</v>
      </c>
      <c r="F220" s="73"/>
      <c r="G220" s="73">
        <v>1</v>
      </c>
      <c r="H220" s="5" t="s">
        <v>675</v>
      </c>
      <c r="I220" s="5"/>
    </row>
    <row r="221" spans="1:9">
      <c r="A221" s="5" t="str">
        <f t="shared" si="3"/>
        <v>102080202</v>
      </c>
      <c r="B221" s="58">
        <v>53000310</v>
      </c>
      <c r="C221" s="5" t="s">
        <v>517</v>
      </c>
      <c r="D221" s="5" t="s">
        <v>1789</v>
      </c>
      <c r="E221" s="73">
        <v>1020802</v>
      </c>
      <c r="F221" s="73">
        <v>102080201</v>
      </c>
      <c r="G221" s="73">
        <v>2</v>
      </c>
      <c r="H221" s="5" t="s">
        <v>676</v>
      </c>
      <c r="I221" s="5"/>
    </row>
    <row r="222" spans="1:9">
      <c r="A222" s="5" t="str">
        <f t="shared" si="3"/>
        <v>102080203</v>
      </c>
      <c r="B222" s="58">
        <v>31000110</v>
      </c>
      <c r="C222" s="5" t="s">
        <v>447</v>
      </c>
      <c r="D222" s="5" t="s">
        <v>1789</v>
      </c>
      <c r="E222" s="73">
        <v>1020802</v>
      </c>
      <c r="F222" s="73">
        <v>102080201</v>
      </c>
      <c r="G222" s="73">
        <v>3</v>
      </c>
      <c r="H222" s="5" t="s">
        <v>677</v>
      </c>
      <c r="I222" s="5"/>
    </row>
    <row r="223" spans="1:9">
      <c r="A223" s="5" t="str">
        <f t="shared" si="3"/>
        <v>102080204</v>
      </c>
      <c r="B223" s="58">
        <v>53000310</v>
      </c>
      <c r="C223" s="5" t="s">
        <v>517</v>
      </c>
      <c r="D223" s="5" t="s">
        <v>1789</v>
      </c>
      <c r="E223" s="73">
        <v>1020802</v>
      </c>
      <c r="F223" s="73">
        <v>102080201</v>
      </c>
      <c r="G223" s="73">
        <v>4</v>
      </c>
      <c r="H223" s="5" t="s">
        <v>678</v>
      </c>
      <c r="I223" s="5"/>
    </row>
    <row r="224" spans="1:9">
      <c r="A224" s="96" t="str">
        <f t="shared" si="3"/>
        <v>102080205</v>
      </c>
      <c r="B224" s="58">
        <v>73000310</v>
      </c>
      <c r="C224" s="5" t="s">
        <v>613</v>
      </c>
      <c r="D224" s="5" t="s">
        <v>1789</v>
      </c>
      <c r="E224" s="73">
        <v>1020802</v>
      </c>
      <c r="F224" s="73"/>
      <c r="G224" s="95">
        <v>5</v>
      </c>
      <c r="H224" s="5" t="s">
        <v>679</v>
      </c>
      <c r="I224" s="5"/>
    </row>
    <row r="225" spans="1:9">
      <c r="A225" s="96" t="str">
        <f t="shared" si="3"/>
        <v>102080206</v>
      </c>
      <c r="B225" s="58">
        <v>53000310</v>
      </c>
      <c r="C225" s="5" t="s">
        <v>517</v>
      </c>
      <c r="D225" s="5" t="s">
        <v>1789</v>
      </c>
      <c r="E225" s="73">
        <v>1020802</v>
      </c>
      <c r="F225" s="95">
        <v>102080205</v>
      </c>
      <c r="G225" s="95">
        <v>6</v>
      </c>
      <c r="H225" s="5" t="s">
        <v>680</v>
      </c>
      <c r="I225" s="5"/>
    </row>
    <row r="226" spans="1:9">
      <c r="A226" s="96" t="str">
        <f t="shared" si="3"/>
        <v>102080207</v>
      </c>
      <c r="B226" s="58">
        <v>73000310</v>
      </c>
      <c r="C226" s="5" t="s">
        <v>613</v>
      </c>
      <c r="D226" s="5" t="s">
        <v>1789</v>
      </c>
      <c r="E226" s="73">
        <v>1020802</v>
      </c>
      <c r="F226" s="95">
        <v>102080205</v>
      </c>
      <c r="G226" s="95">
        <v>7</v>
      </c>
      <c r="H226" s="5" t="s">
        <v>681</v>
      </c>
      <c r="I226" s="5"/>
    </row>
    <row r="227" spans="1:9">
      <c r="A227" s="5" t="str">
        <f t="shared" si="3"/>
        <v>102090101</v>
      </c>
      <c r="B227" s="58">
        <v>72000110</v>
      </c>
      <c r="C227" s="5" t="s">
        <v>489</v>
      </c>
      <c r="D227" s="5" t="s">
        <v>1790</v>
      </c>
      <c r="E227" s="73">
        <v>1020901</v>
      </c>
      <c r="F227" s="102"/>
      <c r="G227" s="102">
        <v>1</v>
      </c>
      <c r="H227" s="5" t="s">
        <v>682</v>
      </c>
      <c r="I227" s="5"/>
    </row>
    <row r="228" spans="1:9">
      <c r="A228" s="5" t="str">
        <f t="shared" si="3"/>
        <v>102090102</v>
      </c>
      <c r="B228" s="58">
        <v>73000310</v>
      </c>
      <c r="C228" s="5" t="s">
        <v>613</v>
      </c>
      <c r="D228" s="5" t="s">
        <v>1790</v>
      </c>
      <c r="E228" s="73">
        <v>1020901</v>
      </c>
      <c r="F228" s="73">
        <v>102090101</v>
      </c>
      <c r="G228" s="73">
        <v>2</v>
      </c>
      <c r="H228" s="5" t="s">
        <v>683</v>
      </c>
      <c r="I228" s="5"/>
    </row>
    <row r="229" spans="1:9">
      <c r="A229" s="5" t="str">
        <f t="shared" si="3"/>
        <v>102090103</v>
      </c>
      <c r="B229" s="58">
        <v>71000310</v>
      </c>
      <c r="C229" s="5" t="s">
        <v>656</v>
      </c>
      <c r="D229" s="5" t="s">
        <v>1790</v>
      </c>
      <c r="E229" s="73">
        <v>1020901</v>
      </c>
      <c r="F229" s="73">
        <v>102090101</v>
      </c>
      <c r="G229" s="73">
        <v>3</v>
      </c>
      <c r="H229" s="5" t="s">
        <v>684</v>
      </c>
      <c r="I229" s="5"/>
    </row>
    <row r="230" spans="1:9">
      <c r="A230" s="5" t="str">
        <f t="shared" si="3"/>
        <v>102090104</v>
      </c>
      <c r="B230" s="58">
        <v>91000210</v>
      </c>
      <c r="C230" s="5" t="s">
        <v>564</v>
      </c>
      <c r="D230" s="5" t="s">
        <v>1790</v>
      </c>
      <c r="E230" s="73">
        <v>1020901</v>
      </c>
      <c r="F230" s="73"/>
      <c r="G230" s="73">
        <v>4</v>
      </c>
      <c r="H230" s="5" t="s">
        <v>685</v>
      </c>
      <c r="I230" s="5"/>
    </row>
    <row r="231" spans="1:9">
      <c r="A231" s="5" t="str">
        <f t="shared" si="3"/>
        <v>102090105</v>
      </c>
      <c r="B231" s="97">
        <v>74000110</v>
      </c>
      <c r="C231" s="96" t="s">
        <v>2011</v>
      </c>
      <c r="D231" s="5" t="s">
        <v>1790</v>
      </c>
      <c r="E231" s="73">
        <v>1020901</v>
      </c>
      <c r="F231" s="73">
        <v>102090104</v>
      </c>
      <c r="G231" s="73">
        <v>5</v>
      </c>
      <c r="H231" s="5" t="s">
        <v>686</v>
      </c>
      <c r="I231" s="5"/>
    </row>
    <row r="232" spans="1:9">
      <c r="A232" s="5" t="str">
        <f t="shared" si="3"/>
        <v>102090106</v>
      </c>
      <c r="B232" s="58">
        <v>32000110</v>
      </c>
      <c r="C232" s="5" t="s">
        <v>687</v>
      </c>
      <c r="D232" s="5" t="s">
        <v>1790</v>
      </c>
      <c r="E232" s="73">
        <v>1020901</v>
      </c>
      <c r="F232" s="73">
        <v>102090104</v>
      </c>
      <c r="G232" s="73">
        <v>6</v>
      </c>
      <c r="H232" s="5" t="s">
        <v>688</v>
      </c>
      <c r="I232" s="5"/>
    </row>
    <row r="233" spans="1:9">
      <c r="A233" s="5" t="str">
        <f t="shared" si="3"/>
        <v>102090107</v>
      </c>
      <c r="B233" s="58">
        <v>91000210</v>
      </c>
      <c r="C233" s="5" t="s">
        <v>564</v>
      </c>
      <c r="D233" s="5" t="s">
        <v>1790</v>
      </c>
      <c r="E233" s="73">
        <v>1020901</v>
      </c>
      <c r="F233" s="73">
        <v>102090104</v>
      </c>
      <c r="G233" s="73">
        <v>7</v>
      </c>
      <c r="H233" s="5" t="s">
        <v>689</v>
      </c>
      <c r="I233" s="5"/>
    </row>
    <row r="234" spans="1:9">
      <c r="A234" s="5" t="str">
        <f t="shared" si="3"/>
        <v>102090108</v>
      </c>
      <c r="B234" s="58">
        <v>32000110</v>
      </c>
      <c r="C234" s="5" t="s">
        <v>687</v>
      </c>
      <c r="D234" s="5" t="s">
        <v>1790</v>
      </c>
      <c r="E234" s="73">
        <v>1020901</v>
      </c>
      <c r="F234" s="73">
        <v>102090104</v>
      </c>
      <c r="G234" s="73">
        <v>8</v>
      </c>
      <c r="H234" s="5" t="s">
        <v>690</v>
      </c>
      <c r="I234" s="5"/>
    </row>
    <row r="235" spans="1:9">
      <c r="A235" s="5" t="str">
        <f t="shared" si="3"/>
        <v>102090201</v>
      </c>
      <c r="B235" s="58">
        <v>94000310</v>
      </c>
      <c r="C235" s="5" t="s">
        <v>549</v>
      </c>
      <c r="D235" s="5" t="s">
        <v>1791</v>
      </c>
      <c r="E235" s="73">
        <v>1020902</v>
      </c>
      <c r="F235" s="73"/>
      <c r="G235" s="73">
        <v>1</v>
      </c>
      <c r="H235" s="5" t="s">
        <v>691</v>
      </c>
      <c r="I235" s="5"/>
    </row>
    <row r="236" spans="1:9">
      <c r="A236" s="5" t="str">
        <f t="shared" si="3"/>
        <v>102090202</v>
      </c>
      <c r="B236" s="58">
        <v>72000410</v>
      </c>
      <c r="C236" s="5" t="s">
        <v>592</v>
      </c>
      <c r="D236" s="5" t="s">
        <v>1791</v>
      </c>
      <c r="E236" s="73">
        <v>1020902</v>
      </c>
      <c r="F236" s="73"/>
      <c r="G236" s="73">
        <v>2</v>
      </c>
      <c r="H236" s="5" t="s">
        <v>692</v>
      </c>
      <c r="I236" s="5"/>
    </row>
    <row r="237" spans="1:9">
      <c r="A237" s="5" t="str">
        <f t="shared" si="3"/>
        <v>102090203</v>
      </c>
      <c r="B237" s="58">
        <v>71000210</v>
      </c>
      <c r="C237" s="5" t="s">
        <v>543</v>
      </c>
      <c r="D237" s="5" t="s">
        <v>1791</v>
      </c>
      <c r="E237" s="73">
        <v>1020902</v>
      </c>
      <c r="F237" s="73"/>
      <c r="G237" s="73">
        <v>3</v>
      </c>
      <c r="H237" s="5" t="s">
        <v>693</v>
      </c>
      <c r="I237" s="5"/>
    </row>
    <row r="238" spans="1:9">
      <c r="A238" s="5" t="str">
        <f t="shared" si="3"/>
        <v>102090204</v>
      </c>
      <c r="B238" s="98">
        <v>32000210</v>
      </c>
      <c r="C238" s="99" t="s">
        <v>512</v>
      </c>
      <c r="D238" s="5" t="s">
        <v>1791</v>
      </c>
      <c r="E238" s="73">
        <v>1020902</v>
      </c>
      <c r="F238" s="73"/>
      <c r="G238" s="73">
        <v>4</v>
      </c>
      <c r="H238" s="5" t="s">
        <v>694</v>
      </c>
      <c r="I238" s="5"/>
    </row>
    <row r="239" spans="1:9">
      <c r="A239" s="5" t="str">
        <f t="shared" si="3"/>
        <v>102100101</v>
      </c>
      <c r="B239" s="97">
        <v>72000310</v>
      </c>
      <c r="C239" s="96" t="s">
        <v>515</v>
      </c>
      <c r="D239" s="5" t="s">
        <v>1792</v>
      </c>
      <c r="E239" s="73">
        <v>1021001</v>
      </c>
      <c r="F239" s="73"/>
      <c r="G239" s="73">
        <v>1</v>
      </c>
      <c r="H239" s="5" t="s">
        <v>695</v>
      </c>
      <c r="I239" s="5"/>
    </row>
    <row r="240" spans="1:9">
      <c r="A240" s="5" t="str">
        <f t="shared" si="3"/>
        <v>102100102</v>
      </c>
      <c r="B240" s="58">
        <v>52000510</v>
      </c>
      <c r="C240" s="5" t="s">
        <v>478</v>
      </c>
      <c r="D240" s="5" t="s">
        <v>1792</v>
      </c>
      <c r="E240" s="73">
        <v>1021001</v>
      </c>
      <c r="F240" s="73">
        <v>102100101</v>
      </c>
      <c r="G240" s="73">
        <v>2</v>
      </c>
      <c r="H240" s="5" t="s">
        <v>696</v>
      </c>
      <c r="I240" s="5"/>
    </row>
    <row r="241" spans="1:9">
      <c r="A241" s="5" t="str">
        <f t="shared" si="3"/>
        <v>102100103</v>
      </c>
      <c r="B241" s="58">
        <v>32000110</v>
      </c>
      <c r="C241" s="5" t="s">
        <v>687</v>
      </c>
      <c r="D241" s="5" t="s">
        <v>1792</v>
      </c>
      <c r="E241" s="73">
        <v>1021001</v>
      </c>
      <c r="F241" s="73"/>
      <c r="G241" s="73">
        <v>3</v>
      </c>
      <c r="H241" s="5" t="s">
        <v>697</v>
      </c>
      <c r="I241" s="5"/>
    </row>
    <row r="242" spans="1:9">
      <c r="A242" s="5" t="str">
        <f t="shared" si="3"/>
        <v>102100104</v>
      </c>
      <c r="B242" s="58">
        <v>10000210</v>
      </c>
      <c r="C242" s="5" t="s">
        <v>422</v>
      </c>
      <c r="D242" s="5" t="s">
        <v>1792</v>
      </c>
      <c r="E242" s="73">
        <v>1021001</v>
      </c>
      <c r="F242" s="73">
        <v>102100103</v>
      </c>
      <c r="G242" s="73">
        <v>4</v>
      </c>
      <c r="H242" s="5" t="s">
        <v>698</v>
      </c>
      <c r="I242" s="5"/>
    </row>
    <row r="243" spans="1:9">
      <c r="A243" s="5" t="str">
        <f t="shared" si="3"/>
        <v>102100105</v>
      </c>
      <c r="B243" s="58">
        <v>32000110</v>
      </c>
      <c r="C243" s="5" t="s">
        <v>687</v>
      </c>
      <c r="D243" s="5" t="s">
        <v>1792</v>
      </c>
      <c r="E243" s="73">
        <v>1021001</v>
      </c>
      <c r="F243" s="73">
        <v>102100103</v>
      </c>
      <c r="G243" s="73">
        <v>5</v>
      </c>
      <c r="H243" s="5" t="s">
        <v>699</v>
      </c>
      <c r="I243" s="5"/>
    </row>
    <row r="244" spans="1:9">
      <c r="A244" s="5" t="str">
        <f t="shared" si="3"/>
        <v>102100106</v>
      </c>
      <c r="B244" s="58">
        <v>71000310</v>
      </c>
      <c r="C244" s="5" t="s">
        <v>656</v>
      </c>
      <c r="D244" s="5" t="s">
        <v>1792</v>
      </c>
      <c r="E244" s="73">
        <v>1021001</v>
      </c>
      <c r="F244" s="73"/>
      <c r="G244" s="73">
        <v>6</v>
      </c>
      <c r="H244" s="5" t="s">
        <v>700</v>
      </c>
      <c r="I244" s="5"/>
    </row>
    <row r="245" spans="1:9">
      <c r="A245" s="5" t="str">
        <f t="shared" si="3"/>
        <v>102100107</v>
      </c>
      <c r="B245" s="58">
        <v>72000710</v>
      </c>
      <c r="C245" s="5" t="s">
        <v>611</v>
      </c>
      <c r="D245" s="5" t="s">
        <v>1792</v>
      </c>
      <c r="E245" s="73">
        <v>1021001</v>
      </c>
      <c r="F245" s="73">
        <v>102100106</v>
      </c>
      <c r="G245" s="73">
        <v>7</v>
      </c>
      <c r="H245" s="5" t="s">
        <v>701</v>
      </c>
      <c r="I245" s="5"/>
    </row>
    <row r="246" spans="1:9">
      <c r="A246" s="5" t="str">
        <f t="shared" si="3"/>
        <v>102100108</v>
      </c>
      <c r="B246" s="97">
        <v>34000110</v>
      </c>
      <c r="C246" s="96" t="s">
        <v>2012</v>
      </c>
      <c r="D246" s="5" t="s">
        <v>1792</v>
      </c>
      <c r="E246" s="73">
        <v>1021001</v>
      </c>
      <c r="F246" s="73"/>
      <c r="G246" s="73">
        <v>8</v>
      </c>
      <c r="H246" s="5" t="s">
        <v>703</v>
      </c>
      <c r="I246" s="5"/>
    </row>
    <row r="247" spans="1:9">
      <c r="A247" s="5" t="str">
        <f t="shared" si="3"/>
        <v>102100201</v>
      </c>
      <c r="B247" s="100">
        <v>10000110</v>
      </c>
      <c r="C247" s="101" t="s">
        <v>417</v>
      </c>
      <c r="D247" s="5" t="s">
        <v>1793</v>
      </c>
      <c r="E247" s="73">
        <v>1021002</v>
      </c>
      <c r="F247" s="73"/>
      <c r="G247" s="73">
        <v>1</v>
      </c>
      <c r="H247" s="5" t="s">
        <v>704</v>
      </c>
      <c r="I247" s="5"/>
    </row>
    <row r="248" spans="1:9">
      <c r="A248" s="5" t="str">
        <f t="shared" si="3"/>
        <v>102100202</v>
      </c>
      <c r="B248" s="58">
        <v>93000510</v>
      </c>
      <c r="C248" s="5" t="s">
        <v>469</v>
      </c>
      <c r="D248" s="5" t="s">
        <v>1793</v>
      </c>
      <c r="E248" s="73">
        <v>1021002</v>
      </c>
      <c r="F248" s="73">
        <v>102100201</v>
      </c>
      <c r="G248" s="73">
        <v>2</v>
      </c>
      <c r="H248" s="5" t="s">
        <v>1204</v>
      </c>
      <c r="I248" s="5"/>
    </row>
    <row r="249" spans="1:9">
      <c r="A249" s="5" t="str">
        <f t="shared" si="3"/>
        <v>102100203</v>
      </c>
      <c r="B249" s="58">
        <v>10000110</v>
      </c>
      <c r="C249" s="5" t="s">
        <v>417</v>
      </c>
      <c r="D249" s="5" t="s">
        <v>1793</v>
      </c>
      <c r="E249" s="73">
        <v>1021002</v>
      </c>
      <c r="F249" s="73">
        <v>102100201</v>
      </c>
      <c r="G249" s="73">
        <v>3</v>
      </c>
      <c r="H249" s="5" t="s">
        <v>1205</v>
      </c>
      <c r="I249" s="5"/>
    </row>
    <row r="250" spans="1:9">
      <c r="A250" s="5" t="str">
        <f t="shared" si="3"/>
        <v>102100204</v>
      </c>
      <c r="B250" s="58">
        <v>93000510</v>
      </c>
      <c r="C250" s="5" t="s">
        <v>469</v>
      </c>
      <c r="D250" s="5" t="s">
        <v>1793</v>
      </c>
      <c r="E250" s="73">
        <v>1021002</v>
      </c>
      <c r="F250" s="73">
        <v>102100201</v>
      </c>
      <c r="G250" s="73">
        <v>4</v>
      </c>
      <c r="H250" s="5" t="s">
        <v>1206</v>
      </c>
      <c r="I250" s="5"/>
    </row>
    <row r="251" spans="1:9">
      <c r="A251" s="5" t="str">
        <f t="shared" si="3"/>
        <v>102100205</v>
      </c>
      <c r="B251" s="58">
        <v>32000210</v>
      </c>
      <c r="C251" s="5" t="s">
        <v>512</v>
      </c>
      <c r="D251" s="5" t="s">
        <v>1793</v>
      </c>
      <c r="E251" s="73">
        <v>1021002</v>
      </c>
      <c r="F251" s="73"/>
      <c r="G251" s="73">
        <v>5</v>
      </c>
      <c r="H251" s="5" t="s">
        <v>705</v>
      </c>
      <c r="I251" s="5"/>
    </row>
    <row r="252" spans="1:9">
      <c r="A252" s="5" t="str">
        <f t="shared" si="3"/>
        <v>102100206</v>
      </c>
      <c r="B252" s="58">
        <v>72000310</v>
      </c>
      <c r="C252" s="5" t="s">
        <v>515</v>
      </c>
      <c r="D252" s="5" t="s">
        <v>1793</v>
      </c>
      <c r="E252" s="73">
        <v>1021002</v>
      </c>
      <c r="F252" s="73">
        <v>102100205</v>
      </c>
      <c r="G252" s="73">
        <v>6</v>
      </c>
      <c r="H252" s="5" t="s">
        <v>706</v>
      </c>
      <c r="I252" s="5"/>
    </row>
    <row r="253" spans="1:9">
      <c r="A253" s="5" t="str">
        <f t="shared" si="3"/>
        <v>102100207</v>
      </c>
      <c r="B253" s="58">
        <v>93000510</v>
      </c>
      <c r="C253" s="5" t="s">
        <v>469</v>
      </c>
      <c r="D253" s="5" t="s">
        <v>1793</v>
      </c>
      <c r="E253" s="73">
        <v>1021002</v>
      </c>
      <c r="F253" s="73">
        <v>102100205</v>
      </c>
      <c r="G253" s="73">
        <v>7</v>
      </c>
      <c r="H253" s="5" t="s">
        <v>707</v>
      </c>
      <c r="I253" s="5"/>
    </row>
    <row r="254" spans="1:9">
      <c r="A254" s="5" t="str">
        <f t="shared" si="3"/>
        <v>102110101</v>
      </c>
      <c r="B254" s="58">
        <v>52000210</v>
      </c>
      <c r="C254" s="5" t="s">
        <v>586</v>
      </c>
      <c r="D254" s="5" t="s">
        <v>1794</v>
      </c>
      <c r="E254" s="73">
        <v>1021101</v>
      </c>
      <c r="F254" s="73"/>
      <c r="G254" s="73">
        <v>1</v>
      </c>
      <c r="H254" s="5" t="s">
        <v>708</v>
      </c>
      <c r="I254" s="5"/>
    </row>
    <row r="255" spans="1:9">
      <c r="A255" s="5" t="str">
        <f t="shared" si="3"/>
        <v>102110102</v>
      </c>
      <c r="B255" s="58">
        <v>92000410</v>
      </c>
      <c r="C255" s="5" t="s">
        <v>449</v>
      </c>
      <c r="D255" s="5" t="s">
        <v>1794</v>
      </c>
      <c r="E255" s="73">
        <v>1021101</v>
      </c>
      <c r="F255" s="73">
        <v>102110101</v>
      </c>
      <c r="G255" s="73">
        <v>2</v>
      </c>
      <c r="H255" s="5" t="s">
        <v>709</v>
      </c>
      <c r="I255" s="5"/>
    </row>
    <row r="256" spans="1:9">
      <c r="A256" s="5" t="str">
        <f t="shared" si="3"/>
        <v>102110103</v>
      </c>
      <c r="B256" s="97">
        <v>72000410</v>
      </c>
      <c r="C256" s="96" t="s">
        <v>2013</v>
      </c>
      <c r="D256" s="5" t="s">
        <v>1794</v>
      </c>
      <c r="E256" s="73">
        <v>1021101</v>
      </c>
      <c r="F256" s="73">
        <v>102110101</v>
      </c>
      <c r="G256" s="73">
        <v>3</v>
      </c>
      <c r="H256" s="5" t="s">
        <v>710</v>
      </c>
      <c r="I256" s="5"/>
    </row>
    <row r="257" spans="1:9">
      <c r="A257" s="5" t="str">
        <f t="shared" si="3"/>
        <v>102110104</v>
      </c>
      <c r="B257" s="97">
        <v>92000410</v>
      </c>
      <c r="C257" s="96" t="s">
        <v>449</v>
      </c>
      <c r="D257" s="5" t="s">
        <v>1794</v>
      </c>
      <c r="E257" s="73">
        <v>1021101</v>
      </c>
      <c r="F257" s="73">
        <v>102110101</v>
      </c>
      <c r="G257" s="73">
        <v>4</v>
      </c>
      <c r="H257" s="5" t="s">
        <v>711</v>
      </c>
      <c r="I257" s="5"/>
    </row>
    <row r="258" spans="1:9">
      <c r="A258" s="5" t="str">
        <f t="shared" si="3"/>
        <v>102110105</v>
      </c>
      <c r="B258" s="97">
        <v>52000410</v>
      </c>
      <c r="C258" s="96" t="s">
        <v>625</v>
      </c>
      <c r="D258" s="5" t="s">
        <v>1794</v>
      </c>
      <c r="E258" s="73">
        <v>1021101</v>
      </c>
      <c r="F258" s="73">
        <v>102110101</v>
      </c>
      <c r="G258" s="73">
        <v>5</v>
      </c>
      <c r="H258" s="5" t="s">
        <v>712</v>
      </c>
      <c r="I258" s="5"/>
    </row>
    <row r="259" spans="1:9">
      <c r="A259" s="5" t="str">
        <f t="shared" si="3"/>
        <v>102110106</v>
      </c>
      <c r="B259" s="97">
        <v>92000410</v>
      </c>
      <c r="C259" s="96" t="s">
        <v>449</v>
      </c>
      <c r="D259" s="5" t="s">
        <v>1794</v>
      </c>
      <c r="E259" s="73">
        <v>1021101</v>
      </c>
      <c r="F259" s="73">
        <v>102110101</v>
      </c>
      <c r="G259" s="73">
        <v>6</v>
      </c>
      <c r="H259" s="5" t="s">
        <v>713</v>
      </c>
      <c r="I259" s="5"/>
    </row>
    <row r="260" spans="1:9">
      <c r="A260" s="5" t="str">
        <f t="shared" si="3"/>
        <v>102110107</v>
      </c>
      <c r="B260" s="97">
        <v>71000210</v>
      </c>
      <c r="C260" s="96" t="s">
        <v>543</v>
      </c>
      <c r="D260" s="5" t="s">
        <v>1794</v>
      </c>
      <c r="E260" s="73">
        <v>1021101</v>
      </c>
      <c r="F260" s="95"/>
      <c r="G260" s="95">
        <v>7</v>
      </c>
      <c r="H260" s="96" t="s">
        <v>2014</v>
      </c>
      <c r="I260" s="96"/>
    </row>
    <row r="261" spans="1:9">
      <c r="A261" s="5" t="str">
        <f t="shared" si="3"/>
        <v>102110108</v>
      </c>
      <c r="B261" s="97">
        <v>92000410</v>
      </c>
      <c r="C261" s="96" t="s">
        <v>449</v>
      </c>
      <c r="D261" s="5" t="s">
        <v>1794</v>
      </c>
      <c r="E261" s="73">
        <v>1021101</v>
      </c>
      <c r="F261" s="95">
        <v>102110107</v>
      </c>
      <c r="G261" s="95">
        <v>8</v>
      </c>
      <c r="H261" s="96" t="s">
        <v>2015</v>
      </c>
      <c r="I261" s="96"/>
    </row>
    <row r="262" spans="1:9">
      <c r="A262" s="5" t="str">
        <f t="shared" si="3"/>
        <v>102120101</v>
      </c>
      <c r="B262" s="100">
        <v>33000110</v>
      </c>
      <c r="C262" s="101" t="s">
        <v>521</v>
      </c>
      <c r="D262" s="101" t="s">
        <v>1795</v>
      </c>
      <c r="E262" s="102">
        <v>1021201</v>
      </c>
      <c r="F262" s="102"/>
      <c r="G262" s="102">
        <v>1</v>
      </c>
      <c r="H262" s="101" t="s">
        <v>714</v>
      </c>
      <c r="I262" s="101"/>
    </row>
    <row r="263" spans="1:9">
      <c r="A263" s="5" t="str">
        <f t="shared" si="3"/>
        <v>102120102</v>
      </c>
      <c r="B263" s="58">
        <v>52000310</v>
      </c>
      <c r="C263" s="5" t="s">
        <v>465</v>
      </c>
      <c r="D263" s="5" t="s">
        <v>1795</v>
      </c>
      <c r="E263" s="73">
        <v>1021201</v>
      </c>
      <c r="F263" s="73">
        <v>102120101</v>
      </c>
      <c r="G263" s="73">
        <v>2</v>
      </c>
      <c r="H263" s="5" t="s">
        <v>715</v>
      </c>
      <c r="I263" s="5"/>
    </row>
    <row r="264" spans="1:9">
      <c r="A264" s="5" t="str">
        <f t="shared" si="3"/>
        <v>102120103</v>
      </c>
      <c r="B264" s="58">
        <v>33000110</v>
      </c>
      <c r="C264" s="5" t="s">
        <v>521</v>
      </c>
      <c r="D264" s="5" t="s">
        <v>1795</v>
      </c>
      <c r="E264" s="73">
        <v>1021201</v>
      </c>
      <c r="F264" s="73">
        <v>102120101</v>
      </c>
      <c r="G264" s="73">
        <v>3</v>
      </c>
      <c r="H264" s="5" t="s">
        <v>716</v>
      </c>
      <c r="I264" s="5"/>
    </row>
    <row r="265" spans="1:9">
      <c r="A265" s="5" t="str">
        <f t="shared" si="3"/>
        <v>102120104</v>
      </c>
      <c r="B265" s="58">
        <v>72000710</v>
      </c>
      <c r="C265" s="5" t="s">
        <v>611</v>
      </c>
      <c r="D265" s="5" t="s">
        <v>1795</v>
      </c>
      <c r="E265" s="73">
        <v>1021201</v>
      </c>
      <c r="F265" s="73"/>
      <c r="G265" s="73">
        <v>4</v>
      </c>
      <c r="H265" s="5" t="s">
        <v>717</v>
      </c>
      <c r="I265" s="5"/>
    </row>
    <row r="266" spans="1:9">
      <c r="A266" s="5" t="str">
        <f t="shared" si="3"/>
        <v>102120105</v>
      </c>
      <c r="B266" s="58">
        <v>10000110</v>
      </c>
      <c r="C266" s="5" t="s">
        <v>417</v>
      </c>
      <c r="D266" s="5" t="s">
        <v>1795</v>
      </c>
      <c r="E266" s="73">
        <v>1021201</v>
      </c>
      <c r="F266" s="73"/>
      <c r="G266" s="73">
        <v>5</v>
      </c>
      <c r="H266" s="5" t="s">
        <v>718</v>
      </c>
      <c r="I266" s="5"/>
    </row>
    <row r="267" spans="1:9">
      <c r="A267" s="5" t="str">
        <f t="shared" si="3"/>
        <v>102120106</v>
      </c>
      <c r="B267" s="58">
        <v>33000210</v>
      </c>
      <c r="C267" s="5" t="s">
        <v>491</v>
      </c>
      <c r="D267" s="5" t="s">
        <v>1795</v>
      </c>
      <c r="E267" s="73">
        <v>1021201</v>
      </c>
      <c r="F267" s="73">
        <v>102120105</v>
      </c>
      <c r="G267" s="73">
        <v>6</v>
      </c>
      <c r="H267" s="5" t="s">
        <v>719</v>
      </c>
      <c r="I267" s="5"/>
    </row>
    <row r="268" spans="1:9">
      <c r="A268" s="5" t="str">
        <f t="shared" si="3"/>
        <v>102120107</v>
      </c>
      <c r="B268" s="58">
        <v>10000110</v>
      </c>
      <c r="C268" s="5" t="s">
        <v>417</v>
      </c>
      <c r="D268" s="5" t="s">
        <v>1795</v>
      </c>
      <c r="E268" s="73">
        <v>1021201</v>
      </c>
      <c r="F268" s="73">
        <v>102120105</v>
      </c>
      <c r="G268" s="73">
        <v>7</v>
      </c>
      <c r="H268" s="5" t="s">
        <v>720</v>
      </c>
      <c r="I268" s="5"/>
    </row>
    <row r="269" spans="1:9">
      <c r="A269" s="5" t="str">
        <f t="shared" si="3"/>
        <v>102120108</v>
      </c>
      <c r="B269" s="98">
        <v>33000210</v>
      </c>
      <c r="C269" s="99" t="s">
        <v>491</v>
      </c>
      <c r="D269" s="5" t="s">
        <v>1795</v>
      </c>
      <c r="E269" s="73">
        <v>1021201</v>
      </c>
      <c r="F269" s="73">
        <v>102120105</v>
      </c>
      <c r="G269" s="73">
        <v>8</v>
      </c>
      <c r="H269" s="5" t="s">
        <v>721</v>
      </c>
      <c r="I269" s="5"/>
    </row>
    <row r="270" spans="1:9">
      <c r="A270" s="5" t="str">
        <f t="shared" si="3"/>
        <v>102130101</v>
      </c>
      <c r="B270" s="97">
        <v>94000310</v>
      </c>
      <c r="C270" s="96" t="s">
        <v>549</v>
      </c>
      <c r="D270" s="5" t="s">
        <v>1796</v>
      </c>
      <c r="E270" s="73">
        <v>1021301</v>
      </c>
      <c r="F270" s="73"/>
      <c r="G270" s="73">
        <v>1</v>
      </c>
      <c r="H270" s="5" t="s">
        <v>722</v>
      </c>
      <c r="I270" s="5"/>
    </row>
    <row r="271" spans="1:9">
      <c r="A271" s="5" t="str">
        <f t="shared" ref="A271:A332" si="4">(E271*10)&amp;G271</f>
        <v>102130102</v>
      </c>
      <c r="B271" s="58">
        <v>73000510</v>
      </c>
      <c r="C271" s="5" t="s">
        <v>538</v>
      </c>
      <c r="D271" s="5" t="s">
        <v>1796</v>
      </c>
      <c r="E271" s="73">
        <v>1021301</v>
      </c>
      <c r="F271" s="73">
        <v>102130101</v>
      </c>
      <c r="G271" s="73">
        <v>2</v>
      </c>
      <c r="H271" s="5" t="s">
        <v>723</v>
      </c>
      <c r="I271" s="5"/>
    </row>
    <row r="272" spans="1:9">
      <c r="A272" s="5" t="str">
        <f t="shared" si="4"/>
        <v>102130103</v>
      </c>
      <c r="B272" s="58">
        <v>31000110</v>
      </c>
      <c r="C272" s="5" t="s">
        <v>447</v>
      </c>
      <c r="D272" s="5" t="s">
        <v>1796</v>
      </c>
      <c r="E272" s="73">
        <v>1021301</v>
      </c>
      <c r="F272" s="73"/>
      <c r="G272" s="73">
        <v>3</v>
      </c>
      <c r="H272" s="5" t="s">
        <v>724</v>
      </c>
      <c r="I272" s="5"/>
    </row>
    <row r="273" spans="1:9">
      <c r="A273" s="5" t="str">
        <f t="shared" si="4"/>
        <v>102130104</v>
      </c>
      <c r="B273" s="58">
        <v>71000210</v>
      </c>
      <c r="C273" s="5" t="s">
        <v>543</v>
      </c>
      <c r="D273" s="5" t="s">
        <v>1796</v>
      </c>
      <c r="E273" s="73">
        <v>1021301</v>
      </c>
      <c r="F273" s="73">
        <v>102130103</v>
      </c>
      <c r="G273" s="73">
        <v>4</v>
      </c>
      <c r="H273" s="5" t="s">
        <v>725</v>
      </c>
      <c r="I273" s="5"/>
    </row>
    <row r="274" spans="1:9">
      <c r="A274" s="5" t="str">
        <f t="shared" si="4"/>
        <v>102130105</v>
      </c>
      <c r="B274" s="58">
        <v>73000510</v>
      </c>
      <c r="C274" s="5" t="s">
        <v>538</v>
      </c>
      <c r="D274" s="5" t="s">
        <v>1796</v>
      </c>
      <c r="E274" s="73">
        <v>1021301</v>
      </c>
      <c r="F274" s="73">
        <v>102130103</v>
      </c>
      <c r="G274" s="73">
        <v>5</v>
      </c>
      <c r="H274" s="5" t="s">
        <v>726</v>
      </c>
      <c r="I274" s="5"/>
    </row>
    <row r="275" spans="1:9">
      <c r="A275" s="5" t="str">
        <f t="shared" si="4"/>
        <v>102130106</v>
      </c>
      <c r="B275" s="58">
        <v>71000310</v>
      </c>
      <c r="C275" s="5" t="s">
        <v>656</v>
      </c>
      <c r="D275" s="5" t="s">
        <v>1796</v>
      </c>
      <c r="E275" s="73">
        <v>1021301</v>
      </c>
      <c r="F275" s="73"/>
      <c r="G275" s="73">
        <v>6</v>
      </c>
      <c r="H275" s="5" t="s">
        <v>727</v>
      </c>
      <c r="I275" s="5"/>
    </row>
    <row r="276" spans="1:9">
      <c r="A276" s="5" t="str">
        <f t="shared" si="4"/>
        <v>102130107</v>
      </c>
      <c r="B276" s="58">
        <v>73000310</v>
      </c>
      <c r="C276" s="5" t="s">
        <v>613</v>
      </c>
      <c r="D276" s="5" t="s">
        <v>1796</v>
      </c>
      <c r="E276" s="73">
        <v>1021301</v>
      </c>
      <c r="F276" s="73">
        <v>102130106</v>
      </c>
      <c r="G276" s="73">
        <v>7</v>
      </c>
      <c r="H276" s="5" t="s">
        <v>728</v>
      </c>
      <c r="I276" s="5"/>
    </row>
    <row r="277" spans="1:9">
      <c r="A277" s="5" t="str">
        <f t="shared" si="4"/>
        <v>102130108</v>
      </c>
      <c r="B277" s="58">
        <v>73000510</v>
      </c>
      <c r="C277" s="5" t="s">
        <v>538</v>
      </c>
      <c r="D277" s="5" t="s">
        <v>1796</v>
      </c>
      <c r="E277" s="73">
        <v>1021301</v>
      </c>
      <c r="F277" s="73">
        <v>102130106</v>
      </c>
      <c r="G277" s="73">
        <v>8</v>
      </c>
      <c r="H277" s="5" t="s">
        <v>729</v>
      </c>
      <c r="I277" s="5"/>
    </row>
    <row r="278" spans="1:9">
      <c r="A278" s="5" t="str">
        <f t="shared" si="4"/>
        <v>102130201</v>
      </c>
      <c r="B278" s="58">
        <v>33000110</v>
      </c>
      <c r="C278" s="5" t="s">
        <v>604</v>
      </c>
      <c r="D278" s="5" t="s">
        <v>1797</v>
      </c>
      <c r="E278" s="73">
        <v>1021302</v>
      </c>
      <c r="F278" s="73"/>
      <c r="G278" s="73">
        <v>1</v>
      </c>
      <c r="H278" s="5" t="s">
        <v>730</v>
      </c>
      <c r="I278" s="5"/>
    </row>
    <row r="279" spans="1:9">
      <c r="A279" s="5" t="str">
        <f t="shared" si="4"/>
        <v>102130202</v>
      </c>
      <c r="B279" s="58">
        <v>33000210</v>
      </c>
      <c r="C279" s="5" t="s">
        <v>498</v>
      </c>
      <c r="D279" s="5" t="s">
        <v>1797</v>
      </c>
      <c r="E279" s="73">
        <v>1021302</v>
      </c>
      <c r="F279" s="73">
        <v>102130201</v>
      </c>
      <c r="G279" s="73">
        <v>2</v>
      </c>
      <c r="H279" s="5" t="s">
        <v>731</v>
      </c>
      <c r="I279" s="5"/>
    </row>
    <row r="280" spans="1:9">
      <c r="A280" s="5" t="str">
        <f t="shared" si="4"/>
        <v>102130203</v>
      </c>
      <c r="B280" s="58">
        <v>71000210</v>
      </c>
      <c r="C280" s="5" t="s">
        <v>544</v>
      </c>
      <c r="D280" s="5" t="s">
        <v>1797</v>
      </c>
      <c r="E280" s="73">
        <v>1021302</v>
      </c>
      <c r="F280" s="73"/>
      <c r="G280" s="73">
        <v>3</v>
      </c>
      <c r="H280" s="5" t="s">
        <v>732</v>
      </c>
      <c r="I280" s="5"/>
    </row>
    <row r="281" spans="1:9">
      <c r="A281" s="5" t="str">
        <f t="shared" si="4"/>
        <v>102130204</v>
      </c>
      <c r="B281" s="58">
        <v>53000310</v>
      </c>
      <c r="C281" s="5" t="s">
        <v>518</v>
      </c>
      <c r="D281" s="5" t="s">
        <v>1797</v>
      </c>
      <c r="E281" s="73">
        <v>1021302</v>
      </c>
      <c r="F281" s="73">
        <v>102130203</v>
      </c>
      <c r="G281" s="73">
        <v>4</v>
      </c>
      <c r="H281" s="5" t="s">
        <v>733</v>
      </c>
      <c r="I281" s="5"/>
    </row>
    <row r="282" spans="1:9">
      <c r="A282" s="5" t="str">
        <f t="shared" si="4"/>
        <v>102130205</v>
      </c>
      <c r="B282" s="58">
        <v>33000210</v>
      </c>
      <c r="C282" s="5" t="s">
        <v>498</v>
      </c>
      <c r="D282" s="5" t="s">
        <v>1797</v>
      </c>
      <c r="E282" s="73">
        <v>1021302</v>
      </c>
      <c r="F282" s="73">
        <v>102130203</v>
      </c>
      <c r="G282" s="73">
        <v>5</v>
      </c>
      <c r="H282" s="5" t="s">
        <v>734</v>
      </c>
      <c r="I282" s="5"/>
    </row>
    <row r="283" spans="1:9">
      <c r="A283" s="5" t="str">
        <f t="shared" si="4"/>
        <v>102130206</v>
      </c>
      <c r="B283" s="58">
        <v>53000310</v>
      </c>
      <c r="C283" s="5" t="s">
        <v>518</v>
      </c>
      <c r="D283" s="5" t="s">
        <v>1797</v>
      </c>
      <c r="E283" s="73">
        <v>1021302</v>
      </c>
      <c r="F283" s="73">
        <v>102130203</v>
      </c>
      <c r="G283" s="73">
        <v>6</v>
      </c>
      <c r="H283" s="5" t="s">
        <v>735</v>
      </c>
      <c r="I283" s="5"/>
    </row>
    <row r="284" spans="1:9">
      <c r="A284" s="5" t="str">
        <f t="shared" si="4"/>
        <v>102130207</v>
      </c>
      <c r="B284" s="58">
        <v>33000210</v>
      </c>
      <c r="C284" s="5" t="s">
        <v>498</v>
      </c>
      <c r="D284" s="5" t="s">
        <v>1797</v>
      </c>
      <c r="E284" s="73">
        <v>1021302</v>
      </c>
      <c r="F284" s="73">
        <v>102130203</v>
      </c>
      <c r="G284" s="73">
        <v>7</v>
      </c>
      <c r="H284" s="5" t="s">
        <v>736</v>
      </c>
      <c r="I284" s="5"/>
    </row>
    <row r="285" spans="1:9">
      <c r="A285" s="5" t="str">
        <f t="shared" si="4"/>
        <v>102130208</v>
      </c>
      <c r="B285" s="58">
        <v>53000310</v>
      </c>
      <c r="C285" s="5" t="s">
        <v>518</v>
      </c>
      <c r="D285" s="5" t="s">
        <v>1797</v>
      </c>
      <c r="E285" s="73">
        <v>1021302</v>
      </c>
      <c r="F285" s="73">
        <v>102130203</v>
      </c>
      <c r="G285" s="73">
        <v>8</v>
      </c>
      <c r="H285" s="5" t="s">
        <v>737</v>
      </c>
      <c r="I285" s="5"/>
    </row>
    <row r="286" spans="1:9">
      <c r="A286" s="5" t="str">
        <f t="shared" si="4"/>
        <v>102140101</v>
      </c>
      <c r="B286" s="58">
        <v>52000110</v>
      </c>
      <c r="C286" s="5" t="s">
        <v>103</v>
      </c>
      <c r="D286" s="5" t="s">
        <v>1798</v>
      </c>
      <c r="E286" s="73">
        <v>1021401</v>
      </c>
      <c r="F286" s="73"/>
      <c r="G286" s="73">
        <v>1</v>
      </c>
      <c r="H286" s="5" t="s">
        <v>1145</v>
      </c>
      <c r="I286" s="5"/>
    </row>
    <row r="287" spans="1:9">
      <c r="A287" s="5" t="str">
        <f t="shared" si="4"/>
        <v>102140102</v>
      </c>
      <c r="B287" s="58">
        <v>73000410</v>
      </c>
      <c r="C287" s="5" t="s">
        <v>118</v>
      </c>
      <c r="D287" s="5" t="s">
        <v>1798</v>
      </c>
      <c r="E287" s="73">
        <v>1021401</v>
      </c>
      <c r="F287" s="73">
        <v>102140101</v>
      </c>
      <c r="G287" s="73">
        <v>2</v>
      </c>
      <c r="H287" s="5" t="s">
        <v>1146</v>
      </c>
      <c r="I287" s="5"/>
    </row>
    <row r="288" spans="1:9">
      <c r="A288" s="5" t="str">
        <f t="shared" si="4"/>
        <v>102140103</v>
      </c>
      <c r="B288" s="58">
        <v>93000410</v>
      </c>
      <c r="C288" s="5" t="s">
        <v>113</v>
      </c>
      <c r="D288" s="5" t="s">
        <v>1798</v>
      </c>
      <c r="E288" s="73">
        <v>1021401</v>
      </c>
      <c r="F288" s="73"/>
      <c r="G288" s="73">
        <v>3</v>
      </c>
      <c r="H288" s="5" t="s">
        <v>1147</v>
      </c>
      <c r="I288" s="5"/>
    </row>
    <row r="289" spans="1:9">
      <c r="A289" s="5" t="str">
        <f t="shared" si="4"/>
        <v>102140104</v>
      </c>
      <c r="B289" s="58">
        <v>73000410</v>
      </c>
      <c r="C289" s="5" t="s">
        <v>118</v>
      </c>
      <c r="D289" s="5" t="s">
        <v>1798</v>
      </c>
      <c r="E289" s="73">
        <v>1021401</v>
      </c>
      <c r="F289" s="73">
        <v>102140103</v>
      </c>
      <c r="G289" s="73">
        <v>4</v>
      </c>
      <c r="H289" s="5" t="s">
        <v>1148</v>
      </c>
      <c r="I289" s="5"/>
    </row>
    <row r="290" spans="1:9">
      <c r="A290" s="5" t="str">
        <f t="shared" si="4"/>
        <v>102140105</v>
      </c>
      <c r="B290" s="58">
        <v>52000110</v>
      </c>
      <c r="C290" s="5" t="s">
        <v>103</v>
      </c>
      <c r="D290" s="5" t="s">
        <v>1798</v>
      </c>
      <c r="E290" s="73">
        <v>1021401</v>
      </c>
      <c r="F290" s="73">
        <v>102140103</v>
      </c>
      <c r="G290" s="73">
        <v>5</v>
      </c>
      <c r="H290" s="5" t="s">
        <v>1149</v>
      </c>
      <c r="I290" s="5"/>
    </row>
    <row r="291" spans="1:9">
      <c r="A291" s="5" t="str">
        <f t="shared" si="4"/>
        <v>102140106</v>
      </c>
      <c r="B291" s="97">
        <v>92000110</v>
      </c>
      <c r="C291" s="96" t="s">
        <v>2017</v>
      </c>
      <c r="D291" s="5" t="s">
        <v>1798</v>
      </c>
      <c r="E291" s="73">
        <v>1021401</v>
      </c>
      <c r="F291" s="73"/>
      <c r="G291" s="73">
        <v>6</v>
      </c>
      <c r="H291" s="5" t="s">
        <v>1150</v>
      </c>
      <c r="I291" s="5"/>
    </row>
    <row r="292" spans="1:9">
      <c r="A292" s="5" t="str">
        <f t="shared" si="4"/>
        <v>102140107</v>
      </c>
      <c r="B292" s="97">
        <v>94000110</v>
      </c>
      <c r="C292" s="96" t="s">
        <v>2016</v>
      </c>
      <c r="D292" s="5" t="s">
        <v>1798</v>
      </c>
      <c r="E292" s="73">
        <v>1021401</v>
      </c>
      <c r="F292" s="73"/>
      <c r="G292" s="73">
        <v>7</v>
      </c>
      <c r="H292" s="5" t="s">
        <v>1151</v>
      </c>
      <c r="I292" s="5"/>
    </row>
    <row r="293" spans="1:9">
      <c r="A293" s="5" t="str">
        <f t="shared" si="4"/>
        <v>102140108</v>
      </c>
      <c r="B293" s="97">
        <v>52000110</v>
      </c>
      <c r="C293" s="96" t="s">
        <v>2018</v>
      </c>
      <c r="D293" s="5" t="s">
        <v>1798</v>
      </c>
      <c r="E293" s="73">
        <v>1021401</v>
      </c>
      <c r="F293" s="73">
        <v>102140107</v>
      </c>
      <c r="G293" s="73">
        <v>8</v>
      </c>
      <c r="H293" s="5" t="s">
        <v>1152</v>
      </c>
      <c r="I293" s="5"/>
    </row>
    <row r="294" spans="1:9">
      <c r="A294" s="5" t="str">
        <f t="shared" si="4"/>
        <v>102140109</v>
      </c>
      <c r="B294" s="98">
        <v>73000410</v>
      </c>
      <c r="C294" s="99" t="s">
        <v>118</v>
      </c>
      <c r="D294" s="5" t="s">
        <v>1798</v>
      </c>
      <c r="E294" s="73">
        <v>1021401</v>
      </c>
      <c r="F294" s="73">
        <v>102140107</v>
      </c>
      <c r="G294" s="73">
        <v>9</v>
      </c>
      <c r="H294" s="5" t="s">
        <v>1153</v>
      </c>
      <c r="I294" s="5"/>
    </row>
    <row r="295" spans="1:9">
      <c r="A295" s="5" t="str">
        <f t="shared" si="4"/>
        <v>102150101</v>
      </c>
      <c r="B295" s="97">
        <v>72000310</v>
      </c>
      <c r="C295" s="96" t="s">
        <v>2022</v>
      </c>
      <c r="D295" s="5" t="s">
        <v>1799</v>
      </c>
      <c r="E295" s="73">
        <v>1021501</v>
      </c>
      <c r="F295" s="73"/>
      <c r="G295" s="73">
        <v>1</v>
      </c>
      <c r="H295" s="5" t="s">
        <v>770</v>
      </c>
      <c r="I295" s="5"/>
    </row>
    <row r="296" spans="1:9">
      <c r="A296" s="5" t="str">
        <f t="shared" si="4"/>
        <v>102150102</v>
      </c>
      <c r="B296" s="58">
        <v>34000110</v>
      </c>
      <c r="C296" s="5" t="s">
        <v>132</v>
      </c>
      <c r="D296" s="5" t="s">
        <v>1799</v>
      </c>
      <c r="E296" s="73">
        <v>1021501</v>
      </c>
      <c r="F296" s="73">
        <v>102150101</v>
      </c>
      <c r="G296" s="73">
        <v>2</v>
      </c>
      <c r="H296" s="5" t="s">
        <v>771</v>
      </c>
      <c r="I296" s="5"/>
    </row>
    <row r="297" spans="1:9">
      <c r="A297" s="5" t="str">
        <f t="shared" si="4"/>
        <v>102150103</v>
      </c>
      <c r="B297" s="97">
        <v>74000210</v>
      </c>
      <c r="C297" s="96" t="s">
        <v>2021</v>
      </c>
      <c r="D297" s="5" t="s">
        <v>1799</v>
      </c>
      <c r="E297" s="73">
        <v>1021501</v>
      </c>
      <c r="F297" s="73"/>
      <c r="G297" s="73">
        <v>3</v>
      </c>
      <c r="H297" s="5" t="s">
        <v>772</v>
      </c>
      <c r="I297" s="5"/>
    </row>
    <row r="298" spans="1:9">
      <c r="A298" s="5" t="str">
        <f t="shared" si="4"/>
        <v>102150104</v>
      </c>
      <c r="B298" s="97">
        <v>34000110</v>
      </c>
      <c r="C298" s="96" t="s">
        <v>2020</v>
      </c>
      <c r="D298" s="5" t="s">
        <v>1799</v>
      </c>
      <c r="E298" s="73">
        <v>1021501</v>
      </c>
      <c r="F298" s="73">
        <v>102150103</v>
      </c>
      <c r="G298" s="73">
        <v>4</v>
      </c>
      <c r="H298" s="5" t="s">
        <v>773</v>
      </c>
      <c r="I298" s="5"/>
    </row>
    <row r="299" spans="1:9">
      <c r="A299" s="5" t="str">
        <f t="shared" si="4"/>
        <v>102150105</v>
      </c>
      <c r="B299" s="58">
        <v>52000510</v>
      </c>
      <c r="C299" s="5" t="s">
        <v>107</v>
      </c>
      <c r="D299" s="5" t="s">
        <v>1799</v>
      </c>
      <c r="E299" s="73">
        <v>1021501</v>
      </c>
      <c r="F299" s="73"/>
      <c r="G299" s="73">
        <v>5</v>
      </c>
      <c r="H299" s="5" t="s">
        <v>774</v>
      </c>
      <c r="I299" s="5"/>
    </row>
    <row r="300" spans="1:9">
      <c r="A300" s="5" t="str">
        <f t="shared" si="4"/>
        <v>102150106</v>
      </c>
      <c r="B300" s="58">
        <v>34000110</v>
      </c>
      <c r="C300" s="5" t="s">
        <v>132</v>
      </c>
      <c r="D300" s="5" t="s">
        <v>1799</v>
      </c>
      <c r="E300" s="73">
        <v>1021501</v>
      </c>
      <c r="F300" s="73">
        <v>102150105</v>
      </c>
      <c r="G300" s="73">
        <v>6</v>
      </c>
      <c r="H300" s="5" t="s">
        <v>775</v>
      </c>
      <c r="I300" s="5"/>
    </row>
    <row r="301" spans="1:9">
      <c r="A301" s="5" t="str">
        <f t="shared" si="4"/>
        <v>102160101</v>
      </c>
      <c r="B301" s="58">
        <v>93000410</v>
      </c>
      <c r="C301" s="5" t="s">
        <v>113</v>
      </c>
      <c r="D301" s="5" t="s">
        <v>1800</v>
      </c>
      <c r="E301" s="73">
        <v>1021601</v>
      </c>
      <c r="F301" s="73"/>
      <c r="G301" s="73">
        <v>1</v>
      </c>
      <c r="H301" s="5" t="s">
        <v>776</v>
      </c>
      <c r="I301" s="5"/>
    </row>
    <row r="302" spans="1:9">
      <c r="A302" s="5" t="str">
        <f t="shared" si="4"/>
        <v>102160102</v>
      </c>
      <c r="B302" s="58">
        <v>92000310</v>
      </c>
      <c r="C302" s="5" t="s">
        <v>93</v>
      </c>
      <c r="D302" s="5" t="s">
        <v>1800</v>
      </c>
      <c r="E302" s="73">
        <v>1021601</v>
      </c>
      <c r="F302" s="73">
        <v>102160101</v>
      </c>
      <c r="G302" s="73">
        <v>2</v>
      </c>
      <c r="H302" s="5" t="s">
        <v>777</v>
      </c>
      <c r="I302" s="5"/>
    </row>
    <row r="303" spans="1:9">
      <c r="A303" s="5" t="str">
        <f t="shared" si="4"/>
        <v>102160103</v>
      </c>
      <c r="B303" s="58">
        <v>53000410</v>
      </c>
      <c r="C303" s="5" t="s">
        <v>123</v>
      </c>
      <c r="D303" s="5" t="s">
        <v>1800</v>
      </c>
      <c r="E303" s="73">
        <v>1021601</v>
      </c>
      <c r="F303" s="73">
        <v>102160101</v>
      </c>
      <c r="G303" s="73">
        <v>3</v>
      </c>
      <c r="H303" s="5" t="s">
        <v>778</v>
      </c>
      <c r="I303" s="5"/>
    </row>
    <row r="304" spans="1:9">
      <c r="A304" s="5" t="str">
        <f t="shared" si="4"/>
        <v>102160104</v>
      </c>
      <c r="B304" s="58">
        <v>92000310</v>
      </c>
      <c r="C304" s="5" t="s">
        <v>93</v>
      </c>
      <c r="D304" s="5" t="s">
        <v>1800</v>
      </c>
      <c r="E304" s="73">
        <v>1021601</v>
      </c>
      <c r="F304" s="73">
        <v>102160101</v>
      </c>
      <c r="G304" s="73">
        <v>4</v>
      </c>
      <c r="H304" s="5" t="s">
        <v>779</v>
      </c>
      <c r="I304" s="5"/>
    </row>
    <row r="305" spans="1:9">
      <c r="A305" s="5" t="str">
        <f t="shared" si="4"/>
        <v>102160105</v>
      </c>
      <c r="B305" s="58">
        <v>74000110</v>
      </c>
      <c r="C305" s="5" t="s">
        <v>129</v>
      </c>
      <c r="D305" s="5" t="s">
        <v>1800</v>
      </c>
      <c r="E305" s="73">
        <v>1021601</v>
      </c>
      <c r="F305" s="73"/>
      <c r="G305" s="73">
        <v>5</v>
      </c>
      <c r="H305" s="5" t="s">
        <v>780</v>
      </c>
      <c r="I305" s="5"/>
    </row>
    <row r="306" spans="1:9">
      <c r="A306" s="5" t="str">
        <f t="shared" si="4"/>
        <v>102160106</v>
      </c>
      <c r="B306" s="58">
        <v>71000110</v>
      </c>
      <c r="C306" s="5" t="s">
        <v>86</v>
      </c>
      <c r="D306" s="5" t="s">
        <v>1800</v>
      </c>
      <c r="E306" s="73">
        <v>1021601</v>
      </c>
      <c r="F306" s="73"/>
      <c r="G306" s="73">
        <v>6</v>
      </c>
      <c r="H306" s="5" t="s">
        <v>781</v>
      </c>
      <c r="I306" s="5"/>
    </row>
    <row r="307" spans="1:9">
      <c r="A307" s="5" t="str">
        <f t="shared" si="4"/>
        <v>102160107</v>
      </c>
      <c r="B307" s="58">
        <v>93000510</v>
      </c>
      <c r="C307" s="5" t="s">
        <v>114</v>
      </c>
      <c r="D307" s="5" t="s">
        <v>1800</v>
      </c>
      <c r="E307" s="73">
        <v>1021601</v>
      </c>
      <c r="F307" s="73">
        <v>102160106</v>
      </c>
      <c r="G307" s="73">
        <v>7</v>
      </c>
      <c r="H307" s="5" t="s">
        <v>782</v>
      </c>
      <c r="I307" s="5"/>
    </row>
    <row r="308" spans="1:9">
      <c r="A308" s="5" t="str">
        <f t="shared" si="4"/>
        <v>102170101</v>
      </c>
      <c r="B308" s="58">
        <v>51000210</v>
      </c>
      <c r="C308" s="5" t="s">
        <v>90</v>
      </c>
      <c r="D308" s="5" t="s">
        <v>1801</v>
      </c>
      <c r="E308" s="73">
        <v>1021701</v>
      </c>
      <c r="F308" s="73"/>
      <c r="G308" s="73">
        <v>1</v>
      </c>
      <c r="H308" s="5" t="s">
        <v>783</v>
      </c>
      <c r="I308" s="5"/>
    </row>
    <row r="309" spans="1:9">
      <c r="A309" s="5" t="str">
        <f t="shared" si="4"/>
        <v>102170102</v>
      </c>
      <c r="B309" s="58">
        <v>73000210</v>
      </c>
      <c r="C309" s="5" t="s">
        <v>116</v>
      </c>
      <c r="D309" s="5" t="s">
        <v>1801</v>
      </c>
      <c r="E309" s="73">
        <v>1021701</v>
      </c>
      <c r="F309" s="73">
        <v>102170101</v>
      </c>
      <c r="G309" s="73">
        <v>2</v>
      </c>
      <c r="H309" s="5" t="s">
        <v>784</v>
      </c>
      <c r="I309" s="5"/>
    </row>
    <row r="310" spans="1:9">
      <c r="A310" s="5" t="str">
        <f t="shared" si="4"/>
        <v>102170103</v>
      </c>
      <c r="B310" s="58">
        <v>52000310</v>
      </c>
      <c r="C310" s="5" t="s">
        <v>105</v>
      </c>
      <c r="D310" s="5" t="s">
        <v>1801</v>
      </c>
      <c r="E310" s="73">
        <v>1021701</v>
      </c>
      <c r="F310" s="73"/>
      <c r="G310" s="73">
        <v>3</v>
      </c>
      <c r="H310" s="5" t="s">
        <v>785</v>
      </c>
      <c r="I310" s="5"/>
    </row>
    <row r="311" spans="1:9">
      <c r="A311" s="5" t="str">
        <f t="shared" si="4"/>
        <v>102170104</v>
      </c>
      <c r="B311" s="58">
        <v>73000210</v>
      </c>
      <c r="C311" s="5" t="s">
        <v>116</v>
      </c>
      <c r="D311" s="5" t="s">
        <v>1801</v>
      </c>
      <c r="E311" s="73">
        <v>1021701</v>
      </c>
      <c r="F311" s="73">
        <v>102170103</v>
      </c>
      <c r="G311" s="73">
        <v>4</v>
      </c>
      <c r="H311" s="5" t="s">
        <v>786</v>
      </c>
      <c r="I311" s="5"/>
    </row>
    <row r="312" spans="1:9">
      <c r="A312" s="5" t="str">
        <f t="shared" si="4"/>
        <v>102170105</v>
      </c>
      <c r="B312" s="58">
        <v>51000210</v>
      </c>
      <c r="C312" s="5" t="s">
        <v>90</v>
      </c>
      <c r="D312" s="5" t="s">
        <v>1801</v>
      </c>
      <c r="E312" s="73">
        <v>1021701</v>
      </c>
      <c r="F312" s="73">
        <v>102170103</v>
      </c>
      <c r="G312" s="73">
        <v>5</v>
      </c>
      <c r="H312" s="5" t="s">
        <v>787</v>
      </c>
      <c r="I312" s="5"/>
    </row>
    <row r="313" spans="1:9">
      <c r="A313" s="5" t="str">
        <f t="shared" si="4"/>
        <v>102170106</v>
      </c>
      <c r="B313" s="58">
        <v>73000210</v>
      </c>
      <c r="C313" s="5" t="s">
        <v>116</v>
      </c>
      <c r="D313" s="5" t="s">
        <v>1801</v>
      </c>
      <c r="E313" s="73">
        <v>1021701</v>
      </c>
      <c r="F313" s="73">
        <v>102170103</v>
      </c>
      <c r="G313" s="73">
        <v>6</v>
      </c>
      <c r="H313" s="5" t="s">
        <v>788</v>
      </c>
      <c r="I313" s="5"/>
    </row>
    <row r="314" spans="1:9">
      <c r="A314" s="5" t="str">
        <f t="shared" si="4"/>
        <v>102170107</v>
      </c>
      <c r="B314" s="58">
        <v>51000210</v>
      </c>
      <c r="C314" s="5" t="s">
        <v>90</v>
      </c>
      <c r="D314" s="5" t="s">
        <v>1801</v>
      </c>
      <c r="E314" s="73">
        <v>1021701</v>
      </c>
      <c r="F314" s="73">
        <v>102170103</v>
      </c>
      <c r="G314" s="73">
        <v>7</v>
      </c>
      <c r="H314" s="5" t="s">
        <v>789</v>
      </c>
      <c r="I314" s="5"/>
    </row>
    <row r="315" spans="1:9">
      <c r="A315" s="5" t="str">
        <f t="shared" si="4"/>
        <v>102170108</v>
      </c>
      <c r="B315" s="58">
        <v>33000110</v>
      </c>
      <c r="C315" s="5" t="s">
        <v>124</v>
      </c>
      <c r="D315" s="5" t="s">
        <v>1801</v>
      </c>
      <c r="E315" s="73">
        <v>1021701</v>
      </c>
      <c r="F315" s="73">
        <v>102170103</v>
      </c>
      <c r="G315" s="73">
        <v>8</v>
      </c>
      <c r="H315" s="5" t="s">
        <v>790</v>
      </c>
      <c r="I315" s="5"/>
    </row>
    <row r="316" spans="1:9">
      <c r="A316" s="5" t="str">
        <f t="shared" si="4"/>
        <v>102170109</v>
      </c>
      <c r="B316" s="58">
        <v>73000210</v>
      </c>
      <c r="C316" s="5" t="s">
        <v>116</v>
      </c>
      <c r="D316" s="5" t="s">
        <v>1801</v>
      </c>
      <c r="E316" s="73">
        <v>1021701</v>
      </c>
      <c r="F316" s="73">
        <v>102170103</v>
      </c>
      <c r="G316" s="73">
        <v>9</v>
      </c>
      <c r="H316" s="5" t="s">
        <v>791</v>
      </c>
      <c r="I316" s="5"/>
    </row>
    <row r="317" spans="1:9">
      <c r="A317" s="5" t="str">
        <f t="shared" si="4"/>
        <v>102190101</v>
      </c>
      <c r="B317" s="58">
        <v>93000510</v>
      </c>
      <c r="C317" s="5" t="s">
        <v>114</v>
      </c>
      <c r="D317" s="5" t="s">
        <v>1802</v>
      </c>
      <c r="E317" s="73">
        <v>1021901</v>
      </c>
      <c r="F317" s="73"/>
      <c r="G317" s="73">
        <v>1</v>
      </c>
      <c r="H317" s="5" t="s">
        <v>792</v>
      </c>
      <c r="I317" s="5"/>
    </row>
    <row r="318" spans="1:9">
      <c r="A318" s="5" t="str">
        <f t="shared" si="4"/>
        <v>102190102</v>
      </c>
      <c r="B318" s="58">
        <v>92000210</v>
      </c>
      <c r="C318" s="5" t="s">
        <v>92</v>
      </c>
      <c r="D318" s="5" t="s">
        <v>1802</v>
      </c>
      <c r="E318" s="73">
        <v>1021901</v>
      </c>
      <c r="F318" s="73">
        <v>102190101</v>
      </c>
      <c r="G318" s="73">
        <v>2</v>
      </c>
      <c r="H318" s="5" t="s">
        <v>793</v>
      </c>
      <c r="I318" s="5"/>
    </row>
    <row r="319" spans="1:9">
      <c r="A319" s="5" t="str">
        <f t="shared" si="4"/>
        <v>102190103</v>
      </c>
      <c r="B319" s="58">
        <v>94000310</v>
      </c>
      <c r="C319" s="5" t="s">
        <v>128</v>
      </c>
      <c r="D319" s="5" t="s">
        <v>1802</v>
      </c>
      <c r="E319" s="73">
        <v>1021901</v>
      </c>
      <c r="F319" s="73"/>
      <c r="G319" s="73">
        <v>3</v>
      </c>
      <c r="H319" s="5" t="s">
        <v>794</v>
      </c>
      <c r="I319" s="5"/>
    </row>
    <row r="320" spans="1:9">
      <c r="A320" s="5" t="str">
        <f t="shared" si="4"/>
        <v>102190104</v>
      </c>
      <c r="B320" s="58">
        <v>92000210</v>
      </c>
      <c r="C320" s="5" t="s">
        <v>92</v>
      </c>
      <c r="D320" s="5" t="s">
        <v>1802</v>
      </c>
      <c r="E320" s="73">
        <v>1021901</v>
      </c>
      <c r="F320" s="73">
        <v>102190103</v>
      </c>
      <c r="G320" s="73">
        <v>4</v>
      </c>
      <c r="H320" s="5" t="s">
        <v>795</v>
      </c>
      <c r="I320" s="5"/>
    </row>
    <row r="321" spans="1:9">
      <c r="A321" s="5" t="str">
        <f t="shared" si="4"/>
        <v>102190105</v>
      </c>
      <c r="B321" s="58">
        <v>71000110</v>
      </c>
      <c r="C321" s="5" t="s">
        <v>86</v>
      </c>
      <c r="D321" s="5" t="s">
        <v>1802</v>
      </c>
      <c r="E321" s="73">
        <v>1021901</v>
      </c>
      <c r="F321" s="73"/>
      <c r="G321" s="73">
        <v>5</v>
      </c>
      <c r="H321" s="5" t="s">
        <v>796</v>
      </c>
      <c r="I321" s="5"/>
    </row>
    <row r="322" spans="1:9">
      <c r="A322" s="5" t="str">
        <f t="shared" si="4"/>
        <v>102190106</v>
      </c>
      <c r="B322" s="58">
        <v>92000210</v>
      </c>
      <c r="C322" s="5" t="s">
        <v>92</v>
      </c>
      <c r="D322" s="5" t="s">
        <v>1802</v>
      </c>
      <c r="E322" s="73">
        <v>1021901</v>
      </c>
      <c r="F322" s="73">
        <v>102190105</v>
      </c>
      <c r="G322" s="73">
        <v>6</v>
      </c>
      <c r="H322" s="5" t="s">
        <v>797</v>
      </c>
      <c r="I322" s="5"/>
    </row>
    <row r="323" spans="1:9">
      <c r="A323" s="5" t="str">
        <f t="shared" si="4"/>
        <v>102210101</v>
      </c>
      <c r="B323" s="58">
        <v>10000110</v>
      </c>
      <c r="C323" s="5" t="s">
        <v>416</v>
      </c>
      <c r="D323" s="5" t="s">
        <v>1803</v>
      </c>
      <c r="E323" s="73">
        <v>1022101</v>
      </c>
      <c r="F323" s="73"/>
      <c r="G323" s="73">
        <v>1</v>
      </c>
      <c r="H323" s="5" t="s">
        <v>798</v>
      </c>
      <c r="I323" s="5"/>
    </row>
    <row r="324" spans="1:9">
      <c r="A324" s="5" t="str">
        <f t="shared" si="4"/>
        <v>102210102</v>
      </c>
      <c r="B324" s="58">
        <v>32000110</v>
      </c>
      <c r="C324" s="5" t="s">
        <v>108</v>
      </c>
      <c r="D324" s="5" t="s">
        <v>1803</v>
      </c>
      <c r="E324" s="73">
        <v>1022101</v>
      </c>
      <c r="F324" s="73">
        <v>102210101</v>
      </c>
      <c r="G324" s="73">
        <v>2</v>
      </c>
      <c r="H324" s="5" t="s">
        <v>799</v>
      </c>
      <c r="I324" s="5"/>
    </row>
    <row r="325" spans="1:9">
      <c r="A325" s="5" t="str">
        <f t="shared" si="4"/>
        <v>102210103</v>
      </c>
      <c r="B325" s="58">
        <v>10000210</v>
      </c>
      <c r="C325" s="5" t="s">
        <v>1154</v>
      </c>
      <c r="D325" s="5" t="s">
        <v>1803</v>
      </c>
      <c r="E325" s="73">
        <v>1022101</v>
      </c>
      <c r="F325" s="73">
        <v>102210101</v>
      </c>
      <c r="G325" s="73">
        <v>3</v>
      </c>
      <c r="H325" s="5" t="s">
        <v>800</v>
      </c>
      <c r="I325" s="5"/>
    </row>
    <row r="326" spans="1:9">
      <c r="A326" s="5" t="str">
        <f t="shared" si="4"/>
        <v>102210104</v>
      </c>
      <c r="B326" s="58">
        <v>10000310</v>
      </c>
      <c r="C326" s="5" t="s">
        <v>1155</v>
      </c>
      <c r="D326" s="5" t="s">
        <v>1803</v>
      </c>
      <c r="E326" s="73">
        <v>1022101</v>
      </c>
      <c r="F326" s="73">
        <v>102210101</v>
      </c>
      <c r="G326" s="73">
        <v>4</v>
      </c>
      <c r="H326" s="5" t="s">
        <v>801</v>
      </c>
      <c r="I326" s="5"/>
    </row>
    <row r="327" spans="1:9">
      <c r="A327" s="5" t="str">
        <f t="shared" si="4"/>
        <v>102210105</v>
      </c>
      <c r="B327" s="58">
        <v>10000210</v>
      </c>
      <c r="C327" s="5" t="s">
        <v>1154</v>
      </c>
      <c r="D327" s="5" t="s">
        <v>1803</v>
      </c>
      <c r="E327" s="73">
        <v>1022101</v>
      </c>
      <c r="F327" s="73">
        <v>102210101</v>
      </c>
      <c r="G327" s="73">
        <v>5</v>
      </c>
      <c r="H327" s="5" t="s">
        <v>802</v>
      </c>
      <c r="I327" s="5"/>
    </row>
    <row r="328" spans="1:9">
      <c r="A328" s="5" t="str">
        <f t="shared" si="4"/>
        <v>102210106</v>
      </c>
      <c r="B328" s="58">
        <v>10000310</v>
      </c>
      <c r="C328" s="5" t="s">
        <v>1155</v>
      </c>
      <c r="D328" s="5" t="s">
        <v>1803</v>
      </c>
      <c r="E328" s="73">
        <v>1022101</v>
      </c>
      <c r="F328" s="73">
        <v>102210101</v>
      </c>
      <c r="G328" s="73">
        <v>6</v>
      </c>
      <c r="H328" s="5" t="s">
        <v>803</v>
      </c>
      <c r="I328" s="5"/>
    </row>
    <row r="329" spans="1:9">
      <c r="A329" s="5" t="str">
        <f t="shared" si="4"/>
        <v>103000101</v>
      </c>
      <c r="B329" s="58">
        <v>92000310</v>
      </c>
      <c r="C329" s="5" t="s">
        <v>93</v>
      </c>
      <c r="D329" s="5" t="s">
        <v>1156</v>
      </c>
      <c r="E329" s="73">
        <v>1030001</v>
      </c>
      <c r="F329" s="73"/>
      <c r="G329" s="73">
        <v>1</v>
      </c>
      <c r="H329" s="5" t="s">
        <v>804</v>
      </c>
      <c r="I329" s="5"/>
    </row>
    <row r="330" spans="1:9">
      <c r="A330" s="5" t="str">
        <f t="shared" si="4"/>
        <v>103000102</v>
      </c>
      <c r="B330" s="58">
        <v>53000410</v>
      </c>
      <c r="C330" s="5" t="s">
        <v>123</v>
      </c>
      <c r="D330" s="5" t="s">
        <v>1156</v>
      </c>
      <c r="E330" s="73">
        <v>1030001</v>
      </c>
      <c r="F330" s="73"/>
      <c r="G330" s="73">
        <v>2</v>
      </c>
      <c r="H330" s="5" t="s">
        <v>805</v>
      </c>
      <c r="I330" s="5"/>
    </row>
    <row r="331" spans="1:9">
      <c r="A331" s="5" t="str">
        <f t="shared" si="4"/>
        <v>103000103</v>
      </c>
      <c r="B331" s="58">
        <v>91000210</v>
      </c>
      <c r="C331" s="5" t="s">
        <v>85</v>
      </c>
      <c r="D331" s="5" t="s">
        <v>1156</v>
      </c>
      <c r="E331" s="73">
        <v>1030001</v>
      </c>
      <c r="F331" s="73">
        <v>103000102</v>
      </c>
      <c r="G331" s="73">
        <v>3</v>
      </c>
      <c r="H331" s="5" t="s">
        <v>806</v>
      </c>
      <c r="I331" s="5"/>
    </row>
    <row r="332" spans="1:9">
      <c r="A332" s="5" t="str">
        <f t="shared" si="4"/>
        <v>103000104</v>
      </c>
      <c r="B332" s="58">
        <v>53000410</v>
      </c>
      <c r="C332" s="5" t="s">
        <v>123</v>
      </c>
      <c r="D332" s="5" t="s">
        <v>1156</v>
      </c>
      <c r="E332" s="73">
        <v>1030001</v>
      </c>
      <c r="F332" s="73">
        <v>103000102</v>
      </c>
      <c r="G332" s="73">
        <v>4</v>
      </c>
      <c r="H332" s="5" t="s">
        <v>807</v>
      </c>
      <c r="I332" s="5"/>
    </row>
    <row r="333" spans="1:9">
      <c r="A333" s="5" t="str">
        <f t="shared" ref="A333:A395" si="5">(E333*10)&amp;G333</f>
        <v>103000105</v>
      </c>
      <c r="B333" s="97">
        <v>32000110</v>
      </c>
      <c r="C333" s="96" t="s">
        <v>2023</v>
      </c>
      <c r="D333" s="5" t="s">
        <v>1156</v>
      </c>
      <c r="E333" s="73">
        <v>1030001</v>
      </c>
      <c r="F333" s="73"/>
      <c r="G333" s="95">
        <v>5</v>
      </c>
      <c r="H333" s="5" t="s">
        <v>808</v>
      </c>
      <c r="I333" s="5"/>
    </row>
    <row r="334" spans="1:9">
      <c r="A334" s="5" t="str">
        <f t="shared" ref="A334" si="6">(E334*10)&amp;G334</f>
        <v>103000106</v>
      </c>
      <c r="B334" s="58">
        <v>91000210</v>
      </c>
      <c r="C334" s="5" t="s">
        <v>85</v>
      </c>
      <c r="D334" s="5" t="s">
        <v>2024</v>
      </c>
      <c r="E334" s="73">
        <v>1030001</v>
      </c>
      <c r="F334" s="95">
        <v>103000105</v>
      </c>
      <c r="G334" s="95">
        <v>6</v>
      </c>
      <c r="H334" s="5" t="s">
        <v>809</v>
      </c>
      <c r="I334" s="5"/>
    </row>
    <row r="335" spans="1:9">
      <c r="A335" s="96" t="str">
        <f t="shared" si="5"/>
        <v>103000107</v>
      </c>
      <c r="B335" s="97">
        <v>91000210</v>
      </c>
      <c r="C335" s="96" t="s">
        <v>85</v>
      </c>
      <c r="D335" s="96" t="s">
        <v>1156</v>
      </c>
      <c r="E335" s="95">
        <v>1030001</v>
      </c>
      <c r="F335" s="95">
        <v>103000105</v>
      </c>
      <c r="G335" s="95">
        <v>7</v>
      </c>
      <c r="H335" s="96" t="s">
        <v>2025</v>
      </c>
      <c r="I335" s="96"/>
    </row>
    <row r="336" spans="1:9">
      <c r="A336" s="5" t="str">
        <f t="shared" si="5"/>
        <v>103000201</v>
      </c>
      <c r="B336" s="100">
        <v>92000210</v>
      </c>
      <c r="C336" s="101" t="s">
        <v>92</v>
      </c>
      <c r="D336" s="101" t="s">
        <v>1157</v>
      </c>
      <c r="E336" s="102">
        <v>1030002</v>
      </c>
      <c r="F336" s="102"/>
      <c r="G336" s="102">
        <v>1</v>
      </c>
      <c r="H336" s="101" t="s">
        <v>810</v>
      </c>
      <c r="I336" s="101"/>
    </row>
    <row r="337" spans="1:9">
      <c r="A337" s="5" t="str">
        <f t="shared" si="5"/>
        <v>103000202</v>
      </c>
      <c r="B337" s="58">
        <v>71000110</v>
      </c>
      <c r="C337" s="5" t="s">
        <v>86</v>
      </c>
      <c r="D337" s="5" t="s">
        <v>1157</v>
      </c>
      <c r="E337" s="73">
        <v>1030002</v>
      </c>
      <c r="F337" s="73">
        <v>103000201</v>
      </c>
      <c r="G337" s="73">
        <v>2</v>
      </c>
      <c r="H337" s="5" t="s">
        <v>811</v>
      </c>
      <c r="I337" s="5"/>
    </row>
    <row r="338" spans="1:9">
      <c r="A338" s="5" t="str">
        <f t="shared" si="5"/>
        <v>103000203</v>
      </c>
      <c r="B338" s="58">
        <v>93000510</v>
      </c>
      <c r="C338" s="5" t="s">
        <v>114</v>
      </c>
      <c r="D338" s="5" t="s">
        <v>1157</v>
      </c>
      <c r="E338" s="73">
        <v>1030002</v>
      </c>
      <c r="F338" s="73"/>
      <c r="G338" s="73">
        <v>3</v>
      </c>
      <c r="H338" s="5" t="s">
        <v>812</v>
      </c>
      <c r="I338" s="5"/>
    </row>
    <row r="339" spans="1:9">
      <c r="A339" s="5" t="str">
        <f t="shared" si="5"/>
        <v>103000204</v>
      </c>
      <c r="B339" s="58">
        <v>71000110</v>
      </c>
      <c r="C339" s="5" t="s">
        <v>86</v>
      </c>
      <c r="D339" s="5" t="s">
        <v>1157</v>
      </c>
      <c r="E339" s="73">
        <v>1030002</v>
      </c>
      <c r="F339" s="73">
        <v>103000203</v>
      </c>
      <c r="G339" s="73">
        <v>4</v>
      </c>
      <c r="H339" s="5" t="s">
        <v>813</v>
      </c>
      <c r="I339" s="5"/>
    </row>
    <row r="340" spans="1:9">
      <c r="A340" s="5" t="str">
        <f t="shared" si="5"/>
        <v>103000205</v>
      </c>
      <c r="B340" s="97">
        <v>31000110</v>
      </c>
      <c r="C340" s="96" t="s">
        <v>2026</v>
      </c>
      <c r="D340" s="5" t="s">
        <v>1157</v>
      </c>
      <c r="E340" s="73">
        <v>1030002</v>
      </c>
      <c r="F340" s="73"/>
      <c r="G340" s="73">
        <v>5</v>
      </c>
      <c r="H340" s="5" t="s">
        <v>814</v>
      </c>
      <c r="I340" s="5"/>
    </row>
    <row r="341" spans="1:9">
      <c r="A341" s="5" t="str">
        <f t="shared" si="5"/>
        <v>103000206</v>
      </c>
      <c r="B341" s="58">
        <v>71000110</v>
      </c>
      <c r="C341" s="5" t="s">
        <v>86</v>
      </c>
      <c r="D341" s="5" t="s">
        <v>1157</v>
      </c>
      <c r="E341" s="73">
        <v>1030002</v>
      </c>
      <c r="F341" s="73">
        <v>103000205</v>
      </c>
      <c r="G341" s="73">
        <v>6</v>
      </c>
      <c r="H341" s="5" t="s">
        <v>815</v>
      </c>
      <c r="I341" s="5"/>
    </row>
    <row r="342" spans="1:9">
      <c r="A342" s="5" t="str">
        <f t="shared" si="5"/>
        <v>103000207</v>
      </c>
      <c r="B342" s="58">
        <v>33000210</v>
      </c>
      <c r="C342" s="5" t="s">
        <v>125</v>
      </c>
      <c r="D342" s="5" t="s">
        <v>1157</v>
      </c>
      <c r="E342" s="73">
        <v>1030002</v>
      </c>
      <c r="F342" s="73"/>
      <c r="G342" s="73">
        <v>7</v>
      </c>
      <c r="H342" s="5" t="s">
        <v>816</v>
      </c>
      <c r="I342" s="5"/>
    </row>
    <row r="343" spans="1:9">
      <c r="A343" s="5" t="str">
        <f t="shared" si="5"/>
        <v>103000208</v>
      </c>
      <c r="B343" s="58">
        <v>71000110</v>
      </c>
      <c r="C343" s="5" t="s">
        <v>86</v>
      </c>
      <c r="D343" s="5" t="s">
        <v>1157</v>
      </c>
      <c r="E343" s="73">
        <v>1030002</v>
      </c>
      <c r="F343" s="73">
        <v>103000207</v>
      </c>
      <c r="G343" s="73">
        <v>8</v>
      </c>
      <c r="H343" s="5" t="s">
        <v>817</v>
      </c>
      <c r="I343" s="5"/>
    </row>
    <row r="344" spans="1:9">
      <c r="A344" s="5" t="str">
        <f t="shared" si="5"/>
        <v>103000301</v>
      </c>
      <c r="B344" s="58">
        <v>53000310</v>
      </c>
      <c r="C344" s="5" t="s">
        <v>122</v>
      </c>
      <c r="D344" s="5" t="s">
        <v>1158</v>
      </c>
      <c r="E344" s="73">
        <v>1030003</v>
      </c>
      <c r="F344" s="73"/>
      <c r="G344" s="73">
        <v>1</v>
      </c>
      <c r="H344" s="5" t="s">
        <v>818</v>
      </c>
      <c r="I344" s="5"/>
    </row>
    <row r="345" spans="1:9">
      <c r="A345" s="5" t="str">
        <f t="shared" si="5"/>
        <v>103000302</v>
      </c>
      <c r="B345" s="58">
        <v>31000110</v>
      </c>
      <c r="C345" s="5" t="s">
        <v>91</v>
      </c>
      <c r="D345" s="5" t="s">
        <v>1158</v>
      </c>
      <c r="E345" s="73">
        <v>1030003</v>
      </c>
      <c r="F345" s="73">
        <v>103000301</v>
      </c>
      <c r="G345" s="73">
        <v>2</v>
      </c>
      <c r="H345" s="5" t="s">
        <v>819</v>
      </c>
      <c r="I345" s="5"/>
    </row>
    <row r="346" spans="1:9">
      <c r="A346" s="5" t="str">
        <f t="shared" si="5"/>
        <v>103000303</v>
      </c>
      <c r="B346" s="58">
        <v>52000210</v>
      </c>
      <c r="C346" s="5" t="s">
        <v>104</v>
      </c>
      <c r="D346" s="5" t="s">
        <v>1158</v>
      </c>
      <c r="E346" s="73">
        <v>1030003</v>
      </c>
      <c r="F346" s="73"/>
      <c r="G346" s="73">
        <v>3</v>
      </c>
      <c r="H346" s="5" t="s">
        <v>820</v>
      </c>
      <c r="I346" s="5"/>
    </row>
    <row r="347" spans="1:9">
      <c r="A347" s="5" t="str">
        <f t="shared" si="5"/>
        <v>103000304</v>
      </c>
      <c r="B347" s="58">
        <v>71000210</v>
      </c>
      <c r="C347" s="5" t="s">
        <v>87</v>
      </c>
      <c r="D347" s="5" t="s">
        <v>1158</v>
      </c>
      <c r="E347" s="73">
        <v>1030003</v>
      </c>
      <c r="F347" s="73">
        <v>103000303</v>
      </c>
      <c r="G347" s="73">
        <v>4</v>
      </c>
      <c r="H347" s="5" t="s">
        <v>821</v>
      </c>
      <c r="I347" s="5"/>
    </row>
    <row r="348" spans="1:9">
      <c r="A348" s="5" t="str">
        <f t="shared" si="5"/>
        <v>103000305</v>
      </c>
      <c r="B348" s="97">
        <v>72000210</v>
      </c>
      <c r="C348" s="96" t="s">
        <v>97</v>
      </c>
      <c r="D348" s="5" t="s">
        <v>1158</v>
      </c>
      <c r="E348" s="73">
        <v>1030003</v>
      </c>
      <c r="F348" s="73">
        <v>103000303</v>
      </c>
      <c r="G348" s="73">
        <v>5</v>
      </c>
      <c r="H348" s="5" t="s">
        <v>822</v>
      </c>
      <c r="I348" s="5"/>
    </row>
    <row r="349" spans="1:9">
      <c r="A349" s="5" t="str">
        <f t="shared" si="5"/>
        <v>103000306</v>
      </c>
      <c r="B349" s="97">
        <v>53000210</v>
      </c>
      <c r="C349" s="96" t="s">
        <v>121</v>
      </c>
      <c r="D349" s="5" t="s">
        <v>1158</v>
      </c>
      <c r="E349" s="73">
        <v>1030003</v>
      </c>
      <c r="F349" s="73">
        <v>103000303</v>
      </c>
      <c r="G349" s="73">
        <v>6</v>
      </c>
      <c r="H349" s="5" t="s">
        <v>823</v>
      </c>
      <c r="I349" s="5"/>
    </row>
    <row r="350" spans="1:9">
      <c r="A350" s="5" t="str">
        <f t="shared" si="5"/>
        <v>103000307</v>
      </c>
      <c r="B350" s="58">
        <v>31000110</v>
      </c>
      <c r="C350" s="5" t="s">
        <v>91</v>
      </c>
      <c r="D350" s="5" t="s">
        <v>1158</v>
      </c>
      <c r="E350" s="73">
        <v>1030003</v>
      </c>
      <c r="F350" s="73">
        <v>103000303</v>
      </c>
      <c r="G350" s="73">
        <v>7</v>
      </c>
      <c r="H350" s="5" t="s">
        <v>824</v>
      </c>
      <c r="I350" s="5"/>
    </row>
    <row r="351" spans="1:9">
      <c r="A351" s="5" t="str">
        <f t="shared" si="5"/>
        <v>103000308</v>
      </c>
      <c r="B351" s="58">
        <v>53000310</v>
      </c>
      <c r="C351" s="5" t="s">
        <v>122</v>
      </c>
      <c r="D351" s="5" t="s">
        <v>1158</v>
      </c>
      <c r="E351" s="73">
        <v>1030003</v>
      </c>
      <c r="F351" s="73">
        <v>103000303</v>
      </c>
      <c r="G351" s="73">
        <v>8</v>
      </c>
      <c r="H351" s="5" t="s">
        <v>825</v>
      </c>
      <c r="I351" s="5"/>
    </row>
    <row r="352" spans="1:9">
      <c r="A352" s="5" t="str">
        <f t="shared" si="5"/>
        <v>103000401</v>
      </c>
      <c r="B352" s="58">
        <v>72000710</v>
      </c>
      <c r="C352" s="5" t="s">
        <v>102</v>
      </c>
      <c r="D352" s="5" t="s">
        <v>1159</v>
      </c>
      <c r="E352" s="73">
        <v>1030004</v>
      </c>
      <c r="F352" s="73"/>
      <c r="G352" s="73">
        <v>1</v>
      </c>
      <c r="H352" s="5" t="s">
        <v>826</v>
      </c>
      <c r="I352" s="5"/>
    </row>
    <row r="353" spans="1:9">
      <c r="A353" s="5" t="str">
        <f t="shared" si="5"/>
        <v>103000402</v>
      </c>
      <c r="B353" s="58">
        <v>71000310</v>
      </c>
      <c r="C353" s="5" t="s">
        <v>88</v>
      </c>
      <c r="D353" s="5" t="s">
        <v>1159</v>
      </c>
      <c r="E353" s="73">
        <v>1030004</v>
      </c>
      <c r="F353" s="73">
        <v>103000401</v>
      </c>
      <c r="G353" s="73">
        <v>2</v>
      </c>
      <c r="H353" s="5" t="s">
        <v>827</v>
      </c>
      <c r="I353" s="5"/>
    </row>
    <row r="354" spans="1:9">
      <c r="A354" s="5" t="str">
        <f t="shared" si="5"/>
        <v>103000403</v>
      </c>
      <c r="B354" s="58">
        <v>73000310</v>
      </c>
      <c r="C354" s="5" t="s">
        <v>117</v>
      </c>
      <c r="D354" s="5" t="s">
        <v>1159</v>
      </c>
      <c r="E354" s="73">
        <v>1030004</v>
      </c>
      <c r="F354" s="95">
        <v>103000401</v>
      </c>
      <c r="G354" s="73">
        <v>3</v>
      </c>
      <c r="H354" s="5" t="s">
        <v>828</v>
      </c>
      <c r="I354" s="5"/>
    </row>
    <row r="355" spans="1:9">
      <c r="A355" s="5" t="str">
        <f t="shared" si="5"/>
        <v>103000404</v>
      </c>
      <c r="B355" s="58">
        <v>71000110</v>
      </c>
      <c r="C355" s="5" t="s">
        <v>86</v>
      </c>
      <c r="D355" s="5" t="s">
        <v>1159</v>
      </c>
      <c r="E355" s="73">
        <v>1030004</v>
      </c>
      <c r="F355" s="73"/>
      <c r="G355" s="73">
        <v>4</v>
      </c>
      <c r="H355" s="5" t="s">
        <v>829</v>
      </c>
      <c r="I355" s="5"/>
    </row>
    <row r="356" spans="1:9">
      <c r="A356" s="5" t="str">
        <f t="shared" si="5"/>
        <v>103000405</v>
      </c>
      <c r="B356" s="58">
        <v>71000310</v>
      </c>
      <c r="C356" s="5" t="s">
        <v>88</v>
      </c>
      <c r="D356" s="5" t="s">
        <v>1159</v>
      </c>
      <c r="E356" s="73">
        <v>1030004</v>
      </c>
      <c r="F356" s="73">
        <v>103000404</v>
      </c>
      <c r="G356" s="73">
        <v>5</v>
      </c>
      <c r="H356" s="5" t="s">
        <v>830</v>
      </c>
      <c r="I356" s="5"/>
    </row>
    <row r="357" spans="1:9">
      <c r="A357" s="5" t="str">
        <f t="shared" si="5"/>
        <v>103000406</v>
      </c>
      <c r="B357" s="58">
        <v>71000110</v>
      </c>
      <c r="C357" s="5" t="s">
        <v>86</v>
      </c>
      <c r="D357" s="5" t="s">
        <v>1159</v>
      </c>
      <c r="E357" s="73">
        <v>1030004</v>
      </c>
      <c r="F357" s="73">
        <v>103000404</v>
      </c>
      <c r="G357" s="73">
        <v>6</v>
      </c>
      <c r="H357" s="5" t="s">
        <v>831</v>
      </c>
      <c r="I357" s="5"/>
    </row>
    <row r="358" spans="1:9">
      <c r="A358" s="5" t="str">
        <f t="shared" si="5"/>
        <v>103000407</v>
      </c>
      <c r="B358" s="58">
        <v>72000110</v>
      </c>
      <c r="C358" s="5" t="s">
        <v>96</v>
      </c>
      <c r="D358" s="5" t="s">
        <v>1159</v>
      </c>
      <c r="E358" s="73">
        <v>1030004</v>
      </c>
      <c r="F358" s="73"/>
      <c r="G358" s="73">
        <v>7</v>
      </c>
      <c r="H358" s="5" t="s">
        <v>832</v>
      </c>
      <c r="I358" s="5"/>
    </row>
    <row r="359" spans="1:9">
      <c r="A359" s="5" t="str">
        <f t="shared" si="5"/>
        <v>103000408</v>
      </c>
      <c r="B359" s="58">
        <v>71000310</v>
      </c>
      <c r="C359" s="5" t="s">
        <v>88</v>
      </c>
      <c r="D359" s="5" t="s">
        <v>1159</v>
      </c>
      <c r="E359" s="73">
        <v>1030004</v>
      </c>
      <c r="F359" s="73">
        <v>103000407</v>
      </c>
      <c r="G359" s="73">
        <v>8</v>
      </c>
      <c r="H359" s="5" t="s">
        <v>833</v>
      </c>
      <c r="I359" s="5"/>
    </row>
    <row r="360" spans="1:9">
      <c r="A360" s="5" t="str">
        <f t="shared" si="5"/>
        <v>103000501</v>
      </c>
      <c r="B360" s="58">
        <v>73000210</v>
      </c>
      <c r="C360" s="5" t="s">
        <v>116</v>
      </c>
      <c r="D360" s="5" t="s">
        <v>1160</v>
      </c>
      <c r="E360" s="73">
        <v>1030005</v>
      </c>
      <c r="F360" s="73"/>
      <c r="G360" s="73">
        <v>1</v>
      </c>
      <c r="H360" s="5" t="s">
        <v>834</v>
      </c>
      <c r="I360" s="5"/>
    </row>
    <row r="361" spans="1:9">
      <c r="A361" s="5" t="str">
        <f t="shared" si="5"/>
        <v>103000502</v>
      </c>
      <c r="B361" s="58">
        <v>51000210</v>
      </c>
      <c r="C361" s="5" t="s">
        <v>90</v>
      </c>
      <c r="D361" s="5" t="s">
        <v>1160</v>
      </c>
      <c r="E361" s="73">
        <v>1030005</v>
      </c>
      <c r="F361" s="73">
        <v>103000501</v>
      </c>
      <c r="G361" s="73">
        <v>2</v>
      </c>
      <c r="H361" s="5" t="s">
        <v>835</v>
      </c>
      <c r="I361" s="5"/>
    </row>
    <row r="362" spans="1:9">
      <c r="A362" s="5" t="str">
        <f t="shared" si="5"/>
        <v>103000503</v>
      </c>
      <c r="B362" s="58">
        <v>73000210</v>
      </c>
      <c r="C362" s="5" t="s">
        <v>116</v>
      </c>
      <c r="D362" s="5" t="s">
        <v>1160</v>
      </c>
      <c r="E362" s="73">
        <v>1030005</v>
      </c>
      <c r="F362" s="73">
        <v>103000501</v>
      </c>
      <c r="G362" s="73">
        <v>3</v>
      </c>
      <c r="H362" s="5" t="s">
        <v>836</v>
      </c>
      <c r="I362" s="5"/>
    </row>
    <row r="363" spans="1:9">
      <c r="A363" s="5" t="str">
        <f t="shared" si="5"/>
        <v>103000504</v>
      </c>
      <c r="B363" s="97">
        <v>73000210</v>
      </c>
      <c r="C363" s="96" t="s">
        <v>116</v>
      </c>
      <c r="D363" s="5" t="s">
        <v>1160</v>
      </c>
      <c r="E363" s="73">
        <v>1030005</v>
      </c>
      <c r="F363" s="73"/>
      <c r="G363" s="73">
        <v>4</v>
      </c>
      <c r="H363" s="5" t="s">
        <v>837</v>
      </c>
      <c r="I363" s="5"/>
    </row>
    <row r="364" spans="1:9">
      <c r="A364" s="5" t="str">
        <f t="shared" si="5"/>
        <v>103000505</v>
      </c>
      <c r="B364" s="58">
        <v>51000210</v>
      </c>
      <c r="C364" s="5" t="s">
        <v>90</v>
      </c>
      <c r="D364" s="5" t="s">
        <v>1160</v>
      </c>
      <c r="E364" s="73">
        <v>1030005</v>
      </c>
      <c r="F364" s="73">
        <v>103000504</v>
      </c>
      <c r="G364" s="73">
        <v>5</v>
      </c>
      <c r="H364" s="5" t="s">
        <v>838</v>
      </c>
      <c r="I364" s="5"/>
    </row>
    <row r="365" spans="1:9">
      <c r="A365" s="5" t="str">
        <f t="shared" si="5"/>
        <v>103000506</v>
      </c>
      <c r="B365" s="97">
        <v>53000410</v>
      </c>
      <c r="C365" s="96" t="s">
        <v>2027</v>
      </c>
      <c r="D365" s="5" t="s">
        <v>1160</v>
      </c>
      <c r="E365" s="73">
        <v>1030005</v>
      </c>
      <c r="F365" s="73">
        <v>103000504</v>
      </c>
      <c r="G365" s="73">
        <v>6</v>
      </c>
      <c r="H365" s="5" t="s">
        <v>839</v>
      </c>
      <c r="I365" s="5"/>
    </row>
    <row r="366" spans="1:9">
      <c r="A366" s="5" t="str">
        <f t="shared" si="5"/>
        <v>103000507</v>
      </c>
      <c r="B366" s="58">
        <v>51000210</v>
      </c>
      <c r="C366" s="5" t="s">
        <v>90</v>
      </c>
      <c r="D366" s="5" t="s">
        <v>1160</v>
      </c>
      <c r="E366" s="73">
        <v>1030005</v>
      </c>
      <c r="F366" s="73">
        <v>103000504</v>
      </c>
      <c r="G366" s="73">
        <v>7</v>
      </c>
      <c r="H366" s="5" t="s">
        <v>840</v>
      </c>
      <c r="I366" s="5"/>
    </row>
    <row r="367" spans="1:9">
      <c r="A367" s="5" t="str">
        <f t="shared" si="5"/>
        <v>103000508</v>
      </c>
      <c r="B367" s="58">
        <v>73000210</v>
      </c>
      <c r="C367" s="5" t="s">
        <v>116</v>
      </c>
      <c r="D367" s="5" t="s">
        <v>1160</v>
      </c>
      <c r="E367" s="73">
        <v>1030005</v>
      </c>
      <c r="F367" s="73">
        <v>103000504</v>
      </c>
      <c r="G367" s="73">
        <v>8</v>
      </c>
      <c r="H367" s="5" t="s">
        <v>841</v>
      </c>
      <c r="I367" s="5"/>
    </row>
    <row r="368" spans="1:9">
      <c r="A368" s="5" t="str">
        <f t="shared" si="5"/>
        <v>103000601</v>
      </c>
      <c r="B368" s="58">
        <v>71000210</v>
      </c>
      <c r="C368" s="5" t="s">
        <v>87</v>
      </c>
      <c r="D368" s="5" t="s">
        <v>1161</v>
      </c>
      <c r="E368" s="73">
        <v>1030006</v>
      </c>
      <c r="F368" s="73"/>
      <c r="G368" s="73">
        <v>1</v>
      </c>
      <c r="H368" s="5" t="s">
        <v>842</v>
      </c>
      <c r="I368" s="5"/>
    </row>
    <row r="369" spans="1:9">
      <c r="A369" s="5" t="str">
        <f t="shared" si="5"/>
        <v>103000602</v>
      </c>
      <c r="B369" s="58">
        <v>53000310</v>
      </c>
      <c r="C369" s="5" t="s">
        <v>122</v>
      </c>
      <c r="D369" s="5" t="s">
        <v>1161</v>
      </c>
      <c r="E369" s="73">
        <v>1030006</v>
      </c>
      <c r="F369" s="73">
        <v>103000601</v>
      </c>
      <c r="G369" s="73">
        <v>2</v>
      </c>
      <c r="H369" s="5" t="s">
        <v>843</v>
      </c>
      <c r="I369" s="5"/>
    </row>
    <row r="370" spans="1:9">
      <c r="A370" s="5" t="str">
        <f t="shared" si="5"/>
        <v>103000603</v>
      </c>
      <c r="B370" s="58">
        <v>31000110</v>
      </c>
      <c r="C370" s="5" t="s">
        <v>91</v>
      </c>
      <c r="D370" s="5" t="s">
        <v>1161</v>
      </c>
      <c r="E370" s="73">
        <v>1030006</v>
      </c>
      <c r="F370" s="73">
        <v>103000601</v>
      </c>
      <c r="G370" s="73">
        <v>3</v>
      </c>
      <c r="H370" s="5" t="s">
        <v>844</v>
      </c>
      <c r="I370" s="5"/>
    </row>
    <row r="371" spans="1:9">
      <c r="A371" s="5" t="str">
        <f t="shared" si="5"/>
        <v>103000701</v>
      </c>
      <c r="B371" s="58">
        <v>53000410</v>
      </c>
      <c r="C371" s="5" t="s">
        <v>123</v>
      </c>
      <c r="D371" s="5" t="s">
        <v>1162</v>
      </c>
      <c r="E371" s="73">
        <v>1030007</v>
      </c>
      <c r="F371" s="73"/>
      <c r="G371" s="73">
        <v>1</v>
      </c>
      <c r="H371" s="5" t="s">
        <v>845</v>
      </c>
      <c r="I371" s="5"/>
    </row>
    <row r="372" spans="1:9">
      <c r="A372" s="5" t="str">
        <f t="shared" si="5"/>
        <v>103000702</v>
      </c>
      <c r="B372" s="58">
        <v>92000310</v>
      </c>
      <c r="C372" s="5" t="s">
        <v>93</v>
      </c>
      <c r="D372" s="5" t="s">
        <v>1162</v>
      </c>
      <c r="E372" s="73">
        <v>1030007</v>
      </c>
      <c r="F372" s="73">
        <v>103000701</v>
      </c>
      <c r="G372" s="73">
        <v>2</v>
      </c>
      <c r="H372" s="5" t="s">
        <v>846</v>
      </c>
      <c r="I372" s="5"/>
    </row>
    <row r="373" spans="1:9">
      <c r="A373" s="5" t="str">
        <f t="shared" si="5"/>
        <v>103000703</v>
      </c>
      <c r="B373" s="58">
        <v>54000110</v>
      </c>
      <c r="C373" s="5" t="s">
        <v>131</v>
      </c>
      <c r="D373" s="5" t="s">
        <v>1162</v>
      </c>
      <c r="E373" s="73">
        <v>1030007</v>
      </c>
      <c r="F373" s="73">
        <v>103000701</v>
      </c>
      <c r="G373" s="73">
        <v>3</v>
      </c>
      <c r="H373" s="5" t="s">
        <v>847</v>
      </c>
      <c r="I373" s="5"/>
    </row>
    <row r="374" spans="1:9">
      <c r="A374" s="5" t="str">
        <f t="shared" si="5"/>
        <v>103000704</v>
      </c>
      <c r="B374" s="58">
        <v>92000310</v>
      </c>
      <c r="C374" s="5" t="s">
        <v>93</v>
      </c>
      <c r="D374" s="5" t="s">
        <v>1162</v>
      </c>
      <c r="E374" s="73">
        <v>1030007</v>
      </c>
      <c r="F374" s="73">
        <v>103000701</v>
      </c>
      <c r="G374" s="73">
        <v>4</v>
      </c>
      <c r="H374" s="5" t="s">
        <v>848</v>
      </c>
      <c r="I374" s="5"/>
    </row>
    <row r="375" spans="1:9">
      <c r="A375" s="5" t="str">
        <f t="shared" si="5"/>
        <v>103000705</v>
      </c>
      <c r="B375" s="58">
        <v>93000410</v>
      </c>
      <c r="C375" s="5" t="s">
        <v>113</v>
      </c>
      <c r="D375" s="5" t="s">
        <v>1162</v>
      </c>
      <c r="E375" s="73">
        <v>1030007</v>
      </c>
      <c r="F375" s="73"/>
      <c r="G375" s="73">
        <v>5</v>
      </c>
      <c r="H375" s="5" t="s">
        <v>849</v>
      </c>
      <c r="I375" s="5"/>
    </row>
    <row r="376" spans="1:9">
      <c r="A376" s="5" t="str">
        <f t="shared" si="5"/>
        <v>103000706</v>
      </c>
      <c r="B376" s="58">
        <v>92000310</v>
      </c>
      <c r="C376" s="5" t="s">
        <v>93</v>
      </c>
      <c r="D376" s="5" t="s">
        <v>1162</v>
      </c>
      <c r="E376" s="73">
        <v>1030007</v>
      </c>
      <c r="F376" s="73">
        <v>103000705</v>
      </c>
      <c r="G376" s="73">
        <v>6</v>
      </c>
      <c r="H376" s="5" t="s">
        <v>850</v>
      </c>
      <c r="I376" s="5"/>
    </row>
    <row r="377" spans="1:9">
      <c r="A377" s="5" t="str">
        <f t="shared" si="5"/>
        <v>103000707</v>
      </c>
      <c r="B377" s="58">
        <v>10000110</v>
      </c>
      <c r="C377" s="5" t="s">
        <v>416</v>
      </c>
      <c r="D377" s="5" t="s">
        <v>1162</v>
      </c>
      <c r="E377" s="73">
        <v>1030007</v>
      </c>
      <c r="F377" s="73"/>
      <c r="G377" s="73">
        <v>7</v>
      </c>
      <c r="H377" s="5" t="s">
        <v>851</v>
      </c>
      <c r="I377" s="5"/>
    </row>
    <row r="378" spans="1:9">
      <c r="A378" s="5" t="str">
        <f t="shared" si="5"/>
        <v>103000708</v>
      </c>
      <c r="B378" s="58">
        <v>92000310</v>
      </c>
      <c r="C378" s="5" t="s">
        <v>93</v>
      </c>
      <c r="D378" s="5" t="s">
        <v>1162</v>
      </c>
      <c r="E378" s="73">
        <v>1030007</v>
      </c>
      <c r="F378" s="73">
        <v>103000707</v>
      </c>
      <c r="G378" s="73">
        <v>8</v>
      </c>
      <c r="H378" s="5" t="s">
        <v>852</v>
      </c>
      <c r="I378" s="5"/>
    </row>
    <row r="379" spans="1:9">
      <c r="A379" s="5" t="str">
        <f t="shared" si="5"/>
        <v>103000801</v>
      </c>
      <c r="B379" s="58">
        <v>52000310</v>
      </c>
      <c r="C379" s="5" t="s">
        <v>105</v>
      </c>
      <c r="D379" s="5" t="s">
        <v>1163</v>
      </c>
      <c r="E379" s="73">
        <v>1030008</v>
      </c>
      <c r="F379" s="73"/>
      <c r="G379" s="73">
        <v>1</v>
      </c>
      <c r="H379" s="5" t="s">
        <v>853</v>
      </c>
      <c r="I379" s="5"/>
    </row>
    <row r="380" spans="1:9">
      <c r="A380" s="5" t="str">
        <f t="shared" si="5"/>
        <v>103000802</v>
      </c>
      <c r="B380" s="58">
        <v>33000210</v>
      </c>
      <c r="C380" s="5" t="s">
        <v>125</v>
      </c>
      <c r="D380" s="5" t="s">
        <v>1163</v>
      </c>
      <c r="E380" s="73">
        <v>1030008</v>
      </c>
      <c r="F380" s="73">
        <v>103000801</v>
      </c>
      <c r="G380" s="73">
        <v>2</v>
      </c>
      <c r="H380" s="5" t="s">
        <v>854</v>
      </c>
      <c r="I380" s="5"/>
    </row>
    <row r="381" spans="1:9">
      <c r="A381" s="5" t="str">
        <f t="shared" si="5"/>
        <v>103000803</v>
      </c>
      <c r="B381" s="58">
        <v>72000110</v>
      </c>
      <c r="C381" s="5" t="s">
        <v>96</v>
      </c>
      <c r="D381" s="5" t="s">
        <v>1163</v>
      </c>
      <c r="E381" s="73">
        <v>1030008</v>
      </c>
      <c r="F381" s="73">
        <v>103000801</v>
      </c>
      <c r="G381" s="73">
        <v>3</v>
      </c>
      <c r="H381" s="5" t="s">
        <v>855</v>
      </c>
      <c r="I381" s="5"/>
    </row>
    <row r="382" spans="1:9">
      <c r="A382" s="5" t="str">
        <f t="shared" si="5"/>
        <v>103000804</v>
      </c>
      <c r="B382" s="58">
        <v>93000510</v>
      </c>
      <c r="C382" s="5" t="s">
        <v>114</v>
      </c>
      <c r="D382" s="5" t="s">
        <v>1163</v>
      </c>
      <c r="E382" s="73">
        <v>1030008</v>
      </c>
      <c r="F382" s="73"/>
      <c r="G382" s="73">
        <v>4</v>
      </c>
      <c r="H382" s="5" t="s">
        <v>856</v>
      </c>
      <c r="I382" s="5"/>
    </row>
    <row r="383" spans="1:9">
      <c r="A383" s="5" t="str">
        <f t="shared" si="5"/>
        <v>103000805</v>
      </c>
      <c r="B383" s="58">
        <v>73000110</v>
      </c>
      <c r="C383" s="5" t="s">
        <v>115</v>
      </c>
      <c r="D383" s="5" t="s">
        <v>1163</v>
      </c>
      <c r="E383" s="73">
        <v>1030008</v>
      </c>
      <c r="F383" s="73">
        <v>103000804</v>
      </c>
      <c r="G383" s="73">
        <v>5</v>
      </c>
      <c r="H383" s="5" t="s">
        <v>857</v>
      </c>
      <c r="I383" s="5"/>
    </row>
    <row r="384" spans="1:9">
      <c r="A384" s="5" t="str">
        <f t="shared" si="5"/>
        <v>103000806</v>
      </c>
      <c r="B384" s="58">
        <v>72000110</v>
      </c>
      <c r="C384" s="5" t="s">
        <v>96</v>
      </c>
      <c r="D384" s="5" t="s">
        <v>1163</v>
      </c>
      <c r="E384" s="73">
        <v>1030008</v>
      </c>
      <c r="F384" s="73">
        <v>103000804</v>
      </c>
      <c r="G384" s="73">
        <v>6</v>
      </c>
      <c r="H384" s="5" t="s">
        <v>858</v>
      </c>
      <c r="I384" s="5"/>
    </row>
    <row r="385" spans="1:9">
      <c r="A385" s="5" t="str">
        <f t="shared" si="5"/>
        <v>103000807</v>
      </c>
      <c r="B385" s="97">
        <v>52000110</v>
      </c>
      <c r="C385" s="96" t="s">
        <v>103</v>
      </c>
      <c r="D385" s="5" t="s">
        <v>1163</v>
      </c>
      <c r="E385" s="73">
        <v>1030008</v>
      </c>
      <c r="F385" s="73"/>
      <c r="G385" s="73">
        <v>7</v>
      </c>
      <c r="H385" s="5" t="s">
        <v>859</v>
      </c>
      <c r="I385" s="5"/>
    </row>
    <row r="386" spans="1:9">
      <c r="A386" s="5" t="str">
        <f t="shared" si="5"/>
        <v>103000901</v>
      </c>
      <c r="B386" s="97">
        <v>73000110</v>
      </c>
      <c r="C386" s="96" t="s">
        <v>2033</v>
      </c>
      <c r="D386" s="5" t="s">
        <v>1164</v>
      </c>
      <c r="E386" s="73">
        <v>1030009</v>
      </c>
      <c r="F386" s="73"/>
      <c r="G386" s="73">
        <v>1</v>
      </c>
      <c r="H386" s="5" t="s">
        <v>860</v>
      </c>
      <c r="I386" s="5"/>
    </row>
    <row r="387" spans="1:9">
      <c r="A387" s="5" t="str">
        <f t="shared" si="5"/>
        <v>103000902</v>
      </c>
      <c r="B387" s="97">
        <v>72000210</v>
      </c>
      <c r="C387" s="96" t="s">
        <v>2034</v>
      </c>
      <c r="D387" s="5" t="s">
        <v>1164</v>
      </c>
      <c r="E387" s="73">
        <v>1030009</v>
      </c>
      <c r="F387" s="73">
        <v>103000901</v>
      </c>
      <c r="G387" s="73">
        <v>2</v>
      </c>
      <c r="H387" s="5" t="s">
        <v>861</v>
      </c>
      <c r="I387" s="5"/>
    </row>
    <row r="388" spans="1:9">
      <c r="A388" s="5" t="str">
        <f t="shared" si="5"/>
        <v>103000903</v>
      </c>
      <c r="B388" s="58">
        <v>52000210</v>
      </c>
      <c r="C388" s="5" t="s">
        <v>104</v>
      </c>
      <c r="D388" s="5" t="s">
        <v>1164</v>
      </c>
      <c r="E388" s="73">
        <v>1030009</v>
      </c>
      <c r="F388" s="73"/>
      <c r="G388" s="73">
        <v>3</v>
      </c>
      <c r="H388" s="96" t="s">
        <v>2035</v>
      </c>
      <c r="I388" s="96"/>
    </row>
    <row r="389" spans="1:9">
      <c r="A389" s="5" t="str">
        <f t="shared" si="5"/>
        <v>103000904</v>
      </c>
      <c r="B389" s="58">
        <v>53000210</v>
      </c>
      <c r="C389" s="5" t="s">
        <v>121</v>
      </c>
      <c r="D389" s="5" t="s">
        <v>1164</v>
      </c>
      <c r="E389" s="73">
        <v>1030009</v>
      </c>
      <c r="F389" s="95">
        <v>103000903</v>
      </c>
      <c r="G389" s="73">
        <v>4</v>
      </c>
      <c r="H389" s="96" t="s">
        <v>2028</v>
      </c>
      <c r="I389" s="96"/>
    </row>
    <row r="390" spans="1:9">
      <c r="A390" s="5" t="str">
        <f t="shared" si="5"/>
        <v>103000905</v>
      </c>
      <c r="B390" s="58">
        <v>73000110</v>
      </c>
      <c r="C390" s="5" t="s">
        <v>115</v>
      </c>
      <c r="D390" s="5" t="s">
        <v>1164</v>
      </c>
      <c r="E390" s="73">
        <v>1030009</v>
      </c>
      <c r="F390" s="95">
        <v>103000903</v>
      </c>
      <c r="G390" s="73">
        <v>5</v>
      </c>
      <c r="H390" s="96" t="s">
        <v>2032</v>
      </c>
      <c r="I390" s="96"/>
    </row>
    <row r="391" spans="1:9">
      <c r="A391" s="5" t="str">
        <f t="shared" si="5"/>
        <v>103000906</v>
      </c>
      <c r="B391" s="97">
        <v>72000110</v>
      </c>
      <c r="C391" s="96" t="s">
        <v>2029</v>
      </c>
      <c r="D391" s="5" t="s">
        <v>1164</v>
      </c>
      <c r="E391" s="73">
        <v>1030009</v>
      </c>
      <c r="F391" s="73"/>
      <c r="G391" s="73">
        <v>6</v>
      </c>
      <c r="H391" s="96" t="s">
        <v>2036</v>
      </c>
      <c r="I391" s="96"/>
    </row>
    <row r="392" spans="1:9">
      <c r="A392" s="5" t="str">
        <f t="shared" si="5"/>
        <v>103000907</v>
      </c>
      <c r="B392" s="97">
        <v>10000310</v>
      </c>
      <c r="C392" s="96" t="s">
        <v>2030</v>
      </c>
      <c r="D392" s="5" t="s">
        <v>1164</v>
      </c>
      <c r="E392" s="73">
        <v>1030009</v>
      </c>
      <c r="F392" s="73">
        <v>103000906</v>
      </c>
      <c r="G392" s="73">
        <v>7</v>
      </c>
      <c r="H392" s="96" t="s">
        <v>2031</v>
      </c>
      <c r="I392" s="96"/>
    </row>
    <row r="393" spans="1:9">
      <c r="A393" s="5" t="str">
        <f t="shared" si="5"/>
        <v>103001001</v>
      </c>
      <c r="B393" s="100">
        <v>72000610</v>
      </c>
      <c r="C393" s="101" t="s">
        <v>101</v>
      </c>
      <c r="D393" s="101" t="s">
        <v>1165</v>
      </c>
      <c r="E393" s="102">
        <v>1030010</v>
      </c>
      <c r="F393" s="102"/>
      <c r="G393" s="102">
        <v>1</v>
      </c>
      <c r="H393" s="101" t="s">
        <v>862</v>
      </c>
      <c r="I393" s="101"/>
    </row>
    <row r="394" spans="1:9">
      <c r="A394" s="5" t="str">
        <f t="shared" si="5"/>
        <v>103001002</v>
      </c>
      <c r="B394" s="58">
        <v>74000110</v>
      </c>
      <c r="C394" s="5" t="s">
        <v>129</v>
      </c>
      <c r="D394" s="5" t="s">
        <v>1165</v>
      </c>
      <c r="E394" s="73">
        <v>1030010</v>
      </c>
      <c r="F394" s="73">
        <v>103001001</v>
      </c>
      <c r="G394" s="73">
        <v>2</v>
      </c>
      <c r="H394" s="5" t="s">
        <v>863</v>
      </c>
      <c r="I394" s="5"/>
    </row>
    <row r="395" spans="1:9">
      <c r="A395" s="5" t="str">
        <f t="shared" si="5"/>
        <v>103001003</v>
      </c>
      <c r="B395" s="58">
        <v>72000610</v>
      </c>
      <c r="C395" s="5" t="s">
        <v>101</v>
      </c>
      <c r="D395" s="5" t="s">
        <v>1165</v>
      </c>
      <c r="E395" s="73">
        <v>1030010</v>
      </c>
      <c r="F395" s="73">
        <v>103001001</v>
      </c>
      <c r="G395" s="73">
        <v>3</v>
      </c>
      <c r="H395" s="5" t="s">
        <v>864</v>
      </c>
      <c r="I395" s="5"/>
    </row>
    <row r="396" spans="1:9">
      <c r="A396" s="5" t="str">
        <f t="shared" ref="A396:A458" si="7">(E396*10)&amp;G396</f>
        <v>103001004</v>
      </c>
      <c r="B396" s="97">
        <v>94000210</v>
      </c>
      <c r="C396" s="96" t="s">
        <v>127</v>
      </c>
      <c r="D396" s="5" t="s">
        <v>1165</v>
      </c>
      <c r="E396" s="73">
        <v>1030010</v>
      </c>
      <c r="F396" s="73">
        <v>103001001</v>
      </c>
      <c r="G396" s="73">
        <v>4</v>
      </c>
      <c r="H396" s="5" t="s">
        <v>865</v>
      </c>
      <c r="I396" s="5"/>
    </row>
    <row r="397" spans="1:9">
      <c r="A397" s="5" t="str">
        <f t="shared" si="7"/>
        <v>103001005</v>
      </c>
      <c r="B397" s="97">
        <v>74000110</v>
      </c>
      <c r="C397" s="96" t="s">
        <v>129</v>
      </c>
      <c r="D397" s="5" t="s">
        <v>1165</v>
      </c>
      <c r="E397" s="73">
        <v>1030010</v>
      </c>
      <c r="F397" s="73">
        <v>103001001</v>
      </c>
      <c r="G397" s="73">
        <v>5</v>
      </c>
      <c r="H397" s="5" t="s">
        <v>866</v>
      </c>
      <c r="I397" s="5"/>
    </row>
    <row r="398" spans="1:9">
      <c r="A398" s="96" t="str">
        <f t="shared" si="7"/>
        <v>103001006</v>
      </c>
      <c r="B398" s="58">
        <v>32000210</v>
      </c>
      <c r="C398" s="5" t="s">
        <v>109</v>
      </c>
      <c r="D398" s="5" t="s">
        <v>1165</v>
      </c>
      <c r="E398" s="73">
        <v>1030010</v>
      </c>
      <c r="F398" s="73"/>
      <c r="G398" s="95">
        <v>6</v>
      </c>
      <c r="H398" s="5" t="s">
        <v>867</v>
      </c>
      <c r="I398" s="5"/>
    </row>
    <row r="399" spans="1:9">
      <c r="A399" s="96" t="str">
        <f t="shared" si="7"/>
        <v>103001007</v>
      </c>
      <c r="B399" s="58">
        <v>72000310</v>
      </c>
      <c r="C399" s="5" t="s">
        <v>98</v>
      </c>
      <c r="D399" s="5" t="s">
        <v>1165</v>
      </c>
      <c r="E399" s="73">
        <v>1030010</v>
      </c>
      <c r="F399" s="95">
        <v>103001006</v>
      </c>
      <c r="G399" s="95">
        <v>7</v>
      </c>
      <c r="H399" s="5" t="s">
        <v>868</v>
      </c>
      <c r="I399" s="5"/>
    </row>
    <row r="400" spans="1:9">
      <c r="A400" s="96" t="str">
        <f t="shared" si="7"/>
        <v>103001008</v>
      </c>
      <c r="B400" s="58">
        <v>34000110</v>
      </c>
      <c r="C400" s="5" t="s">
        <v>132</v>
      </c>
      <c r="D400" s="5" t="s">
        <v>1165</v>
      </c>
      <c r="E400" s="73">
        <v>1030010</v>
      </c>
      <c r="F400" s="95">
        <v>103001006</v>
      </c>
      <c r="G400" s="95">
        <v>8</v>
      </c>
      <c r="H400" s="5" t="s">
        <v>869</v>
      </c>
      <c r="I400" s="5"/>
    </row>
    <row r="401" spans="1:9">
      <c r="A401" s="5" t="str">
        <f t="shared" si="7"/>
        <v>103001101</v>
      </c>
      <c r="B401" s="58">
        <v>52000510</v>
      </c>
      <c r="C401" s="5" t="s">
        <v>107</v>
      </c>
      <c r="D401" s="5" t="s">
        <v>1166</v>
      </c>
      <c r="E401" s="73">
        <v>1030011</v>
      </c>
      <c r="F401" s="73"/>
      <c r="G401" s="73">
        <v>1</v>
      </c>
      <c r="H401" s="5" t="s">
        <v>870</v>
      </c>
      <c r="I401" s="5"/>
    </row>
    <row r="402" spans="1:9">
      <c r="A402" s="5" t="str">
        <f t="shared" si="7"/>
        <v>103001102</v>
      </c>
      <c r="B402" s="97">
        <v>92000410</v>
      </c>
      <c r="C402" s="96" t="s">
        <v>2038</v>
      </c>
      <c r="D402" s="5" t="s">
        <v>1166</v>
      </c>
      <c r="E402" s="73">
        <v>1030011</v>
      </c>
      <c r="F402" s="73">
        <v>103001101</v>
      </c>
      <c r="G402" s="73">
        <v>2</v>
      </c>
      <c r="H402" s="5" t="s">
        <v>871</v>
      </c>
      <c r="I402" s="5"/>
    </row>
    <row r="403" spans="1:9">
      <c r="A403" s="5" t="str">
        <f t="shared" si="7"/>
        <v>103001103</v>
      </c>
      <c r="B403" s="97">
        <v>72000410</v>
      </c>
      <c r="C403" s="96" t="s">
        <v>2037</v>
      </c>
      <c r="D403" s="5" t="s">
        <v>1166</v>
      </c>
      <c r="E403" s="73">
        <v>1030011</v>
      </c>
      <c r="F403" s="73">
        <v>103001101</v>
      </c>
      <c r="G403" s="73">
        <v>3</v>
      </c>
      <c r="H403" s="5" t="s">
        <v>872</v>
      </c>
      <c r="I403" s="5"/>
    </row>
    <row r="404" spans="1:9">
      <c r="A404" s="5" t="str">
        <f t="shared" si="7"/>
        <v>103001104</v>
      </c>
      <c r="B404" s="58">
        <v>51000210</v>
      </c>
      <c r="C404" s="5" t="s">
        <v>90</v>
      </c>
      <c r="D404" s="5" t="s">
        <v>1166</v>
      </c>
      <c r="E404" s="73">
        <v>1030011</v>
      </c>
      <c r="F404" s="73"/>
      <c r="G404" s="73">
        <v>4</v>
      </c>
      <c r="H404" s="5" t="s">
        <v>873</v>
      </c>
      <c r="I404" s="5"/>
    </row>
    <row r="405" spans="1:9">
      <c r="A405" s="5" t="str">
        <f t="shared" si="7"/>
        <v>103001105</v>
      </c>
      <c r="B405" s="58">
        <v>34000110</v>
      </c>
      <c r="C405" s="5" t="s">
        <v>475</v>
      </c>
      <c r="D405" s="5" t="s">
        <v>1166</v>
      </c>
      <c r="E405" s="73">
        <v>1030011</v>
      </c>
      <c r="F405" s="73">
        <v>103001104</v>
      </c>
      <c r="G405" s="73">
        <v>5</v>
      </c>
      <c r="H405" s="5" t="s">
        <v>874</v>
      </c>
      <c r="I405" s="5"/>
    </row>
    <row r="406" spans="1:9">
      <c r="A406" s="5" t="str">
        <f t="shared" si="7"/>
        <v>103001106</v>
      </c>
      <c r="B406" s="58">
        <v>51000210</v>
      </c>
      <c r="C406" s="5" t="s">
        <v>90</v>
      </c>
      <c r="D406" s="5" t="s">
        <v>1166</v>
      </c>
      <c r="E406" s="73">
        <v>1030011</v>
      </c>
      <c r="F406" s="73">
        <v>103001104</v>
      </c>
      <c r="G406" s="73">
        <v>6</v>
      </c>
      <c r="H406" s="5" t="s">
        <v>875</v>
      </c>
      <c r="I406" s="5"/>
    </row>
    <row r="407" spans="1:9">
      <c r="A407" s="5" t="str">
        <f t="shared" si="7"/>
        <v>103001107</v>
      </c>
      <c r="B407" s="58">
        <v>34000110</v>
      </c>
      <c r="C407" s="5" t="s">
        <v>475</v>
      </c>
      <c r="D407" s="5" t="s">
        <v>1166</v>
      </c>
      <c r="E407" s="73">
        <v>1030011</v>
      </c>
      <c r="F407" s="73">
        <v>103001104</v>
      </c>
      <c r="G407" s="73">
        <v>7</v>
      </c>
      <c r="H407" s="5" t="s">
        <v>1374</v>
      </c>
      <c r="I407" s="5"/>
    </row>
    <row r="408" spans="1:9">
      <c r="A408" s="5" t="str">
        <f t="shared" si="7"/>
        <v>103001108</v>
      </c>
      <c r="B408" s="98">
        <v>51000210</v>
      </c>
      <c r="C408" s="99" t="s">
        <v>1376</v>
      </c>
      <c r="D408" s="5" t="s">
        <v>1166</v>
      </c>
      <c r="E408" s="73">
        <v>1030011</v>
      </c>
      <c r="F408" s="73">
        <v>103001104</v>
      </c>
      <c r="G408" s="73">
        <v>8</v>
      </c>
      <c r="H408" s="5" t="s">
        <v>1375</v>
      </c>
      <c r="I408" s="5"/>
    </row>
    <row r="409" spans="1:9">
      <c r="A409" s="5" t="str">
        <f t="shared" si="7"/>
        <v>103001201</v>
      </c>
      <c r="B409" s="97">
        <v>93000410</v>
      </c>
      <c r="C409" s="96" t="s">
        <v>2039</v>
      </c>
      <c r="D409" s="5" t="s">
        <v>1167</v>
      </c>
      <c r="E409" s="73">
        <v>1030012</v>
      </c>
      <c r="F409" s="73"/>
      <c r="G409" s="73">
        <v>1</v>
      </c>
      <c r="H409" s="5" t="s">
        <v>876</v>
      </c>
      <c r="I409" s="5"/>
    </row>
    <row r="410" spans="1:9">
      <c r="A410" s="5" t="str">
        <f t="shared" si="7"/>
        <v>103001202</v>
      </c>
      <c r="B410" s="58">
        <v>94000210</v>
      </c>
      <c r="C410" s="5" t="s">
        <v>127</v>
      </c>
      <c r="D410" s="5" t="s">
        <v>1167</v>
      </c>
      <c r="E410" s="73">
        <v>1030012</v>
      </c>
      <c r="F410" s="73">
        <v>103001201</v>
      </c>
      <c r="G410" s="73">
        <v>2</v>
      </c>
      <c r="H410" s="5" t="s">
        <v>877</v>
      </c>
      <c r="I410" s="5"/>
    </row>
    <row r="411" spans="1:9">
      <c r="A411" s="5" t="str">
        <f t="shared" si="7"/>
        <v>103001203</v>
      </c>
      <c r="B411" s="58">
        <v>32000110</v>
      </c>
      <c r="C411" s="5" t="s">
        <v>108</v>
      </c>
      <c r="D411" s="5" t="s">
        <v>1167</v>
      </c>
      <c r="E411" s="73">
        <v>1030012</v>
      </c>
      <c r="F411" s="73"/>
      <c r="G411" s="73">
        <v>3</v>
      </c>
      <c r="H411" s="5" t="s">
        <v>878</v>
      </c>
      <c r="I411" s="5"/>
    </row>
    <row r="412" spans="1:9">
      <c r="A412" s="5" t="str">
        <f t="shared" si="7"/>
        <v>103001204</v>
      </c>
      <c r="B412" s="58">
        <v>72000610</v>
      </c>
      <c r="C412" s="5" t="s">
        <v>101</v>
      </c>
      <c r="D412" s="5" t="s">
        <v>1167</v>
      </c>
      <c r="E412" s="73">
        <v>1030012</v>
      </c>
      <c r="F412" s="73">
        <v>103001203</v>
      </c>
      <c r="G412" s="73">
        <v>4</v>
      </c>
      <c r="H412" s="5" t="s">
        <v>879</v>
      </c>
      <c r="I412" s="5"/>
    </row>
    <row r="413" spans="1:9">
      <c r="A413" s="5" t="str">
        <f t="shared" si="7"/>
        <v>103001205</v>
      </c>
      <c r="B413" s="58">
        <v>72000510</v>
      </c>
      <c r="C413" s="5" t="s">
        <v>100</v>
      </c>
      <c r="D413" s="5" t="s">
        <v>1167</v>
      </c>
      <c r="E413" s="73">
        <v>1030012</v>
      </c>
      <c r="F413" s="73">
        <v>103001203</v>
      </c>
      <c r="G413" s="73">
        <v>5</v>
      </c>
      <c r="H413" s="5" t="s">
        <v>880</v>
      </c>
      <c r="I413" s="5"/>
    </row>
    <row r="414" spans="1:9">
      <c r="A414" s="5" t="str">
        <f t="shared" si="7"/>
        <v>103001206</v>
      </c>
      <c r="B414" s="97">
        <v>10000210</v>
      </c>
      <c r="C414" s="96" t="s">
        <v>2041</v>
      </c>
      <c r="D414" s="5" t="s">
        <v>1167</v>
      </c>
      <c r="E414" s="73">
        <v>1030012</v>
      </c>
      <c r="F414" s="73">
        <v>103001203</v>
      </c>
      <c r="G414" s="73">
        <v>6</v>
      </c>
      <c r="H414" s="5" t="s">
        <v>881</v>
      </c>
      <c r="I414" s="5"/>
    </row>
    <row r="415" spans="1:9">
      <c r="A415" s="5" t="str">
        <f t="shared" si="7"/>
        <v>103001301</v>
      </c>
      <c r="B415" s="100">
        <v>94000210</v>
      </c>
      <c r="C415" s="101" t="s">
        <v>127</v>
      </c>
      <c r="D415" s="5" t="s">
        <v>1168</v>
      </c>
      <c r="E415" s="73">
        <v>1030013</v>
      </c>
      <c r="F415" s="73"/>
      <c r="G415" s="73">
        <v>1</v>
      </c>
      <c r="H415" s="5" t="s">
        <v>882</v>
      </c>
      <c r="I415" s="5"/>
    </row>
    <row r="416" spans="1:9">
      <c r="A416" s="5" t="str">
        <f t="shared" si="7"/>
        <v>103001302</v>
      </c>
      <c r="B416" s="58">
        <v>72000610</v>
      </c>
      <c r="C416" s="5" t="s">
        <v>101</v>
      </c>
      <c r="D416" s="5" t="s">
        <v>1168</v>
      </c>
      <c r="E416" s="73">
        <v>1030013</v>
      </c>
      <c r="F416" s="73">
        <v>103001301</v>
      </c>
      <c r="G416" s="73">
        <v>2</v>
      </c>
      <c r="H416" s="5" t="s">
        <v>883</v>
      </c>
      <c r="I416" s="5"/>
    </row>
    <row r="417" spans="1:9">
      <c r="A417" s="5" t="str">
        <f t="shared" si="7"/>
        <v>103001303</v>
      </c>
      <c r="B417" s="58">
        <v>74000110</v>
      </c>
      <c r="C417" s="5" t="s">
        <v>129</v>
      </c>
      <c r="D417" s="5" t="s">
        <v>1168</v>
      </c>
      <c r="E417" s="73">
        <v>1030013</v>
      </c>
      <c r="F417" s="73"/>
      <c r="G417" s="73">
        <v>3</v>
      </c>
      <c r="H417" s="5" t="s">
        <v>884</v>
      </c>
      <c r="I417" s="5"/>
    </row>
    <row r="418" spans="1:9">
      <c r="A418" s="5" t="str">
        <f t="shared" si="7"/>
        <v>103001304</v>
      </c>
      <c r="B418" s="58">
        <v>91000210</v>
      </c>
      <c r="C418" s="5" t="s">
        <v>85</v>
      </c>
      <c r="D418" s="5" t="s">
        <v>1168</v>
      </c>
      <c r="E418" s="73">
        <v>1030013</v>
      </c>
      <c r="F418" s="73">
        <v>103001303</v>
      </c>
      <c r="G418" s="73">
        <v>4</v>
      </c>
      <c r="H418" s="5" t="s">
        <v>885</v>
      </c>
      <c r="I418" s="5"/>
    </row>
    <row r="419" spans="1:9">
      <c r="A419" s="5" t="str">
        <f t="shared" si="7"/>
        <v>103001305</v>
      </c>
      <c r="B419" s="58">
        <v>74000110</v>
      </c>
      <c r="C419" s="5" t="s">
        <v>129</v>
      </c>
      <c r="D419" s="5" t="s">
        <v>1168</v>
      </c>
      <c r="E419" s="73">
        <v>1030013</v>
      </c>
      <c r="F419" s="73">
        <v>103001303</v>
      </c>
      <c r="G419" s="73">
        <v>5</v>
      </c>
      <c r="H419" s="5" t="s">
        <v>886</v>
      </c>
      <c r="I419" s="5"/>
    </row>
    <row r="420" spans="1:9">
      <c r="A420" s="5" t="str">
        <f t="shared" si="7"/>
        <v>103001401</v>
      </c>
      <c r="B420" s="58">
        <v>92000210</v>
      </c>
      <c r="C420" s="5" t="s">
        <v>92</v>
      </c>
      <c r="D420" s="5" t="s">
        <v>1169</v>
      </c>
      <c r="E420" s="73">
        <v>1030014</v>
      </c>
      <c r="F420" s="73"/>
      <c r="G420" s="73">
        <v>1</v>
      </c>
      <c r="H420" s="5" t="s">
        <v>887</v>
      </c>
      <c r="I420" s="5"/>
    </row>
    <row r="421" spans="1:9">
      <c r="A421" s="5" t="str">
        <f t="shared" si="7"/>
        <v>103001402</v>
      </c>
      <c r="B421" s="58">
        <v>72000710</v>
      </c>
      <c r="C421" s="5" t="s">
        <v>102</v>
      </c>
      <c r="D421" s="5" t="s">
        <v>1169</v>
      </c>
      <c r="E421" s="73">
        <v>1030014</v>
      </c>
      <c r="F421" s="73">
        <v>103001401</v>
      </c>
      <c r="G421" s="73">
        <v>2</v>
      </c>
      <c r="H421" s="5" t="s">
        <v>888</v>
      </c>
      <c r="I421" s="5"/>
    </row>
    <row r="422" spans="1:9">
      <c r="A422" s="5" t="str">
        <f t="shared" si="7"/>
        <v>103001403</v>
      </c>
      <c r="B422" s="58">
        <v>10000310</v>
      </c>
      <c r="C422" s="5" t="s">
        <v>2040</v>
      </c>
      <c r="D422" s="5" t="s">
        <v>1169</v>
      </c>
      <c r="E422" s="73">
        <v>1030014</v>
      </c>
      <c r="F422" s="73">
        <v>103001401</v>
      </c>
      <c r="G422" s="73">
        <v>3</v>
      </c>
      <c r="H422" s="5" t="s">
        <v>889</v>
      </c>
      <c r="I422" s="5"/>
    </row>
    <row r="423" spans="1:9">
      <c r="A423" s="5" t="str">
        <f t="shared" si="7"/>
        <v>103001404</v>
      </c>
      <c r="B423" s="97">
        <v>10000210</v>
      </c>
      <c r="C423" s="96" t="s">
        <v>2043</v>
      </c>
      <c r="D423" s="5" t="s">
        <v>1169</v>
      </c>
      <c r="E423" s="73">
        <v>1030014</v>
      </c>
      <c r="F423" s="73">
        <v>103001401</v>
      </c>
      <c r="G423" s="73">
        <v>4</v>
      </c>
      <c r="H423" s="5" t="s">
        <v>890</v>
      </c>
      <c r="I423" s="5"/>
    </row>
    <row r="424" spans="1:9">
      <c r="A424" s="5" t="str">
        <f t="shared" si="7"/>
        <v>103001405</v>
      </c>
      <c r="B424" s="97">
        <v>72000710</v>
      </c>
      <c r="C424" s="96" t="s">
        <v>2042</v>
      </c>
      <c r="D424" s="5" t="s">
        <v>1169</v>
      </c>
      <c r="E424" s="73">
        <v>1030014</v>
      </c>
      <c r="F424" s="73">
        <v>103001401</v>
      </c>
      <c r="G424" s="73">
        <v>5</v>
      </c>
      <c r="H424" s="5" t="s">
        <v>891</v>
      </c>
      <c r="I424" s="5"/>
    </row>
    <row r="425" spans="1:9">
      <c r="A425" s="5" t="str">
        <f t="shared" si="7"/>
        <v>103001406</v>
      </c>
      <c r="B425" s="58">
        <v>71000310</v>
      </c>
      <c r="C425" s="5" t="s">
        <v>88</v>
      </c>
      <c r="D425" s="5" t="s">
        <v>1169</v>
      </c>
      <c r="E425" s="73">
        <v>1030014</v>
      </c>
      <c r="F425" s="73"/>
      <c r="G425" s="73">
        <v>6</v>
      </c>
      <c r="H425" s="5" t="s">
        <v>892</v>
      </c>
      <c r="I425" s="5"/>
    </row>
    <row r="426" spans="1:9">
      <c r="A426" s="5" t="str">
        <f t="shared" si="7"/>
        <v>103001407</v>
      </c>
      <c r="B426" s="58">
        <v>72000710</v>
      </c>
      <c r="C426" s="5" t="s">
        <v>102</v>
      </c>
      <c r="D426" s="5" t="s">
        <v>1169</v>
      </c>
      <c r="E426" s="73">
        <v>1030014</v>
      </c>
      <c r="F426" s="73">
        <v>103001406</v>
      </c>
      <c r="G426" s="73">
        <v>7</v>
      </c>
      <c r="H426" s="5" t="s">
        <v>893</v>
      </c>
      <c r="I426" s="5"/>
    </row>
    <row r="427" spans="1:9">
      <c r="A427" s="5" t="str">
        <f t="shared" si="7"/>
        <v>103001408</v>
      </c>
      <c r="B427" s="58">
        <v>73000310</v>
      </c>
      <c r="C427" s="5" t="s">
        <v>117</v>
      </c>
      <c r="D427" s="5" t="s">
        <v>1169</v>
      </c>
      <c r="E427" s="73">
        <v>1030014</v>
      </c>
      <c r="F427" s="73">
        <v>103001406</v>
      </c>
      <c r="G427" s="73">
        <v>8</v>
      </c>
      <c r="H427" s="5" t="s">
        <v>894</v>
      </c>
      <c r="I427" s="5"/>
    </row>
    <row r="428" spans="1:9">
      <c r="A428" s="5" t="str">
        <f t="shared" si="7"/>
        <v>103001501</v>
      </c>
      <c r="B428" s="58">
        <v>73000410</v>
      </c>
      <c r="C428" s="5" t="s">
        <v>118</v>
      </c>
      <c r="D428" s="5" t="s">
        <v>1170</v>
      </c>
      <c r="E428" s="73">
        <v>1030015</v>
      </c>
      <c r="F428" s="73"/>
      <c r="G428" s="73">
        <v>1</v>
      </c>
      <c r="H428" s="5" t="s">
        <v>895</v>
      </c>
      <c r="I428" s="5"/>
    </row>
    <row r="429" spans="1:9">
      <c r="A429" s="5" t="str">
        <f t="shared" si="7"/>
        <v>103001502</v>
      </c>
      <c r="B429" s="58">
        <v>52000110</v>
      </c>
      <c r="C429" s="5" t="s">
        <v>103</v>
      </c>
      <c r="D429" s="5" t="s">
        <v>1170</v>
      </c>
      <c r="E429" s="73">
        <v>1030015</v>
      </c>
      <c r="F429" s="73">
        <v>103001501</v>
      </c>
      <c r="G429" s="73">
        <v>2</v>
      </c>
      <c r="H429" s="5" t="s">
        <v>896</v>
      </c>
      <c r="I429" s="5"/>
    </row>
    <row r="430" spans="1:9">
      <c r="A430" s="5" t="str">
        <f t="shared" si="7"/>
        <v>103001503</v>
      </c>
      <c r="B430" s="58">
        <v>73000410</v>
      </c>
      <c r="C430" s="5" t="s">
        <v>118</v>
      </c>
      <c r="D430" s="5" t="s">
        <v>1170</v>
      </c>
      <c r="E430" s="73">
        <v>1030015</v>
      </c>
      <c r="F430" s="73">
        <v>103001501</v>
      </c>
      <c r="G430" s="73">
        <v>3</v>
      </c>
      <c r="H430" s="5" t="s">
        <v>897</v>
      </c>
      <c r="I430" s="5"/>
    </row>
    <row r="431" spans="1:9">
      <c r="A431" s="5" t="str">
        <f t="shared" si="7"/>
        <v>103001504</v>
      </c>
      <c r="B431" s="58">
        <v>52000110</v>
      </c>
      <c r="C431" s="5" t="s">
        <v>103</v>
      </c>
      <c r="D431" s="5" t="s">
        <v>1170</v>
      </c>
      <c r="E431" s="73">
        <v>1030015</v>
      </c>
      <c r="F431" s="73">
        <v>103001501</v>
      </c>
      <c r="G431" s="73">
        <v>4</v>
      </c>
      <c r="H431" s="5" t="s">
        <v>898</v>
      </c>
      <c r="I431" s="5"/>
    </row>
    <row r="432" spans="1:9">
      <c r="A432" s="5" t="str">
        <f t="shared" si="7"/>
        <v>103001505</v>
      </c>
      <c r="B432" s="58">
        <v>72000510</v>
      </c>
      <c r="C432" s="5" t="s">
        <v>100</v>
      </c>
      <c r="D432" s="5" t="s">
        <v>1170</v>
      </c>
      <c r="E432" s="73">
        <v>1030015</v>
      </c>
      <c r="F432" s="73"/>
      <c r="G432" s="73">
        <v>5</v>
      </c>
      <c r="H432" s="5" t="s">
        <v>899</v>
      </c>
      <c r="I432" s="5"/>
    </row>
    <row r="433" spans="1:9">
      <c r="A433" s="5" t="str">
        <f t="shared" si="7"/>
        <v>103001506</v>
      </c>
      <c r="B433" s="58">
        <v>52000110</v>
      </c>
      <c r="C433" s="5" t="s">
        <v>103</v>
      </c>
      <c r="D433" s="5" t="s">
        <v>1170</v>
      </c>
      <c r="E433" s="73">
        <v>1030015</v>
      </c>
      <c r="F433" s="73">
        <v>103001505</v>
      </c>
      <c r="G433" s="73">
        <v>6</v>
      </c>
      <c r="H433" s="5" t="s">
        <v>900</v>
      </c>
      <c r="I433" s="5"/>
    </row>
    <row r="434" spans="1:9">
      <c r="A434" s="5" t="str">
        <f t="shared" si="7"/>
        <v>103001507</v>
      </c>
      <c r="B434" s="58">
        <v>72000510</v>
      </c>
      <c r="C434" s="5" t="s">
        <v>100</v>
      </c>
      <c r="D434" s="5" t="s">
        <v>1170</v>
      </c>
      <c r="E434" s="73">
        <v>1030015</v>
      </c>
      <c r="F434" s="73">
        <v>103001505</v>
      </c>
      <c r="G434" s="73">
        <v>7</v>
      </c>
      <c r="H434" s="5" t="s">
        <v>901</v>
      </c>
      <c r="I434" s="5"/>
    </row>
    <row r="435" spans="1:9">
      <c r="A435" s="5" t="str">
        <f t="shared" si="7"/>
        <v>103001508</v>
      </c>
      <c r="B435" s="58">
        <v>72000510</v>
      </c>
      <c r="C435" s="5" t="s">
        <v>100</v>
      </c>
      <c r="D435" s="5" t="s">
        <v>1170</v>
      </c>
      <c r="E435" s="73">
        <v>1030015</v>
      </c>
      <c r="F435" s="73">
        <v>103001505</v>
      </c>
      <c r="G435" s="73">
        <v>8</v>
      </c>
      <c r="H435" s="5" t="s">
        <v>902</v>
      </c>
      <c r="I435" s="5"/>
    </row>
    <row r="436" spans="1:9">
      <c r="A436" s="5" t="str">
        <f t="shared" si="7"/>
        <v>103001509</v>
      </c>
      <c r="B436" s="58">
        <v>52000110</v>
      </c>
      <c r="C436" s="5" t="s">
        <v>103</v>
      </c>
      <c r="D436" s="5" t="s">
        <v>1170</v>
      </c>
      <c r="E436" s="73">
        <v>1030015</v>
      </c>
      <c r="F436" s="73">
        <v>103001505</v>
      </c>
      <c r="G436" s="73">
        <v>9</v>
      </c>
      <c r="H436" s="5" t="s">
        <v>903</v>
      </c>
      <c r="I436" s="5"/>
    </row>
    <row r="437" spans="1:9">
      <c r="A437" s="5" t="str">
        <f t="shared" si="7"/>
        <v>1030015010</v>
      </c>
      <c r="B437" s="58">
        <v>74000110</v>
      </c>
      <c r="C437" s="5" t="s">
        <v>129</v>
      </c>
      <c r="D437" s="5" t="s">
        <v>1170</v>
      </c>
      <c r="E437" s="73">
        <v>1030015</v>
      </c>
      <c r="F437" s="73"/>
      <c r="G437" s="73">
        <v>10</v>
      </c>
      <c r="H437" s="5" t="s">
        <v>904</v>
      </c>
      <c r="I437" s="5"/>
    </row>
    <row r="438" spans="1:9">
      <c r="A438" s="5" t="str">
        <f t="shared" si="7"/>
        <v>1030015011</v>
      </c>
      <c r="B438" s="58">
        <v>94000210</v>
      </c>
      <c r="C438" s="5" t="s">
        <v>127</v>
      </c>
      <c r="D438" s="5" t="s">
        <v>1170</v>
      </c>
      <c r="E438" s="73">
        <v>1030015</v>
      </c>
      <c r="F438" s="95" t="s">
        <v>2073</v>
      </c>
      <c r="G438" s="73">
        <v>11</v>
      </c>
      <c r="H438" s="5" t="s">
        <v>905</v>
      </c>
      <c r="I438" s="5"/>
    </row>
    <row r="439" spans="1:9">
      <c r="A439" s="5" t="str">
        <f t="shared" si="7"/>
        <v>1030015012</v>
      </c>
      <c r="B439" s="58">
        <v>74000110</v>
      </c>
      <c r="C439" s="5" t="s">
        <v>129</v>
      </c>
      <c r="D439" s="5" t="s">
        <v>1170</v>
      </c>
      <c r="E439" s="73">
        <v>1030015</v>
      </c>
      <c r="F439" s="95" t="s">
        <v>2073</v>
      </c>
      <c r="G439" s="73">
        <v>12</v>
      </c>
      <c r="H439" s="5" t="s">
        <v>906</v>
      </c>
      <c r="I439" s="5"/>
    </row>
    <row r="440" spans="1:9">
      <c r="A440" s="5" t="str">
        <f t="shared" si="7"/>
        <v>103001601</v>
      </c>
      <c r="B440" s="58">
        <v>52000510</v>
      </c>
      <c r="C440" s="5" t="s">
        <v>107</v>
      </c>
      <c r="D440" s="5" t="s">
        <v>1171</v>
      </c>
      <c r="E440" s="73">
        <v>1030016</v>
      </c>
      <c r="F440" s="73"/>
      <c r="G440" s="73">
        <v>1</v>
      </c>
      <c r="H440" s="5" t="s">
        <v>907</v>
      </c>
      <c r="I440" s="5"/>
    </row>
    <row r="441" spans="1:9">
      <c r="A441" s="5" t="str">
        <f t="shared" si="7"/>
        <v>103001602</v>
      </c>
      <c r="B441" s="58">
        <v>52000210</v>
      </c>
      <c r="C441" s="5" t="s">
        <v>104</v>
      </c>
      <c r="D441" s="5" t="s">
        <v>1171</v>
      </c>
      <c r="E441" s="73">
        <v>1030016</v>
      </c>
      <c r="F441" s="73">
        <v>103001601</v>
      </c>
      <c r="G441" s="73">
        <v>2</v>
      </c>
      <c r="H441" s="5" t="s">
        <v>908</v>
      </c>
      <c r="I441" s="5"/>
    </row>
    <row r="442" spans="1:9">
      <c r="A442" s="5" t="str">
        <f t="shared" si="7"/>
        <v>103001603</v>
      </c>
      <c r="B442" s="97">
        <v>34000110</v>
      </c>
      <c r="C442" s="96" t="s">
        <v>132</v>
      </c>
      <c r="D442" s="5" t="s">
        <v>1171</v>
      </c>
      <c r="E442" s="73">
        <v>1030016</v>
      </c>
      <c r="F442" s="73">
        <v>103001601</v>
      </c>
      <c r="G442" s="73">
        <v>3</v>
      </c>
      <c r="H442" s="5" t="s">
        <v>909</v>
      </c>
      <c r="I442" s="5"/>
    </row>
    <row r="443" spans="1:9">
      <c r="A443" s="5" t="str">
        <f t="shared" si="7"/>
        <v>103001604</v>
      </c>
      <c r="B443" s="58">
        <v>71000210</v>
      </c>
      <c r="C443" s="5" t="s">
        <v>87</v>
      </c>
      <c r="D443" s="5" t="s">
        <v>1171</v>
      </c>
      <c r="E443" s="73">
        <v>1030016</v>
      </c>
      <c r="F443" s="73"/>
      <c r="G443" s="73">
        <v>4</v>
      </c>
      <c r="H443" s="5" t="s">
        <v>910</v>
      </c>
      <c r="I443" s="5"/>
    </row>
    <row r="444" spans="1:9">
      <c r="A444" s="5" t="str">
        <f t="shared" si="7"/>
        <v>103001605</v>
      </c>
      <c r="B444" s="58">
        <v>52000210</v>
      </c>
      <c r="C444" s="5" t="s">
        <v>104</v>
      </c>
      <c r="D444" s="5" t="s">
        <v>1171</v>
      </c>
      <c r="E444" s="73">
        <v>1030016</v>
      </c>
      <c r="F444" s="73">
        <v>103001604</v>
      </c>
      <c r="G444" s="73">
        <v>5</v>
      </c>
      <c r="H444" s="5" t="s">
        <v>911</v>
      </c>
      <c r="I444" s="5"/>
    </row>
    <row r="445" spans="1:9">
      <c r="A445" s="5" t="str">
        <f t="shared" si="7"/>
        <v>103001606</v>
      </c>
      <c r="B445" s="97">
        <v>53000210</v>
      </c>
      <c r="C445" s="96" t="s">
        <v>121</v>
      </c>
      <c r="D445" s="5" t="s">
        <v>1171</v>
      </c>
      <c r="E445" s="73">
        <v>1030016</v>
      </c>
      <c r="F445" s="73">
        <v>103001604</v>
      </c>
      <c r="G445" s="73">
        <v>6</v>
      </c>
      <c r="H445" s="5" t="s">
        <v>912</v>
      </c>
      <c r="I445" s="5"/>
    </row>
    <row r="446" spans="1:9">
      <c r="A446" s="5" t="str">
        <f t="shared" si="7"/>
        <v>103001607</v>
      </c>
      <c r="B446" s="58">
        <v>71000210</v>
      </c>
      <c r="C446" s="5" t="s">
        <v>87</v>
      </c>
      <c r="D446" s="5" t="s">
        <v>1171</v>
      </c>
      <c r="E446" s="73">
        <v>1030016</v>
      </c>
      <c r="F446" s="73">
        <v>103001604</v>
      </c>
      <c r="G446" s="73">
        <v>7</v>
      </c>
      <c r="H446" s="5" t="s">
        <v>913</v>
      </c>
      <c r="I446" s="5"/>
    </row>
    <row r="447" spans="1:9">
      <c r="A447" s="5" t="str">
        <f t="shared" si="7"/>
        <v>103001608</v>
      </c>
      <c r="B447" s="58">
        <v>72000210</v>
      </c>
      <c r="C447" s="5" t="s">
        <v>97</v>
      </c>
      <c r="D447" s="5" t="s">
        <v>1171</v>
      </c>
      <c r="E447" s="73">
        <v>1030016</v>
      </c>
      <c r="F447" s="73"/>
      <c r="G447" s="73">
        <v>8</v>
      </c>
      <c r="H447" s="5" t="s">
        <v>914</v>
      </c>
      <c r="I447" s="5"/>
    </row>
    <row r="448" spans="1:9">
      <c r="A448" s="5" t="str">
        <f t="shared" si="7"/>
        <v>103001609</v>
      </c>
      <c r="B448" s="58">
        <v>73000110</v>
      </c>
      <c r="C448" s="5" t="s">
        <v>115</v>
      </c>
      <c r="D448" s="5" t="s">
        <v>1171</v>
      </c>
      <c r="E448" s="73">
        <v>1030016</v>
      </c>
      <c r="F448" s="73">
        <v>103001608</v>
      </c>
      <c r="G448" s="73">
        <v>9</v>
      </c>
      <c r="H448" s="5" t="s">
        <v>915</v>
      </c>
      <c r="I448" s="5"/>
    </row>
    <row r="449" spans="1:9">
      <c r="A449" s="5" t="str">
        <f t="shared" si="7"/>
        <v>103001701</v>
      </c>
      <c r="B449" s="58">
        <v>33000110</v>
      </c>
      <c r="C449" s="5" t="s">
        <v>124</v>
      </c>
      <c r="D449" s="5" t="s">
        <v>1172</v>
      </c>
      <c r="E449" s="73">
        <v>1030017</v>
      </c>
      <c r="F449" s="73"/>
      <c r="G449" s="73">
        <v>1</v>
      </c>
      <c r="H449" s="5" t="s">
        <v>916</v>
      </c>
      <c r="I449" s="5"/>
    </row>
    <row r="450" spans="1:9">
      <c r="A450" s="5" t="str">
        <f t="shared" si="7"/>
        <v>103001702</v>
      </c>
      <c r="B450" s="58">
        <v>52000310</v>
      </c>
      <c r="C450" s="5" t="s">
        <v>105</v>
      </c>
      <c r="D450" s="5" t="s">
        <v>1172</v>
      </c>
      <c r="E450" s="73">
        <v>1030017</v>
      </c>
      <c r="F450" s="73">
        <v>103001701</v>
      </c>
      <c r="G450" s="73">
        <v>2</v>
      </c>
      <c r="H450" s="5" t="s">
        <v>917</v>
      </c>
      <c r="I450" s="5"/>
    </row>
    <row r="451" spans="1:9">
      <c r="A451" s="5" t="str">
        <f t="shared" si="7"/>
        <v>103001703</v>
      </c>
      <c r="B451" s="58">
        <v>33000210</v>
      </c>
      <c r="C451" s="5" t="s">
        <v>125</v>
      </c>
      <c r="D451" s="5" t="s">
        <v>1172</v>
      </c>
      <c r="E451" s="73">
        <v>1030017</v>
      </c>
      <c r="F451" s="73">
        <v>103001701</v>
      </c>
      <c r="G451" s="73">
        <v>3</v>
      </c>
      <c r="H451" s="5" t="s">
        <v>918</v>
      </c>
      <c r="I451" s="5"/>
    </row>
    <row r="452" spans="1:9">
      <c r="A452" s="5" t="str">
        <f t="shared" si="7"/>
        <v>103001704</v>
      </c>
      <c r="B452" s="58">
        <v>53000110</v>
      </c>
      <c r="C452" s="5" t="s">
        <v>120</v>
      </c>
      <c r="D452" s="5" t="s">
        <v>1172</v>
      </c>
      <c r="E452" s="73">
        <v>1030017</v>
      </c>
      <c r="F452" s="73">
        <v>103001701</v>
      </c>
      <c r="G452" s="73">
        <v>4</v>
      </c>
      <c r="H452" s="5" t="s">
        <v>919</v>
      </c>
      <c r="I452" s="5"/>
    </row>
    <row r="453" spans="1:9">
      <c r="A453" s="5" t="str">
        <f t="shared" si="7"/>
        <v>103001705</v>
      </c>
      <c r="B453" s="58">
        <v>52000310</v>
      </c>
      <c r="C453" s="5" t="s">
        <v>105</v>
      </c>
      <c r="D453" s="5" t="s">
        <v>1172</v>
      </c>
      <c r="E453" s="73">
        <v>1030017</v>
      </c>
      <c r="F453" s="73">
        <v>103001701</v>
      </c>
      <c r="G453" s="73">
        <v>5</v>
      </c>
      <c r="H453" s="5" t="s">
        <v>920</v>
      </c>
      <c r="I453" s="5"/>
    </row>
    <row r="454" spans="1:9">
      <c r="A454" s="5" t="str">
        <f t="shared" si="7"/>
        <v>103001706</v>
      </c>
      <c r="B454" s="58">
        <v>32000210</v>
      </c>
      <c r="C454" s="5" t="s">
        <v>109</v>
      </c>
      <c r="D454" s="5" t="s">
        <v>1172</v>
      </c>
      <c r="E454" s="73">
        <v>1030017</v>
      </c>
      <c r="F454" s="73"/>
      <c r="G454" s="73">
        <v>6</v>
      </c>
      <c r="H454" s="5" t="s">
        <v>921</v>
      </c>
      <c r="I454" s="5"/>
    </row>
    <row r="455" spans="1:9">
      <c r="A455" s="5" t="str">
        <f t="shared" si="7"/>
        <v>103001707</v>
      </c>
      <c r="B455" s="58">
        <v>32000210</v>
      </c>
      <c r="C455" s="5" t="s">
        <v>109</v>
      </c>
      <c r="D455" s="5" t="s">
        <v>1172</v>
      </c>
      <c r="E455" s="73">
        <v>1030017</v>
      </c>
      <c r="F455" s="73">
        <v>103001706</v>
      </c>
      <c r="G455" s="73">
        <v>7</v>
      </c>
      <c r="H455" s="5" t="s">
        <v>922</v>
      </c>
      <c r="I455" s="5"/>
    </row>
    <row r="456" spans="1:9">
      <c r="A456" s="5" t="str">
        <f t="shared" si="7"/>
        <v>103001708</v>
      </c>
      <c r="B456" s="58">
        <v>32000210</v>
      </c>
      <c r="C456" s="5" t="s">
        <v>109</v>
      </c>
      <c r="D456" s="5" t="s">
        <v>1172</v>
      </c>
      <c r="E456" s="73">
        <v>1030017</v>
      </c>
      <c r="F456" s="73">
        <v>103001706</v>
      </c>
      <c r="G456" s="73">
        <v>8</v>
      </c>
      <c r="H456" s="5" t="s">
        <v>923</v>
      </c>
      <c r="I456" s="5"/>
    </row>
    <row r="457" spans="1:9">
      <c r="A457" s="5" t="str">
        <f t="shared" si="7"/>
        <v>103001709</v>
      </c>
      <c r="B457" s="58">
        <v>52000310</v>
      </c>
      <c r="C457" s="5" t="s">
        <v>105</v>
      </c>
      <c r="D457" s="5" t="s">
        <v>1172</v>
      </c>
      <c r="E457" s="73">
        <v>1030017</v>
      </c>
      <c r="F457" s="73">
        <v>103001706</v>
      </c>
      <c r="G457" s="73">
        <v>9</v>
      </c>
      <c r="H457" s="5" t="s">
        <v>924</v>
      </c>
      <c r="I457" s="5"/>
    </row>
    <row r="458" spans="1:9">
      <c r="A458" s="5" t="str">
        <f t="shared" si="7"/>
        <v>1030017010</v>
      </c>
      <c r="B458" s="58">
        <v>32000210</v>
      </c>
      <c r="C458" s="5" t="s">
        <v>109</v>
      </c>
      <c r="D458" s="5" t="s">
        <v>1172</v>
      </c>
      <c r="E458" s="73">
        <v>1030017</v>
      </c>
      <c r="F458" s="73">
        <v>103001706</v>
      </c>
      <c r="G458" s="73">
        <v>10</v>
      </c>
      <c r="H458" s="5" t="s">
        <v>925</v>
      </c>
      <c r="I458" s="5"/>
    </row>
    <row r="459" spans="1:9">
      <c r="A459" s="5" t="str">
        <f t="shared" ref="A459:A522" si="8">(E459*10)&amp;G459</f>
        <v>103001801</v>
      </c>
      <c r="B459" s="58">
        <v>72000110</v>
      </c>
      <c r="C459" s="5" t="s">
        <v>96</v>
      </c>
      <c r="D459" s="5" t="s">
        <v>1173</v>
      </c>
      <c r="E459" s="73">
        <v>1030018</v>
      </c>
      <c r="F459" s="73"/>
      <c r="G459" s="73">
        <v>1</v>
      </c>
      <c r="H459" s="5" t="s">
        <v>926</v>
      </c>
      <c r="I459" s="5"/>
    </row>
    <row r="460" spans="1:9">
      <c r="A460" s="5" t="str">
        <f t="shared" si="8"/>
        <v>103001802</v>
      </c>
      <c r="B460" s="58">
        <v>52000410</v>
      </c>
      <c r="C460" s="5" t="s">
        <v>106</v>
      </c>
      <c r="D460" s="5" t="s">
        <v>1173</v>
      </c>
      <c r="E460" s="73">
        <v>1030018</v>
      </c>
      <c r="F460" s="73">
        <v>103001801</v>
      </c>
      <c r="G460" s="73">
        <v>2</v>
      </c>
      <c r="H460" s="5" t="s">
        <v>927</v>
      </c>
      <c r="I460" s="5"/>
    </row>
    <row r="461" spans="1:9">
      <c r="A461" s="5" t="str">
        <f t="shared" si="8"/>
        <v>103001803</v>
      </c>
      <c r="B461" s="58">
        <v>73000110</v>
      </c>
      <c r="C461" s="5" t="s">
        <v>115</v>
      </c>
      <c r="D461" s="5" t="s">
        <v>1173</v>
      </c>
      <c r="E461" s="73">
        <v>1030018</v>
      </c>
      <c r="F461" s="73"/>
      <c r="G461" s="73">
        <v>3</v>
      </c>
      <c r="H461" s="5" t="s">
        <v>928</v>
      </c>
      <c r="I461" s="5"/>
    </row>
    <row r="462" spans="1:9">
      <c r="A462" s="5" t="str">
        <f t="shared" si="8"/>
        <v>103001804</v>
      </c>
      <c r="B462" s="58">
        <v>31000110</v>
      </c>
      <c r="C462" s="5" t="s">
        <v>91</v>
      </c>
      <c r="D462" s="5" t="s">
        <v>1173</v>
      </c>
      <c r="E462" s="73">
        <v>1030018</v>
      </c>
      <c r="F462" s="73">
        <v>103001803</v>
      </c>
      <c r="G462" s="73">
        <v>4</v>
      </c>
      <c r="H462" s="5" t="s">
        <v>929</v>
      </c>
      <c r="I462" s="5"/>
    </row>
    <row r="463" spans="1:9">
      <c r="A463" s="5" t="str">
        <f t="shared" si="8"/>
        <v>103001805</v>
      </c>
      <c r="B463" s="58">
        <v>52000410</v>
      </c>
      <c r="C463" s="5" t="s">
        <v>106</v>
      </c>
      <c r="D463" s="5" t="s">
        <v>1173</v>
      </c>
      <c r="E463" s="73">
        <v>1030018</v>
      </c>
      <c r="F463" s="73">
        <v>103001803</v>
      </c>
      <c r="G463" s="73">
        <v>5</v>
      </c>
      <c r="H463" s="5" t="s">
        <v>930</v>
      </c>
      <c r="I463" s="5"/>
    </row>
    <row r="464" spans="1:9">
      <c r="A464" s="5" t="str">
        <f t="shared" si="8"/>
        <v>103001806</v>
      </c>
      <c r="B464" s="97">
        <v>94000110</v>
      </c>
      <c r="C464" s="96" t="s">
        <v>2044</v>
      </c>
      <c r="D464" s="5" t="s">
        <v>1173</v>
      </c>
      <c r="E464" s="73">
        <v>1030018</v>
      </c>
      <c r="F464" s="73">
        <v>103001803</v>
      </c>
      <c r="G464" s="73">
        <v>6</v>
      </c>
      <c r="H464" s="5" t="s">
        <v>931</v>
      </c>
      <c r="I464" s="5"/>
    </row>
    <row r="465" spans="1:9">
      <c r="A465" s="5" t="str">
        <f t="shared" si="8"/>
        <v>103001807</v>
      </c>
      <c r="B465" s="58">
        <v>52000410</v>
      </c>
      <c r="C465" s="5" t="s">
        <v>106</v>
      </c>
      <c r="D465" s="5" t="s">
        <v>1173</v>
      </c>
      <c r="E465" s="73">
        <v>1030018</v>
      </c>
      <c r="F465" s="73">
        <v>103001803</v>
      </c>
      <c r="G465" s="73">
        <v>7</v>
      </c>
      <c r="H465" s="5" t="s">
        <v>932</v>
      </c>
      <c r="I465" s="5"/>
    </row>
    <row r="466" spans="1:9">
      <c r="A466" s="5" t="str">
        <f t="shared" si="8"/>
        <v>103001808</v>
      </c>
      <c r="B466" s="97">
        <v>94000110</v>
      </c>
      <c r="C466" s="96" t="s">
        <v>2045</v>
      </c>
      <c r="D466" s="5" t="s">
        <v>1173</v>
      </c>
      <c r="E466" s="73">
        <v>1030018</v>
      </c>
      <c r="F466" s="73">
        <v>103001803</v>
      </c>
      <c r="G466" s="73">
        <v>8</v>
      </c>
      <c r="H466" s="5" t="s">
        <v>933</v>
      </c>
      <c r="I466" s="5"/>
    </row>
    <row r="467" spans="1:9">
      <c r="A467" s="5" t="str">
        <f t="shared" si="8"/>
        <v>103001809</v>
      </c>
      <c r="B467" s="58">
        <v>52000410</v>
      </c>
      <c r="C467" s="5" t="s">
        <v>106</v>
      </c>
      <c r="D467" s="5" t="s">
        <v>1173</v>
      </c>
      <c r="E467" s="73">
        <v>1030018</v>
      </c>
      <c r="F467" s="73">
        <v>103001803</v>
      </c>
      <c r="G467" s="73">
        <v>9</v>
      </c>
      <c r="H467" s="5" t="s">
        <v>934</v>
      </c>
      <c r="I467" s="5"/>
    </row>
    <row r="468" spans="1:9">
      <c r="A468" s="5" t="str">
        <f t="shared" si="8"/>
        <v>103001901</v>
      </c>
      <c r="B468" s="58">
        <v>34000110</v>
      </c>
      <c r="C468" s="5" t="s">
        <v>132</v>
      </c>
      <c r="D468" s="5" t="s">
        <v>1174</v>
      </c>
      <c r="E468" s="73">
        <v>1030019</v>
      </c>
      <c r="F468" s="73"/>
      <c r="G468" s="73">
        <v>1</v>
      </c>
      <c r="H468" s="5" t="s">
        <v>935</v>
      </c>
      <c r="I468" s="5"/>
    </row>
    <row r="469" spans="1:9">
      <c r="A469" s="5" t="str">
        <f t="shared" si="8"/>
        <v>103001902</v>
      </c>
      <c r="B469" s="58">
        <v>52000510</v>
      </c>
      <c r="C469" s="5" t="s">
        <v>107</v>
      </c>
      <c r="D469" s="5" t="s">
        <v>1174</v>
      </c>
      <c r="E469" s="73">
        <v>1030019</v>
      </c>
      <c r="F469" s="73">
        <v>103001901</v>
      </c>
      <c r="G469" s="73">
        <v>2</v>
      </c>
      <c r="H469" s="5" t="s">
        <v>936</v>
      </c>
      <c r="I469" s="5"/>
    </row>
    <row r="470" spans="1:9">
      <c r="A470" s="5" t="str">
        <f t="shared" si="8"/>
        <v>103001903</v>
      </c>
      <c r="B470" s="97">
        <v>72000310</v>
      </c>
      <c r="C470" s="96" t="s">
        <v>2019</v>
      </c>
      <c r="D470" s="5" t="s">
        <v>1174</v>
      </c>
      <c r="E470" s="73">
        <v>1030019</v>
      </c>
      <c r="F470" s="73">
        <v>103001901</v>
      </c>
      <c r="G470" s="73">
        <v>3</v>
      </c>
      <c r="H470" s="5" t="s">
        <v>937</v>
      </c>
      <c r="I470" s="5"/>
    </row>
    <row r="471" spans="1:9">
      <c r="A471" s="5" t="str">
        <f t="shared" si="8"/>
        <v>103001904</v>
      </c>
      <c r="B471" s="58">
        <v>52000510</v>
      </c>
      <c r="C471" s="5" t="s">
        <v>107</v>
      </c>
      <c r="D471" s="5" t="s">
        <v>1174</v>
      </c>
      <c r="E471" s="73">
        <v>1030019</v>
      </c>
      <c r="F471" s="73">
        <v>103001901</v>
      </c>
      <c r="G471" s="73">
        <v>4</v>
      </c>
      <c r="H471" s="5" t="s">
        <v>938</v>
      </c>
      <c r="I471" s="5"/>
    </row>
    <row r="472" spans="1:9">
      <c r="A472" s="5" t="str">
        <f t="shared" si="8"/>
        <v>103001905</v>
      </c>
      <c r="B472" s="58">
        <v>94000310</v>
      </c>
      <c r="C472" s="5" t="s">
        <v>128</v>
      </c>
      <c r="D472" s="5" t="s">
        <v>1174</v>
      </c>
      <c r="E472" s="73">
        <v>1030019</v>
      </c>
      <c r="F472" s="73"/>
      <c r="G472" s="73">
        <v>5</v>
      </c>
      <c r="H472" s="5" t="s">
        <v>939</v>
      </c>
      <c r="I472" s="5"/>
    </row>
    <row r="473" spans="1:9">
      <c r="A473" s="5" t="str">
        <f t="shared" si="8"/>
        <v>103001906</v>
      </c>
      <c r="B473" s="58">
        <v>71000210</v>
      </c>
      <c r="C473" s="5" t="s">
        <v>87</v>
      </c>
      <c r="D473" s="5" t="s">
        <v>1174</v>
      </c>
      <c r="E473" s="73">
        <v>1030019</v>
      </c>
      <c r="F473" s="73">
        <v>103001905</v>
      </c>
      <c r="G473" s="73">
        <v>6</v>
      </c>
      <c r="H473" s="5" t="s">
        <v>940</v>
      </c>
      <c r="I473" s="5"/>
    </row>
    <row r="474" spans="1:9">
      <c r="A474" s="5" t="str">
        <f t="shared" si="8"/>
        <v>103001907</v>
      </c>
      <c r="B474" s="58">
        <v>52000510</v>
      </c>
      <c r="C474" s="5" t="s">
        <v>1203</v>
      </c>
      <c r="D474" s="5" t="s">
        <v>1174</v>
      </c>
      <c r="E474" s="73">
        <v>1030019</v>
      </c>
      <c r="F474" s="73">
        <v>103001905</v>
      </c>
      <c r="G474" s="73">
        <v>7</v>
      </c>
      <c r="H474" s="5" t="s">
        <v>941</v>
      </c>
      <c r="I474" s="5"/>
    </row>
    <row r="475" spans="1:9">
      <c r="A475" s="5" t="str">
        <f t="shared" si="8"/>
        <v>103002001</v>
      </c>
      <c r="B475" s="58">
        <v>72000310</v>
      </c>
      <c r="C475" s="5" t="s">
        <v>98</v>
      </c>
      <c r="D475" s="5" t="s">
        <v>1175</v>
      </c>
      <c r="E475" s="73">
        <v>1030020</v>
      </c>
      <c r="F475" s="73"/>
      <c r="G475" s="73">
        <v>1</v>
      </c>
      <c r="H475" s="5" t="s">
        <v>942</v>
      </c>
      <c r="I475" s="5"/>
    </row>
    <row r="476" spans="1:9">
      <c r="A476" s="5" t="str">
        <f t="shared" si="8"/>
        <v>103002002</v>
      </c>
      <c r="B476" s="58">
        <v>52000510</v>
      </c>
      <c r="C476" s="5" t="s">
        <v>107</v>
      </c>
      <c r="D476" s="5" t="s">
        <v>1175</v>
      </c>
      <c r="E476" s="73">
        <v>1030020</v>
      </c>
      <c r="F476" s="73">
        <v>103002001</v>
      </c>
      <c r="G476" s="73">
        <v>2</v>
      </c>
      <c r="H476" s="5" t="s">
        <v>943</v>
      </c>
      <c r="I476" s="5"/>
    </row>
    <row r="477" spans="1:9">
      <c r="A477" s="5" t="str">
        <f t="shared" si="8"/>
        <v>103002003</v>
      </c>
      <c r="B477" s="58">
        <v>32000210</v>
      </c>
      <c r="C477" s="5" t="s">
        <v>109</v>
      </c>
      <c r="D477" s="5" t="s">
        <v>1175</v>
      </c>
      <c r="E477" s="73">
        <v>1030020</v>
      </c>
      <c r="F477" s="73">
        <v>103002001</v>
      </c>
      <c r="G477" s="73">
        <v>3</v>
      </c>
      <c r="H477" s="5" t="s">
        <v>944</v>
      </c>
      <c r="I477" s="5"/>
    </row>
    <row r="478" spans="1:9">
      <c r="A478" s="5" t="str">
        <f t="shared" si="8"/>
        <v>103002004</v>
      </c>
      <c r="B478" s="58">
        <v>73000310</v>
      </c>
      <c r="C478" s="5" t="s">
        <v>117</v>
      </c>
      <c r="D478" s="5" t="s">
        <v>1175</v>
      </c>
      <c r="E478" s="73">
        <v>1030020</v>
      </c>
      <c r="F478" s="73"/>
      <c r="G478" s="73">
        <v>4</v>
      </c>
      <c r="H478" s="5" t="s">
        <v>945</v>
      </c>
      <c r="I478" s="5"/>
    </row>
    <row r="479" spans="1:9">
      <c r="A479" s="5" t="str">
        <f t="shared" si="8"/>
        <v>103002005</v>
      </c>
      <c r="B479" s="58">
        <v>72000710</v>
      </c>
      <c r="C479" s="5" t="s">
        <v>102</v>
      </c>
      <c r="D479" s="5" t="s">
        <v>1175</v>
      </c>
      <c r="E479" s="73">
        <v>1030020</v>
      </c>
      <c r="F479" s="73">
        <v>103002004</v>
      </c>
      <c r="G479" s="73">
        <v>5</v>
      </c>
      <c r="H479" s="5" t="s">
        <v>946</v>
      </c>
      <c r="I479" s="5"/>
    </row>
    <row r="480" spans="1:9">
      <c r="A480" s="5" t="str">
        <f t="shared" si="8"/>
        <v>103002006</v>
      </c>
      <c r="B480" s="58">
        <v>32000210</v>
      </c>
      <c r="C480" s="5" t="s">
        <v>109</v>
      </c>
      <c r="D480" s="5" t="s">
        <v>1175</v>
      </c>
      <c r="E480" s="73">
        <v>1030020</v>
      </c>
      <c r="F480" s="73">
        <v>103002004</v>
      </c>
      <c r="G480" s="73">
        <v>6</v>
      </c>
      <c r="H480" s="5" t="s">
        <v>947</v>
      </c>
      <c r="I480" s="5"/>
    </row>
    <row r="481" spans="1:9">
      <c r="A481" s="5" t="str">
        <f t="shared" si="8"/>
        <v>103002007</v>
      </c>
      <c r="B481" s="58">
        <v>72000710</v>
      </c>
      <c r="C481" s="5" t="s">
        <v>102</v>
      </c>
      <c r="D481" s="5" t="s">
        <v>1175</v>
      </c>
      <c r="E481" s="73">
        <v>1030020</v>
      </c>
      <c r="F481" s="73">
        <v>103002004</v>
      </c>
      <c r="G481" s="73">
        <v>7</v>
      </c>
      <c r="H481" s="5" t="s">
        <v>948</v>
      </c>
      <c r="I481" s="5"/>
    </row>
    <row r="482" spans="1:9">
      <c r="A482" s="5" t="str">
        <f t="shared" si="8"/>
        <v>103002101</v>
      </c>
      <c r="B482" s="58">
        <v>94000310</v>
      </c>
      <c r="C482" s="5" t="s">
        <v>128</v>
      </c>
      <c r="D482" s="5" t="s">
        <v>1176</v>
      </c>
      <c r="E482" s="73">
        <v>1030021</v>
      </c>
      <c r="F482" s="73"/>
      <c r="G482" s="73">
        <v>1</v>
      </c>
      <c r="H482" s="5" t="s">
        <v>949</v>
      </c>
      <c r="I482" s="5"/>
    </row>
    <row r="483" spans="1:9">
      <c r="A483" s="5" t="str">
        <f t="shared" si="8"/>
        <v>103002102</v>
      </c>
      <c r="B483" s="58">
        <v>93000110</v>
      </c>
      <c r="C483" s="5" t="s">
        <v>110</v>
      </c>
      <c r="D483" s="5" t="s">
        <v>1176</v>
      </c>
      <c r="E483" s="73">
        <v>1030021</v>
      </c>
      <c r="F483" s="73">
        <v>103002101</v>
      </c>
      <c r="G483" s="73">
        <v>2</v>
      </c>
      <c r="H483" s="5" t="s">
        <v>950</v>
      </c>
      <c r="I483" s="5"/>
    </row>
    <row r="484" spans="1:9">
      <c r="A484" s="5" t="str">
        <f t="shared" si="8"/>
        <v>103002103</v>
      </c>
      <c r="B484" s="58">
        <v>94000310</v>
      </c>
      <c r="C484" s="5" t="s">
        <v>128</v>
      </c>
      <c r="D484" s="5" t="s">
        <v>1176</v>
      </c>
      <c r="E484" s="73">
        <v>1030021</v>
      </c>
      <c r="F484" s="73">
        <v>103002101</v>
      </c>
      <c r="G484" s="73">
        <v>3</v>
      </c>
      <c r="H484" s="5" t="s">
        <v>951</v>
      </c>
      <c r="I484" s="5"/>
    </row>
    <row r="485" spans="1:9">
      <c r="A485" s="5" t="str">
        <f t="shared" si="8"/>
        <v>103002104</v>
      </c>
      <c r="B485" s="58">
        <v>92000210</v>
      </c>
      <c r="C485" s="5" t="s">
        <v>92</v>
      </c>
      <c r="D485" s="5" t="s">
        <v>1176</v>
      </c>
      <c r="E485" s="73">
        <v>1030021</v>
      </c>
      <c r="F485" s="73"/>
      <c r="G485" s="73">
        <v>4</v>
      </c>
      <c r="H485" s="5" t="s">
        <v>952</v>
      </c>
      <c r="I485" s="5"/>
    </row>
    <row r="486" spans="1:9">
      <c r="A486" s="5" t="str">
        <f t="shared" si="8"/>
        <v>103002105</v>
      </c>
      <c r="B486" s="58">
        <v>73000510</v>
      </c>
      <c r="C486" s="5" t="s">
        <v>119</v>
      </c>
      <c r="D486" s="5" t="s">
        <v>1176</v>
      </c>
      <c r="E486" s="73">
        <v>1030021</v>
      </c>
      <c r="F486" s="73">
        <v>103002104</v>
      </c>
      <c r="G486" s="73">
        <v>5</v>
      </c>
      <c r="H486" s="5" t="s">
        <v>953</v>
      </c>
      <c r="I486" s="5"/>
    </row>
    <row r="487" spans="1:9">
      <c r="A487" s="5" t="str">
        <f t="shared" si="8"/>
        <v>103002106</v>
      </c>
      <c r="B487" s="58">
        <v>93000110</v>
      </c>
      <c r="C487" s="5" t="s">
        <v>110</v>
      </c>
      <c r="D487" s="5" t="s">
        <v>1176</v>
      </c>
      <c r="E487" s="73">
        <v>1030021</v>
      </c>
      <c r="F487" s="73">
        <v>103002104</v>
      </c>
      <c r="G487" s="73">
        <v>6</v>
      </c>
      <c r="H487" s="5" t="s">
        <v>954</v>
      </c>
      <c r="I487" s="5"/>
    </row>
    <row r="488" spans="1:9">
      <c r="A488" s="5" t="str">
        <f t="shared" si="8"/>
        <v>103002107</v>
      </c>
      <c r="B488" s="58">
        <v>73000510</v>
      </c>
      <c r="C488" s="5" t="s">
        <v>119</v>
      </c>
      <c r="D488" s="5" t="s">
        <v>1176</v>
      </c>
      <c r="E488" s="73">
        <v>1030021</v>
      </c>
      <c r="F488" s="73">
        <v>103002104</v>
      </c>
      <c r="G488" s="73">
        <v>7</v>
      </c>
      <c r="H488" s="5" t="s">
        <v>955</v>
      </c>
      <c r="I488" s="5"/>
    </row>
    <row r="489" spans="1:9">
      <c r="A489" s="5" t="str">
        <f t="shared" si="8"/>
        <v>103002201</v>
      </c>
      <c r="B489" s="58">
        <v>33000210</v>
      </c>
      <c r="C489" s="5" t="s">
        <v>125</v>
      </c>
      <c r="D489" s="5" t="s">
        <v>1177</v>
      </c>
      <c r="E489" s="73">
        <v>1030022</v>
      </c>
      <c r="F489" s="73"/>
      <c r="G489" s="73">
        <v>1</v>
      </c>
      <c r="H489" s="5" t="s">
        <v>956</v>
      </c>
      <c r="I489" s="5"/>
    </row>
    <row r="490" spans="1:9">
      <c r="A490" s="5" t="str">
        <f t="shared" si="8"/>
        <v>103002202</v>
      </c>
      <c r="B490" s="58">
        <v>33000110</v>
      </c>
      <c r="C490" s="5" t="s">
        <v>124</v>
      </c>
      <c r="D490" s="5" t="s">
        <v>1177</v>
      </c>
      <c r="E490" s="73">
        <v>1030022</v>
      </c>
      <c r="F490" s="73">
        <v>103002201</v>
      </c>
      <c r="G490" s="73">
        <v>2</v>
      </c>
      <c r="H490" s="5" t="s">
        <v>957</v>
      </c>
      <c r="I490" s="5"/>
    </row>
    <row r="491" spans="1:9">
      <c r="A491" s="5" t="str">
        <f t="shared" si="8"/>
        <v>103002203</v>
      </c>
      <c r="B491" s="58">
        <v>53000110</v>
      </c>
      <c r="C491" s="5" t="s">
        <v>120</v>
      </c>
      <c r="D491" s="5" t="s">
        <v>1177</v>
      </c>
      <c r="E491" s="73">
        <v>1030022</v>
      </c>
      <c r="F491" s="73">
        <v>103002201</v>
      </c>
      <c r="G491" s="73">
        <v>3</v>
      </c>
      <c r="H491" s="5" t="s">
        <v>958</v>
      </c>
      <c r="I491" s="5"/>
    </row>
    <row r="492" spans="1:9">
      <c r="A492" s="5" t="str">
        <f t="shared" si="8"/>
        <v>103002204</v>
      </c>
      <c r="B492" s="58">
        <v>52000310</v>
      </c>
      <c r="C492" s="5" t="s">
        <v>105</v>
      </c>
      <c r="D492" s="5" t="s">
        <v>1177</v>
      </c>
      <c r="E492" s="73">
        <v>1030022</v>
      </c>
      <c r="F492" s="73">
        <v>103002201</v>
      </c>
      <c r="G492" s="73">
        <v>4</v>
      </c>
      <c r="H492" s="5" t="s">
        <v>959</v>
      </c>
      <c r="I492" s="5"/>
    </row>
    <row r="493" spans="1:9">
      <c r="A493" s="96" t="str">
        <f t="shared" ref="A493" si="9">(E493*10)&amp;G493</f>
        <v>103002205</v>
      </c>
      <c r="B493" s="97">
        <v>33000210</v>
      </c>
      <c r="C493" s="96" t="s">
        <v>2046</v>
      </c>
      <c r="D493" s="96" t="s">
        <v>1177</v>
      </c>
      <c r="E493" s="95">
        <v>1030022</v>
      </c>
      <c r="F493" s="95">
        <v>103002201</v>
      </c>
      <c r="G493" s="95">
        <v>5</v>
      </c>
      <c r="H493" s="96" t="s">
        <v>2047</v>
      </c>
      <c r="I493" s="96"/>
    </row>
    <row r="494" spans="1:9">
      <c r="A494" s="96" t="str">
        <f t="shared" si="8"/>
        <v>103002206</v>
      </c>
      <c r="B494" s="58">
        <v>54000110</v>
      </c>
      <c r="C494" s="5" t="s">
        <v>131</v>
      </c>
      <c r="D494" s="5" t="s">
        <v>1177</v>
      </c>
      <c r="E494" s="73">
        <v>1030022</v>
      </c>
      <c r="F494" s="73"/>
      <c r="G494" s="95">
        <v>6</v>
      </c>
      <c r="H494" s="5" t="s">
        <v>960</v>
      </c>
      <c r="I494" s="5"/>
    </row>
    <row r="495" spans="1:9">
      <c r="A495" s="96" t="str">
        <f t="shared" si="8"/>
        <v>103002207</v>
      </c>
      <c r="B495" s="58">
        <v>53000410</v>
      </c>
      <c r="C495" s="5" t="s">
        <v>123</v>
      </c>
      <c r="D495" s="5" t="s">
        <v>1177</v>
      </c>
      <c r="E495" s="73">
        <v>1030022</v>
      </c>
      <c r="F495" s="95">
        <v>103002206</v>
      </c>
      <c r="G495" s="95">
        <v>7</v>
      </c>
      <c r="H495" s="5" t="s">
        <v>961</v>
      </c>
      <c r="I495" s="5"/>
    </row>
    <row r="496" spans="1:9">
      <c r="A496" s="96" t="str">
        <f t="shared" si="8"/>
        <v>103002208</v>
      </c>
      <c r="B496" s="58">
        <v>93000310</v>
      </c>
      <c r="C496" s="5" t="s">
        <v>112</v>
      </c>
      <c r="D496" s="5" t="s">
        <v>1177</v>
      </c>
      <c r="E496" s="73">
        <v>1030022</v>
      </c>
      <c r="F496" s="95">
        <v>103002206</v>
      </c>
      <c r="G496" s="95">
        <v>8</v>
      </c>
      <c r="H496" s="5" t="s">
        <v>962</v>
      </c>
      <c r="I496" s="5"/>
    </row>
    <row r="497" spans="1:9">
      <c r="A497" s="96" t="str">
        <f t="shared" si="8"/>
        <v>103002209</v>
      </c>
      <c r="B497" s="58">
        <v>93000310</v>
      </c>
      <c r="C497" s="5" t="s">
        <v>112</v>
      </c>
      <c r="D497" s="5" t="s">
        <v>1177</v>
      </c>
      <c r="E497" s="73">
        <v>1030022</v>
      </c>
      <c r="F497" s="95">
        <v>103002206</v>
      </c>
      <c r="G497" s="95">
        <v>9</v>
      </c>
      <c r="H497" s="5" t="s">
        <v>963</v>
      </c>
      <c r="I497" s="5"/>
    </row>
    <row r="498" spans="1:9">
      <c r="A498" s="101" t="str">
        <f t="shared" si="8"/>
        <v>103002301</v>
      </c>
      <c r="B498" s="100">
        <v>91000210</v>
      </c>
      <c r="C498" s="101" t="s">
        <v>85</v>
      </c>
      <c r="D498" s="101" t="s">
        <v>1178</v>
      </c>
      <c r="E498" s="102">
        <v>1030023</v>
      </c>
      <c r="F498" s="102"/>
      <c r="G498" s="102">
        <v>1</v>
      </c>
      <c r="H498" s="101" t="s">
        <v>964</v>
      </c>
      <c r="I498" s="101"/>
    </row>
    <row r="499" spans="1:9">
      <c r="A499" s="5" t="str">
        <f t="shared" si="8"/>
        <v>103002302</v>
      </c>
      <c r="B499" s="58">
        <v>32000110</v>
      </c>
      <c r="C499" s="5" t="s">
        <v>108</v>
      </c>
      <c r="D499" s="5" t="s">
        <v>1178</v>
      </c>
      <c r="E499" s="73">
        <v>1030023</v>
      </c>
      <c r="F499" s="73">
        <v>103002301</v>
      </c>
      <c r="G499" s="73">
        <v>2</v>
      </c>
      <c r="H499" s="5" t="s">
        <v>965</v>
      </c>
      <c r="I499" s="5"/>
    </row>
    <row r="500" spans="1:9">
      <c r="A500" s="5" t="str">
        <f t="shared" si="8"/>
        <v>103002303</v>
      </c>
      <c r="B500" s="58">
        <v>91000210</v>
      </c>
      <c r="C500" s="5" t="s">
        <v>85</v>
      </c>
      <c r="D500" s="5" t="s">
        <v>1178</v>
      </c>
      <c r="E500" s="73">
        <v>1030023</v>
      </c>
      <c r="F500" s="73">
        <v>103002301</v>
      </c>
      <c r="G500" s="73">
        <v>3</v>
      </c>
      <c r="H500" s="5" t="s">
        <v>966</v>
      </c>
      <c r="I500" s="5"/>
    </row>
    <row r="501" spans="1:9">
      <c r="A501" s="5" t="str">
        <f t="shared" si="8"/>
        <v>103002304</v>
      </c>
      <c r="B501" s="58">
        <v>10000210</v>
      </c>
      <c r="C501" s="5" t="s">
        <v>1154</v>
      </c>
      <c r="D501" s="5" t="s">
        <v>1178</v>
      </c>
      <c r="E501" s="73">
        <v>1030023</v>
      </c>
      <c r="F501" s="73">
        <v>103002301</v>
      </c>
      <c r="G501" s="73">
        <v>4</v>
      </c>
      <c r="H501" s="5" t="s">
        <v>967</v>
      </c>
      <c r="I501" s="5"/>
    </row>
    <row r="502" spans="1:9">
      <c r="A502" s="5" t="str">
        <f t="shared" si="8"/>
        <v>103002305</v>
      </c>
      <c r="B502" s="58">
        <v>91000210</v>
      </c>
      <c r="C502" s="5" t="s">
        <v>85</v>
      </c>
      <c r="D502" s="5" t="s">
        <v>1178</v>
      </c>
      <c r="E502" s="73">
        <v>1030023</v>
      </c>
      <c r="F502" s="73">
        <v>103002301</v>
      </c>
      <c r="G502" s="73">
        <v>5</v>
      </c>
      <c r="H502" s="5" t="s">
        <v>968</v>
      </c>
      <c r="I502" s="5"/>
    </row>
    <row r="503" spans="1:9">
      <c r="A503" s="5" t="str">
        <f t="shared" si="8"/>
        <v>103002306</v>
      </c>
      <c r="B503" s="58">
        <v>92000210</v>
      </c>
      <c r="C503" s="5" t="s">
        <v>92</v>
      </c>
      <c r="D503" s="5" t="s">
        <v>1178</v>
      </c>
      <c r="E503" s="73">
        <v>1030023</v>
      </c>
      <c r="F503" s="73"/>
      <c r="G503" s="73">
        <v>6</v>
      </c>
      <c r="H503" s="5" t="s">
        <v>969</v>
      </c>
      <c r="I503" s="5"/>
    </row>
    <row r="504" spans="1:9">
      <c r="A504" s="5" t="str">
        <f t="shared" si="8"/>
        <v>103002307</v>
      </c>
      <c r="B504" s="98">
        <v>10000110</v>
      </c>
      <c r="C504" s="99" t="s">
        <v>416</v>
      </c>
      <c r="D504" s="99" t="s">
        <v>1178</v>
      </c>
      <c r="E504" s="103">
        <v>1030023</v>
      </c>
      <c r="F504" s="103">
        <v>103002306</v>
      </c>
      <c r="G504" s="103">
        <v>7</v>
      </c>
      <c r="H504" s="99" t="s">
        <v>970</v>
      </c>
      <c r="I504" s="99"/>
    </row>
    <row r="505" spans="1:9">
      <c r="A505" s="5" t="str">
        <f t="shared" si="8"/>
        <v>103002401</v>
      </c>
      <c r="B505" s="97">
        <v>93000310</v>
      </c>
      <c r="C505" s="96" t="s">
        <v>2048</v>
      </c>
      <c r="D505" s="5" t="s">
        <v>1179</v>
      </c>
      <c r="E505" s="73">
        <v>1030024</v>
      </c>
      <c r="F505" s="73"/>
      <c r="G505" s="73">
        <v>1</v>
      </c>
      <c r="H505" s="5" t="s">
        <v>971</v>
      </c>
      <c r="I505" s="5"/>
    </row>
    <row r="506" spans="1:9">
      <c r="A506" s="5" t="str">
        <f t="shared" si="8"/>
        <v>103002402</v>
      </c>
      <c r="B506" s="58">
        <v>73000110</v>
      </c>
      <c r="C506" s="5" t="s">
        <v>115</v>
      </c>
      <c r="D506" s="5" t="s">
        <v>1179</v>
      </c>
      <c r="E506" s="73">
        <v>1030024</v>
      </c>
      <c r="F506" s="73">
        <v>103002401</v>
      </c>
      <c r="G506" s="73">
        <v>2</v>
      </c>
      <c r="H506" s="5" t="s">
        <v>972</v>
      </c>
      <c r="I506" s="5"/>
    </row>
    <row r="507" spans="1:9">
      <c r="A507" s="5" t="str">
        <f t="shared" si="8"/>
        <v>103002403</v>
      </c>
      <c r="B507" s="58">
        <v>53000410</v>
      </c>
      <c r="C507" s="5" t="s">
        <v>123</v>
      </c>
      <c r="D507" s="5" t="s">
        <v>1179</v>
      </c>
      <c r="E507" s="73">
        <v>1030024</v>
      </c>
      <c r="F507" s="73">
        <v>103002401</v>
      </c>
      <c r="G507" s="73">
        <v>3</v>
      </c>
      <c r="H507" s="5" t="s">
        <v>973</v>
      </c>
      <c r="I507" s="5"/>
    </row>
    <row r="508" spans="1:9">
      <c r="A508" s="5" t="str">
        <f t="shared" si="8"/>
        <v>103002404</v>
      </c>
      <c r="B508" s="97">
        <v>54000110</v>
      </c>
      <c r="C508" s="96" t="s">
        <v>2049</v>
      </c>
      <c r="D508" s="5" t="s">
        <v>1179</v>
      </c>
      <c r="E508" s="73">
        <v>1030024</v>
      </c>
      <c r="F508" s="73">
        <v>103002401</v>
      </c>
      <c r="G508" s="73">
        <v>4</v>
      </c>
      <c r="H508" s="5" t="s">
        <v>974</v>
      </c>
      <c r="I508" s="5"/>
    </row>
    <row r="509" spans="1:9">
      <c r="A509" s="5" t="str">
        <f t="shared" si="8"/>
        <v>103002406</v>
      </c>
      <c r="B509" s="58">
        <v>53000210</v>
      </c>
      <c r="C509" s="5" t="s">
        <v>121</v>
      </c>
      <c r="D509" s="5" t="s">
        <v>1179</v>
      </c>
      <c r="E509" s="73">
        <v>1030024</v>
      </c>
      <c r="F509" s="73"/>
      <c r="G509" s="73">
        <v>6</v>
      </c>
      <c r="H509" s="5" t="s">
        <v>975</v>
      </c>
      <c r="I509" s="5"/>
    </row>
    <row r="510" spans="1:9">
      <c r="A510" s="5" t="str">
        <f t="shared" si="8"/>
        <v>103002407</v>
      </c>
      <c r="B510" s="58">
        <v>73000110</v>
      </c>
      <c r="C510" s="5" t="s">
        <v>115</v>
      </c>
      <c r="D510" s="5" t="s">
        <v>1179</v>
      </c>
      <c r="E510" s="73">
        <v>1030024</v>
      </c>
      <c r="F510" s="73">
        <v>103002406</v>
      </c>
      <c r="G510" s="73">
        <v>7</v>
      </c>
      <c r="H510" s="5" t="s">
        <v>976</v>
      </c>
      <c r="I510" s="5"/>
    </row>
    <row r="511" spans="1:9">
      <c r="A511" s="5" t="str">
        <f t="shared" si="8"/>
        <v>103002408</v>
      </c>
      <c r="B511" s="58">
        <v>53000210</v>
      </c>
      <c r="C511" s="5" t="s">
        <v>121</v>
      </c>
      <c r="D511" s="5" t="s">
        <v>1179</v>
      </c>
      <c r="E511" s="73">
        <v>1030024</v>
      </c>
      <c r="F511" s="73">
        <v>103002406</v>
      </c>
      <c r="G511" s="73">
        <v>8</v>
      </c>
      <c r="H511" s="5" t="s">
        <v>977</v>
      </c>
      <c r="I511" s="5"/>
    </row>
    <row r="512" spans="1:9">
      <c r="A512" s="5" t="str">
        <f t="shared" si="8"/>
        <v>103002409</v>
      </c>
      <c r="B512" s="58">
        <v>73000110</v>
      </c>
      <c r="C512" s="5" t="s">
        <v>115</v>
      </c>
      <c r="D512" s="5" t="s">
        <v>1179</v>
      </c>
      <c r="E512" s="73">
        <v>1030024</v>
      </c>
      <c r="F512" s="73">
        <v>103002406</v>
      </c>
      <c r="G512" s="73">
        <v>9</v>
      </c>
      <c r="H512" s="5" t="s">
        <v>978</v>
      </c>
      <c r="I512" s="5"/>
    </row>
    <row r="513" spans="1:9">
      <c r="A513" s="5" t="str">
        <f t="shared" si="8"/>
        <v>1030024010</v>
      </c>
      <c r="B513" s="58">
        <v>10000110</v>
      </c>
      <c r="C513" s="5" t="s">
        <v>416</v>
      </c>
      <c r="D513" s="5" t="s">
        <v>1179</v>
      </c>
      <c r="E513" s="73">
        <v>1030024</v>
      </c>
      <c r="F513" s="73">
        <v>103002406</v>
      </c>
      <c r="G513" s="73">
        <v>10</v>
      </c>
      <c r="H513" s="5" t="s">
        <v>979</v>
      </c>
      <c r="I513" s="5"/>
    </row>
    <row r="514" spans="1:9">
      <c r="A514" s="5" t="str">
        <f t="shared" si="8"/>
        <v>103002501</v>
      </c>
      <c r="B514" s="58">
        <v>51000210</v>
      </c>
      <c r="C514" s="5" t="s">
        <v>90</v>
      </c>
      <c r="D514" s="5" t="s">
        <v>1180</v>
      </c>
      <c r="E514" s="73">
        <v>1030025</v>
      </c>
      <c r="F514" s="73"/>
      <c r="G514" s="73">
        <v>1</v>
      </c>
      <c r="H514" s="5" t="s">
        <v>980</v>
      </c>
      <c r="I514" s="5"/>
    </row>
    <row r="515" spans="1:9">
      <c r="A515" s="5" t="str">
        <f t="shared" si="8"/>
        <v>103002502</v>
      </c>
      <c r="B515" s="58">
        <v>51000210</v>
      </c>
      <c r="C515" s="5" t="s">
        <v>90</v>
      </c>
      <c r="D515" s="5" t="s">
        <v>1180</v>
      </c>
      <c r="E515" s="73">
        <v>1030025</v>
      </c>
      <c r="F515" s="73">
        <v>103002501</v>
      </c>
      <c r="G515" s="73">
        <v>2</v>
      </c>
      <c r="H515" s="5" t="s">
        <v>981</v>
      </c>
      <c r="I515" s="5"/>
    </row>
    <row r="516" spans="1:9">
      <c r="A516" s="5" t="str">
        <f t="shared" si="8"/>
        <v>103002503</v>
      </c>
      <c r="B516" s="58">
        <v>73000210</v>
      </c>
      <c r="C516" s="5" t="s">
        <v>116</v>
      </c>
      <c r="D516" s="5" t="s">
        <v>1180</v>
      </c>
      <c r="E516" s="73">
        <v>1030025</v>
      </c>
      <c r="F516" s="73">
        <v>103002501</v>
      </c>
      <c r="G516" s="73">
        <v>3</v>
      </c>
      <c r="H516" s="5" t="s">
        <v>982</v>
      </c>
      <c r="I516" s="5"/>
    </row>
    <row r="517" spans="1:9">
      <c r="A517" s="5" t="str">
        <f t="shared" si="8"/>
        <v>103002504</v>
      </c>
      <c r="B517" s="58">
        <v>51000210</v>
      </c>
      <c r="C517" s="5" t="s">
        <v>90</v>
      </c>
      <c r="D517" s="5" t="s">
        <v>1180</v>
      </c>
      <c r="E517" s="73">
        <v>1030025</v>
      </c>
      <c r="F517" s="73">
        <v>103002501</v>
      </c>
      <c r="G517" s="73">
        <v>4</v>
      </c>
      <c r="H517" s="5" t="s">
        <v>983</v>
      </c>
      <c r="I517" s="5"/>
    </row>
    <row r="518" spans="1:9">
      <c r="A518" s="5" t="str">
        <f t="shared" si="8"/>
        <v>103002505</v>
      </c>
      <c r="B518" s="58">
        <v>73000210</v>
      </c>
      <c r="C518" s="5" t="s">
        <v>116</v>
      </c>
      <c r="D518" s="5" t="s">
        <v>1180</v>
      </c>
      <c r="E518" s="73">
        <v>1030025</v>
      </c>
      <c r="F518" s="73">
        <v>103002501</v>
      </c>
      <c r="G518" s="73">
        <v>5</v>
      </c>
      <c r="H518" s="5" t="s">
        <v>984</v>
      </c>
      <c r="I518" s="5"/>
    </row>
    <row r="519" spans="1:9">
      <c r="A519" s="5" t="str">
        <f t="shared" si="8"/>
        <v>103002506</v>
      </c>
      <c r="B519" s="58">
        <v>51000210</v>
      </c>
      <c r="C519" s="5" t="s">
        <v>90</v>
      </c>
      <c r="D519" s="5" t="s">
        <v>1180</v>
      </c>
      <c r="E519" s="73">
        <v>1030025</v>
      </c>
      <c r="F519" s="73">
        <v>103002501</v>
      </c>
      <c r="G519" s="73">
        <v>6</v>
      </c>
      <c r="H519" s="5" t="s">
        <v>985</v>
      </c>
      <c r="I519" s="5"/>
    </row>
    <row r="520" spans="1:9">
      <c r="A520" s="5" t="str">
        <f t="shared" si="8"/>
        <v>103002507</v>
      </c>
      <c r="B520" s="58">
        <v>73000210</v>
      </c>
      <c r="C520" s="5" t="s">
        <v>116</v>
      </c>
      <c r="D520" s="5" t="s">
        <v>1180</v>
      </c>
      <c r="E520" s="73">
        <v>1030025</v>
      </c>
      <c r="F520" s="73">
        <v>103002501</v>
      </c>
      <c r="G520" s="73">
        <v>7</v>
      </c>
      <c r="H520" s="5" t="s">
        <v>986</v>
      </c>
      <c r="I520" s="5"/>
    </row>
    <row r="521" spans="1:9">
      <c r="A521" s="5" t="str">
        <f t="shared" si="8"/>
        <v>103002601</v>
      </c>
      <c r="B521" s="58">
        <v>10000110</v>
      </c>
      <c r="C521" s="5" t="s">
        <v>416</v>
      </c>
      <c r="D521" s="5" t="s">
        <v>1181</v>
      </c>
      <c r="E521" s="73">
        <v>1030026</v>
      </c>
      <c r="F521" s="73"/>
      <c r="G521" s="73">
        <v>1</v>
      </c>
      <c r="H521" s="5" t="s">
        <v>987</v>
      </c>
      <c r="I521" s="5"/>
    </row>
    <row r="522" spans="1:9">
      <c r="A522" s="5" t="str">
        <f t="shared" si="8"/>
        <v>103002602</v>
      </c>
      <c r="B522" s="58">
        <v>10000310</v>
      </c>
      <c r="C522" s="5" t="s">
        <v>1155</v>
      </c>
      <c r="D522" s="5" t="s">
        <v>1181</v>
      </c>
      <c r="E522" s="73">
        <v>1030026</v>
      </c>
      <c r="F522" s="73">
        <v>103002601</v>
      </c>
      <c r="G522" s="73">
        <v>2</v>
      </c>
      <c r="H522" s="5" t="s">
        <v>988</v>
      </c>
      <c r="I522" s="5"/>
    </row>
    <row r="523" spans="1:9">
      <c r="A523" s="5" t="str">
        <f t="shared" ref="A523:A586" si="10">(E523*10)&amp;G523</f>
        <v>103002603</v>
      </c>
      <c r="B523" s="58">
        <v>10000110</v>
      </c>
      <c r="C523" s="5" t="s">
        <v>416</v>
      </c>
      <c r="D523" s="5" t="s">
        <v>1181</v>
      </c>
      <c r="E523" s="73">
        <v>1030026</v>
      </c>
      <c r="F523" s="73">
        <v>103002601</v>
      </c>
      <c r="G523" s="73">
        <v>3</v>
      </c>
      <c r="H523" s="5" t="s">
        <v>989</v>
      </c>
      <c r="I523" s="5"/>
    </row>
    <row r="524" spans="1:9">
      <c r="A524" s="5" t="str">
        <f t="shared" si="10"/>
        <v>103002604</v>
      </c>
      <c r="B524" s="58">
        <v>10000210</v>
      </c>
      <c r="C524" s="5" t="s">
        <v>1154</v>
      </c>
      <c r="D524" s="5" t="s">
        <v>1181</v>
      </c>
      <c r="E524" s="73">
        <v>1030026</v>
      </c>
      <c r="F524" s="73">
        <v>103002601</v>
      </c>
      <c r="G524" s="73">
        <v>4</v>
      </c>
      <c r="H524" s="5" t="s">
        <v>990</v>
      </c>
      <c r="I524" s="5"/>
    </row>
    <row r="525" spans="1:9">
      <c r="A525" s="5" t="str">
        <f t="shared" si="10"/>
        <v>103002605</v>
      </c>
      <c r="B525" s="58">
        <v>10000110</v>
      </c>
      <c r="C525" s="5" t="s">
        <v>416</v>
      </c>
      <c r="D525" s="5" t="s">
        <v>1181</v>
      </c>
      <c r="E525" s="73">
        <v>1030026</v>
      </c>
      <c r="F525" s="73">
        <v>103002601</v>
      </c>
      <c r="G525" s="73">
        <v>5</v>
      </c>
      <c r="H525" s="5" t="s">
        <v>991</v>
      </c>
      <c r="I525" s="5"/>
    </row>
    <row r="526" spans="1:9">
      <c r="A526" s="5" t="str">
        <f t="shared" si="10"/>
        <v>103002606</v>
      </c>
      <c r="B526" s="58">
        <v>10000210</v>
      </c>
      <c r="C526" s="5" t="s">
        <v>1154</v>
      </c>
      <c r="D526" s="5" t="s">
        <v>1181</v>
      </c>
      <c r="E526" s="73">
        <v>1030026</v>
      </c>
      <c r="F526" s="73">
        <v>103002601</v>
      </c>
      <c r="G526" s="73">
        <v>6</v>
      </c>
      <c r="H526" s="5" t="s">
        <v>992</v>
      </c>
      <c r="I526" s="5"/>
    </row>
    <row r="527" spans="1:9">
      <c r="A527" s="5" t="str">
        <f t="shared" si="10"/>
        <v>103002607</v>
      </c>
      <c r="B527" s="58">
        <v>73000310</v>
      </c>
      <c r="C527" s="5" t="s">
        <v>117</v>
      </c>
      <c r="D527" s="5" t="s">
        <v>1181</v>
      </c>
      <c r="E527" s="73">
        <v>1030026</v>
      </c>
      <c r="F527" s="73">
        <v>103002601</v>
      </c>
      <c r="G527" s="73">
        <v>7</v>
      </c>
      <c r="H527" s="5" t="s">
        <v>993</v>
      </c>
      <c r="I527" s="5"/>
    </row>
    <row r="528" spans="1:9">
      <c r="A528" s="5" t="str">
        <f t="shared" si="10"/>
        <v>103002608</v>
      </c>
      <c r="B528" s="58">
        <v>10000110</v>
      </c>
      <c r="C528" s="5" t="s">
        <v>416</v>
      </c>
      <c r="D528" s="5" t="s">
        <v>1181</v>
      </c>
      <c r="E528" s="73">
        <v>1030026</v>
      </c>
      <c r="F528" s="73">
        <v>103002601</v>
      </c>
      <c r="G528" s="73">
        <v>8</v>
      </c>
      <c r="H528" s="5" t="s">
        <v>994</v>
      </c>
      <c r="I528" s="5"/>
    </row>
    <row r="529" spans="1:9">
      <c r="A529" s="5" t="str">
        <f t="shared" si="10"/>
        <v>103002701</v>
      </c>
      <c r="B529" s="58">
        <v>52000110</v>
      </c>
      <c r="C529" s="5" t="s">
        <v>103</v>
      </c>
      <c r="D529" s="5" t="s">
        <v>1182</v>
      </c>
      <c r="E529" s="73">
        <v>1030027</v>
      </c>
      <c r="F529" s="73"/>
      <c r="G529" s="73">
        <v>1</v>
      </c>
      <c r="H529" s="5" t="s">
        <v>995</v>
      </c>
      <c r="I529" s="5"/>
    </row>
    <row r="530" spans="1:9">
      <c r="A530" s="5" t="str">
        <f t="shared" si="10"/>
        <v>103002702</v>
      </c>
      <c r="B530" s="58">
        <v>73000410</v>
      </c>
      <c r="C530" s="5" t="s">
        <v>118</v>
      </c>
      <c r="D530" s="5" t="s">
        <v>1182</v>
      </c>
      <c r="E530" s="73">
        <v>1030027</v>
      </c>
      <c r="F530" s="73">
        <v>103002701</v>
      </c>
      <c r="G530" s="73">
        <v>2</v>
      </c>
      <c r="H530" s="5" t="s">
        <v>996</v>
      </c>
      <c r="I530" s="5"/>
    </row>
    <row r="531" spans="1:9">
      <c r="A531" s="5" t="str">
        <f t="shared" si="10"/>
        <v>103002703</v>
      </c>
      <c r="B531" s="58">
        <v>52000110</v>
      </c>
      <c r="C531" s="5" t="s">
        <v>103</v>
      </c>
      <c r="D531" s="5" t="s">
        <v>1182</v>
      </c>
      <c r="E531" s="73">
        <v>1030027</v>
      </c>
      <c r="F531" s="73">
        <v>103002701</v>
      </c>
      <c r="G531" s="73">
        <v>3</v>
      </c>
      <c r="H531" s="5" t="s">
        <v>997</v>
      </c>
      <c r="I531" s="5"/>
    </row>
    <row r="532" spans="1:9">
      <c r="A532" s="5" t="str">
        <f t="shared" si="10"/>
        <v>103002704</v>
      </c>
      <c r="B532" s="58">
        <v>33000110</v>
      </c>
      <c r="C532" s="5" t="s">
        <v>124</v>
      </c>
      <c r="D532" s="5" t="s">
        <v>1182</v>
      </c>
      <c r="E532" s="73">
        <v>1030027</v>
      </c>
      <c r="F532" s="73"/>
      <c r="G532" s="73">
        <v>4</v>
      </c>
      <c r="H532" s="5" t="s">
        <v>998</v>
      </c>
      <c r="I532" s="5"/>
    </row>
    <row r="533" spans="1:9">
      <c r="A533" s="5" t="str">
        <f t="shared" si="10"/>
        <v>103002705</v>
      </c>
      <c r="B533" s="58">
        <v>73000410</v>
      </c>
      <c r="C533" s="5" t="s">
        <v>118</v>
      </c>
      <c r="D533" s="5" t="s">
        <v>1182</v>
      </c>
      <c r="E533" s="73">
        <v>1030027</v>
      </c>
      <c r="F533" s="73">
        <v>103002704</v>
      </c>
      <c r="G533" s="73">
        <v>5</v>
      </c>
      <c r="H533" s="5" t="s">
        <v>999</v>
      </c>
      <c r="I533" s="5"/>
    </row>
    <row r="534" spans="1:9">
      <c r="A534" s="5" t="str">
        <f t="shared" si="10"/>
        <v>103002706</v>
      </c>
      <c r="B534" s="58">
        <v>33000110</v>
      </c>
      <c r="C534" s="5" t="s">
        <v>124</v>
      </c>
      <c r="D534" s="5" t="s">
        <v>1182</v>
      </c>
      <c r="E534" s="73">
        <v>1030027</v>
      </c>
      <c r="F534" s="73">
        <v>103002704</v>
      </c>
      <c r="G534" s="73">
        <v>6</v>
      </c>
      <c r="H534" s="5" t="s">
        <v>1000</v>
      </c>
      <c r="I534" s="5"/>
    </row>
    <row r="535" spans="1:9">
      <c r="A535" s="5" t="str">
        <f t="shared" si="10"/>
        <v>103002707</v>
      </c>
      <c r="B535" s="58">
        <v>73000410</v>
      </c>
      <c r="C535" s="5" t="s">
        <v>118</v>
      </c>
      <c r="D535" s="5" t="s">
        <v>1182</v>
      </c>
      <c r="E535" s="73">
        <v>1030027</v>
      </c>
      <c r="F535" s="73">
        <v>103002704</v>
      </c>
      <c r="G535" s="73">
        <v>7</v>
      </c>
      <c r="H535" s="5" t="s">
        <v>1001</v>
      </c>
      <c r="I535" s="5"/>
    </row>
    <row r="536" spans="1:9">
      <c r="A536" s="5" t="str">
        <f t="shared" si="10"/>
        <v>103002708</v>
      </c>
      <c r="B536" s="58">
        <v>33000110</v>
      </c>
      <c r="C536" s="5" t="s">
        <v>124</v>
      </c>
      <c r="D536" s="5" t="s">
        <v>1182</v>
      </c>
      <c r="E536" s="73">
        <v>1030027</v>
      </c>
      <c r="F536" s="73">
        <v>103002704</v>
      </c>
      <c r="G536" s="73">
        <v>8</v>
      </c>
      <c r="H536" s="5" t="s">
        <v>1002</v>
      </c>
      <c r="I536" s="5"/>
    </row>
    <row r="537" spans="1:9">
      <c r="A537" s="5" t="str">
        <f t="shared" si="10"/>
        <v>103002801</v>
      </c>
      <c r="B537" s="58">
        <v>94000310</v>
      </c>
      <c r="C537" s="5" t="s">
        <v>128</v>
      </c>
      <c r="D537" s="5" t="s">
        <v>1183</v>
      </c>
      <c r="E537" s="73">
        <v>1030028</v>
      </c>
      <c r="F537" s="73"/>
      <c r="G537" s="73">
        <v>1</v>
      </c>
      <c r="H537" s="5" t="s">
        <v>1003</v>
      </c>
      <c r="I537" s="5"/>
    </row>
    <row r="538" spans="1:9">
      <c r="A538" s="5" t="str">
        <f t="shared" si="10"/>
        <v>103002802</v>
      </c>
      <c r="B538" s="58">
        <v>73000510</v>
      </c>
      <c r="C538" s="5" t="s">
        <v>119</v>
      </c>
      <c r="D538" s="5" t="s">
        <v>1183</v>
      </c>
      <c r="E538" s="73">
        <v>1030028</v>
      </c>
      <c r="F538" s="73">
        <v>103002801</v>
      </c>
      <c r="G538" s="73">
        <v>2</v>
      </c>
      <c r="H538" s="5" t="s">
        <v>1004</v>
      </c>
      <c r="I538" s="5"/>
    </row>
    <row r="539" spans="1:9">
      <c r="A539" s="5" t="str">
        <f t="shared" si="10"/>
        <v>103002803</v>
      </c>
      <c r="B539" s="58">
        <v>32000110</v>
      </c>
      <c r="C539" s="5" t="s">
        <v>108</v>
      </c>
      <c r="D539" s="5" t="s">
        <v>1183</v>
      </c>
      <c r="E539" s="73">
        <v>1030028</v>
      </c>
      <c r="F539" s="73">
        <v>103002801</v>
      </c>
      <c r="G539" s="73">
        <v>3</v>
      </c>
      <c r="H539" s="5" t="s">
        <v>1005</v>
      </c>
      <c r="I539" s="5"/>
    </row>
    <row r="540" spans="1:9">
      <c r="A540" s="5" t="str">
        <f t="shared" si="10"/>
        <v>103002804</v>
      </c>
      <c r="B540" s="58">
        <v>73000510</v>
      </c>
      <c r="C540" s="5" t="s">
        <v>119</v>
      </c>
      <c r="D540" s="5" t="s">
        <v>1183</v>
      </c>
      <c r="E540" s="73">
        <v>1030028</v>
      </c>
      <c r="F540" s="73">
        <v>103002801</v>
      </c>
      <c r="G540" s="73">
        <v>4</v>
      </c>
      <c r="H540" s="5" t="s">
        <v>1006</v>
      </c>
      <c r="I540" s="5"/>
    </row>
    <row r="541" spans="1:9">
      <c r="A541" s="5" t="str">
        <f t="shared" si="10"/>
        <v>103002805</v>
      </c>
      <c r="B541" s="58">
        <v>94000310</v>
      </c>
      <c r="C541" s="5" t="s">
        <v>128</v>
      </c>
      <c r="D541" s="5" t="s">
        <v>1183</v>
      </c>
      <c r="E541" s="73">
        <v>1030028</v>
      </c>
      <c r="F541" s="73">
        <v>103002801</v>
      </c>
      <c r="G541" s="73">
        <v>5</v>
      </c>
      <c r="H541" s="5" t="s">
        <v>1007</v>
      </c>
      <c r="I541" s="5"/>
    </row>
    <row r="542" spans="1:9">
      <c r="A542" s="5" t="str">
        <f t="shared" si="10"/>
        <v>103002806</v>
      </c>
      <c r="B542" s="58">
        <v>94000310</v>
      </c>
      <c r="C542" s="5" t="s">
        <v>128</v>
      </c>
      <c r="D542" s="5" t="s">
        <v>1183</v>
      </c>
      <c r="E542" s="73">
        <v>1030028</v>
      </c>
      <c r="F542" s="73">
        <v>103002801</v>
      </c>
      <c r="G542" s="73">
        <v>6</v>
      </c>
      <c r="H542" s="5" t="s">
        <v>1008</v>
      </c>
      <c r="I542" s="5"/>
    </row>
    <row r="543" spans="1:9">
      <c r="A543" s="5" t="str">
        <f t="shared" si="10"/>
        <v>103002807</v>
      </c>
      <c r="B543" s="58">
        <v>73000510</v>
      </c>
      <c r="C543" s="5" t="s">
        <v>119</v>
      </c>
      <c r="D543" s="5" t="s">
        <v>1183</v>
      </c>
      <c r="E543" s="73">
        <v>1030028</v>
      </c>
      <c r="F543" s="73">
        <v>103002801</v>
      </c>
      <c r="G543" s="73">
        <v>7</v>
      </c>
      <c r="H543" s="5" t="s">
        <v>1009</v>
      </c>
      <c r="I543" s="5"/>
    </row>
    <row r="544" spans="1:9">
      <c r="A544" s="5" t="str">
        <f t="shared" si="10"/>
        <v>103002808</v>
      </c>
      <c r="B544" s="58">
        <v>94000310</v>
      </c>
      <c r="C544" s="5" t="s">
        <v>128</v>
      </c>
      <c r="D544" s="5" t="s">
        <v>1183</v>
      </c>
      <c r="E544" s="73">
        <v>1030028</v>
      </c>
      <c r="F544" s="73">
        <v>103002801</v>
      </c>
      <c r="G544" s="73">
        <v>8</v>
      </c>
      <c r="H544" s="5" t="s">
        <v>1010</v>
      </c>
      <c r="I544" s="5"/>
    </row>
    <row r="545" spans="1:9">
      <c r="A545" s="99" t="str">
        <f t="shared" si="10"/>
        <v>103002809</v>
      </c>
      <c r="B545" s="98">
        <v>73000510</v>
      </c>
      <c r="C545" s="99" t="s">
        <v>119</v>
      </c>
      <c r="D545" s="99" t="s">
        <v>1183</v>
      </c>
      <c r="E545" s="103">
        <v>1030028</v>
      </c>
      <c r="F545" s="103">
        <v>103002801</v>
      </c>
      <c r="G545" s="103">
        <v>9</v>
      </c>
      <c r="H545" s="99" t="s">
        <v>1011</v>
      </c>
      <c r="I545" s="99"/>
    </row>
    <row r="546" spans="1:9">
      <c r="A546" s="5" t="str">
        <f t="shared" ref="A546" si="11">(E546*10)&amp;G546</f>
        <v>103002901</v>
      </c>
      <c r="B546" s="58">
        <v>33000210</v>
      </c>
      <c r="C546" s="5" t="s">
        <v>125</v>
      </c>
      <c r="D546" s="5" t="s">
        <v>1184</v>
      </c>
      <c r="E546" s="73">
        <v>1030029</v>
      </c>
      <c r="F546" s="73"/>
      <c r="G546" s="73">
        <v>1</v>
      </c>
      <c r="H546" s="5" t="s">
        <v>1012</v>
      </c>
      <c r="I546" s="5"/>
    </row>
    <row r="547" spans="1:9">
      <c r="A547" s="96" t="str">
        <f t="shared" si="10"/>
        <v>103002902</v>
      </c>
      <c r="B547" s="97">
        <v>53000110</v>
      </c>
      <c r="C547" s="96" t="s">
        <v>120</v>
      </c>
      <c r="D547" s="96" t="s">
        <v>1184</v>
      </c>
      <c r="E547" s="95">
        <v>1030029</v>
      </c>
      <c r="F547" s="95">
        <v>103002901</v>
      </c>
      <c r="G547" s="95">
        <v>2</v>
      </c>
      <c r="H547" s="96" t="s">
        <v>2050</v>
      </c>
      <c r="I547" s="96"/>
    </row>
    <row r="548" spans="1:9">
      <c r="A548" s="96" t="str">
        <f t="shared" si="10"/>
        <v>103002903</v>
      </c>
      <c r="B548" s="58">
        <v>52000310</v>
      </c>
      <c r="C548" s="5" t="s">
        <v>105</v>
      </c>
      <c r="D548" s="5" t="s">
        <v>1184</v>
      </c>
      <c r="E548" s="73">
        <v>1030029</v>
      </c>
      <c r="F548" s="73"/>
      <c r="G548" s="95">
        <v>3</v>
      </c>
      <c r="H548" s="5" t="s">
        <v>1013</v>
      </c>
      <c r="I548" s="5"/>
    </row>
    <row r="549" spans="1:9">
      <c r="A549" s="96" t="str">
        <f t="shared" si="10"/>
        <v>103002904</v>
      </c>
      <c r="B549" s="58">
        <v>53000110</v>
      </c>
      <c r="C549" s="5" t="s">
        <v>120</v>
      </c>
      <c r="D549" s="5" t="s">
        <v>1184</v>
      </c>
      <c r="E549" s="73">
        <v>1030029</v>
      </c>
      <c r="F549" s="95">
        <v>103002903</v>
      </c>
      <c r="G549" s="95">
        <v>4</v>
      </c>
      <c r="H549" s="5" t="s">
        <v>1014</v>
      </c>
      <c r="I549" s="5"/>
    </row>
    <row r="550" spans="1:9">
      <c r="A550" s="96" t="str">
        <f t="shared" si="10"/>
        <v>103002905</v>
      </c>
      <c r="B550" s="58">
        <v>33000110</v>
      </c>
      <c r="C550" s="5" t="s">
        <v>124</v>
      </c>
      <c r="D550" s="5" t="s">
        <v>1184</v>
      </c>
      <c r="E550" s="73">
        <v>1030029</v>
      </c>
      <c r="F550" s="95">
        <v>103002903</v>
      </c>
      <c r="G550" s="95">
        <v>5</v>
      </c>
      <c r="H550" s="5" t="s">
        <v>1015</v>
      </c>
      <c r="I550" s="5"/>
    </row>
    <row r="551" spans="1:9">
      <c r="A551" s="96" t="str">
        <f t="shared" si="10"/>
        <v>103002906</v>
      </c>
      <c r="B551" s="58">
        <v>52000310</v>
      </c>
      <c r="C551" s="5" t="s">
        <v>105</v>
      </c>
      <c r="D551" s="5" t="s">
        <v>1184</v>
      </c>
      <c r="E551" s="73">
        <v>1030029</v>
      </c>
      <c r="F551" s="73"/>
      <c r="G551" s="95">
        <v>6</v>
      </c>
      <c r="H551" s="5" t="s">
        <v>1016</v>
      </c>
      <c r="I551" s="5"/>
    </row>
    <row r="552" spans="1:9">
      <c r="A552" s="96" t="str">
        <f t="shared" si="10"/>
        <v>103002907</v>
      </c>
      <c r="B552" s="58">
        <v>53000110</v>
      </c>
      <c r="C552" s="5" t="s">
        <v>120</v>
      </c>
      <c r="D552" s="5" t="s">
        <v>1184</v>
      </c>
      <c r="E552" s="73">
        <v>1030029</v>
      </c>
      <c r="F552" s="95">
        <v>103002906</v>
      </c>
      <c r="G552" s="95">
        <v>7</v>
      </c>
      <c r="H552" s="5" t="s">
        <v>1017</v>
      </c>
      <c r="I552" s="5"/>
    </row>
    <row r="553" spans="1:9">
      <c r="A553" s="96" t="str">
        <f t="shared" si="10"/>
        <v>103002908</v>
      </c>
      <c r="B553" s="58">
        <v>52000310</v>
      </c>
      <c r="C553" s="5" t="s">
        <v>105</v>
      </c>
      <c r="D553" s="5" t="s">
        <v>1184</v>
      </c>
      <c r="E553" s="73">
        <v>1030029</v>
      </c>
      <c r="F553" s="95">
        <v>103002906</v>
      </c>
      <c r="G553" s="95">
        <v>8</v>
      </c>
      <c r="H553" s="5" t="s">
        <v>1018</v>
      </c>
      <c r="I553" s="5"/>
    </row>
    <row r="554" spans="1:9">
      <c r="A554" s="96" t="str">
        <f t="shared" si="10"/>
        <v>103002909</v>
      </c>
      <c r="B554" s="58">
        <v>53000110</v>
      </c>
      <c r="C554" s="5" t="s">
        <v>120</v>
      </c>
      <c r="D554" s="5" t="s">
        <v>1184</v>
      </c>
      <c r="E554" s="73">
        <v>1030029</v>
      </c>
      <c r="F554" s="95">
        <v>103002906</v>
      </c>
      <c r="G554" s="95">
        <v>9</v>
      </c>
      <c r="H554" s="5" t="s">
        <v>1019</v>
      </c>
      <c r="I554" s="5"/>
    </row>
    <row r="555" spans="1:9">
      <c r="A555" s="96" t="str">
        <f t="shared" si="10"/>
        <v>1030029010</v>
      </c>
      <c r="B555" s="58">
        <v>52000310</v>
      </c>
      <c r="C555" s="5" t="s">
        <v>105</v>
      </c>
      <c r="D555" s="5" t="s">
        <v>1184</v>
      </c>
      <c r="E555" s="73">
        <v>1030029</v>
      </c>
      <c r="F555" s="95">
        <v>103002906</v>
      </c>
      <c r="G555" s="95">
        <v>10</v>
      </c>
      <c r="H555" s="5" t="s">
        <v>1020</v>
      </c>
      <c r="I555" s="5"/>
    </row>
    <row r="556" spans="1:9">
      <c r="A556" s="5" t="str">
        <f t="shared" si="10"/>
        <v>103003001</v>
      </c>
      <c r="B556" s="58">
        <v>73000110</v>
      </c>
      <c r="C556" s="5" t="s">
        <v>115</v>
      </c>
      <c r="D556" s="5" t="s">
        <v>1185</v>
      </c>
      <c r="E556" s="73">
        <v>1030030</v>
      </c>
      <c r="F556" s="73"/>
      <c r="G556" s="73">
        <v>1</v>
      </c>
      <c r="H556" s="5" t="s">
        <v>1021</v>
      </c>
      <c r="I556" s="5"/>
    </row>
    <row r="557" spans="1:9">
      <c r="A557" s="5" t="str">
        <f t="shared" si="10"/>
        <v>103003002</v>
      </c>
      <c r="B557" s="58">
        <v>10000110</v>
      </c>
      <c r="C557" s="5" t="s">
        <v>416</v>
      </c>
      <c r="D557" s="5" t="s">
        <v>1185</v>
      </c>
      <c r="E557" s="73">
        <v>1030030</v>
      </c>
      <c r="F557" s="73">
        <v>103003001</v>
      </c>
      <c r="G557" s="73">
        <v>2</v>
      </c>
      <c r="H557" s="5" t="s">
        <v>1022</v>
      </c>
      <c r="I557" s="5"/>
    </row>
    <row r="558" spans="1:9">
      <c r="A558" s="5" t="str">
        <f t="shared" si="10"/>
        <v>103003003</v>
      </c>
      <c r="B558" s="58">
        <v>33000110</v>
      </c>
      <c r="C558" s="5" t="s">
        <v>124</v>
      </c>
      <c r="D558" s="5" t="s">
        <v>1185</v>
      </c>
      <c r="E558" s="73">
        <v>1030030</v>
      </c>
      <c r="F558" s="73">
        <v>103003001</v>
      </c>
      <c r="G558" s="73">
        <v>3</v>
      </c>
      <c r="H558" s="5" t="s">
        <v>1023</v>
      </c>
      <c r="I558" s="5"/>
    </row>
    <row r="559" spans="1:9">
      <c r="A559" s="5" t="str">
        <f t="shared" si="10"/>
        <v>103003004</v>
      </c>
      <c r="B559" s="58">
        <v>33000210</v>
      </c>
      <c r="C559" s="5" t="s">
        <v>125</v>
      </c>
      <c r="D559" s="5" t="s">
        <v>1185</v>
      </c>
      <c r="E559" s="73">
        <v>1030030</v>
      </c>
      <c r="F559" s="73">
        <v>103003001</v>
      </c>
      <c r="G559" s="73">
        <v>4</v>
      </c>
      <c r="H559" s="5" t="s">
        <v>1024</v>
      </c>
      <c r="I559" s="5"/>
    </row>
    <row r="560" spans="1:9">
      <c r="A560" s="96" t="str">
        <f t="shared" si="10"/>
        <v>103003005</v>
      </c>
      <c r="B560" s="58">
        <v>71000310</v>
      </c>
      <c r="C560" s="5" t="s">
        <v>88</v>
      </c>
      <c r="D560" s="5" t="s">
        <v>1185</v>
      </c>
      <c r="E560" s="73">
        <v>1030030</v>
      </c>
      <c r="F560" s="73"/>
      <c r="G560" s="95">
        <v>5</v>
      </c>
      <c r="H560" s="5" t="s">
        <v>1025</v>
      </c>
      <c r="I560" s="5"/>
    </row>
    <row r="561" spans="1:9">
      <c r="A561" s="96" t="str">
        <f t="shared" si="10"/>
        <v>103003006</v>
      </c>
      <c r="B561" s="58">
        <v>73000310</v>
      </c>
      <c r="C561" s="5" t="s">
        <v>117</v>
      </c>
      <c r="D561" s="5" t="s">
        <v>1185</v>
      </c>
      <c r="E561" s="73">
        <v>1030030</v>
      </c>
      <c r="F561" s="95">
        <v>103003005</v>
      </c>
      <c r="G561" s="95">
        <v>6</v>
      </c>
      <c r="H561" s="5" t="s">
        <v>1026</v>
      </c>
      <c r="I561" s="5"/>
    </row>
    <row r="562" spans="1:9">
      <c r="A562" s="96" t="str">
        <f t="shared" si="10"/>
        <v>103003007</v>
      </c>
      <c r="B562" s="58">
        <v>53000210</v>
      </c>
      <c r="C562" s="5" t="s">
        <v>121</v>
      </c>
      <c r="D562" s="5" t="s">
        <v>1185</v>
      </c>
      <c r="E562" s="73">
        <v>1030030</v>
      </c>
      <c r="F562" s="95">
        <v>103003005</v>
      </c>
      <c r="G562" s="95">
        <v>7</v>
      </c>
      <c r="H562" s="5" t="s">
        <v>1027</v>
      </c>
      <c r="I562" s="5"/>
    </row>
    <row r="563" spans="1:9">
      <c r="A563" s="96" t="str">
        <f t="shared" si="10"/>
        <v>103003008</v>
      </c>
      <c r="B563" s="58">
        <v>71000310</v>
      </c>
      <c r="C563" s="5" t="s">
        <v>88</v>
      </c>
      <c r="D563" s="5" t="s">
        <v>1185</v>
      </c>
      <c r="E563" s="73">
        <v>1030030</v>
      </c>
      <c r="F563" s="95">
        <v>103003005</v>
      </c>
      <c r="G563" s="95">
        <v>8</v>
      </c>
      <c r="H563" s="5" t="s">
        <v>1028</v>
      </c>
      <c r="I563" s="5"/>
    </row>
    <row r="564" spans="1:9">
      <c r="A564" s="5" t="str">
        <f t="shared" si="10"/>
        <v>103003101</v>
      </c>
      <c r="B564" s="58">
        <v>71000210</v>
      </c>
      <c r="C564" s="5" t="s">
        <v>87</v>
      </c>
      <c r="D564" s="5" t="s">
        <v>1186</v>
      </c>
      <c r="E564" s="73">
        <v>1030031</v>
      </c>
      <c r="F564" s="73"/>
      <c r="G564" s="73">
        <v>1</v>
      </c>
      <c r="H564" s="5" t="s">
        <v>1029</v>
      </c>
      <c r="I564" s="5"/>
    </row>
    <row r="565" spans="1:9">
      <c r="A565" s="5" t="str">
        <f t="shared" si="10"/>
        <v>103003102</v>
      </c>
      <c r="B565" s="58">
        <v>53000310</v>
      </c>
      <c r="C565" s="5" t="s">
        <v>122</v>
      </c>
      <c r="D565" s="5" t="s">
        <v>1186</v>
      </c>
      <c r="E565" s="73">
        <v>1030031</v>
      </c>
      <c r="F565" s="73">
        <v>103003101</v>
      </c>
      <c r="G565" s="73">
        <v>2</v>
      </c>
      <c r="H565" s="5" t="s">
        <v>1030</v>
      </c>
      <c r="I565" s="5"/>
    </row>
    <row r="566" spans="1:9">
      <c r="A566" s="5" t="str">
        <f t="shared" si="10"/>
        <v>103003103</v>
      </c>
      <c r="B566" s="58">
        <v>71000210</v>
      </c>
      <c r="C566" s="5" t="s">
        <v>87</v>
      </c>
      <c r="D566" s="5" t="s">
        <v>1186</v>
      </c>
      <c r="E566" s="73">
        <v>1030031</v>
      </c>
      <c r="F566" s="73">
        <v>103003101</v>
      </c>
      <c r="G566" s="73">
        <v>3</v>
      </c>
      <c r="H566" s="5" t="s">
        <v>1031</v>
      </c>
      <c r="I566" s="5"/>
    </row>
    <row r="567" spans="1:9">
      <c r="A567" s="5" t="str">
        <f t="shared" si="10"/>
        <v>103003104</v>
      </c>
      <c r="B567" s="58">
        <v>53000310</v>
      </c>
      <c r="C567" s="5" t="s">
        <v>122</v>
      </c>
      <c r="D567" s="5" t="s">
        <v>1186</v>
      </c>
      <c r="E567" s="73">
        <v>1030031</v>
      </c>
      <c r="F567" s="73">
        <v>103003101</v>
      </c>
      <c r="G567" s="73">
        <v>4</v>
      </c>
      <c r="H567" s="5" t="s">
        <v>1032</v>
      </c>
      <c r="I567" s="5"/>
    </row>
    <row r="568" spans="1:9">
      <c r="A568" s="5" t="str">
        <f t="shared" si="10"/>
        <v>103003105</v>
      </c>
      <c r="B568" s="58">
        <v>31000110</v>
      </c>
      <c r="C568" s="5" t="s">
        <v>91</v>
      </c>
      <c r="D568" s="5" t="s">
        <v>1186</v>
      </c>
      <c r="E568" s="73">
        <v>1030031</v>
      </c>
      <c r="F568" s="73"/>
      <c r="G568" s="73">
        <v>5</v>
      </c>
      <c r="H568" s="5" t="s">
        <v>1033</v>
      </c>
      <c r="I568" s="5"/>
    </row>
    <row r="569" spans="1:9">
      <c r="A569" s="5" t="str">
        <f t="shared" si="10"/>
        <v>103003106</v>
      </c>
      <c r="B569" s="58">
        <v>53000310</v>
      </c>
      <c r="C569" s="5" t="s">
        <v>122</v>
      </c>
      <c r="D569" s="5" t="s">
        <v>1186</v>
      </c>
      <c r="E569" s="73">
        <v>1030031</v>
      </c>
      <c r="F569" s="73">
        <v>103003105</v>
      </c>
      <c r="G569" s="73">
        <v>6</v>
      </c>
      <c r="H569" s="5" t="s">
        <v>1034</v>
      </c>
      <c r="I569" s="5"/>
    </row>
    <row r="570" spans="1:9">
      <c r="A570" s="5" t="str">
        <f t="shared" si="10"/>
        <v>103003107</v>
      </c>
      <c r="B570" s="58">
        <v>31000110</v>
      </c>
      <c r="C570" s="5" t="s">
        <v>91</v>
      </c>
      <c r="D570" s="5" t="s">
        <v>1186</v>
      </c>
      <c r="E570" s="73">
        <v>1030031</v>
      </c>
      <c r="F570" s="73">
        <v>103003105</v>
      </c>
      <c r="G570" s="73">
        <v>7</v>
      </c>
      <c r="H570" s="5" t="s">
        <v>1035</v>
      </c>
      <c r="I570" s="5"/>
    </row>
    <row r="571" spans="1:9">
      <c r="A571" s="5" t="str">
        <f t="shared" si="10"/>
        <v>103003108</v>
      </c>
      <c r="B571" s="58">
        <v>53000310</v>
      </c>
      <c r="C571" s="5" t="s">
        <v>122</v>
      </c>
      <c r="D571" s="5" t="s">
        <v>1186</v>
      </c>
      <c r="E571" s="73">
        <v>1030031</v>
      </c>
      <c r="F571" s="73">
        <v>103003105</v>
      </c>
      <c r="G571" s="73">
        <v>8</v>
      </c>
      <c r="H571" s="5" t="s">
        <v>1036</v>
      </c>
      <c r="I571" s="5"/>
    </row>
    <row r="572" spans="1:9">
      <c r="A572" s="5" t="str">
        <f t="shared" si="10"/>
        <v>103003109</v>
      </c>
      <c r="B572" s="58">
        <v>71000210</v>
      </c>
      <c r="C572" s="5" t="s">
        <v>87</v>
      </c>
      <c r="D572" s="5" t="s">
        <v>1186</v>
      </c>
      <c r="E572" s="73">
        <v>1030031</v>
      </c>
      <c r="F572" s="73">
        <v>103003105</v>
      </c>
      <c r="G572" s="73">
        <v>9</v>
      </c>
      <c r="H572" s="5" t="s">
        <v>1037</v>
      </c>
      <c r="I572" s="5"/>
    </row>
    <row r="573" spans="1:9">
      <c r="A573" s="5" t="str">
        <f t="shared" si="10"/>
        <v>103003201</v>
      </c>
      <c r="B573" s="58">
        <v>54000110</v>
      </c>
      <c r="C573" s="5" t="s">
        <v>131</v>
      </c>
      <c r="D573" s="5" t="s">
        <v>1187</v>
      </c>
      <c r="E573" s="73">
        <v>1030032</v>
      </c>
      <c r="F573" s="73"/>
      <c r="G573" s="73">
        <v>1</v>
      </c>
      <c r="H573" s="5" t="s">
        <v>1038</v>
      </c>
      <c r="I573" s="5"/>
    </row>
    <row r="574" spans="1:9">
      <c r="A574" s="5" t="str">
        <f t="shared" si="10"/>
        <v>103003202</v>
      </c>
      <c r="B574" s="58">
        <v>53000410</v>
      </c>
      <c r="C574" s="5" t="s">
        <v>123</v>
      </c>
      <c r="D574" s="5" t="s">
        <v>1187</v>
      </c>
      <c r="E574" s="73">
        <v>1030032</v>
      </c>
      <c r="F574" s="73">
        <v>103003201</v>
      </c>
      <c r="G574" s="73">
        <v>2</v>
      </c>
      <c r="H574" s="5" t="s">
        <v>1039</v>
      </c>
      <c r="I574" s="5"/>
    </row>
    <row r="575" spans="1:9">
      <c r="A575" s="5" t="str">
        <f t="shared" si="10"/>
        <v>103003203</v>
      </c>
      <c r="B575" s="58">
        <v>54000110</v>
      </c>
      <c r="C575" s="5" t="s">
        <v>131</v>
      </c>
      <c r="D575" s="5" t="s">
        <v>1187</v>
      </c>
      <c r="E575" s="73">
        <v>1030032</v>
      </c>
      <c r="F575" s="73">
        <v>103003201</v>
      </c>
      <c r="G575" s="73">
        <v>3</v>
      </c>
      <c r="H575" s="5" t="s">
        <v>1040</v>
      </c>
      <c r="I575" s="5"/>
    </row>
    <row r="576" spans="1:9">
      <c r="A576" s="5" t="str">
        <f t="shared" si="10"/>
        <v>103003204</v>
      </c>
      <c r="B576" s="58">
        <v>53000410</v>
      </c>
      <c r="C576" s="5" t="s">
        <v>123</v>
      </c>
      <c r="D576" s="5" t="s">
        <v>1187</v>
      </c>
      <c r="E576" s="73">
        <v>1030032</v>
      </c>
      <c r="F576" s="73">
        <v>103003201</v>
      </c>
      <c r="G576" s="73">
        <v>4</v>
      </c>
      <c r="H576" s="5" t="s">
        <v>1041</v>
      </c>
      <c r="I576" s="5"/>
    </row>
    <row r="577" spans="1:9">
      <c r="A577" s="5" t="str">
        <f t="shared" si="10"/>
        <v>103003205</v>
      </c>
      <c r="B577" s="58">
        <v>54000110</v>
      </c>
      <c r="C577" s="5" t="s">
        <v>131</v>
      </c>
      <c r="D577" s="5" t="s">
        <v>1187</v>
      </c>
      <c r="E577" s="73">
        <v>1030032</v>
      </c>
      <c r="F577" s="73">
        <v>103003201</v>
      </c>
      <c r="G577" s="73">
        <v>5</v>
      </c>
      <c r="H577" s="5" t="s">
        <v>1042</v>
      </c>
      <c r="I577" s="5"/>
    </row>
    <row r="578" spans="1:9">
      <c r="A578" s="5" t="str">
        <f t="shared" si="10"/>
        <v>103003206</v>
      </c>
      <c r="B578" s="58">
        <v>53000410</v>
      </c>
      <c r="C578" s="5" t="s">
        <v>123</v>
      </c>
      <c r="D578" s="5" t="s">
        <v>1187</v>
      </c>
      <c r="E578" s="73">
        <v>1030032</v>
      </c>
      <c r="F578" s="73">
        <v>103003201</v>
      </c>
      <c r="G578" s="73">
        <v>6</v>
      </c>
      <c r="H578" s="5" t="s">
        <v>1043</v>
      </c>
      <c r="I578" s="5"/>
    </row>
    <row r="579" spans="1:9">
      <c r="A579" s="5" t="str">
        <f t="shared" si="10"/>
        <v>103003301</v>
      </c>
      <c r="B579" s="58">
        <v>92000410</v>
      </c>
      <c r="C579" s="5" t="s">
        <v>94</v>
      </c>
      <c r="D579" s="5" t="s">
        <v>1188</v>
      </c>
      <c r="E579" s="73">
        <v>1030033</v>
      </c>
      <c r="F579" s="73"/>
      <c r="G579" s="73">
        <v>1</v>
      </c>
      <c r="H579" s="5" t="s">
        <v>1044</v>
      </c>
      <c r="I579" s="5"/>
    </row>
    <row r="580" spans="1:9">
      <c r="A580" s="5" t="str">
        <f t="shared" si="10"/>
        <v>103003302</v>
      </c>
      <c r="B580" s="58">
        <v>31000110</v>
      </c>
      <c r="C580" s="5" t="s">
        <v>91</v>
      </c>
      <c r="D580" s="5" t="s">
        <v>1188</v>
      </c>
      <c r="E580" s="73">
        <v>1030033</v>
      </c>
      <c r="F580" s="73">
        <v>103003301</v>
      </c>
      <c r="G580" s="73">
        <v>2</v>
      </c>
      <c r="H580" s="5" t="s">
        <v>1045</v>
      </c>
      <c r="I580" s="5"/>
    </row>
    <row r="581" spans="1:9">
      <c r="A581" s="5" t="str">
        <f t="shared" si="10"/>
        <v>103003303</v>
      </c>
      <c r="B581" s="58">
        <v>32000210</v>
      </c>
      <c r="C581" s="5" t="s">
        <v>109</v>
      </c>
      <c r="D581" s="5" t="s">
        <v>1188</v>
      </c>
      <c r="E581" s="73">
        <v>1030033</v>
      </c>
      <c r="F581" s="73">
        <v>103003301</v>
      </c>
      <c r="G581" s="73">
        <v>3</v>
      </c>
      <c r="H581" s="5" t="s">
        <v>1046</v>
      </c>
      <c r="I581" s="5"/>
    </row>
    <row r="582" spans="1:9">
      <c r="A582" s="5" t="str">
        <f t="shared" si="10"/>
        <v>103003304</v>
      </c>
      <c r="B582" s="58">
        <v>94000110</v>
      </c>
      <c r="C582" s="5" t="s">
        <v>126</v>
      </c>
      <c r="D582" s="5" t="s">
        <v>1188</v>
      </c>
      <c r="E582" s="73">
        <v>1030033</v>
      </c>
      <c r="F582" s="73">
        <v>103003301</v>
      </c>
      <c r="G582" s="73">
        <v>4</v>
      </c>
      <c r="H582" s="5" t="s">
        <v>1047</v>
      </c>
      <c r="I582" s="5"/>
    </row>
    <row r="583" spans="1:9">
      <c r="A583" s="5" t="str">
        <f t="shared" si="10"/>
        <v>103003305</v>
      </c>
      <c r="B583" s="58">
        <v>92000310</v>
      </c>
      <c r="C583" s="5" t="s">
        <v>93</v>
      </c>
      <c r="D583" s="5" t="s">
        <v>1188</v>
      </c>
      <c r="E583" s="73">
        <v>1030033</v>
      </c>
      <c r="F583" s="73"/>
      <c r="G583" s="73">
        <v>5</v>
      </c>
      <c r="H583" s="5" t="s">
        <v>1048</v>
      </c>
      <c r="I583" s="5"/>
    </row>
    <row r="584" spans="1:9">
      <c r="A584" s="5" t="str">
        <f t="shared" si="10"/>
        <v>103003306</v>
      </c>
      <c r="B584" s="58">
        <v>94000110</v>
      </c>
      <c r="C584" s="5" t="s">
        <v>126</v>
      </c>
      <c r="D584" s="5" t="s">
        <v>1188</v>
      </c>
      <c r="E584" s="73">
        <v>1030033</v>
      </c>
      <c r="F584" s="73">
        <v>103003305</v>
      </c>
      <c r="G584" s="73">
        <v>6</v>
      </c>
      <c r="H584" s="5" t="s">
        <v>1049</v>
      </c>
      <c r="I584" s="5"/>
    </row>
    <row r="585" spans="1:9">
      <c r="A585" s="5" t="str">
        <f t="shared" si="10"/>
        <v>103003307</v>
      </c>
      <c r="B585" s="58">
        <v>92000310</v>
      </c>
      <c r="C585" s="5" t="s">
        <v>93</v>
      </c>
      <c r="D585" s="5" t="s">
        <v>1188</v>
      </c>
      <c r="E585" s="73">
        <v>1030033</v>
      </c>
      <c r="F585" s="73">
        <v>103003305</v>
      </c>
      <c r="G585" s="73">
        <v>7</v>
      </c>
      <c r="H585" s="5" t="s">
        <v>1050</v>
      </c>
      <c r="I585" s="5"/>
    </row>
    <row r="586" spans="1:9">
      <c r="A586" s="5" t="str">
        <f t="shared" si="10"/>
        <v>103003401</v>
      </c>
      <c r="B586" s="58">
        <v>72000610</v>
      </c>
      <c r="C586" s="5" t="s">
        <v>101</v>
      </c>
      <c r="D586" s="5" t="s">
        <v>1189</v>
      </c>
      <c r="E586" s="73">
        <v>1030034</v>
      </c>
      <c r="F586" s="73"/>
      <c r="G586" s="73">
        <v>1</v>
      </c>
      <c r="H586" s="5" t="s">
        <v>1051</v>
      </c>
      <c r="I586" s="5"/>
    </row>
    <row r="587" spans="1:9">
      <c r="A587" s="5" t="str">
        <f t="shared" ref="A587:A651" si="12">(E587*10)&amp;G587</f>
        <v>103003402</v>
      </c>
      <c r="B587" s="58">
        <v>94000210</v>
      </c>
      <c r="C587" s="5" t="s">
        <v>127</v>
      </c>
      <c r="D587" s="5" t="s">
        <v>1189</v>
      </c>
      <c r="E587" s="73">
        <v>1030034</v>
      </c>
      <c r="F587" s="73">
        <v>103003401</v>
      </c>
      <c r="G587" s="73">
        <v>2</v>
      </c>
      <c r="H587" s="5" t="s">
        <v>1052</v>
      </c>
      <c r="I587" s="5"/>
    </row>
    <row r="588" spans="1:9">
      <c r="A588" s="5" t="str">
        <f t="shared" si="12"/>
        <v>103003403</v>
      </c>
      <c r="B588" s="58">
        <v>72000610</v>
      </c>
      <c r="C588" s="5" t="s">
        <v>101</v>
      </c>
      <c r="D588" s="5" t="s">
        <v>1189</v>
      </c>
      <c r="E588" s="73">
        <v>1030034</v>
      </c>
      <c r="F588" s="73">
        <v>103003401</v>
      </c>
      <c r="G588" s="73">
        <v>3</v>
      </c>
      <c r="H588" s="5" t="s">
        <v>1053</v>
      </c>
      <c r="I588" s="5"/>
    </row>
    <row r="589" spans="1:9">
      <c r="A589" s="5" t="str">
        <f t="shared" si="12"/>
        <v>103003404</v>
      </c>
      <c r="B589" s="58">
        <v>94000210</v>
      </c>
      <c r="C589" s="5" t="s">
        <v>127</v>
      </c>
      <c r="D589" s="5" t="s">
        <v>1189</v>
      </c>
      <c r="E589" s="73">
        <v>1030034</v>
      </c>
      <c r="F589" s="73">
        <v>103003401</v>
      </c>
      <c r="G589" s="73">
        <v>4</v>
      </c>
      <c r="H589" s="5" t="s">
        <v>1054</v>
      </c>
      <c r="I589" s="5"/>
    </row>
    <row r="590" spans="1:9">
      <c r="A590" s="5" t="str">
        <f t="shared" si="12"/>
        <v>103003405</v>
      </c>
      <c r="B590" s="58">
        <v>72000610</v>
      </c>
      <c r="C590" s="5" t="s">
        <v>101</v>
      </c>
      <c r="D590" s="5" t="s">
        <v>1189</v>
      </c>
      <c r="E590" s="73">
        <v>1030034</v>
      </c>
      <c r="F590" s="73">
        <v>103003401</v>
      </c>
      <c r="G590" s="73">
        <v>5</v>
      </c>
      <c r="H590" s="5" t="s">
        <v>1055</v>
      </c>
      <c r="I590" s="5"/>
    </row>
    <row r="591" spans="1:9">
      <c r="A591" s="5" t="str">
        <f t="shared" si="12"/>
        <v>103003406</v>
      </c>
      <c r="B591" s="58">
        <v>94000210</v>
      </c>
      <c r="C591" s="5" t="s">
        <v>127</v>
      </c>
      <c r="D591" s="5" t="s">
        <v>1189</v>
      </c>
      <c r="E591" s="73">
        <v>1030034</v>
      </c>
      <c r="F591" s="73">
        <v>103003401</v>
      </c>
      <c r="G591" s="73">
        <v>6</v>
      </c>
      <c r="H591" s="5" t="s">
        <v>1056</v>
      </c>
      <c r="I591" s="5"/>
    </row>
    <row r="592" spans="1:9">
      <c r="A592" s="5" t="str">
        <f t="shared" si="12"/>
        <v>103003407</v>
      </c>
      <c r="B592" s="58">
        <v>72000610</v>
      </c>
      <c r="C592" s="5" t="s">
        <v>101</v>
      </c>
      <c r="D592" s="5" t="s">
        <v>1189</v>
      </c>
      <c r="E592" s="73">
        <v>1030034</v>
      </c>
      <c r="F592" s="73">
        <v>103003401</v>
      </c>
      <c r="G592" s="73">
        <v>7</v>
      </c>
      <c r="H592" s="5" t="s">
        <v>1057</v>
      </c>
      <c r="I592" s="5"/>
    </row>
    <row r="593" spans="1:9">
      <c r="A593" s="5" t="str">
        <f t="shared" si="12"/>
        <v>103003501</v>
      </c>
      <c r="B593" s="58">
        <v>73000510</v>
      </c>
      <c r="C593" s="5" t="s">
        <v>119</v>
      </c>
      <c r="D593" s="5" t="s">
        <v>1190</v>
      </c>
      <c r="E593" s="73">
        <v>1030035</v>
      </c>
      <c r="F593" s="73"/>
      <c r="G593" s="73">
        <v>1</v>
      </c>
      <c r="H593" s="5" t="s">
        <v>1058</v>
      </c>
      <c r="I593" s="5"/>
    </row>
    <row r="594" spans="1:9">
      <c r="A594" s="5" t="str">
        <f t="shared" si="12"/>
        <v>103003502</v>
      </c>
      <c r="B594" s="58">
        <v>94000310</v>
      </c>
      <c r="C594" s="5" t="s">
        <v>128</v>
      </c>
      <c r="D594" s="5" t="s">
        <v>1190</v>
      </c>
      <c r="E594" s="73">
        <v>1030035</v>
      </c>
      <c r="F594" s="73">
        <v>103003501</v>
      </c>
      <c r="G594" s="73">
        <v>2</v>
      </c>
      <c r="H594" s="5" t="s">
        <v>1059</v>
      </c>
      <c r="I594" s="5"/>
    </row>
    <row r="595" spans="1:9">
      <c r="A595" s="5" t="str">
        <f t="shared" si="12"/>
        <v>103003503</v>
      </c>
      <c r="B595" s="58">
        <v>73000510</v>
      </c>
      <c r="C595" s="5" t="s">
        <v>119</v>
      </c>
      <c r="D595" s="5" t="s">
        <v>1190</v>
      </c>
      <c r="E595" s="73">
        <v>1030035</v>
      </c>
      <c r="F595" s="73">
        <v>103003501</v>
      </c>
      <c r="G595" s="73">
        <v>3</v>
      </c>
      <c r="H595" s="5" t="s">
        <v>1060</v>
      </c>
      <c r="I595" s="5"/>
    </row>
    <row r="596" spans="1:9">
      <c r="A596" s="5" t="str">
        <f t="shared" si="12"/>
        <v>103003504</v>
      </c>
      <c r="B596" s="58">
        <v>94000310</v>
      </c>
      <c r="C596" s="5" t="s">
        <v>128</v>
      </c>
      <c r="D596" s="5" t="s">
        <v>1190</v>
      </c>
      <c r="E596" s="73">
        <v>1030035</v>
      </c>
      <c r="F596" s="73">
        <v>103003501</v>
      </c>
      <c r="G596" s="73">
        <v>4</v>
      </c>
      <c r="H596" s="5" t="s">
        <v>1061</v>
      </c>
      <c r="I596" s="5"/>
    </row>
    <row r="597" spans="1:9">
      <c r="A597" s="5" t="str">
        <f t="shared" si="12"/>
        <v>103003505</v>
      </c>
      <c r="B597" s="58">
        <v>94000310</v>
      </c>
      <c r="C597" s="5" t="s">
        <v>128</v>
      </c>
      <c r="D597" s="5" t="s">
        <v>1190</v>
      </c>
      <c r="E597" s="73">
        <v>1030035</v>
      </c>
      <c r="F597" s="73">
        <v>103003501</v>
      </c>
      <c r="G597" s="73">
        <v>5</v>
      </c>
      <c r="H597" s="5" t="s">
        <v>1062</v>
      </c>
      <c r="I597" s="5"/>
    </row>
    <row r="598" spans="1:9">
      <c r="A598" s="5" t="str">
        <f t="shared" si="12"/>
        <v>103003506</v>
      </c>
      <c r="B598" s="58">
        <v>73000510</v>
      </c>
      <c r="C598" s="5" t="s">
        <v>119</v>
      </c>
      <c r="D598" s="5" t="s">
        <v>1190</v>
      </c>
      <c r="E598" s="73">
        <v>1030035</v>
      </c>
      <c r="F598" s="73">
        <v>103003501</v>
      </c>
      <c r="G598" s="73">
        <v>6</v>
      </c>
      <c r="H598" s="5" t="s">
        <v>1063</v>
      </c>
      <c r="I598" s="5"/>
    </row>
    <row r="599" spans="1:9">
      <c r="A599" s="5" t="str">
        <f t="shared" si="12"/>
        <v>103003507</v>
      </c>
      <c r="B599" s="58">
        <v>53000210</v>
      </c>
      <c r="C599" s="5" t="s">
        <v>121</v>
      </c>
      <c r="D599" s="5" t="s">
        <v>1190</v>
      </c>
      <c r="E599" s="73">
        <v>1030035</v>
      </c>
      <c r="F599" s="73"/>
      <c r="G599" s="73">
        <v>7</v>
      </c>
      <c r="H599" s="5" t="s">
        <v>1064</v>
      </c>
      <c r="I599" s="5"/>
    </row>
    <row r="600" spans="1:9">
      <c r="A600" s="5" t="str">
        <f t="shared" si="12"/>
        <v>103003508</v>
      </c>
      <c r="B600" s="58">
        <v>94000310</v>
      </c>
      <c r="C600" s="5" t="s">
        <v>128</v>
      </c>
      <c r="D600" s="5" t="s">
        <v>1190</v>
      </c>
      <c r="E600" s="73">
        <v>1030035</v>
      </c>
      <c r="F600" s="73">
        <v>103003507</v>
      </c>
      <c r="G600" s="73">
        <v>8</v>
      </c>
      <c r="H600" s="5" t="s">
        <v>1065</v>
      </c>
      <c r="I600" s="5"/>
    </row>
    <row r="601" spans="1:9">
      <c r="A601" s="5" t="str">
        <f t="shared" si="12"/>
        <v>103003601</v>
      </c>
      <c r="B601" s="58">
        <v>54000110</v>
      </c>
      <c r="C601" s="5" t="s">
        <v>131</v>
      </c>
      <c r="D601" s="5" t="s">
        <v>1191</v>
      </c>
      <c r="E601" s="73">
        <v>1030036</v>
      </c>
      <c r="F601" s="73"/>
      <c r="G601" s="73">
        <v>1</v>
      </c>
      <c r="H601" s="5" t="s">
        <v>1066</v>
      </c>
      <c r="I601" s="5"/>
    </row>
    <row r="602" spans="1:9">
      <c r="A602" s="5" t="str">
        <f t="shared" si="12"/>
        <v>103003602</v>
      </c>
      <c r="B602" s="58">
        <v>74000110</v>
      </c>
      <c r="C602" s="5" t="s">
        <v>129</v>
      </c>
      <c r="D602" s="5" t="s">
        <v>1191</v>
      </c>
      <c r="E602" s="73">
        <v>1030036</v>
      </c>
      <c r="F602" s="73">
        <v>103003601</v>
      </c>
      <c r="G602" s="73">
        <v>2</v>
      </c>
      <c r="H602" s="5" t="s">
        <v>1067</v>
      </c>
      <c r="I602" s="5"/>
    </row>
    <row r="603" spans="1:9">
      <c r="A603" s="5" t="str">
        <f t="shared" si="12"/>
        <v>103003603</v>
      </c>
      <c r="B603" s="58">
        <v>31000110</v>
      </c>
      <c r="C603" s="5" t="s">
        <v>91</v>
      </c>
      <c r="D603" s="5" t="s">
        <v>1191</v>
      </c>
      <c r="E603" s="73">
        <v>1030036</v>
      </c>
      <c r="F603" s="73">
        <v>103003601</v>
      </c>
      <c r="G603" s="73">
        <v>3</v>
      </c>
      <c r="H603" s="5" t="s">
        <v>1068</v>
      </c>
      <c r="I603" s="5"/>
    </row>
    <row r="604" spans="1:9">
      <c r="A604" s="5" t="str">
        <f t="shared" si="12"/>
        <v>103003604</v>
      </c>
      <c r="B604" s="58">
        <v>54000110</v>
      </c>
      <c r="C604" s="5" t="s">
        <v>131</v>
      </c>
      <c r="D604" s="5" t="s">
        <v>1191</v>
      </c>
      <c r="E604" s="73">
        <v>1030036</v>
      </c>
      <c r="F604" s="73">
        <v>103003601</v>
      </c>
      <c r="G604" s="73">
        <v>4</v>
      </c>
      <c r="H604" s="5" t="s">
        <v>1069</v>
      </c>
      <c r="I604" s="5"/>
    </row>
    <row r="605" spans="1:9">
      <c r="A605" s="5" t="str">
        <f t="shared" si="12"/>
        <v>103003605</v>
      </c>
      <c r="B605" s="58">
        <v>74000110</v>
      </c>
      <c r="C605" s="5" t="s">
        <v>129</v>
      </c>
      <c r="D605" s="5" t="s">
        <v>1191</v>
      </c>
      <c r="E605" s="73">
        <v>1030036</v>
      </c>
      <c r="F605" s="73">
        <v>103003601</v>
      </c>
      <c r="G605" s="73">
        <v>5</v>
      </c>
      <c r="H605" s="5" t="s">
        <v>1070</v>
      </c>
      <c r="I605" s="5"/>
    </row>
    <row r="606" spans="1:9">
      <c r="A606" s="5" t="str">
        <f t="shared" si="12"/>
        <v>103003606</v>
      </c>
      <c r="B606" s="58">
        <v>54000110</v>
      </c>
      <c r="C606" s="5" t="s">
        <v>131</v>
      </c>
      <c r="D606" s="5" t="s">
        <v>1191</v>
      </c>
      <c r="E606" s="73">
        <v>1030036</v>
      </c>
      <c r="F606" s="73">
        <v>103003601</v>
      </c>
      <c r="G606" s="73">
        <v>6</v>
      </c>
      <c r="H606" s="5" t="s">
        <v>1071</v>
      </c>
      <c r="I606" s="5"/>
    </row>
    <row r="607" spans="1:9">
      <c r="A607" s="5" t="str">
        <f t="shared" si="12"/>
        <v>103003607</v>
      </c>
      <c r="B607" s="58">
        <v>92000210</v>
      </c>
      <c r="C607" s="5" t="s">
        <v>92</v>
      </c>
      <c r="D607" s="5" t="s">
        <v>1191</v>
      </c>
      <c r="E607" s="73">
        <v>1030036</v>
      </c>
      <c r="F607" s="73"/>
      <c r="G607" s="73">
        <v>7</v>
      </c>
      <c r="H607" s="5" t="s">
        <v>1072</v>
      </c>
      <c r="I607" s="5"/>
    </row>
    <row r="608" spans="1:9">
      <c r="A608" s="5" t="str">
        <f t="shared" si="12"/>
        <v>103003608</v>
      </c>
      <c r="B608" s="58">
        <v>74000110</v>
      </c>
      <c r="C608" s="5" t="s">
        <v>129</v>
      </c>
      <c r="D608" s="5" t="s">
        <v>1191</v>
      </c>
      <c r="E608" s="73">
        <v>1030036</v>
      </c>
      <c r="F608" s="73">
        <v>103003607</v>
      </c>
      <c r="G608" s="73">
        <v>8</v>
      </c>
      <c r="H608" s="5" t="s">
        <v>1073</v>
      </c>
      <c r="I608" s="5"/>
    </row>
    <row r="609" spans="1:9">
      <c r="A609" s="5" t="str">
        <f t="shared" si="12"/>
        <v>103003609</v>
      </c>
      <c r="B609" s="58">
        <v>92000210</v>
      </c>
      <c r="C609" s="5" t="s">
        <v>92</v>
      </c>
      <c r="D609" s="5" t="s">
        <v>1191</v>
      </c>
      <c r="E609" s="73">
        <v>1030036</v>
      </c>
      <c r="F609" s="73">
        <v>103003607</v>
      </c>
      <c r="G609" s="73">
        <v>9</v>
      </c>
      <c r="H609" s="5" t="s">
        <v>1074</v>
      </c>
      <c r="I609" s="5"/>
    </row>
    <row r="610" spans="1:9">
      <c r="A610" s="5" t="str">
        <f t="shared" si="12"/>
        <v>1030036010</v>
      </c>
      <c r="B610" s="58">
        <v>74000110</v>
      </c>
      <c r="C610" s="5" t="s">
        <v>129</v>
      </c>
      <c r="D610" s="5" t="s">
        <v>1191</v>
      </c>
      <c r="E610" s="73">
        <v>1030036</v>
      </c>
      <c r="F610" s="73">
        <v>103003607</v>
      </c>
      <c r="G610" s="73">
        <v>10</v>
      </c>
      <c r="H610" s="5" t="s">
        <v>1075</v>
      </c>
      <c r="I610" s="5"/>
    </row>
    <row r="611" spans="1:9">
      <c r="A611" s="5" t="str">
        <f t="shared" si="12"/>
        <v>103003701</v>
      </c>
      <c r="B611" s="58">
        <v>53000410</v>
      </c>
      <c r="C611" s="5" t="s">
        <v>123</v>
      </c>
      <c r="D611" s="5" t="s">
        <v>1192</v>
      </c>
      <c r="E611" s="73">
        <v>1030037</v>
      </c>
      <c r="F611" s="73"/>
      <c r="G611" s="73">
        <v>1</v>
      </c>
      <c r="H611" s="5" t="s">
        <v>1076</v>
      </c>
      <c r="I611" s="5"/>
    </row>
    <row r="612" spans="1:9">
      <c r="A612" s="5" t="str">
        <f t="shared" si="12"/>
        <v>103003702</v>
      </c>
      <c r="B612" s="58">
        <v>54000110</v>
      </c>
      <c r="C612" s="5" t="s">
        <v>131</v>
      </c>
      <c r="D612" s="5" t="s">
        <v>1192</v>
      </c>
      <c r="E612" s="73">
        <v>1030037</v>
      </c>
      <c r="F612" s="73">
        <v>103003701</v>
      </c>
      <c r="G612" s="73">
        <v>2</v>
      </c>
      <c r="H612" s="5" t="s">
        <v>1077</v>
      </c>
      <c r="I612" s="5"/>
    </row>
    <row r="613" spans="1:9">
      <c r="A613" s="5" t="str">
        <f t="shared" si="12"/>
        <v>103003703</v>
      </c>
      <c r="B613" s="58">
        <v>53000410</v>
      </c>
      <c r="C613" s="5" t="s">
        <v>123</v>
      </c>
      <c r="D613" s="5" t="s">
        <v>1192</v>
      </c>
      <c r="E613" s="73">
        <v>1030037</v>
      </c>
      <c r="F613" s="73">
        <v>103003701</v>
      </c>
      <c r="G613" s="73">
        <v>3</v>
      </c>
      <c r="H613" s="5" t="s">
        <v>1078</v>
      </c>
      <c r="I613" s="5"/>
    </row>
    <row r="614" spans="1:9">
      <c r="A614" s="5" t="str">
        <f t="shared" si="12"/>
        <v>103003704</v>
      </c>
      <c r="B614" s="58">
        <v>73000210</v>
      </c>
      <c r="C614" s="5" t="s">
        <v>116</v>
      </c>
      <c r="D614" s="5" t="s">
        <v>1192</v>
      </c>
      <c r="E614" s="73">
        <v>1030037</v>
      </c>
      <c r="F614" s="73"/>
      <c r="G614" s="73">
        <v>4</v>
      </c>
      <c r="H614" s="5" t="s">
        <v>1079</v>
      </c>
      <c r="I614" s="5"/>
    </row>
    <row r="615" spans="1:9">
      <c r="A615" s="5" t="str">
        <f t="shared" ref="A615:A617" si="13">(E615*10)&amp;G615</f>
        <v>103003705</v>
      </c>
      <c r="B615" s="58">
        <v>54000110</v>
      </c>
      <c r="C615" s="5" t="s">
        <v>131</v>
      </c>
      <c r="D615" s="5" t="s">
        <v>1192</v>
      </c>
      <c r="E615" s="73">
        <v>1030037</v>
      </c>
      <c r="F615" s="73">
        <v>103003704</v>
      </c>
      <c r="G615" s="73">
        <v>5</v>
      </c>
      <c r="H615" s="5" t="s">
        <v>1080</v>
      </c>
      <c r="I615" s="5"/>
    </row>
    <row r="616" spans="1:9">
      <c r="A616" s="5" t="str">
        <f t="shared" si="13"/>
        <v>103003706</v>
      </c>
      <c r="B616" s="58">
        <v>73000210</v>
      </c>
      <c r="C616" s="5" t="s">
        <v>116</v>
      </c>
      <c r="D616" s="5" t="s">
        <v>1192</v>
      </c>
      <c r="E616" s="73">
        <v>1030037</v>
      </c>
      <c r="F616" s="73">
        <v>103003704</v>
      </c>
      <c r="G616" s="73">
        <v>6</v>
      </c>
      <c r="H616" s="5" t="s">
        <v>1081</v>
      </c>
      <c r="I616" s="5"/>
    </row>
    <row r="617" spans="1:9">
      <c r="A617" s="5" t="str">
        <f t="shared" si="13"/>
        <v>103003707</v>
      </c>
      <c r="B617" s="58">
        <v>54000110</v>
      </c>
      <c r="C617" s="5" t="s">
        <v>131</v>
      </c>
      <c r="D617" s="5" t="s">
        <v>1192</v>
      </c>
      <c r="E617" s="73">
        <v>1030037</v>
      </c>
      <c r="F617" s="73">
        <v>103003704</v>
      </c>
      <c r="G617" s="73">
        <v>7</v>
      </c>
      <c r="H617" s="5" t="s">
        <v>1082</v>
      </c>
      <c r="I617" s="5"/>
    </row>
    <row r="618" spans="1:9">
      <c r="A618" s="96" t="str">
        <f t="shared" si="12"/>
        <v>103003708</v>
      </c>
      <c r="B618" s="97">
        <v>51000210</v>
      </c>
      <c r="C618" s="96" t="s">
        <v>2056</v>
      </c>
      <c r="D618" s="96" t="s">
        <v>1192</v>
      </c>
      <c r="E618" s="95">
        <v>1030037</v>
      </c>
      <c r="F618" s="95">
        <v>103003704</v>
      </c>
      <c r="G618" s="95">
        <v>8</v>
      </c>
      <c r="H618" s="96" t="s">
        <v>2052</v>
      </c>
      <c r="I618" s="96"/>
    </row>
    <row r="619" spans="1:9">
      <c r="A619" s="96" t="str">
        <f t="shared" si="12"/>
        <v>103003709</v>
      </c>
      <c r="B619" s="97">
        <v>51000110</v>
      </c>
      <c r="C619" s="96" t="s">
        <v>2053</v>
      </c>
      <c r="D619" s="96" t="s">
        <v>1192</v>
      </c>
      <c r="E619" s="95">
        <v>1030037</v>
      </c>
      <c r="F619" s="95">
        <v>103003704</v>
      </c>
      <c r="G619" s="95">
        <v>9</v>
      </c>
      <c r="H619" s="96" t="s">
        <v>2057</v>
      </c>
      <c r="I619" s="96"/>
    </row>
    <row r="620" spans="1:9">
      <c r="A620" s="96" t="str">
        <f t="shared" si="12"/>
        <v>1030037010</v>
      </c>
      <c r="B620" s="97">
        <v>51000210</v>
      </c>
      <c r="C620" s="96" t="s">
        <v>2051</v>
      </c>
      <c r="D620" s="96" t="s">
        <v>1192</v>
      </c>
      <c r="E620" s="95">
        <v>1030037</v>
      </c>
      <c r="F620" s="95">
        <v>103003704</v>
      </c>
      <c r="G620" s="95">
        <v>10</v>
      </c>
      <c r="H620" s="96" t="s">
        <v>2054</v>
      </c>
      <c r="I620" s="96"/>
    </row>
    <row r="621" spans="1:9">
      <c r="A621" s="5" t="str">
        <f t="shared" si="12"/>
        <v>103003801</v>
      </c>
      <c r="B621" s="58">
        <v>73000410</v>
      </c>
      <c r="C621" s="5" t="s">
        <v>118</v>
      </c>
      <c r="D621" s="5" t="s">
        <v>1193</v>
      </c>
      <c r="E621" s="73">
        <v>1030038</v>
      </c>
      <c r="F621" s="73"/>
      <c r="G621" s="73">
        <v>1</v>
      </c>
      <c r="H621" s="5" t="s">
        <v>1083</v>
      </c>
      <c r="I621" s="5"/>
    </row>
    <row r="622" spans="1:9">
      <c r="A622" s="5" t="str">
        <f t="shared" si="12"/>
        <v>103003802</v>
      </c>
      <c r="B622" s="97">
        <v>52000110</v>
      </c>
      <c r="C622" s="96" t="s">
        <v>2058</v>
      </c>
      <c r="D622" s="5" t="s">
        <v>1193</v>
      </c>
      <c r="E622" s="73">
        <v>1030038</v>
      </c>
      <c r="F622" s="73">
        <v>103003801</v>
      </c>
      <c r="G622" s="73">
        <v>2</v>
      </c>
      <c r="H622" s="5" t="s">
        <v>1084</v>
      </c>
      <c r="I622" s="5"/>
    </row>
    <row r="623" spans="1:9">
      <c r="A623" s="5" t="str">
        <f t="shared" si="12"/>
        <v>103003803</v>
      </c>
      <c r="B623" s="97">
        <v>93000410</v>
      </c>
      <c r="C623" s="96" t="s">
        <v>2059</v>
      </c>
      <c r="D623" s="5" t="s">
        <v>1193</v>
      </c>
      <c r="E623" s="73">
        <v>1030038</v>
      </c>
      <c r="F623" s="73">
        <v>103003801</v>
      </c>
      <c r="G623" s="73">
        <v>3</v>
      </c>
      <c r="H623" s="5" t="s">
        <v>1085</v>
      </c>
      <c r="I623" s="5"/>
    </row>
    <row r="624" spans="1:9">
      <c r="A624" s="5" t="str">
        <f t="shared" si="12"/>
        <v>103003804</v>
      </c>
      <c r="B624" s="58">
        <v>94000210</v>
      </c>
      <c r="C624" s="5" t="s">
        <v>127</v>
      </c>
      <c r="D624" s="5" t="s">
        <v>1193</v>
      </c>
      <c r="E624" s="73">
        <v>1030038</v>
      </c>
      <c r="F624" s="73"/>
      <c r="G624" s="73">
        <v>4</v>
      </c>
      <c r="H624" s="5" t="s">
        <v>1086</v>
      </c>
      <c r="I624" s="5"/>
    </row>
    <row r="625" spans="1:9">
      <c r="A625" s="5" t="str">
        <f t="shared" si="12"/>
        <v>103003805</v>
      </c>
      <c r="B625" s="58">
        <v>93000410</v>
      </c>
      <c r="C625" s="5" t="s">
        <v>113</v>
      </c>
      <c r="D625" s="5" t="s">
        <v>1193</v>
      </c>
      <c r="E625" s="73">
        <v>1030038</v>
      </c>
      <c r="F625" s="73">
        <v>103003804</v>
      </c>
      <c r="G625" s="73">
        <v>5</v>
      </c>
      <c r="H625" s="5" t="s">
        <v>1087</v>
      </c>
      <c r="I625" s="5"/>
    </row>
    <row r="626" spans="1:9">
      <c r="A626" s="5" t="str">
        <f t="shared" si="12"/>
        <v>103003806</v>
      </c>
      <c r="B626" s="58">
        <v>94000210</v>
      </c>
      <c r="C626" s="5" t="s">
        <v>127</v>
      </c>
      <c r="D626" s="5" t="s">
        <v>1193</v>
      </c>
      <c r="E626" s="73">
        <v>1030038</v>
      </c>
      <c r="F626" s="73">
        <v>103003804</v>
      </c>
      <c r="G626" s="73">
        <v>6</v>
      </c>
      <c r="H626" s="5" t="s">
        <v>1088</v>
      </c>
      <c r="I626" s="5"/>
    </row>
    <row r="627" spans="1:9">
      <c r="A627" s="5" t="str">
        <f t="shared" si="12"/>
        <v>103003807</v>
      </c>
      <c r="B627" s="58">
        <v>72000610</v>
      </c>
      <c r="C627" s="5" t="s">
        <v>101</v>
      </c>
      <c r="D627" s="5" t="s">
        <v>1193</v>
      </c>
      <c r="E627" s="73">
        <v>1030038</v>
      </c>
      <c r="F627" s="73">
        <v>103003804</v>
      </c>
      <c r="G627" s="73">
        <v>7</v>
      </c>
      <c r="H627" s="5" t="s">
        <v>1089</v>
      </c>
      <c r="I627" s="5"/>
    </row>
    <row r="628" spans="1:9">
      <c r="A628" s="5" t="str">
        <f t="shared" si="12"/>
        <v>103003808</v>
      </c>
      <c r="B628" s="58">
        <v>94000210</v>
      </c>
      <c r="C628" s="5" t="s">
        <v>127</v>
      </c>
      <c r="D628" s="5" t="s">
        <v>1193</v>
      </c>
      <c r="E628" s="73">
        <v>1030038</v>
      </c>
      <c r="F628" s="73">
        <v>103003804</v>
      </c>
      <c r="G628" s="73">
        <v>8</v>
      </c>
      <c r="H628" s="5" t="s">
        <v>1090</v>
      </c>
      <c r="I628" s="5"/>
    </row>
    <row r="629" spans="1:9">
      <c r="A629" s="5" t="str">
        <f t="shared" si="12"/>
        <v>103003809</v>
      </c>
      <c r="B629" s="58">
        <v>72000610</v>
      </c>
      <c r="C629" s="5" t="s">
        <v>101</v>
      </c>
      <c r="D629" s="5" t="s">
        <v>1193</v>
      </c>
      <c r="E629" s="73">
        <v>1030038</v>
      </c>
      <c r="F629" s="73">
        <v>103003804</v>
      </c>
      <c r="G629" s="73">
        <v>9</v>
      </c>
      <c r="H629" s="5" t="s">
        <v>1091</v>
      </c>
      <c r="I629" s="5"/>
    </row>
    <row r="630" spans="1:9">
      <c r="A630" s="5" t="str">
        <f t="shared" si="12"/>
        <v>1030038010</v>
      </c>
      <c r="B630" s="58">
        <v>93000410</v>
      </c>
      <c r="C630" s="5" t="s">
        <v>113</v>
      </c>
      <c r="D630" s="5" t="s">
        <v>1193</v>
      </c>
      <c r="E630" s="73">
        <v>1030038</v>
      </c>
      <c r="F630" s="73">
        <v>103003804</v>
      </c>
      <c r="G630" s="73">
        <v>10</v>
      </c>
      <c r="H630" s="5" t="s">
        <v>1092</v>
      </c>
      <c r="I630" s="5"/>
    </row>
    <row r="631" spans="1:9">
      <c r="A631" s="5" t="str">
        <f t="shared" si="12"/>
        <v>103003901</v>
      </c>
      <c r="B631" s="58">
        <v>51000210</v>
      </c>
      <c r="C631" s="5" t="s">
        <v>90</v>
      </c>
      <c r="D631" s="5" t="s">
        <v>1194</v>
      </c>
      <c r="E631" s="73">
        <v>1030039</v>
      </c>
      <c r="F631" s="73"/>
      <c r="G631" s="73">
        <v>1</v>
      </c>
      <c r="H631" s="5" t="s">
        <v>1093</v>
      </c>
      <c r="I631" s="5"/>
    </row>
    <row r="632" spans="1:9">
      <c r="A632" s="5" t="str">
        <f t="shared" si="12"/>
        <v>103003902</v>
      </c>
      <c r="B632" s="58">
        <v>73000210</v>
      </c>
      <c r="C632" s="5" t="s">
        <v>116</v>
      </c>
      <c r="D632" s="5" t="s">
        <v>1194</v>
      </c>
      <c r="E632" s="73">
        <v>1030039</v>
      </c>
      <c r="F632" s="73">
        <v>103003901</v>
      </c>
      <c r="G632" s="73">
        <v>2</v>
      </c>
      <c r="H632" s="5" t="s">
        <v>1094</v>
      </c>
      <c r="I632" s="5"/>
    </row>
    <row r="633" spans="1:9">
      <c r="A633" s="5" t="str">
        <f t="shared" si="12"/>
        <v>103003903</v>
      </c>
      <c r="B633" s="58">
        <v>51000110</v>
      </c>
      <c r="C633" s="5" t="s">
        <v>89</v>
      </c>
      <c r="D633" s="5" t="s">
        <v>1194</v>
      </c>
      <c r="E633" s="73">
        <v>1030039</v>
      </c>
      <c r="F633" s="73">
        <v>103003901</v>
      </c>
      <c r="G633" s="73">
        <v>3</v>
      </c>
      <c r="H633" s="5" t="s">
        <v>1095</v>
      </c>
      <c r="I633" s="5"/>
    </row>
    <row r="634" spans="1:9">
      <c r="A634" s="5" t="str">
        <f t="shared" si="12"/>
        <v>103003904</v>
      </c>
      <c r="B634" s="97">
        <v>72000610</v>
      </c>
      <c r="C634" s="96" t="s">
        <v>2060</v>
      </c>
      <c r="D634" s="5" t="s">
        <v>1194</v>
      </c>
      <c r="E634" s="73">
        <v>1030039</v>
      </c>
      <c r="F634" s="73"/>
      <c r="G634" s="73">
        <v>4</v>
      </c>
      <c r="H634" s="5" t="s">
        <v>1096</v>
      </c>
      <c r="I634" s="5"/>
    </row>
    <row r="635" spans="1:9">
      <c r="A635" s="5" t="str">
        <f t="shared" si="12"/>
        <v>103003905</v>
      </c>
      <c r="B635" s="97">
        <v>51000210</v>
      </c>
      <c r="C635" s="96" t="s">
        <v>2055</v>
      </c>
      <c r="D635" s="5" t="s">
        <v>1194</v>
      </c>
      <c r="E635" s="73">
        <v>1030039</v>
      </c>
      <c r="F635" s="73">
        <v>103003904</v>
      </c>
      <c r="G635" s="73">
        <v>5</v>
      </c>
      <c r="H635" s="5" t="s">
        <v>1097</v>
      </c>
      <c r="I635" s="5"/>
    </row>
    <row r="636" spans="1:9">
      <c r="A636" s="5" t="str">
        <f t="shared" si="12"/>
        <v>103003906</v>
      </c>
      <c r="B636" s="97">
        <v>73000210</v>
      </c>
      <c r="C636" s="96" t="s">
        <v>2062</v>
      </c>
      <c r="D636" s="5" t="s">
        <v>1194</v>
      </c>
      <c r="E636" s="73">
        <v>1030039</v>
      </c>
      <c r="F636" s="73">
        <v>103003904</v>
      </c>
      <c r="G636" s="73">
        <v>6</v>
      </c>
      <c r="H636" s="5" t="s">
        <v>1098</v>
      </c>
      <c r="I636" s="5"/>
    </row>
    <row r="637" spans="1:9">
      <c r="A637" s="5" t="str">
        <f t="shared" si="12"/>
        <v>103003907</v>
      </c>
      <c r="B637" s="97">
        <v>51000110</v>
      </c>
      <c r="C637" s="96" t="s">
        <v>2053</v>
      </c>
      <c r="D637" s="5" t="s">
        <v>1194</v>
      </c>
      <c r="E637" s="73">
        <v>1030039</v>
      </c>
      <c r="F637" s="73">
        <v>103003904</v>
      </c>
      <c r="G637" s="73">
        <v>7</v>
      </c>
      <c r="H637" s="5" t="s">
        <v>1099</v>
      </c>
      <c r="I637" s="5"/>
    </row>
    <row r="638" spans="1:9">
      <c r="A638" s="5" t="str">
        <f t="shared" si="12"/>
        <v>103004001</v>
      </c>
      <c r="B638" s="58">
        <v>33000110</v>
      </c>
      <c r="C638" s="5" t="s">
        <v>124</v>
      </c>
      <c r="D638" s="5" t="s">
        <v>1195</v>
      </c>
      <c r="E638" s="73">
        <v>1030040</v>
      </c>
      <c r="F638" s="73"/>
      <c r="G638" s="73">
        <v>1</v>
      </c>
      <c r="H638" s="5" t="s">
        <v>1100</v>
      </c>
      <c r="I638" s="5"/>
    </row>
    <row r="639" spans="1:9">
      <c r="A639" s="5" t="str">
        <f t="shared" si="12"/>
        <v>103004002</v>
      </c>
      <c r="B639" s="58">
        <v>92000510</v>
      </c>
      <c r="C639" s="5" t="s">
        <v>95</v>
      </c>
      <c r="D639" s="5" t="s">
        <v>1195</v>
      </c>
      <c r="E639" s="73">
        <v>1030040</v>
      </c>
      <c r="F639" s="73">
        <v>103004001</v>
      </c>
      <c r="G639" s="73">
        <v>2</v>
      </c>
      <c r="H639" s="5" t="s">
        <v>1101</v>
      </c>
      <c r="I639" s="5"/>
    </row>
    <row r="640" spans="1:9">
      <c r="A640" s="5" t="str">
        <f t="shared" si="12"/>
        <v>103004003</v>
      </c>
      <c r="B640" s="58">
        <v>33000110</v>
      </c>
      <c r="C640" s="5" t="s">
        <v>124</v>
      </c>
      <c r="D640" s="5" t="s">
        <v>1195</v>
      </c>
      <c r="E640" s="73">
        <v>1030040</v>
      </c>
      <c r="F640" s="73">
        <v>103004001</v>
      </c>
      <c r="G640" s="73">
        <v>3</v>
      </c>
      <c r="H640" s="5" t="s">
        <v>1102</v>
      </c>
      <c r="I640" s="5"/>
    </row>
    <row r="641" spans="1:9">
      <c r="A641" s="5" t="str">
        <f t="shared" si="12"/>
        <v>103004004</v>
      </c>
      <c r="B641" s="58">
        <v>53000110</v>
      </c>
      <c r="C641" s="5" t="s">
        <v>120</v>
      </c>
      <c r="D641" s="5" t="s">
        <v>1195</v>
      </c>
      <c r="E641" s="73">
        <v>1030040</v>
      </c>
      <c r="F641" s="73">
        <v>103004001</v>
      </c>
      <c r="G641" s="73">
        <v>4</v>
      </c>
      <c r="H641" s="5" t="s">
        <v>1103</v>
      </c>
      <c r="I641" s="5"/>
    </row>
    <row r="642" spans="1:9">
      <c r="A642" s="5" t="str">
        <f t="shared" si="12"/>
        <v>103004005</v>
      </c>
      <c r="B642" s="58">
        <v>92000510</v>
      </c>
      <c r="C642" s="5" t="s">
        <v>95</v>
      </c>
      <c r="D642" s="5" t="s">
        <v>1195</v>
      </c>
      <c r="E642" s="73">
        <v>1030040</v>
      </c>
      <c r="F642" s="73">
        <v>103004001</v>
      </c>
      <c r="G642" s="73">
        <v>5</v>
      </c>
      <c r="H642" s="5" t="s">
        <v>1104</v>
      </c>
      <c r="I642" s="5"/>
    </row>
    <row r="643" spans="1:9">
      <c r="A643" s="5" t="str">
        <f t="shared" si="12"/>
        <v>103004006</v>
      </c>
      <c r="B643" s="58">
        <v>52000310</v>
      </c>
      <c r="C643" s="5" t="s">
        <v>105</v>
      </c>
      <c r="D643" s="5" t="s">
        <v>1195</v>
      </c>
      <c r="E643" s="73">
        <v>1030040</v>
      </c>
      <c r="F643" s="73">
        <v>103004001</v>
      </c>
      <c r="G643" s="73">
        <v>6</v>
      </c>
      <c r="H643" s="5" t="s">
        <v>1105</v>
      </c>
      <c r="I643" s="5"/>
    </row>
    <row r="644" spans="1:9">
      <c r="A644" s="5" t="str">
        <f t="shared" si="12"/>
        <v>103004007</v>
      </c>
      <c r="B644" s="58">
        <v>71000210</v>
      </c>
      <c r="C644" s="5" t="s">
        <v>87</v>
      </c>
      <c r="D644" s="5" t="s">
        <v>1195</v>
      </c>
      <c r="E644" s="73">
        <v>1030040</v>
      </c>
      <c r="F644" s="73"/>
      <c r="G644" s="73">
        <v>7</v>
      </c>
      <c r="H644" s="5" t="s">
        <v>1106</v>
      </c>
      <c r="I644" s="5"/>
    </row>
    <row r="645" spans="1:9">
      <c r="A645" s="5" t="str">
        <f t="shared" si="12"/>
        <v>103004008</v>
      </c>
      <c r="B645" s="97">
        <v>92000510</v>
      </c>
      <c r="C645" s="96" t="s">
        <v>2063</v>
      </c>
      <c r="D645" s="5" t="s">
        <v>1195</v>
      </c>
      <c r="E645" s="73">
        <v>1030040</v>
      </c>
      <c r="F645" s="73">
        <v>103004007</v>
      </c>
      <c r="G645" s="73">
        <v>8</v>
      </c>
      <c r="H645" s="5" t="s">
        <v>1107</v>
      </c>
      <c r="I645" s="5"/>
    </row>
    <row r="646" spans="1:9">
      <c r="A646" s="5" t="str">
        <f t="shared" si="12"/>
        <v>103004009</v>
      </c>
      <c r="B646" s="97">
        <v>71000210</v>
      </c>
      <c r="C646" s="96" t="s">
        <v>2064</v>
      </c>
      <c r="D646" s="5" t="s">
        <v>1195</v>
      </c>
      <c r="E646" s="73">
        <v>1030040</v>
      </c>
      <c r="F646" s="73">
        <v>103004007</v>
      </c>
      <c r="G646" s="73">
        <v>9</v>
      </c>
      <c r="H646" s="5" t="s">
        <v>1108</v>
      </c>
      <c r="I646" s="5"/>
    </row>
    <row r="647" spans="1:9">
      <c r="A647" s="5" t="str">
        <f t="shared" si="12"/>
        <v>103004101</v>
      </c>
      <c r="B647" s="58">
        <v>72000610</v>
      </c>
      <c r="C647" s="5" t="s">
        <v>101</v>
      </c>
      <c r="D647" s="5" t="s">
        <v>1196</v>
      </c>
      <c r="E647" s="73">
        <v>1030041</v>
      </c>
      <c r="F647" s="73"/>
      <c r="G647" s="73">
        <v>1</v>
      </c>
      <c r="H647" s="5" t="s">
        <v>1109</v>
      </c>
      <c r="I647" s="5"/>
    </row>
    <row r="648" spans="1:9">
      <c r="A648" s="5" t="str">
        <f t="shared" si="12"/>
        <v>103004102</v>
      </c>
      <c r="B648" s="58">
        <v>72000510</v>
      </c>
      <c r="C648" s="5" t="s">
        <v>100</v>
      </c>
      <c r="D648" s="5" t="s">
        <v>1196</v>
      </c>
      <c r="E648" s="73">
        <v>1030041</v>
      </c>
      <c r="F648" s="73">
        <v>103004101</v>
      </c>
      <c r="G648" s="73">
        <v>2</v>
      </c>
      <c r="H648" s="5" t="s">
        <v>1110</v>
      </c>
      <c r="I648" s="5"/>
    </row>
    <row r="649" spans="1:9">
      <c r="A649" s="5" t="str">
        <f t="shared" si="12"/>
        <v>103004103</v>
      </c>
      <c r="B649" s="58">
        <v>93000210</v>
      </c>
      <c r="C649" s="5" t="s">
        <v>111</v>
      </c>
      <c r="D649" s="5" t="s">
        <v>1196</v>
      </c>
      <c r="E649" s="73">
        <v>1030041</v>
      </c>
      <c r="F649" s="73">
        <v>103004101</v>
      </c>
      <c r="G649" s="73">
        <v>3</v>
      </c>
      <c r="H649" s="5" t="s">
        <v>1111</v>
      </c>
      <c r="I649" s="5"/>
    </row>
    <row r="650" spans="1:9">
      <c r="A650" s="5" t="str">
        <f t="shared" si="12"/>
        <v>103004104</v>
      </c>
      <c r="B650" s="58">
        <v>94000210</v>
      </c>
      <c r="C650" s="5" t="s">
        <v>127</v>
      </c>
      <c r="D650" s="5" t="s">
        <v>1196</v>
      </c>
      <c r="E650" s="73">
        <v>1030041</v>
      </c>
      <c r="F650" s="73"/>
      <c r="G650" s="73">
        <v>4</v>
      </c>
      <c r="H650" s="5" t="s">
        <v>1112</v>
      </c>
      <c r="I650" s="5"/>
    </row>
    <row r="651" spans="1:9">
      <c r="A651" s="5" t="str">
        <f t="shared" si="12"/>
        <v>103004105</v>
      </c>
      <c r="B651" s="58">
        <v>72000610</v>
      </c>
      <c r="C651" s="5" t="s">
        <v>101</v>
      </c>
      <c r="D651" s="5" t="s">
        <v>1196</v>
      </c>
      <c r="E651" s="73">
        <v>1030041</v>
      </c>
      <c r="F651" s="73">
        <v>103004104</v>
      </c>
      <c r="G651" s="73">
        <v>5</v>
      </c>
      <c r="H651" s="5" t="s">
        <v>1113</v>
      </c>
      <c r="I651" s="5"/>
    </row>
    <row r="652" spans="1:9">
      <c r="A652" s="5" t="str">
        <f t="shared" ref="A652:A715" si="14">(E652*10)&amp;G652</f>
        <v>103004106</v>
      </c>
      <c r="B652" s="58">
        <v>94000110</v>
      </c>
      <c r="C652" s="5" t="s">
        <v>126</v>
      </c>
      <c r="D652" s="5" t="s">
        <v>1196</v>
      </c>
      <c r="E652" s="73">
        <v>1030041</v>
      </c>
      <c r="F652" s="73"/>
      <c r="G652" s="73">
        <v>6</v>
      </c>
      <c r="H652" s="5" t="s">
        <v>1114</v>
      </c>
      <c r="I652" s="5"/>
    </row>
    <row r="653" spans="1:9">
      <c r="A653" s="5" t="str">
        <f t="shared" si="14"/>
        <v>103004107</v>
      </c>
      <c r="B653" s="58">
        <v>92000310</v>
      </c>
      <c r="C653" s="5" t="s">
        <v>93</v>
      </c>
      <c r="D653" s="5" t="s">
        <v>1196</v>
      </c>
      <c r="E653" s="73">
        <v>1030041</v>
      </c>
      <c r="F653" s="73">
        <v>103004106</v>
      </c>
      <c r="G653" s="73">
        <v>7</v>
      </c>
      <c r="H653" s="5" t="s">
        <v>1115</v>
      </c>
      <c r="I653" s="5"/>
    </row>
    <row r="654" spans="1:9">
      <c r="A654" s="5" t="str">
        <f t="shared" si="14"/>
        <v>103004201</v>
      </c>
      <c r="B654" s="58">
        <v>32000110</v>
      </c>
      <c r="C654" s="5" t="s">
        <v>108</v>
      </c>
      <c r="D654" s="5" t="s">
        <v>1197</v>
      </c>
      <c r="E654" s="73">
        <v>1030042</v>
      </c>
      <c r="F654" s="73"/>
      <c r="G654" s="73">
        <v>1</v>
      </c>
      <c r="H654" s="5" t="s">
        <v>1116</v>
      </c>
      <c r="I654" s="5"/>
    </row>
    <row r="655" spans="1:9">
      <c r="A655" s="5" t="str">
        <f t="shared" si="14"/>
        <v>103004202</v>
      </c>
      <c r="B655" s="58">
        <v>91000110</v>
      </c>
      <c r="C655" s="5" t="s">
        <v>1198</v>
      </c>
      <c r="D655" s="5" t="s">
        <v>1197</v>
      </c>
      <c r="E655" s="73">
        <v>1030042</v>
      </c>
      <c r="F655" s="73">
        <v>103004201</v>
      </c>
      <c r="G655" s="73">
        <v>2</v>
      </c>
      <c r="H655" s="5" t="s">
        <v>1117</v>
      </c>
      <c r="I655" s="5"/>
    </row>
    <row r="656" spans="1:9">
      <c r="A656" s="5" t="str">
        <f t="shared" si="14"/>
        <v>103004203</v>
      </c>
      <c r="B656" s="58">
        <v>73000310</v>
      </c>
      <c r="C656" s="5" t="s">
        <v>117</v>
      </c>
      <c r="D656" s="5" t="s">
        <v>1197</v>
      </c>
      <c r="E656" s="73">
        <v>1030042</v>
      </c>
      <c r="F656" s="73"/>
      <c r="G656" s="73">
        <v>3</v>
      </c>
      <c r="H656" s="5" t="s">
        <v>1118</v>
      </c>
      <c r="I656" s="5"/>
    </row>
    <row r="657" spans="1:9">
      <c r="A657" s="5" t="str">
        <f t="shared" si="14"/>
        <v>103004204</v>
      </c>
      <c r="B657" s="58">
        <v>91000110</v>
      </c>
      <c r="C657" s="5" t="s">
        <v>1198</v>
      </c>
      <c r="D657" s="5" t="s">
        <v>1197</v>
      </c>
      <c r="E657" s="73">
        <v>1030042</v>
      </c>
      <c r="F657" s="73">
        <v>103004203</v>
      </c>
      <c r="G657" s="73">
        <v>4</v>
      </c>
      <c r="H657" s="5" t="s">
        <v>1119</v>
      </c>
      <c r="I657" s="5"/>
    </row>
    <row r="658" spans="1:9">
      <c r="A658" s="5" t="str">
        <f t="shared" si="14"/>
        <v>103004205</v>
      </c>
      <c r="B658" s="58">
        <v>91000110</v>
      </c>
      <c r="C658" s="5" t="s">
        <v>1198</v>
      </c>
      <c r="D658" s="5" t="s">
        <v>1197</v>
      </c>
      <c r="E658" s="73">
        <v>1030042</v>
      </c>
      <c r="F658" s="73"/>
      <c r="G658" s="73">
        <v>5</v>
      </c>
      <c r="H658" s="5" t="s">
        <v>1120</v>
      </c>
      <c r="I658" s="5"/>
    </row>
    <row r="659" spans="1:9">
      <c r="A659" s="5" t="str">
        <f t="shared" si="14"/>
        <v>103004206</v>
      </c>
      <c r="B659" s="58">
        <v>91000110</v>
      </c>
      <c r="C659" s="5" t="s">
        <v>1198</v>
      </c>
      <c r="D659" s="5" t="s">
        <v>1197</v>
      </c>
      <c r="E659" s="73">
        <v>1030042</v>
      </c>
      <c r="F659" s="73">
        <v>103004205</v>
      </c>
      <c r="G659" s="73">
        <v>6</v>
      </c>
      <c r="H659" s="5" t="s">
        <v>1121</v>
      </c>
      <c r="I659" s="5"/>
    </row>
    <row r="660" spans="1:9">
      <c r="A660" s="5" t="str">
        <f t="shared" si="14"/>
        <v>103004207</v>
      </c>
      <c r="B660" s="58">
        <v>91000110</v>
      </c>
      <c r="C660" s="5" t="s">
        <v>1198</v>
      </c>
      <c r="D660" s="5" t="s">
        <v>1197</v>
      </c>
      <c r="E660" s="73">
        <v>1030042</v>
      </c>
      <c r="F660" s="73">
        <v>103004205</v>
      </c>
      <c r="G660" s="73">
        <v>7</v>
      </c>
      <c r="H660" s="5" t="s">
        <v>1122</v>
      </c>
      <c r="I660" s="5"/>
    </row>
    <row r="661" spans="1:9">
      <c r="A661" s="5" t="str">
        <f t="shared" si="14"/>
        <v>103004301</v>
      </c>
      <c r="B661" s="58">
        <v>53000110</v>
      </c>
      <c r="C661" s="5" t="s">
        <v>120</v>
      </c>
      <c r="D661" s="5" t="s">
        <v>1199</v>
      </c>
      <c r="E661" s="73">
        <v>1030043</v>
      </c>
      <c r="F661" s="73"/>
      <c r="G661" s="73">
        <v>1</v>
      </c>
      <c r="H661" s="5" t="s">
        <v>1123</v>
      </c>
      <c r="I661" s="5"/>
    </row>
    <row r="662" spans="1:9">
      <c r="A662" s="5" t="str">
        <f t="shared" si="14"/>
        <v>103004302</v>
      </c>
      <c r="B662" s="58">
        <v>92000110</v>
      </c>
      <c r="C662" s="5" t="s">
        <v>1200</v>
      </c>
      <c r="D662" s="5" t="s">
        <v>1199</v>
      </c>
      <c r="E662" s="73">
        <v>1030043</v>
      </c>
      <c r="F662" s="73">
        <v>103004301</v>
      </c>
      <c r="G662" s="73">
        <v>2</v>
      </c>
      <c r="H662" s="5" t="s">
        <v>1124</v>
      </c>
      <c r="I662" s="5"/>
    </row>
    <row r="663" spans="1:9">
      <c r="A663" s="5" t="str">
        <f t="shared" si="14"/>
        <v>103004303</v>
      </c>
      <c r="B663" s="58">
        <v>53000110</v>
      </c>
      <c r="C663" s="5" t="s">
        <v>120</v>
      </c>
      <c r="D663" s="5" t="s">
        <v>1199</v>
      </c>
      <c r="E663" s="73">
        <v>1030043</v>
      </c>
      <c r="F663" s="73">
        <v>103004301</v>
      </c>
      <c r="G663" s="73">
        <v>3</v>
      </c>
      <c r="H663" s="5" t="s">
        <v>1125</v>
      </c>
      <c r="I663" s="5"/>
    </row>
    <row r="664" spans="1:9">
      <c r="A664" s="5" t="str">
        <f t="shared" si="14"/>
        <v>103004304</v>
      </c>
      <c r="B664" s="58">
        <v>92000110</v>
      </c>
      <c r="C664" s="5" t="s">
        <v>1200</v>
      </c>
      <c r="D664" s="5" t="s">
        <v>1199</v>
      </c>
      <c r="E664" s="73">
        <v>1030043</v>
      </c>
      <c r="F664" s="73">
        <v>103004301</v>
      </c>
      <c r="G664" s="73">
        <v>4</v>
      </c>
      <c r="H664" s="5" t="s">
        <v>1126</v>
      </c>
      <c r="I664" s="5"/>
    </row>
    <row r="665" spans="1:9">
      <c r="A665" s="5" t="str">
        <f t="shared" si="14"/>
        <v>103004305</v>
      </c>
      <c r="B665" s="58">
        <v>53000110</v>
      </c>
      <c r="C665" s="5" t="s">
        <v>120</v>
      </c>
      <c r="D665" s="5" t="s">
        <v>1199</v>
      </c>
      <c r="E665" s="73">
        <v>1030043</v>
      </c>
      <c r="F665" s="73">
        <v>103004301</v>
      </c>
      <c r="G665" s="73">
        <v>5</v>
      </c>
      <c r="H665" s="5" t="s">
        <v>1127</v>
      </c>
      <c r="I665" s="5"/>
    </row>
    <row r="666" spans="1:9">
      <c r="A666" s="5" t="str">
        <f t="shared" si="14"/>
        <v>103004306</v>
      </c>
      <c r="B666" s="58">
        <v>92000110</v>
      </c>
      <c r="C666" s="5" t="s">
        <v>1200</v>
      </c>
      <c r="D666" s="5" t="s">
        <v>1199</v>
      </c>
      <c r="E666" s="73">
        <v>1030043</v>
      </c>
      <c r="F666" s="73">
        <v>103004301</v>
      </c>
      <c r="G666" s="73">
        <v>6</v>
      </c>
      <c r="H666" s="5" t="s">
        <v>1128</v>
      </c>
      <c r="I666" s="5"/>
    </row>
    <row r="667" spans="1:9">
      <c r="A667" s="5" t="str">
        <f t="shared" si="14"/>
        <v>103004307</v>
      </c>
      <c r="B667" s="58">
        <v>53000110</v>
      </c>
      <c r="C667" s="5" t="s">
        <v>120</v>
      </c>
      <c r="D667" s="5" t="s">
        <v>1199</v>
      </c>
      <c r="E667" s="73">
        <v>1030043</v>
      </c>
      <c r="F667" s="73">
        <v>103004301</v>
      </c>
      <c r="G667" s="73">
        <v>7</v>
      </c>
      <c r="H667" s="5" t="s">
        <v>1129</v>
      </c>
      <c r="I667" s="5"/>
    </row>
    <row r="668" spans="1:9">
      <c r="A668" s="5" t="str">
        <f t="shared" si="14"/>
        <v>103004308</v>
      </c>
      <c r="B668" s="58">
        <v>91000210</v>
      </c>
      <c r="C668" s="5" t="s">
        <v>85</v>
      </c>
      <c r="D668" s="5" t="s">
        <v>1199</v>
      </c>
      <c r="E668" s="73">
        <v>1030043</v>
      </c>
      <c r="F668" s="73"/>
      <c r="G668" s="73">
        <v>8</v>
      </c>
      <c r="H668" s="5" t="s">
        <v>1130</v>
      </c>
      <c r="I668" s="5"/>
    </row>
    <row r="669" spans="1:9">
      <c r="A669" s="5" t="str">
        <f t="shared" si="14"/>
        <v>103004309</v>
      </c>
      <c r="B669" s="58">
        <v>94000210</v>
      </c>
      <c r="C669" s="5" t="s">
        <v>127</v>
      </c>
      <c r="D669" s="5" t="s">
        <v>1199</v>
      </c>
      <c r="E669" s="73">
        <v>1030043</v>
      </c>
      <c r="F669" s="73">
        <v>103004308</v>
      </c>
      <c r="G669" s="73">
        <v>9</v>
      </c>
      <c r="H669" s="5" t="s">
        <v>1131</v>
      </c>
      <c r="I669" s="5"/>
    </row>
    <row r="670" spans="1:9">
      <c r="A670" s="5" t="str">
        <f t="shared" si="14"/>
        <v>1030043010</v>
      </c>
      <c r="B670" s="58">
        <v>72000610</v>
      </c>
      <c r="C670" s="5" t="s">
        <v>101</v>
      </c>
      <c r="D670" s="5" t="s">
        <v>1199</v>
      </c>
      <c r="E670" s="73">
        <v>1030043</v>
      </c>
      <c r="F670" s="73">
        <v>103004308</v>
      </c>
      <c r="G670" s="73">
        <v>10</v>
      </c>
      <c r="H670" s="5" t="s">
        <v>1132</v>
      </c>
      <c r="I670" s="5"/>
    </row>
    <row r="671" spans="1:9">
      <c r="A671" s="5" t="str">
        <f t="shared" si="14"/>
        <v>1030043011</v>
      </c>
      <c r="B671" s="58">
        <v>94000210</v>
      </c>
      <c r="C671" s="5" t="s">
        <v>127</v>
      </c>
      <c r="D671" s="5" t="s">
        <v>1199</v>
      </c>
      <c r="E671" s="73">
        <v>1030043</v>
      </c>
      <c r="F671" s="73">
        <v>103004308</v>
      </c>
      <c r="G671" s="73">
        <v>11</v>
      </c>
      <c r="H671" s="5" t="s">
        <v>1133</v>
      </c>
      <c r="I671" s="5"/>
    </row>
    <row r="672" spans="1:9">
      <c r="A672" s="5" t="str">
        <f t="shared" si="14"/>
        <v>1030043012</v>
      </c>
      <c r="B672" s="58">
        <v>92000110</v>
      </c>
      <c r="C672" s="5" t="s">
        <v>1200</v>
      </c>
      <c r="D672" s="5" t="s">
        <v>1199</v>
      </c>
      <c r="E672" s="73">
        <v>1030043</v>
      </c>
      <c r="F672" s="73">
        <v>103004308</v>
      </c>
      <c r="G672" s="73">
        <v>12</v>
      </c>
      <c r="H672" s="5" t="s">
        <v>1134</v>
      </c>
      <c r="I672" s="5"/>
    </row>
    <row r="673" spans="1:9">
      <c r="A673" s="5" t="str">
        <f t="shared" si="14"/>
        <v>1030043013</v>
      </c>
      <c r="B673" s="58">
        <v>92000110</v>
      </c>
      <c r="C673" s="5" t="s">
        <v>1200</v>
      </c>
      <c r="D673" s="5" t="s">
        <v>1199</v>
      </c>
      <c r="E673" s="73">
        <v>1030043</v>
      </c>
      <c r="F673" s="73">
        <v>103004308</v>
      </c>
      <c r="G673" s="73">
        <v>13</v>
      </c>
      <c r="H673" s="5" t="s">
        <v>1135</v>
      </c>
      <c r="I673" s="5"/>
    </row>
    <row r="674" spans="1:9">
      <c r="A674" s="5" t="str">
        <f t="shared" si="14"/>
        <v>103004401</v>
      </c>
      <c r="B674" s="58">
        <v>53000310</v>
      </c>
      <c r="C674" s="5" t="s">
        <v>122</v>
      </c>
      <c r="D674" s="5" t="s">
        <v>1201</v>
      </c>
      <c r="E674" s="73">
        <v>1030044</v>
      </c>
      <c r="F674" s="73"/>
      <c r="G674" s="73">
        <v>1</v>
      </c>
      <c r="H674" s="5" t="s">
        <v>1136</v>
      </c>
      <c r="I674" s="5"/>
    </row>
    <row r="675" spans="1:9">
      <c r="A675" s="5" t="str">
        <f t="shared" si="14"/>
        <v>103004402</v>
      </c>
      <c r="B675" s="58">
        <v>74000210</v>
      </c>
      <c r="C675" s="5" t="s">
        <v>130</v>
      </c>
      <c r="D675" s="5" t="s">
        <v>1201</v>
      </c>
      <c r="E675" s="73">
        <v>1030044</v>
      </c>
      <c r="F675" s="73">
        <v>103004401</v>
      </c>
      <c r="G675" s="73">
        <v>2</v>
      </c>
      <c r="H675" s="5" t="s">
        <v>1137</v>
      </c>
      <c r="I675" s="5"/>
    </row>
    <row r="676" spans="1:9">
      <c r="A676" s="5" t="str">
        <f t="shared" si="14"/>
        <v>103004403</v>
      </c>
      <c r="B676" s="58">
        <v>53000310</v>
      </c>
      <c r="C676" s="5" t="s">
        <v>122</v>
      </c>
      <c r="D676" s="5" t="s">
        <v>1201</v>
      </c>
      <c r="E676" s="73">
        <v>1030044</v>
      </c>
      <c r="F676" s="73">
        <v>103004401</v>
      </c>
      <c r="G676" s="73">
        <v>3</v>
      </c>
      <c r="H676" s="5" t="s">
        <v>1138</v>
      </c>
      <c r="I676" s="5"/>
    </row>
    <row r="677" spans="1:9">
      <c r="A677" s="5" t="str">
        <f t="shared" si="14"/>
        <v>103004404</v>
      </c>
      <c r="B677" s="58">
        <v>71000310</v>
      </c>
      <c r="C677" s="5" t="s">
        <v>88</v>
      </c>
      <c r="D677" s="5" t="s">
        <v>1201</v>
      </c>
      <c r="E677" s="73">
        <v>1030044</v>
      </c>
      <c r="F677" s="73"/>
      <c r="G677" s="73">
        <v>4</v>
      </c>
      <c r="H677" s="5" t="s">
        <v>1139</v>
      </c>
      <c r="I677" s="5"/>
    </row>
    <row r="678" spans="1:9">
      <c r="A678" s="5" t="str">
        <f t="shared" si="14"/>
        <v>103004405</v>
      </c>
      <c r="B678" s="58">
        <v>74000210</v>
      </c>
      <c r="C678" s="5" t="s">
        <v>130</v>
      </c>
      <c r="D678" s="5" t="s">
        <v>1201</v>
      </c>
      <c r="E678" s="73">
        <v>1030044</v>
      </c>
      <c r="F678" s="73">
        <v>103004404</v>
      </c>
      <c r="G678" s="73">
        <v>5</v>
      </c>
      <c r="H678" s="5" t="s">
        <v>1140</v>
      </c>
      <c r="I678" s="5"/>
    </row>
    <row r="679" spans="1:9">
      <c r="A679" s="5" t="str">
        <f t="shared" si="14"/>
        <v>103004406</v>
      </c>
      <c r="B679" s="58">
        <v>31000110</v>
      </c>
      <c r="C679" s="5" t="s">
        <v>91</v>
      </c>
      <c r="D679" s="5" t="s">
        <v>1201</v>
      </c>
      <c r="E679" s="73">
        <v>1030044</v>
      </c>
      <c r="F679" s="73">
        <v>103004404</v>
      </c>
      <c r="G679" s="73">
        <v>6</v>
      </c>
      <c r="H679" s="5" t="s">
        <v>1141</v>
      </c>
      <c r="I679" s="5"/>
    </row>
    <row r="680" spans="1:9">
      <c r="A680" s="5" t="str">
        <f t="shared" si="14"/>
        <v>103004407</v>
      </c>
      <c r="B680" s="58">
        <v>74000210</v>
      </c>
      <c r="C680" s="5" t="s">
        <v>130</v>
      </c>
      <c r="D680" s="5" t="s">
        <v>1201</v>
      </c>
      <c r="E680" s="73">
        <v>1030044</v>
      </c>
      <c r="F680" s="73">
        <v>103004404</v>
      </c>
      <c r="G680" s="73">
        <v>7</v>
      </c>
      <c r="H680" s="5" t="s">
        <v>1142</v>
      </c>
      <c r="I680" s="5"/>
    </row>
    <row r="681" spans="1:9">
      <c r="A681" s="5" t="str">
        <f t="shared" si="14"/>
        <v>103004408</v>
      </c>
      <c r="B681" s="58">
        <v>71000210</v>
      </c>
      <c r="C681" s="5" t="s">
        <v>87</v>
      </c>
      <c r="D681" s="5" t="s">
        <v>1201</v>
      </c>
      <c r="E681" s="73">
        <v>1030044</v>
      </c>
      <c r="F681" s="73"/>
      <c r="G681" s="73">
        <v>8</v>
      </c>
      <c r="H681" s="5" t="s">
        <v>1143</v>
      </c>
      <c r="I681" s="5"/>
    </row>
    <row r="682" spans="1:9">
      <c r="A682" s="5" t="str">
        <f t="shared" si="14"/>
        <v>103004409</v>
      </c>
      <c r="B682" s="58">
        <v>74000210</v>
      </c>
      <c r="C682" s="5" t="s">
        <v>130</v>
      </c>
      <c r="D682" s="5" t="s">
        <v>1201</v>
      </c>
      <c r="E682" s="73">
        <v>1030044</v>
      </c>
      <c r="F682" s="73">
        <v>103004408</v>
      </c>
      <c r="G682" s="73">
        <v>9</v>
      </c>
      <c r="H682" s="5" t="s">
        <v>1144</v>
      </c>
      <c r="I682" s="5"/>
    </row>
    <row r="683" spans="1:9">
      <c r="A683" s="5" t="str">
        <f t="shared" si="14"/>
        <v>103004501</v>
      </c>
      <c r="B683" s="58">
        <v>92000510</v>
      </c>
      <c r="C683" s="5" t="s">
        <v>95</v>
      </c>
      <c r="D683" s="5" t="s">
        <v>1393</v>
      </c>
      <c r="E683" s="73">
        <v>1030045</v>
      </c>
      <c r="F683" s="73"/>
      <c r="G683" s="73">
        <v>1</v>
      </c>
      <c r="H683" s="5" t="s">
        <v>1394</v>
      </c>
      <c r="I683" s="5"/>
    </row>
    <row r="684" spans="1:9">
      <c r="A684" s="5" t="str">
        <f t="shared" si="14"/>
        <v>103004502</v>
      </c>
      <c r="B684" s="58">
        <v>92000610</v>
      </c>
      <c r="C684" s="5" t="s">
        <v>1395</v>
      </c>
      <c r="D684" s="5" t="s">
        <v>1393</v>
      </c>
      <c r="E684" s="73">
        <v>1030045</v>
      </c>
      <c r="F684" s="73">
        <v>103004501</v>
      </c>
      <c r="G684" s="73">
        <v>2</v>
      </c>
      <c r="H684" s="5" t="s">
        <v>1396</v>
      </c>
      <c r="I684" s="5"/>
    </row>
    <row r="685" spans="1:9">
      <c r="A685" s="5" t="str">
        <f t="shared" si="14"/>
        <v>103004503</v>
      </c>
      <c r="B685" s="58">
        <v>54000110</v>
      </c>
      <c r="C685" s="5" t="s">
        <v>131</v>
      </c>
      <c r="D685" s="5" t="s">
        <v>1393</v>
      </c>
      <c r="E685" s="73">
        <v>1030045</v>
      </c>
      <c r="F685" s="73"/>
      <c r="G685" s="73">
        <v>3</v>
      </c>
      <c r="H685" s="5" t="s">
        <v>1397</v>
      </c>
      <c r="I685" s="5"/>
    </row>
    <row r="686" spans="1:9">
      <c r="A686" s="5" t="str">
        <f t="shared" si="14"/>
        <v>103004504</v>
      </c>
      <c r="B686" s="58">
        <v>92000610</v>
      </c>
      <c r="C686" s="5" t="s">
        <v>1395</v>
      </c>
      <c r="D686" s="5" t="s">
        <v>1393</v>
      </c>
      <c r="E686" s="73">
        <v>1030045</v>
      </c>
      <c r="F686" s="73">
        <v>103004503</v>
      </c>
      <c r="G686" s="73">
        <v>4</v>
      </c>
      <c r="H686" s="5" t="s">
        <v>1398</v>
      </c>
      <c r="I686" s="5"/>
    </row>
    <row r="687" spans="1:9">
      <c r="A687" s="5" t="str">
        <f t="shared" si="14"/>
        <v>103004505</v>
      </c>
      <c r="B687" s="58">
        <v>54000110</v>
      </c>
      <c r="C687" s="5" t="s">
        <v>131</v>
      </c>
      <c r="D687" s="5" t="s">
        <v>1393</v>
      </c>
      <c r="E687" s="73">
        <v>1030045</v>
      </c>
      <c r="F687" s="73">
        <v>103004503</v>
      </c>
      <c r="G687" s="73">
        <v>5</v>
      </c>
      <c r="H687" s="5" t="s">
        <v>1399</v>
      </c>
      <c r="I687" s="5"/>
    </row>
    <row r="688" spans="1:9">
      <c r="A688" s="5" t="str">
        <f t="shared" si="14"/>
        <v>103004506</v>
      </c>
      <c r="B688" s="58">
        <v>51000110</v>
      </c>
      <c r="C688" s="5" t="s">
        <v>89</v>
      </c>
      <c r="D688" s="5" t="s">
        <v>1393</v>
      </c>
      <c r="E688" s="73">
        <v>1030045</v>
      </c>
      <c r="F688" s="73"/>
      <c r="G688" s="73">
        <v>6</v>
      </c>
      <c r="H688" s="5" t="s">
        <v>1400</v>
      </c>
      <c r="I688" s="5"/>
    </row>
    <row r="689" spans="1:9">
      <c r="A689" s="5" t="str">
        <f t="shared" si="14"/>
        <v>103004507</v>
      </c>
      <c r="B689" s="58">
        <v>92000610</v>
      </c>
      <c r="C689" s="5" t="s">
        <v>1395</v>
      </c>
      <c r="D689" s="5" t="s">
        <v>1393</v>
      </c>
      <c r="E689" s="73">
        <v>1030045</v>
      </c>
      <c r="F689" s="73">
        <v>103004506</v>
      </c>
      <c r="G689" s="73">
        <v>7</v>
      </c>
      <c r="H689" s="5" t="s">
        <v>1401</v>
      </c>
      <c r="I689" s="5"/>
    </row>
    <row r="690" spans="1:9">
      <c r="A690" s="5" t="str">
        <f t="shared" si="14"/>
        <v>103004508</v>
      </c>
      <c r="B690" s="58">
        <v>51000110</v>
      </c>
      <c r="C690" s="5" t="s">
        <v>89</v>
      </c>
      <c r="D690" s="5" t="s">
        <v>1393</v>
      </c>
      <c r="E690" s="73">
        <v>1030045</v>
      </c>
      <c r="F690" s="73">
        <v>103004506</v>
      </c>
      <c r="G690" s="73">
        <v>8</v>
      </c>
      <c r="H690" s="5" t="s">
        <v>1402</v>
      </c>
      <c r="I690" s="5"/>
    </row>
    <row r="691" spans="1:9">
      <c r="A691" s="5" t="str">
        <f t="shared" si="14"/>
        <v>104000101</v>
      </c>
      <c r="B691" s="58">
        <v>73000510</v>
      </c>
      <c r="C691" s="5" t="s">
        <v>119</v>
      </c>
      <c r="D691" s="5" t="s">
        <v>1804</v>
      </c>
      <c r="E691" s="73">
        <v>1040001</v>
      </c>
      <c r="F691" s="73"/>
      <c r="G691" s="73">
        <v>1</v>
      </c>
      <c r="H691" s="5" t="s">
        <v>1209</v>
      </c>
      <c r="I691" s="5"/>
    </row>
    <row r="692" spans="1:9">
      <c r="A692" s="5" t="str">
        <f t="shared" si="14"/>
        <v>104000102</v>
      </c>
      <c r="B692" s="58">
        <v>73000110</v>
      </c>
      <c r="C692" s="5" t="s">
        <v>115</v>
      </c>
      <c r="D692" s="5" t="s">
        <v>1804</v>
      </c>
      <c r="E692" s="73">
        <v>1040001</v>
      </c>
      <c r="F692" s="73">
        <v>104000101</v>
      </c>
      <c r="G692" s="73">
        <v>2</v>
      </c>
      <c r="H692" s="5" t="s">
        <v>1210</v>
      </c>
      <c r="I692" s="5"/>
    </row>
    <row r="693" spans="1:9">
      <c r="A693" s="5" t="str">
        <f t="shared" si="14"/>
        <v>104000103</v>
      </c>
      <c r="B693" s="58">
        <v>73000510</v>
      </c>
      <c r="C693" s="5" t="s">
        <v>119</v>
      </c>
      <c r="D693" s="5" t="s">
        <v>1804</v>
      </c>
      <c r="E693" s="73">
        <v>1040001</v>
      </c>
      <c r="F693" s="73">
        <v>104000101</v>
      </c>
      <c r="G693" s="73">
        <v>3</v>
      </c>
      <c r="H693" s="5" t="s">
        <v>1211</v>
      </c>
      <c r="I693" s="5"/>
    </row>
    <row r="694" spans="1:9">
      <c r="A694" s="5" t="str">
        <f t="shared" si="14"/>
        <v>104000104</v>
      </c>
      <c r="B694" s="58">
        <v>94000310</v>
      </c>
      <c r="C694" s="5" t="s">
        <v>128</v>
      </c>
      <c r="D694" s="5" t="s">
        <v>1804</v>
      </c>
      <c r="E694" s="73">
        <v>1040001</v>
      </c>
      <c r="F694" s="73">
        <v>104000101</v>
      </c>
      <c r="G694" s="73">
        <v>4</v>
      </c>
      <c r="H694" s="5" t="s">
        <v>1212</v>
      </c>
      <c r="I694" s="5"/>
    </row>
    <row r="695" spans="1:9">
      <c r="A695" s="5" t="str">
        <f t="shared" si="14"/>
        <v>104000105</v>
      </c>
      <c r="B695" s="58">
        <v>73000510</v>
      </c>
      <c r="C695" s="5" t="s">
        <v>119</v>
      </c>
      <c r="D695" s="5" t="s">
        <v>1804</v>
      </c>
      <c r="E695" s="73">
        <v>1040001</v>
      </c>
      <c r="F695" s="73">
        <v>104000101</v>
      </c>
      <c r="G695" s="73">
        <v>5</v>
      </c>
      <c r="H695" s="5" t="s">
        <v>1213</v>
      </c>
      <c r="I695" s="5"/>
    </row>
    <row r="696" spans="1:9">
      <c r="A696" s="5" t="str">
        <f t="shared" si="14"/>
        <v>104000106</v>
      </c>
      <c r="B696" s="58">
        <v>72000610</v>
      </c>
      <c r="C696" s="5" t="s">
        <v>101</v>
      </c>
      <c r="D696" s="5" t="s">
        <v>1804</v>
      </c>
      <c r="E696" s="73">
        <v>1040001</v>
      </c>
      <c r="F696" s="73"/>
      <c r="G696" s="73">
        <v>6</v>
      </c>
      <c r="H696" s="5" t="s">
        <v>1214</v>
      </c>
      <c r="I696" s="5"/>
    </row>
    <row r="697" spans="1:9">
      <c r="A697" s="5" t="str">
        <f t="shared" ref="A697" si="15">(E697*10)&amp;G697</f>
        <v>104000107</v>
      </c>
      <c r="B697" s="58">
        <v>94000310</v>
      </c>
      <c r="C697" s="5" t="s">
        <v>128</v>
      </c>
      <c r="D697" s="5" t="s">
        <v>1804</v>
      </c>
      <c r="E697" s="73">
        <v>1040001</v>
      </c>
      <c r="F697" s="73">
        <v>104000106</v>
      </c>
      <c r="G697" s="73">
        <v>7</v>
      </c>
      <c r="H697" s="5" t="s">
        <v>1215</v>
      </c>
      <c r="I697" s="5"/>
    </row>
    <row r="698" spans="1:9">
      <c r="A698" s="96" t="str">
        <f t="shared" si="14"/>
        <v>104000108</v>
      </c>
      <c r="B698" s="97">
        <v>72000610</v>
      </c>
      <c r="C698" s="96" t="s">
        <v>2061</v>
      </c>
      <c r="D698" s="96" t="s">
        <v>1804</v>
      </c>
      <c r="E698" s="95">
        <v>1040001</v>
      </c>
      <c r="F698" s="95">
        <v>104000106</v>
      </c>
      <c r="G698" s="95">
        <v>8</v>
      </c>
      <c r="H698" s="96" t="s">
        <v>2065</v>
      </c>
      <c r="I698" s="96"/>
    </row>
    <row r="699" spans="1:9">
      <c r="A699" s="96" t="str">
        <f t="shared" si="14"/>
        <v>104000109</v>
      </c>
      <c r="B699" s="58">
        <v>34000110</v>
      </c>
      <c r="C699" s="5" t="s">
        <v>132</v>
      </c>
      <c r="D699" s="5" t="s">
        <v>1804</v>
      </c>
      <c r="E699" s="73">
        <v>1040001</v>
      </c>
      <c r="F699" s="73"/>
      <c r="G699" s="95">
        <v>9</v>
      </c>
      <c r="H699" s="5" t="s">
        <v>1216</v>
      </c>
      <c r="I699" s="5"/>
    </row>
    <row r="700" spans="1:9">
      <c r="A700" s="96" t="str">
        <f t="shared" si="14"/>
        <v>1040001010</v>
      </c>
      <c r="B700" s="58">
        <v>94000310</v>
      </c>
      <c r="C700" s="5" t="s">
        <v>128</v>
      </c>
      <c r="D700" s="5" t="s">
        <v>1804</v>
      </c>
      <c r="E700" s="73">
        <v>1040001</v>
      </c>
      <c r="F700" s="95">
        <v>104000109</v>
      </c>
      <c r="G700" s="95">
        <v>10</v>
      </c>
      <c r="H700" s="5" t="s">
        <v>1217</v>
      </c>
      <c r="I700" s="5"/>
    </row>
    <row r="701" spans="1:9">
      <c r="A701" s="5" t="str">
        <f t="shared" si="14"/>
        <v>104000201</v>
      </c>
      <c r="B701" s="58">
        <v>92000310</v>
      </c>
      <c r="C701" s="5" t="s">
        <v>93</v>
      </c>
      <c r="D701" s="5" t="s">
        <v>1805</v>
      </c>
      <c r="E701" s="73">
        <v>1040002</v>
      </c>
      <c r="F701" s="73"/>
      <c r="G701" s="73">
        <v>1</v>
      </c>
      <c r="H701" s="5" t="s">
        <v>1218</v>
      </c>
      <c r="I701" s="5"/>
    </row>
    <row r="702" spans="1:9">
      <c r="A702" s="5" t="str">
        <f t="shared" si="14"/>
        <v>104000202</v>
      </c>
      <c r="B702" s="58">
        <v>94000110</v>
      </c>
      <c r="C702" s="5" t="s">
        <v>126</v>
      </c>
      <c r="D702" s="5" t="s">
        <v>1805</v>
      </c>
      <c r="E702" s="73">
        <v>1040002</v>
      </c>
      <c r="F702" s="73">
        <v>104000201</v>
      </c>
      <c r="G702" s="73">
        <v>2</v>
      </c>
      <c r="H702" s="5" t="s">
        <v>1219</v>
      </c>
      <c r="I702" s="5"/>
    </row>
    <row r="703" spans="1:9">
      <c r="A703" s="5" t="str">
        <f t="shared" si="14"/>
        <v>104000203</v>
      </c>
      <c r="B703" s="58">
        <v>74000110</v>
      </c>
      <c r="C703" s="5" t="s">
        <v>129</v>
      </c>
      <c r="D703" s="5" t="s">
        <v>1805</v>
      </c>
      <c r="E703" s="73">
        <v>1040002</v>
      </c>
      <c r="F703" s="73">
        <v>104000201</v>
      </c>
      <c r="G703" s="73">
        <v>3</v>
      </c>
      <c r="H703" s="5" t="s">
        <v>1220</v>
      </c>
      <c r="I703" s="5"/>
    </row>
    <row r="704" spans="1:9">
      <c r="A704" s="5" t="str">
        <f t="shared" si="14"/>
        <v>104000204</v>
      </c>
      <c r="B704" s="58">
        <v>94000110</v>
      </c>
      <c r="C704" s="5" t="s">
        <v>126</v>
      </c>
      <c r="D704" s="5" t="s">
        <v>1805</v>
      </c>
      <c r="E704" s="73">
        <v>1040002</v>
      </c>
      <c r="F704" s="73">
        <v>104000201</v>
      </c>
      <c r="G704" s="73">
        <v>4</v>
      </c>
      <c r="H704" s="5" t="s">
        <v>1221</v>
      </c>
      <c r="I704" s="5"/>
    </row>
    <row r="705" spans="1:9">
      <c r="A705" s="5" t="str">
        <f t="shared" si="14"/>
        <v>104000205</v>
      </c>
      <c r="B705" s="58">
        <v>74000110</v>
      </c>
      <c r="C705" s="5" t="s">
        <v>129</v>
      </c>
      <c r="D705" s="5" t="s">
        <v>1805</v>
      </c>
      <c r="E705" s="73">
        <v>1040002</v>
      </c>
      <c r="F705" s="73">
        <v>104000201</v>
      </c>
      <c r="G705" s="73">
        <v>5</v>
      </c>
      <c r="H705" s="5" t="s">
        <v>1222</v>
      </c>
      <c r="I705" s="5"/>
    </row>
    <row r="706" spans="1:9">
      <c r="A706" s="5" t="str">
        <f t="shared" si="14"/>
        <v>104000206</v>
      </c>
      <c r="B706" s="58">
        <v>74000110</v>
      </c>
      <c r="C706" s="5" t="s">
        <v>129</v>
      </c>
      <c r="D706" s="5" t="s">
        <v>1805</v>
      </c>
      <c r="E706" s="73">
        <v>1040002</v>
      </c>
      <c r="F706" s="73">
        <v>104000201</v>
      </c>
      <c r="G706" s="73">
        <v>6</v>
      </c>
      <c r="H706" s="5" t="s">
        <v>1223</v>
      </c>
      <c r="I706" s="5"/>
    </row>
    <row r="707" spans="1:9">
      <c r="A707" s="5" t="str">
        <f t="shared" si="14"/>
        <v>104000207</v>
      </c>
      <c r="B707" s="58">
        <v>94000110</v>
      </c>
      <c r="C707" s="5" t="s">
        <v>126</v>
      </c>
      <c r="D707" s="5" t="s">
        <v>1805</v>
      </c>
      <c r="E707" s="73">
        <v>1040002</v>
      </c>
      <c r="F707" s="73">
        <v>104000201</v>
      </c>
      <c r="G707" s="73">
        <v>7</v>
      </c>
      <c r="H707" s="5" t="s">
        <v>1224</v>
      </c>
      <c r="I707" s="5"/>
    </row>
    <row r="708" spans="1:9">
      <c r="A708" s="5" t="str">
        <f t="shared" si="14"/>
        <v>104000208</v>
      </c>
      <c r="B708" s="58">
        <v>74000110</v>
      </c>
      <c r="C708" s="5" t="s">
        <v>129</v>
      </c>
      <c r="D708" s="5" t="s">
        <v>1805</v>
      </c>
      <c r="E708" s="73">
        <v>1040002</v>
      </c>
      <c r="F708" s="73">
        <v>104000201</v>
      </c>
      <c r="G708" s="73">
        <v>8</v>
      </c>
      <c r="H708" s="5" t="s">
        <v>1225</v>
      </c>
      <c r="I708" s="5"/>
    </row>
    <row r="709" spans="1:9">
      <c r="A709" s="5" t="str">
        <f t="shared" si="14"/>
        <v>104000209</v>
      </c>
      <c r="B709" s="58">
        <v>33000210</v>
      </c>
      <c r="C709" s="5" t="s">
        <v>125</v>
      </c>
      <c r="D709" s="5" t="s">
        <v>1805</v>
      </c>
      <c r="E709" s="73">
        <v>1040002</v>
      </c>
      <c r="F709" s="73"/>
      <c r="G709" s="73">
        <v>9</v>
      </c>
      <c r="H709" s="5" t="s">
        <v>1226</v>
      </c>
      <c r="I709" s="5"/>
    </row>
    <row r="710" spans="1:9">
      <c r="A710" s="5" t="str">
        <f t="shared" si="14"/>
        <v>1040002010</v>
      </c>
      <c r="B710" s="58">
        <v>94000110</v>
      </c>
      <c r="C710" s="5" t="s">
        <v>126</v>
      </c>
      <c r="D710" s="5" t="s">
        <v>1805</v>
      </c>
      <c r="E710" s="73">
        <v>1040002</v>
      </c>
      <c r="F710" s="73">
        <v>104000209</v>
      </c>
      <c r="G710" s="73">
        <v>10</v>
      </c>
      <c r="H710" s="5" t="s">
        <v>1227</v>
      </c>
      <c r="I710" s="5"/>
    </row>
    <row r="711" spans="1:9">
      <c r="A711" s="5" t="str">
        <f t="shared" si="14"/>
        <v>1040002011</v>
      </c>
      <c r="B711" s="58">
        <v>33000210</v>
      </c>
      <c r="C711" s="5" t="s">
        <v>125</v>
      </c>
      <c r="D711" s="5" t="s">
        <v>1805</v>
      </c>
      <c r="E711" s="73">
        <v>1040002</v>
      </c>
      <c r="F711" s="73">
        <v>104000209</v>
      </c>
      <c r="G711" s="73">
        <v>11</v>
      </c>
      <c r="H711" s="5" t="s">
        <v>1228</v>
      </c>
      <c r="I711" s="5"/>
    </row>
    <row r="712" spans="1:9">
      <c r="A712" s="5" t="str">
        <f t="shared" si="14"/>
        <v>104000301</v>
      </c>
      <c r="B712" s="58">
        <v>93000310</v>
      </c>
      <c r="C712" s="5" t="s">
        <v>112</v>
      </c>
      <c r="D712" s="5" t="s">
        <v>1806</v>
      </c>
      <c r="E712" s="73">
        <v>1040003</v>
      </c>
      <c r="F712" s="73"/>
      <c r="G712" s="73">
        <v>1</v>
      </c>
      <c r="H712" s="5" t="s">
        <v>1229</v>
      </c>
      <c r="I712" s="5"/>
    </row>
    <row r="713" spans="1:9">
      <c r="A713" s="5" t="str">
        <f t="shared" si="14"/>
        <v>104000302</v>
      </c>
      <c r="B713" s="58">
        <v>33000110</v>
      </c>
      <c r="C713" s="5" t="s">
        <v>124</v>
      </c>
      <c r="D713" s="5" t="s">
        <v>1806</v>
      </c>
      <c r="E713" s="73">
        <v>1040003</v>
      </c>
      <c r="F713" s="73">
        <v>104000301</v>
      </c>
      <c r="G713" s="73">
        <v>2</v>
      </c>
      <c r="H713" s="5" t="s">
        <v>1230</v>
      </c>
      <c r="I713" s="5"/>
    </row>
    <row r="714" spans="1:9">
      <c r="A714" s="5" t="str">
        <f t="shared" si="14"/>
        <v>104000303</v>
      </c>
      <c r="B714" s="58">
        <v>93000310</v>
      </c>
      <c r="C714" s="5" t="s">
        <v>112</v>
      </c>
      <c r="D714" s="5" t="s">
        <v>1806</v>
      </c>
      <c r="E714" s="73">
        <v>1040003</v>
      </c>
      <c r="F714" s="73">
        <v>104000301</v>
      </c>
      <c r="G714" s="73">
        <v>3</v>
      </c>
      <c r="H714" s="5" t="s">
        <v>1231</v>
      </c>
      <c r="I714" s="5"/>
    </row>
    <row r="715" spans="1:9">
      <c r="A715" s="5" t="str">
        <f t="shared" si="14"/>
        <v>104000304</v>
      </c>
      <c r="B715" s="58">
        <v>54000110</v>
      </c>
      <c r="C715" s="5" t="s">
        <v>131</v>
      </c>
      <c r="D715" s="5" t="s">
        <v>1806</v>
      </c>
      <c r="E715" s="73">
        <v>1040003</v>
      </c>
      <c r="F715" s="73"/>
      <c r="G715" s="73">
        <v>4</v>
      </c>
      <c r="H715" s="5" t="s">
        <v>1232</v>
      </c>
      <c r="I715" s="5"/>
    </row>
    <row r="716" spans="1:9">
      <c r="A716" s="5" t="str">
        <f t="shared" ref="A716" si="16">(E716*10)&amp;G716</f>
        <v>104000305</v>
      </c>
      <c r="B716" s="58">
        <v>53000410</v>
      </c>
      <c r="C716" s="5" t="s">
        <v>123</v>
      </c>
      <c r="D716" s="5" t="s">
        <v>1806</v>
      </c>
      <c r="E716" s="73">
        <v>1040003</v>
      </c>
      <c r="F716" s="73">
        <v>104000304</v>
      </c>
      <c r="G716" s="73">
        <v>5</v>
      </c>
      <c r="H716" s="5" t="s">
        <v>1233</v>
      </c>
      <c r="I716" s="5"/>
    </row>
    <row r="717" spans="1:9">
      <c r="A717" s="96" t="str">
        <f t="shared" ref="A717" si="17">(E717*10)&amp;G717</f>
        <v>104000306</v>
      </c>
      <c r="B717" s="97">
        <v>54000110</v>
      </c>
      <c r="C717" s="96" t="s">
        <v>2049</v>
      </c>
      <c r="D717" s="96" t="s">
        <v>1806</v>
      </c>
      <c r="E717" s="95">
        <v>1040003</v>
      </c>
      <c r="F717" s="95">
        <v>104000304</v>
      </c>
      <c r="G717" s="95">
        <v>6</v>
      </c>
      <c r="H717" s="96" t="s">
        <v>2066</v>
      </c>
      <c r="I717" s="96"/>
    </row>
    <row r="718" spans="1:9">
      <c r="A718" s="96" t="str">
        <f t="shared" ref="A718:A781" si="18">(E718*10)&amp;G718</f>
        <v>104000307</v>
      </c>
      <c r="B718" s="97">
        <v>93000310</v>
      </c>
      <c r="C718" s="96" t="s">
        <v>2048</v>
      </c>
      <c r="D718" s="96" t="s">
        <v>1806</v>
      </c>
      <c r="E718" s="95">
        <v>1040003</v>
      </c>
      <c r="F718" s="95">
        <v>104000304</v>
      </c>
      <c r="G718" s="95">
        <v>7</v>
      </c>
      <c r="H718" s="96" t="s">
        <v>2067</v>
      </c>
      <c r="I718" s="96"/>
    </row>
    <row r="719" spans="1:9">
      <c r="A719" s="96" t="str">
        <f t="shared" si="18"/>
        <v>104000308</v>
      </c>
      <c r="B719" s="58">
        <v>52000310</v>
      </c>
      <c r="C719" s="5" t="s">
        <v>105</v>
      </c>
      <c r="D719" s="5" t="s">
        <v>1806</v>
      </c>
      <c r="E719" s="73">
        <v>1040003</v>
      </c>
      <c r="F719" s="73"/>
      <c r="G719" s="95">
        <v>8</v>
      </c>
      <c r="H719" s="5" t="s">
        <v>1234</v>
      </c>
      <c r="I719" s="5"/>
    </row>
    <row r="720" spans="1:9">
      <c r="A720" s="96" t="str">
        <f t="shared" si="18"/>
        <v>104000309</v>
      </c>
      <c r="B720" s="58">
        <v>53000110</v>
      </c>
      <c r="C720" s="5" t="s">
        <v>120</v>
      </c>
      <c r="D720" s="5" t="s">
        <v>1806</v>
      </c>
      <c r="E720" s="73">
        <v>1040003</v>
      </c>
      <c r="F720" s="95">
        <v>104000308</v>
      </c>
      <c r="G720" s="95">
        <v>9</v>
      </c>
      <c r="H720" s="5" t="s">
        <v>1235</v>
      </c>
      <c r="I720" s="5"/>
    </row>
    <row r="721" spans="1:9">
      <c r="A721" s="96" t="str">
        <f t="shared" si="18"/>
        <v>1040003010</v>
      </c>
      <c r="B721" s="58">
        <v>51000210</v>
      </c>
      <c r="C721" s="5" t="s">
        <v>90</v>
      </c>
      <c r="D721" s="5" t="s">
        <v>1806</v>
      </c>
      <c r="E721" s="73">
        <v>1040003</v>
      </c>
      <c r="F721" s="95">
        <v>104000308</v>
      </c>
      <c r="G721" s="95">
        <v>10</v>
      </c>
      <c r="H721" s="5" t="s">
        <v>1236</v>
      </c>
      <c r="I721" s="5"/>
    </row>
    <row r="722" spans="1:9">
      <c r="A722" s="96" t="str">
        <f t="shared" si="18"/>
        <v>1040003011</v>
      </c>
      <c r="B722" s="58">
        <v>33000110</v>
      </c>
      <c r="C722" s="5" t="s">
        <v>124</v>
      </c>
      <c r="D722" s="5" t="s">
        <v>1806</v>
      </c>
      <c r="E722" s="73">
        <v>1040003</v>
      </c>
      <c r="F722" s="95">
        <v>104000308</v>
      </c>
      <c r="G722" s="95">
        <v>11</v>
      </c>
      <c r="H722" s="5" t="s">
        <v>1237</v>
      </c>
      <c r="I722" s="5"/>
    </row>
    <row r="723" spans="1:9">
      <c r="A723" s="5" t="str">
        <f t="shared" si="18"/>
        <v>104000401</v>
      </c>
      <c r="B723" s="58">
        <v>92000310</v>
      </c>
      <c r="C723" s="5" t="s">
        <v>93</v>
      </c>
      <c r="D723" s="5" t="s">
        <v>1807</v>
      </c>
      <c r="E723" s="73">
        <v>1040004</v>
      </c>
      <c r="F723" s="73"/>
      <c r="G723" s="73">
        <v>1</v>
      </c>
      <c r="H723" s="58" t="s">
        <v>1403</v>
      </c>
      <c r="I723" s="58"/>
    </row>
    <row r="724" spans="1:9">
      <c r="A724" s="5" t="str">
        <f t="shared" si="18"/>
        <v>104000402</v>
      </c>
      <c r="B724" s="58">
        <v>52000510</v>
      </c>
      <c r="C724" s="5" t="s">
        <v>107</v>
      </c>
      <c r="D724" s="5" t="s">
        <v>1807</v>
      </c>
      <c r="E724" s="73">
        <v>1040004</v>
      </c>
      <c r="F724" s="73">
        <v>104000401</v>
      </c>
      <c r="G724" s="73">
        <v>2</v>
      </c>
      <c r="H724" s="58" t="s">
        <v>1404</v>
      </c>
      <c r="I724" s="58"/>
    </row>
    <row r="725" spans="1:9">
      <c r="A725" s="5" t="str">
        <f t="shared" si="18"/>
        <v>104000403</v>
      </c>
      <c r="B725" s="58">
        <v>92000310</v>
      </c>
      <c r="C725" s="5" t="s">
        <v>93</v>
      </c>
      <c r="D725" s="5" t="s">
        <v>1807</v>
      </c>
      <c r="E725" s="73">
        <v>1040004</v>
      </c>
      <c r="F725" s="73">
        <v>104000401</v>
      </c>
      <c r="G725" s="73">
        <v>3</v>
      </c>
      <c r="H725" s="58" t="s">
        <v>1405</v>
      </c>
      <c r="I725" s="58"/>
    </row>
    <row r="726" spans="1:9">
      <c r="A726" s="5" t="str">
        <f t="shared" si="18"/>
        <v>104000404</v>
      </c>
      <c r="B726" s="58">
        <v>52000510</v>
      </c>
      <c r="C726" s="5" t="s">
        <v>107</v>
      </c>
      <c r="D726" s="5" t="s">
        <v>1807</v>
      </c>
      <c r="E726" s="73">
        <v>1040004</v>
      </c>
      <c r="F726" s="73">
        <v>104000401</v>
      </c>
      <c r="G726" s="73">
        <v>4</v>
      </c>
      <c r="H726" s="58" t="s">
        <v>1406</v>
      </c>
      <c r="I726" s="58"/>
    </row>
    <row r="727" spans="1:9">
      <c r="A727" s="5" t="str">
        <f t="shared" si="18"/>
        <v>104000405</v>
      </c>
      <c r="B727" s="58">
        <v>94000110</v>
      </c>
      <c r="C727" s="5" t="s">
        <v>126</v>
      </c>
      <c r="D727" s="5" t="s">
        <v>1807</v>
      </c>
      <c r="E727" s="73">
        <v>1040004</v>
      </c>
      <c r="F727" s="73">
        <v>104000401</v>
      </c>
      <c r="G727" s="73">
        <v>5</v>
      </c>
      <c r="H727" s="58" t="s">
        <v>1407</v>
      </c>
      <c r="I727" s="58"/>
    </row>
    <row r="728" spans="1:9">
      <c r="A728" s="5" t="str">
        <f t="shared" si="18"/>
        <v>104000406</v>
      </c>
      <c r="B728" s="58">
        <v>32000110</v>
      </c>
      <c r="C728" s="5" t="s">
        <v>108</v>
      </c>
      <c r="D728" s="5" t="s">
        <v>1807</v>
      </c>
      <c r="E728" s="73">
        <v>1040004</v>
      </c>
      <c r="F728" s="73"/>
      <c r="G728" s="73">
        <v>6</v>
      </c>
      <c r="H728" s="58" t="s">
        <v>1408</v>
      </c>
      <c r="I728" s="58"/>
    </row>
    <row r="729" spans="1:9">
      <c r="A729" s="5" t="str">
        <f t="shared" si="18"/>
        <v>104000407</v>
      </c>
      <c r="B729" s="58">
        <v>94000110</v>
      </c>
      <c r="C729" s="5" t="s">
        <v>126</v>
      </c>
      <c r="D729" s="5" t="s">
        <v>1807</v>
      </c>
      <c r="E729" s="73">
        <v>1040004</v>
      </c>
      <c r="F729" s="73">
        <v>104000406</v>
      </c>
      <c r="G729" s="73">
        <v>7</v>
      </c>
      <c r="H729" s="58" t="s">
        <v>1409</v>
      </c>
      <c r="I729" s="58"/>
    </row>
    <row r="730" spans="1:9">
      <c r="A730" s="5" t="str">
        <f t="shared" si="18"/>
        <v>104000408</v>
      </c>
      <c r="B730" s="58">
        <v>33000210</v>
      </c>
      <c r="C730" s="5" t="s">
        <v>125</v>
      </c>
      <c r="D730" s="5" t="s">
        <v>1807</v>
      </c>
      <c r="E730" s="73">
        <v>1040004</v>
      </c>
      <c r="F730" s="73"/>
      <c r="G730" s="73">
        <v>8</v>
      </c>
      <c r="H730" s="58" t="s">
        <v>1410</v>
      </c>
      <c r="I730" s="58"/>
    </row>
    <row r="731" spans="1:9">
      <c r="A731" s="5" t="str">
        <f t="shared" si="18"/>
        <v>104000409</v>
      </c>
      <c r="B731" s="58">
        <v>33000110</v>
      </c>
      <c r="C731" s="5" t="s">
        <v>124</v>
      </c>
      <c r="D731" s="5" t="s">
        <v>1807</v>
      </c>
      <c r="E731" s="73">
        <v>1040004</v>
      </c>
      <c r="F731" s="73">
        <v>104000408</v>
      </c>
      <c r="G731" s="73">
        <v>9</v>
      </c>
      <c r="H731" s="58" t="s">
        <v>1411</v>
      </c>
      <c r="I731" s="58"/>
    </row>
    <row r="732" spans="1:9">
      <c r="A732" s="5" t="str">
        <f t="shared" si="18"/>
        <v>1040004010</v>
      </c>
      <c r="B732" s="58">
        <v>94000110</v>
      </c>
      <c r="C732" s="5" t="s">
        <v>126</v>
      </c>
      <c r="D732" s="5" t="s">
        <v>1807</v>
      </c>
      <c r="E732" s="73">
        <v>1040004</v>
      </c>
      <c r="F732" s="73">
        <v>104000408</v>
      </c>
      <c r="G732" s="73">
        <v>10</v>
      </c>
      <c r="H732" s="58" t="s">
        <v>1412</v>
      </c>
      <c r="I732" s="58"/>
    </row>
    <row r="733" spans="1:9">
      <c r="A733" s="5" t="str">
        <f t="shared" si="18"/>
        <v>104000501</v>
      </c>
      <c r="B733" s="58">
        <v>94000310</v>
      </c>
      <c r="C733" s="5" t="s">
        <v>128</v>
      </c>
      <c r="D733" s="5" t="s">
        <v>1808</v>
      </c>
      <c r="E733" s="73">
        <v>1040005</v>
      </c>
      <c r="F733" s="73"/>
      <c r="G733" s="73">
        <v>1</v>
      </c>
      <c r="H733" s="58" t="s">
        <v>1389</v>
      </c>
      <c r="I733" s="58"/>
    </row>
    <row r="734" spans="1:9">
      <c r="A734" s="5" t="str">
        <f t="shared" si="18"/>
        <v>104000502</v>
      </c>
      <c r="B734" s="58">
        <v>93000110</v>
      </c>
      <c r="C734" s="5" t="s">
        <v>110</v>
      </c>
      <c r="D734" s="5" t="s">
        <v>1808</v>
      </c>
      <c r="E734" s="73">
        <v>1040005</v>
      </c>
      <c r="F734" s="73">
        <v>104000501</v>
      </c>
      <c r="G734" s="73">
        <v>2</v>
      </c>
      <c r="H734" s="58" t="s">
        <v>1390</v>
      </c>
      <c r="I734" s="58"/>
    </row>
    <row r="735" spans="1:9">
      <c r="A735" s="5" t="str">
        <f t="shared" si="18"/>
        <v>104000503</v>
      </c>
      <c r="B735" s="58">
        <v>94000310</v>
      </c>
      <c r="C735" s="5" t="s">
        <v>128</v>
      </c>
      <c r="D735" s="5" t="s">
        <v>1808</v>
      </c>
      <c r="E735" s="73">
        <v>1040005</v>
      </c>
      <c r="F735" s="73">
        <v>104000501</v>
      </c>
      <c r="G735" s="73">
        <v>3</v>
      </c>
      <c r="H735" s="58" t="s">
        <v>1384</v>
      </c>
      <c r="I735" s="58"/>
    </row>
    <row r="736" spans="1:9">
      <c r="A736" s="5" t="str">
        <f t="shared" si="18"/>
        <v>104000504</v>
      </c>
      <c r="B736" s="58">
        <v>93000110</v>
      </c>
      <c r="C736" s="5" t="s">
        <v>110</v>
      </c>
      <c r="D736" s="5" t="s">
        <v>1808</v>
      </c>
      <c r="E736" s="73">
        <v>1040005</v>
      </c>
      <c r="F736" s="73">
        <v>104000501</v>
      </c>
      <c r="G736" s="73">
        <v>4</v>
      </c>
      <c r="H736" s="58" t="s">
        <v>1385</v>
      </c>
      <c r="I736" s="58"/>
    </row>
    <row r="737" spans="1:9">
      <c r="A737" s="5" t="str">
        <f t="shared" si="18"/>
        <v>104000505</v>
      </c>
      <c r="B737" s="58">
        <v>94000310</v>
      </c>
      <c r="C737" s="5" t="s">
        <v>128</v>
      </c>
      <c r="D737" s="5" t="s">
        <v>1808</v>
      </c>
      <c r="E737" s="73">
        <v>1040005</v>
      </c>
      <c r="F737" s="73">
        <v>104000501</v>
      </c>
      <c r="G737" s="73">
        <v>5</v>
      </c>
      <c r="H737" s="58" t="s">
        <v>1386</v>
      </c>
      <c r="I737" s="58"/>
    </row>
    <row r="738" spans="1:9">
      <c r="A738" s="5" t="str">
        <f t="shared" si="18"/>
        <v>104000506</v>
      </c>
      <c r="B738" s="104">
        <v>93000110</v>
      </c>
      <c r="C738" s="105" t="s">
        <v>2068</v>
      </c>
      <c r="D738" s="99" t="s">
        <v>1808</v>
      </c>
      <c r="E738" s="103">
        <v>1040005</v>
      </c>
      <c r="F738" s="103">
        <v>104000501</v>
      </c>
      <c r="G738" s="103">
        <v>6</v>
      </c>
      <c r="H738" s="98" t="s">
        <v>1413</v>
      </c>
      <c r="I738" s="98"/>
    </row>
    <row r="739" spans="1:9">
      <c r="A739" s="5" t="str">
        <f t="shared" si="18"/>
        <v>104000601</v>
      </c>
      <c r="B739" s="58">
        <v>53000410</v>
      </c>
      <c r="C739" s="5" t="s">
        <v>123</v>
      </c>
      <c r="D739" s="5" t="s">
        <v>2072</v>
      </c>
      <c r="E739" s="73">
        <v>1040006</v>
      </c>
      <c r="F739" s="73"/>
      <c r="G739" s="73">
        <v>1</v>
      </c>
      <c r="H739" s="58" t="s">
        <v>1391</v>
      </c>
      <c r="I739" s="58"/>
    </row>
    <row r="740" spans="1:9">
      <c r="A740" s="5" t="str">
        <f t="shared" si="18"/>
        <v>104000602</v>
      </c>
      <c r="B740" s="58">
        <v>54000110</v>
      </c>
      <c r="C740" s="5" t="s">
        <v>131</v>
      </c>
      <c r="D740" s="5" t="s">
        <v>2072</v>
      </c>
      <c r="E740" s="73">
        <v>1040006</v>
      </c>
      <c r="F740" s="73">
        <v>104000601</v>
      </c>
      <c r="G740" s="73">
        <v>2</v>
      </c>
      <c r="H740" s="58" t="s">
        <v>1392</v>
      </c>
      <c r="I740" s="58"/>
    </row>
    <row r="741" spans="1:9">
      <c r="A741" s="5" t="str">
        <f t="shared" si="18"/>
        <v>104000603</v>
      </c>
      <c r="B741" s="58">
        <v>93000310</v>
      </c>
      <c r="C741" s="5" t="s">
        <v>112</v>
      </c>
      <c r="D741" s="5" t="s">
        <v>2072</v>
      </c>
      <c r="E741" s="73">
        <v>1040006</v>
      </c>
      <c r="F741" s="73">
        <v>104000601</v>
      </c>
      <c r="G741" s="73">
        <v>3</v>
      </c>
      <c r="H741" s="58" t="s">
        <v>1387</v>
      </c>
      <c r="I741" s="58"/>
    </row>
    <row r="742" spans="1:9">
      <c r="A742" s="5" t="str">
        <f t="shared" ref="A742" si="19">(E742*10)&amp;G742</f>
        <v>104000604</v>
      </c>
      <c r="B742" s="97">
        <v>53000410</v>
      </c>
      <c r="C742" s="96" t="s">
        <v>2027</v>
      </c>
      <c r="D742" s="5" t="s">
        <v>1809</v>
      </c>
      <c r="E742" s="73">
        <v>1040006</v>
      </c>
      <c r="F742" s="73">
        <v>104000601</v>
      </c>
      <c r="G742" s="73">
        <v>4</v>
      </c>
      <c r="H742" s="58" t="s">
        <v>1388</v>
      </c>
      <c r="I742" s="58"/>
    </row>
    <row r="743" spans="1:9">
      <c r="A743" s="5" t="str">
        <f t="shared" si="18"/>
        <v>104000605</v>
      </c>
      <c r="B743" s="97">
        <v>93000310</v>
      </c>
      <c r="C743" s="96" t="s">
        <v>2048</v>
      </c>
      <c r="D743" s="5" t="s">
        <v>1809</v>
      </c>
      <c r="E743" s="73">
        <v>1040006</v>
      </c>
      <c r="F743" s="95">
        <v>104000601</v>
      </c>
      <c r="G743" s="95">
        <v>5</v>
      </c>
      <c r="H743" s="97" t="s">
        <v>2069</v>
      </c>
      <c r="I743" s="97"/>
    </row>
    <row r="744" spans="1:9">
      <c r="A744" s="5" t="str">
        <f t="shared" si="18"/>
        <v>104000606</v>
      </c>
      <c r="B744" s="58">
        <v>33000110</v>
      </c>
      <c r="C744" s="5" t="s">
        <v>124</v>
      </c>
      <c r="D744" s="5" t="s">
        <v>1809</v>
      </c>
      <c r="E744" s="73">
        <v>1040006</v>
      </c>
      <c r="F744" s="73"/>
      <c r="G744" s="95">
        <v>6</v>
      </c>
      <c r="H744" s="58" t="s">
        <v>1414</v>
      </c>
      <c r="I744" s="58"/>
    </row>
    <row r="745" spans="1:9">
      <c r="A745" s="5" t="str">
        <f t="shared" ref="A745" si="20">(E745*10)&amp;G745</f>
        <v>104000607</v>
      </c>
      <c r="B745" s="58">
        <v>52000310</v>
      </c>
      <c r="C745" s="5" t="s">
        <v>105</v>
      </c>
      <c r="D745" s="5" t="s">
        <v>1809</v>
      </c>
      <c r="E745" s="73">
        <v>1040006</v>
      </c>
      <c r="F745" s="95">
        <v>104000606</v>
      </c>
      <c r="G745" s="95">
        <v>7</v>
      </c>
      <c r="H745" s="58" t="s">
        <v>1415</v>
      </c>
      <c r="I745" s="58"/>
    </row>
    <row r="746" spans="1:9">
      <c r="A746" s="5" t="str">
        <f t="shared" si="18"/>
        <v>104000608</v>
      </c>
      <c r="B746" s="97">
        <v>33000210</v>
      </c>
      <c r="C746" s="96" t="s">
        <v>2070</v>
      </c>
      <c r="D746" s="5" t="s">
        <v>1809</v>
      </c>
      <c r="E746" s="73">
        <v>1040006</v>
      </c>
      <c r="F746" s="95">
        <v>104000606</v>
      </c>
      <c r="G746" s="95">
        <v>8</v>
      </c>
      <c r="H746" s="97" t="s">
        <v>2071</v>
      </c>
      <c r="I746" s="97"/>
    </row>
    <row r="747" spans="1:9">
      <c r="A747" s="5" t="str">
        <f t="shared" si="18"/>
        <v>104000609</v>
      </c>
      <c r="B747" s="58">
        <v>92000510</v>
      </c>
      <c r="C747" s="5" t="s">
        <v>95</v>
      </c>
      <c r="D747" s="5" t="s">
        <v>1809</v>
      </c>
      <c r="E747" s="73">
        <v>1040006</v>
      </c>
      <c r="F747" s="73"/>
      <c r="G747" s="95">
        <v>9</v>
      </c>
      <c r="H747" s="58" t="s">
        <v>1416</v>
      </c>
      <c r="I747" s="58"/>
    </row>
    <row r="748" spans="1:9">
      <c r="A748" s="5" t="str">
        <f t="shared" si="18"/>
        <v>1040006010</v>
      </c>
      <c r="B748" s="97">
        <v>93000310</v>
      </c>
      <c r="C748" s="96" t="s">
        <v>2048</v>
      </c>
      <c r="D748" s="5" t="s">
        <v>1809</v>
      </c>
      <c r="E748" s="73">
        <v>1040006</v>
      </c>
      <c r="F748" s="95">
        <v>104000609</v>
      </c>
      <c r="G748" s="95">
        <v>10</v>
      </c>
      <c r="H748" s="58" t="s">
        <v>1417</v>
      </c>
      <c r="I748" s="58"/>
    </row>
    <row r="749" spans="1:9">
      <c r="A749" s="5" t="str">
        <f t="shared" si="18"/>
        <v>105000101</v>
      </c>
      <c r="B749" s="100">
        <v>71000110</v>
      </c>
      <c r="C749" s="101" t="s">
        <v>86</v>
      </c>
      <c r="D749" s="101" t="s">
        <v>1615</v>
      </c>
      <c r="E749" s="102" t="s">
        <v>1616</v>
      </c>
      <c r="F749" s="102"/>
      <c r="G749" s="102">
        <v>1</v>
      </c>
      <c r="H749" s="100" t="s">
        <v>1617</v>
      </c>
      <c r="I749" s="100"/>
    </row>
    <row r="750" spans="1:9">
      <c r="A750" s="5" t="str">
        <f t="shared" si="18"/>
        <v>105000102</v>
      </c>
      <c r="B750" s="58">
        <v>93000510</v>
      </c>
      <c r="C750" s="5" t="s">
        <v>114</v>
      </c>
      <c r="D750" s="5" t="s">
        <v>1615</v>
      </c>
      <c r="E750" s="73" t="s">
        <v>1616</v>
      </c>
      <c r="F750" s="73"/>
      <c r="G750" s="73">
        <v>2</v>
      </c>
      <c r="H750" s="58" t="s">
        <v>1618</v>
      </c>
      <c r="I750" s="58"/>
    </row>
    <row r="751" spans="1:9">
      <c r="A751" s="5" t="str">
        <f t="shared" si="18"/>
        <v>105000103</v>
      </c>
      <c r="B751" s="58">
        <v>10000210</v>
      </c>
      <c r="C751" s="5" t="s">
        <v>1620</v>
      </c>
      <c r="D751" s="5" t="s">
        <v>1615</v>
      </c>
      <c r="E751" s="73" t="s">
        <v>1616</v>
      </c>
      <c r="F751" s="73"/>
      <c r="G751" s="73">
        <v>3</v>
      </c>
      <c r="H751" s="58" t="s">
        <v>1621</v>
      </c>
      <c r="I751" s="58"/>
    </row>
    <row r="752" spans="1:9">
      <c r="A752" s="5" t="str">
        <f t="shared" si="18"/>
        <v>105000104</v>
      </c>
      <c r="B752" s="58">
        <v>10000310</v>
      </c>
      <c r="C752" s="5" t="s">
        <v>1622</v>
      </c>
      <c r="D752" s="5" t="s">
        <v>1615</v>
      </c>
      <c r="E752" s="73" t="s">
        <v>1616</v>
      </c>
      <c r="F752" s="73" t="s">
        <v>1619</v>
      </c>
      <c r="G752" s="73">
        <v>4</v>
      </c>
      <c r="H752" s="58" t="s">
        <v>1623</v>
      </c>
      <c r="I752" s="58"/>
    </row>
    <row r="753" spans="1:9">
      <c r="A753" s="5" t="str">
        <f t="shared" si="18"/>
        <v>105000105</v>
      </c>
      <c r="B753" s="58">
        <v>10000210</v>
      </c>
      <c r="C753" s="5" t="s">
        <v>1620</v>
      </c>
      <c r="D753" s="5" t="s">
        <v>1615</v>
      </c>
      <c r="E753" s="73" t="s">
        <v>1616</v>
      </c>
      <c r="F753" s="73" t="s">
        <v>1619</v>
      </c>
      <c r="G753" s="73">
        <v>5</v>
      </c>
      <c r="H753" s="58" t="s">
        <v>1624</v>
      </c>
      <c r="I753" s="58"/>
    </row>
    <row r="754" spans="1:9">
      <c r="A754" s="5" t="str">
        <f t="shared" si="18"/>
        <v>105000201</v>
      </c>
      <c r="B754" s="58">
        <v>72000710</v>
      </c>
      <c r="C754" s="5" t="s">
        <v>102</v>
      </c>
      <c r="D754" s="5" t="s">
        <v>1625</v>
      </c>
      <c r="E754" s="73" t="s">
        <v>1626</v>
      </c>
      <c r="F754" s="73"/>
      <c r="G754" s="73">
        <v>1</v>
      </c>
      <c r="H754" s="58" t="s">
        <v>1627</v>
      </c>
      <c r="I754" s="58"/>
    </row>
    <row r="755" spans="1:9">
      <c r="A755" s="5" t="str">
        <f t="shared" si="18"/>
        <v>105000202</v>
      </c>
      <c r="B755" s="58">
        <v>32000110</v>
      </c>
      <c r="C755" s="5" t="s">
        <v>108</v>
      </c>
      <c r="D755" s="5" t="s">
        <v>1625</v>
      </c>
      <c r="E755" s="73" t="s">
        <v>1626</v>
      </c>
      <c r="F755" s="73"/>
      <c r="G755" s="73">
        <v>2</v>
      </c>
      <c r="H755" s="58" t="s">
        <v>1628</v>
      </c>
      <c r="I755" s="58"/>
    </row>
    <row r="756" spans="1:9">
      <c r="A756" s="5" t="str">
        <f t="shared" si="18"/>
        <v>105000301</v>
      </c>
      <c r="B756" s="58">
        <v>72000410</v>
      </c>
      <c r="C756" s="5" t="s">
        <v>99</v>
      </c>
      <c r="D756" s="5" t="s">
        <v>1629</v>
      </c>
      <c r="E756" s="73" t="s">
        <v>1630</v>
      </c>
      <c r="F756" s="73"/>
      <c r="G756" s="73">
        <v>1</v>
      </c>
      <c r="H756" s="58" t="s">
        <v>1631</v>
      </c>
      <c r="I756" s="58"/>
    </row>
    <row r="757" spans="1:9">
      <c r="A757" s="5" t="str">
        <f t="shared" si="18"/>
        <v>105000302</v>
      </c>
      <c r="B757" s="58">
        <v>10000110</v>
      </c>
      <c r="C757" s="5" t="s">
        <v>1633</v>
      </c>
      <c r="D757" s="5" t="s">
        <v>1629</v>
      </c>
      <c r="E757" s="73" t="s">
        <v>1630</v>
      </c>
      <c r="F757" s="73"/>
      <c r="G757" s="73">
        <v>2</v>
      </c>
      <c r="H757" s="58" t="s">
        <v>1634</v>
      </c>
      <c r="I757" s="58"/>
    </row>
    <row r="758" spans="1:9">
      <c r="A758" s="5" t="str">
        <f t="shared" si="18"/>
        <v>105000303</v>
      </c>
      <c r="B758" s="58">
        <v>10000310</v>
      </c>
      <c r="C758" s="5" t="s">
        <v>1622</v>
      </c>
      <c r="D758" s="5" t="s">
        <v>1629</v>
      </c>
      <c r="E758" s="73" t="s">
        <v>1630</v>
      </c>
      <c r="F758" s="73" t="s">
        <v>1632</v>
      </c>
      <c r="G758" s="73">
        <v>3</v>
      </c>
      <c r="H758" s="58" t="s">
        <v>1635</v>
      </c>
      <c r="I758" s="58"/>
    </row>
    <row r="759" spans="1:9">
      <c r="A759" s="5" t="str">
        <f t="shared" si="18"/>
        <v>105000401</v>
      </c>
      <c r="B759" s="58">
        <v>72000310</v>
      </c>
      <c r="C759" s="5" t="s">
        <v>98</v>
      </c>
      <c r="D759" s="5" t="s">
        <v>1636</v>
      </c>
      <c r="E759" s="73" t="s">
        <v>1637</v>
      </c>
      <c r="F759" s="73"/>
      <c r="G759" s="73">
        <v>1</v>
      </c>
      <c r="H759" s="58" t="s">
        <v>1638</v>
      </c>
      <c r="I759" s="58"/>
    </row>
    <row r="760" spans="1:9">
      <c r="A760" s="5" t="str">
        <f t="shared" si="18"/>
        <v>105000402</v>
      </c>
      <c r="B760" s="58">
        <v>32000210</v>
      </c>
      <c r="C760" s="5" t="s">
        <v>109</v>
      </c>
      <c r="D760" s="5" t="s">
        <v>1636</v>
      </c>
      <c r="E760" s="73" t="s">
        <v>1637</v>
      </c>
      <c r="F760" s="73"/>
      <c r="G760" s="73">
        <v>2</v>
      </c>
      <c r="H760" s="58" t="s">
        <v>1639</v>
      </c>
      <c r="I760" s="58"/>
    </row>
    <row r="761" spans="1:9">
      <c r="A761" s="5" t="str">
        <f t="shared" si="18"/>
        <v>105000403</v>
      </c>
      <c r="B761" s="58">
        <v>71000210</v>
      </c>
      <c r="C761" s="5" t="s">
        <v>87</v>
      </c>
      <c r="D761" s="5" t="s">
        <v>1636</v>
      </c>
      <c r="E761" s="73" t="s">
        <v>1637</v>
      </c>
      <c r="F761" s="73"/>
      <c r="G761" s="73">
        <v>3</v>
      </c>
      <c r="H761" s="58" t="s">
        <v>1640</v>
      </c>
      <c r="I761" s="58"/>
    </row>
    <row r="762" spans="1:9">
      <c r="A762" s="5" t="str">
        <f t="shared" si="18"/>
        <v>105000501</v>
      </c>
      <c r="B762" s="58">
        <v>94000310</v>
      </c>
      <c r="C762" s="5" t="s">
        <v>128</v>
      </c>
      <c r="D762" s="5" t="s">
        <v>1641</v>
      </c>
      <c r="E762" s="73" t="s">
        <v>1642</v>
      </c>
      <c r="F762" s="73"/>
      <c r="G762" s="73">
        <v>1</v>
      </c>
      <c r="H762" s="58" t="s">
        <v>1643</v>
      </c>
      <c r="I762" s="58"/>
    </row>
    <row r="763" spans="1:9">
      <c r="A763" s="5" t="str">
        <f t="shared" si="18"/>
        <v>105000502</v>
      </c>
      <c r="B763" s="58">
        <v>53000210</v>
      </c>
      <c r="C763" s="5" t="s">
        <v>121</v>
      </c>
      <c r="D763" s="5" t="s">
        <v>1641</v>
      </c>
      <c r="E763" s="73" t="s">
        <v>1642</v>
      </c>
      <c r="F763" s="73"/>
      <c r="G763" s="73">
        <v>2</v>
      </c>
      <c r="H763" s="58" t="s">
        <v>1644</v>
      </c>
      <c r="I763" s="58"/>
    </row>
    <row r="764" spans="1:9">
      <c r="A764" s="5" t="str">
        <f t="shared" si="18"/>
        <v>105000503</v>
      </c>
      <c r="B764" s="58">
        <v>52000510</v>
      </c>
      <c r="C764" s="5" t="s">
        <v>107</v>
      </c>
      <c r="D764" s="5" t="s">
        <v>1641</v>
      </c>
      <c r="E764" s="73" t="s">
        <v>1642</v>
      </c>
      <c r="F764" s="73"/>
      <c r="G764" s="73">
        <v>3</v>
      </c>
      <c r="H764" s="58" t="s">
        <v>1645</v>
      </c>
      <c r="I764" s="58"/>
    </row>
    <row r="765" spans="1:9">
      <c r="A765" s="5" t="str">
        <f t="shared" si="18"/>
        <v>105000504</v>
      </c>
      <c r="B765" s="58">
        <v>73000510</v>
      </c>
      <c r="C765" s="5" t="s">
        <v>119</v>
      </c>
      <c r="D765" s="5" t="s">
        <v>1641</v>
      </c>
      <c r="E765" s="73" t="s">
        <v>1642</v>
      </c>
      <c r="F765" s="73"/>
      <c r="G765" s="73">
        <v>4</v>
      </c>
      <c r="H765" s="58" t="s">
        <v>1646</v>
      </c>
      <c r="I765" s="58"/>
    </row>
    <row r="766" spans="1:9">
      <c r="A766" s="5" t="str">
        <f t="shared" si="18"/>
        <v>105000601</v>
      </c>
      <c r="B766" s="58">
        <v>52000410</v>
      </c>
      <c r="C766" s="5" t="s">
        <v>106</v>
      </c>
      <c r="D766" s="5" t="s">
        <v>1647</v>
      </c>
      <c r="E766" s="73" t="s">
        <v>1648</v>
      </c>
      <c r="F766" s="73"/>
      <c r="G766" s="73">
        <v>1</v>
      </c>
      <c r="H766" s="58" t="s">
        <v>1649</v>
      </c>
      <c r="I766" s="58"/>
    </row>
    <row r="767" spans="1:9">
      <c r="A767" s="5" t="str">
        <f t="shared" si="18"/>
        <v>105000602</v>
      </c>
      <c r="B767" s="58">
        <v>33000210</v>
      </c>
      <c r="C767" s="5" t="s">
        <v>125</v>
      </c>
      <c r="D767" s="5" t="s">
        <v>1647</v>
      </c>
      <c r="E767" s="73" t="s">
        <v>1648</v>
      </c>
      <c r="F767" s="73"/>
      <c r="G767" s="73">
        <v>2</v>
      </c>
      <c r="H767" s="58" t="s">
        <v>1650</v>
      </c>
      <c r="I767" s="58"/>
    </row>
    <row r="768" spans="1:9">
      <c r="A768" s="5" t="str">
        <f t="shared" si="18"/>
        <v>105000603</v>
      </c>
      <c r="B768" s="58">
        <v>74000110</v>
      </c>
      <c r="C768" s="5" t="s">
        <v>129</v>
      </c>
      <c r="D768" s="5" t="s">
        <v>1647</v>
      </c>
      <c r="E768" s="73" t="s">
        <v>1648</v>
      </c>
      <c r="F768" s="73"/>
      <c r="G768" s="73">
        <v>3</v>
      </c>
      <c r="H768" s="58" t="s">
        <v>1651</v>
      </c>
      <c r="I768" s="58"/>
    </row>
    <row r="769" spans="1:9">
      <c r="A769" s="5" t="str">
        <f t="shared" si="18"/>
        <v>105000701</v>
      </c>
      <c r="B769" s="58">
        <v>92000210</v>
      </c>
      <c r="C769" s="5" t="s">
        <v>92</v>
      </c>
      <c r="D769" s="5" t="s">
        <v>1652</v>
      </c>
      <c r="E769" s="73" t="s">
        <v>1653</v>
      </c>
      <c r="F769" s="73"/>
      <c r="G769" s="73">
        <v>1</v>
      </c>
      <c r="H769" s="58" t="s">
        <v>1654</v>
      </c>
      <c r="I769" s="58"/>
    </row>
    <row r="770" spans="1:9">
      <c r="A770" s="5" t="str">
        <f t="shared" si="18"/>
        <v>105000702</v>
      </c>
      <c r="B770" s="58">
        <v>72000110</v>
      </c>
      <c r="C770" s="5" t="s">
        <v>96</v>
      </c>
      <c r="D770" s="5" t="s">
        <v>1652</v>
      </c>
      <c r="E770" s="73" t="s">
        <v>1653</v>
      </c>
      <c r="F770" s="73"/>
      <c r="G770" s="73">
        <v>2</v>
      </c>
      <c r="H770" s="58" t="s">
        <v>1655</v>
      </c>
      <c r="I770" s="58"/>
    </row>
    <row r="771" spans="1:9">
      <c r="A771" s="5" t="str">
        <f t="shared" si="18"/>
        <v>105000703</v>
      </c>
      <c r="B771" s="58">
        <v>72000510</v>
      </c>
      <c r="C771" s="5" t="s">
        <v>100</v>
      </c>
      <c r="D771" s="5" t="s">
        <v>1652</v>
      </c>
      <c r="E771" s="73" t="s">
        <v>1653</v>
      </c>
      <c r="F771" s="73"/>
      <c r="G771" s="73">
        <v>3</v>
      </c>
      <c r="H771" s="58" t="s">
        <v>1656</v>
      </c>
      <c r="I771" s="58"/>
    </row>
    <row r="772" spans="1:9">
      <c r="A772" s="5" t="str">
        <f t="shared" si="18"/>
        <v>105000801</v>
      </c>
      <c r="B772" s="58">
        <v>94000210</v>
      </c>
      <c r="C772" s="5" t="s">
        <v>127</v>
      </c>
      <c r="D772" s="5" t="s">
        <v>1657</v>
      </c>
      <c r="E772" s="73" t="s">
        <v>1658</v>
      </c>
      <c r="F772" s="73"/>
      <c r="G772" s="73">
        <v>1</v>
      </c>
      <c r="H772" s="58" t="s">
        <v>1659</v>
      </c>
      <c r="I772" s="58"/>
    </row>
    <row r="773" spans="1:9">
      <c r="A773" s="5" t="str">
        <f t="shared" si="18"/>
        <v>105000802</v>
      </c>
      <c r="B773" s="58">
        <v>72000510</v>
      </c>
      <c r="C773" s="5" t="s">
        <v>100</v>
      </c>
      <c r="D773" s="5" t="s">
        <v>1657</v>
      </c>
      <c r="E773" s="73" t="s">
        <v>1658</v>
      </c>
      <c r="F773" s="73"/>
      <c r="G773" s="73">
        <v>2</v>
      </c>
      <c r="H773" s="58" t="s">
        <v>1661</v>
      </c>
      <c r="I773" s="58"/>
    </row>
    <row r="774" spans="1:9">
      <c r="A774" s="5" t="str">
        <f t="shared" si="18"/>
        <v>105000803</v>
      </c>
      <c r="B774" s="58">
        <v>72000510</v>
      </c>
      <c r="C774" s="5" t="s">
        <v>100</v>
      </c>
      <c r="D774" s="5" t="s">
        <v>1657</v>
      </c>
      <c r="E774" s="73" t="s">
        <v>1658</v>
      </c>
      <c r="F774" s="73" t="s">
        <v>1660</v>
      </c>
      <c r="G774" s="73">
        <v>3</v>
      </c>
      <c r="H774" s="58" t="s">
        <v>1662</v>
      </c>
      <c r="I774" s="58"/>
    </row>
    <row r="775" spans="1:9">
      <c r="A775" s="5" t="str">
        <f t="shared" si="18"/>
        <v>105000804</v>
      </c>
      <c r="B775" s="58">
        <v>93000410</v>
      </c>
      <c r="C775" s="5" t="s">
        <v>113</v>
      </c>
      <c r="D775" s="5" t="s">
        <v>1657</v>
      </c>
      <c r="E775" s="73" t="s">
        <v>1658</v>
      </c>
      <c r="F775" s="73"/>
      <c r="G775" s="73">
        <v>4</v>
      </c>
      <c r="H775" s="58" t="s">
        <v>1663</v>
      </c>
      <c r="I775" s="58"/>
    </row>
    <row r="776" spans="1:9">
      <c r="A776" s="5" t="str">
        <f t="shared" si="18"/>
        <v>105000901</v>
      </c>
      <c r="B776" s="58">
        <v>94000110</v>
      </c>
      <c r="C776" s="5" t="s">
        <v>126</v>
      </c>
      <c r="D776" s="5" t="s">
        <v>1664</v>
      </c>
      <c r="E776" s="73" t="s">
        <v>1665</v>
      </c>
      <c r="F776" s="73"/>
      <c r="G776" s="73">
        <v>1</v>
      </c>
      <c r="H776" s="58" t="s">
        <v>1666</v>
      </c>
      <c r="I776" s="58"/>
    </row>
    <row r="777" spans="1:9">
      <c r="A777" s="5" t="str">
        <f t="shared" si="18"/>
        <v>105000902</v>
      </c>
      <c r="B777" s="58">
        <v>52000110</v>
      </c>
      <c r="C777" s="5" t="s">
        <v>103</v>
      </c>
      <c r="D777" s="5" t="s">
        <v>1664</v>
      </c>
      <c r="E777" s="73" t="s">
        <v>1665</v>
      </c>
      <c r="F777" s="73"/>
      <c r="G777" s="73">
        <v>2</v>
      </c>
      <c r="H777" s="58" t="s">
        <v>1667</v>
      </c>
      <c r="I777" s="58"/>
    </row>
    <row r="778" spans="1:9">
      <c r="A778" s="5" t="str">
        <f t="shared" si="18"/>
        <v>105001001</v>
      </c>
      <c r="B778" s="58">
        <v>73000410</v>
      </c>
      <c r="C778" s="5" t="s">
        <v>118</v>
      </c>
      <c r="D778" s="5" t="s">
        <v>1669</v>
      </c>
      <c r="E778" s="73" t="s">
        <v>1670</v>
      </c>
      <c r="F778" s="73"/>
      <c r="G778" s="73">
        <v>1</v>
      </c>
      <c r="H778" s="58" t="s">
        <v>1671</v>
      </c>
      <c r="I778" s="58"/>
    </row>
    <row r="779" spans="1:9">
      <c r="A779" s="5" t="str">
        <f t="shared" si="18"/>
        <v>105001002</v>
      </c>
      <c r="B779" s="58">
        <v>52000110</v>
      </c>
      <c r="C779" s="5" t="s">
        <v>103</v>
      </c>
      <c r="D779" s="5" t="s">
        <v>1669</v>
      </c>
      <c r="E779" s="73" t="s">
        <v>1670</v>
      </c>
      <c r="F779" s="73" t="s">
        <v>1668</v>
      </c>
      <c r="G779" s="73">
        <v>2</v>
      </c>
      <c r="H779" s="58" t="s">
        <v>1672</v>
      </c>
      <c r="I779" s="58"/>
    </row>
    <row r="780" spans="1:9">
      <c r="A780" s="5" t="str">
        <f t="shared" si="18"/>
        <v>105001003</v>
      </c>
      <c r="B780" s="58">
        <v>10000110</v>
      </c>
      <c r="C780" s="5" t="s">
        <v>1633</v>
      </c>
      <c r="D780" s="5" t="s">
        <v>1669</v>
      </c>
      <c r="E780" s="73" t="s">
        <v>1670</v>
      </c>
      <c r="F780" s="73"/>
      <c r="G780" s="73">
        <v>3</v>
      </c>
      <c r="H780" s="58" t="s">
        <v>1674</v>
      </c>
      <c r="I780" s="58"/>
    </row>
    <row r="781" spans="1:9">
      <c r="A781" s="5" t="str">
        <f t="shared" si="18"/>
        <v>105001004</v>
      </c>
      <c r="B781" s="58">
        <v>52000110</v>
      </c>
      <c r="C781" s="5" t="s">
        <v>103</v>
      </c>
      <c r="D781" s="5" t="s">
        <v>1669</v>
      </c>
      <c r="E781" s="73" t="s">
        <v>1670</v>
      </c>
      <c r="F781" s="73" t="s">
        <v>1673</v>
      </c>
      <c r="G781" s="73">
        <v>4</v>
      </c>
      <c r="H781" s="58" t="s">
        <v>1675</v>
      </c>
      <c r="I781" s="58"/>
    </row>
    <row r="782" spans="1:9">
      <c r="A782" s="5" t="str">
        <f t="shared" ref="A782:A845" si="21">(E782*10)&amp;G782</f>
        <v>105001101</v>
      </c>
      <c r="B782" s="58">
        <v>53000210</v>
      </c>
      <c r="C782" s="5" t="s">
        <v>121</v>
      </c>
      <c r="D782" s="5" t="s">
        <v>1676</v>
      </c>
      <c r="E782" s="73" t="s">
        <v>1677</v>
      </c>
      <c r="F782" s="73"/>
      <c r="G782" s="73">
        <v>1</v>
      </c>
      <c r="H782" s="58" t="s">
        <v>1678</v>
      </c>
      <c r="I782" s="58"/>
    </row>
    <row r="783" spans="1:9">
      <c r="A783" s="5" t="str">
        <f t="shared" si="21"/>
        <v>105001102</v>
      </c>
      <c r="B783" s="58">
        <v>52000210</v>
      </c>
      <c r="C783" s="5" t="s">
        <v>104</v>
      </c>
      <c r="D783" s="5" t="s">
        <v>1676</v>
      </c>
      <c r="E783" s="73" t="s">
        <v>1677</v>
      </c>
      <c r="F783" s="73"/>
      <c r="G783" s="73">
        <v>2</v>
      </c>
      <c r="H783" s="58" t="s">
        <v>1680</v>
      </c>
      <c r="I783" s="58"/>
    </row>
    <row r="784" spans="1:9">
      <c r="A784" s="5" t="str">
        <f t="shared" si="21"/>
        <v>105001103</v>
      </c>
      <c r="B784" s="58">
        <v>72000210</v>
      </c>
      <c r="C784" s="5" t="s">
        <v>97</v>
      </c>
      <c r="D784" s="5" t="s">
        <v>1676</v>
      </c>
      <c r="E784" s="73" t="s">
        <v>1677</v>
      </c>
      <c r="F784" s="73" t="s">
        <v>1679</v>
      </c>
      <c r="G784" s="73">
        <v>3</v>
      </c>
      <c r="H784" s="58" t="s">
        <v>1681</v>
      </c>
      <c r="I784" s="58"/>
    </row>
    <row r="785" spans="1:9">
      <c r="A785" s="5" t="str">
        <f t="shared" si="21"/>
        <v>105001104</v>
      </c>
      <c r="B785" s="58">
        <v>54000110</v>
      </c>
      <c r="C785" s="5" t="s">
        <v>131</v>
      </c>
      <c r="D785" s="5" t="s">
        <v>1676</v>
      </c>
      <c r="E785" s="73" t="s">
        <v>1677</v>
      </c>
      <c r="F785" s="73"/>
      <c r="G785" s="73">
        <v>4</v>
      </c>
      <c r="H785" s="58" t="s">
        <v>1682</v>
      </c>
      <c r="I785" s="58"/>
    </row>
    <row r="786" spans="1:9">
      <c r="A786" s="5" t="str">
        <f t="shared" si="21"/>
        <v>105001105</v>
      </c>
      <c r="B786" s="58">
        <v>53000410</v>
      </c>
      <c r="C786" s="5" t="s">
        <v>123</v>
      </c>
      <c r="D786" s="5" t="s">
        <v>1676</v>
      </c>
      <c r="E786" s="73" t="s">
        <v>1677</v>
      </c>
      <c r="F786" s="73"/>
      <c r="G786" s="73">
        <v>5</v>
      </c>
      <c r="H786" s="58" t="s">
        <v>1683</v>
      </c>
      <c r="I786" s="58"/>
    </row>
    <row r="787" spans="1:9">
      <c r="A787" s="5" t="str">
        <f t="shared" si="21"/>
        <v>105001201</v>
      </c>
      <c r="B787" s="58">
        <v>52000310</v>
      </c>
      <c r="C787" s="5" t="s">
        <v>105</v>
      </c>
      <c r="D787" s="5" t="s">
        <v>1684</v>
      </c>
      <c r="E787" s="73" t="s">
        <v>1685</v>
      </c>
      <c r="F787" s="73"/>
      <c r="G787" s="73">
        <v>1</v>
      </c>
      <c r="H787" s="58" t="s">
        <v>1686</v>
      </c>
      <c r="I787" s="58"/>
    </row>
    <row r="788" spans="1:9">
      <c r="A788" s="5" t="str">
        <f t="shared" si="21"/>
        <v>105001202</v>
      </c>
      <c r="B788" s="58">
        <v>33000110</v>
      </c>
      <c r="C788" s="5" t="s">
        <v>124</v>
      </c>
      <c r="D788" s="5" t="s">
        <v>1684</v>
      </c>
      <c r="E788" s="73" t="s">
        <v>1685</v>
      </c>
      <c r="F788" s="73"/>
      <c r="G788" s="73">
        <v>2</v>
      </c>
      <c r="H788" s="58" t="s">
        <v>1687</v>
      </c>
      <c r="I788" s="58"/>
    </row>
    <row r="789" spans="1:9">
      <c r="A789" s="5" t="str">
        <f t="shared" si="21"/>
        <v>105001203</v>
      </c>
      <c r="B789" s="58">
        <v>33000210</v>
      </c>
      <c r="C789" s="5" t="s">
        <v>125</v>
      </c>
      <c r="D789" s="5" t="s">
        <v>1684</v>
      </c>
      <c r="E789" s="73" t="s">
        <v>1685</v>
      </c>
      <c r="F789" s="73"/>
      <c r="G789" s="73">
        <v>3</v>
      </c>
      <c r="H789" s="58" t="s">
        <v>1688</v>
      </c>
      <c r="I789" s="58"/>
    </row>
    <row r="790" spans="1:9">
      <c r="A790" s="5" t="str">
        <f t="shared" si="21"/>
        <v>105001301</v>
      </c>
      <c r="B790" s="58">
        <v>94000210</v>
      </c>
      <c r="C790" s="5" t="s">
        <v>127</v>
      </c>
      <c r="D790" s="5" t="s">
        <v>1690</v>
      </c>
      <c r="E790" s="73" t="s">
        <v>1691</v>
      </c>
      <c r="F790" s="73"/>
      <c r="G790" s="73">
        <v>1</v>
      </c>
      <c r="H790" s="58" t="s">
        <v>1692</v>
      </c>
      <c r="I790" s="58"/>
    </row>
    <row r="791" spans="1:9">
      <c r="A791" s="5" t="str">
        <f t="shared" si="21"/>
        <v>105001302</v>
      </c>
      <c r="B791" s="58">
        <v>94000210</v>
      </c>
      <c r="C791" s="5" t="s">
        <v>127</v>
      </c>
      <c r="D791" s="5" t="s">
        <v>1690</v>
      </c>
      <c r="E791" s="73" t="s">
        <v>1691</v>
      </c>
      <c r="F791" s="73" t="s">
        <v>1689</v>
      </c>
      <c r="G791" s="73">
        <v>2</v>
      </c>
      <c r="H791" s="58" t="s">
        <v>1693</v>
      </c>
      <c r="I791" s="58"/>
    </row>
    <row r="792" spans="1:9">
      <c r="A792" s="5" t="str">
        <f t="shared" si="21"/>
        <v>105001303</v>
      </c>
      <c r="B792" s="58">
        <v>93000410</v>
      </c>
      <c r="C792" s="5" t="s">
        <v>113</v>
      </c>
      <c r="D792" s="5" t="s">
        <v>1690</v>
      </c>
      <c r="E792" s="73" t="s">
        <v>1691</v>
      </c>
      <c r="F792" s="73"/>
      <c r="G792" s="73">
        <v>3</v>
      </c>
      <c r="H792" s="58" t="s">
        <v>1694</v>
      </c>
      <c r="I792" s="58"/>
    </row>
    <row r="793" spans="1:9">
      <c r="A793" s="5" t="str">
        <f t="shared" si="21"/>
        <v>105001401</v>
      </c>
      <c r="B793" s="58">
        <v>71000310</v>
      </c>
      <c r="C793" s="5" t="s">
        <v>88</v>
      </c>
      <c r="D793" s="5" t="s">
        <v>1695</v>
      </c>
      <c r="E793" s="73" t="s">
        <v>1696</v>
      </c>
      <c r="F793" s="73"/>
      <c r="G793" s="73">
        <v>1</v>
      </c>
      <c r="H793" s="58" t="s">
        <v>1697</v>
      </c>
      <c r="I793" s="58"/>
    </row>
    <row r="794" spans="1:9">
      <c r="A794" s="5" t="str">
        <f t="shared" si="21"/>
        <v>105001402</v>
      </c>
      <c r="B794" s="58" t="s">
        <v>1698</v>
      </c>
      <c r="C794" s="5" t="s">
        <v>1198</v>
      </c>
      <c r="D794" s="5" t="s">
        <v>1695</v>
      </c>
      <c r="E794" s="73" t="s">
        <v>1696</v>
      </c>
      <c r="F794" s="73"/>
      <c r="G794" s="73">
        <v>2</v>
      </c>
      <c r="H794" s="58" t="s">
        <v>1699</v>
      </c>
      <c r="I794" s="58"/>
    </row>
    <row r="795" spans="1:9">
      <c r="A795" s="5" t="str">
        <f t="shared" si="21"/>
        <v>105001501</v>
      </c>
      <c r="B795" s="58">
        <v>93000110</v>
      </c>
      <c r="C795" s="5" t="s">
        <v>110</v>
      </c>
      <c r="D795" s="5" t="s">
        <v>1701</v>
      </c>
      <c r="E795" s="73" t="s">
        <v>1702</v>
      </c>
      <c r="F795" s="73"/>
      <c r="G795" s="73">
        <v>1</v>
      </c>
      <c r="H795" s="58" t="s">
        <v>1703</v>
      </c>
      <c r="I795" s="58"/>
    </row>
    <row r="796" spans="1:9">
      <c r="A796" s="5" t="str">
        <f t="shared" si="21"/>
        <v>105001502</v>
      </c>
      <c r="B796" s="58">
        <v>94000310</v>
      </c>
      <c r="C796" s="5" t="s">
        <v>128</v>
      </c>
      <c r="D796" s="5" t="s">
        <v>1701</v>
      </c>
      <c r="E796" s="73" t="s">
        <v>1702</v>
      </c>
      <c r="F796" s="73" t="s">
        <v>1700</v>
      </c>
      <c r="G796" s="73">
        <v>2</v>
      </c>
      <c r="H796" s="58" t="s">
        <v>1704</v>
      </c>
      <c r="I796" s="58"/>
    </row>
    <row r="797" spans="1:9">
      <c r="A797" s="5" t="str">
        <f t="shared" si="21"/>
        <v>105001503</v>
      </c>
      <c r="B797" s="58">
        <v>92000410</v>
      </c>
      <c r="C797" s="5" t="s">
        <v>94</v>
      </c>
      <c r="D797" s="5" t="s">
        <v>1701</v>
      </c>
      <c r="E797" s="73" t="s">
        <v>1702</v>
      </c>
      <c r="F797" s="73"/>
      <c r="G797" s="73">
        <v>3</v>
      </c>
      <c r="H797" s="58" t="s">
        <v>1706</v>
      </c>
      <c r="I797" s="58"/>
    </row>
    <row r="798" spans="1:9">
      <c r="A798" s="5" t="str">
        <f t="shared" si="21"/>
        <v>105001504</v>
      </c>
      <c r="B798" s="58">
        <v>94000310</v>
      </c>
      <c r="C798" s="5" t="s">
        <v>128</v>
      </c>
      <c r="D798" s="5" t="s">
        <v>1701</v>
      </c>
      <c r="E798" s="73" t="s">
        <v>1702</v>
      </c>
      <c r="F798" s="73" t="s">
        <v>1705</v>
      </c>
      <c r="G798" s="73">
        <v>4</v>
      </c>
      <c r="H798" s="58" t="s">
        <v>1707</v>
      </c>
      <c r="I798" s="58"/>
    </row>
    <row r="799" spans="1:9">
      <c r="A799" s="5" t="str">
        <f t="shared" si="21"/>
        <v>105001601</v>
      </c>
      <c r="B799" s="58">
        <v>72000110</v>
      </c>
      <c r="C799" s="5" t="s">
        <v>96</v>
      </c>
      <c r="D799" s="5" t="s">
        <v>1709</v>
      </c>
      <c r="E799" s="73" t="s">
        <v>1710</v>
      </c>
      <c r="F799" s="73"/>
      <c r="G799" s="73">
        <v>1</v>
      </c>
      <c r="H799" s="58" t="s">
        <v>1711</v>
      </c>
      <c r="I799" s="58"/>
    </row>
    <row r="800" spans="1:9">
      <c r="A800" s="5" t="str">
        <f t="shared" si="21"/>
        <v>105001602</v>
      </c>
      <c r="B800" s="58">
        <v>72000110</v>
      </c>
      <c r="C800" s="5" t="s">
        <v>96</v>
      </c>
      <c r="D800" s="5" t="s">
        <v>1709</v>
      </c>
      <c r="E800" s="73" t="s">
        <v>1710</v>
      </c>
      <c r="F800" s="73" t="s">
        <v>1708</v>
      </c>
      <c r="G800" s="73">
        <v>2</v>
      </c>
      <c r="H800" s="58" t="s">
        <v>1712</v>
      </c>
      <c r="I800" s="58"/>
    </row>
    <row r="801" spans="1:9">
      <c r="A801" s="5" t="str">
        <f t="shared" si="21"/>
        <v>105001603</v>
      </c>
      <c r="B801" s="58">
        <v>32000110</v>
      </c>
      <c r="C801" s="5" t="s">
        <v>108</v>
      </c>
      <c r="D801" s="5" t="s">
        <v>1709</v>
      </c>
      <c r="E801" s="73" t="s">
        <v>1710</v>
      </c>
      <c r="F801" s="73"/>
      <c r="G801" s="73">
        <v>3</v>
      </c>
      <c r="H801" s="58" t="s">
        <v>1713</v>
      </c>
      <c r="I801" s="58"/>
    </row>
    <row r="802" spans="1:9">
      <c r="A802" s="5" t="str">
        <f t="shared" si="21"/>
        <v>105001604</v>
      </c>
      <c r="B802" s="58">
        <v>73000310</v>
      </c>
      <c r="C802" s="5" t="s">
        <v>117</v>
      </c>
      <c r="D802" s="5" t="s">
        <v>1709</v>
      </c>
      <c r="E802" s="73" t="s">
        <v>1710</v>
      </c>
      <c r="F802" s="73"/>
      <c r="G802" s="73">
        <v>4</v>
      </c>
      <c r="H802" s="58" t="s">
        <v>1714</v>
      </c>
      <c r="I802" s="58"/>
    </row>
    <row r="803" spans="1:9">
      <c r="A803" s="5" t="str">
        <f t="shared" si="21"/>
        <v>105001701</v>
      </c>
      <c r="B803" s="58">
        <v>53000210</v>
      </c>
      <c r="C803" s="5" t="s">
        <v>121</v>
      </c>
      <c r="D803" s="5" t="s">
        <v>1715</v>
      </c>
      <c r="E803" s="73" t="s">
        <v>1716</v>
      </c>
      <c r="F803" s="73"/>
      <c r="G803" s="73">
        <v>1</v>
      </c>
      <c r="H803" s="58" t="s">
        <v>1717</v>
      </c>
      <c r="I803" s="58"/>
    </row>
    <row r="804" spans="1:9">
      <c r="A804" s="5" t="str">
        <f t="shared" si="21"/>
        <v>105001702</v>
      </c>
      <c r="B804" s="58">
        <v>33000210</v>
      </c>
      <c r="C804" s="5" t="s">
        <v>125</v>
      </c>
      <c r="D804" s="5" t="s">
        <v>1715</v>
      </c>
      <c r="E804" s="73" t="s">
        <v>1716</v>
      </c>
      <c r="F804" s="73"/>
      <c r="G804" s="73">
        <v>2</v>
      </c>
      <c r="H804" s="58" t="s">
        <v>1718</v>
      </c>
      <c r="I804" s="58"/>
    </row>
    <row r="805" spans="1:9">
      <c r="A805" s="5" t="str">
        <f t="shared" si="21"/>
        <v>105001703</v>
      </c>
      <c r="B805" s="58">
        <v>10000110</v>
      </c>
      <c r="C805" s="5" t="s">
        <v>1633</v>
      </c>
      <c r="D805" s="5" t="s">
        <v>1715</v>
      </c>
      <c r="E805" s="73" t="s">
        <v>1716</v>
      </c>
      <c r="F805" s="73"/>
      <c r="G805" s="73">
        <v>3</v>
      </c>
      <c r="H805" s="58" t="s">
        <v>1719</v>
      </c>
      <c r="I805" s="58"/>
    </row>
    <row r="806" spans="1:9">
      <c r="A806" s="5" t="str">
        <f t="shared" si="21"/>
        <v>105001801</v>
      </c>
      <c r="B806" s="58">
        <v>53000110</v>
      </c>
      <c r="C806" s="5" t="s">
        <v>120</v>
      </c>
      <c r="D806" s="5" t="s">
        <v>1720</v>
      </c>
      <c r="E806" s="73" t="s">
        <v>1721</v>
      </c>
      <c r="F806" s="73"/>
      <c r="G806" s="73">
        <v>1</v>
      </c>
      <c r="H806" s="58" t="s">
        <v>1722</v>
      </c>
      <c r="I806" s="58"/>
    </row>
    <row r="807" spans="1:9">
      <c r="A807" s="5" t="str">
        <f t="shared" si="21"/>
        <v>105001802</v>
      </c>
      <c r="B807" s="58">
        <v>33000110</v>
      </c>
      <c r="C807" s="5" t="s">
        <v>124</v>
      </c>
      <c r="D807" s="5" t="s">
        <v>1720</v>
      </c>
      <c r="E807" s="73" t="s">
        <v>1721</v>
      </c>
      <c r="F807" s="73"/>
      <c r="G807" s="73">
        <v>2</v>
      </c>
      <c r="H807" s="58" t="s">
        <v>1723</v>
      </c>
      <c r="I807" s="58"/>
    </row>
    <row r="808" spans="1:9">
      <c r="A808" s="5" t="str">
        <f t="shared" si="21"/>
        <v>105001803</v>
      </c>
      <c r="B808" s="58">
        <v>52000310</v>
      </c>
      <c r="C808" s="5" t="s">
        <v>105</v>
      </c>
      <c r="D808" s="5" t="s">
        <v>1720</v>
      </c>
      <c r="E808" s="73" t="s">
        <v>1721</v>
      </c>
      <c r="F808" s="73"/>
      <c r="G808" s="73">
        <v>3</v>
      </c>
      <c r="H808" s="58" t="s">
        <v>1724</v>
      </c>
      <c r="I808" s="58"/>
    </row>
    <row r="809" spans="1:9">
      <c r="A809" s="5" t="str">
        <f t="shared" si="21"/>
        <v>105001804</v>
      </c>
      <c r="B809" s="58">
        <v>33000210</v>
      </c>
      <c r="C809" s="5" t="s">
        <v>125</v>
      </c>
      <c r="D809" s="5" t="s">
        <v>1720</v>
      </c>
      <c r="E809" s="73" t="s">
        <v>1721</v>
      </c>
      <c r="F809" s="73"/>
      <c r="G809" s="73">
        <v>4</v>
      </c>
      <c r="H809" s="58" t="s">
        <v>1726</v>
      </c>
      <c r="I809" s="58"/>
    </row>
    <row r="810" spans="1:9">
      <c r="A810" s="5" t="str">
        <f t="shared" si="21"/>
        <v>105001805</v>
      </c>
      <c r="B810" s="58">
        <v>33000210</v>
      </c>
      <c r="C810" s="5" t="s">
        <v>125</v>
      </c>
      <c r="D810" s="5" t="s">
        <v>1720</v>
      </c>
      <c r="E810" s="73" t="s">
        <v>1721</v>
      </c>
      <c r="F810" s="73" t="s">
        <v>1725</v>
      </c>
      <c r="G810" s="73">
        <v>5</v>
      </c>
      <c r="H810" s="58" t="s">
        <v>1727</v>
      </c>
      <c r="I810" s="58"/>
    </row>
    <row r="811" spans="1:9">
      <c r="A811" s="5" t="str">
        <f t="shared" si="21"/>
        <v>105001806</v>
      </c>
      <c r="B811" s="58">
        <v>52000310</v>
      </c>
      <c r="C811" s="5" t="s">
        <v>105</v>
      </c>
      <c r="D811" s="5" t="s">
        <v>1720</v>
      </c>
      <c r="E811" s="73" t="s">
        <v>1721</v>
      </c>
      <c r="F811" s="73" t="s">
        <v>1725</v>
      </c>
      <c r="G811" s="73">
        <v>6</v>
      </c>
      <c r="H811" s="58" t="s">
        <v>1728</v>
      </c>
      <c r="I811" s="58"/>
    </row>
    <row r="812" spans="1:9">
      <c r="A812" s="5" t="str">
        <f t="shared" si="21"/>
        <v>105001901</v>
      </c>
      <c r="B812" s="58">
        <v>51000210</v>
      </c>
      <c r="C812" s="5" t="s">
        <v>90</v>
      </c>
      <c r="D812" s="5" t="s">
        <v>1729</v>
      </c>
      <c r="E812" s="73" t="s">
        <v>1730</v>
      </c>
      <c r="F812" s="73"/>
      <c r="G812" s="73">
        <v>1</v>
      </c>
      <c r="H812" s="58" t="s">
        <v>1731</v>
      </c>
      <c r="I812" s="58"/>
    </row>
    <row r="813" spans="1:9">
      <c r="A813" s="5" t="str">
        <f t="shared" si="21"/>
        <v>105001902</v>
      </c>
      <c r="B813" s="58">
        <v>51000110</v>
      </c>
      <c r="C813" s="5" t="s">
        <v>89</v>
      </c>
      <c r="D813" s="5" t="s">
        <v>1729</v>
      </c>
      <c r="E813" s="73" t="s">
        <v>1730</v>
      </c>
      <c r="F813" s="73"/>
      <c r="G813" s="73">
        <v>2</v>
      </c>
      <c r="H813" s="58" t="s">
        <v>1732</v>
      </c>
      <c r="I813" s="58"/>
    </row>
    <row r="814" spans="1:9">
      <c r="A814" s="5" t="str">
        <f t="shared" si="21"/>
        <v>105002001</v>
      </c>
      <c r="B814" s="58">
        <v>93000410</v>
      </c>
      <c r="C814" s="5" t="s">
        <v>113</v>
      </c>
      <c r="D814" s="5" t="s">
        <v>1734</v>
      </c>
      <c r="E814" s="73" t="s">
        <v>1735</v>
      </c>
      <c r="F814" s="73"/>
      <c r="G814" s="73">
        <v>1</v>
      </c>
      <c r="H814" s="58" t="s">
        <v>1736</v>
      </c>
      <c r="I814" s="58"/>
    </row>
    <row r="815" spans="1:9">
      <c r="A815" s="5" t="str">
        <f t="shared" si="21"/>
        <v>105002002</v>
      </c>
      <c r="B815" s="58">
        <v>92000310</v>
      </c>
      <c r="C815" s="5" t="s">
        <v>93</v>
      </c>
      <c r="D815" s="5" t="s">
        <v>1734</v>
      </c>
      <c r="E815" s="73" t="s">
        <v>1735</v>
      </c>
      <c r="F815" s="73" t="s">
        <v>1733</v>
      </c>
      <c r="G815" s="73">
        <v>2</v>
      </c>
      <c r="H815" s="58" t="s">
        <v>1738</v>
      </c>
      <c r="I815" s="58"/>
    </row>
    <row r="816" spans="1:9">
      <c r="A816" s="5" t="str">
        <f t="shared" si="21"/>
        <v>105002003</v>
      </c>
      <c r="B816" s="58">
        <v>10000110</v>
      </c>
      <c r="C816" s="5" t="s">
        <v>1633</v>
      </c>
      <c r="D816" s="5" t="s">
        <v>1734</v>
      </c>
      <c r="E816" s="73" t="s">
        <v>1735</v>
      </c>
      <c r="F816" s="73"/>
      <c r="G816" s="73">
        <v>3</v>
      </c>
      <c r="H816" s="58" t="s">
        <v>1739</v>
      </c>
      <c r="I816" s="58"/>
    </row>
    <row r="817" spans="1:9">
      <c r="A817" s="5" t="str">
        <f t="shared" si="21"/>
        <v>105002004</v>
      </c>
      <c r="B817" s="58">
        <v>92000310</v>
      </c>
      <c r="C817" s="5" t="s">
        <v>93</v>
      </c>
      <c r="D817" s="5" t="s">
        <v>1734</v>
      </c>
      <c r="E817" s="73" t="s">
        <v>1735</v>
      </c>
      <c r="F817" s="73" t="s">
        <v>1737</v>
      </c>
      <c r="G817" s="73">
        <v>4</v>
      </c>
      <c r="H817" s="58" t="s">
        <v>1740</v>
      </c>
      <c r="I817" s="58"/>
    </row>
    <row r="818" spans="1:9">
      <c r="A818" s="5" t="str">
        <f t="shared" si="21"/>
        <v>105002005</v>
      </c>
      <c r="B818" s="58">
        <v>92000310</v>
      </c>
      <c r="C818" s="5" t="s">
        <v>93</v>
      </c>
      <c r="D818" s="5" t="s">
        <v>1734</v>
      </c>
      <c r="E818" s="73" t="s">
        <v>1735</v>
      </c>
      <c r="F818" s="73"/>
      <c r="G818" s="73">
        <v>5</v>
      </c>
      <c r="H818" s="58" t="s">
        <v>1741</v>
      </c>
      <c r="I818" s="58"/>
    </row>
    <row r="819" spans="1:9">
      <c r="A819" s="5" t="str">
        <f t="shared" si="21"/>
        <v>106000101</v>
      </c>
      <c r="B819" s="58">
        <v>33000210</v>
      </c>
      <c r="C819" s="5" t="s">
        <v>125</v>
      </c>
      <c r="D819" s="5" t="s">
        <v>1539</v>
      </c>
      <c r="E819" s="73" t="s">
        <v>1540</v>
      </c>
      <c r="F819" s="73"/>
      <c r="G819" s="73">
        <v>1</v>
      </c>
      <c r="H819" s="58" t="s">
        <v>1541</v>
      </c>
      <c r="I819" s="58"/>
    </row>
    <row r="820" spans="1:9">
      <c r="A820" s="5" t="str">
        <f t="shared" si="21"/>
        <v>106000102</v>
      </c>
      <c r="B820" s="58">
        <v>72000110</v>
      </c>
      <c r="C820" s="5" t="s">
        <v>96</v>
      </c>
      <c r="D820" s="5" t="s">
        <v>1539</v>
      </c>
      <c r="E820" s="73" t="s">
        <v>1540</v>
      </c>
      <c r="F820" s="73" t="s">
        <v>1538</v>
      </c>
      <c r="G820" s="73">
        <v>2</v>
      </c>
      <c r="H820" s="58" t="s">
        <v>1542</v>
      </c>
      <c r="I820" s="58"/>
    </row>
    <row r="821" spans="1:9">
      <c r="A821" s="5" t="str">
        <f t="shared" si="21"/>
        <v>106000103</v>
      </c>
      <c r="B821" s="58">
        <v>71000310</v>
      </c>
      <c r="C821" s="5" t="s">
        <v>88</v>
      </c>
      <c r="D821" s="5" t="s">
        <v>1539</v>
      </c>
      <c r="E821" s="73" t="s">
        <v>1540</v>
      </c>
      <c r="F821" s="73"/>
      <c r="G821" s="73">
        <v>3</v>
      </c>
      <c r="H821" s="58" t="s">
        <v>1544</v>
      </c>
      <c r="I821" s="58"/>
    </row>
    <row r="822" spans="1:9">
      <c r="A822" s="5" t="str">
        <f t="shared" si="21"/>
        <v>106000104</v>
      </c>
      <c r="B822" s="58">
        <v>72000110</v>
      </c>
      <c r="C822" s="5" t="s">
        <v>96</v>
      </c>
      <c r="D822" s="5" t="s">
        <v>1539</v>
      </c>
      <c r="E822" s="73" t="s">
        <v>1540</v>
      </c>
      <c r="F822" s="73" t="s">
        <v>1543</v>
      </c>
      <c r="G822" s="73">
        <v>4</v>
      </c>
      <c r="H822" s="58" t="s">
        <v>1545</v>
      </c>
      <c r="I822" s="58"/>
    </row>
    <row r="823" spans="1:9">
      <c r="A823" s="5" t="str">
        <f t="shared" si="21"/>
        <v>106000105</v>
      </c>
      <c r="B823" s="58">
        <v>32000110</v>
      </c>
      <c r="C823" s="5" t="s">
        <v>108</v>
      </c>
      <c r="D823" s="5" t="s">
        <v>1539</v>
      </c>
      <c r="E823" s="73" t="s">
        <v>1540</v>
      </c>
      <c r="F823" s="73"/>
      <c r="G823" s="73">
        <v>5</v>
      </c>
      <c r="H823" s="58" t="s">
        <v>1547</v>
      </c>
      <c r="I823" s="58"/>
    </row>
    <row r="824" spans="1:9">
      <c r="A824" s="5" t="str">
        <f t="shared" si="21"/>
        <v>106000106</v>
      </c>
      <c r="B824" s="58">
        <v>72000110</v>
      </c>
      <c r="C824" s="5" t="s">
        <v>96</v>
      </c>
      <c r="D824" s="5" t="s">
        <v>1539</v>
      </c>
      <c r="E824" s="73" t="s">
        <v>1540</v>
      </c>
      <c r="F824" s="73" t="s">
        <v>1546</v>
      </c>
      <c r="G824" s="73">
        <v>6</v>
      </c>
      <c r="H824" s="58" t="s">
        <v>1548</v>
      </c>
      <c r="I824" s="58"/>
    </row>
    <row r="825" spans="1:9">
      <c r="A825" s="5" t="str">
        <f t="shared" si="21"/>
        <v>106000201</v>
      </c>
      <c r="B825" s="58">
        <v>33000110</v>
      </c>
      <c r="C825" s="5" t="s">
        <v>124</v>
      </c>
      <c r="D825" s="5" t="s">
        <v>1549</v>
      </c>
      <c r="E825" s="73" t="s">
        <v>1550</v>
      </c>
      <c r="F825" s="73"/>
      <c r="G825" s="73">
        <v>1</v>
      </c>
      <c r="H825" s="58" t="s">
        <v>1551</v>
      </c>
      <c r="I825" s="58"/>
    </row>
    <row r="826" spans="1:9">
      <c r="A826" s="5" t="str">
        <f t="shared" si="21"/>
        <v>106000202</v>
      </c>
      <c r="B826" s="58">
        <v>53000110</v>
      </c>
      <c r="C826" s="5" t="s">
        <v>120</v>
      </c>
      <c r="D826" s="5" t="s">
        <v>1549</v>
      </c>
      <c r="E826" s="73" t="s">
        <v>1550</v>
      </c>
      <c r="F826" s="73"/>
      <c r="G826" s="73">
        <v>2</v>
      </c>
      <c r="H826" s="58" t="s">
        <v>1552</v>
      </c>
      <c r="I826" s="58"/>
    </row>
    <row r="827" spans="1:9">
      <c r="A827" s="5" t="str">
        <f t="shared" si="21"/>
        <v>106000203</v>
      </c>
      <c r="B827" s="58">
        <v>33000210</v>
      </c>
      <c r="C827" s="5" t="s">
        <v>125</v>
      </c>
      <c r="D827" s="5" t="s">
        <v>1549</v>
      </c>
      <c r="E827" s="73" t="s">
        <v>1550</v>
      </c>
      <c r="F827" s="73"/>
      <c r="G827" s="73">
        <v>3</v>
      </c>
      <c r="H827" s="58" t="s">
        <v>1553</v>
      </c>
      <c r="I827" s="58"/>
    </row>
    <row r="828" spans="1:9">
      <c r="A828" s="5" t="str">
        <f t="shared" si="21"/>
        <v>106000204</v>
      </c>
      <c r="B828" s="58">
        <v>51000210</v>
      </c>
      <c r="C828" s="5" t="s">
        <v>90</v>
      </c>
      <c r="D828" s="5" t="s">
        <v>1549</v>
      </c>
      <c r="E828" s="73" t="s">
        <v>1550</v>
      </c>
      <c r="F828" s="73"/>
      <c r="G828" s="73">
        <v>4</v>
      </c>
      <c r="H828" s="58" t="s">
        <v>1554</v>
      </c>
      <c r="I828" s="58"/>
    </row>
    <row r="829" spans="1:9">
      <c r="A829" s="5" t="str">
        <f t="shared" si="21"/>
        <v>106000301</v>
      </c>
      <c r="B829" s="58">
        <v>71000110</v>
      </c>
      <c r="C829" s="5" t="s">
        <v>86</v>
      </c>
      <c r="D829" s="5" t="s">
        <v>1555</v>
      </c>
      <c r="E829" s="73" t="s">
        <v>1556</v>
      </c>
      <c r="F829" s="73"/>
      <c r="G829" s="73">
        <v>1</v>
      </c>
      <c r="H829" s="58" t="s">
        <v>1557</v>
      </c>
      <c r="I829" s="58"/>
    </row>
    <row r="830" spans="1:9">
      <c r="A830" s="5" t="str">
        <f t="shared" si="21"/>
        <v>106000302</v>
      </c>
      <c r="B830" s="58">
        <v>32000110</v>
      </c>
      <c r="C830" s="5" t="s">
        <v>108</v>
      </c>
      <c r="D830" s="5" t="s">
        <v>1555</v>
      </c>
      <c r="E830" s="73" t="s">
        <v>1556</v>
      </c>
      <c r="F830" s="73"/>
      <c r="G830" s="73">
        <v>2</v>
      </c>
      <c r="H830" s="58" t="s">
        <v>1558</v>
      </c>
      <c r="I830" s="58"/>
    </row>
    <row r="831" spans="1:9">
      <c r="A831" s="5" t="str">
        <f t="shared" si="21"/>
        <v>106000401</v>
      </c>
      <c r="B831" s="58">
        <v>51000110</v>
      </c>
      <c r="C831" s="5" t="s">
        <v>89</v>
      </c>
      <c r="D831" s="5" t="s">
        <v>1560</v>
      </c>
      <c r="E831" s="73" t="s">
        <v>1561</v>
      </c>
      <c r="F831" s="73"/>
      <c r="G831" s="73">
        <v>1</v>
      </c>
      <c r="H831" s="58" t="s">
        <v>1562</v>
      </c>
      <c r="I831" s="58"/>
    </row>
    <row r="832" spans="1:9">
      <c r="A832" s="5" t="str">
        <f t="shared" si="21"/>
        <v>106000402</v>
      </c>
      <c r="B832" s="58">
        <v>73000210</v>
      </c>
      <c r="C832" s="5" t="s">
        <v>116</v>
      </c>
      <c r="D832" s="5" t="s">
        <v>1560</v>
      </c>
      <c r="E832" s="73" t="s">
        <v>1561</v>
      </c>
      <c r="F832" s="73" t="s">
        <v>1559</v>
      </c>
      <c r="G832" s="73">
        <v>2</v>
      </c>
      <c r="H832" s="58" t="s">
        <v>1742</v>
      </c>
      <c r="I832" s="58"/>
    </row>
    <row r="833" spans="1:9">
      <c r="A833" s="5" t="str">
        <f t="shared" si="21"/>
        <v>106000403</v>
      </c>
      <c r="B833" s="58">
        <v>51000210</v>
      </c>
      <c r="C833" s="5" t="s">
        <v>90</v>
      </c>
      <c r="D833" s="5" t="s">
        <v>1560</v>
      </c>
      <c r="E833" s="73" t="s">
        <v>1561</v>
      </c>
      <c r="F833" s="73"/>
      <c r="G833" s="73">
        <v>3</v>
      </c>
      <c r="H833" s="58" t="s">
        <v>1563</v>
      </c>
      <c r="I833" s="58"/>
    </row>
    <row r="834" spans="1:9">
      <c r="A834" s="5" t="str">
        <f t="shared" si="21"/>
        <v>106000404</v>
      </c>
      <c r="B834" s="58">
        <v>73000210</v>
      </c>
      <c r="C834" s="5" t="s">
        <v>116</v>
      </c>
      <c r="D834" s="5" t="s">
        <v>1560</v>
      </c>
      <c r="E834" s="73" t="s">
        <v>1561</v>
      </c>
      <c r="F834" s="73" t="s">
        <v>1564</v>
      </c>
      <c r="G834" s="73">
        <v>4</v>
      </c>
      <c r="H834" s="58" t="s">
        <v>1565</v>
      </c>
      <c r="I834" s="58"/>
    </row>
    <row r="835" spans="1:9">
      <c r="A835" s="5" t="str">
        <f t="shared" si="21"/>
        <v>106000501</v>
      </c>
      <c r="B835" s="58">
        <v>94000210</v>
      </c>
      <c r="C835" s="5" t="s">
        <v>127</v>
      </c>
      <c r="D835" s="5" t="s">
        <v>1566</v>
      </c>
      <c r="E835" s="73" t="s">
        <v>1567</v>
      </c>
      <c r="F835" s="73"/>
      <c r="G835" s="73">
        <v>1</v>
      </c>
      <c r="H835" s="58" t="s">
        <v>1568</v>
      </c>
      <c r="I835" s="58"/>
    </row>
    <row r="836" spans="1:9">
      <c r="A836" s="5" t="str">
        <f t="shared" si="21"/>
        <v>106000502</v>
      </c>
      <c r="B836" s="58">
        <v>72000510</v>
      </c>
      <c r="C836" s="5" t="s">
        <v>100</v>
      </c>
      <c r="D836" s="5" t="s">
        <v>1566</v>
      </c>
      <c r="E836" s="73" t="s">
        <v>1567</v>
      </c>
      <c r="F836" s="73"/>
      <c r="G836" s="73">
        <v>2</v>
      </c>
      <c r="H836" s="58" t="s">
        <v>1569</v>
      </c>
      <c r="I836" s="58"/>
    </row>
    <row r="837" spans="1:9">
      <c r="A837" s="5" t="str">
        <f t="shared" si="21"/>
        <v>106000503</v>
      </c>
      <c r="B837" s="58">
        <v>93000410</v>
      </c>
      <c r="C837" s="5" t="s">
        <v>113</v>
      </c>
      <c r="D837" s="5" t="s">
        <v>1566</v>
      </c>
      <c r="E837" s="73" t="s">
        <v>1567</v>
      </c>
      <c r="F837" s="73"/>
      <c r="G837" s="73">
        <v>3</v>
      </c>
      <c r="H837" s="58" t="s">
        <v>1570</v>
      </c>
      <c r="I837" s="58"/>
    </row>
    <row r="838" spans="1:9">
      <c r="A838" s="5" t="str">
        <f t="shared" si="21"/>
        <v>106000601</v>
      </c>
      <c r="B838" s="58">
        <v>72000310</v>
      </c>
      <c r="C838" s="5" t="s">
        <v>98</v>
      </c>
      <c r="D838" s="5" t="s">
        <v>1571</v>
      </c>
      <c r="E838" s="73" t="s">
        <v>1572</v>
      </c>
      <c r="F838" s="73"/>
      <c r="G838" s="73">
        <v>1</v>
      </c>
      <c r="H838" s="58" t="s">
        <v>1573</v>
      </c>
      <c r="I838" s="58"/>
    </row>
    <row r="839" spans="1:9">
      <c r="A839" s="5" t="str">
        <f t="shared" si="21"/>
        <v>106000602</v>
      </c>
      <c r="B839" s="58">
        <v>34000110</v>
      </c>
      <c r="C839" s="5" t="s">
        <v>132</v>
      </c>
      <c r="D839" s="5" t="s">
        <v>1571</v>
      </c>
      <c r="E839" s="73" t="s">
        <v>1572</v>
      </c>
      <c r="F839" s="73"/>
      <c r="G839" s="73">
        <v>2</v>
      </c>
      <c r="H839" s="58" t="s">
        <v>1574</v>
      </c>
      <c r="I839" s="58"/>
    </row>
    <row r="840" spans="1:9">
      <c r="A840" s="5" t="str">
        <f t="shared" si="21"/>
        <v>106000603</v>
      </c>
      <c r="B840" s="58">
        <v>72000510</v>
      </c>
      <c r="C840" s="5" t="s">
        <v>100</v>
      </c>
      <c r="D840" s="5" t="s">
        <v>1571</v>
      </c>
      <c r="E840" s="73" t="s">
        <v>1572</v>
      </c>
      <c r="F840" s="73"/>
      <c r="G840" s="73">
        <v>3</v>
      </c>
      <c r="H840" s="58" t="s">
        <v>1575</v>
      </c>
      <c r="I840" s="58"/>
    </row>
    <row r="841" spans="1:9">
      <c r="A841" s="5" t="str">
        <f t="shared" si="21"/>
        <v>106000701</v>
      </c>
      <c r="B841" s="58">
        <v>73000410</v>
      </c>
      <c r="C841" s="5" t="s">
        <v>118</v>
      </c>
      <c r="D841" s="5" t="s">
        <v>1576</v>
      </c>
      <c r="E841" s="73" t="s">
        <v>1577</v>
      </c>
      <c r="F841" s="73"/>
      <c r="G841" s="73">
        <v>1</v>
      </c>
      <c r="H841" s="58" t="s">
        <v>1578</v>
      </c>
      <c r="I841" s="58"/>
    </row>
    <row r="842" spans="1:9">
      <c r="A842" s="5" t="str">
        <f t="shared" si="21"/>
        <v>106000801</v>
      </c>
      <c r="B842" s="58">
        <v>52000110</v>
      </c>
      <c r="C842" s="5" t="s">
        <v>103</v>
      </c>
      <c r="D842" s="5" t="s">
        <v>1579</v>
      </c>
      <c r="E842" s="73" t="s">
        <v>1580</v>
      </c>
      <c r="F842" s="73"/>
      <c r="G842" s="73">
        <v>1</v>
      </c>
      <c r="H842" s="58" t="s">
        <v>1581</v>
      </c>
      <c r="I842" s="58"/>
    </row>
    <row r="843" spans="1:9">
      <c r="A843" s="5" t="str">
        <f t="shared" si="21"/>
        <v>106000802</v>
      </c>
      <c r="B843" s="58">
        <v>92000310</v>
      </c>
      <c r="C843" s="5" t="s">
        <v>93</v>
      </c>
      <c r="D843" s="5" t="s">
        <v>1579</v>
      </c>
      <c r="E843" s="73" t="s">
        <v>1580</v>
      </c>
      <c r="F843" s="73"/>
      <c r="G843" s="73">
        <v>2</v>
      </c>
      <c r="H843" s="58" t="s">
        <v>1582</v>
      </c>
      <c r="I843" s="58"/>
    </row>
    <row r="844" spans="1:9">
      <c r="A844" s="5" t="str">
        <f t="shared" si="21"/>
        <v>106000803</v>
      </c>
      <c r="B844" s="58">
        <v>93000410</v>
      </c>
      <c r="C844" s="5" t="s">
        <v>113</v>
      </c>
      <c r="D844" s="5" t="s">
        <v>1579</v>
      </c>
      <c r="E844" s="73" t="s">
        <v>1580</v>
      </c>
      <c r="F844" s="73"/>
      <c r="G844" s="73">
        <v>3</v>
      </c>
      <c r="H844" s="58" t="s">
        <v>1583</v>
      </c>
      <c r="I844" s="58"/>
    </row>
    <row r="845" spans="1:9">
      <c r="A845" s="5" t="str">
        <f t="shared" si="21"/>
        <v>106000901</v>
      </c>
      <c r="B845" s="58">
        <v>54000110</v>
      </c>
      <c r="C845" s="5" t="s">
        <v>131</v>
      </c>
      <c r="D845" s="5" t="s">
        <v>1584</v>
      </c>
      <c r="E845" s="73" t="s">
        <v>1585</v>
      </c>
      <c r="F845" s="73"/>
      <c r="G845" s="73">
        <v>1</v>
      </c>
      <c r="H845" s="58" t="s">
        <v>1586</v>
      </c>
      <c r="I845" s="58"/>
    </row>
    <row r="846" spans="1:9">
      <c r="A846" s="5" t="str">
        <f t="shared" ref="A846:A909" si="22">(E846*10)&amp;G846</f>
        <v>106000902</v>
      </c>
      <c r="B846" s="58">
        <v>73000110</v>
      </c>
      <c r="C846" s="5" t="s">
        <v>115</v>
      </c>
      <c r="D846" s="5" t="s">
        <v>1584</v>
      </c>
      <c r="E846" s="73" t="s">
        <v>1585</v>
      </c>
      <c r="F846" s="73"/>
      <c r="G846" s="73">
        <v>2</v>
      </c>
      <c r="H846" s="58" t="s">
        <v>1587</v>
      </c>
      <c r="I846" s="58"/>
    </row>
    <row r="847" spans="1:9">
      <c r="A847" s="5" t="str">
        <f t="shared" si="22"/>
        <v>106001001</v>
      </c>
      <c r="B847" s="58">
        <v>93000410</v>
      </c>
      <c r="C847" s="5" t="s">
        <v>113</v>
      </c>
      <c r="D847" s="5" t="s">
        <v>1589</v>
      </c>
      <c r="E847" s="73" t="s">
        <v>1590</v>
      </c>
      <c r="F847" s="73"/>
      <c r="G847" s="73">
        <v>1</v>
      </c>
      <c r="H847" s="58" t="s">
        <v>1591</v>
      </c>
      <c r="I847" s="58"/>
    </row>
    <row r="848" spans="1:9">
      <c r="A848" s="5" t="str">
        <f t="shared" si="22"/>
        <v>106001002</v>
      </c>
      <c r="B848" s="58">
        <v>92000310</v>
      </c>
      <c r="C848" s="5" t="s">
        <v>93</v>
      </c>
      <c r="D848" s="5" t="s">
        <v>1589</v>
      </c>
      <c r="E848" s="73" t="s">
        <v>1590</v>
      </c>
      <c r="F848" s="73" t="s">
        <v>1588</v>
      </c>
      <c r="G848" s="73">
        <v>2</v>
      </c>
      <c r="H848" s="58" t="s">
        <v>1592</v>
      </c>
      <c r="I848" s="58"/>
    </row>
    <row r="849" spans="1:9">
      <c r="A849" s="5" t="str">
        <f t="shared" si="22"/>
        <v>106001003</v>
      </c>
      <c r="B849" s="58">
        <v>74000110</v>
      </c>
      <c r="C849" s="5" t="s">
        <v>129</v>
      </c>
      <c r="D849" s="5" t="s">
        <v>1589</v>
      </c>
      <c r="E849" s="73" t="s">
        <v>1590</v>
      </c>
      <c r="F849" s="73"/>
      <c r="G849" s="73">
        <v>3</v>
      </c>
      <c r="H849" s="58" t="s">
        <v>1593</v>
      </c>
      <c r="I849" s="58"/>
    </row>
    <row r="850" spans="1:9">
      <c r="A850" s="5" t="str">
        <f t="shared" si="22"/>
        <v>106001004</v>
      </c>
      <c r="B850" s="58">
        <v>94000110</v>
      </c>
      <c r="C850" s="5" t="s">
        <v>126</v>
      </c>
      <c r="D850" s="5" t="s">
        <v>1589</v>
      </c>
      <c r="E850" s="73" t="s">
        <v>1590</v>
      </c>
      <c r="F850" s="73"/>
      <c r="G850" s="73">
        <v>4</v>
      </c>
      <c r="H850" s="58" t="s">
        <v>1594</v>
      </c>
      <c r="I850" s="58"/>
    </row>
    <row r="851" spans="1:9">
      <c r="A851" s="5" t="str">
        <f t="shared" si="22"/>
        <v>106001101</v>
      </c>
      <c r="B851" s="58">
        <v>34000110</v>
      </c>
      <c r="C851" s="5" t="s">
        <v>132</v>
      </c>
      <c r="D851" s="5" t="s">
        <v>1595</v>
      </c>
      <c r="E851" s="73" t="s">
        <v>1596</v>
      </c>
      <c r="F851" s="73"/>
      <c r="G851" s="73">
        <v>1</v>
      </c>
      <c r="H851" s="58" t="s">
        <v>1597</v>
      </c>
      <c r="I851" s="58"/>
    </row>
    <row r="852" spans="1:9">
      <c r="A852" s="5" t="str">
        <f t="shared" si="22"/>
        <v>106001102</v>
      </c>
      <c r="B852" s="58">
        <v>72000410</v>
      </c>
      <c r="C852" s="5" t="s">
        <v>99</v>
      </c>
      <c r="D852" s="5" t="s">
        <v>1595</v>
      </c>
      <c r="E852" s="73" t="s">
        <v>1596</v>
      </c>
      <c r="F852" s="73"/>
      <c r="G852" s="73">
        <v>2</v>
      </c>
      <c r="H852" s="58" t="s">
        <v>1598</v>
      </c>
      <c r="I852" s="58"/>
    </row>
    <row r="853" spans="1:9">
      <c r="A853" s="5" t="str">
        <f t="shared" si="22"/>
        <v>106001103</v>
      </c>
      <c r="B853" s="58">
        <v>52000410</v>
      </c>
      <c r="C853" s="5" t="s">
        <v>106</v>
      </c>
      <c r="D853" s="5" t="s">
        <v>1595</v>
      </c>
      <c r="E853" s="73" t="s">
        <v>1596</v>
      </c>
      <c r="F853" s="73"/>
      <c r="G853" s="73">
        <v>3</v>
      </c>
      <c r="H853" s="58" t="s">
        <v>1599</v>
      </c>
      <c r="I853" s="58"/>
    </row>
    <row r="854" spans="1:9">
      <c r="A854" s="5" t="str">
        <f t="shared" si="22"/>
        <v>106001201</v>
      </c>
      <c r="B854" s="58">
        <v>93000110</v>
      </c>
      <c r="C854" s="5" t="s">
        <v>110</v>
      </c>
      <c r="D854" s="5" t="s">
        <v>1600</v>
      </c>
      <c r="E854" s="73" t="s">
        <v>1601</v>
      </c>
      <c r="F854" s="73"/>
      <c r="G854" s="73">
        <v>1</v>
      </c>
      <c r="H854" s="58" t="s">
        <v>1602</v>
      </c>
      <c r="I854" s="58"/>
    </row>
    <row r="855" spans="1:9">
      <c r="A855" s="5" t="str">
        <f t="shared" si="22"/>
        <v>106001202</v>
      </c>
      <c r="B855" s="58">
        <v>92000410</v>
      </c>
      <c r="C855" s="5" t="s">
        <v>94</v>
      </c>
      <c r="D855" s="5" t="s">
        <v>1600</v>
      </c>
      <c r="E855" s="73" t="s">
        <v>1601</v>
      </c>
      <c r="F855" s="73"/>
      <c r="G855" s="73">
        <v>2</v>
      </c>
      <c r="H855" s="58" t="s">
        <v>1603</v>
      </c>
      <c r="I855" s="58"/>
    </row>
    <row r="856" spans="1:9">
      <c r="A856" s="5" t="str">
        <f t="shared" si="22"/>
        <v>106001203</v>
      </c>
      <c r="B856" s="58">
        <v>73000510</v>
      </c>
      <c r="C856" s="5" t="s">
        <v>119</v>
      </c>
      <c r="D856" s="5" t="s">
        <v>1600</v>
      </c>
      <c r="E856" s="73" t="s">
        <v>1601</v>
      </c>
      <c r="F856" s="73"/>
      <c r="G856" s="73">
        <v>3</v>
      </c>
      <c r="H856" s="58" t="s">
        <v>1604</v>
      </c>
      <c r="I856" s="58"/>
    </row>
    <row r="857" spans="1:9">
      <c r="A857" s="5" t="str">
        <f t="shared" si="22"/>
        <v>106001301</v>
      </c>
      <c r="B857" s="58">
        <v>72000610</v>
      </c>
      <c r="C857" s="5" t="s">
        <v>101</v>
      </c>
      <c r="D857" s="5" t="s">
        <v>1605</v>
      </c>
      <c r="E857" s="73" t="s">
        <v>1606</v>
      </c>
      <c r="F857" s="73"/>
      <c r="G857" s="73">
        <v>1</v>
      </c>
      <c r="H857" s="58" t="s">
        <v>1607</v>
      </c>
      <c r="I857" s="58"/>
    </row>
    <row r="858" spans="1:9">
      <c r="A858" s="5" t="str">
        <f t="shared" si="22"/>
        <v>106001302</v>
      </c>
      <c r="B858" s="58">
        <v>72000510</v>
      </c>
      <c r="C858" s="5" t="s">
        <v>100</v>
      </c>
      <c r="D858" s="5" t="s">
        <v>1605</v>
      </c>
      <c r="E858" s="73" t="s">
        <v>1606</v>
      </c>
      <c r="F858" s="73"/>
      <c r="G858" s="73">
        <v>2</v>
      </c>
      <c r="H858" s="58" t="s">
        <v>1608</v>
      </c>
      <c r="I858" s="58"/>
    </row>
    <row r="859" spans="1:9">
      <c r="A859" s="5" t="str">
        <f t="shared" si="22"/>
        <v>106001303</v>
      </c>
      <c r="B859" s="58">
        <v>91000210</v>
      </c>
      <c r="C859" s="5" t="s">
        <v>85</v>
      </c>
      <c r="D859" s="5" t="s">
        <v>1605</v>
      </c>
      <c r="E859" s="73" t="s">
        <v>1606</v>
      </c>
      <c r="F859" s="73"/>
      <c r="G859" s="73">
        <v>3</v>
      </c>
      <c r="H859" s="58" t="s">
        <v>1609</v>
      </c>
      <c r="I859" s="58"/>
    </row>
    <row r="860" spans="1:9">
      <c r="A860" s="5" t="str">
        <f t="shared" si="22"/>
        <v>106001401</v>
      </c>
      <c r="B860" s="58">
        <v>91000210</v>
      </c>
      <c r="C860" s="5" t="s">
        <v>85</v>
      </c>
      <c r="D860" s="5" t="s">
        <v>1610</v>
      </c>
      <c r="E860" s="73" t="s">
        <v>1611</v>
      </c>
      <c r="F860" s="73"/>
      <c r="G860" s="73">
        <v>1</v>
      </c>
      <c r="H860" s="58" t="s">
        <v>1612</v>
      </c>
      <c r="I860" s="58"/>
    </row>
    <row r="861" spans="1:9">
      <c r="A861" s="5" t="str">
        <f t="shared" si="22"/>
        <v>106001402</v>
      </c>
      <c r="B861" s="58">
        <v>33000210</v>
      </c>
      <c r="C861" s="5" t="s">
        <v>125</v>
      </c>
      <c r="D861" s="5" t="s">
        <v>1610</v>
      </c>
      <c r="E861" s="73" t="s">
        <v>1611</v>
      </c>
      <c r="F861" s="73"/>
      <c r="G861" s="73">
        <v>2</v>
      </c>
      <c r="H861" s="58" t="s">
        <v>1613</v>
      </c>
      <c r="I861" s="58"/>
    </row>
    <row r="862" spans="1:9">
      <c r="A862" s="5" t="str">
        <f t="shared" si="22"/>
        <v>106001403</v>
      </c>
      <c r="B862" s="58">
        <v>72000410</v>
      </c>
      <c r="C862" s="5" t="s">
        <v>99</v>
      </c>
      <c r="D862" s="5" t="s">
        <v>1610</v>
      </c>
      <c r="E862" s="73" t="s">
        <v>1611</v>
      </c>
      <c r="F862" s="73"/>
      <c r="G862" s="73">
        <v>3</v>
      </c>
      <c r="H862" s="58" t="s">
        <v>1614</v>
      </c>
      <c r="I862" s="58"/>
    </row>
    <row r="863" spans="1:9">
      <c r="A863" s="5" t="str">
        <f t="shared" si="22"/>
        <v>107000101</v>
      </c>
      <c r="B863" s="58" t="s">
        <v>1698</v>
      </c>
      <c r="C863" s="5" t="s">
        <v>1950</v>
      </c>
      <c r="D863" s="5" t="s">
        <v>1476</v>
      </c>
      <c r="E863" s="73" t="s">
        <v>1936</v>
      </c>
      <c r="F863" s="73"/>
      <c r="G863" s="73">
        <v>1</v>
      </c>
      <c r="H863" s="14" t="s">
        <v>1866</v>
      </c>
      <c r="I863" s="14"/>
    </row>
    <row r="864" spans="1:9">
      <c r="A864" s="5" t="str">
        <f t="shared" si="22"/>
        <v>107000102</v>
      </c>
      <c r="B864" s="58" t="s">
        <v>1958</v>
      </c>
      <c r="C864" s="5" t="s">
        <v>1834</v>
      </c>
      <c r="D864" s="5" t="str">
        <f>D863</f>
        <v>메아 (월드레이드)</v>
      </c>
      <c r="E864" s="73" t="str">
        <f t="shared" ref="E864:E866" si="23">E863</f>
        <v>1070001</v>
      </c>
      <c r="F864" s="18">
        <v>107000101</v>
      </c>
      <c r="G864" s="73">
        <v>2</v>
      </c>
      <c r="H864" s="14" t="s">
        <v>1867</v>
      </c>
      <c r="I864" s="14"/>
    </row>
    <row r="865" spans="1:9">
      <c r="A865" s="5" t="str">
        <f t="shared" si="22"/>
        <v>107000103</v>
      </c>
      <c r="B865" s="58" t="s">
        <v>1959</v>
      </c>
      <c r="C865" s="5" t="s">
        <v>1835</v>
      </c>
      <c r="D865" s="5" t="str">
        <f t="shared" ref="D865:D866" si="24">D864</f>
        <v>메아 (월드레이드)</v>
      </c>
      <c r="E865" s="73" t="str">
        <f t="shared" si="23"/>
        <v>1070001</v>
      </c>
      <c r="F865" s="73"/>
      <c r="G865" s="73">
        <v>3</v>
      </c>
      <c r="H865" s="14" t="s">
        <v>1868</v>
      </c>
      <c r="I865" s="14"/>
    </row>
    <row r="866" spans="1:9">
      <c r="A866" s="5" t="str">
        <f t="shared" si="22"/>
        <v>107000104</v>
      </c>
      <c r="B866" s="58" t="s">
        <v>1960</v>
      </c>
      <c r="C866" s="5" t="s">
        <v>1954</v>
      </c>
      <c r="D866" s="5" t="str">
        <f t="shared" si="24"/>
        <v>메아 (월드레이드)</v>
      </c>
      <c r="E866" s="73" t="str">
        <f t="shared" si="23"/>
        <v>1070001</v>
      </c>
      <c r="F866" s="18">
        <v>107000103</v>
      </c>
      <c r="G866" s="73">
        <v>4</v>
      </c>
      <c r="H866" s="14" t="s">
        <v>1869</v>
      </c>
      <c r="I866" s="14"/>
    </row>
    <row r="867" spans="1:9">
      <c r="A867" s="5" t="str">
        <f t="shared" si="22"/>
        <v>107000201</v>
      </c>
      <c r="B867" s="58" t="s">
        <v>1961</v>
      </c>
      <c r="C867" s="5" t="s">
        <v>1836</v>
      </c>
      <c r="D867" s="5" t="s">
        <v>1477</v>
      </c>
      <c r="E867" s="73" t="s">
        <v>1937</v>
      </c>
      <c r="F867" s="73"/>
      <c r="G867" s="73">
        <v>1</v>
      </c>
      <c r="H867" s="14" t="s">
        <v>1870</v>
      </c>
      <c r="I867" s="14"/>
    </row>
    <row r="868" spans="1:9">
      <c r="A868" s="5" t="str">
        <f t="shared" si="22"/>
        <v>107000202</v>
      </c>
      <c r="B868" s="58" t="s">
        <v>1962</v>
      </c>
      <c r="C868" s="5" t="s">
        <v>1837</v>
      </c>
      <c r="D868" s="5" t="str">
        <f t="shared" ref="D868:D872" si="25">D867</f>
        <v>유나 (월드레이드)</v>
      </c>
      <c r="E868" s="73" t="str">
        <f t="shared" ref="E868:E872" si="26">E867</f>
        <v>1070002</v>
      </c>
      <c r="F868" s="73"/>
      <c r="G868" s="73">
        <v>2</v>
      </c>
      <c r="H868" s="14" t="s">
        <v>1871</v>
      </c>
      <c r="I868" s="14"/>
    </row>
    <row r="869" spans="1:9">
      <c r="A869" s="5" t="str">
        <f t="shared" si="22"/>
        <v>107000203</v>
      </c>
      <c r="B869" s="58" t="s">
        <v>1963</v>
      </c>
      <c r="C869" s="5" t="s">
        <v>1838</v>
      </c>
      <c r="D869" s="5" t="str">
        <f t="shared" si="25"/>
        <v>유나 (월드레이드)</v>
      </c>
      <c r="E869" s="73" t="str">
        <f t="shared" si="26"/>
        <v>1070002</v>
      </c>
      <c r="F869" s="73"/>
      <c r="G869" s="73">
        <v>3</v>
      </c>
      <c r="H869" s="14" t="s">
        <v>1872</v>
      </c>
      <c r="I869" s="14"/>
    </row>
    <row r="870" spans="1:9">
      <c r="A870" s="5" t="str">
        <f t="shared" si="22"/>
        <v>107000204</v>
      </c>
      <c r="B870" s="58" t="s">
        <v>1964</v>
      </c>
      <c r="C870" s="5" t="s">
        <v>1839</v>
      </c>
      <c r="D870" s="5" t="str">
        <f t="shared" si="25"/>
        <v>유나 (월드레이드)</v>
      </c>
      <c r="E870" s="73" t="str">
        <f t="shared" si="26"/>
        <v>1070002</v>
      </c>
      <c r="F870" s="18" t="s">
        <v>1813</v>
      </c>
      <c r="G870" s="73">
        <v>4</v>
      </c>
      <c r="H870" s="14" t="s">
        <v>1873</v>
      </c>
      <c r="I870" s="14"/>
    </row>
    <row r="871" spans="1:9">
      <c r="A871" s="5" t="str">
        <f t="shared" si="22"/>
        <v>107000205</v>
      </c>
      <c r="B871" s="58" t="s">
        <v>1965</v>
      </c>
      <c r="C871" s="5" t="s">
        <v>1955</v>
      </c>
      <c r="D871" s="5" t="str">
        <f t="shared" si="25"/>
        <v>유나 (월드레이드)</v>
      </c>
      <c r="E871" s="73" t="str">
        <f t="shared" si="26"/>
        <v>1070002</v>
      </c>
      <c r="F871" s="18" t="s">
        <v>1813</v>
      </c>
      <c r="G871" s="73">
        <v>5</v>
      </c>
      <c r="H871" s="14" t="s">
        <v>1874</v>
      </c>
      <c r="I871" s="14"/>
    </row>
    <row r="872" spans="1:9">
      <c r="A872" s="5" t="str">
        <f t="shared" si="22"/>
        <v>107000206</v>
      </c>
      <c r="B872" s="58" t="s">
        <v>1964</v>
      </c>
      <c r="C872" s="5" t="s">
        <v>1839</v>
      </c>
      <c r="D872" s="5" t="str">
        <f t="shared" si="25"/>
        <v>유나 (월드레이드)</v>
      </c>
      <c r="E872" s="73" t="str">
        <f t="shared" si="26"/>
        <v>1070002</v>
      </c>
      <c r="F872" s="18" t="s">
        <v>1813</v>
      </c>
      <c r="G872" s="73">
        <v>6</v>
      </c>
      <c r="H872" s="14" t="s">
        <v>1875</v>
      </c>
      <c r="I872" s="14"/>
    </row>
    <row r="873" spans="1:9">
      <c r="A873" s="5" t="str">
        <f t="shared" si="22"/>
        <v>107000301</v>
      </c>
      <c r="B873" s="58" t="s">
        <v>1966</v>
      </c>
      <c r="C873" s="5" t="s">
        <v>1956</v>
      </c>
      <c r="D873" s="5" t="s">
        <v>1478</v>
      </c>
      <c r="E873" s="73" t="s">
        <v>1938</v>
      </c>
      <c r="F873" s="73"/>
      <c r="G873" s="73">
        <v>1</v>
      </c>
      <c r="H873" s="14" t="s">
        <v>1876</v>
      </c>
      <c r="I873" s="14"/>
    </row>
    <row r="874" spans="1:9">
      <c r="A874" s="5" t="str">
        <f t="shared" si="22"/>
        <v>107000302</v>
      </c>
      <c r="B874" s="58">
        <v>10000110</v>
      </c>
      <c r="C874" s="5" t="s">
        <v>1957</v>
      </c>
      <c r="D874" s="5" t="str">
        <f t="shared" ref="D874:D877" si="27">D873</f>
        <v>세라펄사 (월드레이드)</v>
      </c>
      <c r="E874" s="73" t="str">
        <f t="shared" ref="E874:E877" si="28">E873</f>
        <v>1070003</v>
      </c>
      <c r="F874" s="18" t="s">
        <v>1814</v>
      </c>
      <c r="G874" s="73">
        <v>2</v>
      </c>
      <c r="H874" s="14" t="s">
        <v>1877</v>
      </c>
      <c r="I874" s="14"/>
    </row>
    <row r="875" spans="1:9">
      <c r="A875" s="5" t="str">
        <f t="shared" si="22"/>
        <v>107000303</v>
      </c>
      <c r="B875" s="58" t="s">
        <v>1966</v>
      </c>
      <c r="C875" s="5" t="s">
        <v>1956</v>
      </c>
      <c r="D875" s="5" t="str">
        <f t="shared" si="27"/>
        <v>세라펄사 (월드레이드)</v>
      </c>
      <c r="E875" s="73" t="str">
        <f t="shared" si="28"/>
        <v>1070003</v>
      </c>
      <c r="F875" s="18" t="s">
        <v>1814</v>
      </c>
      <c r="G875" s="73">
        <v>3</v>
      </c>
      <c r="H875" s="14" t="s">
        <v>1878</v>
      </c>
      <c r="I875" s="14"/>
    </row>
    <row r="876" spans="1:9">
      <c r="A876" s="5" t="str">
        <f t="shared" si="22"/>
        <v>107000304</v>
      </c>
      <c r="B876" s="58">
        <v>10000110</v>
      </c>
      <c r="C876" s="5" t="s">
        <v>1957</v>
      </c>
      <c r="D876" s="5" t="str">
        <f t="shared" si="27"/>
        <v>세라펄사 (월드레이드)</v>
      </c>
      <c r="E876" s="73" t="str">
        <f t="shared" si="28"/>
        <v>1070003</v>
      </c>
      <c r="F876" s="18" t="s">
        <v>1814</v>
      </c>
      <c r="G876" s="73">
        <v>4</v>
      </c>
      <c r="H876" s="14" t="s">
        <v>1879</v>
      </c>
      <c r="I876" s="14"/>
    </row>
    <row r="877" spans="1:9">
      <c r="A877" s="5" t="str">
        <f t="shared" si="22"/>
        <v>107000305</v>
      </c>
      <c r="B877" s="58" t="s">
        <v>1967</v>
      </c>
      <c r="C877" s="5" t="s">
        <v>1840</v>
      </c>
      <c r="D877" s="5" t="str">
        <f t="shared" si="27"/>
        <v>세라펄사 (월드레이드)</v>
      </c>
      <c r="E877" s="73" t="str">
        <f t="shared" si="28"/>
        <v>1070003</v>
      </c>
      <c r="F877" s="73"/>
      <c r="G877" s="73">
        <v>5</v>
      </c>
      <c r="H877" s="14" t="s">
        <v>1880</v>
      </c>
      <c r="I877" s="14"/>
    </row>
    <row r="878" spans="1:9">
      <c r="A878" s="5" t="str">
        <f t="shared" si="22"/>
        <v>107000401</v>
      </c>
      <c r="B878" s="58" t="s">
        <v>1968</v>
      </c>
      <c r="C878" s="5" t="s">
        <v>1841</v>
      </c>
      <c r="D878" s="5" t="s">
        <v>1479</v>
      </c>
      <c r="E878" s="73" t="s">
        <v>1939</v>
      </c>
      <c r="F878" s="73"/>
      <c r="G878" s="73">
        <v>1</v>
      </c>
      <c r="H878" s="14" t="s">
        <v>1881</v>
      </c>
      <c r="I878" s="14"/>
    </row>
    <row r="879" spans="1:9">
      <c r="A879" s="5" t="str">
        <f t="shared" si="22"/>
        <v>107000402</v>
      </c>
      <c r="B879" s="58" t="s">
        <v>1968</v>
      </c>
      <c r="C879" s="5" t="s">
        <v>1841</v>
      </c>
      <c r="D879" s="5" t="str">
        <f t="shared" ref="D879:D881" si="29">D878</f>
        <v>아크페이즈 (월드레이드)</v>
      </c>
      <c r="E879" s="73" t="str">
        <f t="shared" ref="E879:E881" si="30">E878</f>
        <v>1070004</v>
      </c>
      <c r="F879" s="73"/>
      <c r="G879" s="73">
        <v>2</v>
      </c>
      <c r="H879" s="14" t="s">
        <v>1882</v>
      </c>
      <c r="I879" s="14"/>
    </row>
    <row r="880" spans="1:9">
      <c r="A880" s="5" t="str">
        <f t="shared" si="22"/>
        <v>107000403</v>
      </c>
      <c r="B880" s="58" t="s">
        <v>1969</v>
      </c>
      <c r="C880" s="5" t="s">
        <v>1842</v>
      </c>
      <c r="D880" s="5" t="str">
        <f t="shared" si="29"/>
        <v>아크페이즈 (월드레이드)</v>
      </c>
      <c r="E880" s="73" t="str">
        <f t="shared" si="30"/>
        <v>1070004</v>
      </c>
      <c r="F880" s="73"/>
      <c r="G880" s="73">
        <v>3</v>
      </c>
      <c r="H880" s="14" t="s">
        <v>1883</v>
      </c>
      <c r="I880" s="14"/>
    </row>
    <row r="881" spans="1:9">
      <c r="A881" s="5" t="str">
        <f t="shared" si="22"/>
        <v>107000404</v>
      </c>
      <c r="B881" s="58" t="s">
        <v>1970</v>
      </c>
      <c r="C881" s="5" t="s">
        <v>1843</v>
      </c>
      <c r="D881" s="5" t="str">
        <f t="shared" si="29"/>
        <v>아크페이즈 (월드레이드)</v>
      </c>
      <c r="E881" s="73" t="str">
        <f t="shared" si="30"/>
        <v>1070004</v>
      </c>
      <c r="F881" s="18" t="s">
        <v>1815</v>
      </c>
      <c r="G881" s="73">
        <v>4</v>
      </c>
      <c r="H881" s="14" t="s">
        <v>1884</v>
      </c>
      <c r="I881" s="14"/>
    </row>
    <row r="882" spans="1:9">
      <c r="A882" s="5" t="str">
        <f t="shared" si="22"/>
        <v>107000501</v>
      </c>
      <c r="B882" s="58" t="s">
        <v>1971</v>
      </c>
      <c r="C882" s="5" t="s">
        <v>1844</v>
      </c>
      <c r="D882" s="5" t="s">
        <v>1480</v>
      </c>
      <c r="E882" s="73" t="s">
        <v>1940</v>
      </c>
      <c r="F882" s="73"/>
      <c r="G882" s="73">
        <v>1</v>
      </c>
      <c r="H882" s="14" t="s">
        <v>1885</v>
      </c>
      <c r="I882" s="14"/>
    </row>
    <row r="883" spans="1:9">
      <c r="A883" s="5" t="str">
        <f t="shared" si="22"/>
        <v>107000502</v>
      </c>
      <c r="B883" s="58" t="s">
        <v>1972</v>
      </c>
      <c r="C883" s="5" t="s">
        <v>1845</v>
      </c>
      <c r="D883" s="5" t="str">
        <f t="shared" ref="D883:D885" si="31">D882</f>
        <v>패트리샤 (월드레이드)</v>
      </c>
      <c r="E883" s="73" t="str">
        <f t="shared" ref="E883:E885" si="32">E882</f>
        <v>1070005</v>
      </c>
      <c r="F883" s="18" t="s">
        <v>1816</v>
      </c>
      <c r="G883" s="73">
        <v>2</v>
      </c>
      <c r="H883" s="14" t="s">
        <v>1886</v>
      </c>
      <c r="I883" s="14"/>
    </row>
    <row r="884" spans="1:9">
      <c r="A884" s="5" t="str">
        <f t="shared" si="22"/>
        <v>107000503</v>
      </c>
      <c r="B884" s="58" t="s">
        <v>1971</v>
      </c>
      <c r="C884" s="5" t="s">
        <v>1844</v>
      </c>
      <c r="D884" s="5" t="str">
        <f t="shared" si="31"/>
        <v>패트리샤 (월드레이드)</v>
      </c>
      <c r="E884" s="73" t="str">
        <f t="shared" si="32"/>
        <v>1070005</v>
      </c>
      <c r="F884" s="18" t="s">
        <v>1816</v>
      </c>
      <c r="G884" s="73">
        <v>3</v>
      </c>
      <c r="H884" s="14" t="s">
        <v>1887</v>
      </c>
      <c r="I884" s="14"/>
    </row>
    <row r="885" spans="1:9">
      <c r="A885" s="5" t="str">
        <f t="shared" si="22"/>
        <v>107000504</v>
      </c>
      <c r="B885" s="58" t="s">
        <v>1973</v>
      </c>
      <c r="C885" s="5" t="s">
        <v>1846</v>
      </c>
      <c r="D885" s="5" t="str">
        <f t="shared" si="31"/>
        <v>패트리샤 (월드레이드)</v>
      </c>
      <c r="E885" s="73" t="str">
        <f t="shared" si="32"/>
        <v>1070005</v>
      </c>
      <c r="F885" s="18" t="s">
        <v>1816</v>
      </c>
      <c r="G885" s="73">
        <v>4</v>
      </c>
      <c r="H885" s="14" t="s">
        <v>1888</v>
      </c>
      <c r="I885" s="14"/>
    </row>
    <row r="886" spans="1:9">
      <c r="A886" s="5" t="str">
        <f t="shared" si="22"/>
        <v>107000601</v>
      </c>
      <c r="B886" s="58" t="s">
        <v>1974</v>
      </c>
      <c r="C886" s="5" t="s">
        <v>1847</v>
      </c>
      <c r="D886" s="5" t="s">
        <v>1743</v>
      </c>
      <c r="E886" s="73" t="s">
        <v>1941</v>
      </c>
      <c r="F886" s="73"/>
      <c r="G886" s="73">
        <v>1</v>
      </c>
      <c r="H886" s="14" t="s">
        <v>1889</v>
      </c>
      <c r="I886" s="14"/>
    </row>
    <row r="887" spans="1:9">
      <c r="A887" s="5" t="str">
        <f t="shared" si="22"/>
        <v>107000602</v>
      </c>
      <c r="B887" s="58" t="s">
        <v>1975</v>
      </c>
      <c r="C887" s="5" t="s">
        <v>1848</v>
      </c>
      <c r="D887" s="5" t="str">
        <f t="shared" ref="D887:D890" si="33">D886</f>
        <v>페이 (길드작전-톡식)</v>
      </c>
      <c r="E887" s="73" t="str">
        <f t="shared" ref="E887:E890" si="34">E886</f>
        <v>1070006</v>
      </c>
      <c r="F887" s="18" t="s">
        <v>1817</v>
      </c>
      <c r="G887" s="73">
        <v>2</v>
      </c>
      <c r="H887" s="14" t="s">
        <v>1890</v>
      </c>
      <c r="I887" s="14"/>
    </row>
    <row r="888" spans="1:9">
      <c r="A888" s="5" t="str">
        <f t="shared" si="22"/>
        <v>107000603</v>
      </c>
      <c r="B888" s="58" t="s">
        <v>1974</v>
      </c>
      <c r="C888" s="5" t="s">
        <v>1847</v>
      </c>
      <c r="D888" s="5" t="str">
        <f t="shared" si="33"/>
        <v>페이 (길드작전-톡식)</v>
      </c>
      <c r="E888" s="73" t="str">
        <f t="shared" si="34"/>
        <v>1070006</v>
      </c>
      <c r="F888" s="18" t="s">
        <v>1817</v>
      </c>
      <c r="G888" s="73">
        <v>3</v>
      </c>
      <c r="H888" s="14" t="s">
        <v>1891</v>
      </c>
      <c r="I888" s="14"/>
    </row>
    <row r="889" spans="1:9">
      <c r="A889" s="5" t="str">
        <f t="shared" si="22"/>
        <v>107000604</v>
      </c>
      <c r="B889" s="58" t="s">
        <v>1976</v>
      </c>
      <c r="C889" s="5" t="s">
        <v>1849</v>
      </c>
      <c r="D889" s="5" t="str">
        <f t="shared" si="33"/>
        <v>페이 (길드작전-톡식)</v>
      </c>
      <c r="E889" s="73" t="str">
        <f t="shared" si="34"/>
        <v>1070006</v>
      </c>
      <c r="F889" s="73"/>
      <c r="G889" s="73">
        <v>4</v>
      </c>
      <c r="H889" s="14" t="s">
        <v>1892</v>
      </c>
      <c r="I889" s="14"/>
    </row>
    <row r="890" spans="1:9">
      <c r="A890" s="5" t="str">
        <f t="shared" si="22"/>
        <v>107000605</v>
      </c>
      <c r="B890" s="58" t="s">
        <v>1974</v>
      </c>
      <c r="C890" s="5" t="s">
        <v>1847</v>
      </c>
      <c r="D890" s="5" t="str">
        <f t="shared" si="33"/>
        <v>페이 (길드작전-톡식)</v>
      </c>
      <c r="E890" s="73" t="str">
        <f t="shared" si="34"/>
        <v>1070006</v>
      </c>
      <c r="F890" s="18" t="s">
        <v>1818</v>
      </c>
      <c r="G890" s="73">
        <v>5</v>
      </c>
      <c r="H890" s="14" t="s">
        <v>1893</v>
      </c>
      <c r="I890" s="14"/>
    </row>
    <row r="891" spans="1:9">
      <c r="A891" s="5" t="str">
        <f t="shared" si="22"/>
        <v>107000701</v>
      </c>
      <c r="B891" s="58" t="s">
        <v>1976</v>
      </c>
      <c r="C891" s="5" t="s">
        <v>1849</v>
      </c>
      <c r="D891" s="5" t="s">
        <v>1744</v>
      </c>
      <c r="E891" s="73" t="s">
        <v>1942</v>
      </c>
      <c r="F891" s="73"/>
      <c r="G891" s="73">
        <v>1</v>
      </c>
      <c r="H891" s="14" t="s">
        <v>1894</v>
      </c>
      <c r="I891" s="14"/>
    </row>
    <row r="892" spans="1:9">
      <c r="A892" s="5" t="str">
        <f t="shared" si="22"/>
        <v>107000702</v>
      </c>
      <c r="B892" s="58" t="s">
        <v>1974</v>
      </c>
      <c r="C892" s="5" t="s">
        <v>1847</v>
      </c>
      <c r="D892" s="5" t="str">
        <f t="shared" ref="D892:D895" si="35">D891</f>
        <v>라일라 (길드작전-톡식)</v>
      </c>
      <c r="E892" s="73" t="str">
        <f t="shared" ref="E892:E895" si="36">E891</f>
        <v>1070007</v>
      </c>
      <c r="F892" s="18" t="s">
        <v>1819</v>
      </c>
      <c r="G892" s="73">
        <v>2</v>
      </c>
      <c r="H892" s="14" t="s">
        <v>1895</v>
      </c>
      <c r="I892" s="14"/>
    </row>
    <row r="893" spans="1:9">
      <c r="A893" s="5" t="str">
        <f t="shared" si="22"/>
        <v>107000703</v>
      </c>
      <c r="B893" s="58" t="s">
        <v>1976</v>
      </c>
      <c r="C893" s="5" t="s">
        <v>1849</v>
      </c>
      <c r="D893" s="5" t="str">
        <f t="shared" si="35"/>
        <v>라일라 (길드작전-톡식)</v>
      </c>
      <c r="E893" s="73" t="str">
        <f t="shared" si="36"/>
        <v>1070007</v>
      </c>
      <c r="F893" s="18" t="s">
        <v>1819</v>
      </c>
      <c r="G893" s="73">
        <v>3</v>
      </c>
      <c r="H893" s="14" t="s">
        <v>1896</v>
      </c>
      <c r="I893" s="14"/>
    </row>
    <row r="894" spans="1:9">
      <c r="A894" s="5" t="str">
        <f t="shared" si="22"/>
        <v>107000704</v>
      </c>
      <c r="B894" s="58" t="s">
        <v>1977</v>
      </c>
      <c r="C894" s="5" t="s">
        <v>1850</v>
      </c>
      <c r="D894" s="5" t="str">
        <f t="shared" si="35"/>
        <v>라일라 (길드작전-톡식)</v>
      </c>
      <c r="E894" s="73" t="str">
        <f t="shared" si="36"/>
        <v>1070007</v>
      </c>
      <c r="F894" s="73"/>
      <c r="G894" s="73">
        <v>4</v>
      </c>
      <c r="H894" s="14" t="s">
        <v>1897</v>
      </c>
      <c r="I894" s="14"/>
    </row>
    <row r="895" spans="1:9">
      <c r="A895" s="5" t="str">
        <f t="shared" si="22"/>
        <v>107000705</v>
      </c>
      <c r="B895" s="58" t="s">
        <v>1976</v>
      </c>
      <c r="C895" s="5" t="s">
        <v>1849</v>
      </c>
      <c r="D895" s="5" t="str">
        <f t="shared" si="35"/>
        <v>라일라 (길드작전-톡식)</v>
      </c>
      <c r="E895" s="73" t="str">
        <f t="shared" si="36"/>
        <v>1070007</v>
      </c>
      <c r="F895" s="18" t="s">
        <v>1820</v>
      </c>
      <c r="G895" s="73">
        <v>5</v>
      </c>
      <c r="H895" s="14" t="s">
        <v>1898</v>
      </c>
      <c r="I895" s="14"/>
    </row>
    <row r="896" spans="1:9">
      <c r="A896" s="5" t="str">
        <f t="shared" si="22"/>
        <v>107000801</v>
      </c>
      <c r="B896" s="58" t="s">
        <v>1978</v>
      </c>
      <c r="C896" s="5" t="s">
        <v>1851</v>
      </c>
      <c r="D896" s="5" t="s">
        <v>1745</v>
      </c>
      <c r="E896" s="73" t="s">
        <v>1943</v>
      </c>
      <c r="F896" s="73"/>
      <c r="G896" s="73">
        <v>1</v>
      </c>
      <c r="H896" s="14" t="s">
        <v>1899</v>
      </c>
      <c r="I896" s="14"/>
    </row>
    <row r="897" spans="1:9">
      <c r="A897" s="5" t="str">
        <f t="shared" si="22"/>
        <v>107000802</v>
      </c>
      <c r="B897" s="58" t="s">
        <v>1979</v>
      </c>
      <c r="C897" s="5" t="s">
        <v>1852</v>
      </c>
      <c r="D897" s="5" t="str">
        <f t="shared" ref="D897:D899" si="37">D896</f>
        <v>이노 (길드작전-골리앗)</v>
      </c>
      <c r="E897" s="73" t="str">
        <f t="shared" ref="E897:E899" si="38">E896</f>
        <v>1070008</v>
      </c>
      <c r="F897" s="18" t="s">
        <v>1821</v>
      </c>
      <c r="G897" s="73">
        <v>2</v>
      </c>
      <c r="H897" s="14" t="s">
        <v>1900</v>
      </c>
      <c r="I897" s="14"/>
    </row>
    <row r="898" spans="1:9">
      <c r="A898" s="5" t="str">
        <f t="shared" si="22"/>
        <v>107000803</v>
      </c>
      <c r="B898" s="58" t="s">
        <v>1980</v>
      </c>
      <c r="C898" s="5" t="s">
        <v>1853</v>
      </c>
      <c r="D898" s="5" t="str">
        <f t="shared" si="37"/>
        <v>이노 (길드작전-골리앗)</v>
      </c>
      <c r="E898" s="73" t="str">
        <f t="shared" si="38"/>
        <v>1070008</v>
      </c>
      <c r="F898" s="73"/>
      <c r="G898" s="73">
        <v>3</v>
      </c>
      <c r="H898" s="14" t="s">
        <v>1901</v>
      </c>
      <c r="I898" s="14"/>
    </row>
    <row r="899" spans="1:9">
      <c r="A899" s="5" t="str">
        <f t="shared" si="22"/>
        <v>107000804</v>
      </c>
      <c r="B899" s="58" t="s">
        <v>1979</v>
      </c>
      <c r="C899" s="5" t="s">
        <v>1852</v>
      </c>
      <c r="D899" s="5" t="str">
        <f t="shared" si="37"/>
        <v>이노 (길드작전-골리앗)</v>
      </c>
      <c r="E899" s="73" t="str">
        <f t="shared" si="38"/>
        <v>1070008</v>
      </c>
      <c r="F899" s="18" t="s">
        <v>1822</v>
      </c>
      <c r="G899" s="73">
        <v>4</v>
      </c>
      <c r="H899" s="14" t="s">
        <v>1902</v>
      </c>
      <c r="I899" s="14"/>
    </row>
    <row r="900" spans="1:9">
      <c r="A900" s="5" t="str">
        <f t="shared" si="22"/>
        <v>107000901</v>
      </c>
      <c r="B900" s="58" t="s">
        <v>1981</v>
      </c>
      <c r="C900" s="5" t="s">
        <v>1854</v>
      </c>
      <c r="D900" s="5" t="s">
        <v>1746</v>
      </c>
      <c r="E900" s="73" t="s">
        <v>1944</v>
      </c>
      <c r="F900" s="73"/>
      <c r="G900" s="73">
        <v>1</v>
      </c>
      <c r="H900" s="14" t="s">
        <v>1903</v>
      </c>
      <c r="I900" s="14"/>
    </row>
    <row r="901" spans="1:9">
      <c r="A901" s="5" t="str">
        <f t="shared" si="22"/>
        <v>107000902</v>
      </c>
      <c r="B901" s="58" t="s">
        <v>1980</v>
      </c>
      <c r="C901" s="5" t="s">
        <v>1853</v>
      </c>
      <c r="D901" s="5" t="str">
        <f t="shared" ref="D901:D904" si="39">D900</f>
        <v>에리카 (길드작전-골리앗)</v>
      </c>
      <c r="E901" s="73" t="str">
        <f t="shared" ref="E901:E904" si="40">E900</f>
        <v>1070009</v>
      </c>
      <c r="F901" s="18" t="s">
        <v>1823</v>
      </c>
      <c r="G901" s="73">
        <v>2</v>
      </c>
      <c r="H901" s="14" t="s">
        <v>1904</v>
      </c>
      <c r="I901" s="14"/>
    </row>
    <row r="902" spans="1:9">
      <c r="A902" s="5" t="str">
        <f t="shared" si="22"/>
        <v>107000903</v>
      </c>
      <c r="B902" s="58" t="s">
        <v>1979</v>
      </c>
      <c r="C902" s="5" t="s">
        <v>1852</v>
      </c>
      <c r="D902" s="5" t="str">
        <f t="shared" si="39"/>
        <v>에리카 (길드작전-골리앗)</v>
      </c>
      <c r="E902" s="73" t="str">
        <f t="shared" si="40"/>
        <v>1070009</v>
      </c>
      <c r="F902" s="18" t="s">
        <v>1823</v>
      </c>
      <c r="G902" s="73">
        <v>3</v>
      </c>
      <c r="H902" s="14" t="s">
        <v>1905</v>
      </c>
      <c r="I902" s="14"/>
    </row>
    <row r="903" spans="1:9">
      <c r="A903" s="5" t="str">
        <f t="shared" si="22"/>
        <v>107000904</v>
      </c>
      <c r="B903" s="58" t="s">
        <v>1982</v>
      </c>
      <c r="C903" s="5" t="s">
        <v>1953</v>
      </c>
      <c r="D903" s="5" t="str">
        <f t="shared" si="39"/>
        <v>에리카 (길드작전-골리앗)</v>
      </c>
      <c r="E903" s="73" t="str">
        <f t="shared" si="40"/>
        <v>1070009</v>
      </c>
      <c r="F903" s="73"/>
      <c r="G903" s="73">
        <v>4</v>
      </c>
      <c r="H903" s="14" t="s">
        <v>1906</v>
      </c>
      <c r="I903" s="14"/>
    </row>
    <row r="904" spans="1:9">
      <c r="A904" s="5" t="str">
        <f t="shared" si="22"/>
        <v>107000905</v>
      </c>
      <c r="B904" s="58" t="s">
        <v>1980</v>
      </c>
      <c r="C904" s="5" t="s">
        <v>1853</v>
      </c>
      <c r="D904" s="5" t="str">
        <f t="shared" si="39"/>
        <v>에리카 (길드작전-골리앗)</v>
      </c>
      <c r="E904" s="73" t="str">
        <f t="shared" si="40"/>
        <v>1070009</v>
      </c>
      <c r="F904" s="18" t="s">
        <v>1824</v>
      </c>
      <c r="G904" s="73">
        <v>5</v>
      </c>
      <c r="H904" s="14" t="s">
        <v>1907</v>
      </c>
      <c r="I904" s="14"/>
    </row>
    <row r="905" spans="1:9">
      <c r="A905" s="5" t="str">
        <f t="shared" si="22"/>
        <v>107001401</v>
      </c>
      <c r="B905" s="58" t="s">
        <v>1983</v>
      </c>
      <c r="C905" s="5" t="s">
        <v>1855</v>
      </c>
      <c r="D905" s="5" t="s">
        <v>1481</v>
      </c>
      <c r="E905" s="73" t="s">
        <v>1945</v>
      </c>
      <c r="F905" s="73"/>
      <c r="G905" s="73">
        <v>1</v>
      </c>
      <c r="H905" s="14" t="s">
        <v>1908</v>
      </c>
      <c r="I905" s="14"/>
    </row>
    <row r="906" spans="1:9">
      <c r="A906" s="5" t="str">
        <f t="shared" si="22"/>
        <v>107001402</v>
      </c>
      <c r="B906" s="58" t="s">
        <v>1984</v>
      </c>
      <c r="C906" s="5" t="s">
        <v>1856</v>
      </c>
      <c r="D906" s="5" t="str">
        <f t="shared" ref="D906:D909" si="41">D905</f>
        <v>스노프릴 (데이터타워)</v>
      </c>
      <c r="E906" s="73" t="str">
        <f t="shared" ref="E906:E909" si="42">E905</f>
        <v>1070014</v>
      </c>
      <c r="F906" s="18" t="s">
        <v>1825</v>
      </c>
      <c r="G906" s="73">
        <v>2</v>
      </c>
      <c r="H906" s="14" t="s">
        <v>1909</v>
      </c>
      <c r="I906" s="14"/>
    </row>
    <row r="907" spans="1:9">
      <c r="A907" s="5" t="str">
        <f t="shared" si="22"/>
        <v>107001403</v>
      </c>
      <c r="B907" s="58" t="s">
        <v>1983</v>
      </c>
      <c r="C907" s="5" t="s">
        <v>1855</v>
      </c>
      <c r="D907" s="5" t="str">
        <f t="shared" si="41"/>
        <v>스노프릴 (데이터타워)</v>
      </c>
      <c r="E907" s="73" t="str">
        <f t="shared" si="42"/>
        <v>1070014</v>
      </c>
      <c r="F907" s="18" t="s">
        <v>1825</v>
      </c>
      <c r="G907" s="73">
        <v>3</v>
      </c>
      <c r="H907" s="14" t="s">
        <v>1910</v>
      </c>
      <c r="I907" s="14"/>
    </row>
    <row r="908" spans="1:9">
      <c r="A908" s="5" t="str">
        <f t="shared" si="22"/>
        <v>107001404</v>
      </c>
      <c r="B908" s="58" t="s">
        <v>1984</v>
      </c>
      <c r="C908" s="5" t="s">
        <v>1856</v>
      </c>
      <c r="D908" s="5" t="str">
        <f t="shared" si="41"/>
        <v>스노프릴 (데이터타워)</v>
      </c>
      <c r="E908" s="73" t="str">
        <f t="shared" si="42"/>
        <v>1070014</v>
      </c>
      <c r="F908" s="18" t="s">
        <v>1825</v>
      </c>
      <c r="G908" s="73">
        <v>4</v>
      </c>
      <c r="H908" s="14" t="s">
        <v>1911</v>
      </c>
      <c r="I908" s="14"/>
    </row>
    <row r="909" spans="1:9">
      <c r="A909" s="5" t="str">
        <f t="shared" si="22"/>
        <v>107001405</v>
      </c>
      <c r="B909" s="58" t="s">
        <v>1985</v>
      </c>
      <c r="C909" s="5" t="s">
        <v>1857</v>
      </c>
      <c r="D909" s="5" t="str">
        <f t="shared" si="41"/>
        <v>스노프릴 (데이터타워)</v>
      </c>
      <c r="E909" s="73" t="str">
        <f t="shared" si="42"/>
        <v>1070014</v>
      </c>
      <c r="F909" s="73"/>
      <c r="G909" s="73">
        <v>5</v>
      </c>
      <c r="H909" s="14" t="s">
        <v>1912</v>
      </c>
      <c r="I909" s="14"/>
    </row>
    <row r="910" spans="1:9">
      <c r="A910" s="5" t="str">
        <f t="shared" ref="A910:A932" si="43">(E910*10)&amp;G910</f>
        <v>107001501</v>
      </c>
      <c r="B910" s="58" t="s">
        <v>1986</v>
      </c>
      <c r="C910" s="5" t="s">
        <v>1858</v>
      </c>
      <c r="D910" s="5" t="s">
        <v>1482</v>
      </c>
      <c r="E910" s="73" t="s">
        <v>1946</v>
      </c>
      <c r="F910" s="73"/>
      <c r="G910" s="73">
        <v>1</v>
      </c>
      <c r="H910" s="14" t="s">
        <v>1913</v>
      </c>
      <c r="I910" s="14"/>
    </row>
    <row r="911" spans="1:9">
      <c r="A911" s="5" t="str">
        <f t="shared" si="43"/>
        <v>107001502</v>
      </c>
      <c r="B911" s="58" t="s">
        <v>1960</v>
      </c>
      <c r="C911" s="5" t="s">
        <v>1954</v>
      </c>
      <c r="D911" s="5" t="str">
        <f t="shared" ref="D911:D914" si="44">D910</f>
        <v>샤레 (데이터타워)</v>
      </c>
      <c r="E911" s="73" t="str">
        <f t="shared" ref="E911:E914" si="45">E910</f>
        <v>1070015</v>
      </c>
      <c r="F911" s="18" t="s">
        <v>1826</v>
      </c>
      <c r="G911" s="73">
        <v>2</v>
      </c>
      <c r="H911" s="14" t="s">
        <v>1914</v>
      </c>
      <c r="I911" s="14"/>
    </row>
    <row r="912" spans="1:9">
      <c r="A912" s="5" t="str">
        <f t="shared" si="43"/>
        <v>107001503</v>
      </c>
      <c r="B912" s="58" t="s">
        <v>1986</v>
      </c>
      <c r="C912" s="5" t="s">
        <v>1858</v>
      </c>
      <c r="D912" s="5" t="str">
        <f t="shared" si="44"/>
        <v>샤레 (데이터타워)</v>
      </c>
      <c r="E912" s="73" t="str">
        <f t="shared" si="45"/>
        <v>1070015</v>
      </c>
      <c r="F912" s="73"/>
      <c r="G912" s="73">
        <v>3</v>
      </c>
      <c r="H912" s="14" t="s">
        <v>1915</v>
      </c>
      <c r="I912" s="14"/>
    </row>
    <row r="913" spans="1:9">
      <c r="A913" s="5" t="str">
        <f t="shared" si="43"/>
        <v>107001504</v>
      </c>
      <c r="B913" s="58" t="s">
        <v>1960</v>
      </c>
      <c r="C913" s="5" t="s">
        <v>1954</v>
      </c>
      <c r="D913" s="5" t="str">
        <f t="shared" si="44"/>
        <v>샤레 (데이터타워)</v>
      </c>
      <c r="E913" s="73" t="str">
        <f t="shared" si="45"/>
        <v>1070015</v>
      </c>
      <c r="F913" s="18" t="s">
        <v>1827</v>
      </c>
      <c r="G913" s="73">
        <v>4</v>
      </c>
      <c r="H913" s="14" t="s">
        <v>1916</v>
      </c>
      <c r="I913" s="14"/>
    </row>
    <row r="914" spans="1:9">
      <c r="A914" s="5" t="str">
        <f t="shared" si="43"/>
        <v>107001505</v>
      </c>
      <c r="B914" s="58" t="s">
        <v>1987</v>
      </c>
      <c r="C914" s="5" t="s">
        <v>1952</v>
      </c>
      <c r="D914" s="5" t="str">
        <f t="shared" si="44"/>
        <v>샤레 (데이터타워)</v>
      </c>
      <c r="E914" s="73" t="str">
        <f t="shared" si="45"/>
        <v>1070015</v>
      </c>
      <c r="F914" s="73"/>
      <c r="G914" s="73">
        <v>5</v>
      </c>
      <c r="H914" s="14" t="s">
        <v>1917</v>
      </c>
      <c r="I914" s="14"/>
    </row>
    <row r="915" spans="1:9">
      <c r="A915" s="5" t="str">
        <f t="shared" si="43"/>
        <v>107001601</v>
      </c>
      <c r="B915" s="58" t="s">
        <v>1977</v>
      </c>
      <c r="C915" s="5" t="s">
        <v>1850</v>
      </c>
      <c r="D915" s="5" t="s">
        <v>1810</v>
      </c>
      <c r="E915" s="73" t="s">
        <v>1947</v>
      </c>
      <c r="F915" s="73"/>
      <c r="G915" s="73">
        <v>1</v>
      </c>
      <c r="H915" s="14" t="s">
        <v>1918</v>
      </c>
      <c r="I915" s="14"/>
    </row>
    <row r="916" spans="1:9">
      <c r="A916" s="5" t="str">
        <f t="shared" si="43"/>
        <v>107001602</v>
      </c>
      <c r="B916" s="58" t="s">
        <v>1988</v>
      </c>
      <c r="C916" s="5" t="s">
        <v>1951</v>
      </c>
      <c r="D916" s="5" t="str">
        <f t="shared" ref="D916:D921" si="46">D915</f>
        <v>안젤리카 (데이터타워)</v>
      </c>
      <c r="E916" s="73" t="str">
        <f t="shared" ref="E916:E921" si="47">E915</f>
        <v>1070016</v>
      </c>
      <c r="F916" s="18" t="s">
        <v>1828</v>
      </c>
      <c r="G916" s="73">
        <v>2</v>
      </c>
      <c r="H916" s="14" t="s">
        <v>1919</v>
      </c>
      <c r="I916" s="14"/>
    </row>
    <row r="917" spans="1:9">
      <c r="A917" s="5" t="str">
        <f t="shared" si="43"/>
        <v>107001603</v>
      </c>
      <c r="B917" s="58" t="s">
        <v>1977</v>
      </c>
      <c r="C917" s="5" t="s">
        <v>1850</v>
      </c>
      <c r="D917" s="5" t="str">
        <f t="shared" si="46"/>
        <v>안젤리카 (데이터타워)</v>
      </c>
      <c r="E917" s="73" t="str">
        <f t="shared" si="47"/>
        <v>1070016</v>
      </c>
      <c r="F917" s="18" t="s">
        <v>1828</v>
      </c>
      <c r="G917" s="73">
        <v>3</v>
      </c>
      <c r="H917" s="14" t="s">
        <v>1920</v>
      </c>
      <c r="I917" s="14"/>
    </row>
    <row r="918" spans="1:9">
      <c r="A918" s="5" t="str">
        <f t="shared" si="43"/>
        <v>107001604</v>
      </c>
      <c r="B918" s="58" t="s">
        <v>1988</v>
      </c>
      <c r="C918" s="5" t="s">
        <v>1951</v>
      </c>
      <c r="D918" s="5" t="str">
        <f t="shared" si="46"/>
        <v>안젤리카 (데이터타워)</v>
      </c>
      <c r="E918" s="73" t="str">
        <f t="shared" si="47"/>
        <v>1070016</v>
      </c>
      <c r="F918" s="18" t="s">
        <v>1828</v>
      </c>
      <c r="G918" s="73">
        <v>4</v>
      </c>
      <c r="H918" s="14" t="s">
        <v>1921</v>
      </c>
      <c r="I918" s="14"/>
    </row>
    <row r="919" spans="1:9">
      <c r="A919" s="5" t="str">
        <f t="shared" si="43"/>
        <v>107001605</v>
      </c>
      <c r="B919" s="58" t="s">
        <v>1977</v>
      </c>
      <c r="C919" s="5" t="s">
        <v>1850</v>
      </c>
      <c r="D919" s="5" t="str">
        <f t="shared" si="46"/>
        <v>안젤리카 (데이터타워)</v>
      </c>
      <c r="E919" s="73" t="str">
        <f t="shared" si="47"/>
        <v>1070016</v>
      </c>
      <c r="F919" s="18" t="s">
        <v>1828</v>
      </c>
      <c r="G919" s="73">
        <v>5</v>
      </c>
      <c r="H919" s="14" t="s">
        <v>1922</v>
      </c>
      <c r="I919" s="14"/>
    </row>
    <row r="920" spans="1:9">
      <c r="A920" s="5" t="str">
        <f t="shared" si="43"/>
        <v>107001606</v>
      </c>
      <c r="B920" s="58" t="s">
        <v>1989</v>
      </c>
      <c r="C920" s="5" t="s">
        <v>1859</v>
      </c>
      <c r="D920" s="5" t="str">
        <f t="shared" si="46"/>
        <v>안젤리카 (데이터타워)</v>
      </c>
      <c r="E920" s="73" t="str">
        <f t="shared" si="47"/>
        <v>1070016</v>
      </c>
      <c r="F920" s="73"/>
      <c r="G920" s="73">
        <v>6</v>
      </c>
      <c r="H920" s="14" t="s">
        <v>1923</v>
      </c>
      <c r="I920" s="14"/>
    </row>
    <row r="921" spans="1:9">
      <c r="A921" s="5" t="str">
        <f t="shared" si="43"/>
        <v>107001607</v>
      </c>
      <c r="B921" s="58" t="s">
        <v>1977</v>
      </c>
      <c r="C921" s="5" t="s">
        <v>1860</v>
      </c>
      <c r="D921" s="5" t="str">
        <f t="shared" si="46"/>
        <v>안젤리카 (데이터타워)</v>
      </c>
      <c r="E921" s="73" t="str">
        <f t="shared" si="47"/>
        <v>1070016</v>
      </c>
      <c r="F921" s="18" t="s">
        <v>1829</v>
      </c>
      <c r="G921" s="73">
        <v>7</v>
      </c>
      <c r="H921" s="14" t="s">
        <v>1924</v>
      </c>
      <c r="I921" s="14"/>
    </row>
    <row r="922" spans="1:9">
      <c r="A922" s="5" t="str">
        <f t="shared" si="43"/>
        <v>107001701</v>
      </c>
      <c r="B922" s="58" t="s">
        <v>1990</v>
      </c>
      <c r="C922" s="5" t="s">
        <v>1861</v>
      </c>
      <c r="D922" s="5" t="s">
        <v>1811</v>
      </c>
      <c r="E922" s="73" t="s">
        <v>1948</v>
      </c>
      <c r="F922" s="73"/>
      <c r="G922" s="73">
        <v>1</v>
      </c>
      <c r="H922" s="14" t="s">
        <v>1925</v>
      </c>
      <c r="I922" s="14"/>
    </row>
    <row r="923" spans="1:9">
      <c r="A923" s="5" t="str">
        <f t="shared" si="43"/>
        <v>107001702</v>
      </c>
      <c r="B923" s="58" t="s">
        <v>1991</v>
      </c>
      <c r="C923" s="5" t="s">
        <v>1862</v>
      </c>
      <c r="D923" s="5" t="str">
        <f t="shared" ref="D923:D927" si="48">D922</f>
        <v>발렌시아 (데이터타워)</v>
      </c>
      <c r="E923" s="73" t="str">
        <f t="shared" ref="E923:E927" si="49">E922</f>
        <v>1070017</v>
      </c>
      <c r="F923" s="18" t="s">
        <v>1830</v>
      </c>
      <c r="G923" s="73">
        <v>2</v>
      </c>
      <c r="H923" s="14" t="s">
        <v>1926</v>
      </c>
      <c r="I923" s="14"/>
    </row>
    <row r="924" spans="1:9">
      <c r="A924" s="5" t="str">
        <f t="shared" si="43"/>
        <v>107001703</v>
      </c>
      <c r="B924" s="58" t="s">
        <v>1992</v>
      </c>
      <c r="C924" s="5" t="s">
        <v>1863</v>
      </c>
      <c r="D924" s="5" t="str">
        <f t="shared" si="48"/>
        <v>발렌시아 (데이터타워)</v>
      </c>
      <c r="E924" s="73" t="str">
        <f t="shared" si="49"/>
        <v>1070017</v>
      </c>
      <c r="F924" s="18" t="s">
        <v>1830</v>
      </c>
      <c r="G924" s="73">
        <v>3</v>
      </c>
      <c r="H924" s="14" t="s">
        <v>1927</v>
      </c>
      <c r="I924" s="14"/>
    </row>
    <row r="925" spans="1:9">
      <c r="A925" s="5" t="str">
        <f t="shared" si="43"/>
        <v>107001704</v>
      </c>
      <c r="B925" s="58" t="s">
        <v>1992</v>
      </c>
      <c r="C925" s="5" t="s">
        <v>1863</v>
      </c>
      <c r="D925" s="5" t="str">
        <f t="shared" si="48"/>
        <v>발렌시아 (데이터타워)</v>
      </c>
      <c r="E925" s="73" t="str">
        <f t="shared" si="49"/>
        <v>1070017</v>
      </c>
      <c r="F925" s="73"/>
      <c r="G925" s="73">
        <v>4</v>
      </c>
      <c r="H925" s="14" t="s">
        <v>1928</v>
      </c>
      <c r="I925" s="14"/>
    </row>
    <row r="926" spans="1:9">
      <c r="A926" s="5" t="str">
        <f t="shared" si="43"/>
        <v>107001705</v>
      </c>
      <c r="B926" s="58" t="s">
        <v>1990</v>
      </c>
      <c r="C926" s="5" t="s">
        <v>1861</v>
      </c>
      <c r="D926" s="5" t="str">
        <f t="shared" si="48"/>
        <v>발렌시아 (데이터타워)</v>
      </c>
      <c r="E926" s="73" t="str">
        <f t="shared" si="49"/>
        <v>1070017</v>
      </c>
      <c r="F926" s="18" t="s">
        <v>1831</v>
      </c>
      <c r="G926" s="73">
        <v>5</v>
      </c>
      <c r="H926" s="14" t="s">
        <v>1929</v>
      </c>
      <c r="I926" s="14"/>
    </row>
    <row r="927" spans="1:9">
      <c r="A927" s="5" t="str">
        <f t="shared" si="43"/>
        <v>107001706</v>
      </c>
      <c r="B927" s="58" t="s">
        <v>1991</v>
      </c>
      <c r="C927" s="5" t="s">
        <v>1862</v>
      </c>
      <c r="D927" s="5" t="str">
        <f t="shared" si="48"/>
        <v>발렌시아 (데이터타워)</v>
      </c>
      <c r="E927" s="73" t="str">
        <f t="shared" si="49"/>
        <v>1070017</v>
      </c>
      <c r="F927" s="18" t="s">
        <v>1831</v>
      </c>
      <c r="G927" s="73">
        <v>6</v>
      </c>
      <c r="H927" s="14" t="s">
        <v>1930</v>
      </c>
      <c r="I927" s="14"/>
    </row>
    <row r="928" spans="1:9">
      <c r="A928" s="5" t="str">
        <f t="shared" si="43"/>
        <v>107001801</v>
      </c>
      <c r="B928" s="58" t="s">
        <v>1993</v>
      </c>
      <c r="C928" s="5" t="s">
        <v>1864</v>
      </c>
      <c r="D928" s="5" t="s">
        <v>1812</v>
      </c>
      <c r="E928" s="73" t="s">
        <v>1949</v>
      </c>
      <c r="F928" s="73"/>
      <c r="G928" s="73">
        <v>1</v>
      </c>
      <c r="H928" s="14" t="s">
        <v>1931</v>
      </c>
      <c r="I928" s="14"/>
    </row>
    <row r="929" spans="1:9">
      <c r="A929" s="5" t="str">
        <f t="shared" si="43"/>
        <v>107001802</v>
      </c>
      <c r="B929" s="58" t="s">
        <v>1994</v>
      </c>
      <c r="C929" s="5" t="s">
        <v>1865</v>
      </c>
      <c r="D929" s="5" t="str">
        <f t="shared" ref="D929:D932" si="50">D928</f>
        <v>베르베타 (데이터타워)</v>
      </c>
      <c r="E929" s="73" t="str">
        <f t="shared" ref="E929:E932" si="51">E928</f>
        <v>1070018</v>
      </c>
      <c r="F929" s="18" t="s">
        <v>1832</v>
      </c>
      <c r="G929" s="73">
        <v>2</v>
      </c>
      <c r="H929" s="14" t="s">
        <v>1932</v>
      </c>
      <c r="I929" s="14"/>
    </row>
    <row r="930" spans="1:9">
      <c r="A930" s="5" t="str">
        <f t="shared" si="43"/>
        <v>107001803</v>
      </c>
      <c r="B930" s="58" t="s">
        <v>1993</v>
      </c>
      <c r="C930" s="5" t="s">
        <v>1864</v>
      </c>
      <c r="D930" s="5" t="str">
        <f t="shared" si="50"/>
        <v>베르베타 (데이터타워)</v>
      </c>
      <c r="E930" s="73" t="str">
        <f t="shared" si="51"/>
        <v>1070018</v>
      </c>
      <c r="F930" s="73"/>
      <c r="G930" s="73">
        <v>3</v>
      </c>
      <c r="H930" s="14" t="s">
        <v>1933</v>
      </c>
      <c r="I930" s="14"/>
    </row>
    <row r="931" spans="1:9">
      <c r="A931" s="5" t="str">
        <f t="shared" si="43"/>
        <v>107001804</v>
      </c>
      <c r="B931" s="58" t="s">
        <v>1994</v>
      </c>
      <c r="C931" s="5" t="s">
        <v>1865</v>
      </c>
      <c r="D931" s="5" t="str">
        <f t="shared" si="50"/>
        <v>베르베타 (데이터타워)</v>
      </c>
      <c r="E931" s="73" t="str">
        <f t="shared" si="51"/>
        <v>1070018</v>
      </c>
      <c r="F931" s="18" t="s">
        <v>1833</v>
      </c>
      <c r="G931" s="73">
        <v>4</v>
      </c>
      <c r="H931" s="14" t="s">
        <v>1934</v>
      </c>
      <c r="I931" s="14"/>
    </row>
    <row r="932" spans="1:9">
      <c r="A932" s="5" t="str">
        <f t="shared" si="43"/>
        <v>107001805</v>
      </c>
      <c r="B932" s="58" t="s">
        <v>1993</v>
      </c>
      <c r="C932" s="5" t="s">
        <v>1864</v>
      </c>
      <c r="D932" s="5" t="str">
        <f t="shared" si="50"/>
        <v>베르베타 (데이터타워)</v>
      </c>
      <c r="E932" s="73" t="str">
        <f t="shared" si="51"/>
        <v>1070018</v>
      </c>
      <c r="F932" s="18" t="s">
        <v>1833</v>
      </c>
      <c r="G932" s="73">
        <v>5</v>
      </c>
      <c r="H932" s="14" t="s">
        <v>1935</v>
      </c>
      <c r="I932" s="14"/>
    </row>
  </sheetData>
  <autoFilter ref="A1:I932"/>
  <phoneticPr fontId="1" type="noConversion"/>
  <conditionalFormatting sqref="B866">
    <cfRule type="duplicateValues" dxfId="3" priority="1"/>
  </conditionalFormatting>
  <conditionalFormatting sqref="B911">
    <cfRule type="duplicateValues" dxfId="2" priority="3"/>
  </conditionalFormatting>
  <conditionalFormatting sqref="B913">
    <cfRule type="duplicateValues" dxfId="1" priority="2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InstarseedProfile</vt:lpstr>
      <vt:lpstr>InstarseedPost</vt:lpstr>
      <vt:lpstr>InstarseedReply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한주호</dc:creator>
  <cp:lastModifiedBy>이슬빛</cp:lastModifiedBy>
  <dcterms:created xsi:type="dcterms:W3CDTF">2015-06-05T18:17:20Z</dcterms:created>
  <dcterms:modified xsi:type="dcterms:W3CDTF">2024-05-30T05:40:34Z</dcterms:modified>
</cp:coreProperties>
</file>