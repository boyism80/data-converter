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space\ProjectM2\design\"/>
    </mc:Choice>
  </mc:AlternateContent>
  <xr:revisionPtr revIDLastSave="0" documentId="13_ncr:1_{BCB73C2D-81C3-4C2C-A820-FF1350B0F64D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AcademyGrade" sheetId="1" r:id="rId1"/>
    <sheet name="AcademyClass" sheetId="2" r:id="rId2"/>
    <sheet name="AcademyClassRank" sheetId="18" r:id="rId3"/>
    <sheet name="AcademyCharacter" sheetId="4" r:id="rId4"/>
    <sheet name="AcademyMainStory" sheetId="5" r:id="rId5"/>
    <sheet name="AcademyCharacterFriendly" sheetId="11" r:id="rId6"/>
    <sheet name="AcademyFriendly" sheetId="12" r:id="rId7"/>
    <sheet name="AcademyTitleGrade" sheetId="13" r:id="rId8"/>
    <sheet name="AcademyTitle" sheetId="14" r:id="rId9"/>
    <sheet name="#AcademyTitle참조" sheetId="19" r:id="rId10"/>
  </sheets>
  <externalReferences>
    <externalReference r:id="rId11"/>
  </externalReferences>
  <definedNames>
    <definedName name="ICON참조">'#AcademyTitle참조'!$D:$E</definedName>
    <definedName name="ID참조">'#AcademyTitle참조'!$A:$B</definedName>
    <definedName name="국문참조">'#AcademyTitle참조'!$G:$H</definedName>
    <definedName name="이름참조">'#AcademyTitle참조'!$J:$K</definedName>
    <definedName name="패시브참조">'#AcademyTitle참조'!$M:$N</definedName>
  </definedNames>
  <calcPr calcId="181029"/>
</workbook>
</file>

<file path=xl/calcChain.xml><?xml version="1.0" encoding="utf-8"?>
<calcChain xmlns="http://schemas.openxmlformats.org/spreadsheetml/2006/main">
  <c r="F381" i="11" l="1"/>
  <c r="E381" i="11"/>
  <c r="F380" i="11"/>
  <c r="E380" i="11"/>
  <c r="F379" i="11"/>
  <c r="E379" i="11"/>
  <c r="F378" i="11"/>
  <c r="E378" i="11"/>
  <c r="F377" i="11"/>
  <c r="E377" i="11"/>
  <c r="F374" i="11"/>
  <c r="E374" i="11"/>
  <c r="C319" i="11" l="1"/>
  <c r="B319" i="11"/>
  <c r="C318" i="11"/>
  <c r="B318" i="11"/>
  <c r="F319" i="11"/>
  <c r="E319" i="11"/>
  <c r="F318" i="11"/>
  <c r="E318" i="11"/>
  <c r="C315" i="11"/>
  <c r="B315" i="11"/>
  <c r="F315" i="11"/>
  <c r="E315" i="11"/>
  <c r="C311" i="11"/>
  <c r="B311" i="11"/>
  <c r="C310" i="11"/>
  <c r="B310" i="11"/>
  <c r="F311" i="11"/>
  <c r="E311" i="11"/>
  <c r="F310" i="11"/>
  <c r="E310" i="11"/>
  <c r="B283" i="11"/>
  <c r="B282" i="11"/>
  <c r="C259" i="11"/>
  <c r="B259" i="11"/>
  <c r="C239" i="11"/>
  <c r="B239" i="11"/>
  <c r="C218" i="11"/>
  <c r="B218" i="11"/>
  <c r="C215" i="11"/>
  <c r="B215" i="11"/>
  <c r="C183" i="11"/>
  <c r="B183" i="11"/>
  <c r="F183" i="11"/>
  <c r="E183" i="11"/>
  <c r="C146" i="11"/>
  <c r="B146" i="11"/>
  <c r="F146" i="11"/>
  <c r="E146" i="11"/>
  <c r="C127" i="11"/>
  <c r="B127" i="11"/>
  <c r="F127" i="11"/>
  <c r="E127" i="11"/>
  <c r="C111" i="11"/>
  <c r="B111" i="11"/>
  <c r="F111" i="11"/>
  <c r="E111" i="11"/>
  <c r="C95" i="11"/>
  <c r="B95" i="11"/>
  <c r="C87" i="11"/>
  <c r="B87" i="11"/>
  <c r="C79" i="11"/>
  <c r="B79" i="11"/>
  <c r="C74" i="11"/>
  <c r="B74" i="11"/>
  <c r="C30" i="11"/>
  <c r="B30" i="11"/>
  <c r="F30" i="11"/>
  <c r="E30" i="11"/>
  <c r="C7" i="11"/>
  <c r="B7" i="11"/>
  <c r="B76" i="11"/>
  <c r="C76" i="11"/>
  <c r="E76" i="11"/>
  <c r="F76" i="11"/>
  <c r="F4" i="11" l="1"/>
  <c r="F5" i="11"/>
  <c r="F6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5" i="11"/>
  <c r="F77" i="11"/>
  <c r="F78" i="11"/>
  <c r="F80" i="11"/>
  <c r="F81" i="11"/>
  <c r="F82" i="11"/>
  <c r="F83" i="11"/>
  <c r="F84" i="11"/>
  <c r="F85" i="11"/>
  <c r="F86" i="11"/>
  <c r="F88" i="11"/>
  <c r="F89" i="11"/>
  <c r="F90" i="11"/>
  <c r="F91" i="11"/>
  <c r="F92" i="11"/>
  <c r="F93" i="11"/>
  <c r="F94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6" i="11"/>
  <c r="F217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2" i="11"/>
  <c r="F313" i="11"/>
  <c r="F314" i="11"/>
  <c r="F316" i="11"/>
  <c r="F317" i="11"/>
  <c r="F320" i="11"/>
  <c r="F321" i="11"/>
  <c r="F322" i="11"/>
  <c r="F323" i="11"/>
  <c r="C4" i="11"/>
  <c r="C5" i="11"/>
  <c r="C6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5" i="11"/>
  <c r="C77" i="11"/>
  <c r="C78" i="11"/>
  <c r="C80" i="11"/>
  <c r="C81" i="11"/>
  <c r="C82" i="11"/>
  <c r="C83" i="11"/>
  <c r="C84" i="11"/>
  <c r="C85" i="11"/>
  <c r="C86" i="11"/>
  <c r="C88" i="11"/>
  <c r="C89" i="11"/>
  <c r="C90" i="11"/>
  <c r="C91" i="11"/>
  <c r="C92" i="11"/>
  <c r="C93" i="11"/>
  <c r="C94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204" i="11"/>
  <c r="C205" i="11"/>
  <c r="C206" i="11"/>
  <c r="C207" i="11"/>
  <c r="C208" i="11"/>
  <c r="C209" i="11"/>
  <c r="C210" i="11"/>
  <c r="C211" i="11"/>
  <c r="C212" i="11"/>
  <c r="C213" i="11"/>
  <c r="C214" i="11"/>
  <c r="C216" i="11"/>
  <c r="C217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2" i="11"/>
  <c r="C313" i="11"/>
  <c r="C314" i="11"/>
  <c r="C316" i="11"/>
  <c r="C317" i="11"/>
  <c r="C320" i="11"/>
  <c r="C321" i="11"/>
  <c r="C322" i="11"/>
  <c r="C323" i="11"/>
  <c r="E4" i="11"/>
  <c r="E5" i="11"/>
  <c r="E6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1" i="11"/>
  <c r="E32" i="11"/>
  <c r="E33" i="11"/>
  <c r="E34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5" i="11"/>
  <c r="E77" i="11"/>
  <c r="E78" i="11"/>
  <c r="E80" i="11"/>
  <c r="E81" i="11"/>
  <c r="E82" i="11"/>
  <c r="E83" i="11"/>
  <c r="E84" i="11"/>
  <c r="E85" i="11"/>
  <c r="E86" i="11"/>
  <c r="E88" i="11"/>
  <c r="E89" i="11"/>
  <c r="E90" i="11"/>
  <c r="E91" i="11"/>
  <c r="E92" i="11"/>
  <c r="E93" i="11"/>
  <c r="E94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6" i="11"/>
  <c r="E217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2" i="11"/>
  <c r="E313" i="11"/>
  <c r="E314" i="11"/>
  <c r="E316" i="11"/>
  <c r="E317" i="11"/>
  <c r="E320" i="11"/>
  <c r="E321" i="11"/>
  <c r="E322" i="11"/>
  <c r="E323" i="11"/>
  <c r="B4" i="11"/>
  <c r="B5" i="11"/>
  <c r="B6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5" i="11"/>
  <c r="B77" i="11"/>
  <c r="B78" i="11"/>
  <c r="B80" i="11"/>
  <c r="B81" i="11"/>
  <c r="B82" i="11"/>
  <c r="B83" i="11"/>
  <c r="B84" i="11"/>
  <c r="B85" i="11"/>
  <c r="B86" i="11"/>
  <c r="B88" i="11"/>
  <c r="B89" i="11"/>
  <c r="B90" i="11"/>
  <c r="B91" i="11"/>
  <c r="B92" i="11"/>
  <c r="B93" i="11"/>
  <c r="B94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6" i="11"/>
  <c r="B217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2" i="11"/>
  <c r="B313" i="11"/>
  <c r="B314" i="11"/>
  <c r="B316" i="11"/>
  <c r="B317" i="11"/>
  <c r="B320" i="11"/>
  <c r="B321" i="11"/>
  <c r="B322" i="11"/>
  <c r="B323" i="11"/>
  <c r="J4" i="14" l="1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M33" i="14" l="1"/>
  <c r="K33" i="14"/>
  <c r="D33" i="14"/>
  <c r="C33" i="14"/>
  <c r="M32" i="14"/>
  <c r="K32" i="14"/>
  <c r="D32" i="14"/>
  <c r="C32" i="14"/>
  <c r="M31" i="14"/>
  <c r="D31" i="14"/>
  <c r="C31" i="14"/>
  <c r="M30" i="14"/>
  <c r="K30" i="14"/>
  <c r="D30" i="14"/>
  <c r="C30" i="14"/>
  <c r="M29" i="14"/>
  <c r="K29" i="14"/>
  <c r="D29" i="14"/>
  <c r="C29" i="14"/>
  <c r="M28" i="14"/>
  <c r="K28" i="14"/>
  <c r="D28" i="14"/>
  <c r="C28" i="14"/>
  <c r="M73" i="14"/>
  <c r="K73" i="14"/>
  <c r="D73" i="14"/>
  <c r="C73" i="14"/>
  <c r="M72" i="14"/>
  <c r="K72" i="14"/>
  <c r="D72" i="14"/>
  <c r="C72" i="14"/>
  <c r="M71" i="14"/>
  <c r="K71" i="14"/>
  <c r="D71" i="14"/>
  <c r="C71" i="14"/>
  <c r="M70" i="14"/>
  <c r="D70" i="14"/>
  <c r="C70" i="14"/>
  <c r="M69" i="14"/>
  <c r="K69" i="14"/>
  <c r="D69" i="14"/>
  <c r="C69" i="14"/>
  <c r="M68" i="14"/>
  <c r="K68" i="14"/>
  <c r="D68" i="14"/>
  <c r="C68" i="14"/>
  <c r="M67" i="14"/>
  <c r="K67" i="14"/>
  <c r="D67" i="14"/>
  <c r="C67" i="14"/>
  <c r="M66" i="14"/>
  <c r="K66" i="14"/>
  <c r="D66" i="14"/>
  <c r="C66" i="14"/>
  <c r="M123" i="14"/>
  <c r="K123" i="14"/>
  <c r="D123" i="14"/>
  <c r="C123" i="14"/>
  <c r="A123" i="14" s="1"/>
  <c r="M122" i="14"/>
  <c r="K122" i="14"/>
  <c r="D122" i="14"/>
  <c r="C122" i="14"/>
  <c r="A122" i="14" s="1"/>
  <c r="M121" i="14"/>
  <c r="K121" i="14"/>
  <c r="D121" i="14"/>
  <c r="C121" i="14"/>
  <c r="A121" i="14" s="1"/>
  <c r="M120" i="14"/>
  <c r="K120" i="14"/>
  <c r="D120" i="14"/>
  <c r="C120" i="14"/>
  <c r="A120" i="14" s="1"/>
  <c r="M119" i="14"/>
  <c r="D119" i="14"/>
  <c r="C119" i="14"/>
  <c r="A119" i="14" s="1"/>
  <c r="M118" i="14"/>
  <c r="K118" i="14"/>
  <c r="D118" i="14"/>
  <c r="C118" i="14"/>
  <c r="A118" i="14" s="1"/>
  <c r="M117" i="14"/>
  <c r="K117" i="14"/>
  <c r="D117" i="14"/>
  <c r="C117" i="14"/>
  <c r="A117" i="14" s="1"/>
  <c r="M116" i="14"/>
  <c r="K116" i="14"/>
  <c r="D116" i="14"/>
  <c r="C116" i="14"/>
  <c r="A116" i="14" s="1"/>
  <c r="M115" i="14"/>
  <c r="K115" i="14"/>
  <c r="D115" i="14"/>
  <c r="C115" i="14"/>
  <c r="A115" i="14" s="1"/>
  <c r="M114" i="14"/>
  <c r="K114" i="14"/>
  <c r="D114" i="14"/>
  <c r="C114" i="14"/>
  <c r="A114" i="14" s="1"/>
  <c r="A28" i="14" l="1"/>
  <c r="E28" i="14" s="1"/>
  <c r="A66" i="14"/>
  <c r="E66" i="14" s="1"/>
  <c r="A32" i="14"/>
  <c r="E32" i="14" s="1"/>
  <c r="E115" i="14"/>
  <c r="E122" i="14"/>
  <c r="A30" i="14"/>
  <c r="E30" i="14" s="1"/>
  <c r="E117" i="14"/>
  <c r="E120" i="14"/>
  <c r="A68" i="14"/>
  <c r="E68" i="14" s="1"/>
  <c r="A70" i="14"/>
  <c r="E70" i="14" s="1"/>
  <c r="A31" i="14"/>
  <c r="E31" i="14" s="1"/>
  <c r="A29" i="14"/>
  <c r="E29" i="14" s="1"/>
  <c r="A67" i="14"/>
  <c r="E67" i="14" s="1"/>
  <c r="E118" i="14"/>
  <c r="E114" i="14"/>
  <c r="A71" i="14"/>
  <c r="E71" i="14" s="1"/>
  <c r="A73" i="14"/>
  <c r="E73" i="14" s="1"/>
  <c r="E123" i="14"/>
  <c r="A69" i="14"/>
  <c r="E69" i="14" s="1"/>
  <c r="E116" i="14"/>
  <c r="E119" i="14"/>
  <c r="A72" i="14"/>
  <c r="E72" i="14" s="1"/>
  <c r="A33" i="14"/>
  <c r="E33" i="14" s="1"/>
  <c r="K31" i="14"/>
  <c r="K70" i="14"/>
  <c r="K119" i="14"/>
  <c r="E121" i="14"/>
  <c r="C4" i="14" l="1"/>
  <c r="F125" i="14" l="1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24" i="14"/>
  <c r="K149" i="14" l="1"/>
  <c r="M149" i="14" s="1"/>
  <c r="J149" i="14"/>
  <c r="D149" i="14"/>
  <c r="C149" i="14"/>
  <c r="A149" i="14" s="1"/>
  <c r="L149" i="14" l="1"/>
  <c r="M74" i="14" l="1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4" i="14"/>
  <c r="H18" i="2" l="1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K148" i="14" l="1"/>
  <c r="M148" i="14" s="1"/>
  <c r="J148" i="14"/>
  <c r="D148" i="14"/>
  <c r="C148" i="14"/>
  <c r="A148" i="14" s="1"/>
  <c r="K147" i="14"/>
  <c r="M147" i="14" s="1"/>
  <c r="J147" i="14"/>
  <c r="D147" i="14"/>
  <c r="C147" i="14"/>
  <c r="A147" i="14" s="1"/>
  <c r="K146" i="14"/>
  <c r="M146" i="14" s="1"/>
  <c r="J146" i="14"/>
  <c r="D146" i="14"/>
  <c r="C146" i="14"/>
  <c r="A146" i="14" s="1"/>
  <c r="K145" i="14"/>
  <c r="M145" i="14" s="1"/>
  <c r="J145" i="14"/>
  <c r="D145" i="14"/>
  <c r="C145" i="14"/>
  <c r="A145" i="14" s="1"/>
  <c r="K144" i="14"/>
  <c r="M144" i="14" s="1"/>
  <c r="J144" i="14"/>
  <c r="D144" i="14"/>
  <c r="C144" i="14"/>
  <c r="A144" i="14" s="1"/>
  <c r="K143" i="14"/>
  <c r="M143" i="14" s="1"/>
  <c r="J143" i="14"/>
  <c r="D143" i="14"/>
  <c r="C143" i="14"/>
  <c r="A143" i="14" s="1"/>
  <c r="K142" i="14"/>
  <c r="M142" i="14" s="1"/>
  <c r="J142" i="14"/>
  <c r="D142" i="14"/>
  <c r="C142" i="14"/>
  <c r="A142" i="14" s="1"/>
  <c r="K141" i="14"/>
  <c r="M141" i="14" s="1"/>
  <c r="J141" i="14"/>
  <c r="D141" i="14"/>
  <c r="C141" i="14"/>
  <c r="A141" i="14" s="1"/>
  <c r="K140" i="14"/>
  <c r="M140" i="14" s="1"/>
  <c r="J140" i="14"/>
  <c r="D140" i="14"/>
  <c r="C140" i="14"/>
  <c r="A140" i="14" s="1"/>
  <c r="K139" i="14"/>
  <c r="M139" i="14" s="1"/>
  <c r="J139" i="14"/>
  <c r="D139" i="14"/>
  <c r="C139" i="14"/>
  <c r="A139" i="14" s="1"/>
  <c r="K138" i="14"/>
  <c r="M138" i="14" s="1"/>
  <c r="J138" i="14"/>
  <c r="D138" i="14"/>
  <c r="C138" i="14"/>
  <c r="A138" i="14" s="1"/>
  <c r="K137" i="14"/>
  <c r="M137" i="14" s="1"/>
  <c r="J137" i="14"/>
  <c r="D137" i="14"/>
  <c r="C137" i="14"/>
  <c r="A137" i="14" s="1"/>
  <c r="K136" i="14"/>
  <c r="M136" i="14" s="1"/>
  <c r="J136" i="14"/>
  <c r="D136" i="14"/>
  <c r="C136" i="14"/>
  <c r="A136" i="14" s="1"/>
  <c r="K135" i="14"/>
  <c r="M135" i="14" s="1"/>
  <c r="J135" i="14"/>
  <c r="D135" i="14"/>
  <c r="C135" i="14"/>
  <c r="A135" i="14" s="1"/>
  <c r="K134" i="14"/>
  <c r="M134" i="14" s="1"/>
  <c r="J134" i="14"/>
  <c r="D134" i="14"/>
  <c r="C134" i="14"/>
  <c r="A134" i="14" s="1"/>
  <c r="K133" i="14"/>
  <c r="M133" i="14" s="1"/>
  <c r="J133" i="14"/>
  <c r="D133" i="14"/>
  <c r="C133" i="14"/>
  <c r="K132" i="14"/>
  <c r="M132" i="14" s="1"/>
  <c r="J132" i="14"/>
  <c r="D132" i="14"/>
  <c r="C132" i="14"/>
  <c r="A132" i="14" s="1"/>
  <c r="K131" i="14"/>
  <c r="M131" i="14" s="1"/>
  <c r="J131" i="14"/>
  <c r="D131" i="14"/>
  <c r="C131" i="14"/>
  <c r="A131" i="14" s="1"/>
  <c r="K130" i="14"/>
  <c r="M130" i="14" s="1"/>
  <c r="J130" i="14"/>
  <c r="D130" i="14"/>
  <c r="C130" i="14"/>
  <c r="A130" i="14" s="1"/>
  <c r="K129" i="14"/>
  <c r="M129" i="14" s="1"/>
  <c r="J129" i="14"/>
  <c r="D129" i="14"/>
  <c r="C129" i="14"/>
  <c r="A129" i="14" s="1"/>
  <c r="K128" i="14"/>
  <c r="M128" i="14" s="1"/>
  <c r="J128" i="14"/>
  <c r="D128" i="14"/>
  <c r="C128" i="14"/>
  <c r="A128" i="14" s="1"/>
  <c r="K127" i="14"/>
  <c r="M127" i="14" s="1"/>
  <c r="J127" i="14"/>
  <c r="D127" i="14"/>
  <c r="C127" i="14"/>
  <c r="A127" i="14" s="1"/>
  <c r="K126" i="14"/>
  <c r="M126" i="14" s="1"/>
  <c r="J126" i="14"/>
  <c r="D126" i="14"/>
  <c r="C126" i="14"/>
  <c r="A126" i="14" s="1"/>
  <c r="K125" i="14"/>
  <c r="M125" i="14" s="1"/>
  <c r="J125" i="14"/>
  <c r="D125" i="14"/>
  <c r="C125" i="14"/>
  <c r="A125" i="14" s="1"/>
  <c r="K124" i="14"/>
  <c r="M124" i="14" s="1"/>
  <c r="D124" i="14"/>
  <c r="C124" i="14"/>
  <c r="A124" i="14" s="1"/>
  <c r="K113" i="14"/>
  <c r="D113" i="14"/>
  <c r="C113" i="14"/>
  <c r="A113" i="14" s="1"/>
  <c r="K112" i="14"/>
  <c r="D112" i="14"/>
  <c r="C112" i="14"/>
  <c r="A112" i="14" s="1"/>
  <c r="K111" i="14"/>
  <c r="D111" i="14"/>
  <c r="C111" i="14"/>
  <c r="A111" i="14" s="1"/>
  <c r="K110" i="14"/>
  <c r="D110" i="14"/>
  <c r="C110" i="14"/>
  <c r="A110" i="14" s="1"/>
  <c r="K109" i="14"/>
  <c r="D109" i="14"/>
  <c r="C109" i="14"/>
  <c r="A109" i="14" s="1"/>
  <c r="K108" i="14"/>
  <c r="D108" i="14"/>
  <c r="C108" i="14"/>
  <c r="A108" i="14" s="1"/>
  <c r="K107" i="14"/>
  <c r="D107" i="14"/>
  <c r="C107" i="14"/>
  <c r="A107" i="14" s="1"/>
  <c r="K106" i="14"/>
  <c r="D106" i="14"/>
  <c r="C106" i="14"/>
  <c r="A106" i="14" s="1"/>
  <c r="K105" i="14"/>
  <c r="D105" i="14"/>
  <c r="C105" i="14"/>
  <c r="A105" i="14" s="1"/>
  <c r="K104" i="14"/>
  <c r="D104" i="14"/>
  <c r="C104" i="14"/>
  <c r="A104" i="14" s="1"/>
  <c r="K103" i="14"/>
  <c r="D103" i="14"/>
  <c r="C103" i="14"/>
  <c r="A103" i="14" s="1"/>
  <c r="K102" i="14"/>
  <c r="D102" i="14"/>
  <c r="C102" i="14"/>
  <c r="A102" i="14" s="1"/>
  <c r="K101" i="14"/>
  <c r="D101" i="14"/>
  <c r="C101" i="14"/>
  <c r="A101" i="14" s="1"/>
  <c r="K100" i="14"/>
  <c r="D100" i="14"/>
  <c r="C100" i="14"/>
  <c r="A100" i="14" s="1"/>
  <c r="K99" i="14"/>
  <c r="D99" i="14"/>
  <c r="C99" i="14"/>
  <c r="A99" i="14" s="1"/>
  <c r="K98" i="14"/>
  <c r="D98" i="14"/>
  <c r="C98" i="14"/>
  <c r="A98" i="14" s="1"/>
  <c r="K97" i="14"/>
  <c r="D97" i="14"/>
  <c r="C97" i="14"/>
  <c r="A97" i="14" s="1"/>
  <c r="K96" i="14"/>
  <c r="D96" i="14"/>
  <c r="C96" i="14"/>
  <c r="A96" i="14" s="1"/>
  <c r="K95" i="14"/>
  <c r="D95" i="14"/>
  <c r="C95" i="14"/>
  <c r="A95" i="14" s="1"/>
  <c r="K94" i="14"/>
  <c r="D94" i="14"/>
  <c r="C94" i="14"/>
  <c r="A94" i="14" s="1"/>
  <c r="K93" i="14"/>
  <c r="D93" i="14"/>
  <c r="C93" i="14"/>
  <c r="A93" i="14" s="1"/>
  <c r="K92" i="14"/>
  <c r="D92" i="14"/>
  <c r="C92" i="14"/>
  <c r="A92" i="14" s="1"/>
  <c r="K91" i="14"/>
  <c r="D91" i="14"/>
  <c r="C91" i="14"/>
  <c r="A91" i="14" s="1"/>
  <c r="K90" i="14"/>
  <c r="D90" i="14"/>
  <c r="C90" i="14"/>
  <c r="A90" i="14" s="1"/>
  <c r="K89" i="14"/>
  <c r="D89" i="14"/>
  <c r="C89" i="14"/>
  <c r="A89" i="14" s="1"/>
  <c r="K88" i="14"/>
  <c r="D88" i="14"/>
  <c r="C88" i="14"/>
  <c r="A88" i="14" s="1"/>
  <c r="K87" i="14"/>
  <c r="D87" i="14"/>
  <c r="C87" i="14"/>
  <c r="A87" i="14" s="1"/>
  <c r="K86" i="14"/>
  <c r="D86" i="14"/>
  <c r="C86" i="14"/>
  <c r="A86" i="14" s="1"/>
  <c r="K85" i="14"/>
  <c r="D85" i="14"/>
  <c r="C85" i="14"/>
  <c r="A85" i="14" s="1"/>
  <c r="K84" i="14"/>
  <c r="D84" i="14"/>
  <c r="C84" i="14"/>
  <c r="A84" i="14" s="1"/>
  <c r="K83" i="14"/>
  <c r="D83" i="14"/>
  <c r="C83" i="14"/>
  <c r="A83" i="14" s="1"/>
  <c r="K82" i="14"/>
  <c r="D82" i="14"/>
  <c r="C82" i="14"/>
  <c r="A82" i="14" s="1"/>
  <c r="D81" i="14"/>
  <c r="C81" i="14"/>
  <c r="A81" i="14" s="1"/>
  <c r="D80" i="14"/>
  <c r="C80" i="14"/>
  <c r="A80" i="14" s="1"/>
  <c r="K79" i="14"/>
  <c r="D79" i="14"/>
  <c r="C79" i="14"/>
  <c r="A79" i="14" s="1"/>
  <c r="K78" i="14"/>
  <c r="D78" i="14"/>
  <c r="C78" i="14"/>
  <c r="A78" i="14" s="1"/>
  <c r="D77" i="14"/>
  <c r="C77" i="14"/>
  <c r="A77" i="14" s="1"/>
  <c r="K76" i="14"/>
  <c r="D76" i="14"/>
  <c r="C76" i="14"/>
  <c r="A76" i="14" s="1"/>
  <c r="K75" i="14"/>
  <c r="D75" i="14"/>
  <c r="C75" i="14"/>
  <c r="A75" i="14" s="1"/>
  <c r="K74" i="14"/>
  <c r="D74" i="14"/>
  <c r="C74" i="14"/>
  <c r="A74" i="14" s="1"/>
  <c r="K65" i="14"/>
  <c r="D65" i="14"/>
  <c r="C65" i="14"/>
  <c r="K64" i="14"/>
  <c r="D64" i="14"/>
  <c r="C64" i="14"/>
  <c r="K63" i="14"/>
  <c r="D63" i="14"/>
  <c r="C63" i="14"/>
  <c r="K62" i="14"/>
  <c r="D62" i="14"/>
  <c r="C62" i="14"/>
  <c r="K61" i="14"/>
  <c r="D61" i="14"/>
  <c r="C61" i="14"/>
  <c r="K60" i="14"/>
  <c r="D60" i="14"/>
  <c r="C60" i="14"/>
  <c r="K59" i="14"/>
  <c r="D59" i="14"/>
  <c r="C59" i="14"/>
  <c r="K58" i="14"/>
  <c r="D58" i="14"/>
  <c r="C58" i="14"/>
  <c r="K57" i="14"/>
  <c r="D57" i="14"/>
  <c r="C57" i="14"/>
  <c r="K56" i="14"/>
  <c r="D56" i="14"/>
  <c r="C56" i="14"/>
  <c r="K55" i="14"/>
  <c r="D55" i="14"/>
  <c r="C55" i="14"/>
  <c r="K54" i="14"/>
  <c r="D54" i="14"/>
  <c r="C54" i="14"/>
  <c r="K53" i="14"/>
  <c r="D53" i="14"/>
  <c r="C53" i="14"/>
  <c r="K52" i="14"/>
  <c r="D52" i="14"/>
  <c r="C52" i="14"/>
  <c r="K51" i="14"/>
  <c r="D51" i="14"/>
  <c r="C51" i="14"/>
  <c r="D50" i="14"/>
  <c r="C50" i="14"/>
  <c r="K49" i="14"/>
  <c r="D49" i="14"/>
  <c r="C49" i="14"/>
  <c r="K48" i="14"/>
  <c r="D48" i="14"/>
  <c r="C48" i="14"/>
  <c r="K47" i="14"/>
  <c r="D47" i="14"/>
  <c r="C47" i="14"/>
  <c r="K46" i="14"/>
  <c r="D46" i="14"/>
  <c r="C46" i="14"/>
  <c r="K45" i="14"/>
  <c r="D45" i="14"/>
  <c r="C45" i="14"/>
  <c r="K44" i="14"/>
  <c r="D44" i="14"/>
  <c r="C44" i="14"/>
  <c r="K43" i="14"/>
  <c r="D43" i="14"/>
  <c r="C43" i="14"/>
  <c r="K42" i="14"/>
  <c r="D42" i="14"/>
  <c r="C42" i="14"/>
  <c r="K41" i="14"/>
  <c r="D41" i="14"/>
  <c r="C41" i="14"/>
  <c r="D40" i="14"/>
  <c r="C40" i="14"/>
  <c r="K39" i="14"/>
  <c r="D39" i="14"/>
  <c r="C39" i="14"/>
  <c r="K38" i="14"/>
  <c r="D38" i="14"/>
  <c r="C38" i="14"/>
  <c r="K37" i="14"/>
  <c r="D37" i="14"/>
  <c r="C37" i="14"/>
  <c r="K36" i="14"/>
  <c r="D36" i="14"/>
  <c r="C36" i="14"/>
  <c r="K35" i="14"/>
  <c r="D35" i="14"/>
  <c r="C35" i="14"/>
  <c r="K34" i="14"/>
  <c r="D34" i="14"/>
  <c r="C34" i="14"/>
  <c r="D27" i="14"/>
  <c r="C27" i="14"/>
  <c r="K26" i="14"/>
  <c r="D26" i="14"/>
  <c r="C26" i="14"/>
  <c r="K25" i="14"/>
  <c r="D25" i="14"/>
  <c r="C25" i="14"/>
  <c r="K24" i="14"/>
  <c r="D24" i="14"/>
  <c r="C24" i="14"/>
  <c r="K23" i="14"/>
  <c r="D23" i="14"/>
  <c r="C23" i="14"/>
  <c r="D22" i="14"/>
  <c r="C22" i="14"/>
  <c r="K21" i="14"/>
  <c r="D21" i="14"/>
  <c r="C21" i="14"/>
  <c r="K20" i="14"/>
  <c r="D20" i="14"/>
  <c r="C20" i="14"/>
  <c r="K19" i="14"/>
  <c r="D19" i="14"/>
  <c r="C19" i="14"/>
  <c r="K18" i="14"/>
  <c r="D18" i="14"/>
  <c r="C18" i="14"/>
  <c r="K17" i="14"/>
  <c r="D17" i="14"/>
  <c r="C17" i="14"/>
  <c r="K16" i="14"/>
  <c r="D16" i="14"/>
  <c r="C16" i="14"/>
  <c r="K15" i="14"/>
  <c r="D15" i="14"/>
  <c r="C15" i="14"/>
  <c r="K14" i="14"/>
  <c r="D14" i="14"/>
  <c r="C14" i="14"/>
  <c r="D13" i="14"/>
  <c r="C13" i="14"/>
  <c r="K12" i="14"/>
  <c r="D12" i="14"/>
  <c r="C12" i="14"/>
  <c r="K11" i="14"/>
  <c r="D11" i="14"/>
  <c r="C11" i="14"/>
  <c r="D10" i="14"/>
  <c r="C10" i="14"/>
  <c r="K9" i="14"/>
  <c r="D9" i="14"/>
  <c r="C9" i="14"/>
  <c r="K8" i="14"/>
  <c r="D8" i="14"/>
  <c r="C8" i="14"/>
  <c r="D7" i="14"/>
  <c r="C7" i="14"/>
  <c r="D6" i="14"/>
  <c r="C6" i="14"/>
  <c r="K5" i="14"/>
  <c r="D5" i="14"/>
  <c r="C5" i="14"/>
  <c r="K4" i="14"/>
  <c r="D4" i="14"/>
  <c r="L133" i="14" l="1"/>
  <c r="A133" i="14"/>
  <c r="A4" i="14"/>
  <c r="A8" i="14"/>
  <c r="E8" i="14" s="1"/>
  <c r="A12" i="14"/>
  <c r="E12" i="14" s="1"/>
  <c r="A16" i="14"/>
  <c r="E16" i="14" s="1"/>
  <c r="A20" i="14"/>
  <c r="E20" i="14" s="1"/>
  <c r="A34" i="14"/>
  <c r="A42" i="14"/>
  <c r="E42" i="14" s="1"/>
  <c r="A50" i="14"/>
  <c r="E50" i="14" s="1"/>
  <c r="A58" i="14"/>
  <c r="A62" i="14"/>
  <c r="E86" i="14"/>
  <c r="E90" i="14"/>
  <c r="E94" i="14"/>
  <c r="E98" i="14"/>
  <c r="A24" i="14"/>
  <c r="E24" i="14" s="1"/>
  <c r="A38" i="14"/>
  <c r="A46" i="14"/>
  <c r="E46" i="14" s="1"/>
  <c r="A54" i="14"/>
  <c r="A15" i="14"/>
  <c r="A23" i="14"/>
  <c r="E23" i="14" s="1"/>
  <c r="A37" i="14"/>
  <c r="E37" i="14" s="1"/>
  <c r="A53" i="14"/>
  <c r="E53" i="14" s="1"/>
  <c r="A61" i="14"/>
  <c r="E61" i="14" s="1"/>
  <c r="E77" i="14"/>
  <c r="E85" i="14"/>
  <c r="E93" i="14"/>
  <c r="E109" i="14"/>
  <c r="A7" i="14"/>
  <c r="E7" i="14" s="1"/>
  <c r="A45" i="14"/>
  <c r="E45" i="14" s="1"/>
  <c r="A19" i="14"/>
  <c r="E19" i="14" s="1"/>
  <c r="A27" i="14"/>
  <c r="E27" i="14" s="1"/>
  <c r="A41" i="14"/>
  <c r="E41" i="14" s="1"/>
  <c r="A49" i="14"/>
  <c r="E49" i="14" s="1"/>
  <c r="A57" i="14"/>
  <c r="E57" i="14" s="1"/>
  <c r="A65" i="14"/>
  <c r="E65" i="14" s="1"/>
  <c r="E81" i="14"/>
  <c r="E89" i="14"/>
  <c r="E97" i="14"/>
  <c r="E105" i="14"/>
  <c r="A11" i="14"/>
  <c r="A5" i="14"/>
  <c r="E5" i="14" s="1"/>
  <c r="A13" i="14"/>
  <c r="E13" i="14" s="1"/>
  <c r="A21" i="14"/>
  <c r="E21" i="14" s="1"/>
  <c r="A35" i="14"/>
  <c r="E35" i="14" s="1"/>
  <c r="A43" i="14"/>
  <c r="A51" i="14"/>
  <c r="A59" i="14"/>
  <c r="E59" i="14" s="1"/>
  <c r="A10" i="14"/>
  <c r="A18" i="14"/>
  <c r="A22" i="14"/>
  <c r="E22" i="14" s="1"/>
  <c r="A36" i="14"/>
  <c r="A44" i="14"/>
  <c r="A48" i="14"/>
  <c r="E48" i="14" s="1"/>
  <c r="A52" i="14"/>
  <c r="E52" i="14" s="1"/>
  <c r="A56" i="14"/>
  <c r="A60" i="14"/>
  <c r="A64" i="14"/>
  <c r="E64" i="14" s="1"/>
  <c r="E80" i="14"/>
  <c r="E88" i="14"/>
  <c r="E92" i="14"/>
  <c r="E96" i="14"/>
  <c r="E100" i="14"/>
  <c r="E108" i="14"/>
  <c r="E112" i="14"/>
  <c r="A6" i="14"/>
  <c r="E6" i="14" s="1"/>
  <c r="A14" i="14"/>
  <c r="A26" i="14"/>
  <c r="E26" i="14" s="1"/>
  <c r="A40" i="14"/>
  <c r="E40" i="14" s="1"/>
  <c r="A9" i="14"/>
  <c r="A17" i="14"/>
  <c r="E17" i="14" s="1"/>
  <c r="A25" i="14"/>
  <c r="E25" i="14" s="1"/>
  <c r="A39" i="14"/>
  <c r="E39" i="14" s="1"/>
  <c r="A47" i="14"/>
  <c r="A55" i="14"/>
  <c r="A63" i="14"/>
  <c r="E91" i="14"/>
  <c r="E95" i="14"/>
  <c r="L125" i="14"/>
  <c r="L128" i="14"/>
  <c r="L134" i="14"/>
  <c r="L140" i="14"/>
  <c r="L146" i="14"/>
  <c r="L126" i="14"/>
  <c r="L129" i="14"/>
  <c r="L135" i="14"/>
  <c r="L138" i="14"/>
  <c r="L147" i="14"/>
  <c r="L127" i="14"/>
  <c r="L139" i="14"/>
  <c r="L142" i="14"/>
  <c r="L145" i="14"/>
  <c r="K13" i="14"/>
  <c r="K6" i="14"/>
  <c r="K10" i="14"/>
  <c r="K40" i="14"/>
  <c r="K80" i="14"/>
  <c r="K22" i="14"/>
  <c r="K7" i="14"/>
  <c r="K77" i="14"/>
  <c r="K81" i="14"/>
  <c r="K27" i="14"/>
  <c r="K50" i="14"/>
  <c r="L137" i="14"/>
  <c r="L141" i="14"/>
  <c r="E38" i="14"/>
  <c r="E102" i="14"/>
  <c r="L144" i="14"/>
  <c r="L124" i="14"/>
  <c r="L136" i="14"/>
  <c r="L148" i="14"/>
  <c r="L131" i="14"/>
  <c r="L143" i="14"/>
  <c r="E99" i="14" l="1"/>
  <c r="E83" i="14"/>
  <c r="E58" i="14"/>
  <c r="E44" i="14"/>
  <c r="E84" i="14"/>
  <c r="E79" i="14"/>
  <c r="E110" i="14"/>
  <c r="E54" i="14"/>
  <c r="E111" i="14"/>
  <c r="E62" i="14"/>
  <c r="E43" i="14"/>
  <c r="E103" i="14"/>
  <c r="E75" i="14"/>
  <c r="E106" i="14"/>
  <c r="E36" i="14"/>
  <c r="E87" i="14"/>
  <c r="E63" i="14"/>
  <c r="E34" i="14"/>
  <c r="E15" i="14"/>
  <c r="E55" i="14"/>
  <c r="E11" i="14"/>
  <c r="E9" i="14"/>
  <c r="E51" i="14"/>
  <c r="E18" i="14"/>
  <c r="E47" i="14"/>
  <c r="E76" i="14"/>
  <c r="E104" i="14"/>
  <c r="E82" i="14"/>
  <c r="E107" i="14"/>
  <c r="E14" i="14"/>
  <c r="E113" i="14"/>
  <c r="E10" i="14"/>
  <c r="E78" i="14"/>
  <c r="E4" i="14"/>
  <c r="E60" i="14"/>
  <c r="E74" i="14"/>
  <c r="E101" i="14"/>
  <c r="E56" i="14"/>
</calcChain>
</file>

<file path=xl/sharedStrings.xml><?xml version="1.0" encoding="utf-8"?>
<sst xmlns="http://schemas.openxmlformats.org/spreadsheetml/2006/main" count="2454" uniqueCount="530">
  <si>
    <t>#등급</t>
  </si>
  <si>
    <t>#제목 스트링</t>
  </si>
  <si>
    <t>#대표이미지</t>
  </si>
  <si>
    <t>#프롤로그 스토리</t>
  </si>
  <si>
    <t>Grade</t>
  </si>
  <si>
    <t>Unlock</t>
  </si>
  <si>
    <t>NameString</t>
  </si>
  <si>
    <t>Resource</t>
  </si>
  <si>
    <t>PrologueStory</t>
  </si>
  <si>
    <t>*AcademyGradeType</t>
  </si>
  <si>
    <t>$Unlock?</t>
  </si>
  <si>
    <t>int</t>
  </si>
  <si>
    <t>$Fee</t>
  </si>
  <si>
    <t>$Text</t>
  </si>
  <si>
    <t>string</t>
  </si>
  <si>
    <t>common</t>
  </si>
  <si>
    <t>client</t>
  </si>
  <si>
    <t>UI.Academy.03</t>
  </si>
  <si>
    <t>academy_title_01</t>
  </si>
  <si>
    <t>AcademyPrologue_1</t>
  </si>
  <si>
    <t>UNLK0811</t>
  </si>
  <si>
    <t>UI.Academy.04</t>
  </si>
  <si>
    <t>academy_title_02</t>
  </si>
  <si>
    <t>UI.Academy.05</t>
  </si>
  <si>
    <t>academy_title_03</t>
  </si>
  <si>
    <t>Type</t>
  </si>
  <si>
    <t>Timeline</t>
  </si>
  <si>
    <t>PrefabBody</t>
  </si>
  <si>
    <t>Icon</t>
  </si>
  <si>
    <t>AcademyClassType</t>
  </si>
  <si>
    <t>Rest</t>
  </si>
  <si>
    <t>Timeline/AcademyClassTimeline_rest</t>
  </si>
  <si>
    <t>Character/SDPrefabs/sd_body_school</t>
  </si>
  <si>
    <t>icon_academy_class_rest_01</t>
  </si>
  <si>
    <t>Force</t>
  </si>
  <si>
    <t>Timeline/AcademyClassTimeline_Running</t>
  </si>
  <si>
    <t>Character/SDPrefabs/sd_body_training</t>
  </si>
  <si>
    <t>icon_academy_class_running_01</t>
  </si>
  <si>
    <t>Sense</t>
  </si>
  <si>
    <t>Timeline/AcademyClassTimeline_Music</t>
  </si>
  <si>
    <t>icon_academy_class_music_01</t>
  </si>
  <si>
    <t>Intellect</t>
  </si>
  <si>
    <t>Timeline/AcademyClassTimeline_Lab</t>
  </si>
  <si>
    <t>icon_academy_class_lab_01</t>
  </si>
  <si>
    <t>Fun</t>
  </si>
  <si>
    <t>Timeline/AcademyClassTimeline_Game</t>
  </si>
  <si>
    <t>icon_academy_class_game_01</t>
  </si>
  <si>
    <t>Harmony</t>
  </si>
  <si>
    <t>Timeline/AcademyClassTimeline_Climbing</t>
  </si>
  <si>
    <t>icon_academy_class_climbing_01</t>
  </si>
  <si>
    <t>Id</t>
  </si>
  <si>
    <t>*$Character</t>
  </si>
  <si>
    <t>CharacterId</t>
  </si>
  <si>
    <t>*!$Character</t>
  </si>
  <si>
    <t>Mentor</t>
  </si>
  <si>
    <t>Friendly</t>
  </si>
  <si>
    <t>($Character)</t>
  </si>
  <si>
    <t>$Character</t>
  </si>
  <si>
    <t>AcademyFriendlyType</t>
  </si>
  <si>
    <t>BestFriend</t>
  </si>
  <si>
    <t>Friend</t>
  </si>
  <si>
    <t>CriticalProb</t>
  </si>
  <si>
    <t>Name</t>
  </si>
  <si>
    <t>*AcademyFriendlyType</t>
  </si>
  <si>
    <t>Normal</t>
  </si>
  <si>
    <t>Academy.Friendly.Name.01</t>
  </si>
  <si>
    <t>Academy.Friendly.Name.02</t>
  </si>
  <si>
    <t>Academy.Friendly.Name.03</t>
  </si>
  <si>
    <t>#Name</t>
  </si>
  <si>
    <t>Image</t>
  </si>
  <si>
    <t>*GradeType</t>
  </si>
  <si>
    <t>#string</t>
  </si>
  <si>
    <t>#client</t>
  </si>
  <si>
    <t>SR</t>
  </si>
  <si>
    <t>academytitle_sr</t>
  </si>
  <si>
    <t>SSR</t>
  </si>
  <si>
    <t>academytitle_ssr</t>
  </si>
  <si>
    <t>UR</t>
  </si>
  <si>
    <t>academytitle_ur</t>
  </si>
  <si>
    <t>Stat</t>
  </si>
  <si>
    <t>*long</t>
  </si>
  <si>
    <t>GradeType</t>
  </si>
  <si>
    <t>int</t>
    <phoneticPr fontId="1" type="noConversion"/>
  </si>
  <si>
    <t>client</t>
    <phoneticPr fontId="1" type="noConversion"/>
  </si>
  <si>
    <t>UNLK0812</t>
    <phoneticPr fontId="1" type="noConversion"/>
  </si>
  <si>
    <t>Altair</t>
  </si>
  <si>
    <t>Sirius</t>
  </si>
  <si>
    <t>common</t>
    <phoneticPr fontId="1" type="noConversion"/>
  </si>
  <si>
    <t>#비용</t>
    <phoneticPr fontId="1" type="noConversion"/>
  </si>
  <si>
    <t>Fee</t>
    <phoneticPr fontId="1" type="noConversion"/>
  </si>
  <si>
    <t>#수업 횟수</t>
    <phoneticPr fontId="1" type="noConversion"/>
  </si>
  <si>
    <t>ClassCount</t>
    <phoneticPr fontId="1" type="noConversion"/>
  </si>
  <si>
    <t>int</t>
    <phoneticPr fontId="1" type="noConversion"/>
  </si>
  <si>
    <t>LikeClass</t>
    <phoneticPr fontId="1" type="noConversion"/>
  </si>
  <si>
    <t>AcademyClassType</t>
    <phoneticPr fontId="1" type="noConversion"/>
  </si>
  <si>
    <t>Harmony</t>
    <phoneticPr fontId="1" type="noConversion"/>
  </si>
  <si>
    <t>SS</t>
    <phoneticPr fontId="1" type="noConversion"/>
  </si>
  <si>
    <t>S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</si>
  <si>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</si>
  <si>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</si>
  <si>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</si>
  <si>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Prob</t>
    <phoneticPr fontId="1" type="noConversion"/>
  </si>
  <si>
    <t>server</t>
    <phoneticPr fontId="1" type="noConversion"/>
  </si>
  <si>
    <t>Group</t>
    <phoneticPr fontId="1" type="noConversion"/>
  </si>
  <si>
    <t>#등급 그룹</t>
    <phoneticPr fontId="1" type="noConversion"/>
  </si>
  <si>
    <t>높은등급</t>
    <phoneticPr fontId="1" type="noConversion"/>
  </si>
  <si>
    <t>낮은등급</t>
    <phoneticPr fontId="1" type="noConversion"/>
  </si>
  <si>
    <t>#</t>
    <phoneticPr fontId="1" type="noConversion"/>
  </si>
  <si>
    <t>TitleGrade</t>
    <phoneticPr fontId="1" type="noConversion"/>
  </si>
  <si>
    <t>$AcademyTitleGrade</t>
    <phoneticPr fontId="1" type="noConversion"/>
  </si>
  <si>
    <t>common</t>
    <phoneticPr fontId="1" type="noConversion"/>
  </si>
  <si>
    <t>Schedulable</t>
    <phoneticPr fontId="1" type="noConversion"/>
  </si>
  <si>
    <t>bool</t>
    <phoneticPr fontId="1" type="noConversion"/>
  </si>
  <si>
    <t>Rank</t>
    <phoneticPr fontId="1" type="noConversion"/>
  </si>
  <si>
    <t>AcademyRankGroupType</t>
    <phoneticPr fontId="1" type="noConversion"/>
  </si>
  <si>
    <t>Higher</t>
    <phoneticPr fontId="1" type="noConversion"/>
  </si>
  <si>
    <t>Lower</t>
    <phoneticPr fontId="1" type="noConversion"/>
  </si>
  <si>
    <t>*AcademyRankType</t>
    <phoneticPr fontId="1" type="noConversion"/>
  </si>
  <si>
    <t>AcademyGrade</t>
    <phoneticPr fontId="1" type="noConversion"/>
  </si>
  <si>
    <t>AcademyGradeType</t>
    <phoneticPr fontId="1" type="noConversion"/>
  </si>
  <si>
    <t>AcademyClass</t>
    <phoneticPr fontId="1" type="noConversion"/>
  </si>
  <si>
    <t>Name</t>
    <phoneticPr fontId="1" type="noConversion"/>
  </si>
  <si>
    <t>Desc</t>
    <phoneticPr fontId="1" type="noConversion"/>
  </si>
  <si>
    <t>Desc</t>
    <phoneticPr fontId="1" type="noConversion"/>
  </si>
  <si>
    <t>Spica</t>
  </si>
  <si>
    <t>(AcademyGradeType)</t>
    <phoneticPr fontId="1" type="noConversion"/>
  </si>
  <si>
    <t>ID참조</t>
    <phoneticPr fontId="1" type="noConversion"/>
  </si>
  <si>
    <t>ICON참조</t>
    <phoneticPr fontId="1" type="noConversion"/>
  </si>
  <si>
    <t>이름참조</t>
    <phoneticPr fontId="1" type="noConversion"/>
  </si>
  <si>
    <t>패시브참조</t>
    <phoneticPr fontId="1" type="noConversion"/>
  </si>
  <si>
    <t>입력</t>
    <phoneticPr fontId="1" type="noConversion"/>
  </si>
  <si>
    <t>출력</t>
    <phoneticPr fontId="1" type="noConversion"/>
  </si>
  <si>
    <t>class01_</t>
    <phoneticPr fontId="1" type="noConversion"/>
  </si>
  <si>
    <t>스피카</t>
    <phoneticPr fontId="1" type="noConversion"/>
  </si>
  <si>
    <t>공격력</t>
  </si>
  <si>
    <t>attack</t>
  </si>
  <si>
    <t>101.Academy.01.buff</t>
  </si>
  <si>
    <t>class02_</t>
    <phoneticPr fontId="1" type="noConversion"/>
  </si>
  <si>
    <t>알타이르</t>
    <phoneticPr fontId="1" type="noConversion"/>
  </si>
  <si>
    <t>공격속도</t>
  </si>
  <si>
    <t>attackspeed</t>
  </si>
  <si>
    <t>102.Academy.01.buff</t>
    <phoneticPr fontId="1" type="noConversion"/>
  </si>
  <si>
    <t>class03_</t>
    <phoneticPr fontId="1" type="noConversion"/>
  </si>
  <si>
    <t>시리우스</t>
    <phoneticPr fontId="1" type="noConversion"/>
  </si>
  <si>
    <t>방어력</t>
  </si>
  <si>
    <t>defense</t>
  </si>
  <si>
    <t>103.Academy.01.buff</t>
    <phoneticPr fontId="1" type="noConversion"/>
  </si>
  <si>
    <t>체력</t>
  </si>
  <si>
    <t>막기 효율</t>
  </si>
  <si>
    <t>guardreducerate</t>
  </si>
  <si>
    <t>104.Academy.01.buff</t>
    <phoneticPr fontId="1" type="noConversion"/>
  </si>
  <si>
    <t>음악</t>
    <phoneticPr fontId="1" type="noConversion"/>
  </si>
  <si>
    <t>생명력</t>
    <phoneticPr fontId="1" type="noConversion"/>
  </si>
  <si>
    <t>hp</t>
  </si>
  <si>
    <t>105.Academy.01.buff</t>
    <phoneticPr fontId="1" type="noConversion"/>
  </si>
  <si>
    <t>연구</t>
  </si>
  <si>
    <t>회피</t>
  </si>
  <si>
    <t>evasion</t>
  </si>
  <si>
    <t>106.Academy.01.buff</t>
    <phoneticPr fontId="1" type="noConversion"/>
  </si>
  <si>
    <t>유머</t>
  </si>
  <si>
    <t>치명타 피해</t>
    <phoneticPr fontId="1" type="noConversion"/>
  </si>
  <si>
    <t>criticaldamage</t>
  </si>
  <si>
    <t>107.Academy.01.buff</t>
    <phoneticPr fontId="1" type="noConversion"/>
  </si>
  <si>
    <t>생명력</t>
  </si>
  <si>
    <t>클라이밍</t>
    <phoneticPr fontId="1" type="noConversion"/>
  </si>
  <si>
    <t>궁극기 피해</t>
    <phoneticPr fontId="1" type="noConversion"/>
  </si>
  <si>
    <t>ultimatedamagerate</t>
  </si>
  <si>
    <t>108.Academy.01.buff</t>
    <phoneticPr fontId="1" type="noConversion"/>
  </si>
  <si>
    <t>효과 저항</t>
    <phoneticPr fontId="1" type="noConversion"/>
  </si>
  <si>
    <t>effect_res</t>
  </si>
  <si>
    <t>109.Academy.01.buff</t>
    <phoneticPr fontId="1" type="noConversion"/>
  </si>
  <si>
    <t>치명타 피해</t>
  </si>
  <si>
    <t>EP회복량</t>
  </si>
  <si>
    <t>eprechargerate</t>
  </si>
  <si>
    <t>110.Academy.01.buff</t>
    <phoneticPr fontId="1" type="noConversion"/>
  </si>
  <si>
    <t>궁극기 피해</t>
  </si>
  <si>
    <t>111.Academy.01.buff</t>
    <phoneticPr fontId="1" type="noConversion"/>
  </si>
  <si>
    <t>효과 저항</t>
  </si>
  <si>
    <t>112.Academy.01.buff</t>
    <phoneticPr fontId="1" type="noConversion"/>
  </si>
  <si>
    <t>113.Academy.01.buff</t>
    <phoneticPr fontId="1" type="noConversion"/>
  </si>
  <si>
    <t>114.Academy.01.buff</t>
    <phoneticPr fontId="1" type="noConversion"/>
  </si>
  <si>
    <t>115.Academy.01.buff</t>
    <phoneticPr fontId="1" type="noConversion"/>
  </si>
  <si>
    <t>116.Academy.01.buff</t>
    <phoneticPr fontId="1" type="noConversion"/>
  </si>
  <si>
    <t>117.Academy.01.buff</t>
    <phoneticPr fontId="1" type="noConversion"/>
  </si>
  <si>
    <t>118.Academy.01.buff</t>
    <phoneticPr fontId="1" type="noConversion"/>
  </si>
  <si>
    <t>119.Academy.01.buff</t>
    <phoneticPr fontId="1" type="noConversion"/>
  </si>
  <si>
    <t>120.Academy.01.buff</t>
    <phoneticPr fontId="1" type="noConversion"/>
  </si>
  <si>
    <t>121.Academy.01.buff</t>
    <phoneticPr fontId="1" type="noConversion"/>
  </si>
  <si>
    <t>122.Academy.01.buff</t>
    <phoneticPr fontId="1" type="noConversion"/>
  </si>
  <si>
    <t>123.Academy.01.buff</t>
    <phoneticPr fontId="1" type="noConversion"/>
  </si>
  <si>
    <t>124.Academy.01.buff</t>
    <phoneticPr fontId="1" type="noConversion"/>
  </si>
  <si>
    <t>125.Academy.01.buff</t>
    <phoneticPr fontId="1" type="noConversion"/>
  </si>
  <si>
    <t>126.Academy.01.buff</t>
    <phoneticPr fontId="1" type="noConversion"/>
  </si>
  <si>
    <t>127.Academy.01.buff</t>
    <phoneticPr fontId="1" type="noConversion"/>
  </si>
  <si>
    <t>128.Academy.01.buff</t>
    <phoneticPr fontId="1" type="noConversion"/>
  </si>
  <si>
    <t>129.Academy.01.buff</t>
    <phoneticPr fontId="1" type="noConversion"/>
  </si>
  <si>
    <t>130.Academy.01.buff</t>
    <phoneticPr fontId="1" type="noConversion"/>
  </si>
  <si>
    <t>131.Academy.01.buff</t>
    <phoneticPr fontId="1" type="noConversion"/>
  </si>
  <si>
    <t>132.Academy.01.buff</t>
    <phoneticPr fontId="1" type="noConversion"/>
  </si>
  <si>
    <t>133.Academy.01.buff</t>
    <phoneticPr fontId="1" type="noConversion"/>
  </si>
  <si>
    <t>134.Academy.01.buff</t>
    <phoneticPr fontId="1" type="noConversion"/>
  </si>
  <si>
    <t>135.Academy.01.buff</t>
    <phoneticPr fontId="1" type="noConversion"/>
  </si>
  <si>
    <t>136.Academy.01.buff</t>
    <phoneticPr fontId="1" type="noConversion"/>
  </si>
  <si>
    <t>137.Academy.01.buff</t>
    <phoneticPr fontId="1" type="noConversion"/>
  </si>
  <si>
    <t>138.Academy.01.buff</t>
    <phoneticPr fontId="1" type="noConversion"/>
  </si>
  <si>
    <t>139.Academy.01.buff</t>
    <phoneticPr fontId="1" type="noConversion"/>
  </si>
  <si>
    <t>140.Academy.01.buff</t>
    <phoneticPr fontId="1" type="noConversion"/>
  </si>
  <si>
    <t>141.Academy.01.buff</t>
    <phoneticPr fontId="1" type="noConversion"/>
  </si>
  <si>
    <t>142.Academy.01.buff</t>
    <phoneticPr fontId="1" type="noConversion"/>
  </si>
  <si>
    <t>143.Academy.01.buff</t>
    <phoneticPr fontId="1" type="noConversion"/>
  </si>
  <si>
    <t>144.Academy.01.buff</t>
    <phoneticPr fontId="1" type="noConversion"/>
  </si>
  <si>
    <t>145.Academy.01.buff</t>
    <phoneticPr fontId="1" type="noConversion"/>
  </si>
  <si>
    <t>146.Academy.01.buff</t>
    <phoneticPr fontId="1" type="noConversion"/>
  </si>
  <si>
    <t>국문참조</t>
    <phoneticPr fontId="1" type="noConversion"/>
  </si>
  <si>
    <t>스피카</t>
    <phoneticPr fontId="1" type="noConversion"/>
  </si>
  <si>
    <t>체력</t>
    <phoneticPr fontId="1" type="noConversion"/>
  </si>
  <si>
    <t>스피카</t>
    <phoneticPr fontId="1" type="noConversion"/>
  </si>
  <si>
    <t>음악</t>
    <phoneticPr fontId="1" type="noConversion"/>
  </si>
  <si>
    <t>연구</t>
    <phoneticPr fontId="1" type="noConversion"/>
  </si>
  <si>
    <t>체력</t>
    <phoneticPr fontId="1" type="noConversion"/>
  </si>
  <si>
    <t>유머</t>
    <phoneticPr fontId="1" type="noConversion"/>
  </si>
  <si>
    <t>알타이르</t>
    <phoneticPr fontId="1" type="noConversion"/>
  </si>
  <si>
    <t>음악</t>
    <phoneticPr fontId="1" type="noConversion"/>
  </si>
  <si>
    <t>#클래스</t>
    <phoneticPr fontId="1" type="noConversion"/>
  </si>
  <si>
    <t>#훈련</t>
    <phoneticPr fontId="1" type="noConversion"/>
  </si>
  <si>
    <t>#스텟 버프</t>
    <phoneticPr fontId="1" type="noConversion"/>
  </si>
  <si>
    <t>#스킬 버프</t>
    <phoneticPr fontId="1" type="noConversion"/>
  </si>
  <si>
    <t>#랭크</t>
    <phoneticPr fontId="1" type="noConversion"/>
  </si>
  <si>
    <t>#기획 입력</t>
    <phoneticPr fontId="1" type="noConversion"/>
  </si>
  <si>
    <t>common</t>
    <phoneticPr fontId="1" type="noConversion"/>
  </si>
  <si>
    <t>$ItemStat?</t>
    <phoneticPr fontId="1" type="noConversion"/>
  </si>
  <si>
    <t>StoryIntro1</t>
    <phoneticPr fontId="1" type="noConversion"/>
  </si>
  <si>
    <t>StoryIntro3</t>
    <phoneticPr fontId="1" type="noConversion"/>
  </si>
  <si>
    <t>StoryIntro2</t>
    <phoneticPr fontId="1" type="noConversion"/>
  </si>
  <si>
    <t>AcademySkill</t>
    <phoneticPr fontId="1" type="noConversion"/>
  </si>
  <si>
    <t>string</t>
    <phoneticPr fontId="1" type="noConversion"/>
  </si>
  <si>
    <t>Character</t>
    <phoneticPr fontId="1" type="noConversion"/>
  </si>
  <si>
    <t>long?</t>
    <phoneticPr fontId="1" type="noConversion"/>
  </si>
  <si>
    <t>CharacterSpecialSkill</t>
    <phoneticPr fontId="1" type="noConversion"/>
  </si>
  <si>
    <t>시리우스</t>
  </si>
  <si>
    <t>클라이밍</t>
  </si>
  <si>
    <t>MR</t>
  </si>
  <si>
    <t>103.Academy.01.snopril</t>
  </si>
  <si>
    <t>112.Academy.01.rachel</t>
  </si>
  <si>
    <t>118.Academy.01.angelica</t>
  </si>
  <si>
    <t>119.Academy.01.yuna</t>
  </si>
  <si>
    <t>128.Academy.01.patricia</t>
  </si>
  <si>
    <t>130.Academy.01.angelica</t>
  </si>
  <si>
    <t>135.Academy.01.ino</t>
  </si>
  <si>
    <t>#</t>
    <phoneticPr fontId="1" type="noConversion"/>
  </si>
  <si>
    <t>레이첼</t>
    <phoneticPr fontId="1" type="noConversion"/>
  </si>
  <si>
    <t>유나</t>
    <phoneticPr fontId="1" type="noConversion"/>
  </si>
  <si>
    <t>안젤리카</t>
    <phoneticPr fontId="1" type="noConversion"/>
  </si>
  <si>
    <t>패트리샤</t>
    <phoneticPr fontId="1" type="noConversion"/>
  </si>
  <si>
    <t>스노프릴</t>
    <phoneticPr fontId="1" type="noConversion"/>
  </si>
  <si>
    <t>이노</t>
    <phoneticPr fontId="1" type="noConversion"/>
  </si>
  <si>
    <t>공격력</t>
    <phoneticPr fontId="1" type="noConversion"/>
  </si>
  <si>
    <t>방어력</t>
    <phoneticPr fontId="1" type="noConversion"/>
  </si>
  <si>
    <t>생명력</t>
    <phoneticPr fontId="1" type="noConversion"/>
  </si>
  <si>
    <t>공격력</t>
    <phoneticPr fontId="1" type="noConversion"/>
  </si>
  <si>
    <t>방어력</t>
    <phoneticPr fontId="1" type="noConversion"/>
  </si>
  <si>
    <t>생명력</t>
    <phoneticPr fontId="1" type="noConversion"/>
  </si>
  <si>
    <t>치명타 피해</t>
    <phoneticPr fontId="1" type="noConversion"/>
  </si>
  <si>
    <t>01</t>
    <phoneticPr fontId="1" type="noConversion"/>
  </si>
  <si>
    <t>02</t>
    <phoneticPr fontId="1" type="noConversion"/>
  </si>
  <si>
    <t>03</t>
    <phoneticPr fontId="1" type="noConversion"/>
  </si>
  <si>
    <t>04</t>
    <phoneticPr fontId="1" type="noConversion"/>
  </si>
  <si>
    <t>05</t>
    <phoneticPr fontId="1" type="noConversion"/>
  </si>
  <si>
    <t>06</t>
    <phoneticPr fontId="1" type="noConversion"/>
  </si>
  <si>
    <t>07</t>
    <phoneticPr fontId="1" type="noConversion"/>
  </si>
  <si>
    <t>08</t>
    <phoneticPr fontId="1" type="noConversion"/>
  </si>
  <si>
    <t>09</t>
    <phoneticPr fontId="1" type="noConversion"/>
  </si>
  <si>
    <t>10</t>
    <phoneticPr fontId="1" type="noConversion"/>
  </si>
  <si>
    <t>000</t>
  </si>
  <si>
    <t>Academy.Spica.Fee</t>
  </si>
  <si>
    <t>Academy.Altair.Fee</t>
  </si>
  <si>
    <t>icon_academy_title_class01_attack</t>
  </si>
  <si>
    <t>icon_academy_title_class01_attackspeed</t>
  </si>
  <si>
    <t>icon_academy_title_class01_defense</t>
  </si>
  <si>
    <t>icon_academy_title_class01_guardreducerate</t>
  </si>
  <si>
    <t>icon_academy_title_class01_hp</t>
  </si>
  <si>
    <t>icon_academy_title_class01_evasion</t>
  </si>
  <si>
    <t>icon_academy_title_class02_attack</t>
  </si>
  <si>
    <t>icon_academy_title_class02_attackspeed</t>
  </si>
  <si>
    <t>icon_academy_title_class02_defense</t>
  </si>
  <si>
    <t>icon_academy_title_class02_guardreducerate</t>
  </si>
  <si>
    <t>icon_academy_title_class02_hp</t>
  </si>
  <si>
    <t>icon_academy_title_class02_evasion</t>
  </si>
  <si>
    <t>icon_academy_title_class02_criticaldamage</t>
  </si>
  <si>
    <t>icon_academy_title_class02_ultimatedamagerate</t>
  </si>
  <si>
    <t>icon_academy_title_class03_attack</t>
  </si>
  <si>
    <t>icon_academy_title_class03_attackspeed</t>
  </si>
  <si>
    <t>icon_academy_title_class03_defense</t>
  </si>
  <si>
    <t>icon_academy_title_class03_guardreducerate</t>
  </si>
  <si>
    <t>icon_academy_title_class03_hp</t>
  </si>
  <si>
    <t>icon_academy_title_class03_evasion</t>
  </si>
  <si>
    <t>icon_academy_title_class03_criticaldamage</t>
  </si>
  <si>
    <t>icon_academy_title_class03_ultimatedamagerate</t>
  </si>
  <si>
    <t>icon_academy_title_class03_effect_res</t>
  </si>
  <si>
    <t>icon_academy_title_class03_eprechargerate</t>
  </si>
  <si>
    <t>icon_academy_title_class02_119</t>
  </si>
  <si>
    <t>icon_academy_title_class02_134</t>
  </si>
  <si>
    <t>common</t>
    <phoneticPr fontId="1" type="noConversion"/>
  </si>
  <si>
    <t>Point</t>
    <phoneticPr fontId="1" type="noConversion"/>
  </si>
  <si>
    <t>int</t>
    <phoneticPr fontId="1" type="noConversion"/>
  </si>
  <si>
    <t>TitleType</t>
    <phoneticPr fontId="1" type="noConversion"/>
  </si>
  <si>
    <t>AcademyTitleType</t>
    <phoneticPr fontId="1" type="noConversion"/>
  </si>
  <si>
    <t>Stat</t>
    <phoneticPr fontId="1" type="noConversion"/>
  </si>
  <si>
    <t>Passive</t>
    <phoneticPr fontId="1" type="noConversion"/>
  </si>
  <si>
    <t>스피카</t>
  </si>
  <si>
    <t>알타이르</t>
  </si>
  <si>
    <t>음악</t>
  </si>
  <si>
    <t>ConditionPoint1</t>
    <phoneticPr fontId="1" type="noConversion"/>
  </si>
  <si>
    <t>ConditionPoint2</t>
  </si>
  <si>
    <t>ConditionPoint3</t>
  </si>
  <si>
    <t>#</t>
  </si>
  <si>
    <t>#</t>
    <phoneticPr fontId="1" type="noConversion"/>
  </si>
  <si>
    <t>더미</t>
  </si>
  <si>
    <t>아이투스</t>
  </si>
  <si>
    <t>메리샤</t>
  </si>
  <si>
    <t>릴리안</t>
  </si>
  <si>
    <t>다리아</t>
  </si>
  <si>
    <t>스노프릴</t>
  </si>
  <si>
    <t>앤</t>
  </si>
  <si>
    <t>타이나</t>
  </si>
  <si>
    <t>다이아나</t>
  </si>
  <si>
    <t>루</t>
  </si>
  <si>
    <t>괴도 엘</t>
  </si>
  <si>
    <t>세라펄사</t>
  </si>
  <si>
    <t>아이라스</t>
  </si>
  <si>
    <t>앰브로시아</t>
  </si>
  <si>
    <t>시아</t>
  </si>
  <si>
    <t>프레데리카</t>
  </si>
  <si>
    <t>메아</t>
  </si>
  <si>
    <t>레이첼</t>
  </si>
  <si>
    <t>이사벨라</t>
  </si>
  <si>
    <t>발렌시아</t>
  </si>
  <si>
    <t>벨리타</t>
  </si>
  <si>
    <t>베르베타</t>
  </si>
  <si>
    <t>아셀스</t>
  </si>
  <si>
    <t>안젤리카</t>
  </si>
  <si>
    <t>브륀힐데</t>
  </si>
  <si>
    <t>유나</t>
  </si>
  <si>
    <t>그레이</t>
  </si>
  <si>
    <t>페이</t>
  </si>
  <si>
    <t>아이렌</t>
  </si>
  <si>
    <t>클레아스</t>
  </si>
  <si>
    <t>에르메일</t>
  </si>
  <si>
    <t>프레이야</t>
  </si>
  <si>
    <t>에라디카</t>
  </si>
  <si>
    <t>카나타</t>
  </si>
  <si>
    <t>이드</t>
  </si>
  <si>
    <t>아크페이즈</t>
  </si>
  <si>
    <t>쉐리</t>
  </si>
  <si>
    <t>패트리샤</t>
  </si>
  <si>
    <t>레나스</t>
  </si>
  <si>
    <t>라일라</t>
  </si>
  <si>
    <t>에리카</t>
  </si>
  <si>
    <t>에이코</t>
  </si>
  <si>
    <t>크림슨</t>
  </si>
  <si>
    <t>페렐</t>
  </si>
  <si>
    <t>이노</t>
  </si>
  <si>
    <t>마나</t>
  </si>
  <si>
    <t>오로라</t>
  </si>
  <si>
    <t>이올렛</t>
  </si>
  <si>
    <t>유리지아</t>
  </si>
  <si>
    <t>샤레</t>
  </si>
  <si>
    <t>레이호우</t>
  </si>
  <si>
    <t>헬렌</t>
  </si>
  <si>
    <t>할로나</t>
  </si>
  <si>
    <t>엘리나</t>
  </si>
  <si>
    <t>시즈</t>
  </si>
  <si>
    <t>린</t>
  </si>
  <si>
    <t>#탭 아이콘</t>
    <phoneticPr fontId="1" type="noConversion"/>
  </si>
  <si>
    <t>TabIcon</t>
    <phoneticPr fontId="1" type="noConversion"/>
  </si>
  <si>
    <t>string</t>
    <phoneticPr fontId="1" type="noConversion"/>
  </si>
  <si>
    <t>client</t>
    <phoneticPr fontId="1" type="noConversion"/>
  </si>
  <si>
    <t>tab_academy_01</t>
  </si>
  <si>
    <t>tab_academy_02</t>
  </si>
  <si>
    <t>tab_academy_03</t>
  </si>
  <si>
    <t>LR</t>
  </si>
  <si>
    <t>LR</t>
    <phoneticPr fontId="1" type="noConversion"/>
  </si>
  <si>
    <t>LR</t>
    <phoneticPr fontId="1" type="noConversion"/>
  </si>
  <si>
    <t>academytitle_mr</t>
  </si>
  <si>
    <t>academytitle_lr</t>
    <phoneticPr fontId="1" type="noConversion"/>
  </si>
  <si>
    <t>RewardPassPoint</t>
  </si>
  <si>
    <t>dsl?</t>
  </si>
  <si>
    <t>$Episode</t>
    <phoneticPr fontId="1" type="noConversion"/>
  </si>
  <si>
    <t>Character/SDPrefabs/sd_body_school_spica</t>
    <phoneticPr fontId="1" type="noConversion"/>
  </si>
  <si>
    <t>Character/SDPrefabs/sd_body_training_spica</t>
    <phoneticPr fontId="1" type="noConversion"/>
  </si>
  <si>
    <t>Character/SDPrefabs/sd_body_school_sirius</t>
    <phoneticPr fontId="1" type="noConversion"/>
  </si>
  <si>
    <t>Character/SDPrefabs/sd_body_training_sirius</t>
    <phoneticPr fontId="1" type="noConversion"/>
  </si>
  <si>
    <t>#SD 프리팹</t>
    <phoneticPr fontId="1" type="noConversion"/>
  </si>
  <si>
    <t>PrefabBody</t>
    <phoneticPr fontId="1" type="noConversion"/>
  </si>
  <si>
    <t>string</t>
    <phoneticPr fontId="1" type="noConversion"/>
  </si>
  <si>
    <t>client</t>
    <phoneticPr fontId="1" type="noConversion"/>
  </si>
  <si>
    <t>Character/SDPrefabs/sd_body_school</t>
    <phoneticPr fontId="1" type="noConversion"/>
  </si>
  <si>
    <t>Character/SDPrefabs/sd_body_school_spica</t>
  </si>
  <si>
    <t>Character/SDPrefabs/sd_body_school_sirius</t>
  </si>
  <si>
    <t>UNLK0810</t>
  </si>
  <si>
    <t>AcademyPrologue_2</t>
    <phoneticPr fontId="1" type="noConversion"/>
  </si>
  <si>
    <t>AcademyPrologue_3</t>
    <phoneticPr fontId="1" type="noConversion"/>
  </si>
  <si>
    <t>#Sirius</t>
    <phoneticPr fontId="1" type="noConversion"/>
  </si>
  <si>
    <t>#Sirius</t>
    <phoneticPr fontId="1" type="noConversion"/>
  </si>
  <si>
    <t>Academy.Sirius.Fee</t>
    <phoneticPr fontId="1" type="noConversion"/>
  </si>
  <si>
    <t>#주석</t>
    <phoneticPr fontId="1" type="noConversion"/>
  </si>
  <si>
    <t>#</t>
    <phoneticPr fontId="1" type="noConversion"/>
  </si>
  <si>
    <t>3/28 오픈 빌드</t>
    <phoneticPr fontId="1" type="noConversion"/>
  </si>
  <si>
    <t>#</t>
    <phoneticPr fontId="1" type="noConversion"/>
  </si>
  <si>
    <t>#</t>
    <phoneticPr fontId="1" type="noConversion"/>
  </si>
  <si>
    <t>#이름</t>
    <phoneticPr fontId="1" type="noConversion"/>
  </si>
  <si>
    <t>#</t>
    <phoneticPr fontId="1" type="noConversion"/>
  </si>
  <si>
    <t>#오픈 시점</t>
    <phoneticPr fontId="1" type="noConversion"/>
  </si>
  <si>
    <t>오픈</t>
  </si>
  <si>
    <t>업데이트</t>
  </si>
  <si>
    <t>에라디카</t>
    <phoneticPr fontId="1" type="noConversion"/>
  </si>
  <si>
    <t>에라디카</t>
    <phoneticPr fontId="1" type="noConversion"/>
  </si>
  <si>
    <t>에라디카</t>
    <phoneticPr fontId="1" type="noConversion"/>
  </si>
  <si>
    <t>에라디카</t>
    <phoneticPr fontId="1" type="noConversion"/>
  </si>
  <si>
    <t>프레이야</t>
    <phoneticPr fontId="1" type="noConversion"/>
  </si>
  <si>
    <t>프레이야</t>
    <phoneticPr fontId="1" type="noConversion"/>
  </si>
  <si>
    <t>프레이야</t>
    <phoneticPr fontId="1" type="noConversion"/>
  </si>
  <si>
    <t>프레이야</t>
    <phoneticPr fontId="1" type="noConversion"/>
  </si>
  <si>
    <t>할로나</t>
    <phoneticPr fontId="1" type="noConversion"/>
  </si>
  <si>
    <t>할로나</t>
    <phoneticPr fontId="1" type="noConversion"/>
  </si>
  <si>
    <t>할로나</t>
    <phoneticPr fontId="1" type="noConversion"/>
  </si>
  <si>
    <t>할로나</t>
    <phoneticPr fontId="1" type="noConversion"/>
  </si>
  <si>
    <t>할로나</t>
    <phoneticPr fontId="1" type="noConversion"/>
  </si>
  <si>
    <t>#AcademyPrologue_1</t>
  </si>
  <si>
    <t>#Academy_itus_01</t>
  </si>
  <si>
    <t>#Academy_itus_02</t>
  </si>
  <si>
    <t>#Academy_melissa_01</t>
  </si>
  <si>
    <t>#Academy_melissa_02</t>
  </si>
  <si>
    <t>#Academy_lilian_01</t>
  </si>
  <si>
    <t>#Academy_lilian_02</t>
  </si>
  <si>
    <t>#Academy_daria_01</t>
  </si>
  <si>
    <t>#Academy_daria_02</t>
  </si>
  <si>
    <t>#Academy_snopril_01</t>
  </si>
  <si>
    <t>#Academy_snopril_02</t>
  </si>
  <si>
    <t>#Academy_anne_01</t>
  </si>
  <si>
    <t>#Academy_anne_02</t>
  </si>
  <si>
    <t>#Academy_taina_01</t>
  </si>
  <si>
    <t>#Academy_taina_02</t>
  </si>
  <si>
    <t>#Academy_diana_01</t>
  </si>
  <si>
    <t>#Academy_diana_02</t>
  </si>
  <si>
    <t>#Academy_serapulsar_01</t>
  </si>
  <si>
    <t>#Academy_serapulsar_02</t>
  </si>
  <si>
    <t>#Academy_iras_01</t>
  </si>
  <si>
    <t>#Academy_iras_02</t>
  </si>
  <si>
    <t>#Academy_ambrosia_01</t>
  </si>
  <si>
    <t>#Academy_ambrosia_02</t>
  </si>
  <si>
    <t>#Academy_sia_01</t>
  </si>
  <si>
    <t>#Academy_sia_02</t>
  </si>
  <si>
    <t>#Academy_mea_01</t>
  </si>
  <si>
    <t>#Academy_mea_02</t>
  </si>
  <si>
    <t>#Academy_rachel_01</t>
  </si>
  <si>
    <t>#Academy_rachel_02</t>
  </si>
  <si>
    <t>#Academy_isabella_01</t>
  </si>
  <si>
    <t>#Academy_isabella_02</t>
  </si>
  <si>
    <t>#Academy_balencia_01</t>
  </si>
  <si>
    <t>#Academy_balencia_02</t>
  </si>
  <si>
    <t>#Academy_belita_01</t>
  </si>
  <si>
    <t>#Academy_belita_02</t>
  </si>
  <si>
    <t>#Academy_belebeta_01</t>
  </si>
  <si>
    <t>#Academy_belebeta_02</t>
  </si>
  <si>
    <t>#Academy_arcels_01</t>
  </si>
  <si>
    <t>#Academy_arcels_02</t>
  </si>
  <si>
    <t>#Academy_angelica_01</t>
  </si>
  <si>
    <t>#Academy_angelica_02</t>
  </si>
  <si>
    <t>#Academy_brynhild_01</t>
  </si>
  <si>
    <t>#Academy_brynhild_02</t>
  </si>
  <si>
    <t>#Academy_yuna_01</t>
  </si>
  <si>
    <t>#Academy_yuna_02</t>
  </si>
  <si>
    <t>#Academy_gray_01</t>
  </si>
  <si>
    <t>#Academy_gray_02</t>
  </si>
  <si>
    <t>#Academy_fei_01</t>
  </si>
  <si>
    <t>#Academy_fei_02</t>
  </si>
  <si>
    <t>#Academy_airen_01</t>
  </si>
  <si>
    <t>#Academy_airen_02</t>
  </si>
  <si>
    <t>#Academy_klairs_01</t>
  </si>
  <si>
    <t>#Academy_klairs_02</t>
  </si>
  <si>
    <t>#Academy_freyja_01</t>
  </si>
  <si>
    <t>#Academy_freyja_02</t>
  </si>
  <si>
    <t>#Academy_eradica_01</t>
  </si>
  <si>
    <t>#Academy_eradica_02</t>
  </si>
  <si>
    <t>#Academy_kanata_01</t>
  </si>
  <si>
    <t>#Academy_kanata_02</t>
  </si>
  <si>
    <t>#Academy_id_01</t>
  </si>
  <si>
    <t>#Academy_id_02</t>
  </si>
  <si>
    <t>#Academy_archphase_01</t>
  </si>
  <si>
    <t>#Academy_archphase_02</t>
  </si>
  <si>
    <t>#Academy_shery_01</t>
  </si>
  <si>
    <t>#Academy_shery_02</t>
  </si>
  <si>
    <t>#Academy_patricia_01</t>
  </si>
  <si>
    <t>#Academy_patricia_02</t>
  </si>
  <si>
    <t>#Academy_renas_01</t>
  </si>
  <si>
    <t>#Academy_renas_02</t>
  </si>
  <si>
    <t>#Academy_leila_01</t>
  </si>
  <si>
    <t>#Academy_leila_02</t>
  </si>
  <si>
    <t>#Academy_erica_01</t>
  </si>
  <si>
    <t>#Academy_erica_02</t>
  </si>
  <si>
    <t>#Academy_eiko_01</t>
  </si>
  <si>
    <t>#Academy_eiko_02</t>
  </si>
  <si>
    <t>#Academy_crimson_01</t>
  </si>
  <si>
    <t>#Academy_crimson_02</t>
  </si>
  <si>
    <t>#Academy_ferrel_01</t>
  </si>
  <si>
    <t>#Academy_ferrel_02</t>
  </si>
  <si>
    <t>#Academy_ino_01</t>
  </si>
  <si>
    <t>#Academy_ino_02</t>
  </si>
  <si>
    <t>#Academy_mana_01</t>
  </si>
  <si>
    <t>#Academy_mana_02</t>
  </si>
  <si>
    <t>#Academy_aurora_01</t>
  </si>
  <si>
    <t>#Academy_aurora_02</t>
  </si>
  <si>
    <t>#Academy_yurizia_01</t>
  </si>
  <si>
    <t>#Academy_yurizia_02</t>
  </si>
  <si>
    <t>#Academy_shale_01</t>
  </si>
  <si>
    <t>#Academy_shale_02</t>
  </si>
  <si>
    <t>#Academy_rayhou_01</t>
  </si>
  <si>
    <t>#Academy_rayhou_02</t>
  </si>
  <si>
    <t>#Academy_hellen_01</t>
  </si>
  <si>
    <t>#Academy_hellen_02</t>
  </si>
  <si>
    <t>#Academy_hallona_01</t>
  </si>
  <si>
    <t>#Academy_hallona_02</t>
  </si>
  <si>
    <t>#Academy_elina_01</t>
  </si>
  <si>
    <t>#Academy_elina_02</t>
  </si>
  <si>
    <t>#Academy_siege_01</t>
  </si>
  <si>
    <t>#Academy_siege_02</t>
  </si>
  <si>
    <t>#240516</t>
    <phoneticPr fontId="1" type="noConversion"/>
  </si>
  <si>
    <t>#향후 어떻게 될지 몰라</t>
    <phoneticPr fontId="1" type="noConversion"/>
  </si>
  <si>
    <t>#주석 처리만 해둠.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</si>
</sst>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0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맑은 고딕"/>
      <family val="2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2">
    <xf numFmtId="0" fontId="0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/>
    <xf numFmtId="0" fontId="8" fillId="8" borderId="0">
      <alignment vertical="center"/>
    </xf>
    <xf numFmtId="0" fontId="8" fillId="9" borderId="0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11" fillId="0" borderId="1">
      <alignment horizontal="center" vertical="center"/>
    </xf>
    <xf numFmtId="0" fontId="12" fillId="0" borderId="0"/>
    <xf numFmtId="0" fontId="7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1" fillId="0" borderId="0"/>
    <xf numFmtId="0" fontId="11" fillId="0" borderId="0"/>
  </cellStyleXfs>
  <cellXfs count="6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quotePrefix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1" xfId="0" quotePrefix="1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4" fillId="13" borderId="1" xfId="0" applyFont="1" applyFill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0" fillId="0" borderId="1" xfId="0" applyBorder="1" applyAlignment="1"/>
    <xf numFmtId="0" fontId="0" fillId="0" borderId="14" xfId="0" applyBorder="1" applyAlignment="1"/>
    <xf numFmtId="0" fontId="16" fillId="14" borderId="0" xfId="0" applyFont="1" applyFill="1">
      <alignment vertical="center"/>
    </xf>
  </cellXfs>
  <cellStyles count="22">
    <cellStyle name="강조색1 2" xfId="5" xr:uid="{00000000-0005-0000-0000-000000000000}"/>
    <cellStyle name="강조색2 2" xfId="6" xr:uid="{00000000-0005-0000-0000-000001000000}"/>
    <cellStyle name="강조색4 2" xfId="7" xr:uid="{00000000-0005-0000-0000-000002000000}"/>
    <cellStyle name="강조색6 2" xfId="8" xr:uid="{00000000-0005-0000-0000-000003000000}"/>
    <cellStyle name="기본" xfId="9" xr:uid="{00000000-0005-0000-0000-000004000000}"/>
    <cellStyle name="표준" xfId="0" builtinId="0"/>
    <cellStyle name="표준 10" xfId="15" xr:uid="{00000000-0005-0000-0000-000006000000}"/>
    <cellStyle name="표준 11" xfId="16" xr:uid="{00000000-0005-0000-0000-000007000000}"/>
    <cellStyle name="표준 12" xfId="17" xr:uid="{00000000-0005-0000-0000-000008000000}"/>
    <cellStyle name="표준 13" xfId="18" xr:uid="{00000000-0005-0000-0000-000009000000}"/>
    <cellStyle name="표준 14" xfId="19" xr:uid="{00000000-0005-0000-0000-00000A000000}"/>
    <cellStyle name="표준 2" xfId="1" xr:uid="{00000000-0005-0000-0000-00000B000000}"/>
    <cellStyle name="표준 2 2" xfId="21" xr:uid="{00000000-0005-0000-0000-00000C000000}"/>
    <cellStyle name="표준 2 3" xfId="11" xr:uid="{00000000-0005-0000-0000-00000D000000}"/>
    <cellStyle name="표준 2 4" xfId="20" xr:uid="{00000000-0005-0000-0000-00000E000000}"/>
    <cellStyle name="표준 3" xfId="2" xr:uid="{00000000-0005-0000-0000-00000F000000}"/>
    <cellStyle name="표준 4" xfId="3" xr:uid="{00000000-0005-0000-0000-000010000000}"/>
    <cellStyle name="표준 5" xfId="4" xr:uid="{00000000-0005-0000-0000-000011000000}"/>
    <cellStyle name="표준 6" xfId="10" xr:uid="{00000000-0005-0000-0000-000012000000}"/>
    <cellStyle name="표준 7" xfId="12" xr:uid="{00000000-0005-0000-0000-000013000000}"/>
    <cellStyle name="표준 8" xfId="13" xr:uid="{00000000-0005-0000-0000-000014000000}"/>
    <cellStyle name="표준 9" xfId="14" xr:uid="{00000000-0005-0000-0000-000015000000}"/>
  </cellStyles>
  <dxfs count="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00_Charac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"/>
      <sheetName val="#범례"/>
    </sheetNames>
    <sheetDataSet>
      <sheetData sheetId="0">
        <row r="1">
          <cell r="A1" t="str">
            <v>#id</v>
          </cell>
          <cell r="B1" t="str">
            <v>#기획</v>
          </cell>
          <cell r="C1" t="str">
            <v>#기획</v>
          </cell>
          <cell r="D1" t="str">
            <v>#오픈스펙</v>
          </cell>
        </row>
        <row r="2">
          <cell r="A2" t="str">
            <v>Id</v>
          </cell>
          <cell r="B2" t="str">
            <v>#</v>
          </cell>
          <cell r="C2" t="str">
            <v>#</v>
          </cell>
          <cell r="D2" t="str">
            <v>#</v>
          </cell>
        </row>
        <row r="3">
          <cell r="A3" t="str">
            <v>*long</v>
          </cell>
          <cell r="B3" t="str">
            <v>#</v>
          </cell>
          <cell r="C3" t="str">
            <v>#</v>
          </cell>
          <cell r="D3" t="str">
            <v>#</v>
          </cell>
        </row>
        <row r="4">
          <cell r="A4" t="str">
            <v>common</v>
          </cell>
          <cell r="B4" t="str">
            <v>#</v>
          </cell>
          <cell r="C4" t="str">
            <v>#</v>
          </cell>
          <cell r="D4" t="str">
            <v>#</v>
          </cell>
        </row>
        <row r="5">
          <cell r="A5">
            <v>1010000000</v>
          </cell>
          <cell r="B5" t="str">
            <v>더미</v>
          </cell>
          <cell r="C5" t="str">
            <v>더미</v>
          </cell>
          <cell r="D5"/>
        </row>
        <row r="6">
          <cell r="A6">
            <v>1010910001</v>
          </cell>
          <cell r="B6" t="str">
            <v>itus</v>
          </cell>
          <cell r="C6" t="str">
            <v>아이투스</v>
          </cell>
          <cell r="D6" t="str">
            <v>미출시</v>
          </cell>
        </row>
        <row r="7">
          <cell r="A7">
            <v>1010910002</v>
          </cell>
          <cell r="B7" t="str">
            <v>melissa</v>
          </cell>
          <cell r="C7" t="str">
            <v>메리샤</v>
          </cell>
          <cell r="D7" t="str">
            <v>오픈</v>
          </cell>
        </row>
        <row r="8">
          <cell r="A8">
            <v>1010710001</v>
          </cell>
          <cell r="B8" t="str">
            <v>lilian</v>
          </cell>
          <cell r="C8" t="str">
            <v>릴리안</v>
          </cell>
          <cell r="D8" t="str">
            <v>오픈</v>
          </cell>
        </row>
        <row r="9">
          <cell r="A9">
            <v>1010710002</v>
          </cell>
          <cell r="B9" t="str">
            <v>daria</v>
          </cell>
          <cell r="C9" t="str">
            <v>다리아</v>
          </cell>
          <cell r="D9" t="str">
            <v>오픈</v>
          </cell>
        </row>
        <row r="10">
          <cell r="A10">
            <v>1010710003</v>
          </cell>
          <cell r="B10" t="str">
            <v>snopril</v>
          </cell>
          <cell r="C10" t="str">
            <v>스노프릴</v>
          </cell>
          <cell r="D10" t="str">
            <v>오픈</v>
          </cell>
        </row>
        <row r="11">
          <cell r="A11">
            <v>1010510001</v>
          </cell>
          <cell r="B11" t="str">
            <v>anne</v>
          </cell>
          <cell r="C11" t="str">
            <v>앤</v>
          </cell>
          <cell r="D11" t="str">
            <v>미출시</v>
          </cell>
        </row>
        <row r="12">
          <cell r="A12">
            <v>1010510002</v>
          </cell>
          <cell r="B12" t="str">
            <v>taina</v>
          </cell>
          <cell r="C12" t="str">
            <v>타이나</v>
          </cell>
          <cell r="D12" t="str">
            <v>오픈</v>
          </cell>
        </row>
        <row r="13">
          <cell r="A13">
            <v>1010310001</v>
          </cell>
          <cell r="B13" t="str">
            <v>diana</v>
          </cell>
          <cell r="C13" t="str">
            <v>다이아나</v>
          </cell>
          <cell r="D13" t="str">
            <v>오픈</v>
          </cell>
        </row>
        <row r="14">
          <cell r="A14">
            <v>1010210001</v>
          </cell>
          <cell r="B14" t="str">
            <v>lue</v>
          </cell>
          <cell r="C14" t="str">
            <v>루</v>
          </cell>
          <cell r="D14" t="str">
            <v>오픈</v>
          </cell>
        </row>
        <row r="15">
          <cell r="A15">
            <v>1010920001</v>
          </cell>
          <cell r="B15" t="str">
            <v>kaito.aile</v>
          </cell>
          <cell r="C15" t="str">
            <v>괴도 엘</v>
          </cell>
          <cell r="D15" t="str">
            <v>업데이트</v>
          </cell>
        </row>
        <row r="16">
          <cell r="A16">
            <v>1010920002</v>
          </cell>
          <cell r="B16" t="str">
            <v>serapulsar</v>
          </cell>
          <cell r="C16" t="str">
            <v>세라펄사</v>
          </cell>
          <cell r="D16" t="str">
            <v>오픈</v>
          </cell>
        </row>
        <row r="17">
          <cell r="A17">
            <v>1010920003</v>
          </cell>
          <cell r="B17" t="str">
            <v>iras</v>
          </cell>
          <cell r="C17" t="str">
            <v>아이라스</v>
          </cell>
          <cell r="D17" t="str">
            <v>오픈</v>
          </cell>
        </row>
        <row r="18">
          <cell r="A18">
            <v>1010920004</v>
          </cell>
          <cell r="B18" t="str">
            <v>ambrosia</v>
          </cell>
          <cell r="C18" t="str">
            <v>앰브로시아</v>
          </cell>
          <cell r="D18" t="str">
            <v>오픈</v>
          </cell>
        </row>
        <row r="19">
          <cell r="A19">
            <v>1010920005</v>
          </cell>
          <cell r="B19" t="str">
            <v>sia</v>
          </cell>
          <cell r="C19" t="str">
            <v>시아</v>
          </cell>
          <cell r="D19" t="str">
            <v>미출시</v>
          </cell>
        </row>
        <row r="20">
          <cell r="A20">
            <v>1010920006</v>
          </cell>
          <cell r="B20" t="str">
            <v>frederica</v>
          </cell>
          <cell r="C20" t="str">
            <v>프레데리카</v>
          </cell>
          <cell r="D20" t="str">
            <v>업데이트</v>
          </cell>
        </row>
        <row r="21">
          <cell r="A21">
            <v>1010720001</v>
          </cell>
          <cell r="B21" t="str">
            <v>mea</v>
          </cell>
          <cell r="C21" t="str">
            <v>메아</v>
          </cell>
          <cell r="D21" t="str">
            <v>오픈</v>
          </cell>
        </row>
        <row r="22">
          <cell r="A22">
            <v>1010720002</v>
          </cell>
          <cell r="B22" t="str">
            <v>rachel</v>
          </cell>
          <cell r="C22" t="str">
            <v>레이첼</v>
          </cell>
          <cell r="D22" t="str">
            <v>미출시</v>
          </cell>
        </row>
        <row r="23">
          <cell r="A23">
            <v>1010720003</v>
          </cell>
          <cell r="B23" t="str">
            <v>isabella</v>
          </cell>
          <cell r="C23" t="str">
            <v>이사벨라</v>
          </cell>
          <cell r="D23" t="str">
            <v>오픈</v>
          </cell>
        </row>
        <row r="24">
          <cell r="A24">
            <v>1010720004</v>
          </cell>
          <cell r="B24" t="str">
            <v>balencia</v>
          </cell>
          <cell r="C24" t="str">
            <v>발렌시아</v>
          </cell>
          <cell r="D24" t="str">
            <v>오픈</v>
          </cell>
        </row>
        <row r="25">
          <cell r="A25">
            <v>1010720005</v>
          </cell>
          <cell r="B25" t="str">
            <v>belita</v>
          </cell>
          <cell r="C25" t="str">
            <v>벨리타</v>
          </cell>
          <cell r="D25" t="str">
            <v>오픈</v>
          </cell>
        </row>
        <row r="26">
          <cell r="A26">
            <v>1010720006</v>
          </cell>
          <cell r="B26" t="str">
            <v>belebeta</v>
          </cell>
          <cell r="C26" t="str">
            <v>베르베타</v>
          </cell>
          <cell r="D26" t="str">
            <v>오픈</v>
          </cell>
        </row>
        <row r="27">
          <cell r="A27">
            <v>1010720007</v>
          </cell>
          <cell r="B27" t="str">
            <v>arcels</v>
          </cell>
          <cell r="C27" t="str">
            <v>아셀스</v>
          </cell>
          <cell r="D27" t="str">
            <v>오픈</v>
          </cell>
        </row>
        <row r="28">
          <cell r="A28">
            <v>1010520001</v>
          </cell>
          <cell r="B28" t="str">
            <v>angelica</v>
          </cell>
          <cell r="C28" t="str">
            <v>안젤리카</v>
          </cell>
          <cell r="D28" t="str">
            <v>오픈</v>
          </cell>
        </row>
        <row r="29">
          <cell r="A29">
            <v>1010520002</v>
          </cell>
          <cell r="B29" t="str">
            <v>brynhild</v>
          </cell>
          <cell r="C29" t="str">
            <v>브륀힐데</v>
          </cell>
          <cell r="D29" t="str">
            <v>오픈</v>
          </cell>
        </row>
        <row r="30">
          <cell r="A30">
            <v>1010520003</v>
          </cell>
          <cell r="B30" t="str">
            <v>yuna</v>
          </cell>
          <cell r="C30" t="str">
            <v>유나</v>
          </cell>
          <cell r="D30" t="str">
            <v>오픈</v>
          </cell>
        </row>
        <row r="31">
          <cell r="A31">
            <v>1010520004</v>
          </cell>
          <cell r="B31" t="str">
            <v>gray</v>
          </cell>
          <cell r="C31" t="str">
            <v>그레이</v>
          </cell>
          <cell r="D31" t="str">
            <v>오픈</v>
          </cell>
        </row>
        <row r="32">
          <cell r="A32">
            <v>1010520005</v>
          </cell>
          <cell r="B32" t="str">
            <v>fei</v>
          </cell>
          <cell r="C32" t="str">
            <v>페이</v>
          </cell>
          <cell r="D32" t="str">
            <v>오픈</v>
          </cell>
        </row>
        <row r="33">
          <cell r="A33">
            <v>1010320001</v>
          </cell>
          <cell r="B33" t="str">
            <v>airen</v>
          </cell>
          <cell r="C33" t="str">
            <v>아이렌</v>
          </cell>
          <cell r="D33" t="str">
            <v>오픈</v>
          </cell>
        </row>
        <row r="34">
          <cell r="A34">
            <v>1010320002</v>
          </cell>
          <cell r="B34" t="str">
            <v>klairs</v>
          </cell>
          <cell r="C34" t="str">
            <v>클레아스</v>
          </cell>
          <cell r="D34" t="str">
            <v>오픈</v>
          </cell>
        </row>
        <row r="35">
          <cell r="A35">
            <v>1010220001</v>
          </cell>
          <cell r="B35" t="str">
            <v>ermeil</v>
          </cell>
          <cell r="C35" t="str">
            <v>에르메일</v>
          </cell>
          <cell r="D35" t="str">
            <v>오픈</v>
          </cell>
        </row>
        <row r="36">
          <cell r="A36">
            <v>1010930001</v>
          </cell>
          <cell r="B36" t="str">
            <v>freyja</v>
          </cell>
          <cell r="C36" t="str">
            <v>프레이야</v>
          </cell>
          <cell r="D36" t="str">
            <v>미출시</v>
          </cell>
        </row>
        <row r="37">
          <cell r="A37">
            <v>1010930002</v>
          </cell>
          <cell r="B37" t="str">
            <v>eradica</v>
          </cell>
          <cell r="C37" t="str">
            <v>에라디카</v>
          </cell>
          <cell r="D37" t="str">
            <v>미출시</v>
          </cell>
        </row>
        <row r="38">
          <cell r="A38">
            <v>1010930003</v>
          </cell>
          <cell r="B38" t="str">
            <v>kanata</v>
          </cell>
          <cell r="C38" t="str">
            <v>카나타</v>
          </cell>
          <cell r="D38" t="str">
            <v>미출시</v>
          </cell>
        </row>
        <row r="39">
          <cell r="A39">
            <v>1010930004</v>
          </cell>
          <cell r="B39" t="str">
            <v>id</v>
          </cell>
          <cell r="C39" t="str">
            <v>이드</v>
          </cell>
          <cell r="D39" t="str">
            <v>미출시</v>
          </cell>
        </row>
        <row r="40">
          <cell r="A40">
            <v>1010930005</v>
          </cell>
          <cell r="B40" t="str">
            <v>archphase</v>
          </cell>
          <cell r="C40" t="str">
            <v>아크페이즈</v>
          </cell>
          <cell r="D40" t="str">
            <v>오픈</v>
          </cell>
        </row>
        <row r="41">
          <cell r="A41">
            <v>1010730001</v>
          </cell>
          <cell r="B41" t="str">
            <v>shery</v>
          </cell>
          <cell r="C41" t="str">
            <v>쉐리</v>
          </cell>
          <cell r="D41" t="str">
            <v>오픈</v>
          </cell>
        </row>
        <row r="42">
          <cell r="A42">
            <v>1010730002</v>
          </cell>
          <cell r="B42" t="str">
            <v>patricia</v>
          </cell>
          <cell r="C42" t="str">
            <v>패트리샤</v>
          </cell>
          <cell r="D42" t="str">
            <v>오픈</v>
          </cell>
        </row>
        <row r="43">
          <cell r="A43">
            <v>1010730003</v>
          </cell>
          <cell r="B43" t="str">
            <v>renas</v>
          </cell>
          <cell r="C43" t="str">
            <v>레나스</v>
          </cell>
          <cell r="D43" t="str">
            <v>오픈</v>
          </cell>
        </row>
        <row r="44">
          <cell r="A44">
            <v>1010730004</v>
          </cell>
          <cell r="B44" t="str">
            <v>leila</v>
          </cell>
          <cell r="C44" t="str">
            <v>라일라</v>
          </cell>
          <cell r="D44" t="str">
            <v>오픈</v>
          </cell>
        </row>
        <row r="45">
          <cell r="A45">
            <v>1010730005</v>
          </cell>
          <cell r="B45" t="str">
            <v>erica</v>
          </cell>
          <cell r="C45" t="str">
            <v>에리카</v>
          </cell>
          <cell r="D45" t="str">
            <v>오픈</v>
          </cell>
        </row>
        <row r="46">
          <cell r="A46">
            <v>1010530001</v>
          </cell>
          <cell r="B46" t="str">
            <v>eiko</v>
          </cell>
          <cell r="C46" t="str">
            <v>에이코</v>
          </cell>
          <cell r="D46" t="str">
            <v>오픈</v>
          </cell>
        </row>
        <row r="47">
          <cell r="A47">
            <v>1010530002</v>
          </cell>
          <cell r="B47" t="str">
            <v>crimson</v>
          </cell>
          <cell r="C47" t="str">
            <v>크림슨</v>
          </cell>
          <cell r="D47" t="str">
            <v>오픈</v>
          </cell>
        </row>
        <row r="48">
          <cell r="A48">
            <v>1010530003</v>
          </cell>
          <cell r="B48" t="str">
            <v>ferrel</v>
          </cell>
          <cell r="C48" t="str">
            <v>페렐</v>
          </cell>
          <cell r="D48" t="str">
            <v>오픈</v>
          </cell>
        </row>
        <row r="49">
          <cell r="A49">
            <v>1010530004</v>
          </cell>
          <cell r="B49" t="str">
            <v>ino</v>
          </cell>
          <cell r="C49" t="str">
            <v>이노</v>
          </cell>
          <cell r="D49" t="str">
            <v>오픈</v>
          </cell>
        </row>
        <row r="50">
          <cell r="A50">
            <v>1010330001</v>
          </cell>
          <cell r="B50" t="str">
            <v>mana</v>
          </cell>
          <cell r="C50" t="str">
            <v>마나</v>
          </cell>
          <cell r="D50" t="str">
            <v>오픈</v>
          </cell>
        </row>
        <row r="51">
          <cell r="A51">
            <v>1010330002</v>
          </cell>
          <cell r="B51" t="str">
            <v>aurora</v>
          </cell>
          <cell r="C51" t="str">
            <v>오로라</v>
          </cell>
          <cell r="D51" t="str">
            <v>오픈</v>
          </cell>
        </row>
        <row r="52">
          <cell r="A52">
            <v>1010230001</v>
          </cell>
          <cell r="B52" t="str">
            <v>iolet</v>
          </cell>
          <cell r="C52" t="str">
            <v>이올렛</v>
          </cell>
          <cell r="D52" t="str">
            <v>오픈</v>
          </cell>
        </row>
        <row r="53">
          <cell r="A53">
            <v>1010940001</v>
          </cell>
          <cell r="B53" t="str">
            <v>yurizia</v>
          </cell>
          <cell r="C53" t="str">
            <v>유리지아</v>
          </cell>
          <cell r="D53" t="str">
            <v>오픈</v>
          </cell>
        </row>
        <row r="54">
          <cell r="A54">
            <v>1010940002</v>
          </cell>
          <cell r="B54" t="str">
            <v>shale</v>
          </cell>
          <cell r="C54" t="str">
            <v>샤레</v>
          </cell>
          <cell r="D54" t="str">
            <v>오픈</v>
          </cell>
        </row>
        <row r="55">
          <cell r="A55">
            <v>1010940003</v>
          </cell>
          <cell r="B55" t="str">
            <v>rayhou</v>
          </cell>
          <cell r="C55" t="str">
            <v>레이호우</v>
          </cell>
          <cell r="D55" t="str">
            <v>오픈</v>
          </cell>
        </row>
        <row r="56">
          <cell r="A56">
            <v>1010740001</v>
          </cell>
          <cell r="B56" t="str">
            <v>hellen</v>
          </cell>
          <cell r="C56" t="str">
            <v>헬렌</v>
          </cell>
          <cell r="D56" t="str">
            <v>오픈</v>
          </cell>
        </row>
        <row r="57">
          <cell r="A57">
            <v>1010740002</v>
          </cell>
          <cell r="B57" t="str">
            <v>hallona</v>
          </cell>
          <cell r="C57" t="str">
            <v>할로나</v>
          </cell>
          <cell r="D57" t="str">
            <v>미출시</v>
          </cell>
        </row>
        <row r="58">
          <cell r="A58">
            <v>1010540001</v>
          </cell>
          <cell r="B58" t="str">
            <v>elina</v>
          </cell>
          <cell r="C58" t="str">
            <v>엘리나</v>
          </cell>
          <cell r="D58" t="str">
            <v>오픈</v>
          </cell>
        </row>
        <row r="59">
          <cell r="A59">
            <v>1010340001</v>
          </cell>
          <cell r="B59" t="str">
            <v>siege</v>
          </cell>
          <cell r="C59" t="str">
            <v>시즈</v>
          </cell>
          <cell r="D59" t="str">
            <v>오픈</v>
          </cell>
        </row>
        <row r="60">
          <cell r="A60">
            <v>1010240001</v>
          </cell>
          <cell r="B60" t="str">
            <v>reen</v>
          </cell>
          <cell r="C60" t="str">
            <v>린</v>
          </cell>
          <cell r="D60" t="str">
            <v>오픈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9"/>
  <sheetViews>
    <sheetView tabSelected="1" workbookViewId="0">
      <selection activeCell="J3" sqref="J3"/>
    </sheetView>
  </sheetViews>
  <sheetFormatPr defaultRowHeight="16.5"/>
  <cols>
    <col min="1" max="1" width="17.75" style="24" bestFit="1" customWidth="1"/>
    <col min="2" max="2" width="9.125" style="24" bestFit="1" customWidth="1"/>
    <col min="3" max="3" width="9.75" style="24" bestFit="1" customWidth="1"/>
    <col min="4" max="4" width="25.375" style="24" bestFit="1" customWidth="1"/>
    <col min="5" max="5" width="16.125" style="24" bestFit="1" customWidth="1"/>
    <col min="6" max="6" width="12.625" style="24" bestFit="1" customWidth="1"/>
    <col min="7" max="7" width="14" style="24" bestFit="1" customWidth="1"/>
    <col min="8" max="8" width="36.5" style="24" bestFit="1" customWidth="1"/>
    <col min="9" max="9" width="14.25" style="24" bestFit="1" customWidth="1"/>
    <col min="10" max="10" width="17.375" style="24" bestFit="1" customWidth="1"/>
  </cols>
  <sheetData>
    <row r="1" spans="1:10">
      <c r="A1" s="15" t="s">
        <v>0</v>
      </c>
      <c r="B1" s="15"/>
      <c r="C1" s="15" t="s">
        <v>90</v>
      </c>
      <c r="D1" s="15"/>
      <c r="E1" s="15" t="s">
        <v>88</v>
      </c>
      <c r="F1" s="15" t="s">
        <v>1</v>
      </c>
      <c r="G1" s="15" t="s">
        <v>373</v>
      </c>
      <c r="H1" s="15" t="s">
        <v>392</v>
      </c>
      <c r="I1" s="15" t="s">
        <v>2</v>
      </c>
      <c r="J1" s="15" t="s">
        <v>3</v>
      </c>
    </row>
    <row r="2" spans="1:10">
      <c r="A2" s="2" t="s">
        <v>4</v>
      </c>
      <c r="B2" s="2" t="s">
        <v>5</v>
      </c>
      <c r="C2" s="2" t="s">
        <v>91</v>
      </c>
      <c r="D2" s="2" t="s">
        <v>385</v>
      </c>
      <c r="E2" s="2" t="s">
        <v>89</v>
      </c>
      <c r="F2" s="2" t="s">
        <v>6</v>
      </c>
      <c r="G2" s="2" t="s">
        <v>374</v>
      </c>
      <c r="H2" s="2" t="s">
        <v>393</v>
      </c>
      <c r="I2" s="2" t="s">
        <v>7</v>
      </c>
      <c r="J2" s="2" t="s">
        <v>8</v>
      </c>
    </row>
    <row r="3" spans="1:10">
      <c r="A3" s="2" t="s">
        <v>9</v>
      </c>
      <c r="B3" s="2" t="s">
        <v>10</v>
      </c>
      <c r="C3" s="2" t="s">
        <v>92</v>
      </c>
      <c r="D3" s="2" t="s">
        <v>386</v>
      </c>
      <c r="E3" s="2" t="s">
        <v>12</v>
      </c>
      <c r="F3" s="2" t="s">
        <v>13</v>
      </c>
      <c r="G3" s="2" t="s">
        <v>375</v>
      </c>
      <c r="H3" s="2" t="s">
        <v>394</v>
      </c>
      <c r="I3" s="2" t="s">
        <v>14</v>
      </c>
      <c r="J3" s="2" t="s">
        <v>387</v>
      </c>
    </row>
    <row r="4" spans="1:10">
      <c r="A4" s="2" t="s">
        <v>15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376</v>
      </c>
      <c r="H4" s="2" t="s">
        <v>395</v>
      </c>
      <c r="I4" s="2" t="s">
        <v>16</v>
      </c>
      <c r="J4" s="2" t="s">
        <v>16</v>
      </c>
    </row>
    <row r="5" spans="1:10">
      <c r="A5" s="4" t="s">
        <v>124</v>
      </c>
      <c r="B5" s="4" t="s">
        <v>399</v>
      </c>
      <c r="C5" s="4">
        <v>3</v>
      </c>
      <c r="D5" s="4"/>
      <c r="E5" s="3" t="s">
        <v>274</v>
      </c>
      <c r="F5" s="4" t="s">
        <v>17</v>
      </c>
      <c r="G5" s="4" t="s">
        <v>377</v>
      </c>
      <c r="H5" s="4" t="s">
        <v>397</v>
      </c>
      <c r="I5" s="4" t="s">
        <v>18</v>
      </c>
      <c r="J5" s="4" t="s">
        <v>19</v>
      </c>
    </row>
    <row r="6" spans="1:10">
      <c r="A6" s="3" t="s">
        <v>85</v>
      </c>
      <c r="B6" s="3" t="s">
        <v>20</v>
      </c>
      <c r="C6" s="4">
        <v>4</v>
      </c>
      <c r="D6" s="4"/>
      <c r="E6" s="3" t="s">
        <v>275</v>
      </c>
      <c r="F6" s="4" t="s">
        <v>21</v>
      </c>
      <c r="G6" s="4" t="s">
        <v>378</v>
      </c>
      <c r="H6" s="4" t="s">
        <v>396</v>
      </c>
      <c r="I6" s="4" t="s">
        <v>22</v>
      </c>
      <c r="J6" s="4" t="s">
        <v>400</v>
      </c>
    </row>
    <row r="7" spans="1:10">
      <c r="A7" s="3" t="s">
        <v>402</v>
      </c>
      <c r="B7" s="3" t="s">
        <v>84</v>
      </c>
      <c r="C7" s="4">
        <v>5</v>
      </c>
      <c r="D7" s="4"/>
      <c r="E7" s="3" t="s">
        <v>404</v>
      </c>
      <c r="F7" s="4" t="s">
        <v>23</v>
      </c>
      <c r="G7" s="4" t="s">
        <v>379</v>
      </c>
      <c r="H7" s="4" t="s">
        <v>398</v>
      </c>
      <c r="I7" s="4" t="s">
        <v>24</v>
      </c>
      <c r="J7" s="4" t="s">
        <v>401</v>
      </c>
    </row>
    <row r="8" spans="1:10">
      <c r="C8" s="1"/>
      <c r="D8" s="1"/>
      <c r="E8" s="1"/>
    </row>
    <row r="9" spans="1:10">
      <c r="C9" s="1"/>
      <c r="D9" s="1"/>
      <c r="E9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8"/>
  <sheetViews>
    <sheetView workbookViewId="0">
      <selection activeCell="B5" sqref="B5:B7"/>
    </sheetView>
  </sheetViews>
  <sheetFormatPr defaultRowHeight="16.5"/>
  <cols>
    <col min="1" max="1" width="18" style="24" bestFit="1" customWidth="1"/>
    <col min="2" max="2" width="16.125" style="24" bestFit="1" customWidth="1"/>
    <col min="3" max="3" width="16.125" style="24" customWidth="1"/>
    <col min="4" max="4" width="34.5" style="24" bestFit="1" customWidth="1"/>
    <col min="5" max="5" width="43.125" style="24" customWidth="1"/>
    <col min="6" max="8" width="27.75" style="24" customWidth="1"/>
  </cols>
  <sheetData>
    <row r="1" spans="1:8">
      <c r="A1" s="2" t="s">
        <v>4</v>
      </c>
      <c r="B1" s="2" t="s">
        <v>25</v>
      </c>
      <c r="C1" s="2" t="s">
        <v>111</v>
      </c>
      <c r="D1" s="2" t="s">
        <v>26</v>
      </c>
      <c r="E1" s="2" t="s">
        <v>27</v>
      </c>
      <c r="F1" s="2" t="s">
        <v>28</v>
      </c>
      <c r="G1" s="2" t="s">
        <v>121</v>
      </c>
      <c r="H1" s="2" t="s">
        <v>122</v>
      </c>
    </row>
    <row r="2" spans="1:8">
      <c r="A2" s="2" t="s">
        <v>125</v>
      </c>
      <c r="B2" s="2" t="s">
        <v>29</v>
      </c>
      <c r="C2" s="2" t="s">
        <v>112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</row>
    <row r="3" spans="1:8">
      <c r="A3" s="2" t="s">
        <v>15</v>
      </c>
      <c r="B3" s="2" t="s">
        <v>15</v>
      </c>
      <c r="C3" s="2" t="s">
        <v>110</v>
      </c>
      <c r="D3" s="2" t="s">
        <v>16</v>
      </c>
      <c r="E3" s="2" t="s">
        <v>16</v>
      </c>
      <c r="F3" s="2" t="s">
        <v>16</v>
      </c>
      <c r="G3" s="2" t="s">
        <v>16</v>
      </c>
      <c r="H3" s="2" t="s">
        <v>16</v>
      </c>
    </row>
    <row r="4" spans="1:8">
      <c r="A4" s="6" t="s">
        <v>124</v>
      </c>
      <c r="B4" s="8" t="s">
        <v>30</v>
      </c>
      <c r="C4" s="8" t="b">
        <v>0</v>
      </c>
      <c r="D4" s="8" t="s">
        <v>31</v>
      </c>
      <c r="E4" s="8" t="s">
        <v>388</v>
      </c>
      <c r="F4" s="8" t="s">
        <v>33</v>
      </c>
      <c r="G4" s="8" t="str">
        <f>"Academy.Class.Name."&amp;$B4</f>
        <v>Academy.Class.Name.Rest</v>
      </c>
      <c r="H4" s="8" t="str">
        <f>"Academy.Class.Desc."&amp;$B4</f>
        <v>Academy.Class.Desc.Rest</v>
      </c>
    </row>
    <row r="5" spans="1:8">
      <c r="A5" s="6" t="s">
        <v>124</v>
      </c>
      <c r="B5" s="5" t="s">
        <v>34</v>
      </c>
      <c r="C5" s="5" t="b">
        <v>1</v>
      </c>
      <c r="D5" s="7" t="s">
        <v>35</v>
      </c>
      <c r="E5" s="7" t="s">
        <v>389</v>
      </c>
      <c r="F5" s="7" t="s">
        <v>37</v>
      </c>
      <c r="G5" s="7" t="str">
        <f t="shared" ref="G5:G18" si="0">"Academy.Class.Name."&amp;$B5</f>
        <v>Academy.Class.Name.Force</v>
      </c>
      <c r="H5" s="7" t="str">
        <f t="shared" ref="H5:H18" si="1">"Academy.Class.Desc."&amp;$B5</f>
        <v>Academy.Class.Desc.Force</v>
      </c>
    </row>
    <row r="6" spans="1:8">
      <c r="A6" s="6" t="s">
        <v>124</v>
      </c>
      <c r="B6" s="5" t="s">
        <v>38</v>
      </c>
      <c r="C6" s="5" t="b">
        <v>1</v>
      </c>
      <c r="D6" s="7" t="s">
        <v>39</v>
      </c>
      <c r="E6" s="7" t="s">
        <v>388</v>
      </c>
      <c r="F6" s="7" t="s">
        <v>40</v>
      </c>
      <c r="G6" s="7" t="str">
        <f t="shared" si="0"/>
        <v>Academy.Class.Name.Sense</v>
      </c>
      <c r="H6" s="7" t="str">
        <f t="shared" si="1"/>
        <v>Academy.Class.Desc.Sense</v>
      </c>
    </row>
    <row r="7" spans="1:8">
      <c r="A7" s="6" t="s">
        <v>124</v>
      </c>
      <c r="B7" s="5" t="s">
        <v>41</v>
      </c>
      <c r="C7" s="5" t="b">
        <v>1</v>
      </c>
      <c r="D7" s="7" t="s">
        <v>42</v>
      </c>
      <c r="E7" s="7" t="s">
        <v>388</v>
      </c>
      <c r="F7" s="7" t="s">
        <v>43</v>
      </c>
      <c r="G7" s="7" t="str">
        <f t="shared" si="0"/>
        <v>Academy.Class.Name.Intellect</v>
      </c>
      <c r="H7" s="7" t="str">
        <f t="shared" si="1"/>
        <v>Academy.Class.Desc.Intellect</v>
      </c>
    </row>
    <row r="8" spans="1:8">
      <c r="A8" s="10" t="s">
        <v>85</v>
      </c>
      <c r="B8" s="10" t="s">
        <v>30</v>
      </c>
      <c r="C8" s="10" t="b">
        <v>0</v>
      </c>
      <c r="D8" s="11" t="s">
        <v>31</v>
      </c>
      <c r="E8" s="11" t="s">
        <v>32</v>
      </c>
      <c r="F8" s="11" t="s">
        <v>33</v>
      </c>
      <c r="G8" s="11" t="str">
        <f t="shared" si="0"/>
        <v>Academy.Class.Name.Rest</v>
      </c>
      <c r="H8" s="11" t="str">
        <f t="shared" si="1"/>
        <v>Academy.Class.Desc.Rest</v>
      </c>
    </row>
    <row r="9" spans="1:8">
      <c r="A9" s="10" t="s">
        <v>85</v>
      </c>
      <c r="B9" s="9" t="s">
        <v>34</v>
      </c>
      <c r="C9" s="9" t="b">
        <v>1</v>
      </c>
      <c r="D9" s="11" t="s">
        <v>35</v>
      </c>
      <c r="E9" s="11" t="s">
        <v>36</v>
      </c>
      <c r="F9" s="11" t="s">
        <v>37</v>
      </c>
      <c r="G9" s="11" t="str">
        <f t="shared" si="0"/>
        <v>Academy.Class.Name.Force</v>
      </c>
      <c r="H9" s="11" t="str">
        <f t="shared" si="1"/>
        <v>Academy.Class.Desc.Force</v>
      </c>
    </row>
    <row r="10" spans="1:8">
      <c r="A10" s="10" t="s">
        <v>85</v>
      </c>
      <c r="B10" s="9" t="s">
        <v>38</v>
      </c>
      <c r="C10" s="9" t="b">
        <v>1</v>
      </c>
      <c r="D10" s="11" t="s">
        <v>39</v>
      </c>
      <c r="E10" s="11" t="s">
        <v>32</v>
      </c>
      <c r="F10" s="11" t="s">
        <v>40</v>
      </c>
      <c r="G10" s="11" t="str">
        <f t="shared" si="0"/>
        <v>Academy.Class.Name.Sense</v>
      </c>
      <c r="H10" s="11" t="str">
        <f t="shared" si="1"/>
        <v>Academy.Class.Desc.Sense</v>
      </c>
    </row>
    <row r="11" spans="1:8">
      <c r="A11" s="10" t="s">
        <v>85</v>
      </c>
      <c r="B11" s="9" t="s">
        <v>41</v>
      </c>
      <c r="C11" s="9" t="b">
        <v>1</v>
      </c>
      <c r="D11" s="11" t="s">
        <v>42</v>
      </c>
      <c r="E11" s="11" t="s">
        <v>32</v>
      </c>
      <c r="F11" s="11" t="s">
        <v>43</v>
      </c>
      <c r="G11" s="11" t="str">
        <f t="shared" si="0"/>
        <v>Academy.Class.Name.Intellect</v>
      </c>
      <c r="H11" s="11" t="str">
        <f t="shared" si="1"/>
        <v>Academy.Class.Desc.Intellect</v>
      </c>
    </row>
    <row r="12" spans="1:8">
      <c r="A12" s="10" t="s">
        <v>85</v>
      </c>
      <c r="B12" s="9" t="s">
        <v>44</v>
      </c>
      <c r="C12" s="9" t="b">
        <v>1</v>
      </c>
      <c r="D12" s="11" t="s">
        <v>45</v>
      </c>
      <c r="E12" s="11" t="s">
        <v>32</v>
      </c>
      <c r="F12" s="11" t="s">
        <v>46</v>
      </c>
      <c r="G12" s="11" t="str">
        <f t="shared" si="0"/>
        <v>Academy.Class.Name.Fun</v>
      </c>
      <c r="H12" s="11" t="str">
        <f t="shared" si="1"/>
        <v>Academy.Class.Desc.Fun</v>
      </c>
    </row>
    <row r="13" spans="1:8">
      <c r="A13" s="13" t="s">
        <v>403</v>
      </c>
      <c r="B13" s="13" t="s">
        <v>30</v>
      </c>
      <c r="C13" s="13" t="b">
        <v>0</v>
      </c>
      <c r="D13" s="14" t="s">
        <v>31</v>
      </c>
      <c r="E13" s="14" t="s">
        <v>390</v>
      </c>
      <c r="F13" s="14" t="s">
        <v>33</v>
      </c>
      <c r="G13" s="14" t="str">
        <f t="shared" si="0"/>
        <v>Academy.Class.Name.Rest</v>
      </c>
      <c r="H13" s="14" t="str">
        <f t="shared" si="1"/>
        <v>Academy.Class.Desc.Rest</v>
      </c>
    </row>
    <row r="14" spans="1:8">
      <c r="A14" s="13" t="s">
        <v>403</v>
      </c>
      <c r="B14" s="12" t="s">
        <v>34</v>
      </c>
      <c r="C14" s="12" t="b">
        <v>1</v>
      </c>
      <c r="D14" s="14" t="s">
        <v>35</v>
      </c>
      <c r="E14" s="14" t="s">
        <v>391</v>
      </c>
      <c r="F14" s="14" t="s">
        <v>37</v>
      </c>
      <c r="G14" s="14" t="str">
        <f t="shared" si="0"/>
        <v>Academy.Class.Name.Force</v>
      </c>
      <c r="H14" s="14" t="str">
        <f t="shared" si="1"/>
        <v>Academy.Class.Desc.Force</v>
      </c>
    </row>
    <row r="15" spans="1:8">
      <c r="A15" s="13" t="s">
        <v>403</v>
      </c>
      <c r="B15" s="12" t="s">
        <v>38</v>
      </c>
      <c r="C15" s="12" t="b">
        <v>1</v>
      </c>
      <c r="D15" s="14" t="s">
        <v>39</v>
      </c>
      <c r="E15" s="14" t="s">
        <v>390</v>
      </c>
      <c r="F15" s="14" t="s">
        <v>40</v>
      </c>
      <c r="G15" s="14" t="str">
        <f t="shared" si="0"/>
        <v>Academy.Class.Name.Sense</v>
      </c>
      <c r="H15" s="14" t="str">
        <f t="shared" si="1"/>
        <v>Academy.Class.Desc.Sense</v>
      </c>
    </row>
    <row r="16" spans="1:8">
      <c r="A16" s="13" t="s">
        <v>403</v>
      </c>
      <c r="B16" s="12" t="s">
        <v>41</v>
      </c>
      <c r="C16" s="12" t="b">
        <v>1</v>
      </c>
      <c r="D16" s="14" t="s">
        <v>42</v>
      </c>
      <c r="E16" s="14" t="s">
        <v>390</v>
      </c>
      <c r="F16" s="14" t="s">
        <v>43</v>
      </c>
      <c r="G16" s="14" t="str">
        <f t="shared" si="0"/>
        <v>Academy.Class.Name.Intellect</v>
      </c>
      <c r="H16" s="14" t="str">
        <f t="shared" si="1"/>
        <v>Academy.Class.Desc.Intellect</v>
      </c>
    </row>
    <row r="17" spans="1:8">
      <c r="A17" s="13" t="s">
        <v>403</v>
      </c>
      <c r="B17" s="12" t="s">
        <v>44</v>
      </c>
      <c r="C17" s="12" t="b">
        <v>1</v>
      </c>
      <c r="D17" s="14" t="s">
        <v>45</v>
      </c>
      <c r="E17" s="14" t="s">
        <v>390</v>
      </c>
      <c r="F17" s="14" t="s">
        <v>46</v>
      </c>
      <c r="G17" s="14" t="str">
        <f t="shared" si="0"/>
        <v>Academy.Class.Name.Fun</v>
      </c>
      <c r="H17" s="14" t="str">
        <f t="shared" si="1"/>
        <v>Academy.Class.Desc.Fun</v>
      </c>
    </row>
    <row r="18" spans="1:8">
      <c r="A18" s="13" t="s">
        <v>403</v>
      </c>
      <c r="B18" s="12" t="s">
        <v>47</v>
      </c>
      <c r="C18" s="12" t="b">
        <v>1</v>
      </c>
      <c r="D18" s="14" t="s">
        <v>48</v>
      </c>
      <c r="E18" s="14" t="s">
        <v>391</v>
      </c>
      <c r="F18" s="14" t="s">
        <v>49</v>
      </c>
      <c r="G18" s="14" t="str">
        <f t="shared" si="0"/>
        <v>Academy.Class.Name.Harmony</v>
      </c>
      <c r="H18" s="14" t="str">
        <f t="shared" si="1"/>
        <v>Academy.Class.Desc.Harmony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3"/>
  <sheetViews>
    <sheetView workbookViewId="0">
      <selection activeCell="D34" sqref="D34"/>
    </sheetView>
  </sheetViews>
  <sheetFormatPr defaultRowHeight="16.5"/>
  <cols>
    <col min="1" max="1" width="18.625" style="24" customWidth="1"/>
    <col min="2" max="2" width="21.625" style="24" customWidth="1"/>
    <col min="3" max="3" width="8.75" style="24" customWidth="1"/>
    <col min="4" max="4" width="16.875" style="24" customWidth="1"/>
    <col min="5" max="5" width="13.875" style="24" bestFit="1" customWidth="1"/>
    <col min="6" max="6" width="13.875" style="24" customWidth="1"/>
  </cols>
  <sheetData>
    <row r="1" spans="1:6">
      <c r="A1" s="2" t="s">
        <v>113</v>
      </c>
      <c r="B1" s="2" t="s">
        <v>103</v>
      </c>
      <c r="C1" s="2" t="s">
        <v>104</v>
      </c>
      <c r="D1" s="2" t="s">
        <v>108</v>
      </c>
      <c r="E1" s="2" t="s">
        <v>101</v>
      </c>
      <c r="F1" s="2" t="s">
        <v>303</v>
      </c>
    </row>
    <row r="2" spans="1:6">
      <c r="A2" s="2" t="s">
        <v>117</v>
      </c>
      <c r="B2" s="2" t="s">
        <v>114</v>
      </c>
      <c r="C2" s="2" t="s">
        <v>107</v>
      </c>
      <c r="D2" s="2" t="s">
        <v>109</v>
      </c>
      <c r="E2" s="2" t="s">
        <v>82</v>
      </c>
      <c r="F2" s="2" t="s">
        <v>304</v>
      </c>
    </row>
    <row r="3" spans="1:6">
      <c r="A3" s="2" t="s">
        <v>87</v>
      </c>
      <c r="B3" s="2" t="s">
        <v>102</v>
      </c>
      <c r="C3" s="2" t="s">
        <v>107</v>
      </c>
      <c r="D3" s="2" t="s">
        <v>87</v>
      </c>
      <c r="E3" s="2" t="s">
        <v>102</v>
      </c>
      <c r="F3" s="2" t="s">
        <v>302</v>
      </c>
    </row>
    <row r="4" spans="1:6">
      <c r="A4" s="18" t="s">
        <v>96</v>
      </c>
      <c r="B4" s="18" t="s">
        <v>115</v>
      </c>
      <c r="C4" s="18" t="s">
        <v>105</v>
      </c>
      <c r="D4" s="18" t="s">
        <v>381</v>
      </c>
      <c r="E4" s="18">
        <v>1000</v>
      </c>
      <c r="F4" s="18">
        <v>6</v>
      </c>
    </row>
    <row r="5" spans="1:6">
      <c r="A5" s="18" t="s">
        <v>97</v>
      </c>
      <c r="B5" s="18" t="s">
        <v>115</v>
      </c>
      <c r="C5" s="18" t="s">
        <v>105</v>
      </c>
      <c r="D5" s="18" t="s">
        <v>241</v>
      </c>
      <c r="E5" s="18">
        <v>3000</v>
      </c>
      <c r="F5" s="18">
        <v>4</v>
      </c>
    </row>
    <row r="6" spans="1:6">
      <c r="A6" s="18" t="s">
        <v>98</v>
      </c>
      <c r="B6" s="18" t="s">
        <v>115</v>
      </c>
      <c r="C6" s="18" t="s">
        <v>105</v>
      </c>
      <c r="D6" s="18" t="s">
        <v>77</v>
      </c>
      <c r="E6" s="18">
        <v>6000</v>
      </c>
      <c r="F6" s="18">
        <v>3</v>
      </c>
    </row>
    <row r="7" spans="1:6">
      <c r="A7" s="18" t="s">
        <v>99</v>
      </c>
      <c r="B7" s="18" t="s">
        <v>116</v>
      </c>
      <c r="C7" s="18" t="s">
        <v>106</v>
      </c>
      <c r="D7" s="18" t="s">
        <v>75</v>
      </c>
      <c r="E7" s="18">
        <v>4500</v>
      </c>
      <c r="F7" s="18">
        <v>2</v>
      </c>
    </row>
    <row r="8" spans="1:6">
      <c r="A8" s="18" t="s">
        <v>100</v>
      </c>
      <c r="B8" s="18" t="s">
        <v>116</v>
      </c>
      <c r="C8" s="18" t="s">
        <v>106</v>
      </c>
      <c r="D8" s="18" t="s">
        <v>73</v>
      </c>
      <c r="E8" s="18">
        <v>5500</v>
      </c>
      <c r="F8" s="18">
        <v>1</v>
      </c>
    </row>
    <row r="9" spans="1:6">
      <c r="A9" s="18"/>
      <c r="B9" s="18"/>
      <c r="C9" s="18"/>
      <c r="D9" s="18"/>
      <c r="E9" s="18"/>
      <c r="F9" s="18"/>
    </row>
    <row r="10" spans="1:6">
      <c r="A10" s="18"/>
      <c r="B10" s="18"/>
      <c r="C10" s="18"/>
      <c r="D10" s="18"/>
      <c r="E10" s="18"/>
      <c r="F10" s="18"/>
    </row>
    <row r="11" spans="1:6">
      <c r="A11" s="17"/>
      <c r="B11" s="17"/>
      <c r="C11" s="17"/>
      <c r="D11" s="17"/>
      <c r="E11" s="17"/>
      <c r="F11" s="17"/>
    </row>
    <row r="12" spans="1:6">
      <c r="A12" s="17"/>
      <c r="B12" s="17"/>
      <c r="C12" s="17"/>
      <c r="D12" s="17"/>
      <c r="E12" s="17"/>
      <c r="F12" s="17"/>
    </row>
    <row r="13" spans="1:6">
      <c r="A13" s="17"/>
      <c r="B13" s="17"/>
      <c r="C13" s="17"/>
      <c r="D13" s="17"/>
      <c r="E13" s="17"/>
      <c r="F13" s="17"/>
    </row>
    <row r="14" spans="1:6">
      <c r="A14" s="17"/>
      <c r="B14" s="17"/>
      <c r="C14" s="17"/>
      <c r="D14" s="17"/>
      <c r="E14" s="17"/>
      <c r="F14" s="17"/>
    </row>
    <row r="15" spans="1:6">
      <c r="A15" s="17"/>
      <c r="B15" s="17"/>
      <c r="C15" s="17"/>
      <c r="D15" s="17"/>
      <c r="E15" s="17"/>
      <c r="F15" s="17"/>
    </row>
    <row r="16" spans="1:6">
      <c r="A16" s="17"/>
      <c r="B16" s="17"/>
      <c r="C16" s="17"/>
      <c r="D16" s="17"/>
      <c r="E16" s="17"/>
      <c r="F16" s="17"/>
    </row>
    <row r="17" spans="1:6">
      <c r="A17" s="17"/>
      <c r="B17" s="17"/>
      <c r="C17" s="17"/>
      <c r="D17" s="17"/>
      <c r="E17" s="17"/>
      <c r="F17" s="17"/>
    </row>
    <row r="18" spans="1:6">
      <c r="A18" s="17"/>
      <c r="B18" s="17"/>
      <c r="C18" s="17"/>
      <c r="D18" s="17"/>
      <c r="E18" s="17"/>
      <c r="F18" s="17"/>
    </row>
    <row r="19" spans="1:6">
      <c r="A19" s="17"/>
      <c r="B19" s="17"/>
      <c r="C19" s="17"/>
      <c r="D19" s="17"/>
      <c r="E19" s="17"/>
      <c r="F19" s="17"/>
    </row>
    <row r="20" spans="1:6">
      <c r="A20" s="17"/>
      <c r="B20" s="17"/>
      <c r="C20" s="17"/>
      <c r="D20" s="17"/>
      <c r="E20" s="17"/>
      <c r="F20" s="17"/>
    </row>
    <row r="21" spans="1:6">
      <c r="A21" s="17"/>
      <c r="B21" s="17"/>
      <c r="C21" s="17"/>
      <c r="D21" s="17"/>
      <c r="E21" s="17"/>
      <c r="F21" s="17"/>
    </row>
    <row r="22" spans="1:6">
      <c r="A22" s="17"/>
      <c r="B22" s="17"/>
      <c r="C22" s="17"/>
      <c r="D22" s="17"/>
      <c r="E22" s="17"/>
      <c r="F22" s="17"/>
    </row>
    <row r="23" spans="1:6">
      <c r="A23" s="17"/>
      <c r="B23" s="17"/>
      <c r="C23" s="17"/>
      <c r="D23" s="17"/>
      <c r="E23" s="17"/>
      <c r="F23" s="17"/>
    </row>
    <row r="24" spans="1:6">
      <c r="A24" s="17"/>
      <c r="B24" s="17"/>
      <c r="C24" s="17"/>
      <c r="D24" s="17"/>
      <c r="E24" s="17"/>
      <c r="F24" s="17"/>
    </row>
    <row r="25" spans="1:6">
      <c r="A25" s="17"/>
      <c r="B25" s="17"/>
      <c r="C25" s="17"/>
      <c r="D25" s="17"/>
      <c r="E25" s="17"/>
      <c r="F25" s="17"/>
    </row>
    <row r="26" spans="1:6">
      <c r="A26" s="17"/>
      <c r="B26" s="17"/>
      <c r="C26" s="17"/>
      <c r="D26" s="17"/>
      <c r="E26" s="17"/>
      <c r="F26" s="17"/>
    </row>
    <row r="27" spans="1:6">
      <c r="A27" s="17"/>
      <c r="B27" s="17"/>
      <c r="C27" s="17"/>
      <c r="D27" s="17"/>
      <c r="E27" s="17"/>
      <c r="F27" s="17"/>
    </row>
    <row r="28" spans="1:6">
      <c r="A28" s="17"/>
      <c r="B28" s="17"/>
      <c r="C28" s="17"/>
      <c r="D28" s="17"/>
      <c r="E28" s="17"/>
      <c r="F28" s="17"/>
    </row>
    <row r="29" spans="1:6">
      <c r="A29" s="17"/>
      <c r="B29" s="17"/>
      <c r="C29" s="17"/>
      <c r="D29" s="17"/>
      <c r="E29" s="17"/>
      <c r="F29" s="17"/>
    </row>
    <row r="30" spans="1:6">
      <c r="A30" s="17"/>
      <c r="B30" s="17"/>
      <c r="C30" s="17"/>
      <c r="D30" s="17"/>
      <c r="E30" s="17"/>
      <c r="F30" s="17"/>
    </row>
    <row r="31" spans="1:6">
      <c r="A31" s="17"/>
      <c r="B31" s="17"/>
      <c r="C31" s="17"/>
      <c r="D31" s="17"/>
      <c r="E31" s="17"/>
      <c r="F31" s="17"/>
    </row>
    <row r="32" spans="1:6">
      <c r="A32" s="17"/>
      <c r="B32" s="17"/>
      <c r="C32" s="17"/>
      <c r="D32" s="17"/>
      <c r="E32" s="17"/>
      <c r="F32" s="17"/>
    </row>
    <row r="33" spans="1:6">
      <c r="A33" s="17"/>
      <c r="B33" s="17"/>
      <c r="C33" s="17"/>
      <c r="D33" s="17"/>
      <c r="E33" s="17"/>
      <c r="F33" s="17"/>
    </row>
    <row r="34" spans="1:6">
      <c r="A34" s="17"/>
      <c r="B34" s="17"/>
      <c r="C34" s="17"/>
      <c r="D34" s="17"/>
      <c r="E34" s="17"/>
      <c r="F34" s="17"/>
    </row>
    <row r="35" spans="1:6">
      <c r="A35" s="17"/>
      <c r="B35" s="17"/>
      <c r="C35" s="17"/>
      <c r="D35" s="17"/>
      <c r="E35" s="17"/>
      <c r="F35" s="17"/>
    </row>
    <row r="36" spans="1:6">
      <c r="A36" s="17"/>
      <c r="B36" s="17"/>
      <c r="C36" s="17"/>
      <c r="D36" s="17"/>
      <c r="E36" s="17"/>
      <c r="F36" s="17"/>
    </row>
    <row r="37" spans="1:6">
      <c r="A37" s="17"/>
      <c r="B37" s="17"/>
      <c r="C37" s="17"/>
      <c r="D37" s="17"/>
      <c r="E37" s="17"/>
      <c r="F37" s="17"/>
    </row>
    <row r="38" spans="1:6">
      <c r="A38" s="17"/>
      <c r="B38" s="17"/>
      <c r="C38" s="17"/>
      <c r="D38" s="17"/>
      <c r="E38" s="17"/>
      <c r="F38" s="17"/>
    </row>
    <row r="39" spans="1:6">
      <c r="A39" s="17"/>
      <c r="B39" s="17"/>
      <c r="C39" s="17"/>
      <c r="D39" s="17"/>
      <c r="E39" s="17"/>
      <c r="F39" s="17"/>
    </row>
    <row r="40" spans="1:6">
      <c r="A40" s="17"/>
      <c r="B40" s="17"/>
      <c r="C40" s="17"/>
      <c r="D40" s="17"/>
      <c r="E40" s="17"/>
      <c r="F40" s="17"/>
    </row>
    <row r="41" spans="1:6">
      <c r="A41" s="17"/>
      <c r="B41" s="17"/>
      <c r="C41" s="17"/>
      <c r="D41" s="17"/>
      <c r="E41" s="17"/>
      <c r="F41" s="17"/>
    </row>
    <row r="42" spans="1:6">
      <c r="A42" s="17"/>
      <c r="B42" s="17"/>
      <c r="C42" s="17"/>
      <c r="D42" s="17"/>
      <c r="E42" s="17"/>
      <c r="F42" s="17"/>
    </row>
    <row r="43" spans="1:6">
      <c r="A43" s="17"/>
      <c r="B43" s="17"/>
      <c r="C43" s="17"/>
      <c r="D43" s="17"/>
      <c r="E43" s="17"/>
      <c r="F43" s="17"/>
    </row>
    <row r="44" spans="1:6">
      <c r="A44" s="17"/>
      <c r="B44" s="17"/>
      <c r="C44" s="17"/>
      <c r="D44" s="17"/>
      <c r="E44" s="17"/>
      <c r="F44" s="17"/>
    </row>
    <row r="45" spans="1:6">
      <c r="A45" s="17"/>
      <c r="B45" s="17"/>
      <c r="C45" s="17"/>
      <c r="D45" s="17"/>
      <c r="E45" s="17"/>
      <c r="F45" s="17"/>
    </row>
    <row r="46" spans="1:6">
      <c r="A46" s="17"/>
      <c r="B46" s="17"/>
      <c r="C46" s="17"/>
      <c r="D46" s="17"/>
      <c r="E46" s="17"/>
      <c r="F46" s="17"/>
    </row>
    <row r="47" spans="1:6">
      <c r="A47" s="17"/>
      <c r="B47" s="17"/>
      <c r="C47" s="17"/>
      <c r="D47" s="17"/>
      <c r="E47" s="17"/>
      <c r="F47" s="17"/>
    </row>
    <row r="48" spans="1:6">
      <c r="A48" s="17"/>
      <c r="B48" s="17"/>
      <c r="C48" s="17"/>
      <c r="D48" s="17"/>
      <c r="E48" s="17"/>
      <c r="F48" s="17"/>
    </row>
    <row r="49" spans="1:6">
      <c r="A49" s="17"/>
      <c r="B49" s="17"/>
      <c r="C49" s="17"/>
      <c r="D49" s="17"/>
      <c r="E49" s="17"/>
      <c r="F49" s="17"/>
    </row>
    <row r="50" spans="1:6">
      <c r="A50" s="17"/>
      <c r="B50" s="17"/>
      <c r="C50" s="17"/>
      <c r="D50" s="17"/>
      <c r="E50" s="17"/>
      <c r="F50" s="17"/>
    </row>
    <row r="51" spans="1:6">
      <c r="A51" s="17"/>
      <c r="B51" s="17"/>
      <c r="C51" s="17"/>
      <c r="D51" s="17"/>
      <c r="E51" s="17"/>
      <c r="F51" s="17"/>
    </row>
    <row r="52" spans="1:6">
      <c r="A52" s="17"/>
      <c r="B52" s="17"/>
      <c r="C52" s="17"/>
      <c r="D52" s="17"/>
      <c r="E52" s="17"/>
      <c r="F52" s="17"/>
    </row>
    <row r="53" spans="1:6">
      <c r="A53" s="17"/>
      <c r="B53" s="17"/>
      <c r="C53" s="17"/>
      <c r="D53" s="17"/>
      <c r="E53" s="17"/>
      <c r="F53" s="17"/>
    </row>
    <row r="54" spans="1:6">
      <c r="A54" s="17"/>
      <c r="B54" s="17"/>
      <c r="C54" s="17"/>
      <c r="D54" s="17"/>
      <c r="E54" s="17"/>
      <c r="F54" s="17"/>
    </row>
    <row r="55" spans="1:6">
      <c r="A55" s="17"/>
      <c r="B55" s="17"/>
      <c r="C55" s="17"/>
      <c r="D55" s="17"/>
      <c r="E55" s="17"/>
      <c r="F55" s="17"/>
    </row>
    <row r="56" spans="1:6">
      <c r="A56" s="17"/>
      <c r="B56" s="17"/>
      <c r="C56" s="17"/>
      <c r="D56" s="17"/>
      <c r="E56" s="17"/>
      <c r="F56" s="17"/>
    </row>
    <row r="57" spans="1:6">
      <c r="A57" s="17"/>
      <c r="B57" s="17"/>
      <c r="C57" s="17"/>
      <c r="D57" s="17"/>
      <c r="E57" s="17"/>
      <c r="F57" s="17"/>
    </row>
    <row r="58" spans="1:6">
      <c r="A58" s="17"/>
      <c r="B58" s="17"/>
      <c r="C58" s="17"/>
      <c r="D58" s="17"/>
      <c r="E58" s="17"/>
      <c r="F58" s="17"/>
    </row>
    <row r="59" spans="1:6">
      <c r="A59" s="17"/>
      <c r="B59" s="17"/>
      <c r="C59" s="17"/>
      <c r="D59" s="17"/>
      <c r="E59" s="17"/>
      <c r="F59" s="17"/>
    </row>
    <row r="60" spans="1:6">
      <c r="A60" s="17"/>
      <c r="B60" s="17"/>
      <c r="C60" s="17"/>
      <c r="D60" s="17"/>
      <c r="E60" s="17"/>
      <c r="F60" s="17"/>
    </row>
    <row r="61" spans="1:6">
      <c r="A61" s="17"/>
      <c r="B61" s="17"/>
      <c r="C61" s="17"/>
      <c r="D61" s="17"/>
      <c r="E61" s="17"/>
      <c r="F61" s="17"/>
    </row>
    <row r="62" spans="1:6">
      <c r="A62" s="17"/>
      <c r="B62" s="17"/>
      <c r="C62" s="17"/>
      <c r="D62" s="17"/>
      <c r="E62" s="17"/>
      <c r="F62" s="17"/>
    </row>
    <row r="63" spans="1:6">
      <c r="A63" s="17"/>
      <c r="B63" s="17"/>
      <c r="C63" s="17"/>
      <c r="D63" s="17"/>
      <c r="E63" s="17"/>
      <c r="F63" s="1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54"/>
  <sheetViews>
    <sheetView workbookViewId="0">
      <selection activeCell="G7" sqref="G7"/>
    </sheetView>
  </sheetViews>
  <sheetFormatPr defaultRowHeight="16.5"/>
  <cols>
    <col min="1" max="1" width="16.875" style="24" bestFit="1" customWidth="1"/>
    <col min="2" max="2" width="16.875" style="24" customWidth="1"/>
    <col min="3" max="3" width="27.5" style="24" customWidth="1"/>
    <col min="4" max="4" width="9" customWidth="1"/>
  </cols>
  <sheetData>
    <row r="1" spans="1:3">
      <c r="A1" s="2" t="s">
        <v>50</v>
      </c>
      <c r="B1" s="2" t="s">
        <v>405</v>
      </c>
      <c r="C1" s="15" t="s">
        <v>93</v>
      </c>
    </row>
    <row r="2" spans="1:3">
      <c r="A2" s="2" t="s">
        <v>51</v>
      </c>
      <c r="B2" s="2" t="s">
        <v>406</v>
      </c>
      <c r="C2" s="15" t="s">
        <v>94</v>
      </c>
    </row>
    <row r="3" spans="1:3">
      <c r="A3" s="2" t="s">
        <v>15</v>
      </c>
      <c r="B3" s="2" t="s">
        <v>406</v>
      </c>
      <c r="C3" s="15" t="s">
        <v>15</v>
      </c>
    </row>
    <row r="4" spans="1:3">
      <c r="A4" s="22">
        <v>1010000000</v>
      </c>
      <c r="B4" s="22" t="s">
        <v>317</v>
      </c>
      <c r="C4" s="23" t="s">
        <v>95</v>
      </c>
    </row>
    <row r="5" spans="1:3">
      <c r="A5" s="22">
        <v>1010910001</v>
      </c>
      <c r="B5" s="22" t="s">
        <v>318</v>
      </c>
      <c r="C5" s="23" t="s">
        <v>34</v>
      </c>
    </row>
    <row r="6" spans="1:3">
      <c r="A6" s="3">
        <v>1010910002</v>
      </c>
      <c r="B6" s="22" t="s">
        <v>319</v>
      </c>
      <c r="C6" s="4" t="s">
        <v>38</v>
      </c>
    </row>
    <row r="7" spans="1:3">
      <c r="A7" s="3">
        <v>1010710001</v>
      </c>
      <c r="B7" s="22" t="s">
        <v>320</v>
      </c>
      <c r="C7" s="4" t="s">
        <v>41</v>
      </c>
    </row>
    <row r="8" spans="1:3">
      <c r="A8" s="3">
        <v>1010710002</v>
      </c>
      <c r="B8" s="22" t="s">
        <v>321</v>
      </c>
      <c r="C8" s="4" t="s">
        <v>34</v>
      </c>
    </row>
    <row r="9" spans="1:3">
      <c r="A9" s="3">
        <v>1010710003</v>
      </c>
      <c r="B9" s="22" t="s">
        <v>322</v>
      </c>
      <c r="C9" s="4" t="s">
        <v>41</v>
      </c>
    </row>
    <row r="10" spans="1:3">
      <c r="A10" s="3">
        <v>1010510001</v>
      </c>
      <c r="B10" s="22" t="s">
        <v>323</v>
      </c>
      <c r="C10" s="4" t="s">
        <v>34</v>
      </c>
    </row>
    <row r="11" spans="1:3">
      <c r="A11" s="3">
        <v>1010510002</v>
      </c>
      <c r="B11" s="22" t="s">
        <v>324</v>
      </c>
      <c r="C11" s="4" t="s">
        <v>34</v>
      </c>
    </row>
    <row r="12" spans="1:3">
      <c r="A12" s="3">
        <v>1010310001</v>
      </c>
      <c r="B12" s="22" t="s">
        <v>325</v>
      </c>
      <c r="C12" s="4" t="s">
        <v>34</v>
      </c>
    </row>
    <row r="13" spans="1:3">
      <c r="A13" s="22">
        <v>1010920001</v>
      </c>
      <c r="B13" s="22" t="s">
        <v>327</v>
      </c>
      <c r="C13" s="23" t="s">
        <v>47</v>
      </c>
    </row>
    <row r="14" spans="1:3">
      <c r="A14" s="3">
        <v>1010920002</v>
      </c>
      <c r="B14" s="22" t="s">
        <v>328</v>
      </c>
      <c r="C14" s="4" t="s">
        <v>41</v>
      </c>
    </row>
    <row r="15" spans="1:3">
      <c r="A15" s="3">
        <v>1010920003</v>
      </c>
      <c r="B15" s="22" t="s">
        <v>329</v>
      </c>
      <c r="C15" s="4" t="s">
        <v>44</v>
      </c>
    </row>
    <row r="16" spans="1:3">
      <c r="A16" s="3">
        <v>1010920004</v>
      </c>
      <c r="B16" s="22" t="s">
        <v>330</v>
      </c>
      <c r="C16" s="4" t="s">
        <v>34</v>
      </c>
    </row>
    <row r="17" spans="1:3">
      <c r="A17" s="3">
        <v>1010920005</v>
      </c>
      <c r="B17" s="22" t="s">
        <v>331</v>
      </c>
      <c r="C17" s="4" t="s">
        <v>34</v>
      </c>
    </row>
    <row r="18" spans="1:3">
      <c r="A18" s="3">
        <v>1010720001</v>
      </c>
      <c r="B18" s="22" t="s">
        <v>333</v>
      </c>
      <c r="C18" s="4" t="s">
        <v>34</v>
      </c>
    </row>
    <row r="19" spans="1:3">
      <c r="A19" s="3">
        <v>1010720002</v>
      </c>
      <c r="B19" s="22" t="s">
        <v>334</v>
      </c>
      <c r="C19" s="4" t="s">
        <v>38</v>
      </c>
    </row>
    <row r="20" spans="1:3">
      <c r="A20" s="3">
        <v>1010720003</v>
      </c>
      <c r="B20" s="22" t="s">
        <v>335</v>
      </c>
      <c r="C20" s="4" t="s">
        <v>34</v>
      </c>
    </row>
    <row r="21" spans="1:3">
      <c r="A21" s="3">
        <v>1010720004</v>
      </c>
      <c r="B21" s="22" t="s">
        <v>336</v>
      </c>
      <c r="C21" s="4" t="s">
        <v>34</v>
      </c>
    </row>
    <row r="22" spans="1:3">
      <c r="A22" s="3">
        <v>1010720005</v>
      </c>
      <c r="B22" s="22" t="s">
        <v>337</v>
      </c>
      <c r="C22" s="4" t="s">
        <v>38</v>
      </c>
    </row>
    <row r="23" spans="1:3">
      <c r="A23" s="3">
        <v>1010720006</v>
      </c>
      <c r="B23" s="22" t="s">
        <v>338</v>
      </c>
      <c r="C23" s="4" t="s">
        <v>38</v>
      </c>
    </row>
    <row r="24" spans="1:3">
      <c r="A24" s="3">
        <v>1010720007</v>
      </c>
      <c r="B24" s="22" t="s">
        <v>339</v>
      </c>
      <c r="C24" s="4" t="s">
        <v>34</v>
      </c>
    </row>
    <row r="25" spans="1:3">
      <c r="A25" s="3">
        <v>1010520001</v>
      </c>
      <c r="B25" s="22" t="s">
        <v>340</v>
      </c>
      <c r="C25" s="4" t="s">
        <v>38</v>
      </c>
    </row>
    <row r="26" spans="1:3">
      <c r="A26" s="3">
        <v>1010520002</v>
      </c>
      <c r="B26" s="22" t="s">
        <v>341</v>
      </c>
      <c r="C26" s="4" t="s">
        <v>34</v>
      </c>
    </row>
    <row r="27" spans="1:3">
      <c r="A27" s="3">
        <v>1010520003</v>
      </c>
      <c r="B27" s="22" t="s">
        <v>342</v>
      </c>
      <c r="C27" s="4" t="s">
        <v>34</v>
      </c>
    </row>
    <row r="28" spans="1:3">
      <c r="A28" s="3">
        <v>1010520004</v>
      </c>
      <c r="B28" s="22" t="s">
        <v>343</v>
      </c>
      <c r="C28" s="4" t="s">
        <v>44</v>
      </c>
    </row>
    <row r="29" spans="1:3">
      <c r="A29" s="3">
        <v>1010520005</v>
      </c>
      <c r="B29" s="22" t="s">
        <v>344</v>
      </c>
      <c r="C29" s="4" t="s">
        <v>44</v>
      </c>
    </row>
    <row r="30" spans="1:3">
      <c r="A30" s="3">
        <v>1010320001</v>
      </c>
      <c r="B30" s="22" t="s">
        <v>345</v>
      </c>
      <c r="C30" s="4" t="s">
        <v>41</v>
      </c>
    </row>
    <row r="31" spans="1:3">
      <c r="A31" s="3">
        <v>1010320002</v>
      </c>
      <c r="B31" s="22" t="s">
        <v>346</v>
      </c>
      <c r="C31" s="4" t="s">
        <v>41</v>
      </c>
    </row>
    <row r="32" spans="1:3">
      <c r="A32" s="3">
        <v>1010930001</v>
      </c>
      <c r="B32" s="22" t="s">
        <v>348</v>
      </c>
      <c r="C32" s="4" t="s">
        <v>34</v>
      </c>
    </row>
    <row r="33" spans="1:3">
      <c r="A33" s="3">
        <v>1010930002</v>
      </c>
      <c r="B33" s="22" t="s">
        <v>349</v>
      </c>
      <c r="C33" s="4" t="s">
        <v>38</v>
      </c>
    </row>
    <row r="34" spans="1:3">
      <c r="A34" s="3">
        <v>1010930003</v>
      </c>
      <c r="B34" s="22" t="s">
        <v>350</v>
      </c>
      <c r="C34" s="4" t="s">
        <v>41</v>
      </c>
    </row>
    <row r="35" spans="1:3">
      <c r="A35" s="3">
        <v>1010930004</v>
      </c>
      <c r="B35" s="22" t="s">
        <v>351</v>
      </c>
      <c r="C35" s="4" t="s">
        <v>38</v>
      </c>
    </row>
    <row r="36" spans="1:3">
      <c r="A36" s="3">
        <v>1010930005</v>
      </c>
      <c r="B36" s="22" t="s">
        <v>352</v>
      </c>
      <c r="C36" s="4" t="s">
        <v>41</v>
      </c>
    </row>
    <row r="37" spans="1:3">
      <c r="A37" s="3">
        <v>1010730001</v>
      </c>
      <c r="B37" s="22" t="s">
        <v>353</v>
      </c>
      <c r="C37" s="4" t="s">
        <v>44</v>
      </c>
    </row>
    <row r="38" spans="1:3">
      <c r="A38" s="3">
        <v>1010730002</v>
      </c>
      <c r="B38" s="22" t="s">
        <v>354</v>
      </c>
      <c r="C38" s="4" t="s">
        <v>41</v>
      </c>
    </row>
    <row r="39" spans="1:3">
      <c r="A39" s="3">
        <v>1010730003</v>
      </c>
      <c r="B39" s="22" t="s">
        <v>355</v>
      </c>
      <c r="C39" s="4" t="s">
        <v>34</v>
      </c>
    </row>
    <row r="40" spans="1:3">
      <c r="A40" s="3">
        <v>1010730004</v>
      </c>
      <c r="B40" s="22" t="s">
        <v>356</v>
      </c>
      <c r="C40" s="4" t="s">
        <v>38</v>
      </c>
    </row>
    <row r="41" spans="1:3">
      <c r="A41" s="3">
        <v>1010730005</v>
      </c>
      <c r="B41" s="22" t="s">
        <v>357</v>
      </c>
      <c r="C41" s="4" t="s">
        <v>44</v>
      </c>
    </row>
    <row r="42" spans="1:3">
      <c r="A42" s="3">
        <v>1010530001</v>
      </c>
      <c r="B42" s="22" t="s">
        <v>358</v>
      </c>
      <c r="C42" s="4" t="s">
        <v>38</v>
      </c>
    </row>
    <row r="43" spans="1:3">
      <c r="A43" s="3">
        <v>1010530002</v>
      </c>
      <c r="B43" s="22" t="s">
        <v>359</v>
      </c>
      <c r="C43" s="4" t="s">
        <v>41</v>
      </c>
    </row>
    <row r="44" spans="1:3">
      <c r="A44" s="3">
        <v>1010530003</v>
      </c>
      <c r="B44" s="22" t="s">
        <v>360</v>
      </c>
      <c r="C44" s="4" t="s">
        <v>38</v>
      </c>
    </row>
    <row r="45" spans="1:3">
      <c r="A45" s="3">
        <v>1010530004</v>
      </c>
      <c r="B45" s="22" t="s">
        <v>361</v>
      </c>
      <c r="C45" s="4" t="s">
        <v>41</v>
      </c>
    </row>
    <row r="46" spans="1:3">
      <c r="A46" s="3">
        <v>1010330001</v>
      </c>
      <c r="B46" s="22" t="s">
        <v>362</v>
      </c>
      <c r="C46" s="4" t="s">
        <v>38</v>
      </c>
    </row>
    <row r="47" spans="1:3">
      <c r="A47" s="3">
        <v>1010330002</v>
      </c>
      <c r="B47" s="22" t="s">
        <v>363</v>
      </c>
      <c r="C47" s="4" t="s">
        <v>34</v>
      </c>
    </row>
    <row r="48" spans="1:3">
      <c r="A48" s="3">
        <v>1010940001</v>
      </c>
      <c r="B48" s="22" t="s">
        <v>365</v>
      </c>
      <c r="C48" s="4" t="s">
        <v>44</v>
      </c>
    </row>
    <row r="49" spans="1:3">
      <c r="A49" s="3">
        <v>1010940002</v>
      </c>
      <c r="B49" s="22" t="s">
        <v>366</v>
      </c>
      <c r="C49" s="4" t="s">
        <v>38</v>
      </c>
    </row>
    <row r="50" spans="1:3">
      <c r="A50" s="3">
        <v>1010940003</v>
      </c>
      <c r="B50" s="22" t="s">
        <v>367</v>
      </c>
      <c r="C50" s="4" t="s">
        <v>38</v>
      </c>
    </row>
    <row r="51" spans="1:3">
      <c r="A51" s="3">
        <v>1010740001</v>
      </c>
      <c r="B51" s="22" t="s">
        <v>368</v>
      </c>
      <c r="C51" s="4" t="s">
        <v>41</v>
      </c>
    </row>
    <row r="52" spans="1:3">
      <c r="A52" s="3">
        <v>1010740002</v>
      </c>
      <c r="B52" s="22" t="s">
        <v>369</v>
      </c>
      <c r="C52" s="4" t="s">
        <v>44</v>
      </c>
    </row>
    <row r="53" spans="1:3">
      <c r="A53" s="3">
        <v>1010540001</v>
      </c>
      <c r="B53" s="22" t="s">
        <v>370</v>
      </c>
      <c r="C53" s="4" t="s">
        <v>41</v>
      </c>
    </row>
    <row r="54" spans="1:3">
      <c r="A54" s="3">
        <v>1010340001</v>
      </c>
      <c r="B54" s="22" t="s">
        <v>371</v>
      </c>
      <c r="C54" s="4" t="s">
        <v>41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63"/>
  <sheetViews>
    <sheetView workbookViewId="0">
      <selection activeCell="I12" sqref="I12"/>
    </sheetView>
  </sheetViews>
  <sheetFormatPr defaultRowHeight="13.5"/>
  <cols>
    <col min="1" max="1" width="18.5" style="16" bestFit="1" customWidth="1"/>
    <col min="2" max="2" width="9.625" style="16" bestFit="1" customWidth="1"/>
    <col min="3" max="5" width="22" style="16" bestFit="1" customWidth="1"/>
    <col min="6" max="6" width="20" style="16" bestFit="1" customWidth="1"/>
    <col min="7" max="16384" width="9" style="16"/>
  </cols>
  <sheetData>
    <row r="1" spans="1:6">
      <c r="A1" s="20" t="s">
        <v>52</v>
      </c>
      <c r="B1" s="20" t="s">
        <v>316</v>
      </c>
      <c r="C1" s="20" t="s">
        <v>231</v>
      </c>
      <c r="D1" s="20" t="s">
        <v>233</v>
      </c>
      <c r="E1" s="20" t="s">
        <v>232</v>
      </c>
    </row>
    <row r="2" spans="1:6">
      <c r="A2" s="20" t="s">
        <v>53</v>
      </c>
      <c r="B2" s="20" t="s">
        <v>315</v>
      </c>
      <c r="C2" s="20" t="s">
        <v>387</v>
      </c>
      <c r="D2" s="20" t="s">
        <v>387</v>
      </c>
      <c r="E2" s="20" t="s">
        <v>387</v>
      </c>
    </row>
    <row r="3" spans="1:6">
      <c r="A3" s="20" t="s">
        <v>83</v>
      </c>
      <c r="B3" s="20" t="s">
        <v>315</v>
      </c>
      <c r="C3" s="20" t="s">
        <v>83</v>
      </c>
      <c r="D3" s="20" t="s">
        <v>83</v>
      </c>
      <c r="E3" s="20" t="s">
        <v>83</v>
      </c>
    </row>
    <row r="4" spans="1:6">
      <c r="A4" s="21">
        <v>1010000000</v>
      </c>
      <c r="B4" s="21" t="s">
        <v>317</v>
      </c>
      <c r="C4" s="21" t="s">
        <v>428</v>
      </c>
      <c r="D4" s="21" t="s">
        <v>428</v>
      </c>
      <c r="E4" s="21" t="s">
        <v>428</v>
      </c>
      <c r="F4" s="64" t="s">
        <v>527</v>
      </c>
    </row>
    <row r="5" spans="1:6">
      <c r="A5" s="19">
        <v>1010910001</v>
      </c>
      <c r="B5" s="19" t="s">
        <v>318</v>
      </c>
      <c r="C5" s="21" t="s">
        <v>429</v>
      </c>
      <c r="D5" s="21" t="s">
        <v>430</v>
      </c>
      <c r="E5" s="21" t="s">
        <v>428</v>
      </c>
      <c r="F5" s="64" t="s">
        <v>528</v>
      </c>
    </row>
    <row r="6" spans="1:6">
      <c r="A6" s="19">
        <v>1010910002</v>
      </c>
      <c r="B6" s="19" t="s">
        <v>319</v>
      </c>
      <c r="C6" s="21" t="s">
        <v>431</v>
      </c>
      <c r="D6" s="21" t="s">
        <v>432</v>
      </c>
      <c r="E6" s="21" t="s">
        <v>428</v>
      </c>
      <c r="F6" s="64" t="s">
        <v>529</v>
      </c>
    </row>
    <row r="7" spans="1:6">
      <c r="A7" s="19">
        <v>1010710001</v>
      </c>
      <c r="B7" s="19" t="s">
        <v>320</v>
      </c>
      <c r="C7" s="21" t="s">
        <v>433</v>
      </c>
      <c r="D7" s="21" t="s">
        <v>434</v>
      </c>
      <c r="E7" s="21" t="s">
        <v>428</v>
      </c>
    </row>
    <row r="8" spans="1:6">
      <c r="A8" s="19">
        <v>1010710002</v>
      </c>
      <c r="B8" s="19" t="s">
        <v>321</v>
      </c>
      <c r="C8" s="21" t="s">
        <v>435</v>
      </c>
      <c r="D8" s="21" t="s">
        <v>436</v>
      </c>
      <c r="E8" s="21" t="s">
        <v>428</v>
      </c>
    </row>
    <row r="9" spans="1:6">
      <c r="A9" s="19">
        <v>1010710003</v>
      </c>
      <c r="B9" s="19" t="s">
        <v>322</v>
      </c>
      <c r="C9" s="21" t="s">
        <v>437</v>
      </c>
      <c r="D9" s="21" t="s">
        <v>438</v>
      </c>
      <c r="E9" s="21" t="s">
        <v>428</v>
      </c>
    </row>
    <row r="10" spans="1:6">
      <c r="A10" s="19">
        <v>1010510001</v>
      </c>
      <c r="B10" s="19" t="s">
        <v>323</v>
      </c>
      <c r="C10" s="21" t="s">
        <v>439</v>
      </c>
      <c r="D10" s="21" t="s">
        <v>440</v>
      </c>
      <c r="E10" s="21" t="s">
        <v>428</v>
      </c>
    </row>
    <row r="11" spans="1:6">
      <c r="A11" s="19">
        <v>1010510002</v>
      </c>
      <c r="B11" s="19" t="s">
        <v>324</v>
      </c>
      <c r="C11" s="21" t="s">
        <v>441</v>
      </c>
      <c r="D11" s="21" t="s">
        <v>442</v>
      </c>
      <c r="E11" s="21" t="s">
        <v>428</v>
      </c>
    </row>
    <row r="12" spans="1:6">
      <c r="A12" s="19">
        <v>1010310001</v>
      </c>
      <c r="B12" s="19" t="s">
        <v>325</v>
      </c>
      <c r="C12" s="21" t="s">
        <v>443</v>
      </c>
      <c r="D12" s="21" t="s">
        <v>444</v>
      </c>
      <c r="E12" s="21" t="s">
        <v>428</v>
      </c>
    </row>
    <row r="13" spans="1:6">
      <c r="A13" s="21">
        <v>1010210001</v>
      </c>
      <c r="B13" s="21" t="s">
        <v>326</v>
      </c>
      <c r="C13" s="21" t="s">
        <v>428</v>
      </c>
      <c r="D13" s="21" t="s">
        <v>428</v>
      </c>
      <c r="E13" s="21" t="s">
        <v>428</v>
      </c>
    </row>
    <row r="14" spans="1:6">
      <c r="A14" s="50">
        <v>1010920001</v>
      </c>
      <c r="B14" s="50" t="s">
        <v>327</v>
      </c>
      <c r="C14" s="21" t="s">
        <v>428</v>
      </c>
      <c r="D14" s="21" t="s">
        <v>428</v>
      </c>
      <c r="E14" s="21" t="s">
        <v>428</v>
      </c>
    </row>
    <row r="15" spans="1:6">
      <c r="A15" s="19">
        <v>1010920002</v>
      </c>
      <c r="B15" s="19" t="s">
        <v>328</v>
      </c>
      <c r="C15" s="21" t="s">
        <v>445</v>
      </c>
      <c r="D15" s="21" t="s">
        <v>446</v>
      </c>
      <c r="E15" s="21" t="s">
        <v>428</v>
      </c>
    </row>
    <row r="16" spans="1:6">
      <c r="A16" s="19">
        <v>1010920003</v>
      </c>
      <c r="B16" s="19" t="s">
        <v>329</v>
      </c>
      <c r="C16" s="21" t="s">
        <v>447</v>
      </c>
      <c r="D16" s="21" t="s">
        <v>448</v>
      </c>
      <c r="E16" s="21" t="s">
        <v>428</v>
      </c>
    </row>
    <row r="17" spans="1:5">
      <c r="A17" s="19">
        <v>1010920004</v>
      </c>
      <c r="B17" s="19" t="s">
        <v>330</v>
      </c>
      <c r="C17" s="21" t="s">
        <v>449</v>
      </c>
      <c r="D17" s="21" t="s">
        <v>450</v>
      </c>
      <c r="E17" s="21" t="s">
        <v>428</v>
      </c>
    </row>
    <row r="18" spans="1:5">
      <c r="A18" s="19">
        <v>1010920005</v>
      </c>
      <c r="B18" s="19" t="s">
        <v>331</v>
      </c>
      <c r="C18" s="21" t="s">
        <v>451</v>
      </c>
      <c r="D18" s="21" t="s">
        <v>452</v>
      </c>
      <c r="E18" s="21" t="s">
        <v>428</v>
      </c>
    </row>
    <row r="19" spans="1:5">
      <c r="A19" s="50">
        <v>1010920006</v>
      </c>
      <c r="B19" s="50" t="s">
        <v>332</v>
      </c>
      <c r="C19" s="21" t="s">
        <v>428</v>
      </c>
      <c r="D19" s="21" t="s">
        <v>428</v>
      </c>
      <c r="E19" s="21" t="s">
        <v>428</v>
      </c>
    </row>
    <row r="20" spans="1:5">
      <c r="A20" s="19">
        <v>1010720001</v>
      </c>
      <c r="B20" s="19" t="s">
        <v>333</v>
      </c>
      <c r="C20" s="21" t="s">
        <v>453</v>
      </c>
      <c r="D20" s="21" t="s">
        <v>454</v>
      </c>
      <c r="E20" s="21" t="s">
        <v>428</v>
      </c>
    </row>
    <row r="21" spans="1:5">
      <c r="A21" s="19">
        <v>1010720002</v>
      </c>
      <c r="B21" s="19" t="s">
        <v>334</v>
      </c>
      <c r="C21" s="21" t="s">
        <v>455</v>
      </c>
      <c r="D21" s="21" t="s">
        <v>456</v>
      </c>
      <c r="E21" s="21" t="s">
        <v>428</v>
      </c>
    </row>
    <row r="22" spans="1:5">
      <c r="A22" s="19">
        <v>1010720003</v>
      </c>
      <c r="B22" s="19" t="s">
        <v>335</v>
      </c>
      <c r="C22" s="21" t="s">
        <v>457</v>
      </c>
      <c r="D22" s="21" t="s">
        <v>458</v>
      </c>
      <c r="E22" s="21" t="s">
        <v>428</v>
      </c>
    </row>
    <row r="23" spans="1:5">
      <c r="A23" s="19">
        <v>1010720004</v>
      </c>
      <c r="B23" s="19" t="s">
        <v>336</v>
      </c>
      <c r="C23" s="21" t="s">
        <v>459</v>
      </c>
      <c r="D23" s="21" t="s">
        <v>460</v>
      </c>
      <c r="E23" s="21" t="s">
        <v>428</v>
      </c>
    </row>
    <row r="24" spans="1:5">
      <c r="A24" s="19">
        <v>1010720005</v>
      </c>
      <c r="B24" s="19" t="s">
        <v>337</v>
      </c>
      <c r="C24" s="21" t="s">
        <v>461</v>
      </c>
      <c r="D24" s="21" t="s">
        <v>462</v>
      </c>
      <c r="E24" s="21" t="s">
        <v>428</v>
      </c>
    </row>
    <row r="25" spans="1:5">
      <c r="A25" s="19">
        <v>1010720006</v>
      </c>
      <c r="B25" s="19" t="s">
        <v>338</v>
      </c>
      <c r="C25" s="21" t="s">
        <v>463</v>
      </c>
      <c r="D25" s="21" t="s">
        <v>464</v>
      </c>
      <c r="E25" s="21" t="s">
        <v>428</v>
      </c>
    </row>
    <row r="26" spans="1:5">
      <c r="A26" s="19">
        <v>1010720007</v>
      </c>
      <c r="B26" s="19" t="s">
        <v>339</v>
      </c>
      <c r="C26" s="21" t="s">
        <v>465</v>
      </c>
      <c r="D26" s="21" t="s">
        <v>466</v>
      </c>
      <c r="E26" s="21" t="s">
        <v>428</v>
      </c>
    </row>
    <row r="27" spans="1:5">
      <c r="A27" s="19">
        <v>1010520001</v>
      </c>
      <c r="B27" s="19" t="s">
        <v>340</v>
      </c>
      <c r="C27" s="21" t="s">
        <v>467</v>
      </c>
      <c r="D27" s="21" t="s">
        <v>468</v>
      </c>
      <c r="E27" s="21" t="s">
        <v>428</v>
      </c>
    </row>
    <row r="28" spans="1:5">
      <c r="A28" s="19">
        <v>1010520002</v>
      </c>
      <c r="B28" s="19" t="s">
        <v>341</v>
      </c>
      <c r="C28" s="21" t="s">
        <v>469</v>
      </c>
      <c r="D28" s="21" t="s">
        <v>470</v>
      </c>
      <c r="E28" s="21" t="s">
        <v>428</v>
      </c>
    </row>
    <row r="29" spans="1:5">
      <c r="A29" s="19">
        <v>1010520003</v>
      </c>
      <c r="B29" s="19" t="s">
        <v>342</v>
      </c>
      <c r="C29" s="21" t="s">
        <v>471</v>
      </c>
      <c r="D29" s="21" t="s">
        <v>472</v>
      </c>
      <c r="E29" s="21" t="s">
        <v>428</v>
      </c>
    </row>
    <row r="30" spans="1:5">
      <c r="A30" s="19">
        <v>1010520004</v>
      </c>
      <c r="B30" s="19" t="s">
        <v>343</v>
      </c>
      <c r="C30" s="21" t="s">
        <v>473</v>
      </c>
      <c r="D30" s="21" t="s">
        <v>474</v>
      </c>
      <c r="E30" s="21" t="s">
        <v>428</v>
      </c>
    </row>
    <row r="31" spans="1:5">
      <c r="A31" s="19">
        <v>1010520005</v>
      </c>
      <c r="B31" s="19" t="s">
        <v>344</v>
      </c>
      <c r="C31" s="21" t="s">
        <v>475</v>
      </c>
      <c r="D31" s="21" t="s">
        <v>476</v>
      </c>
      <c r="E31" s="21" t="s">
        <v>428</v>
      </c>
    </row>
    <row r="32" spans="1:5">
      <c r="A32" s="19">
        <v>1010320001</v>
      </c>
      <c r="B32" s="19" t="s">
        <v>345</v>
      </c>
      <c r="C32" s="21" t="s">
        <v>477</v>
      </c>
      <c r="D32" s="21" t="s">
        <v>478</v>
      </c>
      <c r="E32" s="21" t="s">
        <v>428</v>
      </c>
    </row>
    <row r="33" spans="1:5">
      <c r="A33" s="19">
        <v>1010320002</v>
      </c>
      <c r="B33" s="19" t="s">
        <v>346</v>
      </c>
      <c r="C33" s="21" t="s">
        <v>479</v>
      </c>
      <c r="D33" s="21" t="s">
        <v>480</v>
      </c>
      <c r="E33" s="21" t="s">
        <v>428</v>
      </c>
    </row>
    <row r="34" spans="1:5">
      <c r="A34" s="50">
        <v>1010220001</v>
      </c>
      <c r="B34" s="50" t="s">
        <v>347</v>
      </c>
      <c r="C34" s="21" t="s">
        <v>428</v>
      </c>
      <c r="D34" s="21" t="s">
        <v>428</v>
      </c>
      <c r="E34" s="21" t="s">
        <v>428</v>
      </c>
    </row>
    <row r="35" spans="1:5">
      <c r="A35" s="19">
        <v>1010930001</v>
      </c>
      <c r="B35" s="19" t="s">
        <v>348</v>
      </c>
      <c r="C35" s="21" t="s">
        <v>481</v>
      </c>
      <c r="D35" s="21" t="s">
        <v>482</v>
      </c>
      <c r="E35" s="21" t="s">
        <v>428</v>
      </c>
    </row>
    <row r="36" spans="1:5">
      <c r="A36" s="19">
        <v>1010930002</v>
      </c>
      <c r="B36" s="19" t="s">
        <v>349</v>
      </c>
      <c r="C36" s="21" t="s">
        <v>483</v>
      </c>
      <c r="D36" s="21" t="s">
        <v>484</v>
      </c>
      <c r="E36" s="21" t="s">
        <v>428</v>
      </c>
    </row>
    <row r="37" spans="1:5">
      <c r="A37" s="19">
        <v>1010930003</v>
      </c>
      <c r="B37" s="19" t="s">
        <v>350</v>
      </c>
      <c r="C37" s="21" t="s">
        <v>485</v>
      </c>
      <c r="D37" s="21" t="s">
        <v>486</v>
      </c>
      <c r="E37" s="21" t="s">
        <v>428</v>
      </c>
    </row>
    <row r="38" spans="1:5">
      <c r="A38" s="19">
        <v>1010930004</v>
      </c>
      <c r="B38" s="19" t="s">
        <v>351</v>
      </c>
      <c r="C38" s="21" t="s">
        <v>487</v>
      </c>
      <c r="D38" s="21" t="s">
        <v>488</v>
      </c>
      <c r="E38" s="21" t="s">
        <v>428</v>
      </c>
    </row>
    <row r="39" spans="1:5">
      <c r="A39" s="19">
        <v>1010930005</v>
      </c>
      <c r="B39" s="19" t="s">
        <v>352</v>
      </c>
      <c r="C39" s="21" t="s">
        <v>489</v>
      </c>
      <c r="D39" s="21" t="s">
        <v>490</v>
      </c>
      <c r="E39" s="21" t="s">
        <v>428</v>
      </c>
    </row>
    <row r="40" spans="1:5">
      <c r="A40" s="19">
        <v>1010730001</v>
      </c>
      <c r="B40" s="19" t="s">
        <v>353</v>
      </c>
      <c r="C40" s="21" t="s">
        <v>491</v>
      </c>
      <c r="D40" s="21" t="s">
        <v>492</v>
      </c>
      <c r="E40" s="21" t="s">
        <v>428</v>
      </c>
    </row>
    <row r="41" spans="1:5">
      <c r="A41" s="19">
        <v>1010730002</v>
      </c>
      <c r="B41" s="19" t="s">
        <v>354</v>
      </c>
      <c r="C41" s="21" t="s">
        <v>493</v>
      </c>
      <c r="D41" s="21" t="s">
        <v>494</v>
      </c>
      <c r="E41" s="21" t="s">
        <v>428</v>
      </c>
    </row>
    <row r="42" spans="1:5">
      <c r="A42" s="19">
        <v>1010730003</v>
      </c>
      <c r="B42" s="19" t="s">
        <v>355</v>
      </c>
      <c r="C42" s="21" t="s">
        <v>495</v>
      </c>
      <c r="D42" s="21" t="s">
        <v>496</v>
      </c>
      <c r="E42" s="21" t="s">
        <v>428</v>
      </c>
    </row>
    <row r="43" spans="1:5">
      <c r="A43" s="19">
        <v>1010730004</v>
      </c>
      <c r="B43" s="19" t="s">
        <v>356</v>
      </c>
      <c r="C43" s="21" t="s">
        <v>497</v>
      </c>
      <c r="D43" s="21" t="s">
        <v>498</v>
      </c>
      <c r="E43" s="21" t="s">
        <v>428</v>
      </c>
    </row>
    <row r="44" spans="1:5">
      <c r="A44" s="19">
        <v>1010730005</v>
      </c>
      <c r="B44" s="19" t="s">
        <v>357</v>
      </c>
      <c r="C44" s="21" t="s">
        <v>499</v>
      </c>
      <c r="D44" s="21" t="s">
        <v>500</v>
      </c>
      <c r="E44" s="21" t="s">
        <v>428</v>
      </c>
    </row>
    <row r="45" spans="1:5">
      <c r="A45" s="19">
        <v>1010530001</v>
      </c>
      <c r="B45" s="19" t="s">
        <v>358</v>
      </c>
      <c r="C45" s="21" t="s">
        <v>501</v>
      </c>
      <c r="D45" s="21" t="s">
        <v>502</v>
      </c>
      <c r="E45" s="21" t="s">
        <v>428</v>
      </c>
    </row>
    <row r="46" spans="1:5">
      <c r="A46" s="19">
        <v>1010530002</v>
      </c>
      <c r="B46" s="19" t="s">
        <v>359</v>
      </c>
      <c r="C46" s="21" t="s">
        <v>503</v>
      </c>
      <c r="D46" s="21" t="s">
        <v>504</v>
      </c>
      <c r="E46" s="21" t="s">
        <v>428</v>
      </c>
    </row>
    <row r="47" spans="1:5">
      <c r="A47" s="19">
        <v>1010530003</v>
      </c>
      <c r="B47" s="19" t="s">
        <v>360</v>
      </c>
      <c r="C47" s="21" t="s">
        <v>505</v>
      </c>
      <c r="D47" s="21" t="s">
        <v>506</v>
      </c>
      <c r="E47" s="21" t="s">
        <v>428</v>
      </c>
    </row>
    <row r="48" spans="1:5">
      <c r="A48" s="19">
        <v>1010530004</v>
      </c>
      <c r="B48" s="19" t="s">
        <v>361</v>
      </c>
      <c r="C48" s="21" t="s">
        <v>507</v>
      </c>
      <c r="D48" s="21" t="s">
        <v>508</v>
      </c>
      <c r="E48" s="21" t="s">
        <v>428</v>
      </c>
    </row>
    <row r="49" spans="1:5">
      <c r="A49" s="19">
        <v>1010330001</v>
      </c>
      <c r="B49" s="19" t="s">
        <v>362</v>
      </c>
      <c r="C49" s="21" t="s">
        <v>509</v>
      </c>
      <c r="D49" s="21" t="s">
        <v>510</v>
      </c>
      <c r="E49" s="21" t="s">
        <v>428</v>
      </c>
    </row>
    <row r="50" spans="1:5">
      <c r="A50" s="19">
        <v>1010330002</v>
      </c>
      <c r="B50" s="19" t="s">
        <v>363</v>
      </c>
      <c r="C50" s="21" t="s">
        <v>511</v>
      </c>
      <c r="D50" s="21" t="s">
        <v>512</v>
      </c>
      <c r="E50" s="21" t="s">
        <v>428</v>
      </c>
    </row>
    <row r="51" spans="1:5">
      <c r="A51" s="50">
        <v>1010230001</v>
      </c>
      <c r="B51" s="50" t="s">
        <v>364</v>
      </c>
      <c r="C51" s="21" t="s">
        <v>428</v>
      </c>
      <c r="D51" s="21" t="s">
        <v>428</v>
      </c>
      <c r="E51" s="21" t="s">
        <v>428</v>
      </c>
    </row>
    <row r="52" spans="1:5">
      <c r="A52" s="19">
        <v>1010940001</v>
      </c>
      <c r="B52" s="19" t="s">
        <v>365</v>
      </c>
      <c r="C52" s="21" t="s">
        <v>513</v>
      </c>
      <c r="D52" s="21" t="s">
        <v>514</v>
      </c>
      <c r="E52" s="21" t="s">
        <v>428</v>
      </c>
    </row>
    <row r="53" spans="1:5">
      <c r="A53" s="19">
        <v>1010940002</v>
      </c>
      <c r="B53" s="19" t="s">
        <v>366</v>
      </c>
      <c r="C53" s="21" t="s">
        <v>515</v>
      </c>
      <c r="D53" s="21" t="s">
        <v>516</v>
      </c>
      <c r="E53" s="21" t="s">
        <v>428</v>
      </c>
    </row>
    <row r="54" spans="1:5">
      <c r="A54" s="19">
        <v>1010940003</v>
      </c>
      <c r="B54" s="19" t="s">
        <v>367</v>
      </c>
      <c r="C54" s="21" t="s">
        <v>517</v>
      </c>
      <c r="D54" s="21" t="s">
        <v>518</v>
      </c>
      <c r="E54" s="21" t="s">
        <v>428</v>
      </c>
    </row>
    <row r="55" spans="1:5">
      <c r="A55" s="19">
        <v>1010740001</v>
      </c>
      <c r="B55" s="19" t="s">
        <v>368</v>
      </c>
      <c r="C55" s="21" t="s">
        <v>519</v>
      </c>
      <c r="D55" s="21" t="s">
        <v>520</v>
      </c>
      <c r="E55" s="21" t="s">
        <v>428</v>
      </c>
    </row>
    <row r="56" spans="1:5">
      <c r="A56" s="19">
        <v>1010740002</v>
      </c>
      <c r="B56" s="19" t="s">
        <v>369</v>
      </c>
      <c r="C56" s="21" t="s">
        <v>521</v>
      </c>
      <c r="D56" s="21" t="s">
        <v>522</v>
      </c>
      <c r="E56" s="21" t="s">
        <v>428</v>
      </c>
    </row>
    <row r="57" spans="1:5">
      <c r="A57" s="19">
        <v>1010540001</v>
      </c>
      <c r="B57" s="19" t="s">
        <v>370</v>
      </c>
      <c r="C57" s="21" t="s">
        <v>523</v>
      </c>
      <c r="D57" s="21" t="s">
        <v>524</v>
      </c>
      <c r="E57" s="21" t="s">
        <v>428</v>
      </c>
    </row>
    <row r="58" spans="1:5">
      <c r="A58" s="19">
        <v>1010340001</v>
      </c>
      <c r="B58" s="19" t="s">
        <v>371</v>
      </c>
      <c r="C58" s="21" t="s">
        <v>525</v>
      </c>
      <c r="D58" s="21" t="s">
        <v>526</v>
      </c>
      <c r="E58" s="21" t="s">
        <v>428</v>
      </c>
    </row>
    <row r="59" spans="1:5">
      <c r="A59" s="50">
        <v>1010240001</v>
      </c>
      <c r="B59" s="50" t="s">
        <v>372</v>
      </c>
      <c r="C59" s="21" t="s">
        <v>428</v>
      </c>
      <c r="D59" s="21" t="s">
        <v>428</v>
      </c>
      <c r="E59" s="21" t="s">
        <v>428</v>
      </c>
    </row>
    <row r="60" spans="1:5">
      <c r="A60" s="19"/>
      <c r="B60" s="19"/>
      <c r="C60" s="19"/>
      <c r="D60" s="19"/>
      <c r="E60" s="19"/>
    </row>
    <row r="61" spans="1:5">
      <c r="A61" s="19"/>
      <c r="B61" s="19"/>
      <c r="C61" s="19"/>
      <c r="D61" s="19"/>
      <c r="E61" s="19"/>
    </row>
    <row r="62" spans="1:5">
      <c r="A62" s="19"/>
      <c r="B62" s="19"/>
      <c r="C62" s="19"/>
      <c r="D62" s="19"/>
      <c r="E62" s="19"/>
    </row>
    <row r="63" spans="1:5">
      <c r="A63" s="19"/>
      <c r="B63" s="19"/>
      <c r="C63" s="19"/>
      <c r="D63" s="19"/>
      <c r="E63" s="1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/>
  <dimension ref="A1:G383"/>
  <sheetViews>
    <sheetView topLeftCell="A364" workbookViewId="0">
      <selection activeCell="E351" sqref="E351"/>
    </sheetView>
  </sheetViews>
  <sheetFormatPr defaultRowHeight="16.5"/>
  <cols>
    <col min="1" max="3" width="17.5" style="24" customWidth="1"/>
    <col min="4" max="4" width="17.5" style="24" bestFit="1" customWidth="1"/>
    <col min="5" max="6" width="17.5" style="24" customWidth="1"/>
    <col min="7" max="7" width="19.75" style="24" bestFit="1" customWidth="1"/>
  </cols>
  <sheetData>
    <row r="1" spans="1:7">
      <c r="A1" s="2" t="s">
        <v>50</v>
      </c>
      <c r="B1" s="2" t="s">
        <v>410</v>
      </c>
      <c r="C1" s="2" t="s">
        <v>412</v>
      </c>
      <c r="D1" s="2" t="s">
        <v>54</v>
      </c>
      <c r="E1" s="2" t="s">
        <v>410</v>
      </c>
      <c r="F1" s="2" t="s">
        <v>412</v>
      </c>
      <c r="G1" s="2" t="s">
        <v>55</v>
      </c>
    </row>
    <row r="2" spans="1:7">
      <c r="A2" s="2" t="s">
        <v>56</v>
      </c>
      <c r="B2" s="2" t="s">
        <v>409</v>
      </c>
      <c r="C2" s="2" t="s">
        <v>411</v>
      </c>
      <c r="D2" s="2" t="s">
        <v>57</v>
      </c>
      <c r="E2" s="2" t="s">
        <v>409</v>
      </c>
      <c r="F2" s="2" t="s">
        <v>411</v>
      </c>
      <c r="G2" s="2" t="s">
        <v>58</v>
      </c>
    </row>
    <row r="3" spans="1:7" ht="17.25" thickBot="1">
      <c r="A3" s="40" t="s">
        <v>15</v>
      </c>
      <c r="B3" s="40" t="s">
        <v>409</v>
      </c>
      <c r="C3" s="40" t="s">
        <v>411</v>
      </c>
      <c r="D3" s="40" t="s">
        <v>15</v>
      </c>
      <c r="E3" s="40" t="s">
        <v>408</v>
      </c>
      <c r="F3" s="40" t="s">
        <v>411</v>
      </c>
      <c r="G3" s="40" t="s">
        <v>15</v>
      </c>
    </row>
    <row r="4" spans="1:7">
      <c r="A4" s="51">
        <v>1010910002</v>
      </c>
      <c r="B4" s="52" t="str">
        <f>VLOOKUP(A4,[1]Character!$A:$C,3,0)</f>
        <v>메리샤</v>
      </c>
      <c r="C4" s="52" t="str">
        <f>VLOOKUP(A4,[1]Character!$A:$D,4,0)</f>
        <v>오픈</v>
      </c>
      <c r="D4" s="52">
        <v>1010520005</v>
      </c>
      <c r="E4" s="52" t="str">
        <f>VLOOKUP(D4,[1]Character!$A:$C,3,0)</f>
        <v>페이</v>
      </c>
      <c r="F4" s="52" t="str">
        <f>VLOOKUP(D4,[1]Character!$A:$D,4,0)</f>
        <v>오픈</v>
      </c>
      <c r="G4" s="53" t="s">
        <v>59</v>
      </c>
    </row>
    <row r="5" spans="1:7">
      <c r="A5" s="54">
        <v>1010910002</v>
      </c>
      <c r="B5" s="3" t="str">
        <f>VLOOKUP(A5,[1]Character!$A:$C,3,0)</f>
        <v>메리샤</v>
      </c>
      <c r="C5" s="3" t="str">
        <f>VLOOKUP(A5,[1]Character!$A:$D,4,0)</f>
        <v>오픈</v>
      </c>
      <c r="D5" s="3">
        <v>1010720003</v>
      </c>
      <c r="E5" s="3" t="str">
        <f>VLOOKUP(D5,[1]Character!$A:$C,3,0)</f>
        <v>이사벨라</v>
      </c>
      <c r="F5" s="3" t="str">
        <f>VLOOKUP(D5,[1]Character!$A:$D,4,0)</f>
        <v>오픈</v>
      </c>
      <c r="G5" s="55" t="s">
        <v>59</v>
      </c>
    </row>
    <row r="6" spans="1:7">
      <c r="A6" s="54">
        <v>1010910002</v>
      </c>
      <c r="B6" s="3" t="str">
        <f>VLOOKUP(A6,[1]Character!$A:$C,3,0)</f>
        <v>메리샤</v>
      </c>
      <c r="C6" s="3" t="str">
        <f>VLOOKUP(A6,[1]Character!$A:$D,4,0)</f>
        <v>오픈</v>
      </c>
      <c r="D6" s="3">
        <v>1010730003</v>
      </c>
      <c r="E6" s="3" t="str">
        <f>VLOOKUP(D6,[1]Character!$A:$C,3,0)</f>
        <v>레나스</v>
      </c>
      <c r="F6" s="3" t="str">
        <f>VLOOKUP(D6,[1]Character!$A:$D,4,0)</f>
        <v>오픈</v>
      </c>
      <c r="G6" s="55" t="s">
        <v>59</v>
      </c>
    </row>
    <row r="7" spans="1:7" ht="17.25" thickBot="1">
      <c r="A7" s="56">
        <v>1010910002</v>
      </c>
      <c r="B7" s="57" t="str">
        <f>VLOOKUP(A7,[1]Character!$A:$C,3,0)</f>
        <v>메리샤</v>
      </c>
      <c r="C7" s="57" t="str">
        <f>VLOOKUP(A7,[1]Character!$A:$D,4,0)</f>
        <v>오픈</v>
      </c>
      <c r="D7" s="57">
        <v>1010720004</v>
      </c>
      <c r="E7" s="57" t="s">
        <v>336</v>
      </c>
      <c r="F7" s="57" t="s">
        <v>413</v>
      </c>
      <c r="G7" s="58" t="s">
        <v>59</v>
      </c>
    </row>
    <row r="8" spans="1:7">
      <c r="A8" s="51">
        <v>1010910002</v>
      </c>
      <c r="B8" s="52" t="str">
        <f>VLOOKUP(A8,[1]Character!$A:$C,3,0)</f>
        <v>메리샤</v>
      </c>
      <c r="C8" s="52" t="str">
        <f>VLOOKUP(A8,[1]Character!$A:$D,4,0)</f>
        <v>오픈</v>
      </c>
      <c r="D8" s="52">
        <v>1010920003</v>
      </c>
      <c r="E8" s="52" t="str">
        <f>VLOOKUP(D8,[1]Character!$A:$C,3,0)</f>
        <v>아이라스</v>
      </c>
      <c r="F8" s="52" t="str">
        <f>VLOOKUP(D8,[1]Character!$A:$D,4,0)</f>
        <v>오픈</v>
      </c>
      <c r="G8" s="53" t="s">
        <v>60</v>
      </c>
    </row>
    <row r="9" spans="1:7">
      <c r="A9" s="54">
        <v>1010910002</v>
      </c>
      <c r="B9" s="3" t="str">
        <f>VLOOKUP(A9,[1]Character!$A:$C,3,0)</f>
        <v>메리샤</v>
      </c>
      <c r="C9" s="3" t="str">
        <f>VLOOKUP(A9,[1]Character!$A:$D,4,0)</f>
        <v>오픈</v>
      </c>
      <c r="D9" s="3">
        <v>1010740001</v>
      </c>
      <c r="E9" s="3" t="str">
        <f>VLOOKUP(D9,[1]Character!$A:$C,3,0)</f>
        <v>헬렌</v>
      </c>
      <c r="F9" s="3" t="str">
        <f>VLOOKUP(D9,[1]Character!$A:$D,4,0)</f>
        <v>오픈</v>
      </c>
      <c r="G9" s="55" t="s">
        <v>60</v>
      </c>
    </row>
    <row r="10" spans="1:7">
      <c r="A10" s="54">
        <v>1010910002</v>
      </c>
      <c r="B10" s="3" t="str">
        <f>VLOOKUP(A10,[1]Character!$A:$C,3,0)</f>
        <v>메리샤</v>
      </c>
      <c r="C10" s="3" t="str">
        <f>VLOOKUP(A10,[1]Character!$A:$D,4,0)</f>
        <v>오픈</v>
      </c>
      <c r="D10" s="3">
        <v>1010520003</v>
      </c>
      <c r="E10" s="3" t="str">
        <f>VLOOKUP(D10,[1]Character!$A:$C,3,0)</f>
        <v>유나</v>
      </c>
      <c r="F10" s="3" t="str">
        <f>VLOOKUP(D10,[1]Character!$A:$D,4,0)</f>
        <v>오픈</v>
      </c>
      <c r="G10" s="55" t="s">
        <v>60</v>
      </c>
    </row>
    <row r="11" spans="1:7" ht="17.25" thickBot="1">
      <c r="A11" s="56">
        <v>1010910002</v>
      </c>
      <c r="B11" s="57" t="str">
        <f>VLOOKUP(A11,[1]Character!$A:$C,3,0)</f>
        <v>메리샤</v>
      </c>
      <c r="C11" s="57" t="str">
        <f>VLOOKUP(A11,[1]Character!$A:$D,4,0)</f>
        <v>오픈</v>
      </c>
      <c r="D11" s="57">
        <v>1010720006</v>
      </c>
      <c r="E11" s="57" t="str">
        <f>VLOOKUP(D11,[1]Character!$A:$C,3,0)</f>
        <v>베르베타</v>
      </c>
      <c r="F11" s="57" t="str">
        <f>VLOOKUP(D11,[1]Character!$A:$D,4,0)</f>
        <v>오픈</v>
      </c>
      <c r="G11" s="58" t="s">
        <v>60</v>
      </c>
    </row>
    <row r="12" spans="1:7">
      <c r="A12" s="51">
        <v>1010710001</v>
      </c>
      <c r="B12" s="52" t="str">
        <f>VLOOKUP(A12,[1]Character!$A:$C,3,0)</f>
        <v>릴리안</v>
      </c>
      <c r="C12" s="52" t="str">
        <f>VLOOKUP(A12,[1]Character!$A:$D,4,0)</f>
        <v>오픈</v>
      </c>
      <c r="D12" s="52">
        <v>1010920002</v>
      </c>
      <c r="E12" s="52" t="str">
        <f>VLOOKUP(D12,[1]Character!$A:$C,3,0)</f>
        <v>세라펄사</v>
      </c>
      <c r="F12" s="52" t="str">
        <f>VLOOKUP(D12,[1]Character!$A:$D,4,0)</f>
        <v>오픈</v>
      </c>
      <c r="G12" s="53" t="s">
        <v>59</v>
      </c>
    </row>
    <row r="13" spans="1:7">
      <c r="A13" s="54">
        <v>1010710001</v>
      </c>
      <c r="B13" s="3" t="str">
        <f>VLOOKUP(A13,[1]Character!$A:$C,3,0)</f>
        <v>릴리안</v>
      </c>
      <c r="C13" s="3" t="str">
        <f>VLOOKUP(A13,[1]Character!$A:$D,4,0)</f>
        <v>오픈</v>
      </c>
      <c r="D13" s="3">
        <v>1010730005</v>
      </c>
      <c r="E13" s="3" t="str">
        <f>VLOOKUP(D13,[1]Character!$A:$C,3,0)</f>
        <v>에리카</v>
      </c>
      <c r="F13" s="3" t="str">
        <f>VLOOKUP(D13,[1]Character!$A:$D,4,0)</f>
        <v>오픈</v>
      </c>
      <c r="G13" s="55" t="s">
        <v>59</v>
      </c>
    </row>
    <row r="14" spans="1:7">
      <c r="A14" s="54">
        <v>1010710001</v>
      </c>
      <c r="B14" s="3" t="str">
        <f>VLOOKUP(A14,[1]Character!$A:$C,3,0)</f>
        <v>릴리안</v>
      </c>
      <c r="C14" s="3" t="str">
        <f>VLOOKUP(A14,[1]Character!$A:$D,4,0)</f>
        <v>오픈</v>
      </c>
      <c r="D14" s="3">
        <v>1010720001</v>
      </c>
      <c r="E14" s="3" t="str">
        <f>VLOOKUP(D14,[1]Character!$A:$C,3,0)</f>
        <v>메아</v>
      </c>
      <c r="F14" s="3" t="str">
        <f>VLOOKUP(D14,[1]Character!$A:$D,4,0)</f>
        <v>오픈</v>
      </c>
      <c r="G14" s="55" t="s">
        <v>59</v>
      </c>
    </row>
    <row r="15" spans="1:7" ht="17.25" thickBot="1">
      <c r="A15" s="56">
        <v>1010710001</v>
      </c>
      <c r="B15" s="57" t="str">
        <f>VLOOKUP(A15,[1]Character!$A:$C,3,0)</f>
        <v>릴리안</v>
      </c>
      <c r="C15" s="57" t="str">
        <f>VLOOKUP(A15,[1]Character!$A:$D,4,0)</f>
        <v>오픈</v>
      </c>
      <c r="D15" s="57">
        <v>1010920004</v>
      </c>
      <c r="E15" s="57" t="str">
        <f>VLOOKUP(D15,[1]Character!$A:$C,3,0)</f>
        <v>앰브로시아</v>
      </c>
      <c r="F15" s="57" t="str">
        <f>VLOOKUP(D15,[1]Character!$A:$D,4,0)</f>
        <v>오픈</v>
      </c>
      <c r="G15" s="58" t="s">
        <v>59</v>
      </c>
    </row>
    <row r="16" spans="1:7">
      <c r="A16" s="51">
        <v>1010710001</v>
      </c>
      <c r="B16" s="52" t="str">
        <f>VLOOKUP(A16,[1]Character!$A:$C,3,0)</f>
        <v>릴리안</v>
      </c>
      <c r="C16" s="52" t="str">
        <f>VLOOKUP(A16,[1]Character!$A:$D,4,0)</f>
        <v>오픈</v>
      </c>
      <c r="D16" s="52">
        <v>1010930005</v>
      </c>
      <c r="E16" s="52" t="str">
        <f>VLOOKUP(D16,[1]Character!$A:$C,3,0)</f>
        <v>아크페이즈</v>
      </c>
      <c r="F16" s="52" t="str">
        <f>VLOOKUP(D16,[1]Character!$A:$D,4,0)</f>
        <v>오픈</v>
      </c>
      <c r="G16" s="53" t="s">
        <v>60</v>
      </c>
    </row>
    <row r="17" spans="1:7">
      <c r="A17" s="54">
        <v>1010710001</v>
      </c>
      <c r="B17" s="3" t="str">
        <f>VLOOKUP(A17,[1]Character!$A:$C,3,0)</f>
        <v>릴리안</v>
      </c>
      <c r="C17" s="3" t="str">
        <f>VLOOKUP(A17,[1]Character!$A:$D,4,0)</f>
        <v>오픈</v>
      </c>
      <c r="D17" s="3">
        <v>1010530001</v>
      </c>
      <c r="E17" s="3" t="str">
        <f>VLOOKUP(D17,[1]Character!$A:$C,3,0)</f>
        <v>에이코</v>
      </c>
      <c r="F17" s="3" t="str">
        <f>VLOOKUP(D17,[1]Character!$A:$D,4,0)</f>
        <v>오픈</v>
      </c>
      <c r="G17" s="55" t="s">
        <v>60</v>
      </c>
    </row>
    <row r="18" spans="1:7">
      <c r="A18" s="54">
        <v>1010710001</v>
      </c>
      <c r="B18" s="3" t="str">
        <f>VLOOKUP(A18,[1]Character!$A:$C,3,0)</f>
        <v>릴리안</v>
      </c>
      <c r="C18" s="3" t="str">
        <f>VLOOKUP(A18,[1]Character!$A:$D,4,0)</f>
        <v>오픈</v>
      </c>
      <c r="D18" s="3">
        <v>1010520004</v>
      </c>
      <c r="E18" s="3" t="str">
        <f>VLOOKUP(D18,[1]Character!$A:$C,3,0)</f>
        <v>그레이</v>
      </c>
      <c r="F18" s="3" t="str">
        <f>VLOOKUP(D18,[1]Character!$A:$D,4,0)</f>
        <v>오픈</v>
      </c>
      <c r="G18" s="55" t="s">
        <v>60</v>
      </c>
    </row>
    <row r="19" spans="1:7" ht="17.25" thickBot="1">
      <c r="A19" s="56">
        <v>1010710001</v>
      </c>
      <c r="B19" s="57" t="str">
        <f>VLOOKUP(A19,[1]Character!$A:$C,3,0)</f>
        <v>릴리안</v>
      </c>
      <c r="C19" s="57" t="str">
        <f>VLOOKUP(A19,[1]Character!$A:$D,4,0)</f>
        <v>오픈</v>
      </c>
      <c r="D19" s="57">
        <v>1010320002</v>
      </c>
      <c r="E19" s="57" t="str">
        <f>VLOOKUP(D19,[1]Character!$A:$C,3,0)</f>
        <v>클레아스</v>
      </c>
      <c r="F19" s="57" t="str">
        <f>VLOOKUP(D19,[1]Character!$A:$D,4,0)</f>
        <v>오픈</v>
      </c>
      <c r="G19" s="58" t="s">
        <v>60</v>
      </c>
    </row>
    <row r="20" spans="1:7">
      <c r="A20" s="51">
        <v>1010710002</v>
      </c>
      <c r="B20" s="52" t="str">
        <f>VLOOKUP(A20,[1]Character!$A:$C,3,0)</f>
        <v>다리아</v>
      </c>
      <c r="C20" s="52" t="str">
        <f>VLOOKUP(A20,[1]Character!$A:$D,4,0)</f>
        <v>오픈</v>
      </c>
      <c r="D20" s="52">
        <v>1010940003</v>
      </c>
      <c r="E20" s="52" t="str">
        <f>VLOOKUP(D20,[1]Character!$A:$C,3,0)</f>
        <v>레이호우</v>
      </c>
      <c r="F20" s="52" t="str">
        <f>VLOOKUP(D20,[1]Character!$A:$D,4,0)</f>
        <v>오픈</v>
      </c>
      <c r="G20" s="53" t="s">
        <v>59</v>
      </c>
    </row>
    <row r="21" spans="1:7">
      <c r="A21" s="54">
        <v>1010710002</v>
      </c>
      <c r="B21" s="3" t="str">
        <f>VLOOKUP(A21,[1]Character!$A:$C,3,0)</f>
        <v>다리아</v>
      </c>
      <c r="C21" s="3" t="str">
        <f>VLOOKUP(A21,[1]Character!$A:$D,4,0)</f>
        <v>오픈</v>
      </c>
      <c r="D21" s="3">
        <v>1010530003</v>
      </c>
      <c r="E21" s="3" t="str">
        <f>VLOOKUP(D21,[1]Character!$A:$C,3,0)</f>
        <v>페렐</v>
      </c>
      <c r="F21" s="3" t="str">
        <f>VLOOKUP(D21,[1]Character!$A:$D,4,0)</f>
        <v>오픈</v>
      </c>
      <c r="G21" s="55" t="s">
        <v>59</v>
      </c>
    </row>
    <row r="22" spans="1:7">
      <c r="A22" s="54">
        <v>1010710002</v>
      </c>
      <c r="B22" s="3" t="str">
        <f>VLOOKUP(A22,[1]Character!$A:$C,3,0)</f>
        <v>다리아</v>
      </c>
      <c r="C22" s="3" t="str">
        <f>VLOOKUP(A22,[1]Character!$A:$D,4,0)</f>
        <v>오픈</v>
      </c>
      <c r="D22" s="3">
        <v>1010310001</v>
      </c>
      <c r="E22" s="3" t="str">
        <f>VLOOKUP(D22,[1]Character!$A:$C,3,0)</f>
        <v>다이아나</v>
      </c>
      <c r="F22" s="3" t="str">
        <f>VLOOKUP(D22,[1]Character!$A:$D,4,0)</f>
        <v>오픈</v>
      </c>
      <c r="G22" s="55" t="s">
        <v>59</v>
      </c>
    </row>
    <row r="23" spans="1:7" ht="17.25" thickBot="1">
      <c r="A23" s="56">
        <v>1010710002</v>
      </c>
      <c r="B23" s="57" t="str">
        <f>VLOOKUP(A23,[1]Character!$A:$C,3,0)</f>
        <v>다리아</v>
      </c>
      <c r="C23" s="57" t="str">
        <f>VLOOKUP(A23,[1]Character!$A:$D,4,0)</f>
        <v>오픈</v>
      </c>
      <c r="D23" s="57">
        <v>1010520005</v>
      </c>
      <c r="E23" s="57" t="str">
        <f>VLOOKUP(D23,[1]Character!$A:$C,3,0)</f>
        <v>페이</v>
      </c>
      <c r="F23" s="57" t="str">
        <f>VLOOKUP(D23,[1]Character!$A:$D,4,0)</f>
        <v>오픈</v>
      </c>
      <c r="G23" s="58" t="s">
        <v>59</v>
      </c>
    </row>
    <row r="24" spans="1:7">
      <c r="A24" s="51">
        <v>1010710002</v>
      </c>
      <c r="B24" s="52" t="str">
        <f>VLOOKUP(A24,[1]Character!$A:$C,3,0)</f>
        <v>다리아</v>
      </c>
      <c r="C24" s="52" t="str">
        <f>VLOOKUP(A24,[1]Character!$A:$D,4,0)</f>
        <v>오픈</v>
      </c>
      <c r="D24" s="52">
        <v>1010320001</v>
      </c>
      <c r="E24" s="52" t="str">
        <f>VLOOKUP(D24,[1]Character!$A:$C,3,0)</f>
        <v>아이렌</v>
      </c>
      <c r="F24" s="52" t="str">
        <f>VLOOKUP(D24,[1]Character!$A:$D,4,0)</f>
        <v>오픈</v>
      </c>
      <c r="G24" s="53" t="s">
        <v>60</v>
      </c>
    </row>
    <row r="25" spans="1:7">
      <c r="A25" s="54">
        <v>1010710002</v>
      </c>
      <c r="B25" s="3" t="str">
        <f>VLOOKUP(A25,[1]Character!$A:$C,3,0)</f>
        <v>다리아</v>
      </c>
      <c r="C25" s="3" t="str">
        <f>VLOOKUP(A25,[1]Character!$A:$D,4,0)</f>
        <v>오픈</v>
      </c>
      <c r="D25" s="3">
        <v>1010330001</v>
      </c>
      <c r="E25" s="3" t="str">
        <f>VLOOKUP(D25,[1]Character!$A:$C,3,0)</f>
        <v>마나</v>
      </c>
      <c r="F25" s="3" t="str">
        <f>VLOOKUP(D25,[1]Character!$A:$D,4,0)</f>
        <v>오픈</v>
      </c>
      <c r="G25" s="55" t="s">
        <v>60</v>
      </c>
    </row>
    <row r="26" spans="1:7">
      <c r="A26" s="54">
        <v>1010710002</v>
      </c>
      <c r="B26" s="3" t="str">
        <f>VLOOKUP(A26,[1]Character!$A:$C,3,0)</f>
        <v>다리아</v>
      </c>
      <c r="C26" s="3" t="str">
        <f>VLOOKUP(A26,[1]Character!$A:$D,4,0)</f>
        <v>오픈</v>
      </c>
      <c r="D26" s="3">
        <v>1010520004</v>
      </c>
      <c r="E26" s="3" t="str">
        <f>VLOOKUP(D26,[1]Character!$A:$C,3,0)</f>
        <v>그레이</v>
      </c>
      <c r="F26" s="3" t="str">
        <f>VLOOKUP(D26,[1]Character!$A:$D,4,0)</f>
        <v>오픈</v>
      </c>
      <c r="G26" s="55" t="s">
        <v>60</v>
      </c>
    </row>
    <row r="27" spans="1:7" ht="17.25" thickBot="1">
      <c r="A27" s="56">
        <v>1010710002</v>
      </c>
      <c r="B27" s="57" t="str">
        <f>VLOOKUP(A27,[1]Character!$A:$C,3,0)</f>
        <v>다리아</v>
      </c>
      <c r="C27" s="57" t="str">
        <f>VLOOKUP(A27,[1]Character!$A:$D,4,0)</f>
        <v>오픈</v>
      </c>
      <c r="D27" s="57">
        <v>1010720004</v>
      </c>
      <c r="E27" s="57" t="str">
        <f>VLOOKUP(D27,[1]Character!$A:$C,3,0)</f>
        <v>발렌시아</v>
      </c>
      <c r="F27" s="57" t="str">
        <f>VLOOKUP(D27,[1]Character!$A:$D,4,0)</f>
        <v>오픈</v>
      </c>
      <c r="G27" s="58" t="s">
        <v>60</v>
      </c>
    </row>
    <row r="28" spans="1:7">
      <c r="A28" s="51">
        <v>1010710003</v>
      </c>
      <c r="B28" s="52" t="str">
        <f>VLOOKUP(A28,[1]Character!$A:$C,3,0)</f>
        <v>스노프릴</v>
      </c>
      <c r="C28" s="52" t="str">
        <f>VLOOKUP(A28,[1]Character!$A:$D,4,0)</f>
        <v>오픈</v>
      </c>
      <c r="D28" s="52">
        <v>1010720005</v>
      </c>
      <c r="E28" s="52" t="str">
        <f>VLOOKUP(D28,[1]Character!$A:$C,3,0)</f>
        <v>벨리타</v>
      </c>
      <c r="F28" s="52" t="str">
        <f>VLOOKUP(D28,[1]Character!$A:$D,4,0)</f>
        <v>오픈</v>
      </c>
      <c r="G28" s="53" t="s">
        <v>59</v>
      </c>
    </row>
    <row r="29" spans="1:7">
      <c r="A29" s="54">
        <v>1010710003</v>
      </c>
      <c r="B29" s="3" t="str">
        <f>VLOOKUP(A29,[1]Character!$A:$C,3,0)</f>
        <v>스노프릴</v>
      </c>
      <c r="C29" s="3" t="str">
        <f>VLOOKUP(A29,[1]Character!$A:$D,4,0)</f>
        <v>오픈</v>
      </c>
      <c r="D29" s="3">
        <v>1010730005</v>
      </c>
      <c r="E29" s="3" t="str">
        <f>VLOOKUP(D29,[1]Character!$A:$C,3,0)</f>
        <v>에리카</v>
      </c>
      <c r="F29" s="3" t="str">
        <f>VLOOKUP(D29,[1]Character!$A:$D,4,0)</f>
        <v>오픈</v>
      </c>
      <c r="G29" s="55" t="s">
        <v>59</v>
      </c>
    </row>
    <row r="30" spans="1:7">
      <c r="A30" s="54">
        <v>1010710003</v>
      </c>
      <c r="B30" s="3" t="str">
        <f>VLOOKUP(A30,[1]Character!$A:$C,3,0)</f>
        <v>스노프릴</v>
      </c>
      <c r="C30" s="3" t="str">
        <f>VLOOKUP(A30,[1]Character!$A:$D,4,0)</f>
        <v>오픈</v>
      </c>
      <c r="D30" s="3">
        <v>1010520005</v>
      </c>
      <c r="E30" s="3" t="str">
        <f>VLOOKUP(D30,[1]Character!$A:$C,3,0)</f>
        <v>페이</v>
      </c>
      <c r="F30" s="3" t="str">
        <f>VLOOKUP(D30,[1]Character!$A:$D,4,0)</f>
        <v>오픈</v>
      </c>
      <c r="G30" s="55" t="s">
        <v>59</v>
      </c>
    </row>
    <row r="31" spans="1:7" ht="17.25" thickBot="1">
      <c r="A31" s="56">
        <v>1010710003</v>
      </c>
      <c r="B31" s="57" t="str">
        <f>VLOOKUP(A31,[1]Character!$A:$C,3,0)</f>
        <v>스노프릴</v>
      </c>
      <c r="C31" s="57" t="str">
        <f>VLOOKUP(A31,[1]Character!$A:$D,4,0)</f>
        <v>오픈</v>
      </c>
      <c r="D31" s="57">
        <v>1010510002</v>
      </c>
      <c r="E31" s="57" t="str">
        <f>VLOOKUP(D31,[1]Character!$A:$C,3,0)</f>
        <v>타이나</v>
      </c>
      <c r="F31" s="57" t="str">
        <f>VLOOKUP(D31,[1]Character!$A:$D,4,0)</f>
        <v>오픈</v>
      </c>
      <c r="G31" s="58" t="s">
        <v>59</v>
      </c>
    </row>
    <row r="32" spans="1:7">
      <c r="A32" s="51">
        <v>1010710003</v>
      </c>
      <c r="B32" s="52" t="str">
        <f>VLOOKUP(A32,[1]Character!$A:$C,3,0)</f>
        <v>스노프릴</v>
      </c>
      <c r="C32" s="52" t="str">
        <f>VLOOKUP(A32,[1]Character!$A:$D,4,0)</f>
        <v>오픈</v>
      </c>
      <c r="D32" s="52">
        <v>1010340001</v>
      </c>
      <c r="E32" s="52" t="str">
        <f>VLOOKUP(D32,[1]Character!$A:$C,3,0)</f>
        <v>시즈</v>
      </c>
      <c r="F32" s="52" t="str">
        <f>VLOOKUP(D32,[1]Character!$A:$D,4,0)</f>
        <v>오픈</v>
      </c>
      <c r="G32" s="53" t="s">
        <v>60</v>
      </c>
    </row>
    <row r="33" spans="1:7">
      <c r="A33" s="54">
        <v>1010710003</v>
      </c>
      <c r="B33" s="3" t="str">
        <f>VLOOKUP(A33,[1]Character!$A:$C,3,0)</f>
        <v>스노프릴</v>
      </c>
      <c r="C33" s="3" t="str">
        <f>VLOOKUP(A33,[1]Character!$A:$D,4,0)</f>
        <v>오픈</v>
      </c>
      <c r="D33" s="3">
        <v>1010720001</v>
      </c>
      <c r="E33" s="3" t="str">
        <f>VLOOKUP(D33,[1]Character!$A:$C,3,0)</f>
        <v>메아</v>
      </c>
      <c r="F33" s="3" t="str">
        <f>VLOOKUP(D33,[1]Character!$A:$D,4,0)</f>
        <v>오픈</v>
      </c>
      <c r="G33" s="55" t="s">
        <v>60</v>
      </c>
    </row>
    <row r="34" spans="1:7">
      <c r="A34" s="54">
        <v>1010710003</v>
      </c>
      <c r="B34" s="3" t="str">
        <f>VLOOKUP(A34,[1]Character!$A:$C,3,0)</f>
        <v>스노프릴</v>
      </c>
      <c r="C34" s="3" t="str">
        <f>VLOOKUP(A34,[1]Character!$A:$D,4,0)</f>
        <v>오픈</v>
      </c>
      <c r="D34" s="3">
        <v>1010520001</v>
      </c>
      <c r="E34" s="3" t="str">
        <f>VLOOKUP(D34,[1]Character!$A:$C,3,0)</f>
        <v>안젤리카</v>
      </c>
      <c r="F34" s="3" t="str">
        <f>VLOOKUP(D34,[1]Character!$A:$D,4,0)</f>
        <v>오픈</v>
      </c>
      <c r="G34" s="55" t="s">
        <v>60</v>
      </c>
    </row>
    <row r="35" spans="1:7" ht="17.25" thickBot="1">
      <c r="A35" s="56">
        <v>1010710003</v>
      </c>
      <c r="B35" s="57" t="str">
        <f>VLOOKUP(A35,[1]Character!$A:$C,3,0)</f>
        <v>스노프릴</v>
      </c>
      <c r="C35" s="57" t="str">
        <f>VLOOKUP(A35,[1]Character!$A:$D,4,0)</f>
        <v>오픈</v>
      </c>
      <c r="D35" s="57">
        <v>1010530001</v>
      </c>
      <c r="E35" s="57" t="s">
        <v>358</v>
      </c>
      <c r="F35" s="57" t="str">
        <f>VLOOKUP(D35,[1]Character!$A:$D,4,0)</f>
        <v>오픈</v>
      </c>
      <c r="G35" s="58" t="s">
        <v>60</v>
      </c>
    </row>
    <row r="36" spans="1:7">
      <c r="A36" s="51">
        <v>1010510002</v>
      </c>
      <c r="B36" s="52" t="str">
        <f>VLOOKUP(A36,[1]Character!$A:$C,3,0)</f>
        <v>타이나</v>
      </c>
      <c r="C36" s="52" t="str">
        <f>VLOOKUP(A36,[1]Character!$A:$D,4,0)</f>
        <v>오픈</v>
      </c>
      <c r="D36" s="52">
        <v>1010910002</v>
      </c>
      <c r="E36" s="52" t="str">
        <f>VLOOKUP(D36,[1]Character!$A:$C,3,0)</f>
        <v>메리샤</v>
      </c>
      <c r="F36" s="52" t="str">
        <f>VLOOKUP(D36,[1]Character!$A:$D,4,0)</f>
        <v>오픈</v>
      </c>
      <c r="G36" s="53" t="s">
        <v>59</v>
      </c>
    </row>
    <row r="37" spans="1:7">
      <c r="A37" s="54">
        <v>1010510002</v>
      </c>
      <c r="B37" s="3" t="str">
        <f>VLOOKUP(A37,[1]Character!$A:$C,3,0)</f>
        <v>타이나</v>
      </c>
      <c r="C37" s="3" t="str">
        <f>VLOOKUP(A37,[1]Character!$A:$D,4,0)</f>
        <v>오픈</v>
      </c>
      <c r="D37" s="3">
        <v>1010710001</v>
      </c>
      <c r="E37" s="3" t="str">
        <f>VLOOKUP(D37,[1]Character!$A:$C,3,0)</f>
        <v>릴리안</v>
      </c>
      <c r="F37" s="3" t="str">
        <f>VLOOKUP(D37,[1]Character!$A:$D,4,0)</f>
        <v>오픈</v>
      </c>
      <c r="G37" s="55" t="s">
        <v>59</v>
      </c>
    </row>
    <row r="38" spans="1:7">
      <c r="A38" s="54">
        <v>1010510002</v>
      </c>
      <c r="B38" s="3" t="str">
        <f>VLOOKUP(A38,[1]Character!$A:$C,3,0)</f>
        <v>타이나</v>
      </c>
      <c r="C38" s="3" t="str">
        <f>VLOOKUP(A38,[1]Character!$A:$D,4,0)</f>
        <v>오픈</v>
      </c>
      <c r="D38" s="3">
        <v>1010720005</v>
      </c>
      <c r="E38" s="3" t="str">
        <f>VLOOKUP(D38,[1]Character!$A:$C,3,0)</f>
        <v>벨리타</v>
      </c>
      <c r="F38" s="3" t="str">
        <f>VLOOKUP(D38,[1]Character!$A:$D,4,0)</f>
        <v>오픈</v>
      </c>
      <c r="G38" s="55" t="s">
        <v>59</v>
      </c>
    </row>
    <row r="39" spans="1:7" ht="17.25" thickBot="1">
      <c r="A39" s="56">
        <v>1010510002</v>
      </c>
      <c r="B39" s="57" t="str">
        <f>VLOOKUP(A39,[1]Character!$A:$C,3,0)</f>
        <v>타이나</v>
      </c>
      <c r="C39" s="57" t="str">
        <f>VLOOKUP(A39,[1]Character!$A:$D,4,0)</f>
        <v>오픈</v>
      </c>
      <c r="D39" s="57">
        <v>1010720001</v>
      </c>
      <c r="E39" s="57" t="str">
        <f>VLOOKUP(D39,[1]Character!$A:$C,3,0)</f>
        <v>메아</v>
      </c>
      <c r="F39" s="57" t="str">
        <f>VLOOKUP(D39,[1]Character!$A:$D,4,0)</f>
        <v>오픈</v>
      </c>
      <c r="G39" s="58" t="s">
        <v>59</v>
      </c>
    </row>
    <row r="40" spans="1:7">
      <c r="A40" s="51">
        <v>1010510002</v>
      </c>
      <c r="B40" s="52" t="str">
        <f>VLOOKUP(A40,[1]Character!$A:$C,3,0)</f>
        <v>타이나</v>
      </c>
      <c r="C40" s="52" t="str">
        <f>VLOOKUP(A40,[1]Character!$A:$D,4,0)</f>
        <v>오픈</v>
      </c>
      <c r="D40" s="52">
        <v>1010330002</v>
      </c>
      <c r="E40" s="52" t="str">
        <f>VLOOKUP(D40,[1]Character!$A:$C,3,0)</f>
        <v>오로라</v>
      </c>
      <c r="F40" s="52" t="str">
        <f>VLOOKUP(D40,[1]Character!$A:$D,4,0)</f>
        <v>오픈</v>
      </c>
      <c r="G40" s="53" t="s">
        <v>60</v>
      </c>
    </row>
    <row r="41" spans="1:7">
      <c r="A41" s="54">
        <v>1010510002</v>
      </c>
      <c r="B41" s="3" t="str">
        <f>VLOOKUP(A41,[1]Character!$A:$C,3,0)</f>
        <v>타이나</v>
      </c>
      <c r="C41" s="3" t="str">
        <f>VLOOKUP(A41,[1]Character!$A:$D,4,0)</f>
        <v>오픈</v>
      </c>
      <c r="D41" s="3">
        <v>1010340001</v>
      </c>
      <c r="E41" s="3" t="str">
        <f>VLOOKUP(D41,[1]Character!$A:$C,3,0)</f>
        <v>시즈</v>
      </c>
      <c r="F41" s="3" t="str">
        <f>VLOOKUP(D41,[1]Character!$A:$D,4,0)</f>
        <v>오픈</v>
      </c>
      <c r="G41" s="55" t="s">
        <v>60</v>
      </c>
    </row>
    <row r="42" spans="1:7">
      <c r="A42" s="54">
        <v>1010510002</v>
      </c>
      <c r="B42" s="3" t="str">
        <f>VLOOKUP(A42,[1]Character!$A:$C,3,0)</f>
        <v>타이나</v>
      </c>
      <c r="C42" s="3" t="str">
        <f>VLOOKUP(A42,[1]Character!$A:$D,4,0)</f>
        <v>오픈</v>
      </c>
      <c r="D42" s="3">
        <v>1010530001</v>
      </c>
      <c r="E42" s="3" t="str">
        <f>VLOOKUP(D42,[1]Character!$A:$C,3,0)</f>
        <v>에이코</v>
      </c>
      <c r="F42" s="3" t="str">
        <f>VLOOKUP(D42,[1]Character!$A:$D,4,0)</f>
        <v>오픈</v>
      </c>
      <c r="G42" s="55" t="s">
        <v>60</v>
      </c>
    </row>
    <row r="43" spans="1:7" ht="17.25" thickBot="1">
      <c r="A43" s="56">
        <v>1010510002</v>
      </c>
      <c r="B43" s="57" t="str">
        <f>VLOOKUP(A43,[1]Character!$A:$C,3,0)</f>
        <v>타이나</v>
      </c>
      <c r="C43" s="57" t="str">
        <f>VLOOKUP(A43,[1]Character!$A:$D,4,0)</f>
        <v>오픈</v>
      </c>
      <c r="D43" s="57">
        <v>1010730005</v>
      </c>
      <c r="E43" s="57" t="str">
        <f>VLOOKUP(D43,[1]Character!$A:$C,3,0)</f>
        <v>에리카</v>
      </c>
      <c r="F43" s="57" t="str">
        <f>VLOOKUP(D43,[1]Character!$A:$D,4,0)</f>
        <v>오픈</v>
      </c>
      <c r="G43" s="58" t="s">
        <v>60</v>
      </c>
    </row>
    <row r="44" spans="1:7">
      <c r="A44" s="51">
        <v>1010310001</v>
      </c>
      <c r="B44" s="52" t="str">
        <f>VLOOKUP(A44,[1]Character!$A:$C,3,0)</f>
        <v>다이아나</v>
      </c>
      <c r="C44" s="52" t="str">
        <f>VLOOKUP(A44,[1]Character!$A:$D,4,0)</f>
        <v>오픈</v>
      </c>
      <c r="D44" s="52">
        <v>1010710002</v>
      </c>
      <c r="E44" s="52" t="str">
        <f>VLOOKUP(D44,[1]Character!$A:$C,3,0)</f>
        <v>다리아</v>
      </c>
      <c r="F44" s="52" t="str">
        <f>VLOOKUP(D44,[1]Character!$A:$D,4,0)</f>
        <v>오픈</v>
      </c>
      <c r="G44" s="53" t="s">
        <v>59</v>
      </c>
    </row>
    <row r="45" spans="1:7">
      <c r="A45" s="54">
        <v>1010310001</v>
      </c>
      <c r="B45" s="3" t="str">
        <f>VLOOKUP(A45,[1]Character!$A:$C,3,0)</f>
        <v>다이아나</v>
      </c>
      <c r="C45" s="3" t="str">
        <f>VLOOKUP(A45,[1]Character!$A:$D,4,0)</f>
        <v>오픈</v>
      </c>
      <c r="D45" s="3">
        <v>1010530003</v>
      </c>
      <c r="E45" s="3" t="str">
        <f>VLOOKUP(D45,[1]Character!$A:$C,3,0)</f>
        <v>페렐</v>
      </c>
      <c r="F45" s="3" t="str">
        <f>VLOOKUP(D45,[1]Character!$A:$D,4,0)</f>
        <v>오픈</v>
      </c>
      <c r="G45" s="55" t="s">
        <v>59</v>
      </c>
    </row>
    <row r="46" spans="1:7">
      <c r="A46" s="54">
        <v>1010310001</v>
      </c>
      <c r="B46" s="3" t="str">
        <f>VLOOKUP(A46,[1]Character!$A:$C,3,0)</f>
        <v>다이아나</v>
      </c>
      <c r="C46" s="3" t="str">
        <f>VLOOKUP(A46,[1]Character!$A:$D,4,0)</f>
        <v>오픈</v>
      </c>
      <c r="D46" s="3">
        <v>1010530004</v>
      </c>
      <c r="E46" s="3" t="str">
        <f>VLOOKUP(D46,[1]Character!$A:$C,3,0)</f>
        <v>이노</v>
      </c>
      <c r="F46" s="3" t="str">
        <f>VLOOKUP(D46,[1]Character!$A:$D,4,0)</f>
        <v>오픈</v>
      </c>
      <c r="G46" s="55" t="s">
        <v>59</v>
      </c>
    </row>
    <row r="47" spans="1:7" ht="17.25" thickBot="1">
      <c r="A47" s="56">
        <v>1010310001</v>
      </c>
      <c r="B47" s="57" t="str">
        <f>VLOOKUP(A47,[1]Character!$A:$C,3,0)</f>
        <v>다이아나</v>
      </c>
      <c r="C47" s="57" t="str">
        <f>VLOOKUP(A47,[1]Character!$A:$D,4,0)</f>
        <v>오픈</v>
      </c>
      <c r="D47" s="57">
        <v>1010520004</v>
      </c>
      <c r="E47" s="57" t="str">
        <f>VLOOKUP(D47,[1]Character!$A:$C,3,0)</f>
        <v>그레이</v>
      </c>
      <c r="F47" s="57" t="str">
        <f>VLOOKUP(D47,[1]Character!$A:$D,4,0)</f>
        <v>오픈</v>
      </c>
      <c r="G47" s="58" t="s">
        <v>59</v>
      </c>
    </row>
    <row r="48" spans="1:7">
      <c r="A48" s="51">
        <v>1010310001</v>
      </c>
      <c r="B48" s="52" t="str">
        <f>VLOOKUP(A48,[1]Character!$A:$C,3,0)</f>
        <v>다이아나</v>
      </c>
      <c r="C48" s="52" t="str">
        <f>VLOOKUP(A48,[1]Character!$A:$D,4,0)</f>
        <v>오픈</v>
      </c>
      <c r="D48" s="52">
        <v>1010320001</v>
      </c>
      <c r="E48" s="52" t="str">
        <f>VLOOKUP(D48,[1]Character!$A:$C,3,0)</f>
        <v>아이렌</v>
      </c>
      <c r="F48" s="52" t="str">
        <f>VLOOKUP(D48,[1]Character!$A:$D,4,0)</f>
        <v>오픈</v>
      </c>
      <c r="G48" s="53" t="s">
        <v>60</v>
      </c>
    </row>
    <row r="49" spans="1:7">
      <c r="A49" s="54">
        <v>1010310001</v>
      </c>
      <c r="B49" s="3" t="str">
        <f>VLOOKUP(A49,[1]Character!$A:$C,3,0)</f>
        <v>다이아나</v>
      </c>
      <c r="C49" s="3" t="str">
        <f>VLOOKUP(A49,[1]Character!$A:$D,4,0)</f>
        <v>오픈</v>
      </c>
      <c r="D49" s="3">
        <v>1010520001</v>
      </c>
      <c r="E49" s="3" t="str">
        <f>VLOOKUP(D49,[1]Character!$A:$C,3,0)</f>
        <v>안젤리카</v>
      </c>
      <c r="F49" s="3" t="str">
        <f>VLOOKUP(D49,[1]Character!$A:$D,4,0)</f>
        <v>오픈</v>
      </c>
      <c r="G49" s="55" t="s">
        <v>60</v>
      </c>
    </row>
    <row r="50" spans="1:7">
      <c r="A50" s="54">
        <v>1010310001</v>
      </c>
      <c r="B50" s="3" t="str">
        <f>VLOOKUP(A50,[1]Character!$A:$C,3,0)</f>
        <v>다이아나</v>
      </c>
      <c r="C50" s="3" t="str">
        <f>VLOOKUP(A50,[1]Character!$A:$D,4,0)</f>
        <v>오픈</v>
      </c>
      <c r="D50" s="3">
        <v>1010720007</v>
      </c>
      <c r="E50" s="3" t="str">
        <f>VLOOKUP(D50,[1]Character!$A:$C,3,0)</f>
        <v>아셀스</v>
      </c>
      <c r="F50" s="3" t="str">
        <f>VLOOKUP(D50,[1]Character!$A:$D,4,0)</f>
        <v>오픈</v>
      </c>
      <c r="G50" s="55" t="s">
        <v>60</v>
      </c>
    </row>
    <row r="51" spans="1:7" ht="17.25" thickBot="1">
      <c r="A51" s="56">
        <v>1010310001</v>
      </c>
      <c r="B51" s="57" t="str">
        <f>VLOOKUP(A51,[1]Character!$A:$C,3,0)</f>
        <v>다이아나</v>
      </c>
      <c r="C51" s="57" t="str">
        <f>VLOOKUP(A51,[1]Character!$A:$D,4,0)</f>
        <v>오픈</v>
      </c>
      <c r="D51" s="57">
        <v>1010710003</v>
      </c>
      <c r="E51" s="57" t="str">
        <f>VLOOKUP(D51,[1]Character!$A:$C,3,0)</f>
        <v>스노프릴</v>
      </c>
      <c r="F51" s="57" t="str">
        <f>VLOOKUP(D51,[1]Character!$A:$D,4,0)</f>
        <v>오픈</v>
      </c>
      <c r="G51" s="58" t="s">
        <v>60</v>
      </c>
    </row>
    <row r="52" spans="1:7">
      <c r="A52" s="51">
        <v>1010920002</v>
      </c>
      <c r="B52" s="52" t="str">
        <f>VLOOKUP(A52,[1]Character!$A:$C,3,0)</f>
        <v>세라펄사</v>
      </c>
      <c r="C52" s="52" t="str">
        <f>VLOOKUP(A52,[1]Character!$A:$D,4,0)</f>
        <v>오픈</v>
      </c>
      <c r="D52" s="52">
        <v>1010930005</v>
      </c>
      <c r="E52" s="52" t="str">
        <f>VLOOKUP(D52,[1]Character!$A:$C,3,0)</f>
        <v>아크페이즈</v>
      </c>
      <c r="F52" s="52" t="str">
        <f>VLOOKUP(D52,[1]Character!$A:$D,4,0)</f>
        <v>오픈</v>
      </c>
      <c r="G52" s="53" t="s">
        <v>59</v>
      </c>
    </row>
    <row r="53" spans="1:7">
      <c r="A53" s="54">
        <v>1010920002</v>
      </c>
      <c r="B53" s="3" t="str">
        <f>VLOOKUP(A53,[1]Character!$A:$C,3,0)</f>
        <v>세라펄사</v>
      </c>
      <c r="C53" s="3" t="str">
        <f>VLOOKUP(A53,[1]Character!$A:$D,4,0)</f>
        <v>오픈</v>
      </c>
      <c r="D53" s="3">
        <v>1010920003</v>
      </c>
      <c r="E53" s="3" t="str">
        <f>VLOOKUP(D53,[1]Character!$A:$C,3,0)</f>
        <v>아이라스</v>
      </c>
      <c r="F53" s="3" t="str">
        <f>VLOOKUP(D53,[1]Character!$A:$D,4,0)</f>
        <v>오픈</v>
      </c>
      <c r="G53" s="55" t="s">
        <v>59</v>
      </c>
    </row>
    <row r="54" spans="1:7">
      <c r="A54" s="54">
        <v>1010920002</v>
      </c>
      <c r="B54" s="3" t="str">
        <f>VLOOKUP(A54,[1]Character!$A:$C,3,0)</f>
        <v>세라펄사</v>
      </c>
      <c r="C54" s="3" t="str">
        <f>VLOOKUP(A54,[1]Character!$A:$D,4,0)</f>
        <v>오픈</v>
      </c>
      <c r="D54" s="3">
        <v>1010720003</v>
      </c>
      <c r="E54" s="3" t="str">
        <f>VLOOKUP(D54,[1]Character!$A:$C,3,0)</f>
        <v>이사벨라</v>
      </c>
      <c r="F54" s="3" t="str">
        <f>VLOOKUP(D54,[1]Character!$A:$D,4,0)</f>
        <v>오픈</v>
      </c>
      <c r="G54" s="55" t="s">
        <v>59</v>
      </c>
    </row>
    <row r="55" spans="1:7" ht="17.25" thickBot="1">
      <c r="A55" s="56">
        <v>1010920002</v>
      </c>
      <c r="B55" s="57" t="str">
        <f>VLOOKUP(A55,[1]Character!$A:$C,3,0)</f>
        <v>세라펄사</v>
      </c>
      <c r="C55" s="57" t="str">
        <f>VLOOKUP(A55,[1]Character!$A:$D,4,0)</f>
        <v>오픈</v>
      </c>
      <c r="D55" s="57">
        <v>1010730003</v>
      </c>
      <c r="E55" s="57" t="str">
        <f>VLOOKUP(D55,[1]Character!$A:$C,3,0)</f>
        <v>레나스</v>
      </c>
      <c r="F55" s="57" t="str">
        <f>VLOOKUP(D55,[1]Character!$A:$D,4,0)</f>
        <v>오픈</v>
      </c>
      <c r="G55" s="58" t="s">
        <v>59</v>
      </c>
    </row>
    <row r="56" spans="1:7">
      <c r="A56" s="51">
        <v>1010920002</v>
      </c>
      <c r="B56" s="52" t="str">
        <f>VLOOKUP(A56,[1]Character!$A:$C,3,0)</f>
        <v>세라펄사</v>
      </c>
      <c r="C56" s="52" t="str">
        <f>VLOOKUP(A56,[1]Character!$A:$D,4,0)</f>
        <v>오픈</v>
      </c>
      <c r="D56" s="52">
        <v>1010710001</v>
      </c>
      <c r="E56" s="52" t="str">
        <f>VLOOKUP(D56,[1]Character!$A:$C,3,0)</f>
        <v>릴리안</v>
      </c>
      <c r="F56" s="52" t="str">
        <f>VLOOKUP(D56,[1]Character!$A:$D,4,0)</f>
        <v>오픈</v>
      </c>
      <c r="G56" s="53" t="s">
        <v>60</v>
      </c>
    </row>
    <row r="57" spans="1:7">
      <c r="A57" s="54">
        <v>1010920002</v>
      </c>
      <c r="B57" s="3" t="str">
        <f>VLOOKUP(A57,[1]Character!$A:$C,3,0)</f>
        <v>세라펄사</v>
      </c>
      <c r="C57" s="3" t="str">
        <f>VLOOKUP(A57,[1]Character!$A:$D,4,0)</f>
        <v>오픈</v>
      </c>
      <c r="D57" s="3">
        <v>1010730004</v>
      </c>
      <c r="E57" s="3" t="str">
        <f>VLOOKUP(D57,[1]Character!$A:$C,3,0)</f>
        <v>라일라</v>
      </c>
      <c r="F57" s="3" t="str">
        <f>VLOOKUP(D57,[1]Character!$A:$D,4,0)</f>
        <v>오픈</v>
      </c>
      <c r="G57" s="55" t="s">
        <v>60</v>
      </c>
    </row>
    <row r="58" spans="1:7">
      <c r="A58" s="54">
        <v>1010920002</v>
      </c>
      <c r="B58" s="3" t="str">
        <f>VLOOKUP(A58,[1]Character!$A:$C,3,0)</f>
        <v>세라펄사</v>
      </c>
      <c r="C58" s="3" t="str">
        <f>VLOOKUP(A58,[1]Character!$A:$D,4,0)</f>
        <v>오픈</v>
      </c>
      <c r="D58" s="3">
        <v>1010730001</v>
      </c>
      <c r="E58" s="3" t="str">
        <f>VLOOKUP(D58,[1]Character!$A:$C,3,0)</f>
        <v>쉐리</v>
      </c>
      <c r="F58" s="3" t="str">
        <f>VLOOKUP(D58,[1]Character!$A:$D,4,0)</f>
        <v>오픈</v>
      </c>
      <c r="G58" s="55" t="s">
        <v>60</v>
      </c>
    </row>
    <row r="59" spans="1:7" ht="17.25" thickBot="1">
      <c r="A59" s="56">
        <v>1010920002</v>
      </c>
      <c r="B59" s="57" t="str">
        <f>VLOOKUP(A59,[1]Character!$A:$C,3,0)</f>
        <v>세라펄사</v>
      </c>
      <c r="C59" s="57" t="str">
        <f>VLOOKUP(A59,[1]Character!$A:$D,4,0)</f>
        <v>오픈</v>
      </c>
      <c r="D59" s="57">
        <v>1010510002</v>
      </c>
      <c r="E59" s="57" t="str">
        <f>VLOOKUP(D59,[1]Character!$A:$C,3,0)</f>
        <v>타이나</v>
      </c>
      <c r="F59" s="57" t="str">
        <f>VLOOKUP(D59,[1]Character!$A:$D,4,0)</f>
        <v>오픈</v>
      </c>
      <c r="G59" s="58" t="s">
        <v>60</v>
      </c>
    </row>
    <row r="60" spans="1:7">
      <c r="A60" s="51">
        <v>1010920003</v>
      </c>
      <c r="B60" s="52" t="str">
        <f>VLOOKUP(A60,[1]Character!$A:$C,3,0)</f>
        <v>아이라스</v>
      </c>
      <c r="C60" s="52" t="str">
        <f>VLOOKUP(A60,[1]Character!$A:$D,4,0)</f>
        <v>오픈</v>
      </c>
      <c r="D60" s="52">
        <v>1010930005</v>
      </c>
      <c r="E60" s="52" t="str">
        <f>VLOOKUP(D60,[1]Character!$A:$C,3,0)</f>
        <v>아크페이즈</v>
      </c>
      <c r="F60" s="52" t="str">
        <f>VLOOKUP(D60,[1]Character!$A:$D,4,0)</f>
        <v>오픈</v>
      </c>
      <c r="G60" s="53" t="s">
        <v>59</v>
      </c>
    </row>
    <row r="61" spans="1:7">
      <c r="A61" s="54">
        <v>1010920003</v>
      </c>
      <c r="B61" s="3" t="str">
        <f>VLOOKUP(A61,[1]Character!$A:$C,3,0)</f>
        <v>아이라스</v>
      </c>
      <c r="C61" s="3" t="str">
        <f>VLOOKUP(A61,[1]Character!$A:$D,4,0)</f>
        <v>오픈</v>
      </c>
      <c r="D61" s="3">
        <v>1010920004</v>
      </c>
      <c r="E61" s="3" t="str">
        <f>VLOOKUP(D61,[1]Character!$A:$C,3,0)</f>
        <v>앰브로시아</v>
      </c>
      <c r="F61" s="3" t="str">
        <f>VLOOKUP(D61,[1]Character!$A:$D,4,0)</f>
        <v>오픈</v>
      </c>
      <c r="G61" s="55" t="s">
        <v>59</v>
      </c>
    </row>
    <row r="62" spans="1:7">
      <c r="A62" s="54">
        <v>1010920003</v>
      </c>
      <c r="B62" s="3" t="str">
        <f>VLOOKUP(A62,[1]Character!$A:$C,3,0)</f>
        <v>아이라스</v>
      </c>
      <c r="C62" s="3" t="str">
        <f>VLOOKUP(A62,[1]Character!$A:$D,4,0)</f>
        <v>오픈</v>
      </c>
      <c r="D62" s="3">
        <v>1010530002</v>
      </c>
      <c r="E62" s="3" t="str">
        <f>VLOOKUP(D62,[1]Character!$A:$C,3,0)</f>
        <v>크림슨</v>
      </c>
      <c r="F62" s="3" t="str">
        <f>VLOOKUP(D62,[1]Character!$A:$D,4,0)</f>
        <v>오픈</v>
      </c>
      <c r="G62" s="55" t="s">
        <v>59</v>
      </c>
    </row>
    <row r="63" spans="1:7" ht="17.25" thickBot="1">
      <c r="A63" s="56">
        <v>1010920003</v>
      </c>
      <c r="B63" s="57" t="str">
        <f>VLOOKUP(A63,[1]Character!$A:$C,3,0)</f>
        <v>아이라스</v>
      </c>
      <c r="C63" s="57" t="str">
        <f>VLOOKUP(A63,[1]Character!$A:$D,4,0)</f>
        <v>오픈</v>
      </c>
      <c r="D63" s="57">
        <v>1010510002</v>
      </c>
      <c r="E63" s="57" t="str">
        <f>VLOOKUP(D63,[1]Character!$A:$C,3,0)</f>
        <v>타이나</v>
      </c>
      <c r="F63" s="57" t="str">
        <f>VLOOKUP(D63,[1]Character!$A:$D,4,0)</f>
        <v>오픈</v>
      </c>
      <c r="G63" s="58" t="s">
        <v>59</v>
      </c>
    </row>
    <row r="64" spans="1:7">
      <c r="A64" s="51">
        <v>1010920003</v>
      </c>
      <c r="B64" s="52" t="str">
        <f>VLOOKUP(A64,[1]Character!$A:$C,3,0)</f>
        <v>아이라스</v>
      </c>
      <c r="C64" s="52" t="str">
        <f>VLOOKUP(A64,[1]Character!$A:$D,4,0)</f>
        <v>오픈</v>
      </c>
      <c r="D64" s="52">
        <v>1010740001</v>
      </c>
      <c r="E64" s="52" t="str">
        <f>VLOOKUP(D64,[1]Character!$A:$C,3,0)</f>
        <v>헬렌</v>
      </c>
      <c r="F64" s="52" t="str">
        <f>VLOOKUP(D64,[1]Character!$A:$D,4,0)</f>
        <v>오픈</v>
      </c>
      <c r="G64" s="53" t="s">
        <v>60</v>
      </c>
    </row>
    <row r="65" spans="1:7">
      <c r="A65" s="54">
        <v>1010920003</v>
      </c>
      <c r="B65" s="3" t="str">
        <f>VLOOKUP(A65,[1]Character!$A:$C,3,0)</f>
        <v>아이라스</v>
      </c>
      <c r="C65" s="3" t="str">
        <f>VLOOKUP(A65,[1]Character!$A:$D,4,0)</f>
        <v>오픈</v>
      </c>
      <c r="D65" s="3">
        <v>1010720005</v>
      </c>
      <c r="E65" s="3" t="str">
        <f>VLOOKUP(D65,[1]Character!$A:$C,3,0)</f>
        <v>벨리타</v>
      </c>
      <c r="F65" s="3" t="str">
        <f>VLOOKUP(D65,[1]Character!$A:$D,4,0)</f>
        <v>오픈</v>
      </c>
      <c r="G65" s="55" t="s">
        <v>60</v>
      </c>
    </row>
    <row r="66" spans="1:7">
      <c r="A66" s="54">
        <v>1010920003</v>
      </c>
      <c r="B66" s="3" t="str">
        <f>VLOOKUP(A66,[1]Character!$A:$C,3,0)</f>
        <v>아이라스</v>
      </c>
      <c r="C66" s="3" t="str">
        <f>VLOOKUP(A66,[1]Character!$A:$D,4,0)</f>
        <v>오픈</v>
      </c>
      <c r="D66" s="3">
        <v>1010720004</v>
      </c>
      <c r="E66" s="3" t="str">
        <f>VLOOKUP(D66,[1]Character!$A:$C,3,0)</f>
        <v>발렌시아</v>
      </c>
      <c r="F66" s="3" t="str">
        <f>VLOOKUP(D66,[1]Character!$A:$D,4,0)</f>
        <v>오픈</v>
      </c>
      <c r="G66" s="55" t="s">
        <v>60</v>
      </c>
    </row>
    <row r="67" spans="1:7" ht="17.25" thickBot="1">
      <c r="A67" s="56">
        <v>1010920003</v>
      </c>
      <c r="B67" s="57" t="str">
        <f>VLOOKUP(A67,[1]Character!$A:$C,3,0)</f>
        <v>아이라스</v>
      </c>
      <c r="C67" s="57" t="str">
        <f>VLOOKUP(A67,[1]Character!$A:$D,4,0)</f>
        <v>오픈</v>
      </c>
      <c r="D67" s="57">
        <v>1010520004</v>
      </c>
      <c r="E67" s="57" t="str">
        <f>VLOOKUP(D67,[1]Character!$A:$C,3,0)</f>
        <v>그레이</v>
      </c>
      <c r="F67" s="57" t="str">
        <f>VLOOKUP(D67,[1]Character!$A:$D,4,0)</f>
        <v>오픈</v>
      </c>
      <c r="G67" s="58" t="s">
        <v>60</v>
      </c>
    </row>
    <row r="68" spans="1:7">
      <c r="A68" s="51">
        <v>1010920004</v>
      </c>
      <c r="B68" s="52" t="str">
        <f>VLOOKUP(A68,[1]Character!$A:$C,3,0)</f>
        <v>앰브로시아</v>
      </c>
      <c r="C68" s="52" t="str">
        <f>VLOOKUP(A68,[1]Character!$A:$D,4,0)</f>
        <v>오픈</v>
      </c>
      <c r="D68" s="52">
        <v>1010920002</v>
      </c>
      <c r="E68" s="52" t="str">
        <f>VLOOKUP(D68,[1]Character!$A:$C,3,0)</f>
        <v>세라펄사</v>
      </c>
      <c r="F68" s="52" t="str">
        <f>VLOOKUP(D68,[1]Character!$A:$D,4,0)</f>
        <v>오픈</v>
      </c>
      <c r="G68" s="53" t="s">
        <v>59</v>
      </c>
    </row>
    <row r="69" spans="1:7">
      <c r="A69" s="54">
        <v>1010920004</v>
      </c>
      <c r="B69" s="3" t="str">
        <f>VLOOKUP(A69,[1]Character!$A:$C,3,0)</f>
        <v>앰브로시아</v>
      </c>
      <c r="C69" s="3" t="str">
        <f>VLOOKUP(A69,[1]Character!$A:$D,4,0)</f>
        <v>오픈</v>
      </c>
      <c r="D69" s="3">
        <v>1010940002</v>
      </c>
      <c r="E69" s="3" t="str">
        <f>VLOOKUP(D69,[1]Character!$A:$C,3,0)</f>
        <v>샤레</v>
      </c>
      <c r="F69" s="3" t="str">
        <f>VLOOKUP(D69,[1]Character!$A:$D,4,0)</f>
        <v>오픈</v>
      </c>
      <c r="G69" s="55" t="s">
        <v>59</v>
      </c>
    </row>
    <row r="70" spans="1:7">
      <c r="A70" s="54">
        <v>1010920004</v>
      </c>
      <c r="B70" s="3" t="str">
        <f>VLOOKUP(A70,[1]Character!$A:$C,3,0)</f>
        <v>앰브로시아</v>
      </c>
      <c r="C70" s="3" t="str">
        <f>VLOOKUP(A70,[1]Character!$A:$D,4,0)</f>
        <v>오픈</v>
      </c>
      <c r="D70" s="3">
        <v>1010710003</v>
      </c>
      <c r="E70" s="3" t="str">
        <f>VLOOKUP(D70,[1]Character!$A:$C,3,0)</f>
        <v>스노프릴</v>
      </c>
      <c r="F70" s="3" t="str">
        <f>VLOOKUP(D70,[1]Character!$A:$D,4,0)</f>
        <v>오픈</v>
      </c>
      <c r="G70" s="55" t="s">
        <v>59</v>
      </c>
    </row>
    <row r="71" spans="1:7" ht="17.25" thickBot="1">
      <c r="A71" s="56">
        <v>1010920004</v>
      </c>
      <c r="B71" s="57" t="str">
        <f>VLOOKUP(A71,[1]Character!$A:$C,3,0)</f>
        <v>앰브로시아</v>
      </c>
      <c r="C71" s="57" t="str">
        <f>VLOOKUP(A71,[1]Character!$A:$D,4,0)</f>
        <v>오픈</v>
      </c>
      <c r="D71" s="57">
        <v>1010730005</v>
      </c>
      <c r="E71" s="57" t="str">
        <f>VLOOKUP(D71,[1]Character!$A:$C,3,0)</f>
        <v>에리카</v>
      </c>
      <c r="F71" s="57" t="str">
        <f>VLOOKUP(D71,[1]Character!$A:$D,4,0)</f>
        <v>오픈</v>
      </c>
      <c r="G71" s="58" t="s">
        <v>59</v>
      </c>
    </row>
    <row r="72" spans="1:7">
      <c r="A72" s="51">
        <v>1010920004</v>
      </c>
      <c r="B72" s="52" t="str">
        <f>VLOOKUP(A72,[1]Character!$A:$C,3,0)</f>
        <v>앰브로시아</v>
      </c>
      <c r="C72" s="52" t="str">
        <f>VLOOKUP(A72,[1]Character!$A:$D,4,0)</f>
        <v>오픈</v>
      </c>
      <c r="D72" s="52">
        <v>1010720006</v>
      </c>
      <c r="E72" s="52" t="str">
        <f>VLOOKUP(D72,[1]Character!$A:$C,3,0)</f>
        <v>베르베타</v>
      </c>
      <c r="F72" s="52" t="str">
        <f>VLOOKUP(D72,[1]Character!$A:$D,4,0)</f>
        <v>오픈</v>
      </c>
      <c r="G72" s="53" t="s">
        <v>60</v>
      </c>
    </row>
    <row r="73" spans="1:7">
      <c r="A73" s="54">
        <v>1010920004</v>
      </c>
      <c r="B73" s="3" t="str">
        <f>VLOOKUP(A73,[1]Character!$A:$C,3,0)</f>
        <v>앰브로시아</v>
      </c>
      <c r="C73" s="3" t="str">
        <f>VLOOKUP(A73,[1]Character!$A:$D,4,0)</f>
        <v>오픈</v>
      </c>
      <c r="D73" s="3">
        <v>1010720007</v>
      </c>
      <c r="E73" s="3" t="str">
        <f>VLOOKUP(D73,[1]Character!$A:$C,3,0)</f>
        <v>아셀스</v>
      </c>
      <c r="F73" s="3" t="str">
        <f>VLOOKUP(D73,[1]Character!$A:$D,4,0)</f>
        <v>오픈</v>
      </c>
      <c r="G73" s="55" t="s">
        <v>60</v>
      </c>
    </row>
    <row r="74" spans="1:7">
      <c r="A74" s="54">
        <v>1010920004</v>
      </c>
      <c r="B74" s="3" t="str">
        <f>VLOOKUP(A74,[1]Character!$A:$C,3,0)</f>
        <v>앰브로시아</v>
      </c>
      <c r="C74" s="3" t="str">
        <f>VLOOKUP(A74,[1]Character!$A:$D,4,0)</f>
        <v>오픈</v>
      </c>
      <c r="D74" s="3">
        <v>1010530002</v>
      </c>
      <c r="E74" s="3" t="s">
        <v>359</v>
      </c>
      <c r="F74" s="3" t="s">
        <v>413</v>
      </c>
      <c r="G74" s="55" t="s">
        <v>60</v>
      </c>
    </row>
    <row r="75" spans="1:7" ht="17.25" thickBot="1">
      <c r="A75" s="56">
        <v>1010920004</v>
      </c>
      <c r="B75" s="57" t="str">
        <f>VLOOKUP(A75,[1]Character!$A:$C,3,0)</f>
        <v>앰브로시아</v>
      </c>
      <c r="C75" s="57" t="str">
        <f>VLOOKUP(A75,[1]Character!$A:$D,4,0)</f>
        <v>오픈</v>
      </c>
      <c r="D75" s="57">
        <v>1010730003</v>
      </c>
      <c r="E75" s="57" t="str">
        <f>VLOOKUP(D75,[1]Character!$A:$C,3,0)</f>
        <v>레나스</v>
      </c>
      <c r="F75" s="57" t="str">
        <f>VLOOKUP(D75,[1]Character!$A:$D,4,0)</f>
        <v>오픈</v>
      </c>
      <c r="G75" s="58" t="s">
        <v>60</v>
      </c>
    </row>
    <row r="76" spans="1:7">
      <c r="A76" s="51">
        <v>1010720001</v>
      </c>
      <c r="B76" s="52" t="str">
        <f>VLOOKUP(A76,[1]Character!$A:$C,3,0)</f>
        <v>메아</v>
      </c>
      <c r="C76" s="52" t="str">
        <f>VLOOKUP(A76,[1]Character!$A:$D,4,0)</f>
        <v>오픈</v>
      </c>
      <c r="D76" s="52">
        <v>1010710001</v>
      </c>
      <c r="E76" s="52" t="str">
        <f>VLOOKUP(D76,[1]Character!$A:$C,3,0)</f>
        <v>릴리안</v>
      </c>
      <c r="F76" s="52" t="str">
        <f>VLOOKUP(D76,[1]Character!$A:$D,4,0)</f>
        <v>오픈</v>
      </c>
      <c r="G76" s="53" t="s">
        <v>59</v>
      </c>
    </row>
    <row r="77" spans="1:7">
      <c r="A77" s="54">
        <v>1010720001</v>
      </c>
      <c r="B77" s="3" t="str">
        <f>VLOOKUP(A77,[1]Character!$A:$C,3,0)</f>
        <v>메아</v>
      </c>
      <c r="C77" s="3" t="str">
        <f>VLOOKUP(A77,[1]Character!$A:$D,4,0)</f>
        <v>오픈</v>
      </c>
      <c r="D77" s="3">
        <v>1010720003</v>
      </c>
      <c r="E77" s="3" t="str">
        <f>VLOOKUP(D77,[1]Character!$A:$C,3,0)</f>
        <v>이사벨라</v>
      </c>
      <c r="F77" s="3" t="str">
        <f>VLOOKUP(D77,[1]Character!$A:$D,4,0)</f>
        <v>오픈</v>
      </c>
      <c r="G77" s="55" t="s">
        <v>59</v>
      </c>
    </row>
    <row r="78" spans="1:7">
      <c r="A78" s="54">
        <v>1010720001</v>
      </c>
      <c r="B78" s="3" t="str">
        <f>VLOOKUP(A78,[1]Character!$A:$C,3,0)</f>
        <v>메아</v>
      </c>
      <c r="C78" s="3" t="str">
        <f>VLOOKUP(A78,[1]Character!$A:$D,4,0)</f>
        <v>오픈</v>
      </c>
      <c r="D78" s="3">
        <v>1010530002</v>
      </c>
      <c r="E78" s="3" t="str">
        <f>VLOOKUP(D78,[1]Character!$A:$C,3,0)</f>
        <v>크림슨</v>
      </c>
      <c r="F78" s="3" t="str">
        <f>VLOOKUP(D78,[1]Character!$A:$D,4,0)</f>
        <v>오픈</v>
      </c>
      <c r="G78" s="55" t="s">
        <v>59</v>
      </c>
    </row>
    <row r="79" spans="1:7" ht="17.25" thickBot="1">
      <c r="A79" s="56">
        <v>1010720001</v>
      </c>
      <c r="B79" s="57" t="str">
        <f>VLOOKUP(A79,[1]Character!$A:$C,3,0)</f>
        <v>메아</v>
      </c>
      <c r="C79" s="57" t="str">
        <f>VLOOKUP(A79,[1]Character!$A:$D,4,0)</f>
        <v>오픈</v>
      </c>
      <c r="D79" s="57">
        <v>1010330002</v>
      </c>
      <c r="E79" s="57" t="s">
        <v>363</v>
      </c>
      <c r="F79" s="57" t="s">
        <v>413</v>
      </c>
      <c r="G79" s="58" t="s">
        <v>59</v>
      </c>
    </row>
    <row r="80" spans="1:7">
      <c r="A80" s="51">
        <v>1010720001</v>
      </c>
      <c r="B80" s="52" t="str">
        <f>VLOOKUP(A80,[1]Character!$A:$C,3,0)</f>
        <v>메아</v>
      </c>
      <c r="C80" s="52" t="str">
        <f>VLOOKUP(A80,[1]Character!$A:$D,4,0)</f>
        <v>오픈</v>
      </c>
      <c r="D80" s="52">
        <v>1010530004</v>
      </c>
      <c r="E80" s="52" t="str">
        <f>VLOOKUP(D80,[1]Character!$A:$C,3,0)</f>
        <v>이노</v>
      </c>
      <c r="F80" s="52" t="str">
        <f>VLOOKUP(D80,[1]Character!$A:$D,4,0)</f>
        <v>오픈</v>
      </c>
      <c r="G80" s="53" t="s">
        <v>60</v>
      </c>
    </row>
    <row r="81" spans="1:7">
      <c r="A81" s="54">
        <v>1010720001</v>
      </c>
      <c r="B81" s="3" t="str">
        <f>VLOOKUP(A81,[1]Character!$A:$C,3,0)</f>
        <v>메아</v>
      </c>
      <c r="C81" s="3" t="str">
        <f>VLOOKUP(A81,[1]Character!$A:$D,4,0)</f>
        <v>오픈</v>
      </c>
      <c r="D81" s="3">
        <v>1010730004</v>
      </c>
      <c r="E81" s="3" t="str">
        <f>VLOOKUP(D81,[1]Character!$A:$C,3,0)</f>
        <v>라일라</v>
      </c>
      <c r="F81" s="3" t="str">
        <f>VLOOKUP(D81,[1]Character!$A:$D,4,0)</f>
        <v>오픈</v>
      </c>
      <c r="G81" s="55" t="s">
        <v>60</v>
      </c>
    </row>
    <row r="82" spans="1:7">
      <c r="A82" s="54">
        <v>1010720001</v>
      </c>
      <c r="B82" s="3" t="str">
        <f>VLOOKUP(A82,[1]Character!$A:$C,3,0)</f>
        <v>메아</v>
      </c>
      <c r="C82" s="3" t="str">
        <f>VLOOKUP(A82,[1]Character!$A:$D,4,0)</f>
        <v>오픈</v>
      </c>
      <c r="D82" s="3">
        <v>1010320002</v>
      </c>
      <c r="E82" s="3" t="str">
        <f>VLOOKUP(D82,[1]Character!$A:$C,3,0)</f>
        <v>클레아스</v>
      </c>
      <c r="F82" s="3" t="str">
        <f>VLOOKUP(D82,[1]Character!$A:$D,4,0)</f>
        <v>오픈</v>
      </c>
      <c r="G82" s="55" t="s">
        <v>60</v>
      </c>
    </row>
    <row r="83" spans="1:7" ht="17.25" thickBot="1">
      <c r="A83" s="56">
        <v>1010720001</v>
      </c>
      <c r="B83" s="57" t="str">
        <f>VLOOKUP(A83,[1]Character!$A:$C,3,0)</f>
        <v>메아</v>
      </c>
      <c r="C83" s="57" t="str">
        <f>VLOOKUP(A83,[1]Character!$A:$D,4,0)</f>
        <v>오픈</v>
      </c>
      <c r="D83" s="57">
        <v>1010520004</v>
      </c>
      <c r="E83" s="57" t="str">
        <f>VLOOKUP(D83,[1]Character!$A:$C,3,0)</f>
        <v>그레이</v>
      </c>
      <c r="F83" s="57" t="str">
        <f>VLOOKUP(D83,[1]Character!$A:$D,4,0)</f>
        <v>오픈</v>
      </c>
      <c r="G83" s="58" t="s">
        <v>60</v>
      </c>
    </row>
    <row r="84" spans="1:7">
      <c r="A84" s="51">
        <v>1010720003</v>
      </c>
      <c r="B84" s="52" t="str">
        <f>VLOOKUP(A84,[1]Character!$A:$C,3,0)</f>
        <v>이사벨라</v>
      </c>
      <c r="C84" s="52" t="str">
        <f>VLOOKUP(A84,[1]Character!$A:$D,4,0)</f>
        <v>오픈</v>
      </c>
      <c r="D84" s="52">
        <v>1010520005</v>
      </c>
      <c r="E84" s="52" t="str">
        <f>VLOOKUP(D84,[1]Character!$A:$C,3,0)</f>
        <v>페이</v>
      </c>
      <c r="F84" s="52" t="str">
        <f>VLOOKUP(D84,[1]Character!$A:$D,4,0)</f>
        <v>오픈</v>
      </c>
      <c r="G84" s="53" t="s">
        <v>59</v>
      </c>
    </row>
    <row r="85" spans="1:7">
      <c r="A85" s="54">
        <v>1010720003</v>
      </c>
      <c r="B85" s="3" t="str">
        <f>VLOOKUP(A85,[1]Character!$A:$C,3,0)</f>
        <v>이사벨라</v>
      </c>
      <c r="C85" s="3" t="str">
        <f>VLOOKUP(A85,[1]Character!$A:$D,4,0)</f>
        <v>오픈</v>
      </c>
      <c r="D85" s="3">
        <v>1010740001</v>
      </c>
      <c r="E85" s="3" t="str">
        <f>VLOOKUP(D85,[1]Character!$A:$C,3,0)</f>
        <v>헬렌</v>
      </c>
      <c r="F85" s="3" t="str">
        <f>VLOOKUP(D85,[1]Character!$A:$D,4,0)</f>
        <v>오픈</v>
      </c>
      <c r="G85" s="55" t="s">
        <v>59</v>
      </c>
    </row>
    <row r="86" spans="1:7">
      <c r="A86" s="54">
        <v>1010720003</v>
      </c>
      <c r="B86" s="3" t="str">
        <f>VLOOKUP(A86,[1]Character!$A:$C,3,0)</f>
        <v>이사벨라</v>
      </c>
      <c r="C86" s="3" t="str">
        <f>VLOOKUP(A86,[1]Character!$A:$D,4,0)</f>
        <v>오픈</v>
      </c>
      <c r="D86" s="3">
        <v>1010720006</v>
      </c>
      <c r="E86" s="3" t="str">
        <f>VLOOKUP(D86,[1]Character!$A:$C,3,0)</f>
        <v>베르베타</v>
      </c>
      <c r="F86" s="3" t="str">
        <f>VLOOKUP(D86,[1]Character!$A:$D,4,0)</f>
        <v>오픈</v>
      </c>
      <c r="G86" s="55" t="s">
        <v>59</v>
      </c>
    </row>
    <row r="87" spans="1:7" ht="17.25" thickBot="1">
      <c r="A87" s="56">
        <v>1010720003</v>
      </c>
      <c r="B87" s="57" t="str">
        <f>VLOOKUP(A87,[1]Character!$A:$C,3,0)</f>
        <v>이사벨라</v>
      </c>
      <c r="C87" s="57" t="str">
        <f>VLOOKUP(A87,[1]Character!$A:$D,4,0)</f>
        <v>오픈</v>
      </c>
      <c r="D87" s="57">
        <v>1010920003</v>
      </c>
      <c r="E87" s="57" t="s">
        <v>329</v>
      </c>
      <c r="F87" s="57" t="s">
        <v>413</v>
      </c>
      <c r="G87" s="58" t="s">
        <v>59</v>
      </c>
    </row>
    <row r="88" spans="1:7">
      <c r="A88" s="51">
        <v>1010720003</v>
      </c>
      <c r="B88" s="52" t="str">
        <f>VLOOKUP(A88,[1]Character!$A:$C,3,0)</f>
        <v>이사벨라</v>
      </c>
      <c r="C88" s="52" t="str">
        <f>VLOOKUP(A88,[1]Character!$A:$D,4,0)</f>
        <v>오픈</v>
      </c>
      <c r="D88" s="52">
        <v>1010730005</v>
      </c>
      <c r="E88" s="52" t="str">
        <f>VLOOKUP(D88,[1]Character!$A:$C,3,0)</f>
        <v>에리카</v>
      </c>
      <c r="F88" s="52" t="str">
        <f>VLOOKUP(D88,[1]Character!$A:$D,4,0)</f>
        <v>오픈</v>
      </c>
      <c r="G88" s="53" t="s">
        <v>60</v>
      </c>
    </row>
    <row r="89" spans="1:7">
      <c r="A89" s="54">
        <v>1010720003</v>
      </c>
      <c r="B89" s="3" t="str">
        <f>VLOOKUP(A89,[1]Character!$A:$C,3,0)</f>
        <v>이사벨라</v>
      </c>
      <c r="C89" s="3" t="str">
        <f>VLOOKUP(A89,[1]Character!$A:$D,4,0)</f>
        <v>오픈</v>
      </c>
      <c r="D89" s="3">
        <v>1010720007</v>
      </c>
      <c r="E89" s="3" t="str">
        <f>VLOOKUP(D89,[1]Character!$A:$C,3,0)</f>
        <v>아셀스</v>
      </c>
      <c r="F89" s="3" t="str">
        <f>VLOOKUP(D89,[1]Character!$A:$D,4,0)</f>
        <v>오픈</v>
      </c>
      <c r="G89" s="55" t="s">
        <v>60</v>
      </c>
    </row>
    <row r="90" spans="1:7">
      <c r="A90" s="54">
        <v>1010720003</v>
      </c>
      <c r="B90" s="3" t="str">
        <f>VLOOKUP(A90,[1]Character!$A:$C,3,0)</f>
        <v>이사벨라</v>
      </c>
      <c r="C90" s="3" t="str">
        <f>VLOOKUP(A90,[1]Character!$A:$D,4,0)</f>
        <v>오픈</v>
      </c>
      <c r="D90" s="3">
        <v>1010910002</v>
      </c>
      <c r="E90" s="3" t="str">
        <f>VLOOKUP(D90,[1]Character!$A:$C,3,0)</f>
        <v>메리샤</v>
      </c>
      <c r="F90" s="3" t="str">
        <f>VLOOKUP(D90,[1]Character!$A:$D,4,0)</f>
        <v>오픈</v>
      </c>
      <c r="G90" s="55" t="s">
        <v>60</v>
      </c>
    </row>
    <row r="91" spans="1:7" ht="17.25" thickBot="1">
      <c r="A91" s="56">
        <v>1010720003</v>
      </c>
      <c r="B91" s="57" t="str">
        <f>VLOOKUP(A91,[1]Character!$A:$C,3,0)</f>
        <v>이사벨라</v>
      </c>
      <c r="C91" s="57" t="str">
        <f>VLOOKUP(A91,[1]Character!$A:$D,4,0)</f>
        <v>오픈</v>
      </c>
      <c r="D91" s="57">
        <v>1010720005</v>
      </c>
      <c r="E91" s="57" t="str">
        <f>VLOOKUP(D91,[1]Character!$A:$C,3,0)</f>
        <v>벨리타</v>
      </c>
      <c r="F91" s="57" t="str">
        <f>VLOOKUP(D91,[1]Character!$A:$D,4,0)</f>
        <v>오픈</v>
      </c>
      <c r="G91" s="58" t="s">
        <v>60</v>
      </c>
    </row>
    <row r="92" spans="1:7">
      <c r="A92" s="51">
        <v>1010720004</v>
      </c>
      <c r="B92" s="52" t="str">
        <f>VLOOKUP(A92,[1]Character!$A:$C,3,0)</f>
        <v>발렌시아</v>
      </c>
      <c r="C92" s="52" t="str">
        <f>VLOOKUP(A92,[1]Character!$A:$D,4,0)</f>
        <v>오픈</v>
      </c>
      <c r="D92" s="52">
        <v>1010730004</v>
      </c>
      <c r="E92" s="52" t="str">
        <f>VLOOKUP(D92,[1]Character!$A:$C,3,0)</f>
        <v>라일라</v>
      </c>
      <c r="F92" s="52" t="str">
        <f>VLOOKUP(D92,[1]Character!$A:$D,4,0)</f>
        <v>오픈</v>
      </c>
      <c r="G92" s="53" t="s">
        <v>59</v>
      </c>
    </row>
    <row r="93" spans="1:7">
      <c r="A93" s="54">
        <v>1010720004</v>
      </c>
      <c r="B93" s="3" t="str">
        <f>VLOOKUP(A93,[1]Character!$A:$C,3,0)</f>
        <v>발렌시아</v>
      </c>
      <c r="C93" s="3" t="str">
        <f>VLOOKUP(A93,[1]Character!$A:$D,4,0)</f>
        <v>오픈</v>
      </c>
      <c r="D93" s="3">
        <v>1010730003</v>
      </c>
      <c r="E93" s="3" t="str">
        <f>VLOOKUP(D93,[1]Character!$A:$C,3,0)</f>
        <v>레나스</v>
      </c>
      <c r="F93" s="3" t="str">
        <f>VLOOKUP(D93,[1]Character!$A:$D,4,0)</f>
        <v>오픈</v>
      </c>
      <c r="G93" s="55" t="s">
        <v>59</v>
      </c>
    </row>
    <row r="94" spans="1:7">
      <c r="A94" s="54">
        <v>1010720004</v>
      </c>
      <c r="B94" s="3" t="str">
        <f>VLOOKUP(A94,[1]Character!$A:$C,3,0)</f>
        <v>발렌시아</v>
      </c>
      <c r="C94" s="3" t="str">
        <f>VLOOKUP(A94,[1]Character!$A:$D,4,0)</f>
        <v>오픈</v>
      </c>
      <c r="D94" s="3">
        <v>1010530004</v>
      </c>
      <c r="E94" s="3" t="str">
        <f>VLOOKUP(D94,[1]Character!$A:$C,3,0)</f>
        <v>이노</v>
      </c>
      <c r="F94" s="3" t="str">
        <f>VLOOKUP(D94,[1]Character!$A:$D,4,0)</f>
        <v>오픈</v>
      </c>
      <c r="G94" s="55" t="s">
        <v>59</v>
      </c>
    </row>
    <row r="95" spans="1:7" ht="17.25" thickBot="1">
      <c r="A95" s="56">
        <v>1010720004</v>
      </c>
      <c r="B95" s="57" t="str">
        <f>VLOOKUP(A95,[1]Character!$A:$C,3,0)</f>
        <v>발렌시아</v>
      </c>
      <c r="C95" s="57" t="str">
        <f>VLOOKUP(A95,[1]Character!$A:$D,4,0)</f>
        <v>오픈</v>
      </c>
      <c r="D95" s="57">
        <v>1010520001</v>
      </c>
      <c r="E95" s="57" t="s">
        <v>340</v>
      </c>
      <c r="F95" s="57" t="s">
        <v>413</v>
      </c>
      <c r="G95" s="58" t="s">
        <v>59</v>
      </c>
    </row>
    <row r="96" spans="1:7">
      <c r="A96" s="51">
        <v>1010720004</v>
      </c>
      <c r="B96" s="52" t="str">
        <f>VLOOKUP(A96,[1]Character!$A:$C,3,0)</f>
        <v>발렌시아</v>
      </c>
      <c r="C96" s="52" t="str">
        <f>VLOOKUP(A96,[1]Character!$A:$D,4,0)</f>
        <v>오픈</v>
      </c>
      <c r="D96" s="52">
        <v>1010330001</v>
      </c>
      <c r="E96" s="52" t="str">
        <f>VLOOKUP(D96,[1]Character!$A:$C,3,0)</f>
        <v>마나</v>
      </c>
      <c r="F96" s="52" t="str">
        <f>VLOOKUP(D96,[1]Character!$A:$D,4,0)</f>
        <v>오픈</v>
      </c>
      <c r="G96" s="53" t="s">
        <v>60</v>
      </c>
    </row>
    <row r="97" spans="1:7">
      <c r="A97" s="54">
        <v>1010720004</v>
      </c>
      <c r="B97" s="3" t="str">
        <f>VLOOKUP(A97,[1]Character!$A:$C,3,0)</f>
        <v>발렌시아</v>
      </c>
      <c r="C97" s="3" t="str">
        <f>VLOOKUP(A97,[1]Character!$A:$D,4,0)</f>
        <v>오픈</v>
      </c>
      <c r="D97" s="3">
        <v>1010520005</v>
      </c>
      <c r="E97" s="3" t="str">
        <f>VLOOKUP(D97,[1]Character!$A:$C,3,0)</f>
        <v>페이</v>
      </c>
      <c r="F97" s="3" t="str">
        <f>VLOOKUP(D97,[1]Character!$A:$D,4,0)</f>
        <v>오픈</v>
      </c>
      <c r="G97" s="55" t="s">
        <v>60</v>
      </c>
    </row>
    <row r="98" spans="1:7">
      <c r="A98" s="54">
        <v>1010720004</v>
      </c>
      <c r="B98" s="3" t="str">
        <f>VLOOKUP(A98,[1]Character!$A:$C,3,0)</f>
        <v>발렌시아</v>
      </c>
      <c r="C98" s="3" t="str">
        <f>VLOOKUP(A98,[1]Character!$A:$D,4,0)</f>
        <v>오픈</v>
      </c>
      <c r="D98" s="3">
        <v>1010310001</v>
      </c>
      <c r="E98" s="3" t="str">
        <f>VLOOKUP(D98,[1]Character!$A:$C,3,0)</f>
        <v>다이아나</v>
      </c>
      <c r="F98" s="3" t="str">
        <f>VLOOKUP(D98,[1]Character!$A:$D,4,0)</f>
        <v>오픈</v>
      </c>
      <c r="G98" s="55" t="s">
        <v>60</v>
      </c>
    </row>
    <row r="99" spans="1:7" ht="17.25" thickBot="1">
      <c r="A99" s="56">
        <v>1010720004</v>
      </c>
      <c r="B99" s="57" t="str">
        <f>VLOOKUP(A99,[1]Character!$A:$C,3,0)</f>
        <v>발렌시아</v>
      </c>
      <c r="C99" s="57" t="str">
        <f>VLOOKUP(A99,[1]Character!$A:$D,4,0)</f>
        <v>오픈</v>
      </c>
      <c r="D99" s="57">
        <v>1010530003</v>
      </c>
      <c r="E99" s="57" t="str">
        <f>VLOOKUP(D99,[1]Character!$A:$C,3,0)</f>
        <v>페렐</v>
      </c>
      <c r="F99" s="57" t="str">
        <f>VLOOKUP(D99,[1]Character!$A:$D,4,0)</f>
        <v>오픈</v>
      </c>
      <c r="G99" s="58" t="s">
        <v>60</v>
      </c>
    </row>
    <row r="100" spans="1:7">
      <c r="A100" s="51">
        <v>1010720005</v>
      </c>
      <c r="B100" s="52" t="str">
        <f>VLOOKUP(A100,[1]Character!$A:$C,3,0)</f>
        <v>벨리타</v>
      </c>
      <c r="C100" s="52" t="str">
        <f>VLOOKUP(A100,[1]Character!$A:$D,4,0)</f>
        <v>오픈</v>
      </c>
      <c r="D100" s="52">
        <v>1010940002</v>
      </c>
      <c r="E100" s="52" t="str">
        <f>VLOOKUP(D100,[1]Character!$A:$C,3,0)</f>
        <v>샤레</v>
      </c>
      <c r="F100" s="52" t="str">
        <f>VLOOKUP(D100,[1]Character!$A:$D,4,0)</f>
        <v>오픈</v>
      </c>
      <c r="G100" s="53" t="s">
        <v>59</v>
      </c>
    </row>
    <row r="101" spans="1:7">
      <c r="A101" s="54">
        <v>1010720005</v>
      </c>
      <c r="B101" s="3" t="str">
        <f>VLOOKUP(A101,[1]Character!$A:$C,3,0)</f>
        <v>벨리타</v>
      </c>
      <c r="C101" s="3" t="str">
        <f>VLOOKUP(A101,[1]Character!$A:$D,4,0)</f>
        <v>오픈</v>
      </c>
      <c r="D101" s="3">
        <v>1010710003</v>
      </c>
      <c r="E101" s="3" t="str">
        <f>VLOOKUP(D101,[1]Character!$A:$C,3,0)</f>
        <v>스노프릴</v>
      </c>
      <c r="F101" s="3" t="str">
        <f>VLOOKUP(D101,[1]Character!$A:$D,4,0)</f>
        <v>오픈</v>
      </c>
      <c r="G101" s="55" t="s">
        <v>59</v>
      </c>
    </row>
    <row r="102" spans="1:7">
      <c r="A102" s="54">
        <v>1010720005</v>
      </c>
      <c r="B102" s="3" t="str">
        <f>VLOOKUP(A102,[1]Character!$A:$C,3,0)</f>
        <v>벨리타</v>
      </c>
      <c r="C102" s="3" t="str">
        <f>VLOOKUP(A102,[1]Character!$A:$D,4,0)</f>
        <v>오픈</v>
      </c>
      <c r="D102" s="3">
        <v>1010720001</v>
      </c>
      <c r="E102" s="3" t="str">
        <f>VLOOKUP(D102,[1]Character!$A:$C,3,0)</f>
        <v>메아</v>
      </c>
      <c r="F102" s="3" t="str">
        <f>VLOOKUP(D102,[1]Character!$A:$D,4,0)</f>
        <v>오픈</v>
      </c>
      <c r="G102" s="55" t="s">
        <v>59</v>
      </c>
    </row>
    <row r="103" spans="1:7" ht="17.25" thickBot="1">
      <c r="A103" s="56">
        <v>1010720005</v>
      </c>
      <c r="B103" s="57" t="str">
        <f>VLOOKUP(A103,[1]Character!$A:$C,3,0)</f>
        <v>벨리타</v>
      </c>
      <c r="C103" s="57" t="str">
        <f>VLOOKUP(A103,[1]Character!$A:$D,4,0)</f>
        <v>오픈</v>
      </c>
      <c r="D103" s="57">
        <v>1010710001</v>
      </c>
      <c r="E103" s="57" t="str">
        <f>VLOOKUP(D103,[1]Character!$A:$C,3,0)</f>
        <v>릴리안</v>
      </c>
      <c r="F103" s="57" t="str">
        <f>VLOOKUP(D103,[1]Character!$A:$D,4,0)</f>
        <v>오픈</v>
      </c>
      <c r="G103" s="58" t="s">
        <v>59</v>
      </c>
    </row>
    <row r="104" spans="1:7">
      <c r="A104" s="51">
        <v>1010720005</v>
      </c>
      <c r="B104" s="52" t="str">
        <f>VLOOKUP(A104,[1]Character!$A:$C,3,0)</f>
        <v>벨리타</v>
      </c>
      <c r="C104" s="52" t="str">
        <f>VLOOKUP(A104,[1]Character!$A:$D,4,0)</f>
        <v>오픈</v>
      </c>
      <c r="D104" s="52">
        <v>1010720006</v>
      </c>
      <c r="E104" s="52" t="str">
        <f>VLOOKUP(D104,[1]Character!$A:$C,3,0)</f>
        <v>베르베타</v>
      </c>
      <c r="F104" s="52" t="str">
        <f>VLOOKUP(D104,[1]Character!$A:$D,4,0)</f>
        <v>오픈</v>
      </c>
      <c r="G104" s="53" t="s">
        <v>60</v>
      </c>
    </row>
    <row r="105" spans="1:7">
      <c r="A105" s="54">
        <v>1010720005</v>
      </c>
      <c r="B105" s="3" t="str">
        <f>VLOOKUP(A105,[1]Character!$A:$C,3,0)</f>
        <v>벨리타</v>
      </c>
      <c r="C105" s="3" t="str">
        <f>VLOOKUP(A105,[1]Character!$A:$D,4,0)</f>
        <v>오픈</v>
      </c>
      <c r="D105" s="3">
        <v>1010910002</v>
      </c>
      <c r="E105" s="3" t="str">
        <f>VLOOKUP(D105,[1]Character!$A:$C,3,0)</f>
        <v>메리샤</v>
      </c>
      <c r="F105" s="3" t="str">
        <f>VLOOKUP(D105,[1]Character!$A:$D,4,0)</f>
        <v>오픈</v>
      </c>
      <c r="G105" s="55" t="s">
        <v>60</v>
      </c>
    </row>
    <row r="106" spans="1:7">
      <c r="A106" s="54">
        <v>1010720005</v>
      </c>
      <c r="B106" s="3" t="str">
        <f>VLOOKUP(A106,[1]Character!$A:$C,3,0)</f>
        <v>벨리타</v>
      </c>
      <c r="C106" s="3" t="str">
        <f>VLOOKUP(A106,[1]Character!$A:$D,4,0)</f>
        <v>오픈</v>
      </c>
      <c r="D106" s="3">
        <v>1010320001</v>
      </c>
      <c r="E106" s="3" t="str">
        <f>VLOOKUP(D106,[1]Character!$A:$C,3,0)</f>
        <v>아이렌</v>
      </c>
      <c r="F106" s="3" t="str">
        <f>VLOOKUP(D106,[1]Character!$A:$D,4,0)</f>
        <v>오픈</v>
      </c>
      <c r="G106" s="55" t="s">
        <v>60</v>
      </c>
    </row>
    <row r="107" spans="1:7" ht="17.25" thickBot="1">
      <c r="A107" s="56">
        <v>1010720005</v>
      </c>
      <c r="B107" s="57" t="str">
        <f>VLOOKUP(A107,[1]Character!$A:$C,3,0)</f>
        <v>벨리타</v>
      </c>
      <c r="C107" s="57" t="str">
        <f>VLOOKUP(A107,[1]Character!$A:$D,4,0)</f>
        <v>오픈</v>
      </c>
      <c r="D107" s="57">
        <v>1010730001</v>
      </c>
      <c r="E107" s="57" t="str">
        <f>VLOOKUP(D107,[1]Character!$A:$C,3,0)</f>
        <v>쉐리</v>
      </c>
      <c r="F107" s="57" t="str">
        <f>VLOOKUP(D107,[1]Character!$A:$D,4,0)</f>
        <v>오픈</v>
      </c>
      <c r="G107" s="58" t="s">
        <v>60</v>
      </c>
    </row>
    <row r="108" spans="1:7">
      <c r="A108" s="51">
        <v>1010720006</v>
      </c>
      <c r="B108" s="52" t="str">
        <f>VLOOKUP(A108,[1]Character!$A:$C,3,0)</f>
        <v>베르베타</v>
      </c>
      <c r="C108" s="52" t="str">
        <f>VLOOKUP(A108,[1]Character!$A:$D,4,0)</f>
        <v>오픈</v>
      </c>
      <c r="D108" s="52">
        <v>1010740001</v>
      </c>
      <c r="E108" s="52" t="str">
        <f>VLOOKUP(D108,[1]Character!$A:$C,3,0)</f>
        <v>헬렌</v>
      </c>
      <c r="F108" s="52" t="str">
        <f>VLOOKUP(D108,[1]Character!$A:$D,4,0)</f>
        <v>오픈</v>
      </c>
      <c r="G108" s="53" t="s">
        <v>59</v>
      </c>
    </row>
    <row r="109" spans="1:7">
      <c r="A109" s="54">
        <v>1010720006</v>
      </c>
      <c r="B109" s="3" t="str">
        <f>VLOOKUP(A109,[1]Character!$A:$C,3,0)</f>
        <v>베르베타</v>
      </c>
      <c r="C109" s="3" t="str">
        <f>VLOOKUP(A109,[1]Character!$A:$D,4,0)</f>
        <v>오픈</v>
      </c>
      <c r="D109" s="3">
        <v>1010720007</v>
      </c>
      <c r="E109" s="3" t="str">
        <f>VLOOKUP(D109,[1]Character!$A:$C,3,0)</f>
        <v>아셀스</v>
      </c>
      <c r="F109" s="3" t="str">
        <f>VLOOKUP(D109,[1]Character!$A:$D,4,0)</f>
        <v>오픈</v>
      </c>
      <c r="G109" s="55" t="s">
        <v>59</v>
      </c>
    </row>
    <row r="110" spans="1:7">
      <c r="A110" s="54">
        <v>1010720006</v>
      </c>
      <c r="B110" s="3" t="str">
        <f>VLOOKUP(A110,[1]Character!$A:$C,3,0)</f>
        <v>베르베타</v>
      </c>
      <c r="C110" s="3" t="str">
        <f>VLOOKUP(A110,[1]Character!$A:$D,4,0)</f>
        <v>오픈</v>
      </c>
      <c r="D110" s="3">
        <v>1010940002</v>
      </c>
      <c r="E110" s="3" t="str">
        <f>VLOOKUP(D110,[1]Character!$A:$C,3,0)</f>
        <v>샤레</v>
      </c>
      <c r="F110" s="3" t="str">
        <f>VLOOKUP(D110,[1]Character!$A:$D,4,0)</f>
        <v>오픈</v>
      </c>
      <c r="G110" s="55" t="s">
        <v>59</v>
      </c>
    </row>
    <row r="111" spans="1:7" ht="17.25" thickBot="1">
      <c r="A111" s="56">
        <v>1010720006</v>
      </c>
      <c r="B111" s="57" t="str">
        <f>VLOOKUP(A111,[1]Character!$A:$C,3,0)</f>
        <v>베르베타</v>
      </c>
      <c r="C111" s="57" t="str">
        <f>VLOOKUP(A111,[1]Character!$A:$D,4,0)</f>
        <v>오픈</v>
      </c>
      <c r="D111" s="57">
        <v>1010530001</v>
      </c>
      <c r="E111" s="57" t="str">
        <f>VLOOKUP(D111,[1]Character!$A:$C,3,0)</f>
        <v>에이코</v>
      </c>
      <c r="F111" s="57" t="str">
        <f>VLOOKUP(D111,[1]Character!$A:$D,4,0)</f>
        <v>오픈</v>
      </c>
      <c r="G111" s="58" t="s">
        <v>59</v>
      </c>
    </row>
    <row r="112" spans="1:7">
      <c r="A112" s="51">
        <v>1010720006</v>
      </c>
      <c r="B112" s="52" t="str">
        <f>VLOOKUP(A112,[1]Character!$A:$C,3,0)</f>
        <v>베르베타</v>
      </c>
      <c r="C112" s="52" t="str">
        <f>VLOOKUP(A112,[1]Character!$A:$D,4,0)</f>
        <v>오픈</v>
      </c>
      <c r="D112" s="52">
        <v>1010320001</v>
      </c>
      <c r="E112" s="52" t="str">
        <f>VLOOKUP(D112,[1]Character!$A:$C,3,0)</f>
        <v>아이렌</v>
      </c>
      <c r="F112" s="52" t="str">
        <f>VLOOKUP(D112,[1]Character!$A:$D,4,0)</f>
        <v>오픈</v>
      </c>
      <c r="G112" s="53" t="s">
        <v>60</v>
      </c>
    </row>
    <row r="113" spans="1:7">
      <c r="A113" s="54">
        <v>1010720006</v>
      </c>
      <c r="B113" s="3" t="str">
        <f>VLOOKUP(A113,[1]Character!$A:$C,3,0)</f>
        <v>베르베타</v>
      </c>
      <c r="C113" s="3" t="str">
        <f>VLOOKUP(A113,[1]Character!$A:$D,4,0)</f>
        <v>오픈</v>
      </c>
      <c r="D113" s="3">
        <v>1010520002</v>
      </c>
      <c r="E113" s="3" t="str">
        <f>VLOOKUP(D113,[1]Character!$A:$C,3,0)</f>
        <v>브륀힐데</v>
      </c>
      <c r="F113" s="3" t="str">
        <f>VLOOKUP(D113,[1]Character!$A:$D,4,0)</f>
        <v>오픈</v>
      </c>
      <c r="G113" s="55" t="s">
        <v>60</v>
      </c>
    </row>
    <row r="114" spans="1:7">
      <c r="A114" s="54">
        <v>1010720006</v>
      </c>
      <c r="B114" s="3" t="str">
        <f>VLOOKUP(A114,[1]Character!$A:$C,3,0)</f>
        <v>베르베타</v>
      </c>
      <c r="C114" s="3" t="str">
        <f>VLOOKUP(A114,[1]Character!$A:$D,4,0)</f>
        <v>오픈</v>
      </c>
      <c r="D114" s="3">
        <v>1010510002</v>
      </c>
      <c r="E114" s="3" t="str">
        <f>VLOOKUP(D114,[1]Character!$A:$C,3,0)</f>
        <v>타이나</v>
      </c>
      <c r="F114" s="3" t="str">
        <f>VLOOKUP(D114,[1]Character!$A:$D,4,0)</f>
        <v>오픈</v>
      </c>
      <c r="G114" s="55" t="s">
        <v>60</v>
      </c>
    </row>
    <row r="115" spans="1:7" ht="17.25" thickBot="1">
      <c r="A115" s="56">
        <v>1010720006</v>
      </c>
      <c r="B115" s="57" t="str">
        <f>VLOOKUP(A115,[1]Character!$A:$C,3,0)</f>
        <v>베르베타</v>
      </c>
      <c r="C115" s="57" t="str">
        <f>VLOOKUP(A115,[1]Character!$A:$D,4,0)</f>
        <v>오픈</v>
      </c>
      <c r="D115" s="57">
        <v>1010720001</v>
      </c>
      <c r="E115" s="57" t="str">
        <f>VLOOKUP(D115,[1]Character!$A:$C,3,0)</f>
        <v>메아</v>
      </c>
      <c r="F115" s="57" t="str">
        <f>VLOOKUP(D115,[1]Character!$A:$D,4,0)</f>
        <v>오픈</v>
      </c>
      <c r="G115" s="58" t="s">
        <v>60</v>
      </c>
    </row>
    <row r="116" spans="1:7">
      <c r="A116" s="51">
        <v>1010720007</v>
      </c>
      <c r="B116" s="52" t="str">
        <f>VLOOKUP(A116,[1]Character!$A:$C,3,0)</f>
        <v>아셀스</v>
      </c>
      <c r="C116" s="52" t="str">
        <f>VLOOKUP(A116,[1]Character!$A:$D,4,0)</f>
        <v>오픈</v>
      </c>
      <c r="D116" s="52">
        <v>1010730003</v>
      </c>
      <c r="E116" s="52" t="str">
        <f>VLOOKUP(D116,[1]Character!$A:$C,3,0)</f>
        <v>레나스</v>
      </c>
      <c r="F116" s="52" t="str">
        <f>VLOOKUP(D116,[1]Character!$A:$D,4,0)</f>
        <v>오픈</v>
      </c>
      <c r="G116" s="53" t="s">
        <v>59</v>
      </c>
    </row>
    <row r="117" spans="1:7">
      <c r="A117" s="54">
        <v>1010720007</v>
      </c>
      <c r="B117" s="3" t="str">
        <f>VLOOKUP(A117,[1]Character!$A:$C,3,0)</f>
        <v>아셀스</v>
      </c>
      <c r="C117" s="3" t="str">
        <f>VLOOKUP(A117,[1]Character!$A:$D,4,0)</f>
        <v>오픈</v>
      </c>
      <c r="D117" s="3">
        <v>1010930005</v>
      </c>
      <c r="E117" s="3" t="str">
        <f>VLOOKUP(D117,[1]Character!$A:$C,3,0)</f>
        <v>아크페이즈</v>
      </c>
      <c r="F117" s="3" t="str">
        <f>VLOOKUP(D117,[1]Character!$A:$D,4,0)</f>
        <v>오픈</v>
      </c>
      <c r="G117" s="55" t="s">
        <v>59</v>
      </c>
    </row>
    <row r="118" spans="1:7">
      <c r="A118" s="54">
        <v>1010720007</v>
      </c>
      <c r="B118" s="3" t="str">
        <f>VLOOKUP(A118,[1]Character!$A:$C,3,0)</f>
        <v>아셀스</v>
      </c>
      <c r="C118" s="3" t="str">
        <f>VLOOKUP(A118,[1]Character!$A:$D,4,0)</f>
        <v>오픈</v>
      </c>
      <c r="D118" s="3">
        <v>1010530001</v>
      </c>
      <c r="E118" s="3" t="str">
        <f>VLOOKUP(D118,[1]Character!$A:$C,3,0)</f>
        <v>에이코</v>
      </c>
      <c r="F118" s="3" t="str">
        <f>VLOOKUP(D118,[1]Character!$A:$D,4,0)</f>
        <v>오픈</v>
      </c>
      <c r="G118" s="55" t="s">
        <v>59</v>
      </c>
    </row>
    <row r="119" spans="1:7" ht="17.25" thickBot="1">
      <c r="A119" s="56">
        <v>1010720007</v>
      </c>
      <c r="B119" s="57" t="str">
        <f>VLOOKUP(A119,[1]Character!$A:$C,3,0)</f>
        <v>아셀스</v>
      </c>
      <c r="C119" s="57" t="str">
        <f>VLOOKUP(A119,[1]Character!$A:$D,4,0)</f>
        <v>오픈</v>
      </c>
      <c r="D119" s="57">
        <v>1010730005</v>
      </c>
      <c r="E119" s="57" t="str">
        <f>VLOOKUP(D119,[1]Character!$A:$C,3,0)</f>
        <v>에리카</v>
      </c>
      <c r="F119" s="57" t="str">
        <f>VLOOKUP(D119,[1]Character!$A:$D,4,0)</f>
        <v>오픈</v>
      </c>
      <c r="G119" s="58" t="s">
        <v>59</v>
      </c>
    </row>
    <row r="120" spans="1:7">
      <c r="A120" s="51">
        <v>1010720007</v>
      </c>
      <c r="B120" s="52" t="str">
        <f>VLOOKUP(A120,[1]Character!$A:$C,3,0)</f>
        <v>아셀스</v>
      </c>
      <c r="C120" s="52" t="str">
        <f>VLOOKUP(A120,[1]Character!$A:$D,4,0)</f>
        <v>오픈</v>
      </c>
      <c r="D120" s="52">
        <v>1010320002</v>
      </c>
      <c r="E120" s="52" t="str">
        <f>VLOOKUP(D120,[1]Character!$A:$C,3,0)</f>
        <v>클레아스</v>
      </c>
      <c r="F120" s="52" t="str">
        <f>VLOOKUP(D120,[1]Character!$A:$D,4,0)</f>
        <v>오픈</v>
      </c>
      <c r="G120" s="53" t="s">
        <v>60</v>
      </c>
    </row>
    <row r="121" spans="1:7">
      <c r="A121" s="54">
        <v>1010720007</v>
      </c>
      <c r="B121" s="3" t="str">
        <f>VLOOKUP(A121,[1]Character!$A:$C,3,0)</f>
        <v>아셀스</v>
      </c>
      <c r="C121" s="3" t="str">
        <f>VLOOKUP(A121,[1]Character!$A:$D,4,0)</f>
        <v>오픈</v>
      </c>
      <c r="D121" s="3">
        <v>1010340001</v>
      </c>
      <c r="E121" s="3" t="str">
        <f>VLOOKUP(D121,[1]Character!$A:$C,3,0)</f>
        <v>시즈</v>
      </c>
      <c r="F121" s="3" t="str">
        <f>VLOOKUP(D121,[1]Character!$A:$D,4,0)</f>
        <v>오픈</v>
      </c>
      <c r="G121" s="55" t="s">
        <v>60</v>
      </c>
    </row>
    <row r="122" spans="1:7">
      <c r="A122" s="54">
        <v>1010720007</v>
      </c>
      <c r="B122" s="3" t="str">
        <f>VLOOKUP(A122,[1]Character!$A:$C,3,0)</f>
        <v>아셀스</v>
      </c>
      <c r="C122" s="3" t="str">
        <f>VLOOKUP(A122,[1]Character!$A:$D,4,0)</f>
        <v>오픈</v>
      </c>
      <c r="D122" s="3">
        <v>1010330001</v>
      </c>
      <c r="E122" s="3" t="str">
        <f>VLOOKUP(D122,[1]Character!$A:$C,3,0)</f>
        <v>마나</v>
      </c>
      <c r="F122" s="3" t="str">
        <f>VLOOKUP(D122,[1]Character!$A:$D,4,0)</f>
        <v>오픈</v>
      </c>
      <c r="G122" s="55" t="s">
        <v>60</v>
      </c>
    </row>
    <row r="123" spans="1:7" ht="17.25" thickBot="1">
      <c r="A123" s="56">
        <v>1010720007</v>
      </c>
      <c r="B123" s="57" t="str">
        <f>VLOOKUP(A123,[1]Character!$A:$C,3,0)</f>
        <v>아셀스</v>
      </c>
      <c r="C123" s="57" t="str">
        <f>VLOOKUP(A123,[1]Character!$A:$D,4,0)</f>
        <v>오픈</v>
      </c>
      <c r="D123" s="57">
        <v>1010520004</v>
      </c>
      <c r="E123" s="57" t="str">
        <f>VLOOKUP(D123,[1]Character!$A:$C,3,0)</f>
        <v>그레이</v>
      </c>
      <c r="F123" s="57" t="str">
        <f>VLOOKUP(D123,[1]Character!$A:$D,4,0)</f>
        <v>오픈</v>
      </c>
      <c r="G123" s="58" t="s">
        <v>60</v>
      </c>
    </row>
    <row r="124" spans="1:7">
      <c r="A124" s="51">
        <v>1010520001</v>
      </c>
      <c r="B124" s="52" t="str">
        <f>VLOOKUP(A124,[1]Character!$A:$C,3,0)</f>
        <v>안젤리카</v>
      </c>
      <c r="C124" s="52" t="str">
        <f>VLOOKUP(A124,[1]Character!$A:$D,4,0)</f>
        <v>오픈</v>
      </c>
      <c r="D124" s="52">
        <v>1010710001</v>
      </c>
      <c r="E124" s="52" t="str">
        <f>VLOOKUP(D124,[1]Character!$A:$C,3,0)</f>
        <v>릴리안</v>
      </c>
      <c r="F124" s="52" t="str">
        <f>VLOOKUP(D124,[1]Character!$A:$D,4,0)</f>
        <v>오픈</v>
      </c>
      <c r="G124" s="53" t="s">
        <v>59</v>
      </c>
    </row>
    <row r="125" spans="1:7">
      <c r="A125" s="54">
        <v>1010520001</v>
      </c>
      <c r="B125" s="3" t="str">
        <f>VLOOKUP(A125,[1]Character!$A:$C,3,0)</f>
        <v>안젤리카</v>
      </c>
      <c r="C125" s="3" t="str">
        <f>VLOOKUP(A125,[1]Character!$A:$D,4,0)</f>
        <v>오픈</v>
      </c>
      <c r="D125" s="3">
        <v>1010710002</v>
      </c>
      <c r="E125" s="3" t="str">
        <f>VLOOKUP(D125,[1]Character!$A:$C,3,0)</f>
        <v>다리아</v>
      </c>
      <c r="F125" s="3" t="str">
        <f>VLOOKUP(D125,[1]Character!$A:$D,4,0)</f>
        <v>오픈</v>
      </c>
      <c r="G125" s="55" t="s">
        <v>59</v>
      </c>
    </row>
    <row r="126" spans="1:7">
      <c r="A126" s="54">
        <v>1010520001</v>
      </c>
      <c r="B126" s="3" t="str">
        <f>VLOOKUP(A126,[1]Character!$A:$C,3,0)</f>
        <v>안젤리카</v>
      </c>
      <c r="C126" s="3" t="str">
        <f>VLOOKUP(A126,[1]Character!$A:$D,4,0)</f>
        <v>오픈</v>
      </c>
      <c r="D126" s="3">
        <v>1010510002</v>
      </c>
      <c r="E126" s="3" t="str">
        <f>VLOOKUP(D126,[1]Character!$A:$C,3,0)</f>
        <v>타이나</v>
      </c>
      <c r="F126" s="3" t="str">
        <f>VLOOKUP(D126,[1]Character!$A:$D,4,0)</f>
        <v>오픈</v>
      </c>
      <c r="G126" s="55" t="s">
        <v>59</v>
      </c>
    </row>
    <row r="127" spans="1:7" ht="17.25" thickBot="1">
      <c r="A127" s="56">
        <v>1010520001</v>
      </c>
      <c r="B127" s="57" t="str">
        <f>VLOOKUP(A127,[1]Character!$A:$C,3,0)</f>
        <v>안젤리카</v>
      </c>
      <c r="C127" s="57" t="str">
        <f>VLOOKUP(A127,[1]Character!$A:$D,4,0)</f>
        <v>오픈</v>
      </c>
      <c r="D127" s="57">
        <v>1010520003</v>
      </c>
      <c r="E127" s="57" t="str">
        <f>VLOOKUP(D127,[1]Character!$A:$C,3,0)</f>
        <v>유나</v>
      </c>
      <c r="F127" s="57" t="str">
        <f>VLOOKUP(D127,[1]Character!$A:$D,4,0)</f>
        <v>오픈</v>
      </c>
      <c r="G127" s="58" t="s">
        <v>59</v>
      </c>
    </row>
    <row r="128" spans="1:7">
      <c r="A128" s="51">
        <v>1010520001</v>
      </c>
      <c r="B128" s="52" t="str">
        <f>VLOOKUP(A128,[1]Character!$A:$C,3,0)</f>
        <v>안젤리카</v>
      </c>
      <c r="C128" s="52" t="str">
        <f>VLOOKUP(A128,[1]Character!$A:$D,4,0)</f>
        <v>오픈</v>
      </c>
      <c r="D128" s="52">
        <v>1010730005</v>
      </c>
      <c r="E128" s="52" t="str">
        <f>VLOOKUP(D128,[1]Character!$A:$C,3,0)</f>
        <v>에리카</v>
      </c>
      <c r="F128" s="52" t="str">
        <f>VLOOKUP(D128,[1]Character!$A:$D,4,0)</f>
        <v>오픈</v>
      </c>
      <c r="G128" s="53" t="s">
        <v>60</v>
      </c>
    </row>
    <row r="129" spans="1:7">
      <c r="A129" s="54">
        <v>1010520001</v>
      </c>
      <c r="B129" s="3" t="str">
        <f>VLOOKUP(A129,[1]Character!$A:$C,3,0)</f>
        <v>안젤리카</v>
      </c>
      <c r="C129" s="3" t="str">
        <f>VLOOKUP(A129,[1]Character!$A:$D,4,0)</f>
        <v>오픈</v>
      </c>
      <c r="D129" s="3">
        <v>1010730004</v>
      </c>
      <c r="E129" s="3" t="str">
        <f>VLOOKUP(D129,[1]Character!$A:$C,3,0)</f>
        <v>라일라</v>
      </c>
      <c r="F129" s="3" t="str">
        <f>VLOOKUP(D129,[1]Character!$A:$D,4,0)</f>
        <v>오픈</v>
      </c>
      <c r="G129" s="55" t="s">
        <v>60</v>
      </c>
    </row>
    <row r="130" spans="1:7">
      <c r="A130" s="54">
        <v>1010520001</v>
      </c>
      <c r="B130" s="3" t="str">
        <f>VLOOKUP(A130,[1]Character!$A:$C,3,0)</f>
        <v>안젤리카</v>
      </c>
      <c r="C130" s="3" t="str">
        <f>VLOOKUP(A130,[1]Character!$A:$D,4,0)</f>
        <v>오픈</v>
      </c>
      <c r="D130" s="3">
        <v>1010340001</v>
      </c>
      <c r="E130" s="3" t="str">
        <f>VLOOKUP(D130,[1]Character!$A:$C,3,0)</f>
        <v>시즈</v>
      </c>
      <c r="F130" s="3" t="str">
        <f>VLOOKUP(D130,[1]Character!$A:$D,4,0)</f>
        <v>오픈</v>
      </c>
      <c r="G130" s="55" t="s">
        <v>60</v>
      </c>
    </row>
    <row r="131" spans="1:7" ht="17.25" thickBot="1">
      <c r="A131" s="56">
        <v>1010520001</v>
      </c>
      <c r="B131" s="57" t="str">
        <f>VLOOKUP(A131,[1]Character!$A:$C,3,0)</f>
        <v>안젤리카</v>
      </c>
      <c r="C131" s="57" t="str">
        <f>VLOOKUP(A131,[1]Character!$A:$D,4,0)</f>
        <v>오픈</v>
      </c>
      <c r="D131" s="57">
        <v>1010330002</v>
      </c>
      <c r="E131" s="57" t="str">
        <f>VLOOKUP(D131,[1]Character!$A:$C,3,0)</f>
        <v>오로라</v>
      </c>
      <c r="F131" s="57" t="str">
        <f>VLOOKUP(D131,[1]Character!$A:$D,4,0)</f>
        <v>오픈</v>
      </c>
      <c r="G131" s="58" t="s">
        <v>60</v>
      </c>
    </row>
    <row r="132" spans="1:7">
      <c r="A132" s="51">
        <v>1010520002</v>
      </c>
      <c r="B132" s="52" t="str">
        <f>VLOOKUP(A132,[1]Character!$A:$C,3,0)</f>
        <v>브륀힐데</v>
      </c>
      <c r="C132" s="52" t="str">
        <f>VLOOKUP(A132,[1]Character!$A:$D,4,0)</f>
        <v>오픈</v>
      </c>
      <c r="D132" s="52">
        <v>1010530002</v>
      </c>
      <c r="E132" s="52" t="str">
        <f>VLOOKUP(D132,[1]Character!$A:$C,3,0)</f>
        <v>크림슨</v>
      </c>
      <c r="F132" s="52" t="str">
        <f>VLOOKUP(D132,[1]Character!$A:$D,4,0)</f>
        <v>오픈</v>
      </c>
      <c r="G132" s="53" t="s">
        <v>59</v>
      </c>
    </row>
    <row r="133" spans="1:7">
      <c r="A133" s="54">
        <v>1010520002</v>
      </c>
      <c r="B133" s="3" t="str">
        <f>VLOOKUP(A133,[1]Character!$A:$C,3,0)</f>
        <v>브륀힐데</v>
      </c>
      <c r="C133" s="3" t="str">
        <f>VLOOKUP(A133,[1]Character!$A:$D,4,0)</f>
        <v>오픈</v>
      </c>
      <c r="D133" s="3">
        <v>1010730001</v>
      </c>
      <c r="E133" s="3" t="str">
        <f>VLOOKUP(D133,[1]Character!$A:$C,3,0)</f>
        <v>쉐리</v>
      </c>
      <c r="F133" s="3" t="str">
        <f>VLOOKUP(D133,[1]Character!$A:$D,4,0)</f>
        <v>오픈</v>
      </c>
      <c r="G133" s="55" t="s">
        <v>59</v>
      </c>
    </row>
    <row r="134" spans="1:7">
      <c r="A134" s="54">
        <v>1010520002</v>
      </c>
      <c r="B134" s="3" t="str">
        <f>VLOOKUP(A134,[1]Character!$A:$C,3,0)</f>
        <v>브륀힐데</v>
      </c>
      <c r="C134" s="3" t="str">
        <f>VLOOKUP(A134,[1]Character!$A:$D,4,0)</f>
        <v>오픈</v>
      </c>
      <c r="D134" s="3">
        <v>1010310001</v>
      </c>
      <c r="E134" s="3" t="str">
        <f>VLOOKUP(D134,[1]Character!$A:$C,3,0)</f>
        <v>다이아나</v>
      </c>
      <c r="F134" s="3" t="str">
        <f>VLOOKUP(D134,[1]Character!$A:$D,4,0)</f>
        <v>오픈</v>
      </c>
      <c r="G134" s="55" t="s">
        <v>59</v>
      </c>
    </row>
    <row r="135" spans="1:7" ht="17.25" thickBot="1">
      <c r="A135" s="56">
        <v>1010520002</v>
      </c>
      <c r="B135" s="57" t="str">
        <f>VLOOKUP(A135,[1]Character!$A:$C,3,0)</f>
        <v>브륀힐데</v>
      </c>
      <c r="C135" s="57" t="str">
        <f>VLOOKUP(A135,[1]Character!$A:$D,4,0)</f>
        <v>오픈</v>
      </c>
      <c r="D135" s="57">
        <v>1010520001</v>
      </c>
      <c r="E135" s="57" t="str">
        <f>VLOOKUP(D135,[1]Character!$A:$C,3,0)</f>
        <v>안젤리카</v>
      </c>
      <c r="F135" s="57" t="str">
        <f>VLOOKUP(D135,[1]Character!$A:$D,4,0)</f>
        <v>오픈</v>
      </c>
      <c r="G135" s="58" t="s">
        <v>59</v>
      </c>
    </row>
    <row r="136" spans="1:7">
      <c r="A136" s="51">
        <v>1010520002</v>
      </c>
      <c r="B136" s="52" t="str">
        <f>VLOOKUP(A136,[1]Character!$A:$C,3,0)</f>
        <v>브륀힐데</v>
      </c>
      <c r="C136" s="52" t="str">
        <f>VLOOKUP(A136,[1]Character!$A:$D,4,0)</f>
        <v>오픈</v>
      </c>
      <c r="D136" s="52">
        <v>1010320002</v>
      </c>
      <c r="E136" s="52" t="str">
        <f>VLOOKUP(D136,[1]Character!$A:$C,3,0)</f>
        <v>클레아스</v>
      </c>
      <c r="F136" s="52" t="str">
        <f>VLOOKUP(D136,[1]Character!$A:$D,4,0)</f>
        <v>오픈</v>
      </c>
      <c r="G136" s="53" t="s">
        <v>60</v>
      </c>
    </row>
    <row r="137" spans="1:7">
      <c r="A137" s="54">
        <v>1010520002</v>
      </c>
      <c r="B137" s="3" t="str">
        <f>VLOOKUP(A137,[1]Character!$A:$C,3,0)</f>
        <v>브륀힐데</v>
      </c>
      <c r="C137" s="3" t="str">
        <f>VLOOKUP(A137,[1]Character!$A:$D,4,0)</f>
        <v>오픈</v>
      </c>
      <c r="D137" s="3">
        <v>1010520005</v>
      </c>
      <c r="E137" s="3" t="str">
        <f>VLOOKUP(D137,[1]Character!$A:$C,3,0)</f>
        <v>페이</v>
      </c>
      <c r="F137" s="3" t="str">
        <f>VLOOKUP(D137,[1]Character!$A:$D,4,0)</f>
        <v>오픈</v>
      </c>
      <c r="G137" s="55" t="s">
        <v>60</v>
      </c>
    </row>
    <row r="138" spans="1:7">
      <c r="A138" s="54">
        <v>1010520002</v>
      </c>
      <c r="B138" s="3" t="str">
        <f>VLOOKUP(A138,[1]Character!$A:$C,3,0)</f>
        <v>브륀힐데</v>
      </c>
      <c r="C138" s="3" t="str">
        <f>VLOOKUP(A138,[1]Character!$A:$D,4,0)</f>
        <v>오픈</v>
      </c>
      <c r="D138" s="3">
        <v>1010520003</v>
      </c>
      <c r="E138" s="3" t="str">
        <f>VLOOKUP(D138,[1]Character!$A:$C,3,0)</f>
        <v>유나</v>
      </c>
      <c r="F138" s="3" t="str">
        <f>VLOOKUP(D138,[1]Character!$A:$D,4,0)</f>
        <v>오픈</v>
      </c>
      <c r="G138" s="55" t="s">
        <v>60</v>
      </c>
    </row>
    <row r="139" spans="1:7" ht="17.25" thickBot="1">
      <c r="A139" s="56">
        <v>1010520002</v>
      </c>
      <c r="B139" s="57" t="str">
        <f>VLOOKUP(A139,[1]Character!$A:$C,3,0)</f>
        <v>브륀힐데</v>
      </c>
      <c r="C139" s="57" t="str">
        <f>VLOOKUP(A139,[1]Character!$A:$D,4,0)</f>
        <v>오픈</v>
      </c>
      <c r="D139" s="57">
        <v>1010720006</v>
      </c>
      <c r="E139" s="57" t="str">
        <f>VLOOKUP(D139,[1]Character!$A:$C,3,0)</f>
        <v>베르베타</v>
      </c>
      <c r="F139" s="57" t="str">
        <f>VLOOKUP(D139,[1]Character!$A:$D,4,0)</f>
        <v>오픈</v>
      </c>
      <c r="G139" s="58" t="s">
        <v>60</v>
      </c>
    </row>
    <row r="140" spans="1:7">
      <c r="A140" s="51">
        <v>1010520003</v>
      </c>
      <c r="B140" s="52" t="str">
        <f>VLOOKUP(A140,[1]Character!$A:$C,3,0)</f>
        <v>유나</v>
      </c>
      <c r="C140" s="52" t="str">
        <f>VLOOKUP(A140,[1]Character!$A:$D,4,0)</f>
        <v>오픈</v>
      </c>
      <c r="D140" s="52">
        <v>1010330002</v>
      </c>
      <c r="E140" s="52" t="str">
        <f>VLOOKUP(D140,[1]Character!$A:$C,3,0)</f>
        <v>오로라</v>
      </c>
      <c r="F140" s="52" t="str">
        <f>VLOOKUP(D140,[1]Character!$A:$D,4,0)</f>
        <v>오픈</v>
      </c>
      <c r="G140" s="53" t="s">
        <v>59</v>
      </c>
    </row>
    <row r="141" spans="1:7">
      <c r="A141" s="54">
        <v>1010520003</v>
      </c>
      <c r="B141" s="3" t="str">
        <f>VLOOKUP(A141,[1]Character!$A:$C,3,0)</f>
        <v>유나</v>
      </c>
      <c r="C141" s="3" t="str">
        <f>VLOOKUP(A141,[1]Character!$A:$D,4,0)</f>
        <v>오픈</v>
      </c>
      <c r="D141" s="3">
        <v>1010530001</v>
      </c>
      <c r="E141" s="3" t="str">
        <f>VLOOKUP(D141,[1]Character!$A:$C,3,0)</f>
        <v>에이코</v>
      </c>
      <c r="F141" s="3" t="str">
        <f>VLOOKUP(D141,[1]Character!$A:$D,4,0)</f>
        <v>오픈</v>
      </c>
      <c r="G141" s="55" t="s">
        <v>59</v>
      </c>
    </row>
    <row r="142" spans="1:7">
      <c r="A142" s="54">
        <v>1010520003</v>
      </c>
      <c r="B142" s="3" t="str">
        <f>VLOOKUP(A142,[1]Character!$A:$C,3,0)</f>
        <v>유나</v>
      </c>
      <c r="C142" s="3" t="str">
        <f>VLOOKUP(A142,[1]Character!$A:$D,4,0)</f>
        <v>오픈</v>
      </c>
      <c r="D142" s="3">
        <v>1010730003</v>
      </c>
      <c r="E142" s="3" t="str">
        <f>VLOOKUP(D142,[1]Character!$A:$C,3,0)</f>
        <v>레나스</v>
      </c>
      <c r="F142" s="3" t="str">
        <f>VLOOKUP(D142,[1]Character!$A:$D,4,0)</f>
        <v>오픈</v>
      </c>
      <c r="G142" s="55" t="s">
        <v>59</v>
      </c>
    </row>
    <row r="143" spans="1:7" ht="17.25" thickBot="1">
      <c r="A143" s="56">
        <v>1010520003</v>
      </c>
      <c r="B143" s="57" t="str">
        <f>VLOOKUP(A143,[1]Character!$A:$C,3,0)</f>
        <v>유나</v>
      </c>
      <c r="C143" s="57" t="str">
        <f>VLOOKUP(A143,[1]Character!$A:$D,4,0)</f>
        <v>오픈</v>
      </c>
      <c r="D143" s="57">
        <v>1010920002</v>
      </c>
      <c r="E143" s="57" t="str">
        <f>VLOOKUP(D143,[1]Character!$A:$C,3,0)</f>
        <v>세라펄사</v>
      </c>
      <c r="F143" s="57" t="str">
        <f>VLOOKUP(D143,[1]Character!$A:$D,4,0)</f>
        <v>오픈</v>
      </c>
      <c r="G143" s="58" t="s">
        <v>59</v>
      </c>
    </row>
    <row r="144" spans="1:7">
      <c r="A144" s="51">
        <v>1010520003</v>
      </c>
      <c r="B144" s="52" t="str">
        <f>VLOOKUP(A144,[1]Character!$A:$C,3,0)</f>
        <v>유나</v>
      </c>
      <c r="C144" s="52" t="str">
        <f>VLOOKUP(A144,[1]Character!$A:$D,4,0)</f>
        <v>오픈</v>
      </c>
      <c r="D144" s="52">
        <v>1010330001</v>
      </c>
      <c r="E144" s="52" t="str">
        <f>VLOOKUP(D144,[1]Character!$A:$C,3,0)</f>
        <v>마나</v>
      </c>
      <c r="F144" s="52" t="str">
        <f>VLOOKUP(D144,[1]Character!$A:$D,4,0)</f>
        <v>오픈</v>
      </c>
      <c r="G144" s="53" t="s">
        <v>60</v>
      </c>
    </row>
    <row r="145" spans="1:7">
      <c r="A145" s="54">
        <v>1010520003</v>
      </c>
      <c r="B145" s="3" t="str">
        <f>VLOOKUP(A145,[1]Character!$A:$C,3,0)</f>
        <v>유나</v>
      </c>
      <c r="C145" s="3" t="str">
        <f>VLOOKUP(A145,[1]Character!$A:$D,4,0)</f>
        <v>오픈</v>
      </c>
      <c r="D145" s="3">
        <v>1010510002</v>
      </c>
      <c r="E145" s="3" t="str">
        <f>VLOOKUP(D145,[1]Character!$A:$C,3,0)</f>
        <v>타이나</v>
      </c>
      <c r="F145" s="3" t="str">
        <f>VLOOKUP(D145,[1]Character!$A:$D,4,0)</f>
        <v>오픈</v>
      </c>
      <c r="G145" s="55" t="s">
        <v>60</v>
      </c>
    </row>
    <row r="146" spans="1:7">
      <c r="A146" s="54">
        <v>1010520003</v>
      </c>
      <c r="B146" s="3" t="str">
        <f>VLOOKUP(A146,[1]Character!$A:$C,3,0)</f>
        <v>유나</v>
      </c>
      <c r="C146" s="3" t="str">
        <f>VLOOKUP(A146,[1]Character!$A:$D,4,0)</f>
        <v>오픈</v>
      </c>
      <c r="D146" s="3">
        <v>1010730004</v>
      </c>
      <c r="E146" s="3" t="str">
        <f>VLOOKUP(D146,[1]Character!$A:$C,3,0)</f>
        <v>라일라</v>
      </c>
      <c r="F146" s="3" t="str">
        <f>VLOOKUP(D146,[1]Character!$A:$D,4,0)</f>
        <v>오픈</v>
      </c>
      <c r="G146" s="55" t="s">
        <v>60</v>
      </c>
    </row>
    <row r="147" spans="1:7" ht="17.25" thickBot="1">
      <c r="A147" s="56">
        <v>1010520003</v>
      </c>
      <c r="B147" s="57" t="str">
        <f>VLOOKUP(A147,[1]Character!$A:$C,3,0)</f>
        <v>유나</v>
      </c>
      <c r="C147" s="57" t="str">
        <f>VLOOKUP(A147,[1]Character!$A:$D,4,0)</f>
        <v>오픈</v>
      </c>
      <c r="D147" s="57">
        <v>1010730001</v>
      </c>
      <c r="E147" s="57" t="str">
        <f>VLOOKUP(D147,[1]Character!$A:$C,3,0)</f>
        <v>쉐리</v>
      </c>
      <c r="F147" s="57" t="str">
        <f>VLOOKUP(D147,[1]Character!$A:$D,4,0)</f>
        <v>오픈</v>
      </c>
      <c r="G147" s="58" t="s">
        <v>60</v>
      </c>
    </row>
    <row r="148" spans="1:7">
      <c r="A148" s="51">
        <v>1010520004</v>
      </c>
      <c r="B148" s="52" t="str">
        <f>VLOOKUP(A148,[1]Character!$A:$C,3,0)</f>
        <v>그레이</v>
      </c>
      <c r="C148" s="52" t="str">
        <f>VLOOKUP(A148,[1]Character!$A:$D,4,0)</f>
        <v>오픈</v>
      </c>
      <c r="D148" s="52">
        <v>1010730001</v>
      </c>
      <c r="E148" s="52" t="str">
        <f>VLOOKUP(D148,[1]Character!$A:$C,3,0)</f>
        <v>쉐리</v>
      </c>
      <c r="F148" s="52" t="str">
        <f>VLOOKUP(D148,[1]Character!$A:$D,4,0)</f>
        <v>오픈</v>
      </c>
      <c r="G148" s="53" t="s">
        <v>59</v>
      </c>
    </row>
    <row r="149" spans="1:7">
      <c r="A149" s="54">
        <v>1010520004</v>
      </c>
      <c r="B149" s="3" t="str">
        <f>VLOOKUP(A149,[1]Character!$A:$C,3,0)</f>
        <v>그레이</v>
      </c>
      <c r="C149" s="3" t="str">
        <f>VLOOKUP(A149,[1]Character!$A:$D,4,0)</f>
        <v>오픈</v>
      </c>
      <c r="D149" s="3">
        <v>1010530003</v>
      </c>
      <c r="E149" s="3" t="str">
        <f>VLOOKUP(D149,[1]Character!$A:$C,3,0)</f>
        <v>페렐</v>
      </c>
      <c r="F149" s="3" t="str">
        <f>VLOOKUP(D149,[1]Character!$A:$D,4,0)</f>
        <v>오픈</v>
      </c>
      <c r="G149" s="55" t="s">
        <v>59</v>
      </c>
    </row>
    <row r="150" spans="1:7">
      <c r="A150" s="54">
        <v>1010520004</v>
      </c>
      <c r="B150" s="3" t="str">
        <f>VLOOKUP(A150,[1]Character!$A:$C,3,0)</f>
        <v>그레이</v>
      </c>
      <c r="C150" s="3" t="str">
        <f>VLOOKUP(A150,[1]Character!$A:$D,4,0)</f>
        <v>오픈</v>
      </c>
      <c r="D150" s="3">
        <v>1010940002</v>
      </c>
      <c r="E150" s="3" t="str">
        <f>VLOOKUP(D150,[1]Character!$A:$C,3,0)</f>
        <v>샤레</v>
      </c>
      <c r="F150" s="3" t="str">
        <f>VLOOKUP(D150,[1]Character!$A:$D,4,0)</f>
        <v>오픈</v>
      </c>
      <c r="G150" s="55" t="s">
        <v>59</v>
      </c>
    </row>
    <row r="151" spans="1:7" ht="17.25" thickBot="1">
      <c r="A151" s="56">
        <v>1010520004</v>
      </c>
      <c r="B151" s="57" t="str">
        <f>VLOOKUP(A151,[1]Character!$A:$C,3,0)</f>
        <v>그레이</v>
      </c>
      <c r="C151" s="57" t="str">
        <f>VLOOKUP(A151,[1]Character!$A:$D,4,0)</f>
        <v>오픈</v>
      </c>
      <c r="D151" s="57">
        <v>1010740001</v>
      </c>
      <c r="E151" s="57" t="str">
        <f>VLOOKUP(D151,[1]Character!$A:$C,3,0)</f>
        <v>헬렌</v>
      </c>
      <c r="F151" s="57" t="str">
        <f>VLOOKUP(D151,[1]Character!$A:$D,4,0)</f>
        <v>오픈</v>
      </c>
      <c r="G151" s="58" t="s">
        <v>59</v>
      </c>
    </row>
    <row r="152" spans="1:7">
      <c r="A152" s="51">
        <v>1010520004</v>
      </c>
      <c r="B152" s="52" t="str">
        <f>VLOOKUP(A152,[1]Character!$A:$C,3,0)</f>
        <v>그레이</v>
      </c>
      <c r="C152" s="52" t="str">
        <f>VLOOKUP(A152,[1]Character!$A:$D,4,0)</f>
        <v>오픈</v>
      </c>
      <c r="D152" s="52">
        <v>1010530002</v>
      </c>
      <c r="E152" s="52" t="str">
        <f>VLOOKUP(D152,[1]Character!$A:$C,3,0)</f>
        <v>크림슨</v>
      </c>
      <c r="F152" s="52" t="str">
        <f>VLOOKUP(D152,[1]Character!$A:$D,4,0)</f>
        <v>오픈</v>
      </c>
      <c r="G152" s="53" t="s">
        <v>60</v>
      </c>
    </row>
    <row r="153" spans="1:7">
      <c r="A153" s="54">
        <v>1010520004</v>
      </c>
      <c r="B153" s="3" t="str">
        <f>VLOOKUP(A153,[1]Character!$A:$C,3,0)</f>
        <v>그레이</v>
      </c>
      <c r="C153" s="3" t="str">
        <f>VLOOKUP(A153,[1]Character!$A:$D,4,0)</f>
        <v>오픈</v>
      </c>
      <c r="D153" s="3">
        <v>1010520003</v>
      </c>
      <c r="E153" s="3" t="str">
        <f>VLOOKUP(D153,[1]Character!$A:$C,3,0)</f>
        <v>유나</v>
      </c>
      <c r="F153" s="3" t="str">
        <f>VLOOKUP(D153,[1]Character!$A:$D,4,0)</f>
        <v>오픈</v>
      </c>
      <c r="G153" s="55" t="s">
        <v>60</v>
      </c>
    </row>
    <row r="154" spans="1:7">
      <c r="A154" s="54">
        <v>1010520004</v>
      </c>
      <c r="B154" s="3" t="str">
        <f>VLOOKUP(A154,[1]Character!$A:$C,3,0)</f>
        <v>그레이</v>
      </c>
      <c r="C154" s="3" t="str">
        <f>VLOOKUP(A154,[1]Character!$A:$D,4,0)</f>
        <v>오픈</v>
      </c>
      <c r="D154" s="3">
        <v>1010730004</v>
      </c>
      <c r="E154" s="3" t="str">
        <f>VLOOKUP(D154,[1]Character!$A:$C,3,0)</f>
        <v>라일라</v>
      </c>
      <c r="F154" s="3" t="str">
        <f>VLOOKUP(D154,[1]Character!$A:$D,4,0)</f>
        <v>오픈</v>
      </c>
      <c r="G154" s="55" t="s">
        <v>60</v>
      </c>
    </row>
    <row r="155" spans="1:7" ht="17.25" thickBot="1">
      <c r="A155" s="56">
        <v>1010520004</v>
      </c>
      <c r="B155" s="57" t="str">
        <f>VLOOKUP(A155,[1]Character!$A:$C,3,0)</f>
        <v>그레이</v>
      </c>
      <c r="C155" s="57" t="str">
        <f>VLOOKUP(A155,[1]Character!$A:$D,4,0)</f>
        <v>오픈</v>
      </c>
      <c r="D155" s="57">
        <v>1010530004</v>
      </c>
      <c r="E155" s="57" t="str">
        <f>VLOOKUP(D155,[1]Character!$A:$C,3,0)</f>
        <v>이노</v>
      </c>
      <c r="F155" s="57" t="str">
        <f>VLOOKUP(D155,[1]Character!$A:$D,4,0)</f>
        <v>오픈</v>
      </c>
      <c r="G155" s="58" t="s">
        <v>60</v>
      </c>
    </row>
    <row r="156" spans="1:7">
      <c r="A156" s="51">
        <v>1010520005</v>
      </c>
      <c r="B156" s="52" t="str">
        <f>VLOOKUP(A156,[1]Character!$A:$C,3,0)</f>
        <v>페이</v>
      </c>
      <c r="C156" s="52" t="str">
        <f>VLOOKUP(A156,[1]Character!$A:$D,4,0)</f>
        <v>오픈</v>
      </c>
      <c r="D156" s="52">
        <v>1010940003</v>
      </c>
      <c r="E156" s="52" t="str">
        <f>VLOOKUP(D156,[1]Character!$A:$C,3,0)</f>
        <v>레이호우</v>
      </c>
      <c r="F156" s="52" t="str">
        <f>VLOOKUP(D156,[1]Character!$A:$D,4,0)</f>
        <v>오픈</v>
      </c>
      <c r="G156" s="53" t="s">
        <v>59</v>
      </c>
    </row>
    <row r="157" spans="1:7">
      <c r="A157" s="54">
        <v>1010520005</v>
      </c>
      <c r="B157" s="3" t="str">
        <f>VLOOKUP(A157,[1]Character!$A:$C,3,0)</f>
        <v>페이</v>
      </c>
      <c r="C157" s="3" t="str">
        <f>VLOOKUP(A157,[1]Character!$A:$D,4,0)</f>
        <v>오픈</v>
      </c>
      <c r="D157" s="3">
        <v>1010710002</v>
      </c>
      <c r="E157" s="3" t="str">
        <f>VLOOKUP(D157,[1]Character!$A:$C,3,0)</f>
        <v>다리아</v>
      </c>
      <c r="F157" s="3" t="str">
        <f>VLOOKUP(D157,[1]Character!$A:$D,4,0)</f>
        <v>오픈</v>
      </c>
      <c r="G157" s="55" t="s">
        <v>59</v>
      </c>
    </row>
    <row r="158" spans="1:7">
      <c r="A158" s="54">
        <v>1010520005</v>
      </c>
      <c r="B158" s="3" t="str">
        <f>VLOOKUP(A158,[1]Character!$A:$C,3,0)</f>
        <v>페이</v>
      </c>
      <c r="C158" s="3" t="str">
        <f>VLOOKUP(A158,[1]Character!$A:$D,4,0)</f>
        <v>오픈</v>
      </c>
      <c r="D158" s="3">
        <v>1010730004</v>
      </c>
      <c r="E158" s="3" t="str">
        <f>VLOOKUP(D158,[1]Character!$A:$C,3,0)</f>
        <v>라일라</v>
      </c>
      <c r="F158" s="3" t="str">
        <f>VLOOKUP(D158,[1]Character!$A:$D,4,0)</f>
        <v>오픈</v>
      </c>
      <c r="G158" s="55" t="s">
        <v>59</v>
      </c>
    </row>
    <row r="159" spans="1:7" ht="17.25" thickBot="1">
      <c r="A159" s="56">
        <v>1010520005</v>
      </c>
      <c r="B159" s="57" t="str">
        <f>VLOOKUP(A159,[1]Character!$A:$C,3,0)</f>
        <v>페이</v>
      </c>
      <c r="C159" s="57" t="str">
        <f>VLOOKUP(A159,[1]Character!$A:$D,4,0)</f>
        <v>오픈</v>
      </c>
      <c r="D159" s="57">
        <v>1010730001</v>
      </c>
      <c r="E159" s="57" t="str">
        <f>VLOOKUP(D159,[1]Character!$A:$C,3,0)</f>
        <v>쉐리</v>
      </c>
      <c r="F159" s="57" t="str">
        <f>VLOOKUP(D159,[1]Character!$A:$D,4,0)</f>
        <v>오픈</v>
      </c>
      <c r="G159" s="58" t="s">
        <v>59</v>
      </c>
    </row>
    <row r="160" spans="1:7">
      <c r="A160" s="51">
        <v>1010520005</v>
      </c>
      <c r="B160" s="52" t="str">
        <f>VLOOKUP(A160,[1]Character!$A:$C,3,0)</f>
        <v>페이</v>
      </c>
      <c r="C160" s="52" t="str">
        <f>VLOOKUP(A160,[1]Character!$A:$D,4,0)</f>
        <v>오픈</v>
      </c>
      <c r="D160" s="52">
        <v>1010720003</v>
      </c>
      <c r="E160" s="52" t="str">
        <f>VLOOKUP(D160,[1]Character!$A:$C,3,0)</f>
        <v>이사벨라</v>
      </c>
      <c r="F160" s="52" t="str">
        <f>VLOOKUP(D160,[1]Character!$A:$D,4,0)</f>
        <v>오픈</v>
      </c>
      <c r="G160" s="53" t="s">
        <v>60</v>
      </c>
    </row>
    <row r="161" spans="1:7">
      <c r="A161" s="54">
        <v>1010520005</v>
      </c>
      <c r="B161" s="3" t="str">
        <f>VLOOKUP(A161,[1]Character!$A:$C,3,0)</f>
        <v>페이</v>
      </c>
      <c r="C161" s="3" t="str">
        <f>VLOOKUP(A161,[1]Character!$A:$D,4,0)</f>
        <v>오픈</v>
      </c>
      <c r="D161" s="3">
        <v>1010320001</v>
      </c>
      <c r="E161" s="3" t="str">
        <f>VLOOKUP(D161,[1]Character!$A:$C,3,0)</f>
        <v>아이렌</v>
      </c>
      <c r="F161" s="3" t="str">
        <f>VLOOKUP(D161,[1]Character!$A:$D,4,0)</f>
        <v>오픈</v>
      </c>
      <c r="G161" s="55" t="s">
        <v>60</v>
      </c>
    </row>
    <row r="162" spans="1:7">
      <c r="A162" s="54">
        <v>1010520005</v>
      </c>
      <c r="B162" s="3" t="str">
        <f>VLOOKUP(A162,[1]Character!$A:$C,3,0)</f>
        <v>페이</v>
      </c>
      <c r="C162" s="3" t="str">
        <f>VLOOKUP(A162,[1]Character!$A:$D,4,0)</f>
        <v>오픈</v>
      </c>
      <c r="D162" s="3">
        <v>1010520001</v>
      </c>
      <c r="E162" s="3" t="str">
        <f>VLOOKUP(D162,[1]Character!$A:$C,3,0)</f>
        <v>안젤리카</v>
      </c>
      <c r="F162" s="3" t="str">
        <f>VLOOKUP(D162,[1]Character!$A:$D,4,0)</f>
        <v>오픈</v>
      </c>
      <c r="G162" s="55" t="s">
        <v>60</v>
      </c>
    </row>
    <row r="163" spans="1:7" ht="17.25" thickBot="1">
      <c r="A163" s="56">
        <v>1010520005</v>
      </c>
      <c r="B163" s="57" t="str">
        <f>VLOOKUP(A163,[1]Character!$A:$C,3,0)</f>
        <v>페이</v>
      </c>
      <c r="C163" s="57" t="str">
        <f>VLOOKUP(A163,[1]Character!$A:$D,4,0)</f>
        <v>오픈</v>
      </c>
      <c r="D163" s="57">
        <v>1010320002</v>
      </c>
      <c r="E163" s="57" t="str">
        <f>VLOOKUP(D163,[1]Character!$A:$C,3,0)</f>
        <v>클레아스</v>
      </c>
      <c r="F163" s="57" t="str">
        <f>VLOOKUP(D163,[1]Character!$A:$D,4,0)</f>
        <v>오픈</v>
      </c>
      <c r="G163" s="58" t="s">
        <v>60</v>
      </c>
    </row>
    <row r="164" spans="1:7">
      <c r="A164" s="51">
        <v>1010320001</v>
      </c>
      <c r="B164" s="52" t="str">
        <f>VLOOKUP(A164,[1]Character!$A:$C,3,0)</f>
        <v>아이렌</v>
      </c>
      <c r="C164" s="52" t="str">
        <f>VLOOKUP(A164,[1]Character!$A:$D,4,0)</f>
        <v>오픈</v>
      </c>
      <c r="D164" s="52">
        <v>1010920002</v>
      </c>
      <c r="E164" s="52" t="str">
        <f>VLOOKUP(D164,[1]Character!$A:$C,3,0)</f>
        <v>세라펄사</v>
      </c>
      <c r="F164" s="52" t="str">
        <f>VLOOKUP(D164,[1]Character!$A:$D,4,0)</f>
        <v>오픈</v>
      </c>
      <c r="G164" s="53" t="s">
        <v>59</v>
      </c>
    </row>
    <row r="165" spans="1:7">
      <c r="A165" s="54">
        <v>1010320001</v>
      </c>
      <c r="B165" s="3" t="str">
        <f>VLOOKUP(A165,[1]Character!$A:$C,3,0)</f>
        <v>아이렌</v>
      </c>
      <c r="C165" s="3" t="str">
        <f>VLOOKUP(A165,[1]Character!$A:$D,4,0)</f>
        <v>오픈</v>
      </c>
      <c r="D165" s="3">
        <v>1010720006</v>
      </c>
      <c r="E165" s="3" t="str">
        <f>VLOOKUP(D165,[1]Character!$A:$C,3,0)</f>
        <v>베르베타</v>
      </c>
      <c r="F165" s="3" t="str">
        <f>VLOOKUP(D165,[1]Character!$A:$D,4,0)</f>
        <v>오픈</v>
      </c>
      <c r="G165" s="55" t="s">
        <v>59</v>
      </c>
    </row>
    <row r="166" spans="1:7">
      <c r="A166" s="54">
        <v>1010320001</v>
      </c>
      <c r="B166" s="3" t="str">
        <f>VLOOKUP(A166,[1]Character!$A:$C,3,0)</f>
        <v>아이렌</v>
      </c>
      <c r="C166" s="3" t="str">
        <f>VLOOKUP(A166,[1]Character!$A:$D,4,0)</f>
        <v>오픈</v>
      </c>
      <c r="D166" s="3">
        <v>1010720003</v>
      </c>
      <c r="E166" s="3" t="str">
        <f>VLOOKUP(D166,[1]Character!$A:$C,3,0)</f>
        <v>이사벨라</v>
      </c>
      <c r="F166" s="3" t="str">
        <f>VLOOKUP(D166,[1]Character!$A:$D,4,0)</f>
        <v>오픈</v>
      </c>
      <c r="G166" s="55" t="s">
        <v>59</v>
      </c>
    </row>
    <row r="167" spans="1:7" ht="17.25" thickBot="1">
      <c r="A167" s="56">
        <v>1010320001</v>
      </c>
      <c r="B167" s="57" t="str">
        <f>VLOOKUP(A167,[1]Character!$A:$C,3,0)</f>
        <v>아이렌</v>
      </c>
      <c r="C167" s="57" t="str">
        <f>VLOOKUP(A167,[1]Character!$A:$D,4,0)</f>
        <v>오픈</v>
      </c>
      <c r="D167" s="57">
        <v>1010730003</v>
      </c>
      <c r="E167" s="57" t="str">
        <f>VLOOKUP(D167,[1]Character!$A:$C,3,0)</f>
        <v>레나스</v>
      </c>
      <c r="F167" s="57" t="str">
        <f>VLOOKUP(D167,[1]Character!$A:$D,4,0)</f>
        <v>오픈</v>
      </c>
      <c r="G167" s="58" t="s">
        <v>59</v>
      </c>
    </row>
    <row r="168" spans="1:7">
      <c r="A168" s="51">
        <v>1010320001</v>
      </c>
      <c r="B168" s="52" t="str">
        <f>VLOOKUP(A168,[1]Character!$A:$C,3,0)</f>
        <v>아이렌</v>
      </c>
      <c r="C168" s="52" t="str">
        <f>VLOOKUP(A168,[1]Character!$A:$D,4,0)</f>
        <v>오픈</v>
      </c>
      <c r="D168" s="52">
        <v>1010530004</v>
      </c>
      <c r="E168" s="52" t="str">
        <f>VLOOKUP(D168,[1]Character!$A:$C,3,0)</f>
        <v>이노</v>
      </c>
      <c r="F168" s="52" t="str">
        <f>VLOOKUP(D168,[1]Character!$A:$D,4,0)</f>
        <v>오픈</v>
      </c>
      <c r="G168" s="53" t="s">
        <v>60</v>
      </c>
    </row>
    <row r="169" spans="1:7">
      <c r="A169" s="54">
        <v>1010320001</v>
      </c>
      <c r="B169" s="3" t="str">
        <f>VLOOKUP(A169,[1]Character!$A:$C,3,0)</f>
        <v>아이렌</v>
      </c>
      <c r="C169" s="3" t="str">
        <f>VLOOKUP(A169,[1]Character!$A:$D,4,0)</f>
        <v>오픈</v>
      </c>
      <c r="D169" s="3">
        <v>1010330001</v>
      </c>
      <c r="E169" s="3" t="str">
        <f>VLOOKUP(D169,[1]Character!$A:$C,3,0)</f>
        <v>마나</v>
      </c>
      <c r="F169" s="3" t="str">
        <f>VLOOKUP(D169,[1]Character!$A:$D,4,0)</f>
        <v>오픈</v>
      </c>
      <c r="G169" s="55" t="s">
        <v>60</v>
      </c>
    </row>
    <row r="170" spans="1:7">
      <c r="A170" s="54">
        <v>1010320001</v>
      </c>
      <c r="B170" s="3" t="str">
        <f>VLOOKUP(A170,[1]Character!$A:$C,3,0)</f>
        <v>아이렌</v>
      </c>
      <c r="C170" s="3" t="str">
        <f>VLOOKUP(A170,[1]Character!$A:$D,4,0)</f>
        <v>오픈</v>
      </c>
      <c r="D170" s="3">
        <v>1010520005</v>
      </c>
      <c r="E170" s="3" t="str">
        <f>VLOOKUP(D170,[1]Character!$A:$C,3,0)</f>
        <v>페이</v>
      </c>
      <c r="F170" s="3" t="str">
        <f>VLOOKUP(D170,[1]Character!$A:$D,4,0)</f>
        <v>오픈</v>
      </c>
      <c r="G170" s="55" t="s">
        <v>60</v>
      </c>
    </row>
    <row r="171" spans="1:7" ht="17.25" thickBot="1">
      <c r="A171" s="56">
        <v>1010320001</v>
      </c>
      <c r="B171" s="57" t="str">
        <f>VLOOKUP(A171,[1]Character!$A:$C,3,0)</f>
        <v>아이렌</v>
      </c>
      <c r="C171" s="57" t="str">
        <f>VLOOKUP(A171,[1]Character!$A:$D,4,0)</f>
        <v>오픈</v>
      </c>
      <c r="D171" s="57">
        <v>1010330002</v>
      </c>
      <c r="E171" s="57" t="str">
        <f>VLOOKUP(D171,[1]Character!$A:$C,3,0)</f>
        <v>오로라</v>
      </c>
      <c r="F171" s="57" t="str">
        <f>VLOOKUP(D171,[1]Character!$A:$D,4,0)</f>
        <v>오픈</v>
      </c>
      <c r="G171" s="58" t="s">
        <v>60</v>
      </c>
    </row>
    <row r="172" spans="1:7">
      <c r="A172" s="51">
        <v>1010320002</v>
      </c>
      <c r="B172" s="52" t="str">
        <f>VLOOKUP(A172,[1]Character!$A:$C,3,0)</f>
        <v>클레아스</v>
      </c>
      <c r="C172" s="52" t="str">
        <f>VLOOKUP(A172,[1]Character!$A:$D,4,0)</f>
        <v>오픈</v>
      </c>
      <c r="D172" s="52">
        <v>1010740001</v>
      </c>
      <c r="E172" s="52" t="str">
        <f>VLOOKUP(D172,[1]Character!$A:$C,3,0)</f>
        <v>헬렌</v>
      </c>
      <c r="F172" s="52" t="str">
        <f>VLOOKUP(D172,[1]Character!$A:$D,4,0)</f>
        <v>오픈</v>
      </c>
      <c r="G172" s="53" t="s">
        <v>59</v>
      </c>
    </row>
    <row r="173" spans="1:7">
      <c r="A173" s="54">
        <v>1010320002</v>
      </c>
      <c r="B173" s="3" t="str">
        <f>VLOOKUP(A173,[1]Character!$A:$C,3,0)</f>
        <v>클레아스</v>
      </c>
      <c r="C173" s="3" t="str">
        <f>VLOOKUP(A173,[1]Character!$A:$D,4,0)</f>
        <v>오픈</v>
      </c>
      <c r="D173" s="3">
        <v>1010730001</v>
      </c>
      <c r="E173" s="3" t="str">
        <f>VLOOKUP(D173,[1]Character!$A:$C,3,0)</f>
        <v>쉐리</v>
      </c>
      <c r="F173" s="3" t="str">
        <f>VLOOKUP(D173,[1]Character!$A:$D,4,0)</f>
        <v>오픈</v>
      </c>
      <c r="G173" s="55" t="s">
        <v>59</v>
      </c>
    </row>
    <row r="174" spans="1:7">
      <c r="A174" s="54">
        <v>1010320002</v>
      </c>
      <c r="B174" s="3" t="str">
        <f>VLOOKUP(A174,[1]Character!$A:$C,3,0)</f>
        <v>클레아스</v>
      </c>
      <c r="C174" s="3" t="str">
        <f>VLOOKUP(A174,[1]Character!$A:$D,4,0)</f>
        <v>오픈</v>
      </c>
      <c r="D174" s="3">
        <v>1010920004</v>
      </c>
      <c r="E174" s="3" t="str">
        <f>VLOOKUP(D174,[1]Character!$A:$C,3,0)</f>
        <v>앰브로시아</v>
      </c>
      <c r="F174" s="3" t="str">
        <f>VLOOKUP(D174,[1]Character!$A:$D,4,0)</f>
        <v>오픈</v>
      </c>
      <c r="G174" s="55" t="s">
        <v>59</v>
      </c>
    </row>
    <row r="175" spans="1:7" ht="17.25" thickBot="1">
      <c r="A175" s="56">
        <v>1010320002</v>
      </c>
      <c r="B175" s="57" t="str">
        <f>VLOOKUP(A175,[1]Character!$A:$C,3,0)</f>
        <v>클레아스</v>
      </c>
      <c r="C175" s="57" t="str">
        <f>VLOOKUP(A175,[1]Character!$A:$D,4,0)</f>
        <v>오픈</v>
      </c>
      <c r="D175" s="57">
        <v>1010710003</v>
      </c>
      <c r="E175" s="57" t="str">
        <f>VLOOKUP(D175,[1]Character!$A:$C,3,0)</f>
        <v>스노프릴</v>
      </c>
      <c r="F175" s="57" t="str">
        <f>VLOOKUP(D175,[1]Character!$A:$D,4,0)</f>
        <v>오픈</v>
      </c>
      <c r="G175" s="58" t="s">
        <v>59</v>
      </c>
    </row>
    <row r="176" spans="1:7">
      <c r="A176" s="51">
        <v>1010320002</v>
      </c>
      <c r="B176" s="52" t="str">
        <f>VLOOKUP(A176,[1]Character!$A:$C,3,0)</f>
        <v>클레아스</v>
      </c>
      <c r="C176" s="52" t="str">
        <f>VLOOKUP(A176,[1]Character!$A:$D,4,0)</f>
        <v>오픈</v>
      </c>
      <c r="D176" s="52">
        <v>1010340001</v>
      </c>
      <c r="E176" s="52" t="str">
        <f>VLOOKUP(D176,[1]Character!$A:$C,3,0)</f>
        <v>시즈</v>
      </c>
      <c r="F176" s="52" t="str">
        <f>VLOOKUP(D176,[1]Character!$A:$D,4,0)</f>
        <v>오픈</v>
      </c>
      <c r="G176" s="53" t="s">
        <v>60</v>
      </c>
    </row>
    <row r="177" spans="1:7">
      <c r="A177" s="54">
        <v>1010320002</v>
      </c>
      <c r="B177" s="3" t="str">
        <f>VLOOKUP(A177,[1]Character!$A:$C,3,0)</f>
        <v>클레아스</v>
      </c>
      <c r="C177" s="3" t="str">
        <f>VLOOKUP(A177,[1]Character!$A:$D,4,0)</f>
        <v>오픈</v>
      </c>
      <c r="D177" s="3">
        <v>1010530001</v>
      </c>
      <c r="E177" s="3" t="str">
        <f>VLOOKUP(D177,[1]Character!$A:$C,3,0)</f>
        <v>에이코</v>
      </c>
      <c r="F177" s="3" t="str">
        <f>VLOOKUP(D177,[1]Character!$A:$D,4,0)</f>
        <v>오픈</v>
      </c>
      <c r="G177" s="55" t="s">
        <v>60</v>
      </c>
    </row>
    <row r="178" spans="1:7">
      <c r="A178" s="54">
        <v>1010320002</v>
      </c>
      <c r="B178" s="3" t="str">
        <f>VLOOKUP(A178,[1]Character!$A:$C,3,0)</f>
        <v>클레아스</v>
      </c>
      <c r="C178" s="3" t="str">
        <f>VLOOKUP(A178,[1]Character!$A:$D,4,0)</f>
        <v>오픈</v>
      </c>
      <c r="D178" s="3">
        <v>1010520002</v>
      </c>
      <c r="E178" s="3" t="str">
        <f>VLOOKUP(D178,[1]Character!$A:$C,3,0)</f>
        <v>브륀힐데</v>
      </c>
      <c r="F178" s="3" t="str">
        <f>VLOOKUP(D178,[1]Character!$A:$D,4,0)</f>
        <v>오픈</v>
      </c>
      <c r="G178" s="55" t="s">
        <v>60</v>
      </c>
    </row>
    <row r="179" spans="1:7" ht="17.25" thickBot="1">
      <c r="A179" s="56">
        <v>1010320002</v>
      </c>
      <c r="B179" s="57" t="str">
        <f>VLOOKUP(A179,[1]Character!$A:$C,3,0)</f>
        <v>클레아스</v>
      </c>
      <c r="C179" s="57" t="str">
        <f>VLOOKUP(A179,[1]Character!$A:$D,4,0)</f>
        <v>오픈</v>
      </c>
      <c r="D179" s="57">
        <v>1010530003</v>
      </c>
      <c r="E179" s="57" t="str">
        <f>VLOOKUP(D179,[1]Character!$A:$C,3,0)</f>
        <v>페렐</v>
      </c>
      <c r="F179" s="57" t="str">
        <f>VLOOKUP(D179,[1]Character!$A:$D,4,0)</f>
        <v>오픈</v>
      </c>
      <c r="G179" s="58" t="s">
        <v>60</v>
      </c>
    </row>
    <row r="180" spans="1:7">
      <c r="A180" s="51">
        <v>1010930005</v>
      </c>
      <c r="B180" s="52" t="str">
        <f>VLOOKUP(A180,[1]Character!$A:$C,3,0)</f>
        <v>아크페이즈</v>
      </c>
      <c r="C180" s="52" t="str">
        <f>VLOOKUP(A180,[1]Character!$A:$D,4,0)</f>
        <v>오픈</v>
      </c>
      <c r="D180" s="52">
        <v>1010920002</v>
      </c>
      <c r="E180" s="52" t="str">
        <f>VLOOKUP(D180,[1]Character!$A:$C,3,0)</f>
        <v>세라펄사</v>
      </c>
      <c r="F180" s="52" t="str">
        <f>VLOOKUP(D180,[1]Character!$A:$D,4,0)</f>
        <v>오픈</v>
      </c>
      <c r="G180" s="53" t="s">
        <v>59</v>
      </c>
    </row>
    <row r="181" spans="1:7">
      <c r="A181" s="54">
        <v>1010930005</v>
      </c>
      <c r="B181" s="3" t="str">
        <f>VLOOKUP(A181,[1]Character!$A:$C,3,0)</f>
        <v>아크페이즈</v>
      </c>
      <c r="C181" s="3" t="str">
        <f>VLOOKUP(A181,[1]Character!$A:$D,4,0)</f>
        <v>오픈</v>
      </c>
      <c r="D181" s="3">
        <v>1010940002</v>
      </c>
      <c r="E181" s="3" t="str">
        <f>VLOOKUP(D181,[1]Character!$A:$C,3,0)</f>
        <v>샤레</v>
      </c>
      <c r="F181" s="3" t="str">
        <f>VLOOKUP(D181,[1]Character!$A:$D,4,0)</f>
        <v>오픈</v>
      </c>
      <c r="G181" s="55" t="s">
        <v>59</v>
      </c>
    </row>
    <row r="182" spans="1:7">
      <c r="A182" s="54">
        <v>1010930005</v>
      </c>
      <c r="B182" s="3" t="str">
        <f>VLOOKUP(A182,[1]Character!$A:$C,3,0)</f>
        <v>아크페이즈</v>
      </c>
      <c r="C182" s="3" t="str">
        <f>VLOOKUP(A182,[1]Character!$A:$D,4,0)</f>
        <v>오픈</v>
      </c>
      <c r="D182" s="3">
        <v>1010920003</v>
      </c>
      <c r="E182" s="3" t="str">
        <f>VLOOKUP(D182,[1]Character!$A:$C,3,0)</f>
        <v>아이라스</v>
      </c>
      <c r="F182" s="3" t="str">
        <f>VLOOKUP(D182,[1]Character!$A:$D,4,0)</f>
        <v>오픈</v>
      </c>
      <c r="G182" s="55" t="s">
        <v>59</v>
      </c>
    </row>
    <row r="183" spans="1:7" ht="17.25" thickBot="1">
      <c r="A183" s="56">
        <v>1010930005</v>
      </c>
      <c r="B183" s="57" t="str">
        <f>VLOOKUP(A183,[1]Character!$A:$C,3,0)</f>
        <v>아크페이즈</v>
      </c>
      <c r="C183" s="57" t="str">
        <f>VLOOKUP(A183,[1]Character!$A:$D,4,0)</f>
        <v>오픈</v>
      </c>
      <c r="D183" s="57">
        <v>1010520002</v>
      </c>
      <c r="E183" s="57" t="str">
        <f>VLOOKUP(D183,[1]Character!$A:$C,3,0)</f>
        <v>브륀힐데</v>
      </c>
      <c r="F183" s="57" t="str">
        <f>VLOOKUP(D183,[1]Character!$A:$D,4,0)</f>
        <v>오픈</v>
      </c>
      <c r="G183" s="58" t="s">
        <v>59</v>
      </c>
    </row>
    <row r="184" spans="1:7">
      <c r="A184" s="51">
        <v>1010930005</v>
      </c>
      <c r="B184" s="52" t="str">
        <f>VLOOKUP(A184,[1]Character!$A:$C,3,0)</f>
        <v>아크페이즈</v>
      </c>
      <c r="C184" s="52" t="str">
        <f>VLOOKUP(A184,[1]Character!$A:$D,4,0)</f>
        <v>오픈</v>
      </c>
      <c r="D184" s="52">
        <v>1010710001</v>
      </c>
      <c r="E184" s="52" t="str">
        <f>VLOOKUP(D184,[1]Character!$A:$C,3,0)</f>
        <v>릴리안</v>
      </c>
      <c r="F184" s="52" t="str">
        <f>VLOOKUP(D184,[1]Character!$A:$D,4,0)</f>
        <v>오픈</v>
      </c>
      <c r="G184" s="53" t="s">
        <v>60</v>
      </c>
    </row>
    <row r="185" spans="1:7">
      <c r="A185" s="54">
        <v>1010930005</v>
      </c>
      <c r="B185" s="3" t="str">
        <f>VLOOKUP(A185,[1]Character!$A:$C,3,0)</f>
        <v>아크페이즈</v>
      </c>
      <c r="C185" s="3" t="str">
        <f>VLOOKUP(A185,[1]Character!$A:$D,4,0)</f>
        <v>오픈</v>
      </c>
      <c r="D185" s="3">
        <v>1010720005</v>
      </c>
      <c r="E185" s="3" t="str">
        <f>VLOOKUP(D185,[1]Character!$A:$C,3,0)</f>
        <v>벨리타</v>
      </c>
      <c r="F185" s="3" t="str">
        <f>VLOOKUP(D185,[1]Character!$A:$D,4,0)</f>
        <v>오픈</v>
      </c>
      <c r="G185" s="55" t="s">
        <v>60</v>
      </c>
    </row>
    <row r="186" spans="1:7">
      <c r="A186" s="54">
        <v>1010930005</v>
      </c>
      <c r="B186" s="3" t="str">
        <f>VLOOKUP(A186,[1]Character!$A:$C,3,0)</f>
        <v>아크페이즈</v>
      </c>
      <c r="C186" s="3" t="str">
        <f>VLOOKUP(A186,[1]Character!$A:$D,4,0)</f>
        <v>오픈</v>
      </c>
      <c r="D186" s="3">
        <v>1010520004</v>
      </c>
      <c r="E186" s="3" t="str">
        <f>VLOOKUP(D186,[1]Character!$A:$C,3,0)</f>
        <v>그레이</v>
      </c>
      <c r="F186" s="3" t="str">
        <f>VLOOKUP(D186,[1]Character!$A:$D,4,0)</f>
        <v>오픈</v>
      </c>
      <c r="G186" s="55" t="s">
        <v>60</v>
      </c>
    </row>
    <row r="187" spans="1:7" ht="17.25" thickBot="1">
      <c r="A187" s="56">
        <v>1010930005</v>
      </c>
      <c r="B187" s="57" t="str">
        <f>VLOOKUP(A187,[1]Character!$A:$C,3,0)</f>
        <v>아크페이즈</v>
      </c>
      <c r="C187" s="57" t="str">
        <f>VLOOKUP(A187,[1]Character!$A:$D,4,0)</f>
        <v>오픈</v>
      </c>
      <c r="D187" s="57">
        <v>1010730003</v>
      </c>
      <c r="E187" s="57" t="str">
        <f>VLOOKUP(D187,[1]Character!$A:$C,3,0)</f>
        <v>레나스</v>
      </c>
      <c r="F187" s="57" t="str">
        <f>VLOOKUP(D187,[1]Character!$A:$D,4,0)</f>
        <v>오픈</v>
      </c>
      <c r="G187" s="58" t="s">
        <v>60</v>
      </c>
    </row>
    <row r="188" spans="1:7">
      <c r="A188" s="51">
        <v>1010730001</v>
      </c>
      <c r="B188" s="52" t="str">
        <f>VLOOKUP(A188,[1]Character!$A:$C,3,0)</f>
        <v>쉐리</v>
      </c>
      <c r="C188" s="52" t="str">
        <f>VLOOKUP(A188,[1]Character!$A:$D,4,0)</f>
        <v>오픈</v>
      </c>
      <c r="D188" s="52">
        <v>1010520002</v>
      </c>
      <c r="E188" s="52" t="str">
        <f>VLOOKUP(D188,[1]Character!$A:$C,3,0)</f>
        <v>브륀힐데</v>
      </c>
      <c r="F188" s="52" t="str">
        <f>VLOOKUP(D188,[1]Character!$A:$D,4,0)</f>
        <v>오픈</v>
      </c>
      <c r="G188" s="53" t="s">
        <v>59</v>
      </c>
    </row>
    <row r="189" spans="1:7">
      <c r="A189" s="54">
        <v>1010730001</v>
      </c>
      <c r="B189" s="3" t="str">
        <f>VLOOKUP(A189,[1]Character!$A:$C,3,0)</f>
        <v>쉐리</v>
      </c>
      <c r="C189" s="3" t="str">
        <f>VLOOKUP(A189,[1]Character!$A:$D,4,0)</f>
        <v>오픈</v>
      </c>
      <c r="D189" s="3">
        <v>1010530002</v>
      </c>
      <c r="E189" s="3" t="str">
        <f>VLOOKUP(D189,[1]Character!$A:$C,3,0)</f>
        <v>크림슨</v>
      </c>
      <c r="F189" s="3" t="str">
        <f>VLOOKUP(D189,[1]Character!$A:$D,4,0)</f>
        <v>오픈</v>
      </c>
      <c r="G189" s="55" t="s">
        <v>59</v>
      </c>
    </row>
    <row r="190" spans="1:7">
      <c r="A190" s="54">
        <v>1010730001</v>
      </c>
      <c r="B190" s="3" t="str">
        <f>VLOOKUP(A190,[1]Character!$A:$C,3,0)</f>
        <v>쉐리</v>
      </c>
      <c r="C190" s="3" t="str">
        <f>VLOOKUP(A190,[1]Character!$A:$D,4,0)</f>
        <v>오픈</v>
      </c>
      <c r="D190" s="3">
        <v>1010710001</v>
      </c>
      <c r="E190" s="3" t="str">
        <f>VLOOKUP(D190,[1]Character!$A:$C,3,0)</f>
        <v>릴리안</v>
      </c>
      <c r="F190" s="3" t="str">
        <f>VLOOKUP(D190,[1]Character!$A:$D,4,0)</f>
        <v>오픈</v>
      </c>
      <c r="G190" s="55" t="s">
        <v>59</v>
      </c>
    </row>
    <row r="191" spans="1:7" ht="17.25" thickBot="1">
      <c r="A191" s="56">
        <v>1010730001</v>
      </c>
      <c r="B191" s="57" t="str">
        <f>VLOOKUP(A191,[1]Character!$A:$C,3,0)</f>
        <v>쉐리</v>
      </c>
      <c r="C191" s="57" t="str">
        <f>VLOOKUP(A191,[1]Character!$A:$D,4,0)</f>
        <v>오픈</v>
      </c>
      <c r="D191" s="57">
        <v>1010720005</v>
      </c>
      <c r="E191" s="57" t="str">
        <f>VLOOKUP(D191,[1]Character!$A:$C,3,0)</f>
        <v>벨리타</v>
      </c>
      <c r="F191" s="57" t="str">
        <f>VLOOKUP(D191,[1]Character!$A:$D,4,0)</f>
        <v>오픈</v>
      </c>
      <c r="G191" s="58" t="s">
        <v>59</v>
      </c>
    </row>
    <row r="192" spans="1:7">
      <c r="A192" s="51">
        <v>1010730001</v>
      </c>
      <c r="B192" s="52" t="str">
        <f>VLOOKUP(A192,[1]Character!$A:$C,3,0)</f>
        <v>쉐리</v>
      </c>
      <c r="C192" s="52" t="str">
        <f>VLOOKUP(A192,[1]Character!$A:$D,4,0)</f>
        <v>오픈</v>
      </c>
      <c r="D192" s="52">
        <v>1010720004</v>
      </c>
      <c r="E192" s="52" t="str">
        <f>VLOOKUP(D192,[1]Character!$A:$C,3,0)</f>
        <v>발렌시아</v>
      </c>
      <c r="F192" s="52" t="str">
        <f>VLOOKUP(D192,[1]Character!$A:$D,4,0)</f>
        <v>오픈</v>
      </c>
      <c r="G192" s="53" t="s">
        <v>60</v>
      </c>
    </row>
    <row r="193" spans="1:7">
      <c r="A193" s="54">
        <v>1010730001</v>
      </c>
      <c r="B193" s="3" t="str">
        <f>VLOOKUP(A193,[1]Character!$A:$C,3,0)</f>
        <v>쉐리</v>
      </c>
      <c r="C193" s="3" t="str">
        <f>VLOOKUP(A193,[1]Character!$A:$D,4,0)</f>
        <v>오픈</v>
      </c>
      <c r="D193" s="3">
        <v>1010510002</v>
      </c>
      <c r="E193" s="3" t="str">
        <f>VLOOKUP(D193,[1]Character!$A:$C,3,0)</f>
        <v>타이나</v>
      </c>
      <c r="F193" s="3" t="str">
        <f>VLOOKUP(D193,[1]Character!$A:$D,4,0)</f>
        <v>오픈</v>
      </c>
      <c r="G193" s="55" t="s">
        <v>60</v>
      </c>
    </row>
    <row r="194" spans="1:7">
      <c r="A194" s="54">
        <v>1010730001</v>
      </c>
      <c r="B194" s="3" t="str">
        <f>VLOOKUP(A194,[1]Character!$A:$C,3,0)</f>
        <v>쉐리</v>
      </c>
      <c r="C194" s="3" t="str">
        <f>VLOOKUP(A194,[1]Character!$A:$D,4,0)</f>
        <v>오픈</v>
      </c>
      <c r="D194" s="3">
        <v>1010320001</v>
      </c>
      <c r="E194" s="3" t="str">
        <f>VLOOKUP(D194,[1]Character!$A:$C,3,0)</f>
        <v>아이렌</v>
      </c>
      <c r="F194" s="3" t="str">
        <f>VLOOKUP(D194,[1]Character!$A:$D,4,0)</f>
        <v>오픈</v>
      </c>
      <c r="G194" s="55" t="s">
        <v>60</v>
      </c>
    </row>
    <row r="195" spans="1:7" ht="17.25" thickBot="1">
      <c r="A195" s="56">
        <v>1010730001</v>
      </c>
      <c r="B195" s="57" t="str">
        <f>VLOOKUP(A195,[1]Character!$A:$C,3,0)</f>
        <v>쉐리</v>
      </c>
      <c r="C195" s="57" t="str">
        <f>VLOOKUP(A195,[1]Character!$A:$D,4,0)</f>
        <v>오픈</v>
      </c>
      <c r="D195" s="57">
        <v>1010520005</v>
      </c>
      <c r="E195" s="57" t="str">
        <f>VLOOKUP(D195,[1]Character!$A:$C,3,0)</f>
        <v>페이</v>
      </c>
      <c r="F195" s="57" t="str">
        <f>VLOOKUP(D195,[1]Character!$A:$D,4,0)</f>
        <v>오픈</v>
      </c>
      <c r="G195" s="58" t="s">
        <v>60</v>
      </c>
    </row>
    <row r="196" spans="1:7">
      <c r="A196" s="51">
        <v>1010730002</v>
      </c>
      <c r="B196" s="52" t="str">
        <f>VLOOKUP(A196,[1]Character!$A:$C,3,0)</f>
        <v>패트리샤</v>
      </c>
      <c r="C196" s="52" t="s">
        <v>407</v>
      </c>
      <c r="D196" s="52">
        <v>1010720006</v>
      </c>
      <c r="E196" s="52" t="str">
        <f>VLOOKUP(D196,[1]Character!$A:$C,3,0)</f>
        <v>베르베타</v>
      </c>
      <c r="F196" s="52" t="str">
        <f>VLOOKUP(D196,[1]Character!$A:$D,4,0)</f>
        <v>오픈</v>
      </c>
      <c r="G196" s="53" t="s">
        <v>59</v>
      </c>
    </row>
    <row r="197" spans="1:7">
      <c r="A197" s="54">
        <v>1010730002</v>
      </c>
      <c r="B197" s="3" t="str">
        <f>VLOOKUP(A197,[1]Character!$A:$C,3,0)</f>
        <v>패트리샤</v>
      </c>
      <c r="C197" s="3" t="s">
        <v>407</v>
      </c>
      <c r="D197" s="3">
        <v>1010920003</v>
      </c>
      <c r="E197" s="3" t="str">
        <f>VLOOKUP(D197,[1]Character!$A:$C,3,0)</f>
        <v>아이라스</v>
      </c>
      <c r="F197" s="3" t="str">
        <f>VLOOKUP(D197,[1]Character!$A:$D,4,0)</f>
        <v>오픈</v>
      </c>
      <c r="G197" s="55" t="s">
        <v>59</v>
      </c>
    </row>
    <row r="198" spans="1:7">
      <c r="A198" s="54">
        <v>1010730002</v>
      </c>
      <c r="B198" s="3" t="str">
        <f>VLOOKUP(A198,[1]Character!$A:$C,3,0)</f>
        <v>패트리샤</v>
      </c>
      <c r="C198" s="3" t="s">
        <v>407</v>
      </c>
      <c r="D198" s="3">
        <v>1010710003</v>
      </c>
      <c r="E198" s="3" t="str">
        <f>VLOOKUP(D198,[1]Character!$A:$C,3,0)</f>
        <v>스노프릴</v>
      </c>
      <c r="F198" s="3" t="str">
        <f>VLOOKUP(D198,[1]Character!$A:$D,4,0)</f>
        <v>오픈</v>
      </c>
      <c r="G198" s="55" t="s">
        <v>59</v>
      </c>
    </row>
    <row r="199" spans="1:7" ht="17.25" thickBot="1">
      <c r="A199" s="56">
        <v>1010730002</v>
      </c>
      <c r="B199" s="57" t="str">
        <f>VLOOKUP(A199,[1]Character!$A:$C,3,0)</f>
        <v>패트리샤</v>
      </c>
      <c r="C199" s="57" t="s">
        <v>407</v>
      </c>
      <c r="D199" s="57">
        <v>1010340001</v>
      </c>
      <c r="E199" s="57" t="str">
        <f>VLOOKUP(D199,[1]Character!$A:$C,3,0)</f>
        <v>시즈</v>
      </c>
      <c r="F199" s="57" t="str">
        <f>VLOOKUP(D199,[1]Character!$A:$D,4,0)</f>
        <v>오픈</v>
      </c>
      <c r="G199" s="58" t="s">
        <v>59</v>
      </c>
    </row>
    <row r="200" spans="1:7">
      <c r="A200" s="51">
        <v>1010730002</v>
      </c>
      <c r="B200" s="52" t="str">
        <f>VLOOKUP(A200,[1]Character!$A:$C,3,0)</f>
        <v>패트리샤</v>
      </c>
      <c r="C200" s="52" t="s">
        <v>407</v>
      </c>
      <c r="D200" s="52">
        <v>1010520001</v>
      </c>
      <c r="E200" s="52" t="str">
        <f>VLOOKUP(D200,[1]Character!$A:$C,3,0)</f>
        <v>안젤리카</v>
      </c>
      <c r="F200" s="52" t="str">
        <f>VLOOKUP(D200,[1]Character!$A:$D,4,0)</f>
        <v>오픈</v>
      </c>
      <c r="G200" s="53" t="s">
        <v>60</v>
      </c>
    </row>
    <row r="201" spans="1:7">
      <c r="A201" s="54">
        <v>1010730002</v>
      </c>
      <c r="B201" s="3" t="str">
        <f>VLOOKUP(A201,[1]Character!$A:$C,3,0)</f>
        <v>패트리샤</v>
      </c>
      <c r="C201" s="3" t="s">
        <v>407</v>
      </c>
      <c r="D201" s="3">
        <v>1010520004</v>
      </c>
      <c r="E201" s="3" t="str">
        <f>VLOOKUP(D201,[1]Character!$A:$C,3,0)</f>
        <v>그레이</v>
      </c>
      <c r="F201" s="3" t="str">
        <f>VLOOKUP(D201,[1]Character!$A:$D,4,0)</f>
        <v>오픈</v>
      </c>
      <c r="G201" s="55" t="s">
        <v>60</v>
      </c>
    </row>
    <row r="202" spans="1:7">
      <c r="A202" s="54">
        <v>1010730002</v>
      </c>
      <c r="B202" s="3" t="str">
        <f>VLOOKUP(A202,[1]Character!$A:$C,3,0)</f>
        <v>패트리샤</v>
      </c>
      <c r="C202" s="3" t="s">
        <v>407</v>
      </c>
      <c r="D202" s="3">
        <v>1010310001</v>
      </c>
      <c r="E202" s="3" t="str">
        <f>VLOOKUP(D202,[1]Character!$A:$C,3,0)</f>
        <v>다이아나</v>
      </c>
      <c r="F202" s="3" t="str">
        <f>VLOOKUP(D202,[1]Character!$A:$D,4,0)</f>
        <v>오픈</v>
      </c>
      <c r="G202" s="55" t="s">
        <v>60</v>
      </c>
    </row>
    <row r="203" spans="1:7" ht="17.25" thickBot="1">
      <c r="A203" s="56">
        <v>1010730002</v>
      </c>
      <c r="B203" s="57" t="str">
        <f>VLOOKUP(A203,[1]Character!$A:$C,3,0)</f>
        <v>패트리샤</v>
      </c>
      <c r="C203" s="57" t="s">
        <v>407</v>
      </c>
      <c r="D203" s="57">
        <v>1010530003</v>
      </c>
      <c r="E203" s="57" t="str">
        <f>VLOOKUP(D203,[1]Character!$A:$C,3,0)</f>
        <v>페렐</v>
      </c>
      <c r="F203" s="57" t="str">
        <f>VLOOKUP(D203,[1]Character!$A:$D,4,0)</f>
        <v>오픈</v>
      </c>
      <c r="G203" s="58" t="s">
        <v>60</v>
      </c>
    </row>
    <row r="204" spans="1:7">
      <c r="A204" s="51">
        <v>1010730003</v>
      </c>
      <c r="B204" s="52" t="str">
        <f>VLOOKUP(A204,[1]Character!$A:$C,3,0)</f>
        <v>레나스</v>
      </c>
      <c r="C204" s="52" t="str">
        <f>VLOOKUP(A204,[1]Character!$A:$D,4,0)</f>
        <v>오픈</v>
      </c>
      <c r="D204" s="52">
        <v>1010720007</v>
      </c>
      <c r="E204" s="52" t="str">
        <f>VLOOKUP(D204,[1]Character!$A:$C,3,0)</f>
        <v>아셀스</v>
      </c>
      <c r="F204" s="52" t="str">
        <f>VLOOKUP(D204,[1]Character!$A:$D,4,0)</f>
        <v>오픈</v>
      </c>
      <c r="G204" s="53" t="s">
        <v>59</v>
      </c>
    </row>
    <row r="205" spans="1:7">
      <c r="A205" s="54">
        <v>1010730003</v>
      </c>
      <c r="B205" s="3" t="str">
        <f>VLOOKUP(A205,[1]Character!$A:$C,3,0)</f>
        <v>레나스</v>
      </c>
      <c r="C205" s="3" t="str">
        <f>VLOOKUP(A205,[1]Character!$A:$D,4,0)</f>
        <v>오픈</v>
      </c>
      <c r="D205" s="3">
        <v>1010910002</v>
      </c>
      <c r="E205" s="3" t="str">
        <f>VLOOKUP(D205,[1]Character!$A:$C,3,0)</f>
        <v>메리샤</v>
      </c>
      <c r="F205" s="3" t="str">
        <f>VLOOKUP(D205,[1]Character!$A:$D,4,0)</f>
        <v>오픈</v>
      </c>
      <c r="G205" s="55" t="s">
        <v>59</v>
      </c>
    </row>
    <row r="206" spans="1:7">
      <c r="A206" s="54">
        <v>1010730003</v>
      </c>
      <c r="B206" s="3" t="str">
        <f>VLOOKUP(A206,[1]Character!$A:$C,3,0)</f>
        <v>레나스</v>
      </c>
      <c r="C206" s="3" t="str">
        <f>VLOOKUP(A206,[1]Character!$A:$D,4,0)</f>
        <v>오픈</v>
      </c>
      <c r="D206" s="3">
        <v>1010730005</v>
      </c>
      <c r="E206" s="3" t="str">
        <f>VLOOKUP(D206,[1]Character!$A:$C,3,0)</f>
        <v>에리카</v>
      </c>
      <c r="F206" s="3" t="str">
        <f>VLOOKUP(D206,[1]Character!$A:$D,4,0)</f>
        <v>오픈</v>
      </c>
      <c r="G206" s="55" t="s">
        <v>59</v>
      </c>
    </row>
    <row r="207" spans="1:7" ht="17.25" thickBot="1">
      <c r="A207" s="56">
        <v>1010730003</v>
      </c>
      <c r="B207" s="57" t="str">
        <f>VLOOKUP(A207,[1]Character!$A:$C,3,0)</f>
        <v>레나스</v>
      </c>
      <c r="C207" s="57" t="str">
        <f>VLOOKUP(A207,[1]Character!$A:$D,4,0)</f>
        <v>오픈</v>
      </c>
      <c r="D207" s="57">
        <v>1010720003</v>
      </c>
      <c r="E207" s="57" t="str">
        <f>VLOOKUP(D207,[1]Character!$A:$C,3,0)</f>
        <v>이사벨라</v>
      </c>
      <c r="F207" s="57" t="str">
        <f>VLOOKUP(D207,[1]Character!$A:$D,4,0)</f>
        <v>오픈</v>
      </c>
      <c r="G207" s="58" t="s">
        <v>59</v>
      </c>
    </row>
    <row r="208" spans="1:7">
      <c r="A208" s="51">
        <v>1010730003</v>
      </c>
      <c r="B208" s="52" t="str">
        <f>VLOOKUP(A208,[1]Character!$A:$C,3,0)</f>
        <v>레나스</v>
      </c>
      <c r="C208" s="52" t="str">
        <f>VLOOKUP(A208,[1]Character!$A:$D,4,0)</f>
        <v>오픈</v>
      </c>
      <c r="D208" s="52">
        <v>1010320002</v>
      </c>
      <c r="E208" s="52" t="str">
        <f>VLOOKUP(D208,[1]Character!$A:$C,3,0)</f>
        <v>클레아스</v>
      </c>
      <c r="F208" s="52" t="str">
        <f>VLOOKUP(D208,[1]Character!$A:$D,4,0)</f>
        <v>오픈</v>
      </c>
      <c r="G208" s="53" t="s">
        <v>60</v>
      </c>
    </row>
    <row r="209" spans="1:7">
      <c r="A209" s="54">
        <v>1010730003</v>
      </c>
      <c r="B209" s="3" t="str">
        <f>VLOOKUP(A209,[1]Character!$A:$C,3,0)</f>
        <v>레나스</v>
      </c>
      <c r="C209" s="3" t="str">
        <f>VLOOKUP(A209,[1]Character!$A:$D,4,0)</f>
        <v>오픈</v>
      </c>
      <c r="D209" s="3">
        <v>1010530004</v>
      </c>
      <c r="E209" s="3" t="str">
        <f>VLOOKUP(D209,[1]Character!$A:$C,3,0)</f>
        <v>이노</v>
      </c>
      <c r="F209" s="3" t="str">
        <f>VLOOKUP(D209,[1]Character!$A:$D,4,0)</f>
        <v>오픈</v>
      </c>
      <c r="G209" s="55" t="s">
        <v>60</v>
      </c>
    </row>
    <row r="210" spans="1:7">
      <c r="A210" s="54">
        <v>1010730003</v>
      </c>
      <c r="B210" s="3" t="str">
        <f>VLOOKUP(A210,[1]Character!$A:$C,3,0)</f>
        <v>레나스</v>
      </c>
      <c r="C210" s="3" t="str">
        <f>VLOOKUP(A210,[1]Character!$A:$D,4,0)</f>
        <v>오픈</v>
      </c>
      <c r="D210" s="3">
        <v>1010330001</v>
      </c>
      <c r="E210" s="3" t="str">
        <f>VLOOKUP(D210,[1]Character!$A:$C,3,0)</f>
        <v>마나</v>
      </c>
      <c r="F210" s="3" t="str">
        <f>VLOOKUP(D210,[1]Character!$A:$D,4,0)</f>
        <v>오픈</v>
      </c>
      <c r="G210" s="55" t="s">
        <v>60</v>
      </c>
    </row>
    <row r="211" spans="1:7" ht="17.25" thickBot="1">
      <c r="A211" s="56">
        <v>1010730003</v>
      </c>
      <c r="B211" s="57" t="str">
        <f>VLOOKUP(A211,[1]Character!$A:$C,3,0)</f>
        <v>레나스</v>
      </c>
      <c r="C211" s="57" t="str">
        <f>VLOOKUP(A211,[1]Character!$A:$D,4,0)</f>
        <v>오픈</v>
      </c>
      <c r="D211" s="57">
        <v>1010520005</v>
      </c>
      <c r="E211" s="57" t="str">
        <f>VLOOKUP(D211,[1]Character!$A:$C,3,0)</f>
        <v>페이</v>
      </c>
      <c r="F211" s="57" t="str">
        <f>VLOOKUP(D211,[1]Character!$A:$D,4,0)</f>
        <v>오픈</v>
      </c>
      <c r="G211" s="58" t="s">
        <v>60</v>
      </c>
    </row>
    <row r="212" spans="1:7">
      <c r="A212" s="51">
        <v>1010730004</v>
      </c>
      <c r="B212" s="52" t="str">
        <f>VLOOKUP(A212,[1]Character!$A:$C,3,0)</f>
        <v>라일라</v>
      </c>
      <c r="C212" s="52" t="str">
        <f>VLOOKUP(A212,[1]Character!$A:$D,4,0)</f>
        <v>오픈</v>
      </c>
      <c r="D212" s="52">
        <v>1010520001</v>
      </c>
      <c r="E212" s="52" t="str">
        <f>VLOOKUP(D212,[1]Character!$A:$C,3,0)</f>
        <v>안젤리카</v>
      </c>
      <c r="F212" s="52" t="str">
        <f>VLOOKUP(D212,[1]Character!$A:$D,4,0)</f>
        <v>오픈</v>
      </c>
      <c r="G212" s="53" t="s">
        <v>59</v>
      </c>
    </row>
    <row r="213" spans="1:7">
      <c r="A213" s="54">
        <v>1010730004</v>
      </c>
      <c r="B213" s="3" t="str">
        <f>VLOOKUP(A213,[1]Character!$A:$C,3,0)</f>
        <v>라일라</v>
      </c>
      <c r="C213" s="3" t="str">
        <f>VLOOKUP(A213,[1]Character!$A:$D,4,0)</f>
        <v>오픈</v>
      </c>
      <c r="D213" s="3">
        <v>1010920002</v>
      </c>
      <c r="E213" s="3" t="str">
        <f>VLOOKUP(D213,[1]Character!$A:$C,3,0)</f>
        <v>세라펄사</v>
      </c>
      <c r="F213" s="3" t="str">
        <f>VLOOKUP(D213,[1]Character!$A:$D,4,0)</f>
        <v>오픈</v>
      </c>
      <c r="G213" s="55" t="s">
        <v>59</v>
      </c>
    </row>
    <row r="214" spans="1:7">
      <c r="A214" s="54">
        <v>1010730004</v>
      </c>
      <c r="B214" s="3" t="str">
        <f>VLOOKUP(A214,[1]Character!$A:$C,3,0)</f>
        <v>라일라</v>
      </c>
      <c r="C214" s="3" t="str">
        <f>VLOOKUP(A214,[1]Character!$A:$D,4,0)</f>
        <v>오픈</v>
      </c>
      <c r="D214" s="3">
        <v>1010710002</v>
      </c>
      <c r="E214" s="3" t="str">
        <f>VLOOKUP(D214,[1]Character!$A:$C,3,0)</f>
        <v>다리아</v>
      </c>
      <c r="F214" s="3" t="str">
        <f>VLOOKUP(D214,[1]Character!$A:$D,4,0)</f>
        <v>오픈</v>
      </c>
      <c r="G214" s="55" t="s">
        <v>59</v>
      </c>
    </row>
    <row r="215" spans="1:7" ht="17.25" thickBot="1">
      <c r="A215" s="56">
        <v>1010730004</v>
      </c>
      <c r="B215" s="57" t="str">
        <f>VLOOKUP(A215,[1]Character!$A:$C,3,0)</f>
        <v>라일라</v>
      </c>
      <c r="C215" s="57" t="str">
        <f>VLOOKUP(A215,[1]Character!$A:$D,4,0)</f>
        <v>오픈</v>
      </c>
      <c r="D215" s="57">
        <v>1010530001</v>
      </c>
      <c r="E215" s="57" t="s">
        <v>358</v>
      </c>
      <c r="F215" s="57" t="s">
        <v>413</v>
      </c>
      <c r="G215" s="58" t="s">
        <v>59</v>
      </c>
    </row>
    <row r="216" spans="1:7">
      <c r="A216" s="51">
        <v>1010730004</v>
      </c>
      <c r="B216" s="52" t="str">
        <f>VLOOKUP(A216,[1]Character!$A:$C,3,0)</f>
        <v>라일라</v>
      </c>
      <c r="C216" s="52" t="str">
        <f>VLOOKUP(A216,[1]Character!$A:$D,4,0)</f>
        <v>오픈</v>
      </c>
      <c r="D216" s="52">
        <v>1010520005</v>
      </c>
      <c r="E216" s="52" t="str">
        <f>VLOOKUP(D216,[1]Character!$A:$C,3,0)</f>
        <v>페이</v>
      </c>
      <c r="F216" s="52" t="str">
        <f>VLOOKUP(D216,[1]Character!$A:$D,4,0)</f>
        <v>오픈</v>
      </c>
      <c r="G216" s="53" t="s">
        <v>60</v>
      </c>
    </row>
    <row r="217" spans="1:7">
      <c r="A217" s="54">
        <v>1010730004</v>
      </c>
      <c r="B217" s="3" t="str">
        <f>VLOOKUP(A217,[1]Character!$A:$C,3,0)</f>
        <v>라일라</v>
      </c>
      <c r="C217" s="3" t="str">
        <f>VLOOKUP(A217,[1]Character!$A:$D,4,0)</f>
        <v>오픈</v>
      </c>
      <c r="D217" s="3">
        <v>1010320001</v>
      </c>
      <c r="E217" s="3" t="str">
        <f>VLOOKUP(D217,[1]Character!$A:$C,3,0)</f>
        <v>아이렌</v>
      </c>
      <c r="F217" s="3" t="str">
        <f>VLOOKUP(D217,[1]Character!$A:$D,4,0)</f>
        <v>오픈</v>
      </c>
      <c r="G217" s="55" t="s">
        <v>60</v>
      </c>
    </row>
    <row r="218" spans="1:7">
      <c r="A218" s="54">
        <v>1010730004</v>
      </c>
      <c r="B218" s="3" t="str">
        <f>VLOOKUP(A218,[1]Character!$A:$C,3,0)</f>
        <v>라일라</v>
      </c>
      <c r="C218" s="3" t="str">
        <f>VLOOKUP(A218,[1]Character!$A:$D,4,0)</f>
        <v>오픈</v>
      </c>
      <c r="D218" s="3">
        <v>1010320002</v>
      </c>
      <c r="E218" s="3" t="s">
        <v>346</v>
      </c>
      <c r="F218" s="3" t="s">
        <v>413</v>
      </c>
      <c r="G218" s="55" t="s">
        <v>60</v>
      </c>
    </row>
    <row r="219" spans="1:7" ht="17.25" thickBot="1">
      <c r="A219" s="56">
        <v>1010730004</v>
      </c>
      <c r="B219" s="57" t="str">
        <f>VLOOKUP(A219,[1]Character!$A:$C,3,0)</f>
        <v>라일라</v>
      </c>
      <c r="C219" s="57" t="str">
        <f>VLOOKUP(A219,[1]Character!$A:$D,4,0)</f>
        <v>오픈</v>
      </c>
      <c r="D219" s="57">
        <v>1010510002</v>
      </c>
      <c r="E219" s="57" t="str">
        <f>VLOOKUP(D219,[1]Character!$A:$C,3,0)</f>
        <v>타이나</v>
      </c>
      <c r="F219" s="57" t="str">
        <f>VLOOKUP(D219,[1]Character!$A:$D,4,0)</f>
        <v>오픈</v>
      </c>
      <c r="G219" s="58" t="s">
        <v>60</v>
      </c>
    </row>
    <row r="220" spans="1:7">
      <c r="A220" s="51">
        <v>1010730005</v>
      </c>
      <c r="B220" s="52" t="str">
        <f>VLOOKUP(A220,[1]Character!$A:$C,3,0)</f>
        <v>에리카</v>
      </c>
      <c r="C220" s="52" t="str">
        <f>VLOOKUP(A220,[1]Character!$A:$D,4,0)</f>
        <v>오픈</v>
      </c>
      <c r="D220" s="52">
        <v>1010940003</v>
      </c>
      <c r="E220" s="52" t="str">
        <f>VLOOKUP(D220,[1]Character!$A:$C,3,0)</f>
        <v>레이호우</v>
      </c>
      <c r="F220" s="52" t="str">
        <f>VLOOKUP(D220,[1]Character!$A:$D,4,0)</f>
        <v>오픈</v>
      </c>
      <c r="G220" s="53" t="s">
        <v>59</v>
      </c>
    </row>
    <row r="221" spans="1:7">
      <c r="A221" s="54">
        <v>1010730005</v>
      </c>
      <c r="B221" s="3" t="str">
        <f>VLOOKUP(A221,[1]Character!$A:$C,3,0)</f>
        <v>에리카</v>
      </c>
      <c r="C221" s="3" t="str">
        <f>VLOOKUP(A221,[1]Character!$A:$D,4,0)</f>
        <v>오픈</v>
      </c>
      <c r="D221" s="3">
        <v>1010930005</v>
      </c>
      <c r="E221" s="3" t="str">
        <f>VLOOKUP(D221,[1]Character!$A:$C,3,0)</f>
        <v>아크페이즈</v>
      </c>
      <c r="F221" s="3" t="str">
        <f>VLOOKUP(D221,[1]Character!$A:$D,4,0)</f>
        <v>오픈</v>
      </c>
      <c r="G221" s="55" t="s">
        <v>59</v>
      </c>
    </row>
    <row r="222" spans="1:7">
      <c r="A222" s="54">
        <v>1010730005</v>
      </c>
      <c r="B222" s="3" t="str">
        <f>VLOOKUP(A222,[1]Character!$A:$C,3,0)</f>
        <v>에리카</v>
      </c>
      <c r="C222" s="3" t="str">
        <f>VLOOKUP(A222,[1]Character!$A:$D,4,0)</f>
        <v>오픈</v>
      </c>
      <c r="D222" s="3">
        <v>1010730004</v>
      </c>
      <c r="E222" s="3" t="str">
        <f>VLOOKUP(D222,[1]Character!$A:$C,3,0)</f>
        <v>라일라</v>
      </c>
      <c r="F222" s="3" t="str">
        <f>VLOOKUP(D222,[1]Character!$A:$D,4,0)</f>
        <v>오픈</v>
      </c>
      <c r="G222" s="55" t="s">
        <v>59</v>
      </c>
    </row>
    <row r="223" spans="1:7" ht="17.25" thickBot="1">
      <c r="A223" s="56">
        <v>1010730005</v>
      </c>
      <c r="B223" s="57" t="str">
        <f>VLOOKUP(A223,[1]Character!$A:$C,3,0)</f>
        <v>에리카</v>
      </c>
      <c r="C223" s="57" t="str">
        <f>VLOOKUP(A223,[1]Character!$A:$D,4,0)</f>
        <v>오픈</v>
      </c>
      <c r="D223" s="57">
        <v>1010730001</v>
      </c>
      <c r="E223" s="57" t="str">
        <f>VLOOKUP(D223,[1]Character!$A:$C,3,0)</f>
        <v>쉐리</v>
      </c>
      <c r="F223" s="57" t="str">
        <f>VLOOKUP(D223,[1]Character!$A:$D,4,0)</f>
        <v>오픈</v>
      </c>
      <c r="G223" s="58" t="s">
        <v>59</v>
      </c>
    </row>
    <row r="224" spans="1:7">
      <c r="A224" s="51">
        <v>1010730005</v>
      </c>
      <c r="B224" s="52" t="str">
        <f>VLOOKUP(A224,[1]Character!$A:$C,3,0)</f>
        <v>에리카</v>
      </c>
      <c r="C224" s="52" t="str">
        <f>VLOOKUP(A224,[1]Character!$A:$D,4,0)</f>
        <v>오픈</v>
      </c>
      <c r="D224" s="52">
        <v>1010520003</v>
      </c>
      <c r="E224" s="52" t="str">
        <f>VLOOKUP(D224,[1]Character!$A:$C,3,0)</f>
        <v>유나</v>
      </c>
      <c r="F224" s="52" t="str">
        <f>VLOOKUP(D224,[1]Character!$A:$D,4,0)</f>
        <v>오픈</v>
      </c>
      <c r="G224" s="53" t="s">
        <v>60</v>
      </c>
    </row>
    <row r="225" spans="1:7">
      <c r="A225" s="54">
        <v>1010730005</v>
      </c>
      <c r="B225" s="3" t="str">
        <f>VLOOKUP(A225,[1]Character!$A:$C,3,0)</f>
        <v>에리카</v>
      </c>
      <c r="C225" s="3" t="str">
        <f>VLOOKUP(A225,[1]Character!$A:$D,4,0)</f>
        <v>오픈</v>
      </c>
      <c r="D225" s="3">
        <v>1010340001</v>
      </c>
      <c r="E225" s="3" t="str">
        <f>VLOOKUP(D225,[1]Character!$A:$C,3,0)</f>
        <v>시즈</v>
      </c>
      <c r="F225" s="3" t="str">
        <f>VLOOKUP(D225,[1]Character!$A:$D,4,0)</f>
        <v>오픈</v>
      </c>
      <c r="G225" s="55" t="s">
        <v>60</v>
      </c>
    </row>
    <row r="226" spans="1:7">
      <c r="A226" s="54">
        <v>1010730005</v>
      </c>
      <c r="B226" s="3" t="str">
        <f>VLOOKUP(A226,[1]Character!$A:$C,3,0)</f>
        <v>에리카</v>
      </c>
      <c r="C226" s="3" t="str">
        <f>VLOOKUP(A226,[1]Character!$A:$D,4,0)</f>
        <v>오픈</v>
      </c>
      <c r="D226" s="3">
        <v>1010530001</v>
      </c>
      <c r="E226" s="3" t="str">
        <f>VLOOKUP(D226,[1]Character!$A:$C,3,0)</f>
        <v>에이코</v>
      </c>
      <c r="F226" s="3" t="str">
        <f>VLOOKUP(D226,[1]Character!$A:$D,4,0)</f>
        <v>오픈</v>
      </c>
      <c r="G226" s="55" t="s">
        <v>60</v>
      </c>
    </row>
    <row r="227" spans="1:7" ht="17.25" thickBot="1">
      <c r="A227" s="56">
        <v>1010730005</v>
      </c>
      <c r="B227" s="57" t="str">
        <f>VLOOKUP(A227,[1]Character!$A:$C,3,0)</f>
        <v>에리카</v>
      </c>
      <c r="C227" s="57" t="str">
        <f>VLOOKUP(A227,[1]Character!$A:$D,4,0)</f>
        <v>오픈</v>
      </c>
      <c r="D227" s="57">
        <v>1010520004</v>
      </c>
      <c r="E227" s="57" t="str">
        <f>VLOOKUP(D227,[1]Character!$A:$C,3,0)</f>
        <v>그레이</v>
      </c>
      <c r="F227" s="57" t="str">
        <f>VLOOKUP(D227,[1]Character!$A:$D,4,0)</f>
        <v>오픈</v>
      </c>
      <c r="G227" s="58" t="s">
        <v>60</v>
      </c>
    </row>
    <row r="228" spans="1:7">
      <c r="A228" s="51">
        <v>1010530001</v>
      </c>
      <c r="B228" s="52" t="str">
        <f>VLOOKUP(A228,[1]Character!$A:$C,3,0)</f>
        <v>에이코</v>
      </c>
      <c r="C228" s="52" t="str">
        <f>VLOOKUP(A228,[1]Character!$A:$D,4,0)</f>
        <v>오픈</v>
      </c>
      <c r="D228" s="52">
        <v>1010330001</v>
      </c>
      <c r="E228" s="52" t="str">
        <f>VLOOKUP(D228,[1]Character!$A:$C,3,0)</f>
        <v>마나</v>
      </c>
      <c r="F228" s="52" t="str">
        <f>VLOOKUP(D228,[1]Character!$A:$D,4,0)</f>
        <v>오픈</v>
      </c>
      <c r="G228" s="53" t="s">
        <v>59</v>
      </c>
    </row>
    <row r="229" spans="1:7">
      <c r="A229" s="54">
        <v>1010530001</v>
      </c>
      <c r="B229" s="3" t="str">
        <f>VLOOKUP(A229,[1]Character!$A:$C,3,0)</f>
        <v>에이코</v>
      </c>
      <c r="C229" s="3" t="str">
        <f>VLOOKUP(A229,[1]Character!$A:$D,4,0)</f>
        <v>오픈</v>
      </c>
      <c r="D229" s="3">
        <v>1010520003</v>
      </c>
      <c r="E229" s="3" t="str">
        <f>VLOOKUP(D229,[1]Character!$A:$C,3,0)</f>
        <v>유나</v>
      </c>
      <c r="F229" s="3" t="str">
        <f>VLOOKUP(D229,[1]Character!$A:$D,4,0)</f>
        <v>오픈</v>
      </c>
      <c r="G229" s="55" t="s">
        <v>59</v>
      </c>
    </row>
    <row r="230" spans="1:7">
      <c r="A230" s="54">
        <v>1010530001</v>
      </c>
      <c r="B230" s="3" t="str">
        <f>VLOOKUP(A230,[1]Character!$A:$C,3,0)</f>
        <v>에이코</v>
      </c>
      <c r="C230" s="3" t="str">
        <f>VLOOKUP(A230,[1]Character!$A:$D,4,0)</f>
        <v>오픈</v>
      </c>
      <c r="D230" s="3">
        <v>1010710001</v>
      </c>
      <c r="E230" s="3" t="str">
        <f>VLOOKUP(D230,[1]Character!$A:$C,3,0)</f>
        <v>릴리안</v>
      </c>
      <c r="F230" s="3" t="str">
        <f>VLOOKUP(D230,[1]Character!$A:$D,4,0)</f>
        <v>오픈</v>
      </c>
      <c r="G230" s="55" t="s">
        <v>59</v>
      </c>
    </row>
    <row r="231" spans="1:7" ht="17.25" thickBot="1">
      <c r="A231" s="56">
        <v>1010530001</v>
      </c>
      <c r="B231" s="57" t="str">
        <f>VLOOKUP(A231,[1]Character!$A:$C,3,0)</f>
        <v>에이코</v>
      </c>
      <c r="C231" s="57" t="str">
        <f>VLOOKUP(A231,[1]Character!$A:$D,4,0)</f>
        <v>오픈</v>
      </c>
      <c r="D231" s="57">
        <v>1010910002</v>
      </c>
      <c r="E231" s="57" t="str">
        <f>VLOOKUP(D231,[1]Character!$A:$C,3,0)</f>
        <v>메리샤</v>
      </c>
      <c r="F231" s="57" t="str">
        <f>VLOOKUP(D231,[1]Character!$A:$D,4,0)</f>
        <v>오픈</v>
      </c>
      <c r="G231" s="58" t="s">
        <v>59</v>
      </c>
    </row>
    <row r="232" spans="1:7">
      <c r="A232" s="51">
        <v>1010530001</v>
      </c>
      <c r="B232" s="52" t="str">
        <f>VLOOKUP(A232,[1]Character!$A:$C,3,0)</f>
        <v>에이코</v>
      </c>
      <c r="C232" s="52" t="str">
        <f>VLOOKUP(A232,[1]Character!$A:$D,4,0)</f>
        <v>오픈</v>
      </c>
      <c r="D232" s="52">
        <v>1010330002</v>
      </c>
      <c r="E232" s="52" t="str">
        <f>VLOOKUP(D232,[1]Character!$A:$C,3,0)</f>
        <v>오로라</v>
      </c>
      <c r="F232" s="52" t="str">
        <f>VLOOKUP(D232,[1]Character!$A:$D,4,0)</f>
        <v>오픈</v>
      </c>
      <c r="G232" s="53" t="s">
        <v>60</v>
      </c>
    </row>
    <row r="233" spans="1:7">
      <c r="A233" s="54">
        <v>1010530001</v>
      </c>
      <c r="B233" s="3" t="str">
        <f>VLOOKUP(A233,[1]Character!$A:$C,3,0)</f>
        <v>에이코</v>
      </c>
      <c r="C233" s="3" t="str">
        <f>VLOOKUP(A233,[1]Character!$A:$D,4,0)</f>
        <v>오픈</v>
      </c>
      <c r="D233" s="3">
        <v>1010730005</v>
      </c>
      <c r="E233" s="3" t="str">
        <f>VLOOKUP(D233,[1]Character!$A:$C,3,0)</f>
        <v>에리카</v>
      </c>
      <c r="F233" s="3" t="str">
        <f>VLOOKUP(D233,[1]Character!$A:$D,4,0)</f>
        <v>오픈</v>
      </c>
      <c r="G233" s="55" t="s">
        <v>60</v>
      </c>
    </row>
    <row r="234" spans="1:7">
      <c r="A234" s="54">
        <v>1010530001</v>
      </c>
      <c r="B234" s="3" t="str">
        <f>VLOOKUP(A234,[1]Character!$A:$C,3,0)</f>
        <v>에이코</v>
      </c>
      <c r="C234" s="3" t="str">
        <f>VLOOKUP(A234,[1]Character!$A:$D,4,0)</f>
        <v>오픈</v>
      </c>
      <c r="D234" s="3">
        <v>1010340001</v>
      </c>
      <c r="E234" s="3" t="str">
        <f>VLOOKUP(D234,[1]Character!$A:$C,3,0)</f>
        <v>시즈</v>
      </c>
      <c r="F234" s="3" t="str">
        <f>VLOOKUP(D234,[1]Character!$A:$D,4,0)</f>
        <v>오픈</v>
      </c>
      <c r="G234" s="55" t="s">
        <v>60</v>
      </c>
    </row>
    <row r="235" spans="1:7" ht="17.25" thickBot="1">
      <c r="A235" s="56">
        <v>1010530001</v>
      </c>
      <c r="B235" s="57" t="str">
        <f>VLOOKUP(A235,[1]Character!$A:$C,3,0)</f>
        <v>에이코</v>
      </c>
      <c r="C235" s="57" t="str">
        <f>VLOOKUP(A235,[1]Character!$A:$D,4,0)</f>
        <v>오픈</v>
      </c>
      <c r="D235" s="57">
        <v>1010510002</v>
      </c>
      <c r="E235" s="57" t="str">
        <f>VLOOKUP(D235,[1]Character!$A:$C,3,0)</f>
        <v>타이나</v>
      </c>
      <c r="F235" s="57" t="str">
        <f>VLOOKUP(D235,[1]Character!$A:$D,4,0)</f>
        <v>오픈</v>
      </c>
      <c r="G235" s="58" t="s">
        <v>60</v>
      </c>
    </row>
    <row r="236" spans="1:7">
      <c r="A236" s="51">
        <v>1010530002</v>
      </c>
      <c r="B236" s="52" t="str">
        <f>VLOOKUP(A236,[1]Character!$A:$C,3,0)</f>
        <v>크림슨</v>
      </c>
      <c r="C236" s="52" t="str">
        <f>VLOOKUP(A236,[1]Character!$A:$D,4,0)</f>
        <v>오픈</v>
      </c>
      <c r="D236" s="52">
        <v>1010520002</v>
      </c>
      <c r="E236" s="52" t="str">
        <f>VLOOKUP(D236,[1]Character!$A:$C,3,0)</f>
        <v>브륀힐데</v>
      </c>
      <c r="F236" s="52" t="str">
        <f>VLOOKUP(D236,[1]Character!$A:$D,4,0)</f>
        <v>오픈</v>
      </c>
      <c r="G236" s="53" t="s">
        <v>59</v>
      </c>
    </row>
    <row r="237" spans="1:7">
      <c r="A237" s="54">
        <v>1010530002</v>
      </c>
      <c r="B237" s="3" t="str">
        <f>VLOOKUP(A237,[1]Character!$A:$C,3,0)</f>
        <v>크림슨</v>
      </c>
      <c r="C237" s="3" t="str">
        <f>VLOOKUP(A237,[1]Character!$A:$D,4,0)</f>
        <v>오픈</v>
      </c>
      <c r="D237" s="3">
        <v>1010730001</v>
      </c>
      <c r="E237" s="3" t="str">
        <f>VLOOKUP(D237,[1]Character!$A:$C,3,0)</f>
        <v>쉐리</v>
      </c>
      <c r="F237" s="3" t="str">
        <f>VLOOKUP(D237,[1]Character!$A:$D,4,0)</f>
        <v>오픈</v>
      </c>
      <c r="G237" s="55" t="s">
        <v>59</v>
      </c>
    </row>
    <row r="238" spans="1:7">
      <c r="A238" s="54">
        <v>1010530002</v>
      </c>
      <c r="B238" s="3" t="str">
        <f>VLOOKUP(A238,[1]Character!$A:$C,3,0)</f>
        <v>크림슨</v>
      </c>
      <c r="C238" s="3" t="str">
        <f>VLOOKUP(A238,[1]Character!$A:$D,4,0)</f>
        <v>오픈</v>
      </c>
      <c r="D238" s="3">
        <v>1010530004</v>
      </c>
      <c r="E238" s="3" t="str">
        <f>VLOOKUP(D238,[1]Character!$A:$C,3,0)</f>
        <v>이노</v>
      </c>
      <c r="F238" s="3" t="str">
        <f>VLOOKUP(D238,[1]Character!$A:$D,4,0)</f>
        <v>오픈</v>
      </c>
      <c r="G238" s="55" t="s">
        <v>59</v>
      </c>
    </row>
    <row r="239" spans="1:7" ht="17.25" thickBot="1">
      <c r="A239" s="56">
        <v>1010530002</v>
      </c>
      <c r="B239" s="57" t="str">
        <f>VLOOKUP(A239,[1]Character!$A:$C,3,0)</f>
        <v>크림슨</v>
      </c>
      <c r="C239" s="57" t="str">
        <f>VLOOKUP(A239,[1]Character!$A:$D,4,0)</f>
        <v>오픈</v>
      </c>
      <c r="D239" s="57">
        <v>1010320001</v>
      </c>
      <c r="E239" s="57" t="s">
        <v>345</v>
      </c>
      <c r="F239" s="57" t="s">
        <v>413</v>
      </c>
      <c r="G239" s="58" t="s">
        <v>59</v>
      </c>
    </row>
    <row r="240" spans="1:7">
      <c r="A240" s="51">
        <v>1010530002</v>
      </c>
      <c r="B240" s="52" t="str">
        <f>VLOOKUP(A240,[1]Character!$A:$C,3,0)</f>
        <v>크림슨</v>
      </c>
      <c r="C240" s="52" t="str">
        <f>VLOOKUP(A240,[1]Character!$A:$D,4,0)</f>
        <v>오픈</v>
      </c>
      <c r="D240" s="52">
        <v>1010530003</v>
      </c>
      <c r="E240" s="52" t="str">
        <f>VLOOKUP(D240,[1]Character!$A:$C,3,0)</f>
        <v>페렐</v>
      </c>
      <c r="F240" s="52" t="str">
        <f>VLOOKUP(D240,[1]Character!$A:$D,4,0)</f>
        <v>오픈</v>
      </c>
      <c r="G240" s="53" t="s">
        <v>60</v>
      </c>
    </row>
    <row r="241" spans="1:7">
      <c r="A241" s="54">
        <v>1010530002</v>
      </c>
      <c r="B241" s="3" t="str">
        <f>VLOOKUP(A241,[1]Character!$A:$C,3,0)</f>
        <v>크림슨</v>
      </c>
      <c r="C241" s="3" t="str">
        <f>VLOOKUP(A241,[1]Character!$A:$D,4,0)</f>
        <v>오픈</v>
      </c>
      <c r="D241" s="3">
        <v>1010720004</v>
      </c>
      <c r="E241" s="3" t="str">
        <f>VLOOKUP(D241,[1]Character!$A:$C,3,0)</f>
        <v>발렌시아</v>
      </c>
      <c r="F241" s="3" t="str">
        <f>VLOOKUP(D241,[1]Character!$A:$D,4,0)</f>
        <v>오픈</v>
      </c>
      <c r="G241" s="55" t="s">
        <v>60</v>
      </c>
    </row>
    <row r="242" spans="1:7">
      <c r="A242" s="54">
        <v>1010530002</v>
      </c>
      <c r="B242" s="3" t="str">
        <f>VLOOKUP(A242,[1]Character!$A:$C,3,0)</f>
        <v>크림슨</v>
      </c>
      <c r="C242" s="3" t="str">
        <f>VLOOKUP(A242,[1]Character!$A:$D,4,0)</f>
        <v>오픈</v>
      </c>
      <c r="D242" s="3">
        <v>1010920003</v>
      </c>
      <c r="E242" s="3" t="str">
        <f>VLOOKUP(D242,[1]Character!$A:$C,3,0)</f>
        <v>아이라스</v>
      </c>
      <c r="F242" s="3" t="str">
        <f>VLOOKUP(D242,[1]Character!$A:$D,4,0)</f>
        <v>오픈</v>
      </c>
      <c r="G242" s="55" t="s">
        <v>60</v>
      </c>
    </row>
    <row r="243" spans="1:7" ht="17.25" thickBot="1">
      <c r="A243" s="56">
        <v>1010530002</v>
      </c>
      <c r="B243" s="57" t="str">
        <f>VLOOKUP(A243,[1]Character!$A:$C,3,0)</f>
        <v>크림슨</v>
      </c>
      <c r="C243" s="57" t="str">
        <f>VLOOKUP(A243,[1]Character!$A:$D,4,0)</f>
        <v>오픈</v>
      </c>
      <c r="D243" s="57">
        <v>1010530001</v>
      </c>
      <c r="E243" s="57" t="str">
        <f>VLOOKUP(D243,[1]Character!$A:$C,3,0)</f>
        <v>에이코</v>
      </c>
      <c r="F243" s="57" t="str">
        <f>VLOOKUP(D243,[1]Character!$A:$D,4,0)</f>
        <v>오픈</v>
      </c>
      <c r="G243" s="58" t="s">
        <v>60</v>
      </c>
    </row>
    <row r="244" spans="1:7">
      <c r="A244" s="51">
        <v>1010530003</v>
      </c>
      <c r="B244" s="52" t="str">
        <f>VLOOKUP(A244,[1]Character!$A:$C,3,0)</f>
        <v>페렐</v>
      </c>
      <c r="C244" s="52" t="str">
        <f>VLOOKUP(A244,[1]Character!$A:$D,4,0)</f>
        <v>오픈</v>
      </c>
      <c r="D244" s="52">
        <v>1010710002</v>
      </c>
      <c r="E244" s="52" t="str">
        <f>VLOOKUP(D244,[1]Character!$A:$C,3,0)</f>
        <v>다리아</v>
      </c>
      <c r="F244" s="52" t="str">
        <f>VLOOKUP(D244,[1]Character!$A:$D,4,0)</f>
        <v>오픈</v>
      </c>
      <c r="G244" s="53" t="s">
        <v>59</v>
      </c>
    </row>
    <row r="245" spans="1:7">
      <c r="A245" s="54">
        <v>1010530003</v>
      </c>
      <c r="B245" s="3" t="str">
        <f>VLOOKUP(A245,[1]Character!$A:$C,3,0)</f>
        <v>페렐</v>
      </c>
      <c r="C245" s="3" t="str">
        <f>VLOOKUP(A245,[1]Character!$A:$D,4,0)</f>
        <v>오픈</v>
      </c>
      <c r="D245" s="3">
        <v>1010720006</v>
      </c>
      <c r="E245" s="3" t="str">
        <f>VLOOKUP(D245,[1]Character!$A:$C,3,0)</f>
        <v>베르베타</v>
      </c>
      <c r="F245" s="3" t="str">
        <f>VLOOKUP(D245,[1]Character!$A:$D,4,0)</f>
        <v>오픈</v>
      </c>
      <c r="G245" s="55" t="s">
        <v>59</v>
      </c>
    </row>
    <row r="246" spans="1:7">
      <c r="A246" s="54">
        <v>1010530003</v>
      </c>
      <c r="B246" s="3" t="str">
        <f>VLOOKUP(A246,[1]Character!$A:$C,3,0)</f>
        <v>페렐</v>
      </c>
      <c r="C246" s="3" t="str">
        <f>VLOOKUP(A246,[1]Character!$A:$D,4,0)</f>
        <v>오픈</v>
      </c>
      <c r="D246" s="3">
        <v>1010910002</v>
      </c>
      <c r="E246" s="3" t="str">
        <f>VLOOKUP(D246,[1]Character!$A:$C,3,0)</f>
        <v>메리샤</v>
      </c>
      <c r="F246" s="3" t="str">
        <f>VLOOKUP(D246,[1]Character!$A:$D,4,0)</f>
        <v>오픈</v>
      </c>
      <c r="G246" s="55" t="s">
        <v>59</v>
      </c>
    </row>
    <row r="247" spans="1:7" ht="17.25" thickBot="1">
      <c r="A247" s="56">
        <v>1010530003</v>
      </c>
      <c r="B247" s="57" t="str">
        <f>VLOOKUP(A247,[1]Character!$A:$C,3,0)</f>
        <v>페렐</v>
      </c>
      <c r="C247" s="57" t="str">
        <f>VLOOKUP(A247,[1]Character!$A:$D,4,0)</f>
        <v>오픈</v>
      </c>
      <c r="D247" s="57">
        <v>1010520004</v>
      </c>
      <c r="E247" s="57" t="str">
        <f>VLOOKUP(D247,[1]Character!$A:$C,3,0)</f>
        <v>그레이</v>
      </c>
      <c r="F247" s="57" t="str">
        <f>VLOOKUP(D247,[1]Character!$A:$D,4,0)</f>
        <v>오픈</v>
      </c>
      <c r="G247" s="58" t="s">
        <v>59</v>
      </c>
    </row>
    <row r="248" spans="1:7">
      <c r="A248" s="51">
        <v>1010530003</v>
      </c>
      <c r="B248" s="52" t="str">
        <f>VLOOKUP(A248,[1]Character!$A:$C,3,0)</f>
        <v>페렐</v>
      </c>
      <c r="C248" s="52" t="str">
        <f>VLOOKUP(A248,[1]Character!$A:$D,4,0)</f>
        <v>오픈</v>
      </c>
      <c r="D248" s="52">
        <v>1010310001</v>
      </c>
      <c r="E248" s="52" t="str">
        <f>VLOOKUP(D248,[1]Character!$A:$C,3,0)</f>
        <v>다이아나</v>
      </c>
      <c r="F248" s="52" t="str">
        <f>VLOOKUP(D248,[1]Character!$A:$D,4,0)</f>
        <v>오픈</v>
      </c>
      <c r="G248" s="53" t="s">
        <v>60</v>
      </c>
    </row>
    <row r="249" spans="1:7">
      <c r="A249" s="54">
        <v>1010530003</v>
      </c>
      <c r="B249" s="3" t="str">
        <f>VLOOKUP(A249,[1]Character!$A:$C,3,0)</f>
        <v>페렐</v>
      </c>
      <c r="C249" s="3" t="str">
        <f>VLOOKUP(A249,[1]Character!$A:$D,4,0)</f>
        <v>오픈</v>
      </c>
      <c r="D249" s="3">
        <v>1010320001</v>
      </c>
      <c r="E249" s="3" t="str">
        <f>VLOOKUP(D249,[1]Character!$A:$C,3,0)</f>
        <v>아이렌</v>
      </c>
      <c r="F249" s="3" t="str">
        <f>VLOOKUP(D249,[1]Character!$A:$D,4,0)</f>
        <v>오픈</v>
      </c>
      <c r="G249" s="55" t="s">
        <v>60</v>
      </c>
    </row>
    <row r="250" spans="1:7">
      <c r="A250" s="54">
        <v>1010530003</v>
      </c>
      <c r="B250" s="3" t="str">
        <f>VLOOKUP(A250,[1]Character!$A:$C,3,0)</f>
        <v>페렐</v>
      </c>
      <c r="C250" s="3" t="str">
        <f>VLOOKUP(A250,[1]Character!$A:$D,4,0)</f>
        <v>오픈</v>
      </c>
      <c r="D250" s="3">
        <v>1010940002</v>
      </c>
      <c r="E250" s="3" t="str">
        <f>VLOOKUP(D250,[1]Character!$A:$C,3,0)</f>
        <v>샤레</v>
      </c>
      <c r="F250" s="3" t="str">
        <f>VLOOKUP(D250,[1]Character!$A:$D,4,0)</f>
        <v>오픈</v>
      </c>
      <c r="G250" s="55" t="s">
        <v>60</v>
      </c>
    </row>
    <row r="251" spans="1:7" ht="17.25" thickBot="1">
      <c r="A251" s="56">
        <v>1010530003</v>
      </c>
      <c r="B251" s="57" t="str">
        <f>VLOOKUP(A251,[1]Character!$A:$C,3,0)</f>
        <v>페렐</v>
      </c>
      <c r="C251" s="57" t="str">
        <f>VLOOKUP(A251,[1]Character!$A:$D,4,0)</f>
        <v>오픈</v>
      </c>
      <c r="D251" s="57">
        <v>1010510002</v>
      </c>
      <c r="E251" s="57" t="str">
        <f>VLOOKUP(D251,[1]Character!$A:$C,3,0)</f>
        <v>타이나</v>
      </c>
      <c r="F251" s="57" t="str">
        <f>VLOOKUP(D251,[1]Character!$A:$D,4,0)</f>
        <v>오픈</v>
      </c>
      <c r="G251" s="58" t="s">
        <v>60</v>
      </c>
    </row>
    <row r="252" spans="1:7">
      <c r="A252" s="51">
        <v>1010530004</v>
      </c>
      <c r="B252" s="52" t="str">
        <f>VLOOKUP(A252,[1]Character!$A:$C,3,0)</f>
        <v>이노</v>
      </c>
      <c r="C252" s="52" t="str">
        <f>VLOOKUP(A252,[1]Character!$A:$D,4,0)</f>
        <v>오픈</v>
      </c>
      <c r="D252" s="52">
        <v>1010730004</v>
      </c>
      <c r="E252" s="52" t="str">
        <f>VLOOKUP(D252,[1]Character!$A:$C,3,0)</f>
        <v>라일라</v>
      </c>
      <c r="F252" s="52" t="str">
        <f>VLOOKUP(D252,[1]Character!$A:$D,4,0)</f>
        <v>오픈</v>
      </c>
      <c r="G252" s="53" t="s">
        <v>59</v>
      </c>
    </row>
    <row r="253" spans="1:7">
      <c r="A253" s="54">
        <v>1010530004</v>
      </c>
      <c r="B253" s="3" t="str">
        <f>VLOOKUP(A253,[1]Character!$A:$C,3,0)</f>
        <v>이노</v>
      </c>
      <c r="C253" s="3" t="str">
        <f>VLOOKUP(A253,[1]Character!$A:$D,4,0)</f>
        <v>오픈</v>
      </c>
      <c r="D253" s="3">
        <v>1010730001</v>
      </c>
      <c r="E253" s="3" t="str">
        <f>VLOOKUP(D253,[1]Character!$A:$C,3,0)</f>
        <v>쉐리</v>
      </c>
      <c r="F253" s="3" t="str">
        <f>VLOOKUP(D253,[1]Character!$A:$D,4,0)</f>
        <v>오픈</v>
      </c>
      <c r="G253" s="55" t="s">
        <v>59</v>
      </c>
    </row>
    <row r="254" spans="1:7">
      <c r="A254" s="54">
        <v>1010530004</v>
      </c>
      <c r="B254" s="3" t="str">
        <f>VLOOKUP(A254,[1]Character!$A:$C,3,0)</f>
        <v>이노</v>
      </c>
      <c r="C254" s="3" t="str">
        <f>VLOOKUP(A254,[1]Character!$A:$D,4,0)</f>
        <v>오픈</v>
      </c>
      <c r="D254" s="3">
        <v>1010920004</v>
      </c>
      <c r="E254" s="3" t="str">
        <f>VLOOKUP(D254,[1]Character!$A:$C,3,0)</f>
        <v>앰브로시아</v>
      </c>
      <c r="F254" s="3" t="str">
        <f>VLOOKUP(D254,[1]Character!$A:$D,4,0)</f>
        <v>오픈</v>
      </c>
      <c r="G254" s="55" t="s">
        <v>59</v>
      </c>
    </row>
    <row r="255" spans="1:7" ht="17.25" thickBot="1">
      <c r="A255" s="56">
        <v>1010530004</v>
      </c>
      <c r="B255" s="57" t="str">
        <f>VLOOKUP(A255,[1]Character!$A:$C,3,0)</f>
        <v>이노</v>
      </c>
      <c r="C255" s="57" t="str">
        <f>VLOOKUP(A255,[1]Character!$A:$D,4,0)</f>
        <v>오픈</v>
      </c>
      <c r="D255" s="57">
        <v>1010530003</v>
      </c>
      <c r="E255" s="57" t="str">
        <f>VLOOKUP(D255,[1]Character!$A:$C,3,0)</f>
        <v>페렐</v>
      </c>
      <c r="F255" s="57" t="str">
        <f>VLOOKUP(D255,[1]Character!$A:$D,4,0)</f>
        <v>오픈</v>
      </c>
      <c r="G255" s="58" t="s">
        <v>59</v>
      </c>
    </row>
    <row r="256" spans="1:7">
      <c r="A256" s="51">
        <v>1010530004</v>
      </c>
      <c r="B256" s="52" t="str">
        <f>VLOOKUP(A256,[1]Character!$A:$C,3,0)</f>
        <v>이노</v>
      </c>
      <c r="C256" s="52" t="str">
        <f>VLOOKUP(A256,[1]Character!$A:$D,4,0)</f>
        <v>오픈</v>
      </c>
      <c r="D256" s="52">
        <v>1010340001</v>
      </c>
      <c r="E256" s="52" t="str">
        <f>VLOOKUP(D256,[1]Character!$A:$C,3,0)</f>
        <v>시즈</v>
      </c>
      <c r="F256" s="52" t="str">
        <f>VLOOKUP(D256,[1]Character!$A:$D,4,0)</f>
        <v>오픈</v>
      </c>
      <c r="G256" s="53" t="s">
        <v>60</v>
      </c>
    </row>
    <row r="257" spans="1:7">
      <c r="A257" s="54">
        <v>1010530004</v>
      </c>
      <c r="B257" s="3" t="str">
        <f>VLOOKUP(A257,[1]Character!$A:$C,3,0)</f>
        <v>이노</v>
      </c>
      <c r="C257" s="3" t="str">
        <f>VLOOKUP(A257,[1]Character!$A:$D,4,0)</f>
        <v>오픈</v>
      </c>
      <c r="D257" s="3">
        <v>1010330001</v>
      </c>
      <c r="E257" s="3" t="str">
        <f>VLOOKUP(D257,[1]Character!$A:$C,3,0)</f>
        <v>마나</v>
      </c>
      <c r="F257" s="3" t="str">
        <f>VLOOKUP(D257,[1]Character!$A:$D,4,0)</f>
        <v>오픈</v>
      </c>
      <c r="G257" s="55" t="s">
        <v>60</v>
      </c>
    </row>
    <row r="258" spans="1:7">
      <c r="A258" s="54">
        <v>1010530004</v>
      </c>
      <c r="B258" s="3" t="str">
        <f>VLOOKUP(A258,[1]Character!$A:$C,3,0)</f>
        <v>이노</v>
      </c>
      <c r="C258" s="3" t="str">
        <f>VLOOKUP(A258,[1]Character!$A:$D,4,0)</f>
        <v>오픈</v>
      </c>
      <c r="D258" s="3">
        <v>1010310001</v>
      </c>
      <c r="E258" s="3" t="str">
        <f>VLOOKUP(D258,[1]Character!$A:$C,3,0)</f>
        <v>다이아나</v>
      </c>
      <c r="F258" s="3" t="str">
        <f>VLOOKUP(D258,[1]Character!$A:$D,4,0)</f>
        <v>오픈</v>
      </c>
      <c r="G258" s="55" t="s">
        <v>60</v>
      </c>
    </row>
    <row r="259" spans="1:7" ht="17.25" thickBot="1">
      <c r="A259" s="56">
        <v>1010530004</v>
      </c>
      <c r="B259" s="57" t="str">
        <f>VLOOKUP(A259,[1]Character!$A:$C,3,0)</f>
        <v>이노</v>
      </c>
      <c r="C259" s="57" t="str">
        <f>VLOOKUP(A259,[1]Character!$A:$D,4,0)</f>
        <v>오픈</v>
      </c>
      <c r="D259" s="57">
        <v>1010520004</v>
      </c>
      <c r="E259" s="57" t="s">
        <v>343</v>
      </c>
      <c r="F259" s="57" t="s">
        <v>413</v>
      </c>
      <c r="G259" s="58" t="s">
        <v>60</v>
      </c>
    </row>
    <row r="260" spans="1:7">
      <c r="A260" s="51">
        <v>1010330001</v>
      </c>
      <c r="B260" s="52" t="str">
        <f>VLOOKUP(A260,[1]Character!$A:$C,3,0)</f>
        <v>마나</v>
      </c>
      <c r="C260" s="52" t="str">
        <f>VLOOKUP(A260,[1]Character!$A:$D,4,0)</f>
        <v>오픈</v>
      </c>
      <c r="D260" s="52">
        <v>1010330002</v>
      </c>
      <c r="E260" s="52" t="str">
        <f>VLOOKUP(D260,[1]Character!$A:$C,3,0)</f>
        <v>오로라</v>
      </c>
      <c r="F260" s="52" t="str">
        <f>VLOOKUP(D260,[1]Character!$A:$D,4,0)</f>
        <v>오픈</v>
      </c>
      <c r="G260" s="53" t="s">
        <v>59</v>
      </c>
    </row>
    <row r="261" spans="1:7">
      <c r="A261" s="54">
        <v>1010330001</v>
      </c>
      <c r="B261" s="3" t="str">
        <f>VLOOKUP(A261,[1]Character!$A:$C,3,0)</f>
        <v>마나</v>
      </c>
      <c r="C261" s="3" t="str">
        <f>VLOOKUP(A261,[1]Character!$A:$D,4,0)</f>
        <v>오픈</v>
      </c>
      <c r="D261" s="3">
        <v>1010530001</v>
      </c>
      <c r="E261" s="3" t="str">
        <f>VLOOKUP(D261,[1]Character!$A:$C,3,0)</f>
        <v>에이코</v>
      </c>
      <c r="F261" s="3" t="str">
        <f>VLOOKUP(D261,[1]Character!$A:$D,4,0)</f>
        <v>오픈</v>
      </c>
      <c r="G261" s="55" t="s">
        <v>59</v>
      </c>
    </row>
    <row r="262" spans="1:7">
      <c r="A262" s="54">
        <v>1010330001</v>
      </c>
      <c r="B262" s="3" t="str">
        <f>VLOOKUP(A262,[1]Character!$A:$C,3,0)</f>
        <v>마나</v>
      </c>
      <c r="C262" s="3" t="str">
        <f>VLOOKUP(A262,[1]Character!$A:$D,4,0)</f>
        <v>오픈</v>
      </c>
      <c r="D262" s="3">
        <v>1010710003</v>
      </c>
      <c r="E262" s="3" t="str">
        <f>VLOOKUP(D262,[1]Character!$A:$C,3,0)</f>
        <v>스노프릴</v>
      </c>
      <c r="F262" s="3" t="str">
        <f>VLOOKUP(D262,[1]Character!$A:$D,4,0)</f>
        <v>오픈</v>
      </c>
      <c r="G262" s="55" t="s">
        <v>59</v>
      </c>
    </row>
    <row r="263" spans="1:7" ht="17.25" thickBot="1">
      <c r="A263" s="56">
        <v>1010330001</v>
      </c>
      <c r="B263" s="57" t="str">
        <f>VLOOKUP(A263,[1]Character!$A:$C,3,0)</f>
        <v>마나</v>
      </c>
      <c r="C263" s="57" t="str">
        <f>VLOOKUP(A263,[1]Character!$A:$D,4,0)</f>
        <v>오픈</v>
      </c>
      <c r="D263" s="57">
        <v>1010520003</v>
      </c>
      <c r="E263" s="57" t="str">
        <f>VLOOKUP(D263,[1]Character!$A:$C,3,0)</f>
        <v>유나</v>
      </c>
      <c r="F263" s="57" t="str">
        <f>VLOOKUP(D263,[1]Character!$A:$D,4,0)</f>
        <v>오픈</v>
      </c>
      <c r="G263" s="58" t="s">
        <v>59</v>
      </c>
    </row>
    <row r="264" spans="1:7">
      <c r="A264" s="51">
        <v>1010330001</v>
      </c>
      <c r="B264" s="52" t="str">
        <f>VLOOKUP(A264,[1]Character!$A:$C,3,0)</f>
        <v>마나</v>
      </c>
      <c r="C264" s="52" t="str">
        <f>VLOOKUP(A264,[1]Character!$A:$D,4,0)</f>
        <v>오픈</v>
      </c>
      <c r="D264" s="52">
        <v>1010530004</v>
      </c>
      <c r="E264" s="52" t="str">
        <f>VLOOKUP(D264,[1]Character!$A:$C,3,0)</f>
        <v>이노</v>
      </c>
      <c r="F264" s="52" t="str">
        <f>VLOOKUP(D264,[1]Character!$A:$D,4,0)</f>
        <v>오픈</v>
      </c>
      <c r="G264" s="53" t="s">
        <v>60</v>
      </c>
    </row>
    <row r="265" spans="1:7">
      <c r="A265" s="54">
        <v>1010330001</v>
      </c>
      <c r="B265" s="3" t="str">
        <f>VLOOKUP(A265,[1]Character!$A:$C,3,0)</f>
        <v>마나</v>
      </c>
      <c r="C265" s="3" t="str">
        <f>VLOOKUP(A265,[1]Character!$A:$D,4,0)</f>
        <v>오픈</v>
      </c>
      <c r="D265" s="3">
        <v>1010520004</v>
      </c>
      <c r="E265" s="3" t="str">
        <f>VLOOKUP(D265,[1]Character!$A:$C,3,0)</f>
        <v>그레이</v>
      </c>
      <c r="F265" s="3" t="str">
        <f>VLOOKUP(D265,[1]Character!$A:$D,4,0)</f>
        <v>오픈</v>
      </c>
      <c r="G265" s="55" t="s">
        <v>60</v>
      </c>
    </row>
    <row r="266" spans="1:7">
      <c r="A266" s="54">
        <v>1010330001</v>
      </c>
      <c r="B266" s="3" t="str">
        <f>VLOOKUP(A266,[1]Character!$A:$C,3,0)</f>
        <v>마나</v>
      </c>
      <c r="C266" s="3" t="str">
        <f>VLOOKUP(A266,[1]Character!$A:$D,4,0)</f>
        <v>오픈</v>
      </c>
      <c r="D266" s="3">
        <v>1010320002</v>
      </c>
      <c r="E266" s="3" t="str">
        <f>VLOOKUP(D266,[1]Character!$A:$C,3,0)</f>
        <v>클레아스</v>
      </c>
      <c r="F266" s="3" t="str">
        <f>VLOOKUP(D266,[1]Character!$A:$D,4,0)</f>
        <v>오픈</v>
      </c>
      <c r="G266" s="55" t="s">
        <v>60</v>
      </c>
    </row>
    <row r="267" spans="1:7" ht="17.25" thickBot="1">
      <c r="A267" s="56">
        <v>1010330001</v>
      </c>
      <c r="B267" s="57" t="str">
        <f>VLOOKUP(A267,[1]Character!$A:$C,3,0)</f>
        <v>마나</v>
      </c>
      <c r="C267" s="57" t="str">
        <f>VLOOKUP(A267,[1]Character!$A:$D,4,0)</f>
        <v>오픈</v>
      </c>
      <c r="D267" s="57">
        <v>1010520001</v>
      </c>
      <c r="E267" s="57" t="str">
        <f>VLOOKUP(D267,[1]Character!$A:$C,3,0)</f>
        <v>안젤리카</v>
      </c>
      <c r="F267" s="57" t="str">
        <f>VLOOKUP(D267,[1]Character!$A:$D,4,0)</f>
        <v>오픈</v>
      </c>
      <c r="G267" s="58" t="s">
        <v>60</v>
      </c>
    </row>
    <row r="268" spans="1:7">
      <c r="A268" s="51">
        <v>1010330002</v>
      </c>
      <c r="B268" s="52" t="str">
        <f>VLOOKUP(A268,[1]Character!$A:$C,3,0)</f>
        <v>오로라</v>
      </c>
      <c r="C268" s="52" t="str">
        <f>VLOOKUP(A268,[1]Character!$A:$D,4,0)</f>
        <v>오픈</v>
      </c>
      <c r="D268" s="52">
        <v>1010330001</v>
      </c>
      <c r="E268" s="52" t="str">
        <f>VLOOKUP(D268,[1]Character!$A:$C,3,0)</f>
        <v>마나</v>
      </c>
      <c r="F268" s="52" t="str">
        <f>VLOOKUP(D268,[1]Character!$A:$D,4,0)</f>
        <v>오픈</v>
      </c>
      <c r="G268" s="53" t="s">
        <v>59</v>
      </c>
    </row>
    <row r="269" spans="1:7">
      <c r="A269" s="54">
        <v>1010330002</v>
      </c>
      <c r="B269" s="3" t="str">
        <f>VLOOKUP(A269,[1]Character!$A:$C,3,0)</f>
        <v>오로라</v>
      </c>
      <c r="C269" s="3" t="str">
        <f>VLOOKUP(A269,[1]Character!$A:$D,4,0)</f>
        <v>오픈</v>
      </c>
      <c r="D269" s="3">
        <v>1010520003</v>
      </c>
      <c r="E269" s="3" t="str">
        <f>VLOOKUP(D269,[1]Character!$A:$C,3,0)</f>
        <v>유나</v>
      </c>
      <c r="F269" s="3" t="str">
        <f>VLOOKUP(D269,[1]Character!$A:$D,4,0)</f>
        <v>오픈</v>
      </c>
      <c r="G269" s="55" t="s">
        <v>59</v>
      </c>
    </row>
    <row r="270" spans="1:7">
      <c r="A270" s="54">
        <v>1010330002</v>
      </c>
      <c r="B270" s="3" t="str">
        <f>VLOOKUP(A270,[1]Character!$A:$C,3,0)</f>
        <v>오로라</v>
      </c>
      <c r="C270" s="3" t="str">
        <f>VLOOKUP(A270,[1]Character!$A:$D,4,0)</f>
        <v>오픈</v>
      </c>
      <c r="D270" s="3">
        <v>1010740001</v>
      </c>
      <c r="E270" s="3" t="str">
        <f>VLOOKUP(D270,[1]Character!$A:$C,3,0)</f>
        <v>헬렌</v>
      </c>
      <c r="F270" s="3" t="str">
        <f>VLOOKUP(D270,[1]Character!$A:$D,4,0)</f>
        <v>오픈</v>
      </c>
      <c r="G270" s="55" t="s">
        <v>59</v>
      </c>
    </row>
    <row r="271" spans="1:7" ht="17.25" thickBot="1">
      <c r="A271" s="56">
        <v>1010330002</v>
      </c>
      <c r="B271" s="57" t="str">
        <f>VLOOKUP(A271,[1]Character!$A:$C,3,0)</f>
        <v>오로라</v>
      </c>
      <c r="C271" s="57" t="str">
        <f>VLOOKUP(A271,[1]Character!$A:$D,4,0)</f>
        <v>오픈</v>
      </c>
      <c r="D271" s="57">
        <v>1010520005</v>
      </c>
      <c r="E271" s="57" t="str">
        <f>VLOOKUP(D271,[1]Character!$A:$C,3,0)</f>
        <v>페이</v>
      </c>
      <c r="F271" s="57" t="str">
        <f>VLOOKUP(D271,[1]Character!$A:$D,4,0)</f>
        <v>오픈</v>
      </c>
      <c r="G271" s="58" t="s">
        <v>59</v>
      </c>
    </row>
    <row r="272" spans="1:7">
      <c r="A272" s="51">
        <v>1010330002</v>
      </c>
      <c r="B272" s="52" t="str">
        <f>VLOOKUP(A272,[1]Character!$A:$C,3,0)</f>
        <v>오로라</v>
      </c>
      <c r="C272" s="52" t="str">
        <f>VLOOKUP(A272,[1]Character!$A:$D,4,0)</f>
        <v>오픈</v>
      </c>
      <c r="D272" s="52">
        <v>1010530001</v>
      </c>
      <c r="E272" s="52" t="str">
        <f>VLOOKUP(D272,[1]Character!$A:$C,3,0)</f>
        <v>에이코</v>
      </c>
      <c r="F272" s="52" t="str">
        <f>VLOOKUP(D272,[1]Character!$A:$D,4,0)</f>
        <v>오픈</v>
      </c>
      <c r="G272" s="53" t="s">
        <v>60</v>
      </c>
    </row>
    <row r="273" spans="1:7">
      <c r="A273" s="54">
        <v>1010330002</v>
      </c>
      <c r="B273" s="3" t="str">
        <f>VLOOKUP(A273,[1]Character!$A:$C,3,0)</f>
        <v>오로라</v>
      </c>
      <c r="C273" s="3" t="str">
        <f>VLOOKUP(A273,[1]Character!$A:$D,4,0)</f>
        <v>오픈</v>
      </c>
      <c r="D273" s="3">
        <v>1010710002</v>
      </c>
      <c r="E273" s="3" t="str">
        <f>VLOOKUP(D273,[1]Character!$A:$C,3,0)</f>
        <v>다리아</v>
      </c>
      <c r="F273" s="3" t="str">
        <f>VLOOKUP(D273,[1]Character!$A:$D,4,0)</f>
        <v>오픈</v>
      </c>
      <c r="G273" s="55" t="s">
        <v>60</v>
      </c>
    </row>
    <row r="274" spans="1:7">
      <c r="A274" s="54">
        <v>1010330002</v>
      </c>
      <c r="B274" s="3" t="str">
        <f>VLOOKUP(A274,[1]Character!$A:$C,3,0)</f>
        <v>오로라</v>
      </c>
      <c r="C274" s="3" t="str">
        <f>VLOOKUP(A274,[1]Character!$A:$D,4,0)</f>
        <v>오픈</v>
      </c>
      <c r="D274" s="3">
        <v>1010510002</v>
      </c>
      <c r="E274" s="3" t="str">
        <f>VLOOKUP(D274,[1]Character!$A:$C,3,0)</f>
        <v>타이나</v>
      </c>
      <c r="F274" s="3" t="str">
        <f>VLOOKUP(D274,[1]Character!$A:$D,4,0)</f>
        <v>오픈</v>
      </c>
      <c r="G274" s="55" t="s">
        <v>60</v>
      </c>
    </row>
    <row r="275" spans="1:7" ht="17.25" thickBot="1">
      <c r="A275" s="56">
        <v>1010330002</v>
      </c>
      <c r="B275" s="57" t="str">
        <f>VLOOKUP(A275,[1]Character!$A:$C,3,0)</f>
        <v>오로라</v>
      </c>
      <c r="C275" s="57" t="str">
        <f>VLOOKUP(A275,[1]Character!$A:$D,4,0)</f>
        <v>오픈</v>
      </c>
      <c r="D275" s="57">
        <v>1010920003</v>
      </c>
      <c r="E275" s="57" t="str">
        <f>VLOOKUP(D275,[1]Character!$A:$C,3,0)</f>
        <v>아이라스</v>
      </c>
      <c r="F275" s="57" t="str">
        <f>VLOOKUP(D275,[1]Character!$A:$D,4,0)</f>
        <v>오픈</v>
      </c>
      <c r="G275" s="58" t="s">
        <v>60</v>
      </c>
    </row>
    <row r="276" spans="1:7">
      <c r="A276" s="51">
        <v>1010940001</v>
      </c>
      <c r="B276" s="52" t="str">
        <f>VLOOKUP(A276,[1]Character!$A:$C,3,0)</f>
        <v>유리지아</v>
      </c>
      <c r="C276" s="52" t="s">
        <v>407</v>
      </c>
      <c r="D276" s="52">
        <v>1010920002</v>
      </c>
      <c r="E276" s="52" t="str">
        <f>VLOOKUP(D276,[1]Character!$A:$C,3,0)</f>
        <v>세라펄사</v>
      </c>
      <c r="F276" s="52" t="str">
        <f>VLOOKUP(D276,[1]Character!$A:$D,4,0)</f>
        <v>오픈</v>
      </c>
      <c r="G276" s="53" t="s">
        <v>59</v>
      </c>
    </row>
    <row r="277" spans="1:7">
      <c r="A277" s="54">
        <v>1010940001</v>
      </c>
      <c r="B277" s="3" t="str">
        <f>VLOOKUP(A277,[1]Character!$A:$C,3,0)</f>
        <v>유리지아</v>
      </c>
      <c r="C277" s="3" t="s">
        <v>407</v>
      </c>
      <c r="D277" s="3">
        <v>1010920004</v>
      </c>
      <c r="E277" s="3" t="str">
        <f>VLOOKUP(D277,[1]Character!$A:$C,3,0)</f>
        <v>앰브로시아</v>
      </c>
      <c r="F277" s="3" t="str">
        <f>VLOOKUP(D277,[1]Character!$A:$D,4,0)</f>
        <v>오픈</v>
      </c>
      <c r="G277" s="55" t="s">
        <v>59</v>
      </c>
    </row>
    <row r="278" spans="1:7">
      <c r="A278" s="54">
        <v>1010940001</v>
      </c>
      <c r="B278" s="3" t="str">
        <f>VLOOKUP(A278,[1]Character!$A:$C,3,0)</f>
        <v>유리지아</v>
      </c>
      <c r="C278" s="3" t="s">
        <v>407</v>
      </c>
      <c r="D278" s="3">
        <v>1010920003</v>
      </c>
      <c r="E278" s="3" t="str">
        <f>VLOOKUP(D278,[1]Character!$A:$C,3,0)</f>
        <v>아이라스</v>
      </c>
      <c r="F278" s="3" t="str">
        <f>VLOOKUP(D278,[1]Character!$A:$D,4,0)</f>
        <v>오픈</v>
      </c>
      <c r="G278" s="55" t="s">
        <v>59</v>
      </c>
    </row>
    <row r="279" spans="1:7" ht="17.25" thickBot="1">
      <c r="A279" s="56">
        <v>1010940001</v>
      </c>
      <c r="B279" s="57" t="str">
        <f>VLOOKUP(A279,[1]Character!$A:$C,3,0)</f>
        <v>유리지아</v>
      </c>
      <c r="C279" s="57" t="s">
        <v>407</v>
      </c>
      <c r="D279" s="57">
        <v>1010730003</v>
      </c>
      <c r="E279" s="57" t="str">
        <f>VLOOKUP(D279,[1]Character!$A:$C,3,0)</f>
        <v>레나스</v>
      </c>
      <c r="F279" s="57" t="str">
        <f>VLOOKUP(D279,[1]Character!$A:$D,4,0)</f>
        <v>오픈</v>
      </c>
      <c r="G279" s="58" t="s">
        <v>59</v>
      </c>
    </row>
    <row r="280" spans="1:7">
      <c r="A280" s="51">
        <v>1010940001</v>
      </c>
      <c r="B280" s="52" t="str">
        <f>VLOOKUP(A280,[1]Character!$A:$C,3,0)</f>
        <v>유리지아</v>
      </c>
      <c r="C280" s="52" t="s">
        <v>407</v>
      </c>
      <c r="D280" s="52">
        <v>1010520001</v>
      </c>
      <c r="E280" s="52" t="str">
        <f>VLOOKUP(D280,[1]Character!$A:$C,3,0)</f>
        <v>안젤리카</v>
      </c>
      <c r="F280" s="52" t="str">
        <f>VLOOKUP(D280,[1]Character!$A:$D,4,0)</f>
        <v>오픈</v>
      </c>
      <c r="G280" s="53" t="s">
        <v>60</v>
      </c>
    </row>
    <row r="281" spans="1:7">
      <c r="A281" s="54">
        <v>1010940001</v>
      </c>
      <c r="B281" s="3" t="str">
        <f>VLOOKUP(A281,[1]Character!$A:$C,3,0)</f>
        <v>유리지아</v>
      </c>
      <c r="C281" s="3" t="s">
        <v>407</v>
      </c>
      <c r="D281" s="3">
        <v>1010730005</v>
      </c>
      <c r="E281" s="3" t="str">
        <f>VLOOKUP(D281,[1]Character!$A:$C,3,0)</f>
        <v>에리카</v>
      </c>
      <c r="F281" s="3" t="str">
        <f>VLOOKUP(D281,[1]Character!$A:$D,4,0)</f>
        <v>오픈</v>
      </c>
      <c r="G281" s="55" t="s">
        <v>60</v>
      </c>
    </row>
    <row r="282" spans="1:7">
      <c r="A282" s="54">
        <v>1010940001</v>
      </c>
      <c r="B282" s="3" t="str">
        <f>VLOOKUP(A282,[1]Character!$A:$C,3,0)</f>
        <v>유리지아</v>
      </c>
      <c r="C282" s="3" t="s">
        <v>407</v>
      </c>
      <c r="D282" s="3">
        <v>1010320001</v>
      </c>
      <c r="E282" s="3" t="s">
        <v>345</v>
      </c>
      <c r="F282" s="3" t="s">
        <v>413</v>
      </c>
      <c r="G282" s="55" t="s">
        <v>60</v>
      </c>
    </row>
    <row r="283" spans="1:7" ht="17.25" thickBot="1">
      <c r="A283" s="56">
        <v>1010940001</v>
      </c>
      <c r="B283" s="57" t="str">
        <f>VLOOKUP(A283,[1]Character!$A:$C,3,0)</f>
        <v>유리지아</v>
      </c>
      <c r="C283" s="57" t="s">
        <v>407</v>
      </c>
      <c r="D283" s="57">
        <v>1010530002</v>
      </c>
      <c r="E283" s="57" t="s">
        <v>359</v>
      </c>
      <c r="F283" s="57" t="s">
        <v>413</v>
      </c>
      <c r="G283" s="58" t="s">
        <v>60</v>
      </c>
    </row>
    <row r="284" spans="1:7">
      <c r="A284" s="51">
        <v>1010940002</v>
      </c>
      <c r="B284" s="52" t="str">
        <f>VLOOKUP(A284,[1]Character!$A:$C,3,0)</f>
        <v>샤레</v>
      </c>
      <c r="C284" s="52" t="str">
        <f>VLOOKUP(A284,[1]Character!$A:$D,4,0)</f>
        <v>오픈</v>
      </c>
      <c r="D284" s="52">
        <v>1010920002</v>
      </c>
      <c r="E284" s="52" t="str">
        <f>VLOOKUP(D284,[1]Character!$A:$C,3,0)</f>
        <v>세라펄사</v>
      </c>
      <c r="F284" s="52" t="str">
        <f>VLOOKUP(D284,[1]Character!$A:$D,4,0)</f>
        <v>오픈</v>
      </c>
      <c r="G284" s="53" t="s">
        <v>59</v>
      </c>
    </row>
    <row r="285" spans="1:7">
      <c r="A285" s="54">
        <v>1010940002</v>
      </c>
      <c r="B285" s="3" t="str">
        <f>VLOOKUP(A285,[1]Character!$A:$C,3,0)</f>
        <v>샤레</v>
      </c>
      <c r="C285" s="3" t="str">
        <f>VLOOKUP(A285,[1]Character!$A:$D,4,0)</f>
        <v>오픈</v>
      </c>
      <c r="D285" s="3">
        <v>1010730001</v>
      </c>
      <c r="E285" s="3" t="str">
        <f>VLOOKUP(D285,[1]Character!$A:$C,3,0)</f>
        <v>쉐리</v>
      </c>
      <c r="F285" s="3" t="str">
        <f>VLOOKUP(D285,[1]Character!$A:$D,4,0)</f>
        <v>오픈</v>
      </c>
      <c r="G285" s="55" t="s">
        <v>59</v>
      </c>
    </row>
    <row r="286" spans="1:7">
      <c r="A286" s="54">
        <v>1010940002</v>
      </c>
      <c r="B286" s="3" t="str">
        <f>VLOOKUP(A286,[1]Character!$A:$C,3,0)</f>
        <v>샤레</v>
      </c>
      <c r="C286" s="3" t="str">
        <f>VLOOKUP(A286,[1]Character!$A:$D,4,0)</f>
        <v>오픈</v>
      </c>
      <c r="D286" s="3">
        <v>1010730003</v>
      </c>
      <c r="E286" s="3" t="str">
        <f>VLOOKUP(D286,[1]Character!$A:$C,3,0)</f>
        <v>레나스</v>
      </c>
      <c r="F286" s="3" t="str">
        <f>VLOOKUP(D286,[1]Character!$A:$D,4,0)</f>
        <v>오픈</v>
      </c>
      <c r="G286" s="55" t="s">
        <v>59</v>
      </c>
    </row>
    <row r="287" spans="1:7" ht="17.25" thickBot="1">
      <c r="A287" s="56">
        <v>1010940002</v>
      </c>
      <c r="B287" s="57" t="str">
        <f>VLOOKUP(A287,[1]Character!$A:$C,3,0)</f>
        <v>샤레</v>
      </c>
      <c r="C287" s="57" t="str">
        <f>VLOOKUP(A287,[1]Character!$A:$D,4,0)</f>
        <v>오픈</v>
      </c>
      <c r="D287" s="57">
        <v>1010720006</v>
      </c>
      <c r="E287" s="57" t="str">
        <f>VLOOKUP(D287,[1]Character!$A:$C,3,0)</f>
        <v>베르베타</v>
      </c>
      <c r="F287" s="57" t="str">
        <f>VLOOKUP(D287,[1]Character!$A:$D,4,0)</f>
        <v>오픈</v>
      </c>
      <c r="G287" s="58" t="s">
        <v>59</v>
      </c>
    </row>
    <row r="288" spans="1:7">
      <c r="A288" s="51">
        <v>1010940002</v>
      </c>
      <c r="B288" s="52" t="str">
        <f>VLOOKUP(A288,[1]Character!$A:$C,3,0)</f>
        <v>샤레</v>
      </c>
      <c r="C288" s="52" t="str">
        <f>VLOOKUP(A288,[1]Character!$A:$D,4,0)</f>
        <v>오픈</v>
      </c>
      <c r="D288" s="52">
        <v>1010710001</v>
      </c>
      <c r="E288" s="52" t="str">
        <f>VLOOKUP(D288,[1]Character!$A:$C,3,0)</f>
        <v>릴리안</v>
      </c>
      <c r="F288" s="52" t="str">
        <f>VLOOKUP(D288,[1]Character!$A:$D,4,0)</f>
        <v>오픈</v>
      </c>
      <c r="G288" s="53" t="s">
        <v>60</v>
      </c>
    </row>
    <row r="289" spans="1:7">
      <c r="A289" s="54">
        <v>1010940002</v>
      </c>
      <c r="B289" s="3" t="str">
        <f>VLOOKUP(A289,[1]Character!$A:$C,3,0)</f>
        <v>샤레</v>
      </c>
      <c r="C289" s="3" t="str">
        <f>VLOOKUP(A289,[1]Character!$A:$D,4,0)</f>
        <v>오픈</v>
      </c>
      <c r="D289" s="3">
        <v>1010520004</v>
      </c>
      <c r="E289" s="3" t="str">
        <f>VLOOKUP(D289,[1]Character!$A:$C,3,0)</f>
        <v>그레이</v>
      </c>
      <c r="F289" s="3" t="str">
        <f>VLOOKUP(D289,[1]Character!$A:$D,4,0)</f>
        <v>오픈</v>
      </c>
      <c r="G289" s="55" t="s">
        <v>60</v>
      </c>
    </row>
    <row r="290" spans="1:7">
      <c r="A290" s="54">
        <v>1010940002</v>
      </c>
      <c r="B290" s="3" t="str">
        <f>VLOOKUP(A290,[1]Character!$A:$C,3,0)</f>
        <v>샤레</v>
      </c>
      <c r="C290" s="3" t="str">
        <f>VLOOKUP(A290,[1]Character!$A:$D,4,0)</f>
        <v>오픈</v>
      </c>
      <c r="D290" s="3">
        <v>1010520002</v>
      </c>
      <c r="E290" s="3" t="str">
        <f>VLOOKUP(D290,[1]Character!$A:$C,3,0)</f>
        <v>브륀힐데</v>
      </c>
      <c r="F290" s="3" t="str">
        <f>VLOOKUP(D290,[1]Character!$A:$D,4,0)</f>
        <v>오픈</v>
      </c>
      <c r="G290" s="55" t="s">
        <v>60</v>
      </c>
    </row>
    <row r="291" spans="1:7" ht="17.25" thickBot="1">
      <c r="A291" s="56">
        <v>1010940002</v>
      </c>
      <c r="B291" s="57" t="str">
        <f>VLOOKUP(A291,[1]Character!$A:$C,3,0)</f>
        <v>샤레</v>
      </c>
      <c r="C291" s="57" t="str">
        <f>VLOOKUP(A291,[1]Character!$A:$D,4,0)</f>
        <v>오픈</v>
      </c>
      <c r="D291" s="57">
        <v>1010530003</v>
      </c>
      <c r="E291" s="57" t="str">
        <f>VLOOKUP(D291,[1]Character!$A:$C,3,0)</f>
        <v>페렐</v>
      </c>
      <c r="F291" s="57" t="str">
        <f>VLOOKUP(D291,[1]Character!$A:$D,4,0)</f>
        <v>오픈</v>
      </c>
      <c r="G291" s="58" t="s">
        <v>60</v>
      </c>
    </row>
    <row r="292" spans="1:7">
      <c r="A292" s="51">
        <v>1010940003</v>
      </c>
      <c r="B292" s="52" t="str">
        <f>VLOOKUP(A292,[1]Character!$A:$C,3,0)</f>
        <v>레이호우</v>
      </c>
      <c r="C292" s="52" t="str">
        <f>VLOOKUP(A292,[1]Character!$A:$D,4,0)</f>
        <v>오픈</v>
      </c>
      <c r="D292" s="52">
        <v>1010730005</v>
      </c>
      <c r="E292" s="52" t="str">
        <f>VLOOKUP(D292,[1]Character!$A:$C,3,0)</f>
        <v>에리카</v>
      </c>
      <c r="F292" s="52" t="str">
        <f>VLOOKUP(D292,[1]Character!$A:$D,4,0)</f>
        <v>오픈</v>
      </c>
      <c r="G292" s="53" t="s">
        <v>59</v>
      </c>
    </row>
    <row r="293" spans="1:7">
      <c r="A293" s="54">
        <v>1010940003</v>
      </c>
      <c r="B293" s="3" t="str">
        <f>VLOOKUP(A293,[1]Character!$A:$C,3,0)</f>
        <v>레이호우</v>
      </c>
      <c r="C293" s="3" t="str">
        <f>VLOOKUP(A293,[1]Character!$A:$D,4,0)</f>
        <v>오픈</v>
      </c>
      <c r="D293" s="3">
        <v>1010910002</v>
      </c>
      <c r="E293" s="3" t="str">
        <f>VLOOKUP(D293,[1]Character!$A:$C,3,0)</f>
        <v>메리샤</v>
      </c>
      <c r="F293" s="3" t="str">
        <f>VLOOKUP(D293,[1]Character!$A:$D,4,0)</f>
        <v>오픈</v>
      </c>
      <c r="G293" s="55" t="s">
        <v>59</v>
      </c>
    </row>
    <row r="294" spans="1:7">
      <c r="A294" s="54">
        <v>1010940003</v>
      </c>
      <c r="B294" s="3" t="str">
        <f>VLOOKUP(A294,[1]Character!$A:$C,3,0)</f>
        <v>레이호우</v>
      </c>
      <c r="C294" s="3" t="str">
        <f>VLOOKUP(A294,[1]Character!$A:$D,4,0)</f>
        <v>오픈</v>
      </c>
      <c r="D294" s="3">
        <v>1010720005</v>
      </c>
      <c r="E294" s="3" t="str">
        <f>VLOOKUP(D294,[1]Character!$A:$C,3,0)</f>
        <v>벨리타</v>
      </c>
      <c r="F294" s="3" t="str">
        <f>VLOOKUP(D294,[1]Character!$A:$D,4,0)</f>
        <v>오픈</v>
      </c>
      <c r="G294" s="55" t="s">
        <v>59</v>
      </c>
    </row>
    <row r="295" spans="1:7" ht="17.25" thickBot="1">
      <c r="A295" s="56">
        <v>1010940003</v>
      </c>
      <c r="B295" s="57" t="str">
        <f>VLOOKUP(A295,[1]Character!$A:$C,3,0)</f>
        <v>레이호우</v>
      </c>
      <c r="C295" s="57" t="str">
        <f>VLOOKUP(A295,[1]Character!$A:$D,4,0)</f>
        <v>오픈</v>
      </c>
      <c r="D295" s="57">
        <v>1010530004</v>
      </c>
      <c r="E295" s="57" t="str">
        <f>VLOOKUP(D295,[1]Character!$A:$C,3,0)</f>
        <v>이노</v>
      </c>
      <c r="F295" s="57" t="str">
        <f>VLOOKUP(D295,[1]Character!$A:$D,4,0)</f>
        <v>오픈</v>
      </c>
      <c r="G295" s="58" t="s">
        <v>59</v>
      </c>
    </row>
    <row r="296" spans="1:7">
      <c r="A296" s="51">
        <v>1010940003</v>
      </c>
      <c r="B296" s="52" t="str">
        <f>VLOOKUP(A296,[1]Character!$A:$C,3,0)</f>
        <v>레이호우</v>
      </c>
      <c r="C296" s="52" t="str">
        <f>VLOOKUP(A296,[1]Character!$A:$D,4,0)</f>
        <v>오픈</v>
      </c>
      <c r="D296" s="52">
        <v>1010710002</v>
      </c>
      <c r="E296" s="52" t="str">
        <f>VLOOKUP(D296,[1]Character!$A:$C,3,0)</f>
        <v>다리아</v>
      </c>
      <c r="F296" s="52" t="str">
        <f>VLOOKUP(D296,[1]Character!$A:$D,4,0)</f>
        <v>오픈</v>
      </c>
      <c r="G296" s="53" t="s">
        <v>60</v>
      </c>
    </row>
    <row r="297" spans="1:7">
      <c r="A297" s="54">
        <v>1010940003</v>
      </c>
      <c r="B297" s="3" t="str">
        <f>VLOOKUP(A297,[1]Character!$A:$C,3,0)</f>
        <v>레이호우</v>
      </c>
      <c r="C297" s="3" t="str">
        <f>VLOOKUP(A297,[1]Character!$A:$D,4,0)</f>
        <v>오픈</v>
      </c>
      <c r="D297" s="3">
        <v>1010520005</v>
      </c>
      <c r="E297" s="3" t="str">
        <f>VLOOKUP(D297,[1]Character!$A:$C,3,0)</f>
        <v>페이</v>
      </c>
      <c r="F297" s="3" t="str">
        <f>VLOOKUP(D297,[1]Character!$A:$D,4,0)</f>
        <v>오픈</v>
      </c>
      <c r="G297" s="55" t="s">
        <v>60</v>
      </c>
    </row>
    <row r="298" spans="1:7">
      <c r="A298" s="54">
        <v>1010940003</v>
      </c>
      <c r="B298" s="3" t="str">
        <f>VLOOKUP(A298,[1]Character!$A:$C,3,0)</f>
        <v>레이호우</v>
      </c>
      <c r="C298" s="3" t="str">
        <f>VLOOKUP(A298,[1]Character!$A:$D,4,0)</f>
        <v>오픈</v>
      </c>
      <c r="D298" s="3">
        <v>1010940002</v>
      </c>
      <c r="E298" s="3" t="str">
        <f>VLOOKUP(D298,[1]Character!$A:$C,3,0)</f>
        <v>샤레</v>
      </c>
      <c r="F298" s="3" t="str">
        <f>VLOOKUP(D298,[1]Character!$A:$D,4,0)</f>
        <v>오픈</v>
      </c>
      <c r="G298" s="55" t="s">
        <v>60</v>
      </c>
    </row>
    <row r="299" spans="1:7" ht="17.25" thickBot="1">
      <c r="A299" s="56">
        <v>1010940003</v>
      </c>
      <c r="B299" s="57" t="str">
        <f>VLOOKUP(A299,[1]Character!$A:$C,3,0)</f>
        <v>레이호우</v>
      </c>
      <c r="C299" s="57" t="str">
        <f>VLOOKUP(A299,[1]Character!$A:$D,4,0)</f>
        <v>오픈</v>
      </c>
      <c r="D299" s="57">
        <v>1010930005</v>
      </c>
      <c r="E299" s="57" t="str">
        <f>VLOOKUP(D299,[1]Character!$A:$C,3,0)</f>
        <v>아크페이즈</v>
      </c>
      <c r="F299" s="57" t="str">
        <f>VLOOKUP(D299,[1]Character!$A:$D,4,0)</f>
        <v>오픈</v>
      </c>
      <c r="G299" s="58" t="s">
        <v>60</v>
      </c>
    </row>
    <row r="300" spans="1:7">
      <c r="A300" s="51">
        <v>1010740001</v>
      </c>
      <c r="B300" s="52" t="str">
        <f>VLOOKUP(A300,[1]Character!$A:$C,3,0)</f>
        <v>헬렌</v>
      </c>
      <c r="C300" s="52" t="str">
        <f>VLOOKUP(A300,[1]Character!$A:$D,4,0)</f>
        <v>오픈</v>
      </c>
      <c r="D300" s="52">
        <v>1010930005</v>
      </c>
      <c r="E300" s="52" t="str">
        <f>VLOOKUP(D300,[1]Character!$A:$C,3,0)</f>
        <v>아크페이즈</v>
      </c>
      <c r="F300" s="52" t="str">
        <f>VLOOKUP(D300,[1]Character!$A:$D,4,0)</f>
        <v>오픈</v>
      </c>
      <c r="G300" s="53" t="s">
        <v>59</v>
      </c>
    </row>
    <row r="301" spans="1:7">
      <c r="A301" s="54">
        <v>1010740001</v>
      </c>
      <c r="B301" s="3" t="str">
        <f>VLOOKUP(A301,[1]Character!$A:$C,3,0)</f>
        <v>헬렌</v>
      </c>
      <c r="C301" s="3" t="str">
        <f>VLOOKUP(A301,[1]Character!$A:$D,4,0)</f>
        <v>오픈</v>
      </c>
      <c r="D301" s="3">
        <v>1010730005</v>
      </c>
      <c r="E301" s="3" t="str">
        <f>VLOOKUP(D301,[1]Character!$A:$C,3,0)</f>
        <v>에리카</v>
      </c>
      <c r="F301" s="3" t="str">
        <f>VLOOKUP(D301,[1]Character!$A:$D,4,0)</f>
        <v>오픈</v>
      </c>
      <c r="G301" s="55" t="s">
        <v>59</v>
      </c>
    </row>
    <row r="302" spans="1:7">
      <c r="A302" s="54">
        <v>1010740001</v>
      </c>
      <c r="B302" s="3" t="str">
        <f>VLOOKUP(A302,[1]Character!$A:$C,3,0)</f>
        <v>헬렌</v>
      </c>
      <c r="C302" s="3" t="str">
        <f>VLOOKUP(A302,[1]Character!$A:$D,4,0)</f>
        <v>오픈</v>
      </c>
      <c r="D302" s="3">
        <v>1010720007</v>
      </c>
      <c r="E302" s="3" t="str">
        <f>VLOOKUP(D302,[1]Character!$A:$C,3,0)</f>
        <v>아셀스</v>
      </c>
      <c r="F302" s="3" t="str">
        <f>VLOOKUP(D302,[1]Character!$A:$D,4,0)</f>
        <v>오픈</v>
      </c>
      <c r="G302" s="55" t="s">
        <v>59</v>
      </c>
    </row>
    <row r="303" spans="1:7" ht="17.25" thickBot="1">
      <c r="A303" s="56">
        <v>1010740001</v>
      </c>
      <c r="B303" s="57" t="str">
        <f>VLOOKUP(A303,[1]Character!$A:$C,3,0)</f>
        <v>헬렌</v>
      </c>
      <c r="C303" s="57" t="str">
        <f>VLOOKUP(A303,[1]Character!$A:$D,4,0)</f>
        <v>오픈</v>
      </c>
      <c r="D303" s="57">
        <v>1010730003</v>
      </c>
      <c r="E303" s="57" t="str">
        <f>VLOOKUP(D303,[1]Character!$A:$C,3,0)</f>
        <v>레나스</v>
      </c>
      <c r="F303" s="57" t="str">
        <f>VLOOKUP(D303,[1]Character!$A:$D,4,0)</f>
        <v>오픈</v>
      </c>
      <c r="G303" s="58" t="s">
        <v>59</v>
      </c>
    </row>
    <row r="304" spans="1:7">
      <c r="A304" s="51">
        <v>1010740001</v>
      </c>
      <c r="B304" s="52" t="str">
        <f>VLOOKUP(A304,[1]Character!$A:$C,3,0)</f>
        <v>헬렌</v>
      </c>
      <c r="C304" s="52" t="str">
        <f>VLOOKUP(A304,[1]Character!$A:$D,4,0)</f>
        <v>오픈</v>
      </c>
      <c r="D304" s="52">
        <v>1010920003</v>
      </c>
      <c r="E304" s="52" t="str">
        <f>VLOOKUP(D304,[1]Character!$A:$C,3,0)</f>
        <v>아이라스</v>
      </c>
      <c r="F304" s="52" t="str">
        <f>VLOOKUP(D304,[1]Character!$A:$D,4,0)</f>
        <v>오픈</v>
      </c>
      <c r="G304" s="53" t="s">
        <v>60</v>
      </c>
    </row>
    <row r="305" spans="1:7">
      <c r="A305" s="54">
        <v>1010740001</v>
      </c>
      <c r="B305" s="3" t="str">
        <f>VLOOKUP(A305,[1]Character!$A:$C,3,0)</f>
        <v>헬렌</v>
      </c>
      <c r="C305" s="3" t="str">
        <f>VLOOKUP(A305,[1]Character!$A:$D,4,0)</f>
        <v>오픈</v>
      </c>
      <c r="D305" s="3">
        <v>1010730004</v>
      </c>
      <c r="E305" s="3" t="str">
        <f>VLOOKUP(D305,[1]Character!$A:$C,3,0)</f>
        <v>라일라</v>
      </c>
      <c r="F305" s="3" t="str">
        <f>VLOOKUP(D305,[1]Character!$A:$D,4,0)</f>
        <v>오픈</v>
      </c>
      <c r="G305" s="55" t="s">
        <v>60</v>
      </c>
    </row>
    <row r="306" spans="1:7">
      <c r="A306" s="54">
        <v>1010740001</v>
      </c>
      <c r="B306" s="3" t="str">
        <f>VLOOKUP(A306,[1]Character!$A:$C,3,0)</f>
        <v>헬렌</v>
      </c>
      <c r="C306" s="3" t="str">
        <f>VLOOKUP(A306,[1]Character!$A:$D,4,0)</f>
        <v>오픈</v>
      </c>
      <c r="D306" s="3">
        <v>1010530002</v>
      </c>
      <c r="E306" s="3" t="str">
        <f>VLOOKUP(D306,[1]Character!$A:$C,3,0)</f>
        <v>크림슨</v>
      </c>
      <c r="F306" s="3" t="str">
        <f>VLOOKUP(D306,[1]Character!$A:$D,4,0)</f>
        <v>오픈</v>
      </c>
      <c r="G306" s="55" t="s">
        <v>60</v>
      </c>
    </row>
    <row r="307" spans="1:7" ht="17.25" thickBot="1">
      <c r="A307" s="56">
        <v>1010740001</v>
      </c>
      <c r="B307" s="57" t="str">
        <f>VLOOKUP(A307,[1]Character!$A:$C,3,0)</f>
        <v>헬렌</v>
      </c>
      <c r="C307" s="57" t="str">
        <f>VLOOKUP(A307,[1]Character!$A:$D,4,0)</f>
        <v>오픈</v>
      </c>
      <c r="D307" s="57">
        <v>1010910002</v>
      </c>
      <c r="E307" s="57" t="str">
        <f>VLOOKUP(D307,[1]Character!$A:$C,3,0)</f>
        <v>메리샤</v>
      </c>
      <c r="F307" s="57" t="str">
        <f>VLOOKUP(D307,[1]Character!$A:$D,4,0)</f>
        <v>오픈</v>
      </c>
      <c r="G307" s="58" t="s">
        <v>60</v>
      </c>
    </row>
    <row r="308" spans="1:7">
      <c r="A308" s="51">
        <v>1010540001</v>
      </c>
      <c r="B308" s="52" t="str">
        <f>VLOOKUP(A308,[1]Character!$A:$C,3,0)</f>
        <v>엘리나</v>
      </c>
      <c r="C308" s="52" t="str">
        <f>VLOOKUP(A308,[1]Character!$A:$D,4,0)</f>
        <v>오픈</v>
      </c>
      <c r="D308" s="52">
        <v>1010310001</v>
      </c>
      <c r="E308" s="52" t="str">
        <f>VLOOKUP(D308,[1]Character!$A:$C,3,0)</f>
        <v>다이아나</v>
      </c>
      <c r="F308" s="52" t="str">
        <f>VLOOKUP(D308,[1]Character!$A:$D,4,0)</f>
        <v>오픈</v>
      </c>
      <c r="G308" s="53" t="s">
        <v>59</v>
      </c>
    </row>
    <row r="309" spans="1:7">
      <c r="A309" s="54">
        <v>1010540001</v>
      </c>
      <c r="B309" s="3" t="str">
        <f>VLOOKUP(A309,[1]Character!$A:$C,3,0)</f>
        <v>엘리나</v>
      </c>
      <c r="C309" s="3" t="str">
        <f>VLOOKUP(A309,[1]Character!$A:$D,4,0)</f>
        <v>오픈</v>
      </c>
      <c r="D309" s="3">
        <v>1010720005</v>
      </c>
      <c r="E309" s="3" t="str">
        <f>VLOOKUP(D309,[1]Character!$A:$C,3,0)</f>
        <v>벨리타</v>
      </c>
      <c r="F309" s="3" t="str">
        <f>VLOOKUP(D309,[1]Character!$A:$D,4,0)</f>
        <v>오픈</v>
      </c>
      <c r="G309" s="55" t="s">
        <v>59</v>
      </c>
    </row>
    <row r="310" spans="1:7">
      <c r="A310" s="54">
        <v>1010540001</v>
      </c>
      <c r="B310" s="3" t="str">
        <f>VLOOKUP(A310,[1]Character!$A:$C,3,0)</f>
        <v>엘리나</v>
      </c>
      <c r="C310" s="3" t="str">
        <f>VLOOKUP(A310,[1]Character!$A:$D,4,0)</f>
        <v>오픈</v>
      </c>
      <c r="D310" s="3">
        <v>1010730001</v>
      </c>
      <c r="E310" s="3" t="str">
        <f>VLOOKUP(D310,[1]Character!$A:$C,3,0)</f>
        <v>쉐리</v>
      </c>
      <c r="F310" s="3" t="str">
        <f>VLOOKUP(D310,[1]Character!$A:$D,4,0)</f>
        <v>오픈</v>
      </c>
      <c r="G310" s="55" t="s">
        <v>59</v>
      </c>
    </row>
    <row r="311" spans="1:7" ht="17.25" thickBot="1">
      <c r="A311" s="56">
        <v>1010540001</v>
      </c>
      <c r="B311" s="57" t="str">
        <f>VLOOKUP(A311,[1]Character!$A:$C,3,0)</f>
        <v>엘리나</v>
      </c>
      <c r="C311" s="57" t="str">
        <f>VLOOKUP(A311,[1]Character!$A:$D,4,0)</f>
        <v>오픈</v>
      </c>
      <c r="D311" s="57">
        <v>1010730003</v>
      </c>
      <c r="E311" s="57" t="str">
        <f>VLOOKUP(D311,[1]Character!$A:$C,3,0)</f>
        <v>레나스</v>
      </c>
      <c r="F311" s="57" t="str">
        <f>VLOOKUP(D311,[1]Character!$A:$D,4,0)</f>
        <v>오픈</v>
      </c>
      <c r="G311" s="58" t="s">
        <v>59</v>
      </c>
    </row>
    <row r="312" spans="1:7">
      <c r="A312" s="51">
        <v>1010540001</v>
      </c>
      <c r="B312" s="52" t="str">
        <f>VLOOKUP(A312,[1]Character!$A:$C,3,0)</f>
        <v>엘리나</v>
      </c>
      <c r="C312" s="52" t="str">
        <f>VLOOKUP(A312,[1]Character!$A:$D,4,0)</f>
        <v>오픈</v>
      </c>
      <c r="D312" s="52">
        <v>1010520002</v>
      </c>
      <c r="E312" s="52" t="str">
        <f>VLOOKUP(D312,[1]Character!$A:$C,3,0)</f>
        <v>브륀힐데</v>
      </c>
      <c r="F312" s="52" t="str">
        <f>VLOOKUP(D312,[1]Character!$A:$D,4,0)</f>
        <v>오픈</v>
      </c>
      <c r="G312" s="53" t="s">
        <v>60</v>
      </c>
    </row>
    <row r="313" spans="1:7">
      <c r="A313" s="54">
        <v>1010540001</v>
      </c>
      <c r="B313" s="3" t="str">
        <f>VLOOKUP(A313,[1]Character!$A:$C,3,0)</f>
        <v>엘리나</v>
      </c>
      <c r="C313" s="3" t="str">
        <f>VLOOKUP(A313,[1]Character!$A:$D,4,0)</f>
        <v>오픈</v>
      </c>
      <c r="D313" s="3">
        <v>1010520004</v>
      </c>
      <c r="E313" s="3" t="str">
        <f>VLOOKUP(D313,[1]Character!$A:$C,3,0)</f>
        <v>그레이</v>
      </c>
      <c r="F313" s="3" t="str">
        <f>VLOOKUP(D313,[1]Character!$A:$D,4,0)</f>
        <v>오픈</v>
      </c>
      <c r="G313" s="55" t="s">
        <v>60</v>
      </c>
    </row>
    <row r="314" spans="1:7">
      <c r="A314" s="54">
        <v>1010540001</v>
      </c>
      <c r="B314" s="3" t="str">
        <f>VLOOKUP(A314,[1]Character!$A:$C,3,0)</f>
        <v>엘리나</v>
      </c>
      <c r="C314" s="3" t="str">
        <f>VLOOKUP(A314,[1]Character!$A:$D,4,0)</f>
        <v>오픈</v>
      </c>
      <c r="D314" s="3">
        <v>1010730004</v>
      </c>
      <c r="E314" s="3" t="str">
        <f>VLOOKUP(D314,[1]Character!$A:$C,3,0)</f>
        <v>라일라</v>
      </c>
      <c r="F314" s="3" t="str">
        <f>VLOOKUP(D314,[1]Character!$A:$D,4,0)</f>
        <v>오픈</v>
      </c>
      <c r="G314" s="55" t="s">
        <v>60</v>
      </c>
    </row>
    <row r="315" spans="1:7" ht="17.25" thickBot="1">
      <c r="A315" s="56">
        <v>1010540001</v>
      </c>
      <c r="B315" s="57" t="str">
        <f>VLOOKUP(A315,[1]Character!$A:$C,3,0)</f>
        <v>엘리나</v>
      </c>
      <c r="C315" s="57" t="str">
        <f>VLOOKUP(A315,[1]Character!$A:$D,4,0)</f>
        <v>오픈</v>
      </c>
      <c r="D315" s="57">
        <v>1010530001</v>
      </c>
      <c r="E315" s="57" t="str">
        <f>VLOOKUP(D315,[1]Character!$A:$C,3,0)</f>
        <v>에이코</v>
      </c>
      <c r="F315" s="57" t="str">
        <f>VLOOKUP(D315,[1]Character!$A:$D,4,0)</f>
        <v>오픈</v>
      </c>
      <c r="G315" s="58" t="s">
        <v>60</v>
      </c>
    </row>
    <row r="316" spans="1:7">
      <c r="A316" s="51">
        <v>1010340001</v>
      </c>
      <c r="B316" s="52" t="str">
        <f>VLOOKUP(A316,[1]Character!$A:$C,3,0)</f>
        <v>시즈</v>
      </c>
      <c r="C316" s="52" t="str">
        <f>VLOOKUP(A316,[1]Character!$A:$D,4,0)</f>
        <v>오픈</v>
      </c>
      <c r="D316" s="52">
        <v>1010730005</v>
      </c>
      <c r="E316" s="52" t="str">
        <f>VLOOKUP(D316,[1]Character!$A:$C,3,0)</f>
        <v>에리카</v>
      </c>
      <c r="F316" s="52" t="str">
        <f>VLOOKUP(D316,[1]Character!$A:$D,4,0)</f>
        <v>오픈</v>
      </c>
      <c r="G316" s="53" t="s">
        <v>59</v>
      </c>
    </row>
    <row r="317" spans="1:7">
      <c r="A317" s="54">
        <v>1010340001</v>
      </c>
      <c r="B317" s="3" t="str">
        <f>VLOOKUP(A317,[1]Character!$A:$C,3,0)</f>
        <v>시즈</v>
      </c>
      <c r="C317" s="3" t="str">
        <f>VLOOKUP(A317,[1]Character!$A:$D,4,0)</f>
        <v>오픈</v>
      </c>
      <c r="D317" s="3">
        <v>1010710003</v>
      </c>
      <c r="E317" s="3" t="str">
        <f>VLOOKUP(D317,[1]Character!$A:$C,3,0)</f>
        <v>스노프릴</v>
      </c>
      <c r="F317" s="3" t="str">
        <f>VLOOKUP(D317,[1]Character!$A:$D,4,0)</f>
        <v>오픈</v>
      </c>
      <c r="G317" s="55" t="s">
        <v>59</v>
      </c>
    </row>
    <row r="318" spans="1:7">
      <c r="A318" s="54">
        <v>1010340001</v>
      </c>
      <c r="B318" s="3" t="str">
        <f>VLOOKUP(A318,[1]Character!$A:$C,3,0)</f>
        <v>시즈</v>
      </c>
      <c r="C318" s="3" t="str">
        <f>VLOOKUP(A318,[1]Character!$A:$D,4,0)</f>
        <v>오픈</v>
      </c>
      <c r="D318" s="3">
        <v>1010720004</v>
      </c>
      <c r="E318" s="3" t="str">
        <f>VLOOKUP(D318,[1]Character!$A:$C,3,0)</f>
        <v>발렌시아</v>
      </c>
      <c r="F318" s="3" t="str">
        <f>VLOOKUP(D318,[1]Character!$A:$D,4,0)</f>
        <v>오픈</v>
      </c>
      <c r="G318" s="55" t="s">
        <v>59</v>
      </c>
    </row>
    <row r="319" spans="1:7" ht="17.25" thickBot="1">
      <c r="A319" s="56">
        <v>1010340001</v>
      </c>
      <c r="B319" s="57" t="str">
        <f>VLOOKUP(A319,[1]Character!$A:$C,3,0)</f>
        <v>시즈</v>
      </c>
      <c r="C319" s="57" t="str">
        <f>VLOOKUP(A319,[1]Character!$A:$D,4,0)</f>
        <v>오픈</v>
      </c>
      <c r="D319" s="57">
        <v>1010920003</v>
      </c>
      <c r="E319" s="57" t="str">
        <f>VLOOKUP(D319,[1]Character!$A:$C,3,0)</f>
        <v>아이라스</v>
      </c>
      <c r="F319" s="57" t="str">
        <f>VLOOKUP(D319,[1]Character!$A:$D,4,0)</f>
        <v>오픈</v>
      </c>
      <c r="G319" s="58" t="s">
        <v>59</v>
      </c>
    </row>
    <row r="320" spans="1:7">
      <c r="A320" s="51">
        <v>1010340001</v>
      </c>
      <c r="B320" s="52" t="str">
        <f>VLOOKUP(A320,[1]Character!$A:$C,3,0)</f>
        <v>시즈</v>
      </c>
      <c r="C320" s="52" t="str">
        <f>VLOOKUP(A320,[1]Character!$A:$D,4,0)</f>
        <v>오픈</v>
      </c>
      <c r="D320" s="52">
        <v>1010530004</v>
      </c>
      <c r="E320" s="52" t="str">
        <f>VLOOKUP(D320,[1]Character!$A:$C,3,0)</f>
        <v>이노</v>
      </c>
      <c r="F320" s="52" t="str">
        <f>VLOOKUP(D320,[1]Character!$A:$D,4,0)</f>
        <v>오픈</v>
      </c>
      <c r="G320" s="53" t="s">
        <v>60</v>
      </c>
    </row>
    <row r="321" spans="1:7">
      <c r="A321" s="54">
        <v>1010340001</v>
      </c>
      <c r="B321" s="3" t="str">
        <f>VLOOKUP(A321,[1]Character!$A:$C,3,0)</f>
        <v>시즈</v>
      </c>
      <c r="C321" s="3" t="str">
        <f>VLOOKUP(A321,[1]Character!$A:$D,4,0)</f>
        <v>오픈</v>
      </c>
      <c r="D321" s="3">
        <v>1010530001</v>
      </c>
      <c r="E321" s="3" t="str">
        <f>VLOOKUP(D321,[1]Character!$A:$C,3,0)</f>
        <v>에이코</v>
      </c>
      <c r="F321" s="3" t="str">
        <f>VLOOKUP(D321,[1]Character!$A:$D,4,0)</f>
        <v>오픈</v>
      </c>
      <c r="G321" s="55" t="s">
        <v>60</v>
      </c>
    </row>
    <row r="322" spans="1:7">
      <c r="A322" s="54">
        <v>1010340001</v>
      </c>
      <c r="B322" s="3" t="str">
        <f>VLOOKUP(A322,[1]Character!$A:$C,3,0)</f>
        <v>시즈</v>
      </c>
      <c r="C322" s="3" t="str">
        <f>VLOOKUP(A322,[1]Character!$A:$D,4,0)</f>
        <v>오픈</v>
      </c>
      <c r="D322" s="3">
        <v>1010330002</v>
      </c>
      <c r="E322" s="3" t="str">
        <f>VLOOKUP(D322,[1]Character!$A:$C,3,0)</f>
        <v>오로라</v>
      </c>
      <c r="F322" s="3" t="str">
        <f>VLOOKUP(D322,[1]Character!$A:$D,4,0)</f>
        <v>오픈</v>
      </c>
      <c r="G322" s="55" t="s">
        <v>60</v>
      </c>
    </row>
    <row r="323" spans="1:7">
      <c r="A323" s="59">
        <v>1010340001</v>
      </c>
      <c r="B323" s="60" t="str">
        <f>VLOOKUP(A323,[1]Character!$A:$C,3,0)</f>
        <v>시즈</v>
      </c>
      <c r="C323" s="60" t="str">
        <f>VLOOKUP(A323,[1]Character!$A:$D,4,0)</f>
        <v>오픈</v>
      </c>
      <c r="D323" s="60">
        <v>1010320002</v>
      </c>
      <c r="E323" s="60" t="str">
        <f>VLOOKUP(D323,[1]Character!$A:$C,3,0)</f>
        <v>클레아스</v>
      </c>
      <c r="F323" s="60" t="str">
        <f>VLOOKUP(D323,[1]Character!$A:$D,4,0)</f>
        <v>오픈</v>
      </c>
      <c r="G323" s="61" t="s">
        <v>60</v>
      </c>
    </row>
    <row r="324" spans="1:7">
      <c r="A324" s="62">
        <v>1010910001</v>
      </c>
      <c r="B324" s="62" t="s">
        <v>318</v>
      </c>
      <c r="C324" s="62" t="s">
        <v>414</v>
      </c>
      <c r="D324" s="62">
        <v>1010510001</v>
      </c>
      <c r="E324" s="62" t="s">
        <v>323</v>
      </c>
      <c r="F324" s="62" t="s">
        <v>414</v>
      </c>
      <c r="G324" s="62" t="s">
        <v>59</v>
      </c>
    </row>
    <row r="325" spans="1:7">
      <c r="A325" s="62">
        <v>1010910001</v>
      </c>
      <c r="B325" s="62" t="s">
        <v>318</v>
      </c>
      <c r="C325" s="62" t="s">
        <v>414</v>
      </c>
      <c r="D325" s="62">
        <v>1010310001</v>
      </c>
      <c r="E325" s="62" t="s">
        <v>325</v>
      </c>
      <c r="F325" s="62" t="s">
        <v>413</v>
      </c>
      <c r="G325" s="62" t="s">
        <v>59</v>
      </c>
    </row>
    <row r="326" spans="1:7">
      <c r="A326" s="62">
        <v>1010910001</v>
      </c>
      <c r="B326" s="62" t="s">
        <v>318</v>
      </c>
      <c r="C326" s="62" t="s">
        <v>414</v>
      </c>
      <c r="D326" s="62">
        <v>1010920005</v>
      </c>
      <c r="E326" s="62" t="s">
        <v>331</v>
      </c>
      <c r="F326" s="62" t="s">
        <v>414</v>
      </c>
      <c r="G326" s="62" t="s">
        <v>59</v>
      </c>
    </row>
    <row r="327" spans="1:7">
      <c r="A327" s="62">
        <v>1010910001</v>
      </c>
      <c r="B327" s="62" t="s">
        <v>318</v>
      </c>
      <c r="C327" s="62" t="s">
        <v>414</v>
      </c>
      <c r="D327" s="62">
        <v>1010720002</v>
      </c>
      <c r="E327" s="62" t="s">
        <v>334</v>
      </c>
      <c r="F327" s="62" t="s">
        <v>414</v>
      </c>
      <c r="G327" s="62" t="s">
        <v>59</v>
      </c>
    </row>
    <row r="328" spans="1:7">
      <c r="A328" s="62">
        <v>1010910001</v>
      </c>
      <c r="B328" s="62" t="s">
        <v>318</v>
      </c>
      <c r="C328" s="62" t="s">
        <v>414</v>
      </c>
      <c r="D328" s="62">
        <v>1010720005</v>
      </c>
      <c r="E328" s="62" t="s">
        <v>337</v>
      </c>
      <c r="F328" s="62" t="s">
        <v>413</v>
      </c>
      <c r="G328" s="62" t="s">
        <v>59</v>
      </c>
    </row>
    <row r="329" spans="1:7">
      <c r="A329" s="62">
        <v>1010910001</v>
      </c>
      <c r="B329" s="62" t="s">
        <v>318</v>
      </c>
      <c r="C329" s="62" t="s">
        <v>414</v>
      </c>
      <c r="D329" s="62">
        <v>1010520002</v>
      </c>
      <c r="E329" s="62" t="s">
        <v>341</v>
      </c>
      <c r="F329" s="62" t="s">
        <v>413</v>
      </c>
      <c r="G329" s="62" t="s">
        <v>60</v>
      </c>
    </row>
    <row r="330" spans="1:7">
      <c r="A330" s="62">
        <v>1010910001</v>
      </c>
      <c r="B330" s="62" t="s">
        <v>318</v>
      </c>
      <c r="C330" s="62" t="s">
        <v>414</v>
      </c>
      <c r="D330" s="62">
        <v>1010520004</v>
      </c>
      <c r="E330" s="62" t="s">
        <v>343</v>
      </c>
      <c r="F330" s="62" t="s">
        <v>413</v>
      </c>
      <c r="G330" s="62" t="s">
        <v>60</v>
      </c>
    </row>
    <row r="331" spans="1:7">
      <c r="A331" s="62">
        <v>1010910001</v>
      </c>
      <c r="B331" s="62" t="s">
        <v>318</v>
      </c>
      <c r="C331" s="62" t="s">
        <v>414</v>
      </c>
      <c r="D331" s="62">
        <v>1010930002</v>
      </c>
      <c r="E331" s="62" t="s">
        <v>349</v>
      </c>
      <c r="F331" s="62" t="s">
        <v>414</v>
      </c>
      <c r="G331" s="62" t="s">
        <v>60</v>
      </c>
    </row>
    <row r="332" spans="1:7">
      <c r="A332" s="62">
        <v>1010910001</v>
      </c>
      <c r="B332" s="62" t="s">
        <v>318</v>
      </c>
      <c r="C332" s="62" t="s">
        <v>414</v>
      </c>
      <c r="D332" s="62">
        <v>1010930004</v>
      </c>
      <c r="E332" s="62" t="s">
        <v>351</v>
      </c>
      <c r="F332" s="62" t="s">
        <v>414</v>
      </c>
      <c r="G332" s="62" t="s">
        <v>60</v>
      </c>
    </row>
    <row r="333" spans="1:7">
      <c r="A333" s="62">
        <v>1010910001</v>
      </c>
      <c r="B333" s="62" t="s">
        <v>318</v>
      </c>
      <c r="C333" s="62" t="s">
        <v>414</v>
      </c>
      <c r="D333" s="62">
        <v>1010730004</v>
      </c>
      <c r="E333" s="62" t="s">
        <v>356</v>
      </c>
      <c r="F333" s="62" t="s">
        <v>413</v>
      </c>
      <c r="G333" s="62" t="s">
        <v>60</v>
      </c>
    </row>
    <row r="334" spans="1:7">
      <c r="A334" s="62">
        <v>1010920005</v>
      </c>
      <c r="B334" s="62" t="s">
        <v>331</v>
      </c>
      <c r="C334" s="62" t="s">
        <v>414</v>
      </c>
      <c r="D334" s="62">
        <v>1010910002</v>
      </c>
      <c r="E334" s="62" t="s">
        <v>319</v>
      </c>
      <c r="F334" s="62" t="s">
        <v>413</v>
      </c>
      <c r="G334" s="62" t="s">
        <v>59</v>
      </c>
    </row>
    <row r="335" spans="1:7">
      <c r="A335" s="62">
        <v>1010920005</v>
      </c>
      <c r="B335" s="62" t="s">
        <v>331</v>
      </c>
      <c r="C335" s="62" t="s">
        <v>414</v>
      </c>
      <c r="D335" s="62">
        <v>1010920004</v>
      </c>
      <c r="E335" s="62" t="s">
        <v>330</v>
      </c>
      <c r="F335" s="62" t="s">
        <v>413</v>
      </c>
      <c r="G335" s="62" t="s">
        <v>59</v>
      </c>
    </row>
    <row r="336" spans="1:7">
      <c r="A336" s="62">
        <v>1010920005</v>
      </c>
      <c r="B336" s="62" t="s">
        <v>331</v>
      </c>
      <c r="C336" s="62" t="s">
        <v>414</v>
      </c>
      <c r="D336" s="62">
        <v>1010930003</v>
      </c>
      <c r="E336" s="62" t="s">
        <v>350</v>
      </c>
      <c r="F336" s="62" t="s">
        <v>414</v>
      </c>
      <c r="G336" s="62" t="s">
        <v>59</v>
      </c>
    </row>
    <row r="337" spans="1:7">
      <c r="A337" s="62">
        <v>1010920005</v>
      </c>
      <c r="B337" s="62" t="s">
        <v>331</v>
      </c>
      <c r="C337" s="62" t="s">
        <v>414</v>
      </c>
      <c r="D337" s="62">
        <v>1010720005</v>
      </c>
      <c r="E337" s="62" t="s">
        <v>337</v>
      </c>
      <c r="F337" s="62" t="s">
        <v>413</v>
      </c>
      <c r="G337" s="62" t="s">
        <v>59</v>
      </c>
    </row>
    <row r="338" spans="1:7">
      <c r="A338" s="62">
        <v>1010920005</v>
      </c>
      <c r="B338" s="62" t="s">
        <v>331</v>
      </c>
      <c r="C338" s="62" t="s">
        <v>414</v>
      </c>
      <c r="D338" s="62">
        <v>1010520005</v>
      </c>
      <c r="E338" s="62" t="s">
        <v>344</v>
      </c>
      <c r="F338" s="62" t="s">
        <v>413</v>
      </c>
      <c r="G338" s="62" t="s">
        <v>59</v>
      </c>
    </row>
    <row r="339" spans="1:7">
      <c r="A339" s="62">
        <v>1010920005</v>
      </c>
      <c r="B339" s="62" t="s">
        <v>331</v>
      </c>
      <c r="C339" s="62" t="s">
        <v>414</v>
      </c>
      <c r="D339" s="62">
        <v>1010730002</v>
      </c>
      <c r="E339" s="62" t="s">
        <v>354</v>
      </c>
      <c r="F339" s="62" t="s">
        <v>414</v>
      </c>
      <c r="G339" s="62" t="s">
        <v>60</v>
      </c>
    </row>
    <row r="340" spans="1:7">
      <c r="A340" s="62">
        <v>1010920005</v>
      </c>
      <c r="B340" s="62" t="s">
        <v>331</v>
      </c>
      <c r="C340" s="62" t="s">
        <v>414</v>
      </c>
      <c r="D340" s="62">
        <v>1010710003</v>
      </c>
      <c r="E340" s="62" t="s">
        <v>322</v>
      </c>
      <c r="F340" s="62" t="s">
        <v>413</v>
      </c>
      <c r="G340" s="62" t="s">
        <v>60</v>
      </c>
    </row>
    <row r="341" spans="1:7">
      <c r="A341" s="62">
        <v>1010920005</v>
      </c>
      <c r="B341" s="62" t="s">
        <v>331</v>
      </c>
      <c r="C341" s="62" t="s">
        <v>414</v>
      </c>
      <c r="D341" s="62">
        <v>1010720004</v>
      </c>
      <c r="E341" s="62" t="s">
        <v>336</v>
      </c>
      <c r="F341" s="62" t="s">
        <v>413</v>
      </c>
      <c r="G341" s="62" t="s">
        <v>60</v>
      </c>
    </row>
    <row r="342" spans="1:7">
      <c r="A342" s="62">
        <v>1010920005</v>
      </c>
      <c r="B342" s="62" t="s">
        <v>331</v>
      </c>
      <c r="C342" s="62" t="s">
        <v>414</v>
      </c>
      <c r="D342" s="62">
        <v>1010520001</v>
      </c>
      <c r="E342" s="62" t="s">
        <v>340</v>
      </c>
      <c r="F342" s="62" t="s">
        <v>413</v>
      </c>
      <c r="G342" s="62" t="s">
        <v>60</v>
      </c>
    </row>
    <row r="343" spans="1:7">
      <c r="A343" s="62">
        <v>1010920005</v>
      </c>
      <c r="B343" s="62" t="s">
        <v>331</v>
      </c>
      <c r="C343" s="62" t="s">
        <v>414</v>
      </c>
      <c r="D343" s="62">
        <v>1010730001</v>
      </c>
      <c r="E343" s="62" t="s">
        <v>353</v>
      </c>
      <c r="F343" s="62" t="s">
        <v>413</v>
      </c>
      <c r="G343" s="62" t="s">
        <v>60</v>
      </c>
    </row>
    <row r="344" spans="1:7">
      <c r="A344" s="62">
        <v>1010930004</v>
      </c>
      <c r="B344" s="62" t="s">
        <v>351</v>
      </c>
      <c r="C344" s="62" t="s">
        <v>414</v>
      </c>
      <c r="D344" s="62">
        <v>1010930002</v>
      </c>
      <c r="E344" s="62" t="s">
        <v>349</v>
      </c>
      <c r="F344" s="62" t="s">
        <v>414</v>
      </c>
      <c r="G344" s="62" t="s">
        <v>59</v>
      </c>
    </row>
    <row r="345" spans="1:7">
      <c r="A345" s="62">
        <v>1010930004</v>
      </c>
      <c r="B345" s="62" t="s">
        <v>351</v>
      </c>
      <c r="C345" s="62" t="s">
        <v>414</v>
      </c>
      <c r="D345" s="62">
        <v>1010940001</v>
      </c>
      <c r="E345" s="62" t="s">
        <v>365</v>
      </c>
      <c r="F345" s="62" t="s">
        <v>414</v>
      </c>
      <c r="G345" s="62" t="s">
        <v>59</v>
      </c>
    </row>
    <row r="346" spans="1:7">
      <c r="A346" s="62">
        <v>1010930004</v>
      </c>
      <c r="B346" s="62" t="s">
        <v>351</v>
      </c>
      <c r="C346" s="62" t="s">
        <v>414</v>
      </c>
      <c r="D346" s="62">
        <v>1010910002</v>
      </c>
      <c r="E346" s="62" t="s">
        <v>319</v>
      </c>
      <c r="F346" s="62" t="s">
        <v>413</v>
      </c>
      <c r="G346" s="62" t="s">
        <v>59</v>
      </c>
    </row>
    <row r="347" spans="1:7">
      <c r="A347" s="62">
        <v>1010930004</v>
      </c>
      <c r="B347" s="62" t="s">
        <v>351</v>
      </c>
      <c r="C347" s="62" t="s">
        <v>414</v>
      </c>
      <c r="D347" s="62">
        <v>1010920005</v>
      </c>
      <c r="E347" s="62" t="s">
        <v>331</v>
      </c>
      <c r="F347" s="62" t="s">
        <v>414</v>
      </c>
      <c r="G347" s="62" t="s">
        <v>59</v>
      </c>
    </row>
    <row r="348" spans="1:7">
      <c r="A348" s="62">
        <v>1010930004</v>
      </c>
      <c r="B348" s="62" t="s">
        <v>351</v>
      </c>
      <c r="C348" s="62" t="s">
        <v>414</v>
      </c>
      <c r="D348" s="62">
        <v>1010740001</v>
      </c>
      <c r="E348" s="62" t="s">
        <v>368</v>
      </c>
      <c r="F348" s="62" t="s">
        <v>413</v>
      </c>
      <c r="G348" s="62" t="s">
        <v>59</v>
      </c>
    </row>
    <row r="349" spans="1:7">
      <c r="A349" s="62">
        <v>1010930004</v>
      </c>
      <c r="B349" s="62" t="s">
        <v>351</v>
      </c>
      <c r="C349" s="62" t="s">
        <v>414</v>
      </c>
      <c r="D349" s="62">
        <v>1010730004</v>
      </c>
      <c r="E349" s="62" t="s">
        <v>356</v>
      </c>
      <c r="F349" s="62" t="s">
        <v>413</v>
      </c>
      <c r="G349" s="62" t="s">
        <v>60</v>
      </c>
    </row>
    <row r="350" spans="1:7">
      <c r="A350" s="62">
        <v>1010930004</v>
      </c>
      <c r="B350" s="62" t="s">
        <v>351</v>
      </c>
      <c r="C350" s="62" t="s">
        <v>414</v>
      </c>
      <c r="D350" s="62">
        <v>1010920003</v>
      </c>
      <c r="E350" s="62" t="s">
        <v>329</v>
      </c>
      <c r="F350" s="62" t="s">
        <v>413</v>
      </c>
      <c r="G350" s="62" t="s">
        <v>60</v>
      </c>
    </row>
    <row r="351" spans="1:7">
      <c r="A351" s="62">
        <v>1010930004</v>
      </c>
      <c r="B351" s="62" t="s">
        <v>351</v>
      </c>
      <c r="C351" s="62" t="s">
        <v>414</v>
      </c>
      <c r="D351" s="62">
        <v>1010530003</v>
      </c>
      <c r="E351" s="62" t="s">
        <v>360</v>
      </c>
      <c r="F351" s="62" t="s">
        <v>413</v>
      </c>
      <c r="G351" s="62" t="s">
        <v>60</v>
      </c>
    </row>
    <row r="352" spans="1:7">
      <c r="A352" s="62">
        <v>1010930004</v>
      </c>
      <c r="B352" s="62" t="s">
        <v>351</v>
      </c>
      <c r="C352" s="62" t="s">
        <v>414</v>
      </c>
      <c r="D352" s="62">
        <v>1010720003</v>
      </c>
      <c r="E352" s="62" t="s">
        <v>335</v>
      </c>
      <c r="F352" s="62" t="s">
        <v>413</v>
      </c>
      <c r="G352" s="62" t="s">
        <v>60</v>
      </c>
    </row>
    <row r="353" spans="1:7">
      <c r="A353" s="62">
        <v>1010930004</v>
      </c>
      <c r="B353" s="62" t="s">
        <v>351</v>
      </c>
      <c r="C353" s="62" t="s">
        <v>414</v>
      </c>
      <c r="D353" s="62">
        <v>1010710001</v>
      </c>
      <c r="E353" s="62" t="s">
        <v>320</v>
      </c>
      <c r="F353" s="62" t="s">
        <v>413</v>
      </c>
      <c r="G353" s="62" t="s">
        <v>60</v>
      </c>
    </row>
    <row r="354" spans="1:7">
      <c r="A354" s="62">
        <v>1010930002</v>
      </c>
      <c r="B354" s="63" t="s">
        <v>415</v>
      </c>
      <c r="C354" s="62" t="s">
        <v>414</v>
      </c>
      <c r="D354" s="62">
        <v>1010530004</v>
      </c>
      <c r="E354" s="62" t="s">
        <v>361</v>
      </c>
      <c r="F354" s="62" t="s">
        <v>413</v>
      </c>
      <c r="G354" s="62" t="s">
        <v>59</v>
      </c>
    </row>
    <row r="355" spans="1:7">
      <c r="A355" s="62">
        <v>1010930002</v>
      </c>
      <c r="B355" s="63" t="s">
        <v>416</v>
      </c>
      <c r="C355" s="62" t="s">
        <v>414</v>
      </c>
      <c r="D355" s="62">
        <v>1010710002</v>
      </c>
      <c r="E355" s="62" t="s">
        <v>321</v>
      </c>
      <c r="F355" s="62" t="s">
        <v>413</v>
      </c>
      <c r="G355" s="62" t="s">
        <v>59</v>
      </c>
    </row>
    <row r="356" spans="1:7">
      <c r="A356" s="62">
        <v>1010930002</v>
      </c>
      <c r="B356" s="63" t="s">
        <v>417</v>
      </c>
      <c r="C356" s="62" t="s">
        <v>414</v>
      </c>
      <c r="D356" s="62">
        <v>1010920005</v>
      </c>
      <c r="E356" s="62" t="s">
        <v>331</v>
      </c>
      <c r="F356" s="62" t="s">
        <v>414</v>
      </c>
      <c r="G356" s="62" t="s">
        <v>59</v>
      </c>
    </row>
    <row r="357" spans="1:7">
      <c r="A357" s="62">
        <v>1010930002</v>
      </c>
      <c r="B357" s="63" t="s">
        <v>416</v>
      </c>
      <c r="C357" s="62" t="s">
        <v>414</v>
      </c>
      <c r="D357" s="62">
        <v>1010740001</v>
      </c>
      <c r="E357" s="62" t="s">
        <v>368</v>
      </c>
      <c r="F357" s="62" t="s">
        <v>413</v>
      </c>
      <c r="G357" s="62" t="s">
        <v>59</v>
      </c>
    </row>
    <row r="358" spans="1:7">
      <c r="A358" s="62">
        <v>1010930002</v>
      </c>
      <c r="B358" s="63" t="s">
        <v>416</v>
      </c>
      <c r="C358" s="62" t="s">
        <v>414</v>
      </c>
      <c r="D358" s="62">
        <v>1010730002</v>
      </c>
      <c r="E358" s="62" t="s">
        <v>354</v>
      </c>
      <c r="F358" s="62" t="s">
        <v>414</v>
      </c>
      <c r="G358" s="62" t="s">
        <v>59</v>
      </c>
    </row>
    <row r="359" spans="1:7">
      <c r="A359" s="62">
        <v>1010930002</v>
      </c>
      <c r="B359" s="63" t="s">
        <v>418</v>
      </c>
      <c r="C359" s="62" t="s">
        <v>414</v>
      </c>
      <c r="D359" s="62">
        <v>1010710003</v>
      </c>
      <c r="E359" s="62" t="s">
        <v>322</v>
      </c>
      <c r="F359" s="62" t="s">
        <v>413</v>
      </c>
      <c r="G359" s="62" t="s">
        <v>60</v>
      </c>
    </row>
    <row r="360" spans="1:7">
      <c r="A360" s="62">
        <v>1010930002</v>
      </c>
      <c r="B360" s="63" t="s">
        <v>416</v>
      </c>
      <c r="C360" s="62" t="s">
        <v>414</v>
      </c>
      <c r="D360" s="62">
        <v>1010910002</v>
      </c>
      <c r="E360" s="62" t="s">
        <v>319</v>
      </c>
      <c r="F360" s="62" t="s">
        <v>413</v>
      </c>
      <c r="G360" s="62" t="s">
        <v>60</v>
      </c>
    </row>
    <row r="361" spans="1:7">
      <c r="A361" s="62">
        <v>1010930002</v>
      </c>
      <c r="B361" s="63" t="s">
        <v>416</v>
      </c>
      <c r="C361" s="62" t="s">
        <v>414</v>
      </c>
      <c r="D361" s="62">
        <v>1010720005</v>
      </c>
      <c r="E361" s="62" t="s">
        <v>337</v>
      </c>
      <c r="F361" s="62" t="s">
        <v>413</v>
      </c>
      <c r="G361" s="62" t="s">
        <v>60</v>
      </c>
    </row>
    <row r="362" spans="1:7">
      <c r="A362" s="62">
        <v>1010930002</v>
      </c>
      <c r="B362" s="63" t="s">
        <v>417</v>
      </c>
      <c r="C362" s="62" t="s">
        <v>414</v>
      </c>
      <c r="D362" s="62">
        <v>1010730005</v>
      </c>
      <c r="E362" s="62" t="s">
        <v>357</v>
      </c>
      <c r="F362" s="62" t="s">
        <v>413</v>
      </c>
      <c r="G362" s="62" t="s">
        <v>60</v>
      </c>
    </row>
    <row r="363" spans="1:7">
      <c r="A363" s="62">
        <v>1010930002</v>
      </c>
      <c r="B363" s="63" t="s">
        <v>418</v>
      </c>
      <c r="C363" s="62" t="s">
        <v>414</v>
      </c>
      <c r="D363" s="62">
        <v>1010720007</v>
      </c>
      <c r="E363" s="62" t="s">
        <v>339</v>
      </c>
      <c r="F363" s="62" t="s">
        <v>413</v>
      </c>
      <c r="G363" s="62" t="s">
        <v>60</v>
      </c>
    </row>
    <row r="364" spans="1:7">
      <c r="A364" s="62">
        <v>1010930001</v>
      </c>
      <c r="B364" s="63" t="s">
        <v>419</v>
      </c>
      <c r="C364" s="62" t="s">
        <v>414</v>
      </c>
      <c r="D364" s="62">
        <v>1010710001</v>
      </c>
      <c r="E364" s="62" t="s">
        <v>320</v>
      </c>
      <c r="F364" s="62" t="s">
        <v>413</v>
      </c>
      <c r="G364" s="62" t="s">
        <v>59</v>
      </c>
    </row>
    <row r="365" spans="1:7">
      <c r="A365" s="62">
        <v>1010930001</v>
      </c>
      <c r="B365" s="63" t="s">
        <v>420</v>
      </c>
      <c r="C365" s="62" t="s">
        <v>414</v>
      </c>
      <c r="D365" s="62">
        <v>1010720005</v>
      </c>
      <c r="E365" s="62" t="s">
        <v>337</v>
      </c>
      <c r="F365" s="62" t="s">
        <v>413</v>
      </c>
      <c r="G365" s="62" t="s">
        <v>59</v>
      </c>
    </row>
    <row r="366" spans="1:7">
      <c r="A366" s="62">
        <v>1010930001</v>
      </c>
      <c r="B366" s="63" t="s">
        <v>421</v>
      </c>
      <c r="C366" s="62" t="s">
        <v>414</v>
      </c>
      <c r="D366" s="62">
        <v>1010730005</v>
      </c>
      <c r="E366" s="62" t="s">
        <v>357</v>
      </c>
      <c r="F366" s="62" t="s">
        <v>413</v>
      </c>
      <c r="G366" s="62" t="s">
        <v>59</v>
      </c>
    </row>
    <row r="367" spans="1:7">
      <c r="A367" s="62">
        <v>1010930001</v>
      </c>
      <c r="B367" s="63" t="s">
        <v>421</v>
      </c>
      <c r="C367" s="62" t="s">
        <v>414</v>
      </c>
      <c r="D367" s="62">
        <v>1010720001</v>
      </c>
      <c r="E367" s="62" t="s">
        <v>333</v>
      </c>
      <c r="F367" s="62" t="s">
        <v>413</v>
      </c>
      <c r="G367" s="62" t="s">
        <v>59</v>
      </c>
    </row>
    <row r="368" spans="1:7">
      <c r="A368" s="62">
        <v>1010930001</v>
      </c>
      <c r="B368" s="63" t="s">
        <v>421</v>
      </c>
      <c r="C368" s="62" t="s">
        <v>414</v>
      </c>
      <c r="D368" s="62">
        <v>1010520003</v>
      </c>
      <c r="E368" s="62" t="s">
        <v>342</v>
      </c>
      <c r="F368" s="62" t="s">
        <v>413</v>
      </c>
      <c r="G368" s="62" t="s">
        <v>59</v>
      </c>
    </row>
    <row r="369" spans="1:7">
      <c r="A369" s="62">
        <v>1010930001</v>
      </c>
      <c r="B369" s="63" t="s">
        <v>421</v>
      </c>
      <c r="C369" s="62" t="s">
        <v>414</v>
      </c>
      <c r="D369" s="62">
        <v>1010730004</v>
      </c>
      <c r="E369" s="62" t="s">
        <v>356</v>
      </c>
      <c r="F369" s="62" t="s">
        <v>413</v>
      </c>
      <c r="G369" s="62" t="s">
        <v>60</v>
      </c>
    </row>
    <row r="370" spans="1:7">
      <c r="A370" s="62">
        <v>1010930001</v>
      </c>
      <c r="B370" s="63" t="s">
        <v>419</v>
      </c>
      <c r="C370" s="62" t="s">
        <v>414</v>
      </c>
      <c r="D370" s="62">
        <v>1010720007</v>
      </c>
      <c r="E370" s="62" t="s">
        <v>339</v>
      </c>
      <c r="F370" s="62" t="s">
        <v>413</v>
      </c>
      <c r="G370" s="62" t="s">
        <v>60</v>
      </c>
    </row>
    <row r="371" spans="1:7">
      <c r="A371" s="62">
        <v>1010930001</v>
      </c>
      <c r="B371" s="63" t="s">
        <v>421</v>
      </c>
      <c r="C371" s="62" t="s">
        <v>414</v>
      </c>
      <c r="D371" s="62">
        <v>1010530002</v>
      </c>
      <c r="E371" s="62" t="s">
        <v>359</v>
      </c>
      <c r="F371" s="62" t="s">
        <v>413</v>
      </c>
      <c r="G371" s="62" t="s">
        <v>60</v>
      </c>
    </row>
    <row r="372" spans="1:7">
      <c r="A372" s="62">
        <v>1010930001</v>
      </c>
      <c r="B372" s="63" t="s">
        <v>420</v>
      </c>
      <c r="C372" s="62" t="s">
        <v>414</v>
      </c>
      <c r="D372" s="62">
        <v>1010920005</v>
      </c>
      <c r="E372" s="62" t="s">
        <v>331</v>
      </c>
      <c r="F372" s="62" t="s">
        <v>414</v>
      </c>
      <c r="G372" s="62" t="s">
        <v>60</v>
      </c>
    </row>
    <row r="373" spans="1:7">
      <c r="A373" s="62">
        <v>1010930001</v>
      </c>
      <c r="B373" s="63" t="s">
        <v>422</v>
      </c>
      <c r="C373" s="62" t="s">
        <v>414</v>
      </c>
      <c r="D373" s="62">
        <v>1010520004</v>
      </c>
      <c r="E373" s="62" t="s">
        <v>343</v>
      </c>
      <c r="F373" s="62" t="s">
        <v>413</v>
      </c>
      <c r="G373" s="62" t="s">
        <v>60</v>
      </c>
    </row>
    <row r="374" spans="1:7">
      <c r="A374" s="62">
        <v>1010740002</v>
      </c>
      <c r="B374" s="63" t="s">
        <v>423</v>
      </c>
      <c r="C374" s="62" t="s">
        <v>414</v>
      </c>
      <c r="D374" s="62">
        <v>1010530002</v>
      </c>
      <c r="E374" s="62" t="str">
        <f>VLOOKUP(D374,[1]Character!$A:$C,3,0)</f>
        <v>크림슨</v>
      </c>
      <c r="F374" s="62" t="str">
        <f>VLOOKUP(D374,[1]Character!$A:$D,4,0)</f>
        <v>오픈</v>
      </c>
      <c r="G374" s="62" t="s">
        <v>59</v>
      </c>
    </row>
    <row r="375" spans="1:7">
      <c r="A375" s="62">
        <v>1010740002</v>
      </c>
      <c r="B375" s="63" t="s">
        <v>424</v>
      </c>
      <c r="C375" s="62" t="s">
        <v>414</v>
      </c>
      <c r="D375" s="62">
        <v>1010330002</v>
      </c>
      <c r="E375" s="62" t="s">
        <v>363</v>
      </c>
      <c r="F375" s="62" t="s">
        <v>413</v>
      </c>
      <c r="G375" s="62" t="s">
        <v>59</v>
      </c>
    </row>
    <row r="376" spans="1:7">
      <c r="A376" s="62">
        <v>1010740002</v>
      </c>
      <c r="B376" s="63" t="s">
        <v>423</v>
      </c>
      <c r="C376" s="62" t="s">
        <v>414</v>
      </c>
      <c r="D376" s="62">
        <v>1010720004</v>
      </c>
      <c r="E376" s="62" t="s">
        <v>336</v>
      </c>
      <c r="F376" s="62" t="s">
        <v>413</v>
      </c>
      <c r="G376" s="62" t="s">
        <v>59</v>
      </c>
    </row>
    <row r="377" spans="1:7">
      <c r="A377" s="62">
        <v>1010740002</v>
      </c>
      <c r="B377" s="63" t="s">
        <v>425</v>
      </c>
      <c r="C377" s="62" t="s">
        <v>414</v>
      </c>
      <c r="D377" s="62">
        <v>1010920003</v>
      </c>
      <c r="E377" s="62" t="str">
        <f>VLOOKUP(D377,[1]Character!$A:$C,3,0)</f>
        <v>아이라스</v>
      </c>
      <c r="F377" s="62" t="str">
        <f>VLOOKUP(D377,[1]Character!$A:$D,4,0)</f>
        <v>오픈</v>
      </c>
      <c r="G377" s="62" t="s">
        <v>59</v>
      </c>
    </row>
    <row r="378" spans="1:7">
      <c r="A378" s="62">
        <v>1010740002</v>
      </c>
      <c r="B378" s="63" t="s">
        <v>426</v>
      </c>
      <c r="C378" s="62" t="s">
        <v>414</v>
      </c>
      <c r="D378" s="62">
        <v>1010710003</v>
      </c>
      <c r="E378" s="62" t="str">
        <f>VLOOKUP(D378,[1]Character!$A:$C,3,0)</f>
        <v>스노프릴</v>
      </c>
      <c r="F378" s="62" t="str">
        <f>VLOOKUP(D378,[1]Character!$A:$D,4,0)</f>
        <v>오픈</v>
      </c>
      <c r="G378" s="62" t="s">
        <v>59</v>
      </c>
    </row>
    <row r="379" spans="1:7">
      <c r="A379" s="62">
        <v>1010740002</v>
      </c>
      <c r="B379" s="63" t="s">
        <v>426</v>
      </c>
      <c r="C379" s="62" t="s">
        <v>414</v>
      </c>
      <c r="D379" s="62">
        <v>1010720001</v>
      </c>
      <c r="E379" s="62" t="str">
        <f>VLOOKUP(D379,[1]Character!$A:$C,3,0)</f>
        <v>메아</v>
      </c>
      <c r="F379" s="62" t="str">
        <f>VLOOKUP(D379,[1]Character!$A:$D,4,0)</f>
        <v>오픈</v>
      </c>
      <c r="G379" s="62" t="s">
        <v>60</v>
      </c>
    </row>
    <row r="380" spans="1:7">
      <c r="A380" s="62">
        <v>1010740002</v>
      </c>
      <c r="B380" s="63" t="s">
        <v>424</v>
      </c>
      <c r="C380" s="62" t="s">
        <v>414</v>
      </c>
      <c r="D380" s="62">
        <v>1010520002</v>
      </c>
      <c r="E380" s="62" t="str">
        <f>VLOOKUP(D380,[1]Character!$A:$C,3,0)</f>
        <v>브륀힐데</v>
      </c>
      <c r="F380" s="62" t="str">
        <f>VLOOKUP(D380,[1]Character!$A:$D,4,0)</f>
        <v>오픈</v>
      </c>
      <c r="G380" s="62" t="s">
        <v>60</v>
      </c>
    </row>
    <row r="381" spans="1:7">
      <c r="A381" s="62">
        <v>1010740002</v>
      </c>
      <c r="B381" s="63" t="s">
        <v>424</v>
      </c>
      <c r="C381" s="62" t="s">
        <v>414</v>
      </c>
      <c r="D381" s="62">
        <v>1010510002</v>
      </c>
      <c r="E381" s="62" t="str">
        <f>VLOOKUP(D381,[1]Character!$A:$C,3,0)</f>
        <v>타이나</v>
      </c>
      <c r="F381" s="62" t="str">
        <f>VLOOKUP(D381,[1]Character!$A:$D,4,0)</f>
        <v>오픈</v>
      </c>
      <c r="G381" s="62" t="s">
        <v>60</v>
      </c>
    </row>
    <row r="382" spans="1:7">
      <c r="A382" s="62">
        <v>1010740002</v>
      </c>
      <c r="B382" s="63" t="s">
        <v>427</v>
      </c>
      <c r="C382" s="62" t="s">
        <v>414</v>
      </c>
      <c r="D382" s="62">
        <v>1010520001</v>
      </c>
      <c r="E382" s="62" t="s">
        <v>340</v>
      </c>
      <c r="F382" s="62" t="s">
        <v>413</v>
      </c>
      <c r="G382" s="62" t="s">
        <v>60</v>
      </c>
    </row>
    <row r="383" spans="1:7">
      <c r="A383" s="62">
        <v>1010740002</v>
      </c>
      <c r="B383" s="63" t="s">
        <v>425</v>
      </c>
      <c r="C383" s="62" t="s">
        <v>414</v>
      </c>
      <c r="D383" s="62">
        <v>1010730001</v>
      </c>
      <c r="E383" s="62" t="s">
        <v>353</v>
      </c>
      <c r="F383" s="62" t="s">
        <v>413</v>
      </c>
      <c r="G383" s="62" t="s">
        <v>60</v>
      </c>
    </row>
  </sheetData>
  <phoneticPr fontId="1" type="noConversion"/>
  <conditionalFormatting sqref="A354">
    <cfRule type="duplicateValues" dxfId="7" priority="1"/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C6"/>
  <sheetViews>
    <sheetView workbookViewId="0">
      <selection activeCell="I12" sqref="I12"/>
    </sheetView>
  </sheetViews>
  <sheetFormatPr defaultRowHeight="16.5"/>
  <cols>
    <col min="1" max="1" width="19.125" style="24" bestFit="1" customWidth="1"/>
    <col min="2" max="2" width="19.125" style="24" customWidth="1"/>
    <col min="3" max="3" width="22.5" style="24" bestFit="1" customWidth="1"/>
  </cols>
  <sheetData>
    <row r="1" spans="1:3">
      <c r="A1" s="2" t="s">
        <v>50</v>
      </c>
      <c r="B1" s="2" t="s">
        <v>61</v>
      </c>
      <c r="C1" s="2" t="s">
        <v>62</v>
      </c>
    </row>
    <row r="2" spans="1:3">
      <c r="A2" s="2" t="s">
        <v>63</v>
      </c>
      <c r="B2" s="2" t="s">
        <v>11</v>
      </c>
      <c r="C2" s="2" t="s">
        <v>14</v>
      </c>
    </row>
    <row r="3" spans="1:3">
      <c r="A3" s="2" t="s">
        <v>15</v>
      </c>
      <c r="B3" s="2" t="s">
        <v>15</v>
      </c>
      <c r="C3" s="2" t="s">
        <v>16</v>
      </c>
    </row>
    <row r="4" spans="1:3" ht="40.5" customHeight="1">
      <c r="A4" s="3" t="s">
        <v>64</v>
      </c>
      <c r="B4" s="3">
        <v>100</v>
      </c>
      <c r="C4" s="4" t="s">
        <v>65</v>
      </c>
    </row>
    <row r="5" spans="1:3" ht="40.5" customHeight="1">
      <c r="A5" s="3" t="s">
        <v>60</v>
      </c>
      <c r="B5" s="3">
        <v>200</v>
      </c>
      <c r="C5" s="4" t="s">
        <v>66</v>
      </c>
    </row>
    <row r="6" spans="1:3" ht="40.5" customHeight="1">
      <c r="A6" s="3" t="s">
        <v>59</v>
      </c>
      <c r="B6" s="3">
        <v>300</v>
      </c>
      <c r="C6" s="4" t="s">
        <v>67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/>
  <dimension ref="A1:F61"/>
  <sheetViews>
    <sheetView workbookViewId="0">
      <selection activeCell="E9" sqref="E9"/>
    </sheetView>
  </sheetViews>
  <sheetFormatPr defaultRowHeight="16.5"/>
  <cols>
    <col min="1" max="1" width="10.25" style="24" bestFit="1" customWidth="1"/>
    <col min="3" max="3" width="13.875" style="24" bestFit="1" customWidth="1"/>
    <col min="4" max="4" width="13.75" style="24" customWidth="1"/>
    <col min="5" max="6" width="12.5" customWidth="1"/>
  </cols>
  <sheetData>
    <row r="1" spans="1:6">
      <c r="A1" s="2" t="s">
        <v>50</v>
      </c>
      <c r="B1" s="2" t="s">
        <v>68</v>
      </c>
      <c r="C1" s="2" t="s">
        <v>69</v>
      </c>
      <c r="D1" s="2" t="s">
        <v>312</v>
      </c>
      <c r="E1" s="2" t="s">
        <v>313</v>
      </c>
      <c r="F1" s="2" t="s">
        <v>314</v>
      </c>
    </row>
    <row r="2" spans="1:6">
      <c r="A2" s="2" t="s">
        <v>70</v>
      </c>
      <c r="B2" s="2" t="s">
        <v>71</v>
      </c>
      <c r="C2" s="2" t="s">
        <v>14</v>
      </c>
      <c r="D2" s="2" t="s">
        <v>82</v>
      </c>
      <c r="E2" s="2" t="s">
        <v>82</v>
      </c>
      <c r="F2" s="2" t="s">
        <v>82</v>
      </c>
    </row>
    <row r="3" spans="1:6">
      <c r="A3" s="2" t="s">
        <v>302</v>
      </c>
      <c r="B3" s="2" t="s">
        <v>72</v>
      </c>
      <c r="C3" s="2" t="s">
        <v>16</v>
      </c>
      <c r="D3" s="2" t="s">
        <v>302</v>
      </c>
      <c r="E3" s="2" t="s">
        <v>87</v>
      </c>
      <c r="F3" s="2" t="s">
        <v>87</v>
      </c>
    </row>
    <row r="4" spans="1:6">
      <c r="A4" s="18" t="s">
        <v>73</v>
      </c>
      <c r="B4" s="18"/>
      <c r="C4" s="18" t="s">
        <v>74</v>
      </c>
      <c r="D4" s="18">
        <v>1</v>
      </c>
      <c r="E4" s="18">
        <v>1</v>
      </c>
      <c r="F4" s="18">
        <v>1</v>
      </c>
    </row>
    <row r="5" spans="1:6">
      <c r="A5" s="18" t="s">
        <v>75</v>
      </c>
      <c r="B5" s="18"/>
      <c r="C5" s="18" t="s">
        <v>76</v>
      </c>
      <c r="D5" s="18">
        <v>5</v>
      </c>
      <c r="E5" s="18">
        <v>10</v>
      </c>
      <c r="F5" s="18">
        <v>14</v>
      </c>
    </row>
    <row r="6" spans="1:6">
      <c r="A6" s="18" t="s">
        <v>77</v>
      </c>
      <c r="B6" s="18"/>
      <c r="C6" s="18" t="s">
        <v>78</v>
      </c>
      <c r="D6" s="18">
        <v>8</v>
      </c>
      <c r="E6" s="18">
        <v>12</v>
      </c>
      <c r="F6" s="18">
        <v>16</v>
      </c>
    </row>
    <row r="7" spans="1:6">
      <c r="A7" s="18" t="s">
        <v>241</v>
      </c>
      <c r="B7" s="18"/>
      <c r="C7" s="18" t="s">
        <v>383</v>
      </c>
      <c r="D7" s="18">
        <v>10</v>
      </c>
      <c r="E7" s="18">
        <v>14</v>
      </c>
      <c r="F7" s="18">
        <v>18</v>
      </c>
    </row>
    <row r="8" spans="1:6">
      <c r="A8" s="18" t="s">
        <v>381</v>
      </c>
      <c r="B8" s="18"/>
      <c r="C8" s="18" t="s">
        <v>384</v>
      </c>
      <c r="D8" s="18">
        <v>12</v>
      </c>
      <c r="E8" s="18">
        <v>16</v>
      </c>
      <c r="F8" s="18">
        <v>20</v>
      </c>
    </row>
    <row r="9" spans="1:6">
      <c r="A9" s="17"/>
      <c r="B9" s="17"/>
      <c r="C9" s="17"/>
      <c r="D9" s="17"/>
    </row>
    <row r="10" spans="1:6">
      <c r="A10" s="17"/>
      <c r="B10" s="17"/>
      <c r="C10" s="17"/>
      <c r="D10" s="17"/>
    </row>
    <row r="11" spans="1:6">
      <c r="A11" s="17"/>
      <c r="B11" s="17"/>
      <c r="C11" s="17"/>
      <c r="D11" s="17"/>
    </row>
    <row r="12" spans="1:6">
      <c r="A12" s="17"/>
      <c r="B12" s="17"/>
      <c r="C12" s="17"/>
      <c r="D12" s="17"/>
    </row>
    <row r="13" spans="1:6">
      <c r="A13" s="17"/>
      <c r="B13" s="17"/>
      <c r="C13" s="17"/>
      <c r="D13" s="17"/>
    </row>
    <row r="14" spans="1:6">
      <c r="A14" s="17"/>
      <c r="B14" s="17"/>
      <c r="C14" s="17"/>
      <c r="D14" s="17"/>
    </row>
    <row r="15" spans="1:6">
      <c r="A15" s="17"/>
      <c r="B15" s="17"/>
      <c r="C15" s="17"/>
      <c r="D15" s="17"/>
    </row>
    <row r="16" spans="1:6">
      <c r="A16" s="17"/>
      <c r="B16" s="17"/>
      <c r="C16" s="17"/>
      <c r="D16" s="17"/>
    </row>
    <row r="17" spans="1:4">
      <c r="A17" s="17"/>
      <c r="B17" s="17"/>
      <c r="C17" s="17"/>
      <c r="D17" s="17"/>
    </row>
    <row r="18" spans="1:4">
      <c r="A18" s="17"/>
      <c r="B18" s="17"/>
      <c r="C18" s="17"/>
      <c r="D18" s="17"/>
    </row>
    <row r="19" spans="1:4">
      <c r="A19" s="17"/>
      <c r="B19" s="17"/>
      <c r="C19" s="17"/>
      <c r="D19" s="17"/>
    </row>
    <row r="20" spans="1:4">
      <c r="A20" s="17"/>
      <c r="B20" s="17"/>
      <c r="C20" s="17"/>
      <c r="D20" s="17"/>
    </row>
    <row r="21" spans="1:4">
      <c r="A21" s="17"/>
      <c r="B21" s="17"/>
      <c r="C21" s="17"/>
      <c r="D21" s="17"/>
    </row>
    <row r="22" spans="1:4">
      <c r="A22" s="17"/>
      <c r="B22" s="17"/>
      <c r="C22" s="17"/>
      <c r="D22" s="17"/>
    </row>
    <row r="23" spans="1:4">
      <c r="A23" s="17"/>
      <c r="B23" s="17"/>
      <c r="C23" s="17"/>
      <c r="D23" s="17"/>
    </row>
    <row r="24" spans="1:4">
      <c r="A24" s="17"/>
      <c r="B24" s="17"/>
      <c r="C24" s="17"/>
      <c r="D24" s="17"/>
    </row>
    <row r="25" spans="1:4">
      <c r="A25" s="17"/>
      <c r="B25" s="17"/>
      <c r="C25" s="17"/>
      <c r="D25" s="17"/>
    </row>
    <row r="26" spans="1:4">
      <c r="A26" s="17"/>
      <c r="B26" s="17"/>
      <c r="C26" s="17"/>
      <c r="D26" s="17"/>
    </row>
    <row r="27" spans="1:4">
      <c r="A27" s="17"/>
      <c r="B27" s="17"/>
      <c r="C27" s="17"/>
      <c r="D27" s="17"/>
    </row>
    <row r="28" spans="1:4">
      <c r="A28" s="17"/>
      <c r="B28" s="17"/>
      <c r="C28" s="17"/>
      <c r="D28" s="17"/>
    </row>
    <row r="29" spans="1:4">
      <c r="A29" s="17"/>
      <c r="B29" s="17"/>
      <c r="C29" s="17"/>
      <c r="D29" s="17"/>
    </row>
    <row r="30" spans="1:4">
      <c r="A30" s="17"/>
      <c r="B30" s="17"/>
      <c r="C30" s="17"/>
      <c r="D30" s="17"/>
    </row>
    <row r="31" spans="1:4">
      <c r="A31" s="17"/>
      <c r="B31" s="17"/>
      <c r="C31" s="17"/>
      <c r="D31" s="17"/>
    </row>
    <row r="32" spans="1:4">
      <c r="A32" s="17"/>
      <c r="B32" s="17"/>
      <c r="C32" s="17"/>
      <c r="D32" s="17"/>
    </row>
    <row r="33" spans="1:4">
      <c r="A33" s="17"/>
      <c r="B33" s="17"/>
      <c r="C33" s="17"/>
      <c r="D33" s="17"/>
    </row>
    <row r="34" spans="1:4">
      <c r="A34" s="17"/>
      <c r="B34" s="17"/>
      <c r="C34" s="17"/>
      <c r="D34" s="17"/>
    </row>
    <row r="35" spans="1:4">
      <c r="A35" s="17"/>
      <c r="B35" s="17"/>
      <c r="C35" s="17"/>
      <c r="D35" s="17"/>
    </row>
    <row r="36" spans="1:4">
      <c r="A36" s="17"/>
      <c r="B36" s="17"/>
      <c r="C36" s="17"/>
      <c r="D36" s="17"/>
    </row>
    <row r="37" spans="1:4">
      <c r="A37" s="17"/>
      <c r="B37" s="17"/>
      <c r="C37" s="17"/>
      <c r="D37" s="17"/>
    </row>
    <row r="38" spans="1:4">
      <c r="A38" s="17"/>
      <c r="B38" s="17"/>
      <c r="C38" s="17"/>
      <c r="D38" s="17"/>
    </row>
    <row r="39" spans="1:4">
      <c r="A39" s="17"/>
      <c r="B39" s="17"/>
      <c r="C39" s="17"/>
      <c r="D39" s="17"/>
    </row>
    <row r="40" spans="1:4">
      <c r="A40" s="17"/>
      <c r="B40" s="17"/>
      <c r="C40" s="17"/>
      <c r="D40" s="17"/>
    </row>
    <row r="41" spans="1:4">
      <c r="A41" s="17"/>
      <c r="B41" s="17"/>
      <c r="C41" s="17"/>
      <c r="D41" s="17"/>
    </row>
    <row r="42" spans="1:4">
      <c r="A42" s="17"/>
      <c r="B42" s="17"/>
      <c r="C42" s="17"/>
      <c r="D42" s="17"/>
    </row>
    <row r="43" spans="1:4">
      <c r="A43" s="17"/>
      <c r="B43" s="17"/>
      <c r="C43" s="17"/>
      <c r="D43" s="17"/>
    </row>
    <row r="44" spans="1:4">
      <c r="A44" s="17"/>
      <c r="B44" s="17"/>
      <c r="C44" s="17"/>
      <c r="D44" s="17"/>
    </row>
    <row r="45" spans="1:4">
      <c r="A45" s="17"/>
      <c r="B45" s="17"/>
      <c r="C45" s="17"/>
      <c r="D45" s="17"/>
    </row>
    <row r="46" spans="1:4">
      <c r="A46" s="17"/>
      <c r="B46" s="17"/>
      <c r="C46" s="17"/>
      <c r="D46" s="17"/>
    </row>
    <row r="47" spans="1:4">
      <c r="A47" s="17"/>
      <c r="B47" s="17"/>
      <c r="C47" s="17"/>
      <c r="D47" s="17"/>
    </row>
    <row r="48" spans="1:4">
      <c r="A48" s="17"/>
      <c r="B48" s="17"/>
      <c r="C48" s="17"/>
      <c r="D48" s="17"/>
    </row>
    <row r="49" spans="1:4">
      <c r="A49" s="17"/>
      <c r="B49" s="17"/>
      <c r="C49" s="17"/>
      <c r="D49" s="17"/>
    </row>
    <row r="50" spans="1:4">
      <c r="A50" s="17"/>
      <c r="B50" s="17"/>
      <c r="C50" s="17"/>
      <c r="D50" s="17"/>
    </row>
    <row r="51" spans="1:4">
      <c r="A51" s="17"/>
      <c r="B51" s="17"/>
      <c r="C51" s="17"/>
      <c r="D51" s="17"/>
    </row>
    <row r="52" spans="1:4">
      <c r="A52" s="17"/>
      <c r="B52" s="17"/>
      <c r="C52" s="17"/>
      <c r="D52" s="17"/>
    </row>
    <row r="53" spans="1:4">
      <c r="A53" s="17"/>
      <c r="B53" s="17"/>
      <c r="C53" s="17"/>
      <c r="D53" s="17"/>
    </row>
    <row r="54" spans="1:4">
      <c r="A54" s="17"/>
      <c r="B54" s="17"/>
      <c r="C54" s="17"/>
      <c r="D54" s="17"/>
    </row>
    <row r="55" spans="1:4">
      <c r="A55" s="17"/>
      <c r="B55" s="17"/>
      <c r="C55" s="17"/>
      <c r="D55" s="17"/>
    </row>
    <row r="56" spans="1:4">
      <c r="A56" s="17"/>
      <c r="B56" s="17"/>
      <c r="C56" s="17"/>
      <c r="D56" s="17"/>
    </row>
    <row r="57" spans="1:4">
      <c r="A57" s="17"/>
      <c r="B57" s="17"/>
      <c r="C57" s="17"/>
      <c r="D57" s="17"/>
    </row>
    <row r="58" spans="1:4">
      <c r="A58" s="17"/>
      <c r="B58" s="17"/>
      <c r="C58" s="17"/>
      <c r="D58" s="17"/>
    </row>
    <row r="59" spans="1:4">
      <c r="A59" s="17"/>
      <c r="B59" s="17"/>
      <c r="C59" s="17"/>
      <c r="D59" s="17"/>
    </row>
    <row r="60" spans="1:4">
      <c r="A60" s="17"/>
      <c r="B60" s="17"/>
      <c r="C60" s="17"/>
      <c r="D60" s="17"/>
    </row>
    <row r="61" spans="1:4">
      <c r="A61" s="17"/>
      <c r="B61" s="17"/>
      <c r="C61" s="17"/>
      <c r="D61" s="1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/>
  <dimension ref="A1:R149"/>
  <sheetViews>
    <sheetView zoomScaleNormal="100" workbookViewId="0">
      <pane xSplit="1" ySplit="3" topLeftCell="B121" activePane="bottomRight" state="frozen"/>
      <selection pane="topRight" activeCell="B1" sqref="B1"/>
      <selection pane="bottomLeft" activeCell="A4" sqref="A4"/>
      <selection pane="bottomRight" activeCell="A130" sqref="A130"/>
    </sheetView>
  </sheetViews>
  <sheetFormatPr defaultRowHeight="13.5"/>
  <cols>
    <col min="1" max="1" width="10.25" style="17" bestFit="1" customWidth="1"/>
    <col min="2" max="2" width="15.5" style="17" customWidth="1"/>
    <col min="3" max="3" width="16.875" style="17" bestFit="1" customWidth="1"/>
    <col min="4" max="4" width="16.125" style="17" bestFit="1" customWidth="1"/>
    <col min="5" max="5" width="14.875" style="17" bestFit="1" customWidth="1"/>
    <col min="6" max="6" width="17.5" style="17" bestFit="1" customWidth="1"/>
    <col min="7" max="9" width="17.5" style="17" customWidth="1"/>
    <col min="10" max="10" width="9.5" style="17" bestFit="1" customWidth="1"/>
    <col min="11" max="11" width="38.75" style="17" bestFit="1" customWidth="1"/>
    <col min="12" max="12" width="39.625" style="17" bestFit="1" customWidth="1"/>
    <col min="13" max="13" width="43" style="17" bestFit="1" customWidth="1"/>
    <col min="14" max="15" width="9.625" style="17" bestFit="1" customWidth="1"/>
    <col min="16" max="16" width="10.25" style="17" bestFit="1" customWidth="1"/>
    <col min="17" max="18" width="9.625" style="17" bestFit="1" customWidth="1"/>
    <col min="19" max="16384" width="9" style="17"/>
  </cols>
  <sheetData>
    <row r="1" spans="1:18">
      <c r="A1" s="2" t="s">
        <v>50</v>
      </c>
      <c r="B1" s="2" t="s">
        <v>305</v>
      </c>
      <c r="C1" s="2" t="s">
        <v>118</v>
      </c>
      <c r="D1" s="2" t="s">
        <v>120</v>
      </c>
      <c r="E1" s="2" t="s">
        <v>79</v>
      </c>
      <c r="F1" s="2" t="s">
        <v>234</v>
      </c>
      <c r="G1" s="2" t="s">
        <v>249</v>
      </c>
      <c r="H1" s="2" t="s">
        <v>236</v>
      </c>
      <c r="I1" s="2" t="s">
        <v>238</v>
      </c>
      <c r="J1" s="2" t="s">
        <v>4</v>
      </c>
      <c r="K1" s="2" t="s">
        <v>62</v>
      </c>
      <c r="L1" s="2" t="s">
        <v>69</v>
      </c>
      <c r="M1" s="2" t="s">
        <v>123</v>
      </c>
      <c r="N1" s="33" t="s">
        <v>223</v>
      </c>
      <c r="O1" s="33" t="s">
        <v>224</v>
      </c>
      <c r="P1" s="33" t="s">
        <v>225</v>
      </c>
      <c r="Q1" s="33" t="s">
        <v>226</v>
      </c>
      <c r="R1" s="33" t="s">
        <v>227</v>
      </c>
    </row>
    <row r="2" spans="1:18">
      <c r="A2" s="2" t="s">
        <v>80</v>
      </c>
      <c r="B2" s="2" t="s">
        <v>306</v>
      </c>
      <c r="C2" s="2" t="s">
        <v>119</v>
      </c>
      <c r="D2" s="2" t="s">
        <v>94</v>
      </c>
      <c r="E2" s="2" t="s">
        <v>230</v>
      </c>
      <c r="F2" s="2" t="s">
        <v>235</v>
      </c>
      <c r="G2" s="2" t="s">
        <v>249</v>
      </c>
      <c r="H2" s="2" t="s">
        <v>237</v>
      </c>
      <c r="I2" s="2" t="s">
        <v>235</v>
      </c>
      <c r="J2" s="2" t="s">
        <v>81</v>
      </c>
      <c r="K2" s="2" t="s">
        <v>14</v>
      </c>
      <c r="L2" s="2" t="s">
        <v>14</v>
      </c>
      <c r="M2" s="2" t="s">
        <v>14</v>
      </c>
      <c r="N2" s="33" t="s">
        <v>228</v>
      </c>
      <c r="O2" s="33" t="s">
        <v>228</v>
      </c>
      <c r="P2" s="33" t="s">
        <v>228</v>
      </c>
      <c r="Q2" s="33" t="s">
        <v>228</v>
      </c>
      <c r="R2" s="33" t="s">
        <v>228</v>
      </c>
    </row>
    <row r="3" spans="1:18">
      <c r="A3" s="2" t="s">
        <v>87</v>
      </c>
      <c r="B3" s="2" t="s">
        <v>87</v>
      </c>
      <c r="C3" s="2" t="s">
        <v>87</v>
      </c>
      <c r="D3" s="2" t="s">
        <v>87</v>
      </c>
      <c r="E3" s="2" t="s">
        <v>229</v>
      </c>
      <c r="F3" s="2" t="s">
        <v>15</v>
      </c>
      <c r="G3" s="2" t="s">
        <v>249</v>
      </c>
      <c r="H3" s="2" t="s">
        <v>15</v>
      </c>
      <c r="I3" s="2" t="s">
        <v>15</v>
      </c>
      <c r="J3" s="2" t="s">
        <v>87</v>
      </c>
      <c r="K3" s="2" t="s">
        <v>16</v>
      </c>
      <c r="L3" s="2" t="s">
        <v>16</v>
      </c>
      <c r="M3" s="40" t="s">
        <v>16</v>
      </c>
      <c r="N3" s="41" t="s">
        <v>228</v>
      </c>
      <c r="O3" s="41" t="s">
        <v>228</v>
      </c>
      <c r="P3" s="41" t="s">
        <v>228</v>
      </c>
      <c r="Q3" s="41" t="s">
        <v>228</v>
      </c>
      <c r="R3" s="41" t="s">
        <v>228</v>
      </c>
    </row>
    <row r="4" spans="1:18" s="47" customFormat="1">
      <c r="A4" s="6" t="str">
        <f t="shared" ref="A4:A41" si="0">"303"&amp;VLOOKUP(C4,ID참조,2,FALSE)&amp;VLOOKUP(P4,ID참조,2,FALSE)&amp;Q4&amp;VLOOKUP(J4,ID참조,2,FALSE)</f>
        <v>3031010001</v>
      </c>
      <c r="B4" s="6" t="s">
        <v>307</v>
      </c>
      <c r="C4" s="6" t="str">
        <f t="shared" ref="C4:C41" si="1">VLOOKUP(N4,국문참조,2,FALSE)</f>
        <v>Spica</v>
      </c>
      <c r="D4" s="6" t="str">
        <f t="shared" ref="D4:D41" si="2">VLOOKUP(O4,국문참조,2,FALSE)</f>
        <v>Force</v>
      </c>
      <c r="E4" s="6" t="str">
        <f t="shared" ref="E4:E41" si="3">"STAT."&amp;A4</f>
        <v>STAT.3031010001</v>
      </c>
      <c r="F4" s="6"/>
      <c r="G4" s="6"/>
      <c r="H4" s="42"/>
      <c r="I4" s="42"/>
      <c r="J4" s="6" t="str">
        <f t="shared" ref="J4:J41" si="4">R4</f>
        <v>SR</v>
      </c>
      <c r="K4" s="6" t="str">
        <f t="shared" ref="K4:K41" si="5">"Academy.Title.Name."&amp;VLOOKUP(N4,국문참조,2,FALSE)&amp;"."&amp;VLOOKUP(P4,이름참조,2,FALSE)&amp;"."&amp;J4</f>
        <v>Academy.Title.Name.Spica.attack.SR</v>
      </c>
      <c r="L4" s="34" t="s">
        <v>276</v>
      </c>
      <c r="M4" s="6" t="str">
        <f t="shared" ref="M4:M41" si="6">"Academy.Title.Name."&amp;VLOOKUP(N4,국문참조,2,FALSE)&amp;"."&amp;VLOOKUP(P4,이름참조,2,FALSE)&amp;".Desc"</f>
        <v>Academy.Title.Name.Spica.attack.Desc</v>
      </c>
      <c r="N4" s="6" t="s">
        <v>309</v>
      </c>
      <c r="O4" s="6" t="s">
        <v>147</v>
      </c>
      <c r="P4" s="6" t="s">
        <v>134</v>
      </c>
      <c r="Q4" s="46" t="s">
        <v>273</v>
      </c>
      <c r="R4" s="6" t="s">
        <v>73</v>
      </c>
    </row>
    <row r="5" spans="1:18" s="47" customFormat="1">
      <c r="A5" s="6" t="str">
        <f t="shared" si="0"/>
        <v>3031010002</v>
      </c>
      <c r="B5" s="6" t="s">
        <v>307</v>
      </c>
      <c r="C5" s="6" t="str">
        <f t="shared" si="1"/>
        <v>Spica</v>
      </c>
      <c r="D5" s="6" t="str">
        <f t="shared" si="2"/>
        <v>Force</v>
      </c>
      <c r="E5" s="6" t="str">
        <f t="shared" si="3"/>
        <v>STAT.3031010002</v>
      </c>
      <c r="F5" s="6"/>
      <c r="G5" s="6"/>
      <c r="H5" s="42"/>
      <c r="I5" s="42"/>
      <c r="J5" s="6" t="str">
        <f t="shared" si="4"/>
        <v>SSR</v>
      </c>
      <c r="K5" s="6" t="str">
        <f t="shared" si="5"/>
        <v>Academy.Title.Name.Spica.attack.SSR</v>
      </c>
      <c r="L5" s="34" t="s">
        <v>276</v>
      </c>
      <c r="M5" s="6" t="str">
        <f t="shared" si="6"/>
        <v>Academy.Title.Name.Spica.attack.Desc</v>
      </c>
      <c r="N5" s="6" t="s">
        <v>309</v>
      </c>
      <c r="O5" s="6" t="s">
        <v>147</v>
      </c>
      <c r="P5" s="6" t="s">
        <v>134</v>
      </c>
      <c r="Q5" s="46" t="s">
        <v>273</v>
      </c>
      <c r="R5" s="6" t="s">
        <v>75</v>
      </c>
    </row>
    <row r="6" spans="1:18" s="47" customFormat="1">
      <c r="A6" s="6" t="str">
        <f t="shared" si="0"/>
        <v>3031010003</v>
      </c>
      <c r="B6" s="6" t="s">
        <v>307</v>
      </c>
      <c r="C6" s="6" t="str">
        <f t="shared" si="1"/>
        <v>Spica</v>
      </c>
      <c r="D6" s="6" t="str">
        <f t="shared" si="2"/>
        <v>Force</v>
      </c>
      <c r="E6" s="6" t="str">
        <f t="shared" si="3"/>
        <v>STAT.3031010003</v>
      </c>
      <c r="F6" s="6"/>
      <c r="G6" s="6"/>
      <c r="H6" s="42"/>
      <c r="I6" s="42"/>
      <c r="J6" s="6" t="str">
        <f t="shared" si="4"/>
        <v>UR</v>
      </c>
      <c r="K6" s="6" t="str">
        <f t="shared" si="5"/>
        <v>Academy.Title.Name.Spica.attack.UR</v>
      </c>
      <c r="L6" s="34" t="s">
        <v>276</v>
      </c>
      <c r="M6" s="6" t="str">
        <f t="shared" si="6"/>
        <v>Academy.Title.Name.Spica.attack.Desc</v>
      </c>
      <c r="N6" s="6" t="s">
        <v>309</v>
      </c>
      <c r="O6" s="6" t="s">
        <v>147</v>
      </c>
      <c r="P6" s="6" t="s">
        <v>134</v>
      </c>
      <c r="Q6" s="46" t="s">
        <v>273</v>
      </c>
      <c r="R6" s="6" t="s">
        <v>77</v>
      </c>
    </row>
    <row r="7" spans="1:18" s="47" customFormat="1">
      <c r="A7" s="6" t="str">
        <f t="shared" si="0"/>
        <v>3031010004</v>
      </c>
      <c r="B7" s="6" t="s">
        <v>307</v>
      </c>
      <c r="C7" s="6" t="str">
        <f t="shared" si="1"/>
        <v>Spica</v>
      </c>
      <c r="D7" s="6" t="str">
        <f t="shared" si="2"/>
        <v>Force</v>
      </c>
      <c r="E7" s="6" t="str">
        <f t="shared" si="3"/>
        <v>STAT.3031010004</v>
      </c>
      <c r="F7" s="6"/>
      <c r="G7" s="6"/>
      <c r="H7" s="42"/>
      <c r="I7" s="42"/>
      <c r="J7" s="6" t="str">
        <f t="shared" si="4"/>
        <v>MR</v>
      </c>
      <c r="K7" s="6" t="str">
        <f t="shared" si="5"/>
        <v>Academy.Title.Name.Spica.attack.MR</v>
      </c>
      <c r="L7" s="34" t="s">
        <v>276</v>
      </c>
      <c r="M7" s="6" t="str">
        <f t="shared" si="6"/>
        <v>Academy.Title.Name.Spica.attack.Desc</v>
      </c>
      <c r="N7" s="6" t="s">
        <v>309</v>
      </c>
      <c r="O7" s="6" t="s">
        <v>147</v>
      </c>
      <c r="P7" s="6" t="s">
        <v>134</v>
      </c>
      <c r="Q7" s="46" t="s">
        <v>273</v>
      </c>
      <c r="R7" s="6" t="s">
        <v>241</v>
      </c>
    </row>
    <row r="8" spans="1:18" s="47" customFormat="1">
      <c r="A8" s="6" t="str">
        <f t="shared" si="0"/>
        <v>3031010005</v>
      </c>
      <c r="B8" s="6" t="s">
        <v>307</v>
      </c>
      <c r="C8" s="6" t="str">
        <f t="shared" si="1"/>
        <v>Spica</v>
      </c>
      <c r="D8" s="6" t="str">
        <f t="shared" si="2"/>
        <v>Force</v>
      </c>
      <c r="E8" s="6" t="str">
        <f t="shared" si="3"/>
        <v>STAT.3031010005</v>
      </c>
      <c r="F8" s="6"/>
      <c r="G8" s="6"/>
      <c r="H8" s="42"/>
      <c r="I8" s="42"/>
      <c r="J8" s="6" t="str">
        <f t="shared" si="4"/>
        <v>LR</v>
      </c>
      <c r="K8" s="6" t="str">
        <f t="shared" si="5"/>
        <v>Academy.Title.Name.Spica.attack.LR</v>
      </c>
      <c r="L8" s="34" t="s">
        <v>276</v>
      </c>
      <c r="M8" s="6" t="str">
        <f t="shared" si="6"/>
        <v>Academy.Title.Name.Spica.attack.Desc</v>
      </c>
      <c r="N8" s="6" t="s">
        <v>309</v>
      </c>
      <c r="O8" s="6" t="s">
        <v>147</v>
      </c>
      <c r="P8" s="6" t="s">
        <v>134</v>
      </c>
      <c r="Q8" s="46" t="s">
        <v>273</v>
      </c>
      <c r="R8" s="6" t="s">
        <v>382</v>
      </c>
    </row>
    <row r="9" spans="1:18" s="47" customFormat="1">
      <c r="A9" s="6" t="str">
        <f t="shared" si="0"/>
        <v>3031020001</v>
      </c>
      <c r="B9" s="6" t="s">
        <v>307</v>
      </c>
      <c r="C9" s="6" t="str">
        <f t="shared" si="1"/>
        <v>Spica</v>
      </c>
      <c r="D9" s="6" t="str">
        <f t="shared" si="2"/>
        <v>Force</v>
      </c>
      <c r="E9" s="6" t="str">
        <f t="shared" si="3"/>
        <v>STAT.3031020001</v>
      </c>
      <c r="F9" s="6"/>
      <c r="G9" s="6"/>
      <c r="H9" s="42"/>
      <c r="I9" s="42"/>
      <c r="J9" s="6" t="str">
        <f t="shared" si="4"/>
        <v>SR</v>
      </c>
      <c r="K9" s="6" t="str">
        <f t="shared" si="5"/>
        <v>Academy.Title.Name.Spica.attackspeed.SR</v>
      </c>
      <c r="L9" s="34" t="s">
        <v>277</v>
      </c>
      <c r="M9" s="6" t="str">
        <f t="shared" si="6"/>
        <v>Academy.Title.Name.Spica.attackspeed.Desc</v>
      </c>
      <c r="N9" s="6" t="s">
        <v>309</v>
      </c>
      <c r="O9" s="6" t="s">
        <v>147</v>
      </c>
      <c r="P9" s="6" t="s">
        <v>139</v>
      </c>
      <c r="Q9" s="46" t="s">
        <v>273</v>
      </c>
      <c r="R9" s="6" t="s">
        <v>73</v>
      </c>
    </row>
    <row r="10" spans="1:18" s="47" customFormat="1">
      <c r="A10" s="6" t="str">
        <f t="shared" si="0"/>
        <v>3031020002</v>
      </c>
      <c r="B10" s="6" t="s">
        <v>307</v>
      </c>
      <c r="C10" s="6" t="str">
        <f t="shared" si="1"/>
        <v>Spica</v>
      </c>
      <c r="D10" s="6" t="str">
        <f t="shared" si="2"/>
        <v>Force</v>
      </c>
      <c r="E10" s="6" t="str">
        <f t="shared" si="3"/>
        <v>STAT.3031020002</v>
      </c>
      <c r="F10" s="6"/>
      <c r="G10" s="6"/>
      <c r="H10" s="42"/>
      <c r="I10" s="42"/>
      <c r="J10" s="6" t="str">
        <f t="shared" si="4"/>
        <v>SSR</v>
      </c>
      <c r="K10" s="6" t="str">
        <f t="shared" si="5"/>
        <v>Academy.Title.Name.Spica.attackspeed.SSR</v>
      </c>
      <c r="L10" s="34" t="s">
        <v>277</v>
      </c>
      <c r="M10" s="6" t="str">
        <f t="shared" si="6"/>
        <v>Academy.Title.Name.Spica.attackspeed.Desc</v>
      </c>
      <c r="N10" s="6" t="s">
        <v>309</v>
      </c>
      <c r="O10" s="6" t="s">
        <v>147</v>
      </c>
      <c r="P10" s="6" t="s">
        <v>139</v>
      </c>
      <c r="Q10" s="46" t="s">
        <v>273</v>
      </c>
      <c r="R10" s="6" t="s">
        <v>75</v>
      </c>
    </row>
    <row r="11" spans="1:18" s="47" customFormat="1">
      <c r="A11" s="6" t="str">
        <f t="shared" si="0"/>
        <v>3031020003</v>
      </c>
      <c r="B11" s="6" t="s">
        <v>307</v>
      </c>
      <c r="C11" s="6" t="str">
        <f t="shared" si="1"/>
        <v>Spica</v>
      </c>
      <c r="D11" s="6" t="str">
        <f t="shared" si="2"/>
        <v>Force</v>
      </c>
      <c r="E11" s="6" t="str">
        <f t="shared" si="3"/>
        <v>STAT.3031020003</v>
      </c>
      <c r="F11" s="6"/>
      <c r="G11" s="6"/>
      <c r="H11" s="42"/>
      <c r="I11" s="42"/>
      <c r="J11" s="6" t="str">
        <f t="shared" si="4"/>
        <v>UR</v>
      </c>
      <c r="K11" s="6" t="str">
        <f t="shared" si="5"/>
        <v>Academy.Title.Name.Spica.attackspeed.UR</v>
      </c>
      <c r="L11" s="34" t="s">
        <v>277</v>
      </c>
      <c r="M11" s="6" t="str">
        <f t="shared" si="6"/>
        <v>Academy.Title.Name.Spica.attackspeed.Desc</v>
      </c>
      <c r="N11" s="6" t="s">
        <v>309</v>
      </c>
      <c r="O11" s="6" t="s">
        <v>147</v>
      </c>
      <c r="P11" s="6" t="s">
        <v>139</v>
      </c>
      <c r="Q11" s="46" t="s">
        <v>273</v>
      </c>
      <c r="R11" s="6" t="s">
        <v>77</v>
      </c>
    </row>
    <row r="12" spans="1:18" s="47" customFormat="1">
      <c r="A12" s="6" t="str">
        <f t="shared" si="0"/>
        <v>3031020004</v>
      </c>
      <c r="B12" s="6" t="s">
        <v>307</v>
      </c>
      <c r="C12" s="6" t="str">
        <f t="shared" si="1"/>
        <v>Spica</v>
      </c>
      <c r="D12" s="6" t="str">
        <f t="shared" si="2"/>
        <v>Force</v>
      </c>
      <c r="E12" s="6" t="str">
        <f t="shared" si="3"/>
        <v>STAT.3031020004</v>
      </c>
      <c r="F12" s="6"/>
      <c r="G12" s="6"/>
      <c r="H12" s="42"/>
      <c r="I12" s="42"/>
      <c r="J12" s="6" t="str">
        <f t="shared" si="4"/>
        <v>MR</v>
      </c>
      <c r="K12" s="6" t="str">
        <f t="shared" si="5"/>
        <v>Academy.Title.Name.Spica.attackspeed.MR</v>
      </c>
      <c r="L12" s="34" t="s">
        <v>277</v>
      </c>
      <c r="M12" s="6" t="str">
        <f t="shared" si="6"/>
        <v>Academy.Title.Name.Spica.attackspeed.Desc</v>
      </c>
      <c r="N12" s="6" t="s">
        <v>309</v>
      </c>
      <c r="O12" s="6" t="s">
        <v>147</v>
      </c>
      <c r="P12" s="6" t="s">
        <v>139</v>
      </c>
      <c r="Q12" s="46" t="s">
        <v>273</v>
      </c>
      <c r="R12" s="6" t="s">
        <v>241</v>
      </c>
    </row>
    <row r="13" spans="1:18" s="47" customFormat="1">
      <c r="A13" s="6" t="str">
        <f t="shared" si="0"/>
        <v>3031020005</v>
      </c>
      <c r="B13" s="6" t="s">
        <v>307</v>
      </c>
      <c r="C13" s="6" t="str">
        <f t="shared" si="1"/>
        <v>Spica</v>
      </c>
      <c r="D13" s="6" t="str">
        <f t="shared" si="2"/>
        <v>Force</v>
      </c>
      <c r="E13" s="6" t="str">
        <f t="shared" si="3"/>
        <v>STAT.3031020005</v>
      </c>
      <c r="F13" s="6"/>
      <c r="G13" s="6"/>
      <c r="H13" s="42"/>
      <c r="I13" s="42"/>
      <c r="J13" s="6" t="str">
        <f t="shared" si="4"/>
        <v>LR</v>
      </c>
      <c r="K13" s="6" t="str">
        <f t="shared" si="5"/>
        <v>Academy.Title.Name.Spica.attackspeed.LR</v>
      </c>
      <c r="L13" s="34" t="s">
        <v>277</v>
      </c>
      <c r="M13" s="6" t="str">
        <f t="shared" si="6"/>
        <v>Academy.Title.Name.Spica.attackspeed.Desc</v>
      </c>
      <c r="N13" s="6" t="s">
        <v>309</v>
      </c>
      <c r="O13" s="6" t="s">
        <v>147</v>
      </c>
      <c r="P13" s="6" t="s">
        <v>139</v>
      </c>
      <c r="Q13" s="46" t="s">
        <v>273</v>
      </c>
      <c r="R13" s="6" t="s">
        <v>380</v>
      </c>
    </row>
    <row r="14" spans="1:18" s="47" customFormat="1">
      <c r="A14" s="6" t="str">
        <f t="shared" si="0"/>
        <v>3031030001</v>
      </c>
      <c r="B14" s="6" t="s">
        <v>307</v>
      </c>
      <c r="C14" s="6" t="str">
        <f t="shared" si="1"/>
        <v>Spica</v>
      </c>
      <c r="D14" s="6" t="str">
        <f t="shared" si="2"/>
        <v>Sense</v>
      </c>
      <c r="E14" s="6" t="str">
        <f t="shared" si="3"/>
        <v>STAT.3031030001</v>
      </c>
      <c r="F14" s="6"/>
      <c r="G14" s="6"/>
      <c r="H14" s="42"/>
      <c r="I14" s="42"/>
      <c r="J14" s="6" t="str">
        <f t="shared" si="4"/>
        <v>SR</v>
      </c>
      <c r="K14" s="6" t="str">
        <f t="shared" si="5"/>
        <v>Academy.Title.Name.Spica.defense.SR</v>
      </c>
      <c r="L14" s="34" t="s">
        <v>278</v>
      </c>
      <c r="M14" s="6" t="str">
        <f t="shared" si="6"/>
        <v>Academy.Title.Name.Spica.defense.Desc</v>
      </c>
      <c r="N14" s="6" t="s">
        <v>309</v>
      </c>
      <c r="O14" s="6" t="s">
        <v>311</v>
      </c>
      <c r="P14" s="6" t="s">
        <v>144</v>
      </c>
      <c r="Q14" s="46" t="s">
        <v>273</v>
      </c>
      <c r="R14" s="6" t="s">
        <v>73</v>
      </c>
    </row>
    <row r="15" spans="1:18" s="47" customFormat="1">
      <c r="A15" s="6" t="str">
        <f t="shared" si="0"/>
        <v>3031030002</v>
      </c>
      <c r="B15" s="6" t="s">
        <v>307</v>
      </c>
      <c r="C15" s="6" t="str">
        <f t="shared" si="1"/>
        <v>Spica</v>
      </c>
      <c r="D15" s="6" t="str">
        <f t="shared" si="2"/>
        <v>Sense</v>
      </c>
      <c r="E15" s="6" t="str">
        <f t="shared" si="3"/>
        <v>STAT.3031030002</v>
      </c>
      <c r="F15" s="6"/>
      <c r="G15" s="6"/>
      <c r="H15" s="42"/>
      <c r="I15" s="42"/>
      <c r="J15" s="6" t="str">
        <f t="shared" si="4"/>
        <v>SSR</v>
      </c>
      <c r="K15" s="6" t="str">
        <f t="shared" si="5"/>
        <v>Academy.Title.Name.Spica.defense.SSR</v>
      </c>
      <c r="L15" s="34" t="s">
        <v>278</v>
      </c>
      <c r="M15" s="6" t="str">
        <f t="shared" si="6"/>
        <v>Academy.Title.Name.Spica.defense.Desc</v>
      </c>
      <c r="N15" s="6" t="s">
        <v>309</v>
      </c>
      <c r="O15" s="6" t="s">
        <v>311</v>
      </c>
      <c r="P15" s="6" t="s">
        <v>144</v>
      </c>
      <c r="Q15" s="46" t="s">
        <v>273</v>
      </c>
      <c r="R15" s="6" t="s">
        <v>75</v>
      </c>
    </row>
    <row r="16" spans="1:18" s="47" customFormat="1">
      <c r="A16" s="6" t="str">
        <f t="shared" si="0"/>
        <v>3031030003</v>
      </c>
      <c r="B16" s="6" t="s">
        <v>307</v>
      </c>
      <c r="C16" s="6" t="str">
        <f t="shared" si="1"/>
        <v>Spica</v>
      </c>
      <c r="D16" s="6" t="str">
        <f t="shared" si="2"/>
        <v>Sense</v>
      </c>
      <c r="E16" s="6" t="str">
        <f t="shared" si="3"/>
        <v>STAT.3031030003</v>
      </c>
      <c r="F16" s="6"/>
      <c r="G16" s="6"/>
      <c r="H16" s="42"/>
      <c r="I16" s="42"/>
      <c r="J16" s="6" t="str">
        <f t="shared" si="4"/>
        <v>UR</v>
      </c>
      <c r="K16" s="6" t="str">
        <f t="shared" si="5"/>
        <v>Academy.Title.Name.Spica.defense.UR</v>
      </c>
      <c r="L16" s="34" t="s">
        <v>278</v>
      </c>
      <c r="M16" s="6" t="str">
        <f t="shared" si="6"/>
        <v>Academy.Title.Name.Spica.defense.Desc</v>
      </c>
      <c r="N16" s="6" t="s">
        <v>309</v>
      </c>
      <c r="O16" s="6" t="s">
        <v>311</v>
      </c>
      <c r="P16" s="6" t="s">
        <v>144</v>
      </c>
      <c r="Q16" s="46" t="s">
        <v>273</v>
      </c>
      <c r="R16" s="6" t="s">
        <v>77</v>
      </c>
    </row>
    <row r="17" spans="1:18" s="47" customFormat="1">
      <c r="A17" s="6" t="str">
        <f t="shared" si="0"/>
        <v>3031030004</v>
      </c>
      <c r="B17" s="6" t="s">
        <v>307</v>
      </c>
      <c r="C17" s="6" t="str">
        <f t="shared" si="1"/>
        <v>Spica</v>
      </c>
      <c r="D17" s="6" t="str">
        <f t="shared" si="2"/>
        <v>Sense</v>
      </c>
      <c r="E17" s="6" t="str">
        <f t="shared" si="3"/>
        <v>STAT.3031030004</v>
      </c>
      <c r="F17" s="6"/>
      <c r="G17" s="6"/>
      <c r="H17" s="42"/>
      <c r="I17" s="42"/>
      <c r="J17" s="6" t="str">
        <f t="shared" si="4"/>
        <v>MR</v>
      </c>
      <c r="K17" s="6" t="str">
        <f t="shared" si="5"/>
        <v>Academy.Title.Name.Spica.defense.MR</v>
      </c>
      <c r="L17" s="34" t="s">
        <v>278</v>
      </c>
      <c r="M17" s="6" t="str">
        <f t="shared" si="6"/>
        <v>Academy.Title.Name.Spica.defense.Desc</v>
      </c>
      <c r="N17" s="6" t="s">
        <v>309</v>
      </c>
      <c r="O17" s="6" t="s">
        <v>311</v>
      </c>
      <c r="P17" s="6" t="s">
        <v>144</v>
      </c>
      <c r="Q17" s="46" t="s">
        <v>273</v>
      </c>
      <c r="R17" s="6" t="s">
        <v>241</v>
      </c>
    </row>
    <row r="18" spans="1:18" s="47" customFormat="1">
      <c r="A18" s="6" t="str">
        <f t="shared" si="0"/>
        <v>3031030005</v>
      </c>
      <c r="B18" s="6" t="s">
        <v>307</v>
      </c>
      <c r="C18" s="6" t="str">
        <f t="shared" si="1"/>
        <v>Spica</v>
      </c>
      <c r="D18" s="6" t="str">
        <f t="shared" si="2"/>
        <v>Sense</v>
      </c>
      <c r="E18" s="6" t="str">
        <f t="shared" si="3"/>
        <v>STAT.3031030005</v>
      </c>
      <c r="F18" s="6"/>
      <c r="G18" s="6"/>
      <c r="H18" s="42"/>
      <c r="I18" s="42"/>
      <c r="J18" s="6" t="str">
        <f t="shared" si="4"/>
        <v>LR</v>
      </c>
      <c r="K18" s="6" t="str">
        <f t="shared" si="5"/>
        <v>Academy.Title.Name.Spica.defense.LR</v>
      </c>
      <c r="L18" s="34" t="s">
        <v>278</v>
      </c>
      <c r="M18" s="6" t="str">
        <f t="shared" si="6"/>
        <v>Academy.Title.Name.Spica.defense.Desc</v>
      </c>
      <c r="N18" s="6" t="s">
        <v>309</v>
      </c>
      <c r="O18" s="6" t="s">
        <v>311</v>
      </c>
      <c r="P18" s="6" t="s">
        <v>144</v>
      </c>
      <c r="Q18" s="46" t="s">
        <v>273</v>
      </c>
      <c r="R18" s="6" t="s">
        <v>380</v>
      </c>
    </row>
    <row r="19" spans="1:18" s="47" customFormat="1">
      <c r="A19" s="6" t="str">
        <f t="shared" si="0"/>
        <v>3031040001</v>
      </c>
      <c r="B19" s="6" t="s">
        <v>307</v>
      </c>
      <c r="C19" s="6" t="str">
        <f t="shared" si="1"/>
        <v>Spica</v>
      </c>
      <c r="D19" s="6" t="str">
        <f t="shared" si="2"/>
        <v>Sense</v>
      </c>
      <c r="E19" s="6" t="str">
        <f t="shared" si="3"/>
        <v>STAT.3031040001</v>
      </c>
      <c r="F19" s="6"/>
      <c r="G19" s="6"/>
      <c r="H19" s="42"/>
      <c r="I19" s="42"/>
      <c r="J19" s="6" t="str">
        <f t="shared" si="4"/>
        <v>SR</v>
      </c>
      <c r="K19" s="6" t="str">
        <f t="shared" si="5"/>
        <v>Academy.Title.Name.Spica.guardreducerate.SR</v>
      </c>
      <c r="L19" s="34" t="s">
        <v>279</v>
      </c>
      <c r="M19" s="6" t="str">
        <f t="shared" si="6"/>
        <v>Academy.Title.Name.Spica.guardreducerate.Desc</v>
      </c>
      <c r="N19" s="6" t="s">
        <v>309</v>
      </c>
      <c r="O19" s="6" t="s">
        <v>311</v>
      </c>
      <c r="P19" s="6" t="s">
        <v>148</v>
      </c>
      <c r="Q19" s="46" t="s">
        <v>273</v>
      </c>
      <c r="R19" s="6" t="s">
        <v>73</v>
      </c>
    </row>
    <row r="20" spans="1:18" s="47" customFormat="1">
      <c r="A20" s="6" t="str">
        <f t="shared" si="0"/>
        <v>3031040002</v>
      </c>
      <c r="B20" s="6" t="s">
        <v>307</v>
      </c>
      <c r="C20" s="6" t="str">
        <f t="shared" si="1"/>
        <v>Spica</v>
      </c>
      <c r="D20" s="6" t="str">
        <f t="shared" si="2"/>
        <v>Sense</v>
      </c>
      <c r="E20" s="6" t="str">
        <f t="shared" si="3"/>
        <v>STAT.3031040002</v>
      </c>
      <c r="F20" s="6"/>
      <c r="G20" s="6"/>
      <c r="H20" s="42"/>
      <c r="I20" s="42"/>
      <c r="J20" s="6" t="str">
        <f t="shared" si="4"/>
        <v>SSR</v>
      </c>
      <c r="K20" s="6" t="str">
        <f t="shared" si="5"/>
        <v>Academy.Title.Name.Spica.guardreducerate.SSR</v>
      </c>
      <c r="L20" s="34" t="s">
        <v>279</v>
      </c>
      <c r="M20" s="6" t="str">
        <f t="shared" si="6"/>
        <v>Academy.Title.Name.Spica.guardreducerate.Desc</v>
      </c>
      <c r="N20" s="6" t="s">
        <v>309</v>
      </c>
      <c r="O20" s="6" t="s">
        <v>311</v>
      </c>
      <c r="P20" s="6" t="s">
        <v>148</v>
      </c>
      <c r="Q20" s="46" t="s">
        <v>273</v>
      </c>
      <c r="R20" s="6" t="s">
        <v>75</v>
      </c>
    </row>
    <row r="21" spans="1:18" s="47" customFormat="1">
      <c r="A21" s="6" t="str">
        <f t="shared" si="0"/>
        <v>3031040003</v>
      </c>
      <c r="B21" s="6" t="s">
        <v>307</v>
      </c>
      <c r="C21" s="6" t="str">
        <f t="shared" si="1"/>
        <v>Spica</v>
      </c>
      <c r="D21" s="6" t="str">
        <f t="shared" si="2"/>
        <v>Sense</v>
      </c>
      <c r="E21" s="6" t="str">
        <f t="shared" si="3"/>
        <v>STAT.3031040003</v>
      </c>
      <c r="F21" s="6"/>
      <c r="G21" s="6"/>
      <c r="H21" s="42"/>
      <c r="I21" s="42"/>
      <c r="J21" s="6" t="str">
        <f t="shared" si="4"/>
        <v>UR</v>
      </c>
      <c r="K21" s="6" t="str">
        <f t="shared" si="5"/>
        <v>Academy.Title.Name.Spica.guardreducerate.UR</v>
      </c>
      <c r="L21" s="34" t="s">
        <v>279</v>
      </c>
      <c r="M21" s="6" t="str">
        <f t="shared" si="6"/>
        <v>Academy.Title.Name.Spica.guardreducerate.Desc</v>
      </c>
      <c r="N21" s="6" t="s">
        <v>309</v>
      </c>
      <c r="O21" s="6" t="s">
        <v>311</v>
      </c>
      <c r="P21" s="6" t="s">
        <v>148</v>
      </c>
      <c r="Q21" s="46" t="s">
        <v>273</v>
      </c>
      <c r="R21" s="6" t="s">
        <v>77</v>
      </c>
    </row>
    <row r="22" spans="1:18" s="47" customFormat="1">
      <c r="A22" s="6" t="str">
        <f t="shared" si="0"/>
        <v>3031040004</v>
      </c>
      <c r="B22" s="6" t="s">
        <v>307</v>
      </c>
      <c r="C22" s="6" t="str">
        <f t="shared" si="1"/>
        <v>Spica</v>
      </c>
      <c r="D22" s="6" t="str">
        <f t="shared" si="2"/>
        <v>Sense</v>
      </c>
      <c r="E22" s="6" t="str">
        <f t="shared" si="3"/>
        <v>STAT.3031040004</v>
      </c>
      <c r="F22" s="6"/>
      <c r="G22" s="6"/>
      <c r="H22" s="42"/>
      <c r="I22" s="42"/>
      <c r="J22" s="6" t="str">
        <f t="shared" si="4"/>
        <v>MR</v>
      </c>
      <c r="K22" s="6" t="str">
        <f t="shared" si="5"/>
        <v>Academy.Title.Name.Spica.guardreducerate.MR</v>
      </c>
      <c r="L22" s="34" t="s">
        <v>279</v>
      </c>
      <c r="M22" s="6" t="str">
        <f t="shared" si="6"/>
        <v>Academy.Title.Name.Spica.guardreducerate.Desc</v>
      </c>
      <c r="N22" s="6" t="s">
        <v>309</v>
      </c>
      <c r="O22" s="6" t="s">
        <v>311</v>
      </c>
      <c r="P22" s="6" t="s">
        <v>148</v>
      </c>
      <c r="Q22" s="46" t="s">
        <v>273</v>
      </c>
      <c r="R22" s="6" t="s">
        <v>241</v>
      </c>
    </row>
    <row r="23" spans="1:18" s="47" customFormat="1">
      <c r="A23" s="6" t="str">
        <f t="shared" si="0"/>
        <v>3031040005</v>
      </c>
      <c r="B23" s="6" t="s">
        <v>307</v>
      </c>
      <c r="C23" s="6" t="str">
        <f t="shared" si="1"/>
        <v>Spica</v>
      </c>
      <c r="D23" s="6" t="str">
        <f t="shared" si="2"/>
        <v>Sense</v>
      </c>
      <c r="E23" s="6" t="str">
        <f t="shared" si="3"/>
        <v>STAT.3031040005</v>
      </c>
      <c r="F23" s="6"/>
      <c r="G23" s="6"/>
      <c r="H23" s="42"/>
      <c r="I23" s="42"/>
      <c r="J23" s="6" t="str">
        <f t="shared" si="4"/>
        <v>LR</v>
      </c>
      <c r="K23" s="6" t="str">
        <f t="shared" si="5"/>
        <v>Academy.Title.Name.Spica.guardreducerate.LR</v>
      </c>
      <c r="L23" s="34" t="s">
        <v>279</v>
      </c>
      <c r="M23" s="6" t="str">
        <f t="shared" si="6"/>
        <v>Academy.Title.Name.Spica.guardreducerate.Desc</v>
      </c>
      <c r="N23" s="6" t="s">
        <v>309</v>
      </c>
      <c r="O23" s="6" t="s">
        <v>311</v>
      </c>
      <c r="P23" s="6" t="s">
        <v>148</v>
      </c>
      <c r="Q23" s="46" t="s">
        <v>273</v>
      </c>
      <c r="R23" s="6" t="s">
        <v>380</v>
      </c>
    </row>
    <row r="24" spans="1:18" s="47" customFormat="1">
      <c r="A24" s="6" t="str">
        <f t="shared" si="0"/>
        <v>3031050001</v>
      </c>
      <c r="B24" s="6" t="s">
        <v>307</v>
      </c>
      <c r="C24" s="6" t="str">
        <f t="shared" si="1"/>
        <v>Spica</v>
      </c>
      <c r="D24" s="6" t="str">
        <f t="shared" si="2"/>
        <v>Intellect</v>
      </c>
      <c r="E24" s="6" t="str">
        <f t="shared" si="3"/>
        <v>STAT.3031050001</v>
      </c>
      <c r="F24" s="6"/>
      <c r="G24" s="6"/>
      <c r="H24" s="42"/>
      <c r="I24" s="42"/>
      <c r="J24" s="6" t="str">
        <f t="shared" si="4"/>
        <v>SR</v>
      </c>
      <c r="K24" s="6" t="str">
        <f t="shared" si="5"/>
        <v>Academy.Title.Name.Spica.hp.SR</v>
      </c>
      <c r="L24" s="34" t="s">
        <v>280</v>
      </c>
      <c r="M24" s="6" t="str">
        <f t="shared" si="6"/>
        <v>Academy.Title.Name.Spica.hp.Desc</v>
      </c>
      <c r="N24" s="6" t="s">
        <v>309</v>
      </c>
      <c r="O24" s="6" t="s">
        <v>155</v>
      </c>
      <c r="P24" s="6" t="s">
        <v>163</v>
      </c>
      <c r="Q24" s="46" t="s">
        <v>273</v>
      </c>
      <c r="R24" s="6" t="s">
        <v>73</v>
      </c>
    </row>
    <row r="25" spans="1:18" s="47" customFormat="1">
      <c r="A25" s="6" t="str">
        <f t="shared" si="0"/>
        <v>3031050002</v>
      </c>
      <c r="B25" s="6" t="s">
        <v>307</v>
      </c>
      <c r="C25" s="6" t="str">
        <f t="shared" si="1"/>
        <v>Spica</v>
      </c>
      <c r="D25" s="6" t="str">
        <f t="shared" si="2"/>
        <v>Intellect</v>
      </c>
      <c r="E25" s="6" t="str">
        <f t="shared" si="3"/>
        <v>STAT.3031050002</v>
      </c>
      <c r="F25" s="6"/>
      <c r="G25" s="6"/>
      <c r="H25" s="42"/>
      <c r="I25" s="42"/>
      <c r="J25" s="6" t="str">
        <f t="shared" si="4"/>
        <v>SSR</v>
      </c>
      <c r="K25" s="6" t="str">
        <f t="shared" si="5"/>
        <v>Academy.Title.Name.Spica.hp.SSR</v>
      </c>
      <c r="L25" s="34" t="s">
        <v>280</v>
      </c>
      <c r="M25" s="6" t="str">
        <f t="shared" si="6"/>
        <v>Academy.Title.Name.Spica.hp.Desc</v>
      </c>
      <c r="N25" s="6" t="s">
        <v>309</v>
      </c>
      <c r="O25" s="6" t="s">
        <v>155</v>
      </c>
      <c r="P25" s="6" t="s">
        <v>163</v>
      </c>
      <c r="Q25" s="46" t="s">
        <v>273</v>
      </c>
      <c r="R25" s="6" t="s">
        <v>75</v>
      </c>
    </row>
    <row r="26" spans="1:18" s="47" customFormat="1">
      <c r="A26" s="6" t="str">
        <f t="shared" si="0"/>
        <v>3031050003</v>
      </c>
      <c r="B26" s="6" t="s">
        <v>307</v>
      </c>
      <c r="C26" s="6" t="str">
        <f t="shared" si="1"/>
        <v>Spica</v>
      </c>
      <c r="D26" s="6" t="str">
        <f t="shared" si="2"/>
        <v>Intellect</v>
      </c>
      <c r="E26" s="6" t="str">
        <f t="shared" si="3"/>
        <v>STAT.3031050003</v>
      </c>
      <c r="F26" s="6"/>
      <c r="G26" s="6"/>
      <c r="H26" s="42"/>
      <c r="I26" s="42"/>
      <c r="J26" s="6" t="str">
        <f t="shared" si="4"/>
        <v>UR</v>
      </c>
      <c r="K26" s="6" t="str">
        <f t="shared" si="5"/>
        <v>Academy.Title.Name.Spica.hp.UR</v>
      </c>
      <c r="L26" s="34" t="s">
        <v>280</v>
      </c>
      <c r="M26" s="6" t="str">
        <f t="shared" si="6"/>
        <v>Academy.Title.Name.Spica.hp.Desc</v>
      </c>
      <c r="N26" s="6" t="s">
        <v>309</v>
      </c>
      <c r="O26" s="6" t="s">
        <v>155</v>
      </c>
      <c r="P26" s="6" t="s">
        <v>163</v>
      </c>
      <c r="Q26" s="46" t="s">
        <v>273</v>
      </c>
      <c r="R26" s="6" t="s">
        <v>77</v>
      </c>
    </row>
    <row r="27" spans="1:18" s="47" customFormat="1">
      <c r="A27" s="6" t="str">
        <f t="shared" si="0"/>
        <v>3031050004</v>
      </c>
      <c r="B27" s="6" t="s">
        <v>307</v>
      </c>
      <c r="C27" s="6" t="str">
        <f t="shared" si="1"/>
        <v>Spica</v>
      </c>
      <c r="D27" s="6" t="str">
        <f t="shared" si="2"/>
        <v>Intellect</v>
      </c>
      <c r="E27" s="6" t="str">
        <f t="shared" si="3"/>
        <v>STAT.3031050004</v>
      </c>
      <c r="F27" s="6"/>
      <c r="G27" s="6"/>
      <c r="H27" s="42"/>
      <c r="I27" s="42"/>
      <c r="J27" s="6" t="str">
        <f t="shared" si="4"/>
        <v>MR</v>
      </c>
      <c r="K27" s="6" t="str">
        <f t="shared" si="5"/>
        <v>Academy.Title.Name.Spica.hp.MR</v>
      </c>
      <c r="L27" s="34" t="s">
        <v>280</v>
      </c>
      <c r="M27" s="6" t="str">
        <f t="shared" si="6"/>
        <v>Academy.Title.Name.Spica.hp.Desc</v>
      </c>
      <c r="N27" s="6" t="s">
        <v>309</v>
      </c>
      <c r="O27" s="6" t="s">
        <v>155</v>
      </c>
      <c r="P27" s="6" t="s">
        <v>163</v>
      </c>
      <c r="Q27" s="46" t="s">
        <v>273</v>
      </c>
      <c r="R27" s="6" t="s">
        <v>241</v>
      </c>
    </row>
    <row r="28" spans="1:18" s="47" customFormat="1">
      <c r="A28" s="6" t="str">
        <f t="shared" ref="A28:A33" si="7">"303"&amp;VLOOKUP(C28,ID참조,2,FALSE)&amp;VLOOKUP(P28,ID참조,2,FALSE)&amp;Q28&amp;VLOOKUP(J28,ID참조,2,FALSE)</f>
        <v>3031050005</v>
      </c>
      <c r="B28" s="6" t="s">
        <v>79</v>
      </c>
      <c r="C28" s="6" t="str">
        <f t="shared" ref="C28:C33" si="8">VLOOKUP(N28,국문참조,2,FALSE)</f>
        <v>Spica</v>
      </c>
      <c r="D28" s="6" t="str">
        <f t="shared" ref="D28:D33" si="9">VLOOKUP(O28,국문참조,2,FALSE)</f>
        <v>Intellect</v>
      </c>
      <c r="E28" s="6" t="str">
        <f t="shared" ref="E28:E33" si="10">"STAT."&amp;A28</f>
        <v>STAT.3031050005</v>
      </c>
      <c r="F28" s="6"/>
      <c r="G28" s="6"/>
      <c r="H28" s="42"/>
      <c r="I28" s="42"/>
      <c r="J28" s="6" t="str">
        <f t="shared" ref="J28:J33" si="11">R28</f>
        <v>LR</v>
      </c>
      <c r="K28" s="6" t="str">
        <f t="shared" ref="K28:K33" si="12">"Academy.Title.Name."&amp;VLOOKUP(N28,국문참조,2,FALSE)&amp;"."&amp;VLOOKUP(P28,이름참조,2,FALSE)&amp;"."&amp;J28</f>
        <v>Academy.Title.Name.Spica.hp.LR</v>
      </c>
      <c r="L28" s="34" t="s">
        <v>280</v>
      </c>
      <c r="M28" s="6" t="str">
        <f t="shared" ref="M28:M33" si="13">"Academy.Title.Name."&amp;VLOOKUP(N28,국문참조,2,FALSE)&amp;"."&amp;VLOOKUP(P28,이름참조,2,FALSE)&amp;".Desc"</f>
        <v>Academy.Title.Name.Spica.hp.Desc</v>
      </c>
      <c r="N28" s="6" t="s">
        <v>309</v>
      </c>
      <c r="O28" s="6" t="s">
        <v>155</v>
      </c>
      <c r="P28" s="6" t="s">
        <v>163</v>
      </c>
      <c r="Q28" s="46" t="s">
        <v>273</v>
      </c>
      <c r="R28" s="6" t="s">
        <v>380</v>
      </c>
    </row>
    <row r="29" spans="1:18" s="47" customFormat="1">
      <c r="A29" s="6" t="str">
        <f t="shared" si="7"/>
        <v>3031060001</v>
      </c>
      <c r="B29" s="6" t="s">
        <v>79</v>
      </c>
      <c r="C29" s="6" t="str">
        <f t="shared" si="8"/>
        <v>Spica</v>
      </c>
      <c r="D29" s="6" t="str">
        <f t="shared" si="9"/>
        <v>Intellect</v>
      </c>
      <c r="E29" s="6" t="str">
        <f t="shared" si="10"/>
        <v>STAT.3031060001</v>
      </c>
      <c r="F29" s="6"/>
      <c r="G29" s="6"/>
      <c r="H29" s="42"/>
      <c r="I29" s="42"/>
      <c r="J29" s="6" t="str">
        <f t="shared" si="11"/>
        <v>SR</v>
      </c>
      <c r="K29" s="6" t="str">
        <f t="shared" si="12"/>
        <v>Academy.Title.Name.Spica.evasion.SR</v>
      </c>
      <c r="L29" s="34" t="s">
        <v>281</v>
      </c>
      <c r="M29" s="6" t="str">
        <f t="shared" si="13"/>
        <v>Academy.Title.Name.Spica.evasion.Desc</v>
      </c>
      <c r="N29" s="6" t="s">
        <v>309</v>
      </c>
      <c r="O29" s="6" t="s">
        <v>155</v>
      </c>
      <c r="P29" s="6" t="s">
        <v>156</v>
      </c>
      <c r="Q29" s="46" t="s">
        <v>273</v>
      </c>
      <c r="R29" s="6" t="s">
        <v>73</v>
      </c>
    </row>
    <row r="30" spans="1:18" s="47" customFormat="1">
      <c r="A30" s="6" t="str">
        <f t="shared" si="7"/>
        <v>3031060002</v>
      </c>
      <c r="B30" s="6" t="s">
        <v>79</v>
      </c>
      <c r="C30" s="6" t="str">
        <f t="shared" si="8"/>
        <v>Spica</v>
      </c>
      <c r="D30" s="6" t="str">
        <f t="shared" si="9"/>
        <v>Intellect</v>
      </c>
      <c r="E30" s="6" t="str">
        <f t="shared" si="10"/>
        <v>STAT.3031060002</v>
      </c>
      <c r="F30" s="6"/>
      <c r="G30" s="6"/>
      <c r="H30" s="42"/>
      <c r="I30" s="42"/>
      <c r="J30" s="6" t="str">
        <f t="shared" si="11"/>
        <v>SSR</v>
      </c>
      <c r="K30" s="6" t="str">
        <f t="shared" si="12"/>
        <v>Academy.Title.Name.Spica.evasion.SSR</v>
      </c>
      <c r="L30" s="34" t="s">
        <v>281</v>
      </c>
      <c r="M30" s="6" t="str">
        <f t="shared" si="13"/>
        <v>Academy.Title.Name.Spica.evasion.Desc</v>
      </c>
      <c r="N30" s="6" t="s">
        <v>309</v>
      </c>
      <c r="O30" s="6" t="s">
        <v>155</v>
      </c>
      <c r="P30" s="6" t="s">
        <v>156</v>
      </c>
      <c r="Q30" s="46" t="s">
        <v>273</v>
      </c>
      <c r="R30" s="6" t="s">
        <v>75</v>
      </c>
    </row>
    <row r="31" spans="1:18" s="47" customFormat="1">
      <c r="A31" s="6" t="str">
        <f t="shared" si="7"/>
        <v>3031060003</v>
      </c>
      <c r="B31" s="6" t="s">
        <v>79</v>
      </c>
      <c r="C31" s="6" t="str">
        <f t="shared" si="8"/>
        <v>Spica</v>
      </c>
      <c r="D31" s="6" t="str">
        <f t="shared" si="9"/>
        <v>Intellect</v>
      </c>
      <c r="E31" s="6" t="str">
        <f t="shared" si="10"/>
        <v>STAT.3031060003</v>
      </c>
      <c r="F31" s="6"/>
      <c r="G31" s="6"/>
      <c r="H31" s="42"/>
      <c r="I31" s="42"/>
      <c r="J31" s="6" t="str">
        <f t="shared" si="11"/>
        <v>UR</v>
      </c>
      <c r="K31" s="6" t="str">
        <f t="shared" si="12"/>
        <v>Academy.Title.Name.Spica.evasion.UR</v>
      </c>
      <c r="L31" s="34" t="s">
        <v>281</v>
      </c>
      <c r="M31" s="6" t="str">
        <f t="shared" si="13"/>
        <v>Academy.Title.Name.Spica.evasion.Desc</v>
      </c>
      <c r="N31" s="6" t="s">
        <v>309</v>
      </c>
      <c r="O31" s="6" t="s">
        <v>155</v>
      </c>
      <c r="P31" s="6" t="s">
        <v>156</v>
      </c>
      <c r="Q31" s="46" t="s">
        <v>273</v>
      </c>
      <c r="R31" s="6" t="s">
        <v>77</v>
      </c>
    </row>
    <row r="32" spans="1:18" s="47" customFormat="1">
      <c r="A32" s="6" t="str">
        <f t="shared" si="7"/>
        <v>3031060004</v>
      </c>
      <c r="B32" s="6" t="s">
        <v>79</v>
      </c>
      <c r="C32" s="6" t="str">
        <f t="shared" si="8"/>
        <v>Spica</v>
      </c>
      <c r="D32" s="6" t="str">
        <f t="shared" si="9"/>
        <v>Intellect</v>
      </c>
      <c r="E32" s="6" t="str">
        <f t="shared" si="10"/>
        <v>STAT.3031060004</v>
      </c>
      <c r="F32" s="6"/>
      <c r="G32" s="6"/>
      <c r="H32" s="42"/>
      <c r="I32" s="42"/>
      <c r="J32" s="6" t="str">
        <f t="shared" si="11"/>
        <v>MR</v>
      </c>
      <c r="K32" s="6" t="str">
        <f t="shared" si="12"/>
        <v>Academy.Title.Name.Spica.evasion.MR</v>
      </c>
      <c r="L32" s="34" t="s">
        <v>281</v>
      </c>
      <c r="M32" s="6" t="str">
        <f t="shared" si="13"/>
        <v>Academy.Title.Name.Spica.evasion.Desc</v>
      </c>
      <c r="N32" s="6" t="s">
        <v>309</v>
      </c>
      <c r="O32" s="6" t="s">
        <v>155</v>
      </c>
      <c r="P32" s="6" t="s">
        <v>156</v>
      </c>
      <c r="Q32" s="46" t="s">
        <v>273</v>
      </c>
      <c r="R32" s="6" t="s">
        <v>241</v>
      </c>
    </row>
    <row r="33" spans="1:18" s="47" customFormat="1">
      <c r="A33" s="6" t="str">
        <f t="shared" si="7"/>
        <v>3031060005</v>
      </c>
      <c r="B33" s="6" t="s">
        <v>79</v>
      </c>
      <c r="C33" s="6" t="str">
        <f t="shared" si="8"/>
        <v>Spica</v>
      </c>
      <c r="D33" s="6" t="str">
        <f t="shared" si="9"/>
        <v>Intellect</v>
      </c>
      <c r="E33" s="6" t="str">
        <f t="shared" si="10"/>
        <v>STAT.3031060005</v>
      </c>
      <c r="F33" s="6"/>
      <c r="G33" s="6"/>
      <c r="H33" s="42"/>
      <c r="I33" s="42"/>
      <c r="J33" s="6" t="str">
        <f t="shared" si="11"/>
        <v>LR</v>
      </c>
      <c r="K33" s="6" t="str">
        <f t="shared" si="12"/>
        <v>Academy.Title.Name.Spica.evasion.LR</v>
      </c>
      <c r="L33" s="34" t="s">
        <v>281</v>
      </c>
      <c r="M33" s="6" t="str">
        <f t="shared" si="13"/>
        <v>Academy.Title.Name.Spica.evasion.Desc</v>
      </c>
      <c r="N33" s="6" t="s">
        <v>309</v>
      </c>
      <c r="O33" s="6" t="s">
        <v>155</v>
      </c>
      <c r="P33" s="6" t="s">
        <v>156</v>
      </c>
      <c r="Q33" s="46" t="s">
        <v>273</v>
      </c>
      <c r="R33" s="6" t="s">
        <v>380</v>
      </c>
    </row>
    <row r="34" spans="1:18" s="47" customFormat="1">
      <c r="A34" s="13" t="str">
        <f t="shared" si="0"/>
        <v>3032010001</v>
      </c>
      <c r="B34" s="13" t="s">
        <v>307</v>
      </c>
      <c r="C34" s="13" t="str">
        <f t="shared" si="1"/>
        <v>Altair</v>
      </c>
      <c r="D34" s="13" t="str">
        <f t="shared" si="2"/>
        <v>Force</v>
      </c>
      <c r="E34" s="13" t="str">
        <f t="shared" si="3"/>
        <v>STAT.3032010001</v>
      </c>
      <c r="F34" s="13"/>
      <c r="G34" s="13"/>
      <c r="H34" s="43"/>
      <c r="I34" s="43"/>
      <c r="J34" s="13" t="str">
        <f t="shared" si="4"/>
        <v>SR</v>
      </c>
      <c r="K34" s="13" t="str">
        <f t="shared" si="5"/>
        <v>Academy.Title.Name.Altair.attack.SR</v>
      </c>
      <c r="L34" s="35" t="s">
        <v>282</v>
      </c>
      <c r="M34" s="13" t="str">
        <f t="shared" si="6"/>
        <v>Academy.Title.Name.Altair.attack.Desc</v>
      </c>
      <c r="N34" s="13" t="s">
        <v>310</v>
      </c>
      <c r="O34" s="13" t="s">
        <v>147</v>
      </c>
      <c r="P34" s="13" t="s">
        <v>134</v>
      </c>
      <c r="Q34" s="49" t="s">
        <v>273</v>
      </c>
      <c r="R34" s="13" t="s">
        <v>73</v>
      </c>
    </row>
    <row r="35" spans="1:18" s="47" customFormat="1">
      <c r="A35" s="13" t="str">
        <f t="shared" si="0"/>
        <v>3032010002</v>
      </c>
      <c r="B35" s="13" t="s">
        <v>307</v>
      </c>
      <c r="C35" s="13" t="str">
        <f t="shared" si="1"/>
        <v>Altair</v>
      </c>
      <c r="D35" s="13" t="str">
        <f t="shared" si="2"/>
        <v>Force</v>
      </c>
      <c r="E35" s="13" t="str">
        <f t="shared" si="3"/>
        <v>STAT.3032010002</v>
      </c>
      <c r="F35" s="13"/>
      <c r="G35" s="13"/>
      <c r="H35" s="43"/>
      <c r="I35" s="43"/>
      <c r="J35" s="13" t="str">
        <f t="shared" si="4"/>
        <v>SSR</v>
      </c>
      <c r="K35" s="13" t="str">
        <f t="shared" si="5"/>
        <v>Academy.Title.Name.Altair.attack.SSR</v>
      </c>
      <c r="L35" s="35" t="s">
        <v>282</v>
      </c>
      <c r="M35" s="13" t="str">
        <f t="shared" si="6"/>
        <v>Academy.Title.Name.Altair.attack.Desc</v>
      </c>
      <c r="N35" s="13" t="s">
        <v>310</v>
      </c>
      <c r="O35" s="13" t="s">
        <v>147</v>
      </c>
      <c r="P35" s="13" t="s">
        <v>134</v>
      </c>
      <c r="Q35" s="49" t="s">
        <v>273</v>
      </c>
      <c r="R35" s="13" t="s">
        <v>75</v>
      </c>
    </row>
    <row r="36" spans="1:18" s="47" customFormat="1">
      <c r="A36" s="13" t="str">
        <f t="shared" si="0"/>
        <v>3032010003</v>
      </c>
      <c r="B36" s="13" t="s">
        <v>307</v>
      </c>
      <c r="C36" s="13" t="str">
        <f t="shared" si="1"/>
        <v>Altair</v>
      </c>
      <c r="D36" s="13" t="str">
        <f t="shared" si="2"/>
        <v>Force</v>
      </c>
      <c r="E36" s="13" t="str">
        <f t="shared" si="3"/>
        <v>STAT.3032010003</v>
      </c>
      <c r="F36" s="13"/>
      <c r="G36" s="13"/>
      <c r="H36" s="43"/>
      <c r="I36" s="43"/>
      <c r="J36" s="13" t="str">
        <f t="shared" si="4"/>
        <v>UR</v>
      </c>
      <c r="K36" s="13" t="str">
        <f t="shared" si="5"/>
        <v>Academy.Title.Name.Altair.attack.UR</v>
      </c>
      <c r="L36" s="35" t="s">
        <v>282</v>
      </c>
      <c r="M36" s="13" t="str">
        <f t="shared" si="6"/>
        <v>Academy.Title.Name.Altair.attack.Desc</v>
      </c>
      <c r="N36" s="13" t="s">
        <v>310</v>
      </c>
      <c r="O36" s="13" t="s">
        <v>147</v>
      </c>
      <c r="P36" s="13" t="s">
        <v>134</v>
      </c>
      <c r="Q36" s="49" t="s">
        <v>273</v>
      </c>
      <c r="R36" s="13" t="s">
        <v>77</v>
      </c>
    </row>
    <row r="37" spans="1:18" s="47" customFormat="1">
      <c r="A37" s="13" t="str">
        <f t="shared" si="0"/>
        <v>3032010004</v>
      </c>
      <c r="B37" s="13" t="s">
        <v>307</v>
      </c>
      <c r="C37" s="13" t="str">
        <f t="shared" si="1"/>
        <v>Altair</v>
      </c>
      <c r="D37" s="13" t="str">
        <f t="shared" si="2"/>
        <v>Force</v>
      </c>
      <c r="E37" s="13" t="str">
        <f t="shared" si="3"/>
        <v>STAT.3032010004</v>
      </c>
      <c r="F37" s="13"/>
      <c r="G37" s="13"/>
      <c r="H37" s="43"/>
      <c r="I37" s="43"/>
      <c r="J37" s="13" t="str">
        <f t="shared" si="4"/>
        <v>MR</v>
      </c>
      <c r="K37" s="13" t="str">
        <f t="shared" si="5"/>
        <v>Academy.Title.Name.Altair.attack.MR</v>
      </c>
      <c r="L37" s="35" t="s">
        <v>282</v>
      </c>
      <c r="M37" s="13" t="str">
        <f t="shared" si="6"/>
        <v>Academy.Title.Name.Altair.attack.Desc</v>
      </c>
      <c r="N37" s="13" t="s">
        <v>310</v>
      </c>
      <c r="O37" s="13" t="s">
        <v>147</v>
      </c>
      <c r="P37" s="13" t="s">
        <v>134</v>
      </c>
      <c r="Q37" s="49" t="s">
        <v>273</v>
      </c>
      <c r="R37" s="13" t="s">
        <v>241</v>
      </c>
    </row>
    <row r="38" spans="1:18" s="47" customFormat="1">
      <c r="A38" s="13" t="str">
        <f t="shared" si="0"/>
        <v>3032010005</v>
      </c>
      <c r="B38" s="13" t="s">
        <v>307</v>
      </c>
      <c r="C38" s="13" t="str">
        <f t="shared" si="1"/>
        <v>Altair</v>
      </c>
      <c r="D38" s="13" t="str">
        <f t="shared" si="2"/>
        <v>Force</v>
      </c>
      <c r="E38" s="13" t="str">
        <f t="shared" si="3"/>
        <v>STAT.3032010005</v>
      </c>
      <c r="F38" s="13"/>
      <c r="G38" s="13"/>
      <c r="H38" s="43"/>
      <c r="I38" s="43"/>
      <c r="J38" s="13" t="str">
        <f t="shared" si="4"/>
        <v>LR</v>
      </c>
      <c r="K38" s="13" t="str">
        <f t="shared" si="5"/>
        <v>Academy.Title.Name.Altair.attack.LR</v>
      </c>
      <c r="L38" s="35" t="s">
        <v>282</v>
      </c>
      <c r="M38" s="13" t="str">
        <f t="shared" si="6"/>
        <v>Academy.Title.Name.Altair.attack.Desc</v>
      </c>
      <c r="N38" s="13" t="s">
        <v>310</v>
      </c>
      <c r="O38" s="13" t="s">
        <v>147</v>
      </c>
      <c r="P38" s="13" t="s">
        <v>134</v>
      </c>
      <c r="Q38" s="49" t="s">
        <v>273</v>
      </c>
      <c r="R38" s="13" t="s">
        <v>380</v>
      </c>
    </row>
    <row r="39" spans="1:18" s="47" customFormat="1">
      <c r="A39" s="13" t="str">
        <f t="shared" si="0"/>
        <v>3032020001</v>
      </c>
      <c r="B39" s="13" t="s">
        <v>307</v>
      </c>
      <c r="C39" s="13" t="str">
        <f t="shared" si="1"/>
        <v>Altair</v>
      </c>
      <c r="D39" s="13" t="str">
        <f t="shared" si="2"/>
        <v>Force</v>
      </c>
      <c r="E39" s="13" t="str">
        <f t="shared" si="3"/>
        <v>STAT.3032020001</v>
      </c>
      <c r="F39" s="13"/>
      <c r="G39" s="13"/>
      <c r="H39" s="43"/>
      <c r="I39" s="43"/>
      <c r="J39" s="13" t="str">
        <f t="shared" si="4"/>
        <v>SR</v>
      </c>
      <c r="K39" s="13" t="str">
        <f t="shared" si="5"/>
        <v>Academy.Title.Name.Altair.attackspeed.SR</v>
      </c>
      <c r="L39" s="35" t="s">
        <v>283</v>
      </c>
      <c r="M39" s="13" t="str">
        <f t="shared" si="6"/>
        <v>Academy.Title.Name.Altair.attackspeed.Desc</v>
      </c>
      <c r="N39" s="13" t="s">
        <v>310</v>
      </c>
      <c r="O39" s="13" t="s">
        <v>147</v>
      </c>
      <c r="P39" s="13" t="s">
        <v>139</v>
      </c>
      <c r="Q39" s="49" t="s">
        <v>273</v>
      </c>
      <c r="R39" s="13" t="s">
        <v>73</v>
      </c>
    </row>
    <row r="40" spans="1:18" s="47" customFormat="1">
      <c r="A40" s="13" t="str">
        <f t="shared" si="0"/>
        <v>3032020002</v>
      </c>
      <c r="B40" s="13" t="s">
        <v>307</v>
      </c>
      <c r="C40" s="13" t="str">
        <f t="shared" si="1"/>
        <v>Altair</v>
      </c>
      <c r="D40" s="13" t="str">
        <f t="shared" si="2"/>
        <v>Force</v>
      </c>
      <c r="E40" s="13" t="str">
        <f t="shared" si="3"/>
        <v>STAT.3032020002</v>
      </c>
      <c r="F40" s="13"/>
      <c r="G40" s="13"/>
      <c r="H40" s="43"/>
      <c r="I40" s="43"/>
      <c r="J40" s="13" t="str">
        <f t="shared" si="4"/>
        <v>SSR</v>
      </c>
      <c r="K40" s="13" t="str">
        <f t="shared" si="5"/>
        <v>Academy.Title.Name.Altair.attackspeed.SSR</v>
      </c>
      <c r="L40" s="35" t="s">
        <v>283</v>
      </c>
      <c r="M40" s="13" t="str">
        <f t="shared" si="6"/>
        <v>Academy.Title.Name.Altair.attackspeed.Desc</v>
      </c>
      <c r="N40" s="13" t="s">
        <v>310</v>
      </c>
      <c r="O40" s="13" t="s">
        <v>147</v>
      </c>
      <c r="P40" s="13" t="s">
        <v>139</v>
      </c>
      <c r="Q40" s="49" t="s">
        <v>273</v>
      </c>
      <c r="R40" s="13" t="s">
        <v>75</v>
      </c>
    </row>
    <row r="41" spans="1:18" s="47" customFormat="1">
      <c r="A41" s="13" t="str">
        <f t="shared" si="0"/>
        <v>3032020003</v>
      </c>
      <c r="B41" s="13" t="s">
        <v>307</v>
      </c>
      <c r="C41" s="13" t="str">
        <f t="shared" si="1"/>
        <v>Altair</v>
      </c>
      <c r="D41" s="13" t="str">
        <f t="shared" si="2"/>
        <v>Force</v>
      </c>
      <c r="E41" s="13" t="str">
        <f t="shared" si="3"/>
        <v>STAT.3032020003</v>
      </c>
      <c r="F41" s="13"/>
      <c r="G41" s="13"/>
      <c r="H41" s="43"/>
      <c r="I41" s="43"/>
      <c r="J41" s="13" t="str">
        <f t="shared" si="4"/>
        <v>UR</v>
      </c>
      <c r="K41" s="13" t="str">
        <f t="shared" si="5"/>
        <v>Academy.Title.Name.Altair.attackspeed.UR</v>
      </c>
      <c r="L41" s="35" t="s">
        <v>283</v>
      </c>
      <c r="M41" s="13" t="str">
        <f t="shared" si="6"/>
        <v>Academy.Title.Name.Altair.attackspeed.Desc</v>
      </c>
      <c r="N41" s="13" t="s">
        <v>310</v>
      </c>
      <c r="O41" s="13" t="s">
        <v>147</v>
      </c>
      <c r="P41" s="13" t="s">
        <v>139</v>
      </c>
      <c r="Q41" s="49" t="s">
        <v>273</v>
      </c>
      <c r="R41" s="13" t="s">
        <v>77</v>
      </c>
    </row>
    <row r="42" spans="1:18" s="47" customFormat="1">
      <c r="A42" s="13" t="str">
        <f t="shared" ref="A42:A65" si="14">"303"&amp;VLOOKUP(C42,ID참조,2,FALSE)&amp;VLOOKUP(P42,ID참조,2,FALSE)&amp;Q42&amp;VLOOKUP(J42,ID참조,2,FALSE)</f>
        <v>3032020004</v>
      </c>
      <c r="B42" s="13" t="s">
        <v>307</v>
      </c>
      <c r="C42" s="13" t="str">
        <f t="shared" ref="C42:C81" si="15">VLOOKUP(N42,국문참조,2,FALSE)</f>
        <v>Altair</v>
      </c>
      <c r="D42" s="13" t="str">
        <f t="shared" ref="D42:D81" si="16">VLOOKUP(O42,국문참조,2,FALSE)</f>
        <v>Force</v>
      </c>
      <c r="E42" s="13" t="str">
        <f t="shared" ref="E42:E81" si="17">"STAT."&amp;A42</f>
        <v>STAT.3032020004</v>
      </c>
      <c r="F42" s="13"/>
      <c r="G42" s="13"/>
      <c r="H42" s="43"/>
      <c r="I42" s="43"/>
      <c r="J42" s="13" t="str">
        <f t="shared" ref="J42:J81" si="18">R42</f>
        <v>MR</v>
      </c>
      <c r="K42" s="13" t="str">
        <f t="shared" ref="K42:K81" si="19">"Academy.Title.Name."&amp;VLOOKUP(N42,국문참조,2,FALSE)&amp;"."&amp;VLOOKUP(P42,이름참조,2,FALSE)&amp;"."&amp;J42</f>
        <v>Academy.Title.Name.Altair.attackspeed.MR</v>
      </c>
      <c r="L42" s="35" t="s">
        <v>283</v>
      </c>
      <c r="M42" s="13" t="str">
        <f t="shared" ref="M42:M81" si="20">"Academy.Title.Name."&amp;VLOOKUP(N42,국문참조,2,FALSE)&amp;"."&amp;VLOOKUP(P42,이름참조,2,FALSE)&amp;".Desc"</f>
        <v>Academy.Title.Name.Altair.attackspeed.Desc</v>
      </c>
      <c r="N42" s="13" t="s">
        <v>310</v>
      </c>
      <c r="O42" s="13" t="s">
        <v>147</v>
      </c>
      <c r="P42" s="13" t="s">
        <v>139</v>
      </c>
      <c r="Q42" s="49" t="s">
        <v>273</v>
      </c>
      <c r="R42" s="13" t="s">
        <v>241</v>
      </c>
    </row>
    <row r="43" spans="1:18" s="47" customFormat="1">
      <c r="A43" s="13" t="str">
        <f t="shared" si="14"/>
        <v>3032020005</v>
      </c>
      <c r="B43" s="13" t="s">
        <v>307</v>
      </c>
      <c r="C43" s="13" t="str">
        <f t="shared" si="15"/>
        <v>Altair</v>
      </c>
      <c r="D43" s="13" t="str">
        <f t="shared" si="16"/>
        <v>Force</v>
      </c>
      <c r="E43" s="13" t="str">
        <f t="shared" si="17"/>
        <v>STAT.3032020005</v>
      </c>
      <c r="F43" s="13"/>
      <c r="G43" s="13"/>
      <c r="H43" s="43"/>
      <c r="I43" s="43"/>
      <c r="J43" s="13" t="str">
        <f t="shared" si="18"/>
        <v>LR</v>
      </c>
      <c r="K43" s="13" t="str">
        <f t="shared" si="19"/>
        <v>Academy.Title.Name.Altair.attackspeed.LR</v>
      </c>
      <c r="L43" s="35" t="s">
        <v>283</v>
      </c>
      <c r="M43" s="13" t="str">
        <f t="shared" si="20"/>
        <v>Academy.Title.Name.Altair.attackspeed.Desc</v>
      </c>
      <c r="N43" s="13" t="s">
        <v>310</v>
      </c>
      <c r="O43" s="13" t="s">
        <v>147</v>
      </c>
      <c r="P43" s="13" t="s">
        <v>139</v>
      </c>
      <c r="Q43" s="49" t="s">
        <v>273</v>
      </c>
      <c r="R43" s="13" t="s">
        <v>380</v>
      </c>
    </row>
    <row r="44" spans="1:18" s="47" customFormat="1">
      <c r="A44" s="13" t="str">
        <f t="shared" si="14"/>
        <v>3032030001</v>
      </c>
      <c r="B44" s="13" t="s">
        <v>307</v>
      </c>
      <c r="C44" s="13" t="str">
        <f t="shared" si="15"/>
        <v>Altair</v>
      </c>
      <c r="D44" s="13" t="str">
        <f t="shared" si="16"/>
        <v>Sense</v>
      </c>
      <c r="E44" s="13" t="str">
        <f t="shared" si="17"/>
        <v>STAT.3032030001</v>
      </c>
      <c r="F44" s="13"/>
      <c r="G44" s="13"/>
      <c r="H44" s="43"/>
      <c r="I44" s="43"/>
      <c r="J44" s="13" t="str">
        <f t="shared" si="18"/>
        <v>SR</v>
      </c>
      <c r="K44" s="13" t="str">
        <f t="shared" si="19"/>
        <v>Academy.Title.Name.Altair.defense.SR</v>
      </c>
      <c r="L44" s="35" t="s">
        <v>284</v>
      </c>
      <c r="M44" s="13" t="str">
        <f t="shared" si="20"/>
        <v>Academy.Title.Name.Altair.defense.Desc</v>
      </c>
      <c r="N44" s="13" t="s">
        <v>310</v>
      </c>
      <c r="O44" s="13" t="s">
        <v>311</v>
      </c>
      <c r="P44" s="13" t="s">
        <v>144</v>
      </c>
      <c r="Q44" s="49" t="s">
        <v>273</v>
      </c>
      <c r="R44" s="13" t="s">
        <v>73</v>
      </c>
    </row>
    <row r="45" spans="1:18" s="47" customFormat="1">
      <c r="A45" s="13" t="str">
        <f t="shared" si="14"/>
        <v>3032030002</v>
      </c>
      <c r="B45" s="13" t="s">
        <v>307</v>
      </c>
      <c r="C45" s="13" t="str">
        <f t="shared" si="15"/>
        <v>Altair</v>
      </c>
      <c r="D45" s="13" t="str">
        <f t="shared" si="16"/>
        <v>Sense</v>
      </c>
      <c r="E45" s="13" t="str">
        <f t="shared" si="17"/>
        <v>STAT.3032030002</v>
      </c>
      <c r="F45" s="13"/>
      <c r="G45" s="13"/>
      <c r="H45" s="43"/>
      <c r="I45" s="43"/>
      <c r="J45" s="13" t="str">
        <f t="shared" si="18"/>
        <v>SSR</v>
      </c>
      <c r="K45" s="13" t="str">
        <f t="shared" si="19"/>
        <v>Academy.Title.Name.Altair.defense.SSR</v>
      </c>
      <c r="L45" s="35" t="s">
        <v>284</v>
      </c>
      <c r="M45" s="13" t="str">
        <f t="shared" si="20"/>
        <v>Academy.Title.Name.Altair.defense.Desc</v>
      </c>
      <c r="N45" s="13" t="s">
        <v>310</v>
      </c>
      <c r="O45" s="13" t="s">
        <v>311</v>
      </c>
      <c r="P45" s="13" t="s">
        <v>144</v>
      </c>
      <c r="Q45" s="49" t="s">
        <v>273</v>
      </c>
      <c r="R45" s="13" t="s">
        <v>75</v>
      </c>
    </row>
    <row r="46" spans="1:18" s="47" customFormat="1">
      <c r="A46" s="13" t="str">
        <f t="shared" si="14"/>
        <v>3032030003</v>
      </c>
      <c r="B46" s="13" t="s">
        <v>307</v>
      </c>
      <c r="C46" s="13" t="str">
        <f t="shared" si="15"/>
        <v>Altair</v>
      </c>
      <c r="D46" s="13" t="str">
        <f t="shared" si="16"/>
        <v>Sense</v>
      </c>
      <c r="E46" s="13" t="str">
        <f t="shared" si="17"/>
        <v>STAT.3032030003</v>
      </c>
      <c r="F46" s="13"/>
      <c r="G46" s="13"/>
      <c r="H46" s="43"/>
      <c r="I46" s="43"/>
      <c r="J46" s="13" t="str">
        <f t="shared" si="18"/>
        <v>UR</v>
      </c>
      <c r="K46" s="13" t="str">
        <f t="shared" si="19"/>
        <v>Academy.Title.Name.Altair.defense.UR</v>
      </c>
      <c r="L46" s="35" t="s">
        <v>284</v>
      </c>
      <c r="M46" s="13" t="str">
        <f t="shared" si="20"/>
        <v>Academy.Title.Name.Altair.defense.Desc</v>
      </c>
      <c r="N46" s="13" t="s">
        <v>310</v>
      </c>
      <c r="O46" s="13" t="s">
        <v>311</v>
      </c>
      <c r="P46" s="13" t="s">
        <v>144</v>
      </c>
      <c r="Q46" s="49" t="s">
        <v>273</v>
      </c>
      <c r="R46" s="13" t="s">
        <v>77</v>
      </c>
    </row>
    <row r="47" spans="1:18" s="47" customFormat="1">
      <c r="A47" s="13" t="str">
        <f t="shared" si="14"/>
        <v>3032030004</v>
      </c>
      <c r="B47" s="13" t="s">
        <v>307</v>
      </c>
      <c r="C47" s="13" t="str">
        <f t="shared" si="15"/>
        <v>Altair</v>
      </c>
      <c r="D47" s="13" t="str">
        <f t="shared" si="16"/>
        <v>Sense</v>
      </c>
      <c r="E47" s="13" t="str">
        <f t="shared" si="17"/>
        <v>STAT.3032030004</v>
      </c>
      <c r="F47" s="13"/>
      <c r="G47" s="13"/>
      <c r="H47" s="43"/>
      <c r="I47" s="43"/>
      <c r="J47" s="13" t="str">
        <f t="shared" si="18"/>
        <v>MR</v>
      </c>
      <c r="K47" s="13" t="str">
        <f t="shared" si="19"/>
        <v>Academy.Title.Name.Altair.defense.MR</v>
      </c>
      <c r="L47" s="35" t="s">
        <v>284</v>
      </c>
      <c r="M47" s="13" t="str">
        <f t="shared" si="20"/>
        <v>Academy.Title.Name.Altair.defense.Desc</v>
      </c>
      <c r="N47" s="13" t="s">
        <v>310</v>
      </c>
      <c r="O47" s="13" t="s">
        <v>311</v>
      </c>
      <c r="P47" s="13" t="s">
        <v>144</v>
      </c>
      <c r="Q47" s="49" t="s">
        <v>273</v>
      </c>
      <c r="R47" s="13" t="s">
        <v>241</v>
      </c>
    </row>
    <row r="48" spans="1:18" s="47" customFormat="1">
      <c r="A48" s="13" t="str">
        <f t="shared" si="14"/>
        <v>3032030005</v>
      </c>
      <c r="B48" s="13" t="s">
        <v>307</v>
      </c>
      <c r="C48" s="13" t="str">
        <f t="shared" si="15"/>
        <v>Altair</v>
      </c>
      <c r="D48" s="13" t="str">
        <f t="shared" si="16"/>
        <v>Sense</v>
      </c>
      <c r="E48" s="13" t="str">
        <f t="shared" si="17"/>
        <v>STAT.3032030005</v>
      </c>
      <c r="F48" s="13"/>
      <c r="G48" s="13"/>
      <c r="H48" s="43"/>
      <c r="I48" s="43"/>
      <c r="J48" s="13" t="str">
        <f t="shared" si="18"/>
        <v>LR</v>
      </c>
      <c r="K48" s="13" t="str">
        <f t="shared" si="19"/>
        <v>Academy.Title.Name.Altair.defense.LR</v>
      </c>
      <c r="L48" s="35" t="s">
        <v>284</v>
      </c>
      <c r="M48" s="13" t="str">
        <f t="shared" si="20"/>
        <v>Academy.Title.Name.Altair.defense.Desc</v>
      </c>
      <c r="N48" s="13" t="s">
        <v>310</v>
      </c>
      <c r="O48" s="13" t="s">
        <v>311</v>
      </c>
      <c r="P48" s="13" t="s">
        <v>144</v>
      </c>
      <c r="Q48" s="49" t="s">
        <v>273</v>
      </c>
      <c r="R48" s="13" t="s">
        <v>380</v>
      </c>
    </row>
    <row r="49" spans="1:18" s="47" customFormat="1">
      <c r="A49" s="13" t="str">
        <f t="shared" si="14"/>
        <v>3032040001</v>
      </c>
      <c r="B49" s="13" t="s">
        <v>307</v>
      </c>
      <c r="C49" s="13" t="str">
        <f t="shared" si="15"/>
        <v>Altair</v>
      </c>
      <c r="D49" s="13" t="str">
        <f t="shared" si="16"/>
        <v>Sense</v>
      </c>
      <c r="E49" s="13" t="str">
        <f t="shared" si="17"/>
        <v>STAT.3032040001</v>
      </c>
      <c r="F49" s="13"/>
      <c r="G49" s="13"/>
      <c r="H49" s="43"/>
      <c r="I49" s="43"/>
      <c r="J49" s="13" t="str">
        <f t="shared" si="18"/>
        <v>SR</v>
      </c>
      <c r="K49" s="13" t="str">
        <f t="shared" si="19"/>
        <v>Academy.Title.Name.Altair.guardreducerate.SR</v>
      </c>
      <c r="L49" s="35" t="s">
        <v>285</v>
      </c>
      <c r="M49" s="13" t="str">
        <f t="shared" si="20"/>
        <v>Academy.Title.Name.Altair.guardreducerate.Desc</v>
      </c>
      <c r="N49" s="13" t="s">
        <v>310</v>
      </c>
      <c r="O49" s="13" t="s">
        <v>311</v>
      </c>
      <c r="P49" s="13" t="s">
        <v>148</v>
      </c>
      <c r="Q49" s="49" t="s">
        <v>273</v>
      </c>
      <c r="R49" s="13" t="s">
        <v>73</v>
      </c>
    </row>
    <row r="50" spans="1:18" s="47" customFormat="1">
      <c r="A50" s="13" t="str">
        <f t="shared" si="14"/>
        <v>3032040002</v>
      </c>
      <c r="B50" s="13" t="s">
        <v>307</v>
      </c>
      <c r="C50" s="13" t="str">
        <f t="shared" si="15"/>
        <v>Altair</v>
      </c>
      <c r="D50" s="13" t="str">
        <f t="shared" si="16"/>
        <v>Sense</v>
      </c>
      <c r="E50" s="13" t="str">
        <f t="shared" si="17"/>
        <v>STAT.3032040002</v>
      </c>
      <c r="F50" s="13"/>
      <c r="G50" s="13"/>
      <c r="H50" s="43"/>
      <c r="I50" s="43"/>
      <c r="J50" s="13" t="str">
        <f t="shared" si="18"/>
        <v>SSR</v>
      </c>
      <c r="K50" s="13" t="str">
        <f t="shared" si="19"/>
        <v>Academy.Title.Name.Altair.guardreducerate.SSR</v>
      </c>
      <c r="L50" s="35" t="s">
        <v>285</v>
      </c>
      <c r="M50" s="13" t="str">
        <f t="shared" si="20"/>
        <v>Academy.Title.Name.Altair.guardreducerate.Desc</v>
      </c>
      <c r="N50" s="13" t="s">
        <v>310</v>
      </c>
      <c r="O50" s="13" t="s">
        <v>311</v>
      </c>
      <c r="P50" s="13" t="s">
        <v>148</v>
      </c>
      <c r="Q50" s="49" t="s">
        <v>273</v>
      </c>
      <c r="R50" s="13" t="s">
        <v>75</v>
      </c>
    </row>
    <row r="51" spans="1:18" s="47" customFormat="1">
      <c r="A51" s="13" t="str">
        <f t="shared" si="14"/>
        <v>3032040003</v>
      </c>
      <c r="B51" s="13" t="s">
        <v>307</v>
      </c>
      <c r="C51" s="13" t="str">
        <f t="shared" si="15"/>
        <v>Altair</v>
      </c>
      <c r="D51" s="13" t="str">
        <f t="shared" si="16"/>
        <v>Sense</v>
      </c>
      <c r="E51" s="13" t="str">
        <f t="shared" si="17"/>
        <v>STAT.3032040003</v>
      </c>
      <c r="F51" s="13"/>
      <c r="G51" s="13"/>
      <c r="H51" s="43"/>
      <c r="I51" s="43"/>
      <c r="J51" s="13" t="str">
        <f t="shared" si="18"/>
        <v>UR</v>
      </c>
      <c r="K51" s="13" t="str">
        <f t="shared" si="19"/>
        <v>Academy.Title.Name.Altair.guardreducerate.UR</v>
      </c>
      <c r="L51" s="35" t="s">
        <v>285</v>
      </c>
      <c r="M51" s="13" t="str">
        <f t="shared" si="20"/>
        <v>Academy.Title.Name.Altair.guardreducerate.Desc</v>
      </c>
      <c r="N51" s="13" t="s">
        <v>310</v>
      </c>
      <c r="O51" s="13" t="s">
        <v>311</v>
      </c>
      <c r="P51" s="13" t="s">
        <v>148</v>
      </c>
      <c r="Q51" s="49" t="s">
        <v>273</v>
      </c>
      <c r="R51" s="13" t="s">
        <v>77</v>
      </c>
    </row>
    <row r="52" spans="1:18" s="47" customFormat="1">
      <c r="A52" s="13" t="str">
        <f t="shared" si="14"/>
        <v>3032040004</v>
      </c>
      <c r="B52" s="13" t="s">
        <v>307</v>
      </c>
      <c r="C52" s="13" t="str">
        <f t="shared" si="15"/>
        <v>Altair</v>
      </c>
      <c r="D52" s="13" t="str">
        <f t="shared" si="16"/>
        <v>Sense</v>
      </c>
      <c r="E52" s="13" t="str">
        <f t="shared" si="17"/>
        <v>STAT.3032040004</v>
      </c>
      <c r="F52" s="13"/>
      <c r="G52" s="13"/>
      <c r="H52" s="43"/>
      <c r="I52" s="43"/>
      <c r="J52" s="13" t="str">
        <f t="shared" si="18"/>
        <v>MR</v>
      </c>
      <c r="K52" s="13" t="str">
        <f t="shared" si="19"/>
        <v>Academy.Title.Name.Altair.guardreducerate.MR</v>
      </c>
      <c r="L52" s="35" t="s">
        <v>285</v>
      </c>
      <c r="M52" s="13" t="str">
        <f t="shared" si="20"/>
        <v>Academy.Title.Name.Altair.guardreducerate.Desc</v>
      </c>
      <c r="N52" s="13" t="s">
        <v>310</v>
      </c>
      <c r="O52" s="13" t="s">
        <v>311</v>
      </c>
      <c r="P52" s="13" t="s">
        <v>148</v>
      </c>
      <c r="Q52" s="49" t="s">
        <v>273</v>
      </c>
      <c r="R52" s="13" t="s">
        <v>241</v>
      </c>
    </row>
    <row r="53" spans="1:18" s="47" customFormat="1">
      <c r="A53" s="13" t="str">
        <f t="shared" si="14"/>
        <v>3032040005</v>
      </c>
      <c r="B53" s="13" t="s">
        <v>307</v>
      </c>
      <c r="C53" s="13" t="str">
        <f t="shared" si="15"/>
        <v>Altair</v>
      </c>
      <c r="D53" s="13" t="str">
        <f t="shared" si="16"/>
        <v>Sense</v>
      </c>
      <c r="E53" s="13" t="str">
        <f t="shared" si="17"/>
        <v>STAT.3032040005</v>
      </c>
      <c r="F53" s="13"/>
      <c r="G53" s="13"/>
      <c r="H53" s="43"/>
      <c r="I53" s="43"/>
      <c r="J53" s="13" t="str">
        <f t="shared" si="18"/>
        <v>LR</v>
      </c>
      <c r="K53" s="13" t="str">
        <f t="shared" si="19"/>
        <v>Academy.Title.Name.Altair.guardreducerate.LR</v>
      </c>
      <c r="L53" s="35" t="s">
        <v>285</v>
      </c>
      <c r="M53" s="13" t="str">
        <f t="shared" si="20"/>
        <v>Academy.Title.Name.Altair.guardreducerate.Desc</v>
      </c>
      <c r="N53" s="13" t="s">
        <v>310</v>
      </c>
      <c r="O53" s="13" t="s">
        <v>311</v>
      </c>
      <c r="P53" s="13" t="s">
        <v>148</v>
      </c>
      <c r="Q53" s="49" t="s">
        <v>273</v>
      </c>
      <c r="R53" s="13" t="s">
        <v>380</v>
      </c>
    </row>
    <row r="54" spans="1:18" s="47" customFormat="1">
      <c r="A54" s="13" t="str">
        <f t="shared" si="14"/>
        <v>3032050001</v>
      </c>
      <c r="B54" s="13" t="s">
        <v>307</v>
      </c>
      <c r="C54" s="13" t="str">
        <f t="shared" si="15"/>
        <v>Altair</v>
      </c>
      <c r="D54" s="13" t="str">
        <f t="shared" si="16"/>
        <v>Intellect</v>
      </c>
      <c r="E54" s="13" t="str">
        <f t="shared" si="17"/>
        <v>STAT.3032050001</v>
      </c>
      <c r="F54" s="13"/>
      <c r="G54" s="13"/>
      <c r="H54" s="43"/>
      <c r="I54" s="43"/>
      <c r="J54" s="13" t="str">
        <f t="shared" si="18"/>
        <v>SR</v>
      </c>
      <c r="K54" s="13" t="str">
        <f t="shared" si="19"/>
        <v>Academy.Title.Name.Altair.hp.SR</v>
      </c>
      <c r="L54" s="35" t="s">
        <v>286</v>
      </c>
      <c r="M54" s="13" t="str">
        <f t="shared" si="20"/>
        <v>Academy.Title.Name.Altair.hp.Desc</v>
      </c>
      <c r="N54" s="13" t="s">
        <v>310</v>
      </c>
      <c r="O54" s="13" t="s">
        <v>155</v>
      </c>
      <c r="P54" s="13" t="s">
        <v>163</v>
      </c>
      <c r="Q54" s="49" t="s">
        <v>273</v>
      </c>
      <c r="R54" s="13" t="s">
        <v>73</v>
      </c>
    </row>
    <row r="55" spans="1:18" s="47" customFormat="1">
      <c r="A55" s="13" t="str">
        <f t="shared" si="14"/>
        <v>3032050002</v>
      </c>
      <c r="B55" s="13" t="s">
        <v>307</v>
      </c>
      <c r="C55" s="13" t="str">
        <f t="shared" si="15"/>
        <v>Altair</v>
      </c>
      <c r="D55" s="13" t="str">
        <f t="shared" si="16"/>
        <v>Intellect</v>
      </c>
      <c r="E55" s="13" t="str">
        <f t="shared" si="17"/>
        <v>STAT.3032050002</v>
      </c>
      <c r="F55" s="13"/>
      <c r="G55" s="13"/>
      <c r="H55" s="43"/>
      <c r="I55" s="43"/>
      <c r="J55" s="13" t="str">
        <f t="shared" si="18"/>
        <v>SSR</v>
      </c>
      <c r="K55" s="13" t="str">
        <f t="shared" si="19"/>
        <v>Academy.Title.Name.Altair.hp.SSR</v>
      </c>
      <c r="L55" s="35" t="s">
        <v>286</v>
      </c>
      <c r="M55" s="13" t="str">
        <f t="shared" si="20"/>
        <v>Academy.Title.Name.Altair.hp.Desc</v>
      </c>
      <c r="N55" s="13" t="s">
        <v>310</v>
      </c>
      <c r="O55" s="13" t="s">
        <v>155</v>
      </c>
      <c r="P55" s="13" t="s">
        <v>163</v>
      </c>
      <c r="Q55" s="49" t="s">
        <v>273</v>
      </c>
      <c r="R55" s="13" t="s">
        <v>75</v>
      </c>
    </row>
    <row r="56" spans="1:18" s="47" customFormat="1">
      <c r="A56" s="13" t="str">
        <f t="shared" si="14"/>
        <v>3032050003</v>
      </c>
      <c r="B56" s="13" t="s">
        <v>307</v>
      </c>
      <c r="C56" s="13" t="str">
        <f t="shared" si="15"/>
        <v>Altair</v>
      </c>
      <c r="D56" s="13" t="str">
        <f t="shared" si="16"/>
        <v>Intellect</v>
      </c>
      <c r="E56" s="13" t="str">
        <f t="shared" si="17"/>
        <v>STAT.3032050003</v>
      </c>
      <c r="F56" s="13"/>
      <c r="G56" s="13"/>
      <c r="H56" s="43"/>
      <c r="I56" s="43"/>
      <c r="J56" s="13" t="str">
        <f t="shared" si="18"/>
        <v>UR</v>
      </c>
      <c r="K56" s="13" t="str">
        <f t="shared" si="19"/>
        <v>Academy.Title.Name.Altair.hp.UR</v>
      </c>
      <c r="L56" s="35" t="s">
        <v>286</v>
      </c>
      <c r="M56" s="13" t="str">
        <f t="shared" si="20"/>
        <v>Academy.Title.Name.Altair.hp.Desc</v>
      </c>
      <c r="N56" s="13" t="s">
        <v>310</v>
      </c>
      <c r="O56" s="13" t="s">
        <v>155</v>
      </c>
      <c r="P56" s="13" t="s">
        <v>163</v>
      </c>
      <c r="Q56" s="49" t="s">
        <v>273</v>
      </c>
      <c r="R56" s="13" t="s">
        <v>77</v>
      </c>
    </row>
    <row r="57" spans="1:18" s="47" customFormat="1">
      <c r="A57" s="13" t="str">
        <f t="shared" si="14"/>
        <v>3032050004</v>
      </c>
      <c r="B57" s="13" t="s">
        <v>307</v>
      </c>
      <c r="C57" s="13" t="str">
        <f t="shared" si="15"/>
        <v>Altair</v>
      </c>
      <c r="D57" s="13" t="str">
        <f t="shared" si="16"/>
        <v>Intellect</v>
      </c>
      <c r="E57" s="13" t="str">
        <f t="shared" si="17"/>
        <v>STAT.3032050004</v>
      </c>
      <c r="F57" s="13"/>
      <c r="G57" s="13"/>
      <c r="H57" s="43"/>
      <c r="I57" s="43"/>
      <c r="J57" s="13" t="str">
        <f t="shared" si="18"/>
        <v>MR</v>
      </c>
      <c r="K57" s="13" t="str">
        <f t="shared" si="19"/>
        <v>Academy.Title.Name.Altair.hp.MR</v>
      </c>
      <c r="L57" s="35" t="s">
        <v>286</v>
      </c>
      <c r="M57" s="13" t="str">
        <f t="shared" si="20"/>
        <v>Academy.Title.Name.Altair.hp.Desc</v>
      </c>
      <c r="N57" s="13" t="s">
        <v>310</v>
      </c>
      <c r="O57" s="13" t="s">
        <v>155</v>
      </c>
      <c r="P57" s="13" t="s">
        <v>163</v>
      </c>
      <c r="Q57" s="49" t="s">
        <v>273</v>
      </c>
      <c r="R57" s="13" t="s">
        <v>241</v>
      </c>
    </row>
    <row r="58" spans="1:18" s="47" customFormat="1">
      <c r="A58" s="13" t="str">
        <f t="shared" si="14"/>
        <v>3032050005</v>
      </c>
      <c r="B58" s="13" t="s">
        <v>307</v>
      </c>
      <c r="C58" s="13" t="str">
        <f t="shared" si="15"/>
        <v>Altair</v>
      </c>
      <c r="D58" s="13" t="str">
        <f t="shared" si="16"/>
        <v>Intellect</v>
      </c>
      <c r="E58" s="13" t="str">
        <f t="shared" si="17"/>
        <v>STAT.3032050005</v>
      </c>
      <c r="F58" s="13"/>
      <c r="G58" s="13"/>
      <c r="H58" s="43"/>
      <c r="I58" s="43"/>
      <c r="J58" s="13" t="str">
        <f t="shared" si="18"/>
        <v>LR</v>
      </c>
      <c r="K58" s="13" t="str">
        <f t="shared" si="19"/>
        <v>Academy.Title.Name.Altair.hp.LR</v>
      </c>
      <c r="L58" s="35" t="s">
        <v>286</v>
      </c>
      <c r="M58" s="13" t="str">
        <f t="shared" si="20"/>
        <v>Academy.Title.Name.Altair.hp.Desc</v>
      </c>
      <c r="N58" s="13" t="s">
        <v>310</v>
      </c>
      <c r="O58" s="13" t="s">
        <v>155</v>
      </c>
      <c r="P58" s="13" t="s">
        <v>163</v>
      </c>
      <c r="Q58" s="49" t="s">
        <v>273</v>
      </c>
      <c r="R58" s="13" t="s">
        <v>380</v>
      </c>
    </row>
    <row r="59" spans="1:18" s="47" customFormat="1">
      <c r="A59" s="13" t="str">
        <f t="shared" si="14"/>
        <v>3032060001</v>
      </c>
      <c r="B59" s="13" t="s">
        <v>307</v>
      </c>
      <c r="C59" s="13" t="str">
        <f t="shared" si="15"/>
        <v>Altair</v>
      </c>
      <c r="D59" s="13" t="str">
        <f t="shared" si="16"/>
        <v>Intellect</v>
      </c>
      <c r="E59" s="13" t="str">
        <f t="shared" si="17"/>
        <v>STAT.3032060001</v>
      </c>
      <c r="F59" s="13"/>
      <c r="G59" s="13"/>
      <c r="H59" s="43"/>
      <c r="I59" s="43"/>
      <c r="J59" s="13" t="str">
        <f t="shared" si="18"/>
        <v>SR</v>
      </c>
      <c r="K59" s="13" t="str">
        <f t="shared" si="19"/>
        <v>Academy.Title.Name.Altair.evasion.SR</v>
      </c>
      <c r="L59" s="35" t="s">
        <v>287</v>
      </c>
      <c r="M59" s="13" t="str">
        <f t="shared" si="20"/>
        <v>Academy.Title.Name.Altair.evasion.Desc</v>
      </c>
      <c r="N59" s="13" t="s">
        <v>310</v>
      </c>
      <c r="O59" s="13" t="s">
        <v>155</v>
      </c>
      <c r="P59" s="13" t="s">
        <v>156</v>
      </c>
      <c r="Q59" s="49" t="s">
        <v>273</v>
      </c>
      <c r="R59" s="13" t="s">
        <v>73</v>
      </c>
    </row>
    <row r="60" spans="1:18" s="47" customFormat="1">
      <c r="A60" s="13" t="str">
        <f t="shared" si="14"/>
        <v>3032060002</v>
      </c>
      <c r="B60" s="13" t="s">
        <v>307</v>
      </c>
      <c r="C60" s="13" t="str">
        <f t="shared" si="15"/>
        <v>Altair</v>
      </c>
      <c r="D60" s="13" t="str">
        <f t="shared" si="16"/>
        <v>Intellect</v>
      </c>
      <c r="E60" s="13" t="str">
        <f t="shared" si="17"/>
        <v>STAT.3032060002</v>
      </c>
      <c r="F60" s="13"/>
      <c r="G60" s="13"/>
      <c r="H60" s="43"/>
      <c r="I60" s="43"/>
      <c r="J60" s="13" t="str">
        <f t="shared" si="18"/>
        <v>SSR</v>
      </c>
      <c r="K60" s="13" t="str">
        <f t="shared" si="19"/>
        <v>Academy.Title.Name.Altair.evasion.SSR</v>
      </c>
      <c r="L60" s="35" t="s">
        <v>287</v>
      </c>
      <c r="M60" s="13" t="str">
        <f t="shared" si="20"/>
        <v>Academy.Title.Name.Altair.evasion.Desc</v>
      </c>
      <c r="N60" s="13" t="s">
        <v>310</v>
      </c>
      <c r="O60" s="13" t="s">
        <v>155</v>
      </c>
      <c r="P60" s="13" t="s">
        <v>156</v>
      </c>
      <c r="Q60" s="49" t="s">
        <v>273</v>
      </c>
      <c r="R60" s="13" t="s">
        <v>75</v>
      </c>
    </row>
    <row r="61" spans="1:18" s="47" customFormat="1">
      <c r="A61" s="13" t="str">
        <f t="shared" si="14"/>
        <v>3032060003</v>
      </c>
      <c r="B61" s="13" t="s">
        <v>307</v>
      </c>
      <c r="C61" s="13" t="str">
        <f t="shared" si="15"/>
        <v>Altair</v>
      </c>
      <c r="D61" s="13" t="str">
        <f t="shared" si="16"/>
        <v>Intellect</v>
      </c>
      <c r="E61" s="13" t="str">
        <f t="shared" si="17"/>
        <v>STAT.3032060003</v>
      </c>
      <c r="F61" s="13"/>
      <c r="G61" s="13"/>
      <c r="H61" s="43"/>
      <c r="I61" s="43"/>
      <c r="J61" s="13" t="str">
        <f t="shared" si="18"/>
        <v>UR</v>
      </c>
      <c r="K61" s="13" t="str">
        <f t="shared" si="19"/>
        <v>Academy.Title.Name.Altair.evasion.UR</v>
      </c>
      <c r="L61" s="35" t="s">
        <v>287</v>
      </c>
      <c r="M61" s="13" t="str">
        <f t="shared" si="20"/>
        <v>Academy.Title.Name.Altair.evasion.Desc</v>
      </c>
      <c r="N61" s="13" t="s">
        <v>310</v>
      </c>
      <c r="O61" s="13" t="s">
        <v>155</v>
      </c>
      <c r="P61" s="13" t="s">
        <v>156</v>
      </c>
      <c r="Q61" s="49" t="s">
        <v>273</v>
      </c>
      <c r="R61" s="13" t="s">
        <v>77</v>
      </c>
    </row>
    <row r="62" spans="1:18" s="47" customFormat="1">
      <c r="A62" s="13" t="str">
        <f t="shared" si="14"/>
        <v>3032060004</v>
      </c>
      <c r="B62" s="13" t="s">
        <v>307</v>
      </c>
      <c r="C62" s="13" t="str">
        <f t="shared" si="15"/>
        <v>Altair</v>
      </c>
      <c r="D62" s="13" t="str">
        <f t="shared" si="16"/>
        <v>Intellect</v>
      </c>
      <c r="E62" s="13" t="str">
        <f t="shared" si="17"/>
        <v>STAT.3032060004</v>
      </c>
      <c r="F62" s="13"/>
      <c r="G62" s="13"/>
      <c r="H62" s="43"/>
      <c r="I62" s="43"/>
      <c r="J62" s="13" t="str">
        <f t="shared" si="18"/>
        <v>MR</v>
      </c>
      <c r="K62" s="13" t="str">
        <f t="shared" si="19"/>
        <v>Academy.Title.Name.Altair.evasion.MR</v>
      </c>
      <c r="L62" s="35" t="s">
        <v>287</v>
      </c>
      <c r="M62" s="13" t="str">
        <f t="shared" si="20"/>
        <v>Academy.Title.Name.Altair.evasion.Desc</v>
      </c>
      <c r="N62" s="13" t="s">
        <v>310</v>
      </c>
      <c r="O62" s="13" t="s">
        <v>155</v>
      </c>
      <c r="P62" s="13" t="s">
        <v>156</v>
      </c>
      <c r="Q62" s="49" t="s">
        <v>273</v>
      </c>
      <c r="R62" s="13" t="s">
        <v>241</v>
      </c>
    </row>
    <row r="63" spans="1:18" s="47" customFormat="1">
      <c r="A63" s="13" t="str">
        <f t="shared" si="14"/>
        <v>3032060005</v>
      </c>
      <c r="B63" s="13" t="s">
        <v>307</v>
      </c>
      <c r="C63" s="13" t="str">
        <f t="shared" si="15"/>
        <v>Altair</v>
      </c>
      <c r="D63" s="13" t="str">
        <f t="shared" si="16"/>
        <v>Intellect</v>
      </c>
      <c r="E63" s="13" t="str">
        <f t="shared" si="17"/>
        <v>STAT.3032060005</v>
      </c>
      <c r="F63" s="13"/>
      <c r="G63" s="13"/>
      <c r="H63" s="43"/>
      <c r="I63" s="43"/>
      <c r="J63" s="13" t="str">
        <f t="shared" si="18"/>
        <v>LR</v>
      </c>
      <c r="K63" s="13" t="str">
        <f t="shared" si="19"/>
        <v>Academy.Title.Name.Altair.evasion.LR</v>
      </c>
      <c r="L63" s="35" t="s">
        <v>287</v>
      </c>
      <c r="M63" s="13" t="str">
        <f t="shared" si="20"/>
        <v>Academy.Title.Name.Altair.evasion.Desc</v>
      </c>
      <c r="N63" s="13" t="s">
        <v>310</v>
      </c>
      <c r="O63" s="13" t="s">
        <v>155</v>
      </c>
      <c r="P63" s="13" t="s">
        <v>156</v>
      </c>
      <c r="Q63" s="49" t="s">
        <v>273</v>
      </c>
      <c r="R63" s="13" t="s">
        <v>380</v>
      </c>
    </row>
    <row r="64" spans="1:18" s="47" customFormat="1">
      <c r="A64" s="13" t="str">
        <f t="shared" si="14"/>
        <v>3032070001</v>
      </c>
      <c r="B64" s="13" t="s">
        <v>307</v>
      </c>
      <c r="C64" s="13" t="str">
        <f t="shared" si="15"/>
        <v>Altair</v>
      </c>
      <c r="D64" s="13" t="str">
        <f t="shared" si="16"/>
        <v>Fun</v>
      </c>
      <c r="E64" s="13" t="str">
        <f t="shared" si="17"/>
        <v>STAT.3032070001</v>
      </c>
      <c r="F64" s="13"/>
      <c r="G64" s="13"/>
      <c r="H64" s="43"/>
      <c r="I64" s="43"/>
      <c r="J64" s="13" t="str">
        <f t="shared" si="18"/>
        <v>SR</v>
      </c>
      <c r="K64" s="13" t="str">
        <f t="shared" si="19"/>
        <v>Academy.Title.Name.Altair.criticaldamage.SR</v>
      </c>
      <c r="L64" s="35" t="s">
        <v>288</v>
      </c>
      <c r="M64" s="13" t="str">
        <f t="shared" si="20"/>
        <v>Academy.Title.Name.Altair.criticaldamage.Desc</v>
      </c>
      <c r="N64" s="13" t="s">
        <v>310</v>
      </c>
      <c r="O64" s="13" t="s">
        <v>159</v>
      </c>
      <c r="P64" s="13" t="s">
        <v>171</v>
      </c>
      <c r="Q64" s="49" t="s">
        <v>273</v>
      </c>
      <c r="R64" s="13" t="s">
        <v>73</v>
      </c>
    </row>
    <row r="65" spans="1:18" s="47" customFormat="1">
      <c r="A65" s="13" t="str">
        <f t="shared" si="14"/>
        <v>3032070002</v>
      </c>
      <c r="B65" s="13" t="s">
        <v>307</v>
      </c>
      <c r="C65" s="13" t="str">
        <f t="shared" si="15"/>
        <v>Altair</v>
      </c>
      <c r="D65" s="13" t="str">
        <f t="shared" si="16"/>
        <v>Fun</v>
      </c>
      <c r="E65" s="13" t="str">
        <f t="shared" si="17"/>
        <v>STAT.3032070002</v>
      </c>
      <c r="F65" s="13"/>
      <c r="G65" s="13"/>
      <c r="H65" s="43"/>
      <c r="I65" s="43"/>
      <c r="J65" s="13" t="str">
        <f t="shared" si="18"/>
        <v>SSR</v>
      </c>
      <c r="K65" s="13" t="str">
        <f t="shared" si="19"/>
        <v>Academy.Title.Name.Altair.criticaldamage.SSR</v>
      </c>
      <c r="L65" s="35" t="s">
        <v>288</v>
      </c>
      <c r="M65" s="13" t="str">
        <f t="shared" si="20"/>
        <v>Academy.Title.Name.Altair.criticaldamage.Desc</v>
      </c>
      <c r="N65" s="13" t="s">
        <v>310</v>
      </c>
      <c r="O65" s="13" t="s">
        <v>159</v>
      </c>
      <c r="P65" s="13" t="s">
        <v>171</v>
      </c>
      <c r="Q65" s="49" t="s">
        <v>273</v>
      </c>
      <c r="R65" s="13" t="s">
        <v>75</v>
      </c>
    </row>
    <row r="66" spans="1:18" s="47" customFormat="1">
      <c r="A66" s="13" t="str">
        <f t="shared" ref="A66:A73" si="21">"303"&amp;VLOOKUP(C66,ID참조,2,FALSE)&amp;VLOOKUP(P66,ID참조,2,FALSE)&amp;Q66&amp;VLOOKUP(J66,ID참조,2,FALSE)</f>
        <v>3032070003</v>
      </c>
      <c r="B66" s="13" t="s">
        <v>79</v>
      </c>
      <c r="C66" s="13" t="str">
        <f t="shared" ref="C66:C73" si="22">VLOOKUP(N66,국문참조,2,FALSE)</f>
        <v>Altair</v>
      </c>
      <c r="D66" s="13" t="str">
        <f t="shared" ref="D66:D73" si="23">VLOOKUP(O66,국문참조,2,FALSE)</f>
        <v>Fun</v>
      </c>
      <c r="E66" s="13" t="str">
        <f t="shared" ref="E66:E73" si="24">"STAT."&amp;A66</f>
        <v>STAT.3032070003</v>
      </c>
      <c r="F66" s="13"/>
      <c r="G66" s="13"/>
      <c r="H66" s="43"/>
      <c r="I66" s="43"/>
      <c r="J66" s="13" t="str">
        <f t="shared" ref="J66:J73" si="25">R66</f>
        <v>UR</v>
      </c>
      <c r="K66" s="13" t="str">
        <f t="shared" ref="K66:K73" si="26">"Academy.Title.Name."&amp;VLOOKUP(N66,국문참조,2,FALSE)&amp;"."&amp;VLOOKUP(P66,이름참조,2,FALSE)&amp;"."&amp;J66</f>
        <v>Academy.Title.Name.Altair.criticaldamage.UR</v>
      </c>
      <c r="L66" s="35" t="s">
        <v>288</v>
      </c>
      <c r="M66" s="13" t="str">
        <f t="shared" ref="M66:M73" si="27">"Academy.Title.Name."&amp;VLOOKUP(N66,국문참조,2,FALSE)&amp;"."&amp;VLOOKUP(P66,이름참조,2,FALSE)&amp;".Desc"</f>
        <v>Academy.Title.Name.Altair.criticaldamage.Desc</v>
      </c>
      <c r="N66" s="13" t="s">
        <v>310</v>
      </c>
      <c r="O66" s="13" t="s">
        <v>159</v>
      </c>
      <c r="P66" s="13" t="s">
        <v>171</v>
      </c>
      <c r="Q66" s="49" t="s">
        <v>273</v>
      </c>
      <c r="R66" s="13" t="s">
        <v>77</v>
      </c>
    </row>
    <row r="67" spans="1:18" s="47" customFormat="1">
      <c r="A67" s="13" t="str">
        <f t="shared" si="21"/>
        <v>3032070004</v>
      </c>
      <c r="B67" s="13" t="s">
        <v>79</v>
      </c>
      <c r="C67" s="13" t="str">
        <f t="shared" si="22"/>
        <v>Altair</v>
      </c>
      <c r="D67" s="13" t="str">
        <f t="shared" si="23"/>
        <v>Fun</v>
      </c>
      <c r="E67" s="13" t="str">
        <f t="shared" si="24"/>
        <v>STAT.3032070004</v>
      </c>
      <c r="F67" s="13"/>
      <c r="G67" s="13"/>
      <c r="H67" s="43"/>
      <c r="I67" s="43"/>
      <c r="J67" s="13" t="str">
        <f t="shared" si="25"/>
        <v>MR</v>
      </c>
      <c r="K67" s="13" t="str">
        <f t="shared" si="26"/>
        <v>Academy.Title.Name.Altair.criticaldamage.MR</v>
      </c>
      <c r="L67" s="35" t="s">
        <v>288</v>
      </c>
      <c r="M67" s="13" t="str">
        <f t="shared" si="27"/>
        <v>Academy.Title.Name.Altair.criticaldamage.Desc</v>
      </c>
      <c r="N67" s="13" t="s">
        <v>310</v>
      </c>
      <c r="O67" s="13" t="s">
        <v>159</v>
      </c>
      <c r="P67" s="13" t="s">
        <v>171</v>
      </c>
      <c r="Q67" s="49" t="s">
        <v>273</v>
      </c>
      <c r="R67" s="13" t="s">
        <v>241</v>
      </c>
    </row>
    <row r="68" spans="1:18" s="47" customFormat="1">
      <c r="A68" s="13" t="str">
        <f t="shared" si="21"/>
        <v>3032070005</v>
      </c>
      <c r="B68" s="13" t="s">
        <v>79</v>
      </c>
      <c r="C68" s="13" t="str">
        <f t="shared" si="22"/>
        <v>Altair</v>
      </c>
      <c r="D68" s="13" t="str">
        <f t="shared" si="23"/>
        <v>Fun</v>
      </c>
      <c r="E68" s="13" t="str">
        <f t="shared" si="24"/>
        <v>STAT.3032070005</v>
      </c>
      <c r="F68" s="13"/>
      <c r="G68" s="13"/>
      <c r="H68" s="43"/>
      <c r="I68" s="43"/>
      <c r="J68" s="13" t="str">
        <f t="shared" si="25"/>
        <v>LR</v>
      </c>
      <c r="K68" s="13" t="str">
        <f t="shared" si="26"/>
        <v>Academy.Title.Name.Altair.criticaldamage.LR</v>
      </c>
      <c r="L68" s="35" t="s">
        <v>288</v>
      </c>
      <c r="M68" s="13" t="str">
        <f t="shared" si="27"/>
        <v>Academy.Title.Name.Altair.criticaldamage.Desc</v>
      </c>
      <c r="N68" s="13" t="s">
        <v>310</v>
      </c>
      <c r="O68" s="13" t="s">
        <v>159</v>
      </c>
      <c r="P68" s="13" t="s">
        <v>171</v>
      </c>
      <c r="Q68" s="49" t="s">
        <v>273</v>
      </c>
      <c r="R68" s="13" t="s">
        <v>380</v>
      </c>
    </row>
    <row r="69" spans="1:18" s="47" customFormat="1">
      <c r="A69" s="13" t="str">
        <f t="shared" si="21"/>
        <v>3032080001</v>
      </c>
      <c r="B69" s="13" t="s">
        <v>79</v>
      </c>
      <c r="C69" s="13" t="str">
        <f t="shared" si="22"/>
        <v>Altair</v>
      </c>
      <c r="D69" s="13" t="str">
        <f t="shared" si="23"/>
        <v>Fun</v>
      </c>
      <c r="E69" s="13" t="str">
        <f t="shared" si="24"/>
        <v>STAT.3032080001</v>
      </c>
      <c r="F69" s="13"/>
      <c r="G69" s="13"/>
      <c r="H69" s="43"/>
      <c r="I69" s="43"/>
      <c r="J69" s="13" t="str">
        <f t="shared" si="25"/>
        <v>SR</v>
      </c>
      <c r="K69" s="13" t="str">
        <f t="shared" si="26"/>
        <v>Academy.Title.Name.Altair.ultimatedamagerate.SR</v>
      </c>
      <c r="L69" s="35" t="s">
        <v>289</v>
      </c>
      <c r="M69" s="13" t="str">
        <f t="shared" si="27"/>
        <v>Academy.Title.Name.Altair.ultimatedamagerate.Desc</v>
      </c>
      <c r="N69" s="13" t="s">
        <v>310</v>
      </c>
      <c r="O69" s="13" t="s">
        <v>159</v>
      </c>
      <c r="P69" s="13" t="s">
        <v>175</v>
      </c>
      <c r="Q69" s="49" t="s">
        <v>273</v>
      </c>
      <c r="R69" s="13" t="s">
        <v>73</v>
      </c>
    </row>
    <row r="70" spans="1:18" s="47" customFormat="1">
      <c r="A70" s="13" t="str">
        <f t="shared" si="21"/>
        <v>3032080002</v>
      </c>
      <c r="B70" s="13" t="s">
        <v>79</v>
      </c>
      <c r="C70" s="13" t="str">
        <f t="shared" si="22"/>
        <v>Altair</v>
      </c>
      <c r="D70" s="13" t="str">
        <f t="shared" si="23"/>
        <v>Fun</v>
      </c>
      <c r="E70" s="13" t="str">
        <f t="shared" si="24"/>
        <v>STAT.3032080002</v>
      </c>
      <c r="F70" s="13"/>
      <c r="G70" s="13"/>
      <c r="H70" s="43"/>
      <c r="I70" s="43"/>
      <c r="J70" s="13" t="str">
        <f t="shared" si="25"/>
        <v>SSR</v>
      </c>
      <c r="K70" s="13" t="str">
        <f t="shared" si="26"/>
        <v>Academy.Title.Name.Altair.ultimatedamagerate.SSR</v>
      </c>
      <c r="L70" s="35" t="s">
        <v>289</v>
      </c>
      <c r="M70" s="13" t="str">
        <f t="shared" si="27"/>
        <v>Academy.Title.Name.Altair.ultimatedamagerate.Desc</v>
      </c>
      <c r="N70" s="13" t="s">
        <v>310</v>
      </c>
      <c r="O70" s="13" t="s">
        <v>159</v>
      </c>
      <c r="P70" s="13" t="s">
        <v>175</v>
      </c>
      <c r="Q70" s="49" t="s">
        <v>273</v>
      </c>
      <c r="R70" s="13" t="s">
        <v>75</v>
      </c>
    </row>
    <row r="71" spans="1:18" s="47" customFormat="1">
      <c r="A71" s="13" t="str">
        <f t="shared" si="21"/>
        <v>3032080003</v>
      </c>
      <c r="B71" s="13" t="s">
        <v>79</v>
      </c>
      <c r="C71" s="13" t="str">
        <f t="shared" si="22"/>
        <v>Altair</v>
      </c>
      <c r="D71" s="13" t="str">
        <f t="shared" si="23"/>
        <v>Fun</v>
      </c>
      <c r="E71" s="13" t="str">
        <f t="shared" si="24"/>
        <v>STAT.3032080003</v>
      </c>
      <c r="F71" s="13"/>
      <c r="G71" s="13"/>
      <c r="H71" s="43"/>
      <c r="I71" s="43"/>
      <c r="J71" s="13" t="str">
        <f t="shared" si="25"/>
        <v>UR</v>
      </c>
      <c r="K71" s="13" t="str">
        <f t="shared" si="26"/>
        <v>Academy.Title.Name.Altair.ultimatedamagerate.UR</v>
      </c>
      <c r="L71" s="35" t="s">
        <v>289</v>
      </c>
      <c r="M71" s="13" t="str">
        <f t="shared" si="27"/>
        <v>Academy.Title.Name.Altair.ultimatedamagerate.Desc</v>
      </c>
      <c r="N71" s="13" t="s">
        <v>310</v>
      </c>
      <c r="O71" s="13" t="s">
        <v>159</v>
      </c>
      <c r="P71" s="13" t="s">
        <v>175</v>
      </c>
      <c r="Q71" s="49" t="s">
        <v>273</v>
      </c>
      <c r="R71" s="13" t="s">
        <v>77</v>
      </c>
    </row>
    <row r="72" spans="1:18" s="47" customFormat="1">
      <c r="A72" s="13" t="str">
        <f t="shared" si="21"/>
        <v>3032080004</v>
      </c>
      <c r="B72" s="13" t="s">
        <v>79</v>
      </c>
      <c r="C72" s="13" t="str">
        <f t="shared" si="22"/>
        <v>Altair</v>
      </c>
      <c r="D72" s="13" t="str">
        <f t="shared" si="23"/>
        <v>Fun</v>
      </c>
      <c r="E72" s="13" t="str">
        <f t="shared" si="24"/>
        <v>STAT.3032080004</v>
      </c>
      <c r="F72" s="13"/>
      <c r="G72" s="13"/>
      <c r="H72" s="43"/>
      <c r="I72" s="43"/>
      <c r="J72" s="13" t="str">
        <f t="shared" si="25"/>
        <v>MR</v>
      </c>
      <c r="K72" s="13" t="str">
        <f t="shared" si="26"/>
        <v>Academy.Title.Name.Altair.ultimatedamagerate.MR</v>
      </c>
      <c r="L72" s="35" t="s">
        <v>289</v>
      </c>
      <c r="M72" s="13" t="str">
        <f t="shared" si="27"/>
        <v>Academy.Title.Name.Altair.ultimatedamagerate.Desc</v>
      </c>
      <c r="N72" s="13" t="s">
        <v>310</v>
      </c>
      <c r="O72" s="13" t="s">
        <v>159</v>
      </c>
      <c r="P72" s="13" t="s">
        <v>175</v>
      </c>
      <c r="Q72" s="49" t="s">
        <v>273</v>
      </c>
      <c r="R72" s="13" t="s">
        <v>241</v>
      </c>
    </row>
    <row r="73" spans="1:18" s="47" customFormat="1">
      <c r="A73" s="13" t="str">
        <f t="shared" si="21"/>
        <v>3032080005</v>
      </c>
      <c r="B73" s="13" t="s">
        <v>79</v>
      </c>
      <c r="C73" s="13" t="str">
        <f t="shared" si="22"/>
        <v>Altair</v>
      </c>
      <c r="D73" s="13" t="str">
        <f t="shared" si="23"/>
        <v>Fun</v>
      </c>
      <c r="E73" s="13" t="str">
        <f t="shared" si="24"/>
        <v>STAT.3032080005</v>
      </c>
      <c r="F73" s="13"/>
      <c r="G73" s="13"/>
      <c r="H73" s="43"/>
      <c r="I73" s="43"/>
      <c r="J73" s="13" t="str">
        <f t="shared" si="25"/>
        <v>LR</v>
      </c>
      <c r="K73" s="13" t="str">
        <f t="shared" si="26"/>
        <v>Academy.Title.Name.Altair.ultimatedamagerate.LR</v>
      </c>
      <c r="L73" s="35" t="s">
        <v>289</v>
      </c>
      <c r="M73" s="13" t="str">
        <f t="shared" si="27"/>
        <v>Academy.Title.Name.Altair.ultimatedamagerate.Desc</v>
      </c>
      <c r="N73" s="13" t="s">
        <v>310</v>
      </c>
      <c r="O73" s="13" t="s">
        <v>159</v>
      </c>
      <c r="P73" s="13" t="s">
        <v>175</v>
      </c>
      <c r="Q73" s="49" t="s">
        <v>273</v>
      </c>
      <c r="R73" s="13" t="s">
        <v>380</v>
      </c>
    </row>
    <row r="74" spans="1:18" s="47" customFormat="1">
      <c r="A74" s="10" t="str">
        <f t="shared" ref="A74:A105" si="28">"#303"&amp;VLOOKUP(C74,ID참조,2,FALSE)&amp;VLOOKUP(P74,ID참조,2,FALSE)&amp;Q74&amp;VLOOKUP(J74,ID참조,2,FALSE)</f>
        <v>#3033010001</v>
      </c>
      <c r="B74" s="10" t="s">
        <v>307</v>
      </c>
      <c r="C74" s="10" t="str">
        <f t="shared" si="15"/>
        <v>Sirius</v>
      </c>
      <c r="D74" s="10" t="str">
        <f t="shared" si="16"/>
        <v>Force</v>
      </c>
      <c r="E74" s="10" t="str">
        <f t="shared" si="17"/>
        <v>STAT.#3033010001</v>
      </c>
      <c r="F74" s="10"/>
      <c r="G74" s="10"/>
      <c r="H74" s="44"/>
      <c r="I74" s="44"/>
      <c r="J74" s="10" t="str">
        <f t="shared" si="18"/>
        <v>SR</v>
      </c>
      <c r="K74" s="10" t="str">
        <f t="shared" si="19"/>
        <v>Academy.Title.Name.Sirius.attack.SR</v>
      </c>
      <c r="L74" s="36" t="s">
        <v>290</v>
      </c>
      <c r="M74" s="10" t="str">
        <f t="shared" si="20"/>
        <v>Academy.Title.Name.Sirius.attack.Desc</v>
      </c>
      <c r="N74" s="10" t="s">
        <v>239</v>
      </c>
      <c r="O74" s="10" t="s">
        <v>147</v>
      </c>
      <c r="P74" s="10" t="s">
        <v>134</v>
      </c>
      <c r="Q74" s="48" t="s">
        <v>273</v>
      </c>
      <c r="R74" s="10" t="s">
        <v>73</v>
      </c>
    </row>
    <row r="75" spans="1:18" s="47" customFormat="1">
      <c r="A75" s="10" t="str">
        <f t="shared" si="28"/>
        <v>#3033010002</v>
      </c>
      <c r="B75" s="10" t="s">
        <v>307</v>
      </c>
      <c r="C75" s="10" t="str">
        <f t="shared" si="15"/>
        <v>Sirius</v>
      </c>
      <c r="D75" s="10" t="str">
        <f t="shared" si="16"/>
        <v>Force</v>
      </c>
      <c r="E75" s="10" t="str">
        <f t="shared" si="17"/>
        <v>STAT.#3033010002</v>
      </c>
      <c r="F75" s="10"/>
      <c r="G75" s="10"/>
      <c r="H75" s="44"/>
      <c r="I75" s="44"/>
      <c r="J75" s="10" t="str">
        <f t="shared" si="18"/>
        <v>SSR</v>
      </c>
      <c r="K75" s="10" t="str">
        <f t="shared" si="19"/>
        <v>Academy.Title.Name.Sirius.attack.SSR</v>
      </c>
      <c r="L75" s="36" t="s">
        <v>290</v>
      </c>
      <c r="M75" s="10" t="str">
        <f t="shared" si="20"/>
        <v>Academy.Title.Name.Sirius.attack.Desc</v>
      </c>
      <c r="N75" s="10" t="s">
        <v>239</v>
      </c>
      <c r="O75" s="10" t="s">
        <v>147</v>
      </c>
      <c r="P75" s="10" t="s">
        <v>134</v>
      </c>
      <c r="Q75" s="48" t="s">
        <v>273</v>
      </c>
      <c r="R75" s="10" t="s">
        <v>75</v>
      </c>
    </row>
    <row r="76" spans="1:18" s="47" customFormat="1">
      <c r="A76" s="10" t="str">
        <f t="shared" si="28"/>
        <v>#3033010003</v>
      </c>
      <c r="B76" s="10" t="s">
        <v>307</v>
      </c>
      <c r="C76" s="10" t="str">
        <f t="shared" si="15"/>
        <v>Sirius</v>
      </c>
      <c r="D76" s="10" t="str">
        <f t="shared" si="16"/>
        <v>Force</v>
      </c>
      <c r="E76" s="10" t="str">
        <f t="shared" si="17"/>
        <v>STAT.#3033010003</v>
      </c>
      <c r="F76" s="10"/>
      <c r="G76" s="10"/>
      <c r="H76" s="44"/>
      <c r="I76" s="44"/>
      <c r="J76" s="10" t="str">
        <f t="shared" si="18"/>
        <v>UR</v>
      </c>
      <c r="K76" s="10" t="str">
        <f t="shared" si="19"/>
        <v>Academy.Title.Name.Sirius.attack.UR</v>
      </c>
      <c r="L76" s="36" t="s">
        <v>290</v>
      </c>
      <c r="M76" s="10" t="str">
        <f t="shared" si="20"/>
        <v>Academy.Title.Name.Sirius.attack.Desc</v>
      </c>
      <c r="N76" s="10" t="s">
        <v>239</v>
      </c>
      <c r="O76" s="10" t="s">
        <v>147</v>
      </c>
      <c r="P76" s="10" t="s">
        <v>134</v>
      </c>
      <c r="Q76" s="48" t="s">
        <v>273</v>
      </c>
      <c r="R76" s="10" t="s">
        <v>77</v>
      </c>
    </row>
    <row r="77" spans="1:18" s="47" customFormat="1">
      <c r="A77" s="10" t="str">
        <f t="shared" si="28"/>
        <v>#3033010004</v>
      </c>
      <c r="B77" s="10" t="s">
        <v>307</v>
      </c>
      <c r="C77" s="10" t="str">
        <f t="shared" si="15"/>
        <v>Sirius</v>
      </c>
      <c r="D77" s="10" t="str">
        <f t="shared" si="16"/>
        <v>Force</v>
      </c>
      <c r="E77" s="10" t="str">
        <f t="shared" si="17"/>
        <v>STAT.#3033010004</v>
      </c>
      <c r="F77" s="10"/>
      <c r="G77" s="10"/>
      <c r="H77" s="44"/>
      <c r="I77" s="44"/>
      <c r="J77" s="10" t="str">
        <f t="shared" si="18"/>
        <v>MR</v>
      </c>
      <c r="K77" s="10" t="str">
        <f t="shared" si="19"/>
        <v>Academy.Title.Name.Sirius.attack.MR</v>
      </c>
      <c r="L77" s="36" t="s">
        <v>290</v>
      </c>
      <c r="M77" s="10" t="str">
        <f t="shared" si="20"/>
        <v>Academy.Title.Name.Sirius.attack.Desc</v>
      </c>
      <c r="N77" s="10" t="s">
        <v>239</v>
      </c>
      <c r="O77" s="10" t="s">
        <v>147</v>
      </c>
      <c r="P77" s="10" t="s">
        <v>134</v>
      </c>
      <c r="Q77" s="48" t="s">
        <v>273</v>
      </c>
      <c r="R77" s="10" t="s">
        <v>241</v>
      </c>
    </row>
    <row r="78" spans="1:18" s="47" customFormat="1">
      <c r="A78" s="10" t="str">
        <f t="shared" si="28"/>
        <v>#3033010005</v>
      </c>
      <c r="B78" s="10" t="s">
        <v>307</v>
      </c>
      <c r="C78" s="10" t="str">
        <f t="shared" si="15"/>
        <v>Sirius</v>
      </c>
      <c r="D78" s="10" t="str">
        <f t="shared" si="16"/>
        <v>Force</v>
      </c>
      <c r="E78" s="10" t="str">
        <f t="shared" si="17"/>
        <v>STAT.#3033010005</v>
      </c>
      <c r="F78" s="10"/>
      <c r="G78" s="10"/>
      <c r="H78" s="44"/>
      <c r="I78" s="44"/>
      <c r="J78" s="10" t="str">
        <f t="shared" si="18"/>
        <v>LR</v>
      </c>
      <c r="K78" s="30" t="str">
        <f t="shared" si="19"/>
        <v>Academy.Title.Name.Sirius.attack.LR</v>
      </c>
      <c r="L78" s="36" t="s">
        <v>290</v>
      </c>
      <c r="M78" s="10" t="str">
        <f t="shared" si="20"/>
        <v>Academy.Title.Name.Sirius.attack.Desc</v>
      </c>
      <c r="N78" s="10" t="s">
        <v>239</v>
      </c>
      <c r="O78" s="10" t="s">
        <v>147</v>
      </c>
      <c r="P78" s="10" t="s">
        <v>134</v>
      </c>
      <c r="Q78" s="48" t="s">
        <v>273</v>
      </c>
      <c r="R78" s="10" t="s">
        <v>380</v>
      </c>
    </row>
    <row r="79" spans="1:18" s="47" customFormat="1">
      <c r="A79" s="10" t="str">
        <f t="shared" si="28"/>
        <v>#3033020001</v>
      </c>
      <c r="B79" s="10" t="s">
        <v>307</v>
      </c>
      <c r="C79" s="10" t="str">
        <f t="shared" si="15"/>
        <v>Sirius</v>
      </c>
      <c r="D79" s="10" t="str">
        <f t="shared" si="16"/>
        <v>Force</v>
      </c>
      <c r="E79" s="10" t="str">
        <f t="shared" si="17"/>
        <v>STAT.#3033020001</v>
      </c>
      <c r="F79" s="10"/>
      <c r="G79" s="10"/>
      <c r="H79" s="44"/>
      <c r="I79" s="44"/>
      <c r="J79" s="10" t="str">
        <f t="shared" si="18"/>
        <v>SR</v>
      </c>
      <c r="K79" s="30" t="str">
        <f t="shared" si="19"/>
        <v>Academy.Title.Name.Sirius.attackspeed.SR</v>
      </c>
      <c r="L79" s="37" t="s">
        <v>291</v>
      </c>
      <c r="M79" s="10" t="str">
        <f t="shared" si="20"/>
        <v>Academy.Title.Name.Sirius.attackspeed.Desc</v>
      </c>
      <c r="N79" s="10" t="s">
        <v>239</v>
      </c>
      <c r="O79" s="10" t="s">
        <v>147</v>
      </c>
      <c r="P79" s="10" t="s">
        <v>139</v>
      </c>
      <c r="Q79" s="48" t="s">
        <v>273</v>
      </c>
      <c r="R79" s="10" t="s">
        <v>73</v>
      </c>
    </row>
    <row r="80" spans="1:18" s="47" customFormat="1">
      <c r="A80" s="10" t="str">
        <f t="shared" si="28"/>
        <v>#3033020002</v>
      </c>
      <c r="B80" s="10" t="s">
        <v>307</v>
      </c>
      <c r="C80" s="10" t="str">
        <f t="shared" si="15"/>
        <v>Sirius</v>
      </c>
      <c r="D80" s="10" t="str">
        <f t="shared" si="16"/>
        <v>Force</v>
      </c>
      <c r="E80" s="10" t="str">
        <f t="shared" si="17"/>
        <v>STAT.#3033020002</v>
      </c>
      <c r="F80" s="10"/>
      <c r="G80" s="10"/>
      <c r="H80" s="44"/>
      <c r="I80" s="44"/>
      <c r="J80" s="10" t="str">
        <f t="shared" si="18"/>
        <v>SSR</v>
      </c>
      <c r="K80" s="30" t="str">
        <f t="shared" si="19"/>
        <v>Academy.Title.Name.Sirius.attackspeed.SSR</v>
      </c>
      <c r="L80" s="37" t="s">
        <v>291</v>
      </c>
      <c r="M80" s="10" t="str">
        <f t="shared" si="20"/>
        <v>Academy.Title.Name.Sirius.attackspeed.Desc</v>
      </c>
      <c r="N80" s="10" t="s">
        <v>239</v>
      </c>
      <c r="O80" s="10" t="s">
        <v>147</v>
      </c>
      <c r="P80" s="10" t="s">
        <v>139</v>
      </c>
      <c r="Q80" s="48" t="s">
        <v>273</v>
      </c>
      <c r="R80" s="10" t="s">
        <v>75</v>
      </c>
    </row>
    <row r="81" spans="1:18" s="47" customFormat="1">
      <c r="A81" s="10" t="str">
        <f t="shared" si="28"/>
        <v>#3033020003</v>
      </c>
      <c r="B81" s="10" t="s">
        <v>307</v>
      </c>
      <c r="C81" s="10" t="str">
        <f t="shared" si="15"/>
        <v>Sirius</v>
      </c>
      <c r="D81" s="10" t="str">
        <f t="shared" si="16"/>
        <v>Force</v>
      </c>
      <c r="E81" s="10" t="str">
        <f t="shared" si="17"/>
        <v>STAT.#3033020003</v>
      </c>
      <c r="F81" s="10"/>
      <c r="G81" s="10"/>
      <c r="H81" s="44"/>
      <c r="I81" s="44"/>
      <c r="J81" s="10" t="str">
        <f t="shared" si="18"/>
        <v>UR</v>
      </c>
      <c r="K81" s="30" t="str">
        <f t="shared" si="19"/>
        <v>Academy.Title.Name.Sirius.attackspeed.UR</v>
      </c>
      <c r="L81" s="37" t="s">
        <v>291</v>
      </c>
      <c r="M81" s="10" t="str">
        <f t="shared" si="20"/>
        <v>Academy.Title.Name.Sirius.attackspeed.Desc</v>
      </c>
      <c r="N81" s="10" t="s">
        <v>239</v>
      </c>
      <c r="O81" s="10" t="s">
        <v>147</v>
      </c>
      <c r="P81" s="10" t="s">
        <v>139</v>
      </c>
      <c r="Q81" s="48" t="s">
        <v>273</v>
      </c>
      <c r="R81" s="10" t="s">
        <v>77</v>
      </c>
    </row>
    <row r="82" spans="1:18" s="47" customFormat="1">
      <c r="A82" s="10" t="str">
        <f t="shared" si="28"/>
        <v>#3033020004</v>
      </c>
      <c r="B82" s="10" t="s">
        <v>307</v>
      </c>
      <c r="C82" s="10" t="str">
        <f t="shared" ref="C82:C113" si="29">VLOOKUP(N82,국문참조,2,FALSE)</f>
        <v>Sirius</v>
      </c>
      <c r="D82" s="10" t="str">
        <f t="shared" ref="D82:D113" si="30">VLOOKUP(O82,국문참조,2,FALSE)</f>
        <v>Force</v>
      </c>
      <c r="E82" s="10" t="str">
        <f t="shared" ref="E82:E113" si="31">"STAT."&amp;A82</f>
        <v>STAT.#3033020004</v>
      </c>
      <c r="F82" s="10"/>
      <c r="G82" s="10"/>
      <c r="H82" s="44"/>
      <c r="I82" s="44"/>
      <c r="J82" s="10" t="str">
        <f t="shared" ref="J82:J113" si="32">R82</f>
        <v>MR</v>
      </c>
      <c r="K82" s="10" t="str">
        <f t="shared" ref="K82:K113" si="33">"Academy.Title.Name."&amp;VLOOKUP(N82,국문참조,2,FALSE)&amp;"."&amp;VLOOKUP(P82,이름참조,2,FALSE)&amp;"."&amp;J82</f>
        <v>Academy.Title.Name.Sirius.attackspeed.MR</v>
      </c>
      <c r="L82" s="37" t="s">
        <v>291</v>
      </c>
      <c r="M82" s="10" t="str">
        <f t="shared" ref="M82:M113" si="34">"Academy.Title.Name."&amp;VLOOKUP(N82,국문참조,2,FALSE)&amp;"."&amp;VLOOKUP(P82,이름참조,2,FALSE)&amp;".Desc"</f>
        <v>Academy.Title.Name.Sirius.attackspeed.Desc</v>
      </c>
      <c r="N82" s="10" t="s">
        <v>239</v>
      </c>
      <c r="O82" s="10" t="s">
        <v>147</v>
      </c>
      <c r="P82" s="10" t="s">
        <v>139</v>
      </c>
      <c r="Q82" s="48" t="s">
        <v>273</v>
      </c>
      <c r="R82" s="10" t="s">
        <v>241</v>
      </c>
    </row>
    <row r="83" spans="1:18" s="47" customFormat="1">
      <c r="A83" s="10" t="str">
        <f t="shared" si="28"/>
        <v>#3033020005</v>
      </c>
      <c r="B83" s="10" t="s">
        <v>307</v>
      </c>
      <c r="C83" s="10" t="str">
        <f t="shared" si="29"/>
        <v>Sirius</v>
      </c>
      <c r="D83" s="10" t="str">
        <f t="shared" si="30"/>
        <v>Force</v>
      </c>
      <c r="E83" s="10" t="str">
        <f t="shared" si="31"/>
        <v>STAT.#3033020005</v>
      </c>
      <c r="F83" s="10"/>
      <c r="G83" s="10"/>
      <c r="H83" s="44"/>
      <c r="I83" s="44"/>
      <c r="J83" s="10" t="str">
        <f t="shared" si="32"/>
        <v>LR</v>
      </c>
      <c r="K83" s="10" t="str">
        <f t="shared" si="33"/>
        <v>Academy.Title.Name.Sirius.attackspeed.LR</v>
      </c>
      <c r="L83" s="37" t="s">
        <v>291</v>
      </c>
      <c r="M83" s="10" t="str">
        <f t="shared" si="34"/>
        <v>Academy.Title.Name.Sirius.attackspeed.Desc</v>
      </c>
      <c r="N83" s="10" t="s">
        <v>239</v>
      </c>
      <c r="O83" s="10" t="s">
        <v>147</v>
      </c>
      <c r="P83" s="10" t="s">
        <v>139</v>
      </c>
      <c r="Q83" s="48" t="s">
        <v>273</v>
      </c>
      <c r="R83" s="10" t="s">
        <v>380</v>
      </c>
    </row>
    <row r="84" spans="1:18" s="47" customFormat="1">
      <c r="A84" s="10" t="str">
        <f t="shared" si="28"/>
        <v>#3033030001</v>
      </c>
      <c r="B84" s="10" t="s">
        <v>307</v>
      </c>
      <c r="C84" s="10" t="str">
        <f t="shared" si="29"/>
        <v>Sirius</v>
      </c>
      <c r="D84" s="10" t="str">
        <f t="shared" si="30"/>
        <v>Sense</v>
      </c>
      <c r="E84" s="10" t="str">
        <f t="shared" si="31"/>
        <v>STAT.#3033030001</v>
      </c>
      <c r="F84" s="10"/>
      <c r="G84" s="10"/>
      <c r="H84" s="44"/>
      <c r="I84" s="44"/>
      <c r="J84" s="10" t="str">
        <f t="shared" si="32"/>
        <v>SR</v>
      </c>
      <c r="K84" s="10" t="str">
        <f t="shared" si="33"/>
        <v>Academy.Title.Name.Sirius.defense.SR</v>
      </c>
      <c r="L84" s="36" t="s">
        <v>292</v>
      </c>
      <c r="M84" s="10" t="str">
        <f t="shared" si="34"/>
        <v>Academy.Title.Name.Sirius.defense.Desc</v>
      </c>
      <c r="N84" s="10" t="s">
        <v>239</v>
      </c>
      <c r="O84" s="10" t="s">
        <v>311</v>
      </c>
      <c r="P84" s="10" t="s">
        <v>144</v>
      </c>
      <c r="Q84" s="48" t="s">
        <v>273</v>
      </c>
      <c r="R84" s="10" t="s">
        <v>73</v>
      </c>
    </row>
    <row r="85" spans="1:18" s="47" customFormat="1">
      <c r="A85" s="10" t="str">
        <f t="shared" si="28"/>
        <v>#3033030002</v>
      </c>
      <c r="B85" s="10" t="s">
        <v>307</v>
      </c>
      <c r="C85" s="10" t="str">
        <f t="shared" si="29"/>
        <v>Sirius</v>
      </c>
      <c r="D85" s="10" t="str">
        <f t="shared" si="30"/>
        <v>Sense</v>
      </c>
      <c r="E85" s="10" t="str">
        <f t="shared" si="31"/>
        <v>STAT.#3033030002</v>
      </c>
      <c r="F85" s="10"/>
      <c r="G85" s="10"/>
      <c r="H85" s="44"/>
      <c r="I85" s="44"/>
      <c r="J85" s="10" t="str">
        <f t="shared" si="32"/>
        <v>SSR</v>
      </c>
      <c r="K85" s="10" t="str">
        <f t="shared" si="33"/>
        <v>Academy.Title.Name.Sirius.defense.SSR</v>
      </c>
      <c r="L85" s="36" t="s">
        <v>292</v>
      </c>
      <c r="M85" s="10" t="str">
        <f t="shared" si="34"/>
        <v>Academy.Title.Name.Sirius.defense.Desc</v>
      </c>
      <c r="N85" s="10" t="s">
        <v>239</v>
      </c>
      <c r="O85" s="10" t="s">
        <v>311</v>
      </c>
      <c r="P85" s="10" t="s">
        <v>144</v>
      </c>
      <c r="Q85" s="48" t="s">
        <v>273</v>
      </c>
      <c r="R85" s="10" t="s">
        <v>75</v>
      </c>
    </row>
    <row r="86" spans="1:18" s="47" customFormat="1">
      <c r="A86" s="10" t="str">
        <f t="shared" si="28"/>
        <v>#3033030003</v>
      </c>
      <c r="B86" s="10" t="s">
        <v>307</v>
      </c>
      <c r="C86" s="10" t="str">
        <f t="shared" si="29"/>
        <v>Sirius</v>
      </c>
      <c r="D86" s="10" t="str">
        <f t="shared" si="30"/>
        <v>Sense</v>
      </c>
      <c r="E86" s="10" t="str">
        <f t="shared" si="31"/>
        <v>STAT.#3033030003</v>
      </c>
      <c r="F86" s="10"/>
      <c r="G86" s="10"/>
      <c r="H86" s="44"/>
      <c r="I86" s="44"/>
      <c r="J86" s="10" t="str">
        <f t="shared" si="32"/>
        <v>UR</v>
      </c>
      <c r="K86" s="10" t="str">
        <f t="shared" si="33"/>
        <v>Academy.Title.Name.Sirius.defense.UR</v>
      </c>
      <c r="L86" s="36" t="s">
        <v>292</v>
      </c>
      <c r="M86" s="10" t="str">
        <f t="shared" si="34"/>
        <v>Academy.Title.Name.Sirius.defense.Desc</v>
      </c>
      <c r="N86" s="10" t="s">
        <v>239</v>
      </c>
      <c r="O86" s="10" t="s">
        <v>311</v>
      </c>
      <c r="P86" s="10" t="s">
        <v>144</v>
      </c>
      <c r="Q86" s="48" t="s">
        <v>273</v>
      </c>
      <c r="R86" s="10" t="s">
        <v>77</v>
      </c>
    </row>
    <row r="87" spans="1:18" s="47" customFormat="1">
      <c r="A87" s="10" t="str">
        <f t="shared" si="28"/>
        <v>#3033030004</v>
      </c>
      <c r="B87" s="10" t="s">
        <v>307</v>
      </c>
      <c r="C87" s="10" t="str">
        <f t="shared" si="29"/>
        <v>Sirius</v>
      </c>
      <c r="D87" s="10" t="str">
        <f t="shared" si="30"/>
        <v>Sense</v>
      </c>
      <c r="E87" s="10" t="str">
        <f t="shared" si="31"/>
        <v>STAT.#3033030004</v>
      </c>
      <c r="F87" s="10"/>
      <c r="G87" s="10"/>
      <c r="H87" s="44"/>
      <c r="I87" s="44"/>
      <c r="J87" s="10" t="str">
        <f t="shared" si="32"/>
        <v>MR</v>
      </c>
      <c r="K87" s="10" t="str">
        <f t="shared" si="33"/>
        <v>Academy.Title.Name.Sirius.defense.MR</v>
      </c>
      <c r="L87" s="36" t="s">
        <v>292</v>
      </c>
      <c r="M87" s="10" t="str">
        <f t="shared" si="34"/>
        <v>Academy.Title.Name.Sirius.defense.Desc</v>
      </c>
      <c r="N87" s="10" t="s">
        <v>239</v>
      </c>
      <c r="O87" s="10" t="s">
        <v>311</v>
      </c>
      <c r="P87" s="10" t="s">
        <v>144</v>
      </c>
      <c r="Q87" s="48" t="s">
        <v>273</v>
      </c>
      <c r="R87" s="10" t="s">
        <v>241</v>
      </c>
    </row>
    <row r="88" spans="1:18" s="47" customFormat="1">
      <c r="A88" s="10" t="str">
        <f t="shared" si="28"/>
        <v>#3033030005</v>
      </c>
      <c r="B88" s="10" t="s">
        <v>307</v>
      </c>
      <c r="C88" s="10" t="str">
        <f t="shared" si="29"/>
        <v>Sirius</v>
      </c>
      <c r="D88" s="10" t="str">
        <f t="shared" si="30"/>
        <v>Sense</v>
      </c>
      <c r="E88" s="10" t="str">
        <f t="shared" si="31"/>
        <v>STAT.#3033030005</v>
      </c>
      <c r="F88" s="10"/>
      <c r="G88" s="10"/>
      <c r="H88" s="44"/>
      <c r="I88" s="44"/>
      <c r="J88" s="10" t="str">
        <f t="shared" si="32"/>
        <v>LR</v>
      </c>
      <c r="K88" s="10" t="str">
        <f t="shared" si="33"/>
        <v>Academy.Title.Name.Sirius.defense.LR</v>
      </c>
      <c r="L88" s="36" t="s">
        <v>292</v>
      </c>
      <c r="M88" s="10" t="str">
        <f t="shared" si="34"/>
        <v>Academy.Title.Name.Sirius.defense.Desc</v>
      </c>
      <c r="N88" s="10" t="s">
        <v>239</v>
      </c>
      <c r="O88" s="10" t="s">
        <v>311</v>
      </c>
      <c r="P88" s="10" t="s">
        <v>144</v>
      </c>
      <c r="Q88" s="48" t="s">
        <v>273</v>
      </c>
      <c r="R88" s="10" t="s">
        <v>380</v>
      </c>
    </row>
    <row r="89" spans="1:18" s="47" customFormat="1">
      <c r="A89" s="10" t="str">
        <f t="shared" si="28"/>
        <v>#3033040001</v>
      </c>
      <c r="B89" s="10" t="s">
        <v>307</v>
      </c>
      <c r="C89" s="10" t="str">
        <f t="shared" si="29"/>
        <v>Sirius</v>
      </c>
      <c r="D89" s="10" t="str">
        <f t="shared" si="30"/>
        <v>Sense</v>
      </c>
      <c r="E89" s="10" t="str">
        <f t="shared" si="31"/>
        <v>STAT.#3033040001</v>
      </c>
      <c r="F89" s="10"/>
      <c r="G89" s="10"/>
      <c r="H89" s="44"/>
      <c r="I89" s="44"/>
      <c r="J89" s="10" t="str">
        <f t="shared" si="32"/>
        <v>SR</v>
      </c>
      <c r="K89" s="10" t="str">
        <f t="shared" si="33"/>
        <v>Academy.Title.Name.Sirius.guardreducerate.SR</v>
      </c>
      <c r="L89" s="36" t="s">
        <v>293</v>
      </c>
      <c r="M89" s="10" t="str">
        <f t="shared" si="34"/>
        <v>Academy.Title.Name.Sirius.guardreducerate.Desc</v>
      </c>
      <c r="N89" s="10" t="s">
        <v>239</v>
      </c>
      <c r="O89" s="10" t="s">
        <v>311</v>
      </c>
      <c r="P89" s="10" t="s">
        <v>148</v>
      </c>
      <c r="Q89" s="48" t="s">
        <v>273</v>
      </c>
      <c r="R89" s="10" t="s">
        <v>73</v>
      </c>
    </row>
    <row r="90" spans="1:18" s="47" customFormat="1">
      <c r="A90" s="10" t="str">
        <f t="shared" si="28"/>
        <v>#3033040002</v>
      </c>
      <c r="B90" s="10" t="s">
        <v>307</v>
      </c>
      <c r="C90" s="10" t="str">
        <f t="shared" si="29"/>
        <v>Sirius</v>
      </c>
      <c r="D90" s="10" t="str">
        <f t="shared" si="30"/>
        <v>Sense</v>
      </c>
      <c r="E90" s="10" t="str">
        <f t="shared" si="31"/>
        <v>STAT.#3033040002</v>
      </c>
      <c r="F90" s="10"/>
      <c r="G90" s="10"/>
      <c r="H90" s="44"/>
      <c r="I90" s="44"/>
      <c r="J90" s="10" t="str">
        <f t="shared" si="32"/>
        <v>SSR</v>
      </c>
      <c r="K90" s="10" t="str">
        <f t="shared" si="33"/>
        <v>Academy.Title.Name.Sirius.guardreducerate.SSR</v>
      </c>
      <c r="L90" s="36" t="s">
        <v>293</v>
      </c>
      <c r="M90" s="10" t="str">
        <f t="shared" si="34"/>
        <v>Academy.Title.Name.Sirius.guardreducerate.Desc</v>
      </c>
      <c r="N90" s="10" t="s">
        <v>239</v>
      </c>
      <c r="O90" s="10" t="s">
        <v>311</v>
      </c>
      <c r="P90" s="10" t="s">
        <v>148</v>
      </c>
      <c r="Q90" s="48" t="s">
        <v>273</v>
      </c>
      <c r="R90" s="10" t="s">
        <v>75</v>
      </c>
    </row>
    <row r="91" spans="1:18" s="47" customFormat="1">
      <c r="A91" s="10" t="str">
        <f t="shared" si="28"/>
        <v>#3033040003</v>
      </c>
      <c r="B91" s="10" t="s">
        <v>307</v>
      </c>
      <c r="C91" s="10" t="str">
        <f t="shared" si="29"/>
        <v>Sirius</v>
      </c>
      <c r="D91" s="10" t="str">
        <f t="shared" si="30"/>
        <v>Sense</v>
      </c>
      <c r="E91" s="10" t="str">
        <f t="shared" si="31"/>
        <v>STAT.#3033040003</v>
      </c>
      <c r="F91" s="10"/>
      <c r="G91" s="10"/>
      <c r="H91" s="44"/>
      <c r="I91" s="44"/>
      <c r="J91" s="10" t="str">
        <f t="shared" si="32"/>
        <v>UR</v>
      </c>
      <c r="K91" s="10" t="str">
        <f t="shared" si="33"/>
        <v>Academy.Title.Name.Sirius.guardreducerate.UR</v>
      </c>
      <c r="L91" s="36" t="s">
        <v>293</v>
      </c>
      <c r="M91" s="10" t="str">
        <f t="shared" si="34"/>
        <v>Academy.Title.Name.Sirius.guardreducerate.Desc</v>
      </c>
      <c r="N91" s="10" t="s">
        <v>239</v>
      </c>
      <c r="O91" s="10" t="s">
        <v>311</v>
      </c>
      <c r="P91" s="10" t="s">
        <v>148</v>
      </c>
      <c r="Q91" s="48" t="s">
        <v>273</v>
      </c>
      <c r="R91" s="10" t="s">
        <v>77</v>
      </c>
    </row>
    <row r="92" spans="1:18" s="47" customFormat="1">
      <c r="A92" s="10" t="str">
        <f t="shared" si="28"/>
        <v>#3033040004</v>
      </c>
      <c r="B92" s="10" t="s">
        <v>307</v>
      </c>
      <c r="C92" s="10" t="str">
        <f t="shared" si="29"/>
        <v>Sirius</v>
      </c>
      <c r="D92" s="10" t="str">
        <f t="shared" si="30"/>
        <v>Sense</v>
      </c>
      <c r="E92" s="10" t="str">
        <f t="shared" si="31"/>
        <v>STAT.#3033040004</v>
      </c>
      <c r="F92" s="10"/>
      <c r="G92" s="10"/>
      <c r="H92" s="44"/>
      <c r="I92" s="44"/>
      <c r="J92" s="10" t="str">
        <f t="shared" si="32"/>
        <v>MR</v>
      </c>
      <c r="K92" s="10" t="str">
        <f t="shared" si="33"/>
        <v>Academy.Title.Name.Sirius.guardreducerate.MR</v>
      </c>
      <c r="L92" s="36" t="s">
        <v>293</v>
      </c>
      <c r="M92" s="10" t="str">
        <f t="shared" si="34"/>
        <v>Academy.Title.Name.Sirius.guardreducerate.Desc</v>
      </c>
      <c r="N92" s="10" t="s">
        <v>239</v>
      </c>
      <c r="O92" s="10" t="s">
        <v>311</v>
      </c>
      <c r="P92" s="10" t="s">
        <v>148</v>
      </c>
      <c r="Q92" s="48" t="s">
        <v>273</v>
      </c>
      <c r="R92" s="10" t="s">
        <v>241</v>
      </c>
    </row>
    <row r="93" spans="1:18" s="47" customFormat="1">
      <c r="A93" s="10" t="str">
        <f t="shared" si="28"/>
        <v>#3033040005</v>
      </c>
      <c r="B93" s="10" t="s">
        <v>307</v>
      </c>
      <c r="C93" s="10" t="str">
        <f t="shared" si="29"/>
        <v>Sirius</v>
      </c>
      <c r="D93" s="10" t="str">
        <f t="shared" si="30"/>
        <v>Sense</v>
      </c>
      <c r="E93" s="10" t="str">
        <f t="shared" si="31"/>
        <v>STAT.#3033040005</v>
      </c>
      <c r="F93" s="10"/>
      <c r="G93" s="10"/>
      <c r="H93" s="44"/>
      <c r="I93" s="44"/>
      <c r="J93" s="10" t="str">
        <f t="shared" si="32"/>
        <v>LR</v>
      </c>
      <c r="K93" s="10" t="str">
        <f t="shared" si="33"/>
        <v>Academy.Title.Name.Sirius.guardreducerate.LR</v>
      </c>
      <c r="L93" s="36" t="s">
        <v>293</v>
      </c>
      <c r="M93" s="10" t="str">
        <f t="shared" si="34"/>
        <v>Academy.Title.Name.Sirius.guardreducerate.Desc</v>
      </c>
      <c r="N93" s="10" t="s">
        <v>239</v>
      </c>
      <c r="O93" s="10" t="s">
        <v>311</v>
      </c>
      <c r="P93" s="10" t="s">
        <v>148</v>
      </c>
      <c r="Q93" s="48" t="s">
        <v>273</v>
      </c>
      <c r="R93" s="10" t="s">
        <v>380</v>
      </c>
    </row>
    <row r="94" spans="1:18" s="47" customFormat="1">
      <c r="A94" s="10" t="str">
        <f t="shared" si="28"/>
        <v>#3033050001</v>
      </c>
      <c r="B94" s="10" t="s">
        <v>307</v>
      </c>
      <c r="C94" s="10" t="str">
        <f t="shared" si="29"/>
        <v>Sirius</v>
      </c>
      <c r="D94" s="10" t="str">
        <f t="shared" si="30"/>
        <v>Intellect</v>
      </c>
      <c r="E94" s="10" t="str">
        <f t="shared" si="31"/>
        <v>STAT.#3033050001</v>
      </c>
      <c r="F94" s="10"/>
      <c r="G94" s="10"/>
      <c r="H94" s="44"/>
      <c r="I94" s="44"/>
      <c r="J94" s="10" t="str">
        <f t="shared" si="32"/>
        <v>SR</v>
      </c>
      <c r="K94" s="10" t="str">
        <f t="shared" si="33"/>
        <v>Academy.Title.Name.Sirius.hp.SR</v>
      </c>
      <c r="L94" s="36" t="s">
        <v>294</v>
      </c>
      <c r="M94" s="10" t="str">
        <f t="shared" si="34"/>
        <v>Academy.Title.Name.Sirius.hp.Desc</v>
      </c>
      <c r="N94" s="10" t="s">
        <v>239</v>
      </c>
      <c r="O94" s="10" t="s">
        <v>155</v>
      </c>
      <c r="P94" s="10" t="s">
        <v>163</v>
      </c>
      <c r="Q94" s="48" t="s">
        <v>273</v>
      </c>
      <c r="R94" s="10" t="s">
        <v>73</v>
      </c>
    </row>
    <row r="95" spans="1:18" s="47" customFormat="1">
      <c r="A95" s="10" t="str">
        <f t="shared" si="28"/>
        <v>#3033050002</v>
      </c>
      <c r="B95" s="10" t="s">
        <v>307</v>
      </c>
      <c r="C95" s="10" t="str">
        <f t="shared" si="29"/>
        <v>Sirius</v>
      </c>
      <c r="D95" s="10" t="str">
        <f t="shared" si="30"/>
        <v>Intellect</v>
      </c>
      <c r="E95" s="10" t="str">
        <f t="shared" si="31"/>
        <v>STAT.#3033050002</v>
      </c>
      <c r="F95" s="10"/>
      <c r="G95" s="10"/>
      <c r="H95" s="44"/>
      <c r="I95" s="44"/>
      <c r="J95" s="10" t="str">
        <f t="shared" si="32"/>
        <v>SSR</v>
      </c>
      <c r="K95" s="10" t="str">
        <f t="shared" si="33"/>
        <v>Academy.Title.Name.Sirius.hp.SSR</v>
      </c>
      <c r="L95" s="36" t="s">
        <v>294</v>
      </c>
      <c r="M95" s="10" t="str">
        <f t="shared" si="34"/>
        <v>Academy.Title.Name.Sirius.hp.Desc</v>
      </c>
      <c r="N95" s="10" t="s">
        <v>239</v>
      </c>
      <c r="O95" s="10" t="s">
        <v>155</v>
      </c>
      <c r="P95" s="10" t="s">
        <v>163</v>
      </c>
      <c r="Q95" s="48" t="s">
        <v>273</v>
      </c>
      <c r="R95" s="10" t="s">
        <v>75</v>
      </c>
    </row>
    <row r="96" spans="1:18" s="47" customFormat="1">
      <c r="A96" s="10" t="str">
        <f t="shared" si="28"/>
        <v>#3033050003</v>
      </c>
      <c r="B96" s="10" t="s">
        <v>307</v>
      </c>
      <c r="C96" s="10" t="str">
        <f t="shared" si="29"/>
        <v>Sirius</v>
      </c>
      <c r="D96" s="10" t="str">
        <f t="shared" si="30"/>
        <v>Intellect</v>
      </c>
      <c r="E96" s="10" t="str">
        <f t="shared" si="31"/>
        <v>STAT.#3033050003</v>
      </c>
      <c r="F96" s="10"/>
      <c r="G96" s="10"/>
      <c r="H96" s="44"/>
      <c r="I96" s="44"/>
      <c r="J96" s="10" t="str">
        <f t="shared" si="32"/>
        <v>UR</v>
      </c>
      <c r="K96" s="10" t="str">
        <f t="shared" si="33"/>
        <v>Academy.Title.Name.Sirius.hp.UR</v>
      </c>
      <c r="L96" s="36" t="s">
        <v>294</v>
      </c>
      <c r="M96" s="10" t="str">
        <f t="shared" si="34"/>
        <v>Academy.Title.Name.Sirius.hp.Desc</v>
      </c>
      <c r="N96" s="10" t="s">
        <v>239</v>
      </c>
      <c r="O96" s="10" t="s">
        <v>155</v>
      </c>
      <c r="P96" s="10" t="s">
        <v>163</v>
      </c>
      <c r="Q96" s="48" t="s">
        <v>273</v>
      </c>
      <c r="R96" s="10" t="s">
        <v>77</v>
      </c>
    </row>
    <row r="97" spans="1:18" s="47" customFormat="1">
      <c r="A97" s="10" t="str">
        <f t="shared" si="28"/>
        <v>#3033050004</v>
      </c>
      <c r="B97" s="10" t="s">
        <v>307</v>
      </c>
      <c r="C97" s="10" t="str">
        <f t="shared" si="29"/>
        <v>Sirius</v>
      </c>
      <c r="D97" s="10" t="str">
        <f t="shared" si="30"/>
        <v>Intellect</v>
      </c>
      <c r="E97" s="10" t="str">
        <f t="shared" si="31"/>
        <v>STAT.#3033050004</v>
      </c>
      <c r="F97" s="10"/>
      <c r="G97" s="10"/>
      <c r="H97" s="44"/>
      <c r="I97" s="44"/>
      <c r="J97" s="10" t="str">
        <f t="shared" si="32"/>
        <v>MR</v>
      </c>
      <c r="K97" s="10" t="str">
        <f t="shared" si="33"/>
        <v>Academy.Title.Name.Sirius.hp.MR</v>
      </c>
      <c r="L97" s="36" t="s">
        <v>294</v>
      </c>
      <c r="M97" s="10" t="str">
        <f t="shared" si="34"/>
        <v>Academy.Title.Name.Sirius.hp.Desc</v>
      </c>
      <c r="N97" s="10" t="s">
        <v>239</v>
      </c>
      <c r="O97" s="10" t="s">
        <v>155</v>
      </c>
      <c r="P97" s="10" t="s">
        <v>163</v>
      </c>
      <c r="Q97" s="48" t="s">
        <v>273</v>
      </c>
      <c r="R97" s="10" t="s">
        <v>241</v>
      </c>
    </row>
    <row r="98" spans="1:18" s="47" customFormat="1">
      <c r="A98" s="10" t="str">
        <f t="shared" si="28"/>
        <v>#3033050005</v>
      </c>
      <c r="B98" s="10" t="s">
        <v>307</v>
      </c>
      <c r="C98" s="10" t="str">
        <f t="shared" si="29"/>
        <v>Sirius</v>
      </c>
      <c r="D98" s="10" t="str">
        <f t="shared" si="30"/>
        <v>Intellect</v>
      </c>
      <c r="E98" s="10" t="str">
        <f t="shared" si="31"/>
        <v>STAT.#3033050005</v>
      </c>
      <c r="F98" s="10"/>
      <c r="G98" s="10"/>
      <c r="H98" s="44"/>
      <c r="I98" s="44"/>
      <c r="J98" s="10" t="str">
        <f t="shared" si="32"/>
        <v>LR</v>
      </c>
      <c r="K98" s="10" t="str">
        <f t="shared" si="33"/>
        <v>Academy.Title.Name.Sirius.hp.LR</v>
      </c>
      <c r="L98" s="36" t="s">
        <v>294</v>
      </c>
      <c r="M98" s="10" t="str">
        <f t="shared" si="34"/>
        <v>Academy.Title.Name.Sirius.hp.Desc</v>
      </c>
      <c r="N98" s="10" t="s">
        <v>239</v>
      </c>
      <c r="O98" s="10" t="s">
        <v>155</v>
      </c>
      <c r="P98" s="10" t="s">
        <v>163</v>
      </c>
      <c r="Q98" s="48" t="s">
        <v>273</v>
      </c>
      <c r="R98" s="10" t="s">
        <v>380</v>
      </c>
    </row>
    <row r="99" spans="1:18" s="47" customFormat="1">
      <c r="A99" s="10" t="str">
        <f t="shared" si="28"/>
        <v>#3033060001</v>
      </c>
      <c r="B99" s="10" t="s">
        <v>307</v>
      </c>
      <c r="C99" s="10" t="str">
        <f t="shared" si="29"/>
        <v>Sirius</v>
      </c>
      <c r="D99" s="10" t="str">
        <f t="shared" si="30"/>
        <v>Intellect</v>
      </c>
      <c r="E99" s="10" t="str">
        <f t="shared" si="31"/>
        <v>STAT.#3033060001</v>
      </c>
      <c r="F99" s="10"/>
      <c r="G99" s="10"/>
      <c r="H99" s="44"/>
      <c r="I99" s="44"/>
      <c r="J99" s="10" t="str">
        <f t="shared" si="32"/>
        <v>SR</v>
      </c>
      <c r="K99" s="10" t="str">
        <f t="shared" si="33"/>
        <v>Academy.Title.Name.Sirius.evasion.SR</v>
      </c>
      <c r="L99" s="36" t="s">
        <v>295</v>
      </c>
      <c r="M99" s="10" t="str">
        <f t="shared" si="34"/>
        <v>Academy.Title.Name.Sirius.evasion.Desc</v>
      </c>
      <c r="N99" s="10" t="s">
        <v>239</v>
      </c>
      <c r="O99" s="10" t="s">
        <v>155</v>
      </c>
      <c r="P99" s="10" t="s">
        <v>156</v>
      </c>
      <c r="Q99" s="48" t="s">
        <v>273</v>
      </c>
      <c r="R99" s="10" t="s">
        <v>73</v>
      </c>
    </row>
    <row r="100" spans="1:18" s="47" customFormat="1">
      <c r="A100" s="10" t="str">
        <f t="shared" si="28"/>
        <v>#3033060002</v>
      </c>
      <c r="B100" s="10" t="s">
        <v>307</v>
      </c>
      <c r="C100" s="10" t="str">
        <f t="shared" si="29"/>
        <v>Sirius</v>
      </c>
      <c r="D100" s="10" t="str">
        <f t="shared" si="30"/>
        <v>Intellect</v>
      </c>
      <c r="E100" s="10" t="str">
        <f t="shared" si="31"/>
        <v>STAT.#3033060002</v>
      </c>
      <c r="F100" s="10"/>
      <c r="G100" s="10"/>
      <c r="H100" s="44"/>
      <c r="I100" s="44"/>
      <c r="J100" s="10" t="str">
        <f t="shared" si="32"/>
        <v>SSR</v>
      </c>
      <c r="K100" s="10" t="str">
        <f t="shared" si="33"/>
        <v>Academy.Title.Name.Sirius.evasion.SSR</v>
      </c>
      <c r="L100" s="36" t="s">
        <v>295</v>
      </c>
      <c r="M100" s="10" t="str">
        <f t="shared" si="34"/>
        <v>Academy.Title.Name.Sirius.evasion.Desc</v>
      </c>
      <c r="N100" s="10" t="s">
        <v>239</v>
      </c>
      <c r="O100" s="10" t="s">
        <v>155</v>
      </c>
      <c r="P100" s="10" t="s">
        <v>156</v>
      </c>
      <c r="Q100" s="48" t="s">
        <v>273</v>
      </c>
      <c r="R100" s="10" t="s">
        <v>75</v>
      </c>
    </row>
    <row r="101" spans="1:18" s="47" customFormat="1">
      <c r="A101" s="10" t="str">
        <f t="shared" si="28"/>
        <v>#3033060003</v>
      </c>
      <c r="B101" s="10" t="s">
        <v>307</v>
      </c>
      <c r="C101" s="10" t="str">
        <f t="shared" si="29"/>
        <v>Sirius</v>
      </c>
      <c r="D101" s="10" t="str">
        <f t="shared" si="30"/>
        <v>Intellect</v>
      </c>
      <c r="E101" s="10" t="str">
        <f t="shared" si="31"/>
        <v>STAT.#3033060003</v>
      </c>
      <c r="F101" s="10"/>
      <c r="G101" s="10"/>
      <c r="H101" s="44"/>
      <c r="I101" s="44"/>
      <c r="J101" s="10" t="str">
        <f t="shared" si="32"/>
        <v>UR</v>
      </c>
      <c r="K101" s="10" t="str">
        <f t="shared" si="33"/>
        <v>Academy.Title.Name.Sirius.evasion.UR</v>
      </c>
      <c r="L101" s="36" t="s">
        <v>295</v>
      </c>
      <c r="M101" s="10" t="str">
        <f t="shared" si="34"/>
        <v>Academy.Title.Name.Sirius.evasion.Desc</v>
      </c>
      <c r="N101" s="10" t="s">
        <v>239</v>
      </c>
      <c r="O101" s="10" t="s">
        <v>155</v>
      </c>
      <c r="P101" s="10" t="s">
        <v>156</v>
      </c>
      <c r="Q101" s="48" t="s">
        <v>273</v>
      </c>
      <c r="R101" s="10" t="s">
        <v>77</v>
      </c>
    </row>
    <row r="102" spans="1:18" s="47" customFormat="1">
      <c r="A102" s="10" t="str">
        <f t="shared" si="28"/>
        <v>#3033060004</v>
      </c>
      <c r="B102" s="10" t="s">
        <v>307</v>
      </c>
      <c r="C102" s="10" t="str">
        <f t="shared" si="29"/>
        <v>Sirius</v>
      </c>
      <c r="D102" s="10" t="str">
        <f t="shared" si="30"/>
        <v>Intellect</v>
      </c>
      <c r="E102" s="10" t="str">
        <f t="shared" si="31"/>
        <v>STAT.#3033060004</v>
      </c>
      <c r="F102" s="10"/>
      <c r="G102" s="10"/>
      <c r="H102" s="44"/>
      <c r="I102" s="44"/>
      <c r="J102" s="10" t="str">
        <f t="shared" si="32"/>
        <v>MR</v>
      </c>
      <c r="K102" s="30" t="str">
        <f t="shared" si="33"/>
        <v>Academy.Title.Name.Sirius.evasion.MR</v>
      </c>
      <c r="L102" s="36" t="s">
        <v>295</v>
      </c>
      <c r="M102" s="10" t="str">
        <f t="shared" si="34"/>
        <v>Academy.Title.Name.Sirius.evasion.Desc</v>
      </c>
      <c r="N102" s="10" t="s">
        <v>239</v>
      </c>
      <c r="O102" s="10" t="s">
        <v>155</v>
      </c>
      <c r="P102" s="10" t="s">
        <v>156</v>
      </c>
      <c r="Q102" s="48" t="s">
        <v>273</v>
      </c>
      <c r="R102" s="10" t="s">
        <v>241</v>
      </c>
    </row>
    <row r="103" spans="1:18" s="47" customFormat="1">
      <c r="A103" s="10" t="str">
        <f t="shared" si="28"/>
        <v>#3033060005</v>
      </c>
      <c r="B103" s="10" t="s">
        <v>307</v>
      </c>
      <c r="C103" s="10" t="str">
        <f t="shared" si="29"/>
        <v>Sirius</v>
      </c>
      <c r="D103" s="10" t="str">
        <f t="shared" si="30"/>
        <v>Intellect</v>
      </c>
      <c r="E103" s="10" t="str">
        <f t="shared" si="31"/>
        <v>STAT.#3033060005</v>
      </c>
      <c r="F103" s="10"/>
      <c r="G103" s="10"/>
      <c r="H103" s="44"/>
      <c r="I103" s="44"/>
      <c r="J103" s="10" t="str">
        <f t="shared" si="32"/>
        <v>LR</v>
      </c>
      <c r="K103" s="30" t="str">
        <f t="shared" si="33"/>
        <v>Academy.Title.Name.Sirius.evasion.LR</v>
      </c>
      <c r="L103" s="36" t="s">
        <v>295</v>
      </c>
      <c r="M103" s="10" t="str">
        <f t="shared" si="34"/>
        <v>Academy.Title.Name.Sirius.evasion.Desc</v>
      </c>
      <c r="N103" s="10" t="s">
        <v>239</v>
      </c>
      <c r="O103" s="10" t="s">
        <v>155</v>
      </c>
      <c r="P103" s="10" t="s">
        <v>156</v>
      </c>
      <c r="Q103" s="48" t="s">
        <v>273</v>
      </c>
      <c r="R103" s="10" t="s">
        <v>380</v>
      </c>
    </row>
    <row r="104" spans="1:18" s="47" customFormat="1">
      <c r="A104" s="10" t="str">
        <f t="shared" si="28"/>
        <v>#3033070001</v>
      </c>
      <c r="B104" s="10" t="s">
        <v>307</v>
      </c>
      <c r="C104" s="10" t="str">
        <f t="shared" si="29"/>
        <v>Sirius</v>
      </c>
      <c r="D104" s="10" t="str">
        <f t="shared" si="30"/>
        <v>Fun</v>
      </c>
      <c r="E104" s="10" t="str">
        <f t="shared" si="31"/>
        <v>STAT.#3033070001</v>
      </c>
      <c r="F104" s="10"/>
      <c r="G104" s="10"/>
      <c r="H104" s="44"/>
      <c r="I104" s="44"/>
      <c r="J104" s="10" t="str">
        <f t="shared" si="32"/>
        <v>SR</v>
      </c>
      <c r="K104" s="30" t="str">
        <f t="shared" si="33"/>
        <v>Academy.Title.Name.Sirius.criticaldamage.SR</v>
      </c>
      <c r="L104" s="36" t="s">
        <v>296</v>
      </c>
      <c r="M104" s="10" t="str">
        <f t="shared" si="34"/>
        <v>Academy.Title.Name.Sirius.criticaldamage.Desc</v>
      </c>
      <c r="N104" s="10" t="s">
        <v>239</v>
      </c>
      <c r="O104" s="10" t="s">
        <v>159</v>
      </c>
      <c r="P104" s="10" t="s">
        <v>171</v>
      </c>
      <c r="Q104" s="48" t="s">
        <v>273</v>
      </c>
      <c r="R104" s="10" t="s">
        <v>73</v>
      </c>
    </row>
    <row r="105" spans="1:18" s="47" customFormat="1">
      <c r="A105" s="10" t="str">
        <f t="shared" si="28"/>
        <v>#3033070002</v>
      </c>
      <c r="B105" s="10" t="s">
        <v>307</v>
      </c>
      <c r="C105" s="10" t="str">
        <f t="shared" si="29"/>
        <v>Sirius</v>
      </c>
      <c r="D105" s="10" t="str">
        <f t="shared" si="30"/>
        <v>Fun</v>
      </c>
      <c r="E105" s="10" t="str">
        <f t="shared" si="31"/>
        <v>STAT.#3033070002</v>
      </c>
      <c r="F105" s="10"/>
      <c r="G105" s="10"/>
      <c r="H105" s="44"/>
      <c r="I105" s="44"/>
      <c r="J105" s="10" t="str">
        <f t="shared" si="32"/>
        <v>SSR</v>
      </c>
      <c r="K105" s="30" t="str">
        <f t="shared" si="33"/>
        <v>Academy.Title.Name.Sirius.criticaldamage.SSR</v>
      </c>
      <c r="L105" s="36" t="s">
        <v>296</v>
      </c>
      <c r="M105" s="10" t="str">
        <f t="shared" si="34"/>
        <v>Academy.Title.Name.Sirius.criticaldamage.Desc</v>
      </c>
      <c r="N105" s="10" t="s">
        <v>239</v>
      </c>
      <c r="O105" s="10" t="s">
        <v>159</v>
      </c>
      <c r="P105" s="10" t="s">
        <v>171</v>
      </c>
      <c r="Q105" s="48" t="s">
        <v>273</v>
      </c>
      <c r="R105" s="10" t="s">
        <v>75</v>
      </c>
    </row>
    <row r="106" spans="1:18" s="47" customFormat="1">
      <c r="A106" s="10" t="str">
        <f t="shared" ref="A106:A123" si="35">"#303"&amp;VLOOKUP(C106,ID참조,2,FALSE)&amp;VLOOKUP(P106,ID참조,2,FALSE)&amp;Q106&amp;VLOOKUP(J106,ID참조,2,FALSE)</f>
        <v>#3033070003</v>
      </c>
      <c r="B106" s="10" t="s">
        <v>307</v>
      </c>
      <c r="C106" s="10" t="str">
        <f t="shared" si="29"/>
        <v>Sirius</v>
      </c>
      <c r="D106" s="10" t="str">
        <f t="shared" si="30"/>
        <v>Fun</v>
      </c>
      <c r="E106" s="10" t="str">
        <f t="shared" si="31"/>
        <v>STAT.#3033070003</v>
      </c>
      <c r="F106" s="10"/>
      <c r="G106" s="10"/>
      <c r="H106" s="44"/>
      <c r="I106" s="44"/>
      <c r="J106" s="10" t="str">
        <f t="shared" si="32"/>
        <v>UR</v>
      </c>
      <c r="K106" s="10" t="str">
        <f t="shared" si="33"/>
        <v>Academy.Title.Name.Sirius.criticaldamage.UR</v>
      </c>
      <c r="L106" s="36" t="s">
        <v>296</v>
      </c>
      <c r="M106" s="10" t="str">
        <f t="shared" si="34"/>
        <v>Academy.Title.Name.Sirius.criticaldamage.Desc</v>
      </c>
      <c r="N106" s="10" t="s">
        <v>239</v>
      </c>
      <c r="O106" s="10" t="s">
        <v>159</v>
      </c>
      <c r="P106" s="10" t="s">
        <v>171</v>
      </c>
      <c r="Q106" s="48" t="s">
        <v>273</v>
      </c>
      <c r="R106" s="10" t="s">
        <v>77</v>
      </c>
    </row>
    <row r="107" spans="1:18" s="47" customFormat="1">
      <c r="A107" s="10" t="str">
        <f t="shared" si="35"/>
        <v>#3033070004</v>
      </c>
      <c r="B107" s="10" t="s">
        <v>307</v>
      </c>
      <c r="C107" s="10" t="str">
        <f t="shared" si="29"/>
        <v>Sirius</v>
      </c>
      <c r="D107" s="10" t="str">
        <f t="shared" si="30"/>
        <v>Fun</v>
      </c>
      <c r="E107" s="10" t="str">
        <f t="shared" si="31"/>
        <v>STAT.#3033070004</v>
      </c>
      <c r="F107" s="10"/>
      <c r="G107" s="10"/>
      <c r="H107" s="44"/>
      <c r="I107" s="44"/>
      <c r="J107" s="10" t="str">
        <f t="shared" si="32"/>
        <v>MR</v>
      </c>
      <c r="K107" s="10" t="str">
        <f t="shared" si="33"/>
        <v>Academy.Title.Name.Sirius.criticaldamage.MR</v>
      </c>
      <c r="L107" s="36" t="s">
        <v>296</v>
      </c>
      <c r="M107" s="10" t="str">
        <f t="shared" si="34"/>
        <v>Academy.Title.Name.Sirius.criticaldamage.Desc</v>
      </c>
      <c r="N107" s="10" t="s">
        <v>239</v>
      </c>
      <c r="O107" s="10" t="s">
        <v>159</v>
      </c>
      <c r="P107" s="10" t="s">
        <v>171</v>
      </c>
      <c r="Q107" s="48" t="s">
        <v>273</v>
      </c>
      <c r="R107" s="10" t="s">
        <v>241</v>
      </c>
    </row>
    <row r="108" spans="1:18" s="47" customFormat="1">
      <c r="A108" s="10" t="str">
        <f t="shared" si="35"/>
        <v>#3033070005</v>
      </c>
      <c r="B108" s="10" t="s">
        <v>307</v>
      </c>
      <c r="C108" s="10" t="str">
        <f t="shared" si="29"/>
        <v>Sirius</v>
      </c>
      <c r="D108" s="10" t="str">
        <f t="shared" si="30"/>
        <v>Fun</v>
      </c>
      <c r="E108" s="10" t="str">
        <f t="shared" si="31"/>
        <v>STAT.#3033070005</v>
      </c>
      <c r="F108" s="10"/>
      <c r="G108" s="10"/>
      <c r="H108" s="44"/>
      <c r="I108" s="44"/>
      <c r="J108" s="10" t="str">
        <f t="shared" si="32"/>
        <v>LR</v>
      </c>
      <c r="K108" s="10" t="str">
        <f t="shared" si="33"/>
        <v>Academy.Title.Name.Sirius.criticaldamage.LR</v>
      </c>
      <c r="L108" s="36" t="s">
        <v>296</v>
      </c>
      <c r="M108" s="10" t="str">
        <f t="shared" si="34"/>
        <v>Academy.Title.Name.Sirius.criticaldamage.Desc</v>
      </c>
      <c r="N108" s="10" t="s">
        <v>239</v>
      </c>
      <c r="O108" s="10" t="s">
        <v>159</v>
      </c>
      <c r="P108" s="10" t="s">
        <v>171</v>
      </c>
      <c r="Q108" s="48" t="s">
        <v>273</v>
      </c>
      <c r="R108" s="10" t="s">
        <v>380</v>
      </c>
    </row>
    <row r="109" spans="1:18" s="47" customFormat="1">
      <c r="A109" s="10" t="str">
        <f t="shared" si="35"/>
        <v>#3033080001</v>
      </c>
      <c r="B109" s="10" t="s">
        <v>307</v>
      </c>
      <c r="C109" s="10" t="str">
        <f t="shared" si="29"/>
        <v>Sirius</v>
      </c>
      <c r="D109" s="10" t="str">
        <f t="shared" si="30"/>
        <v>Fun</v>
      </c>
      <c r="E109" s="10" t="str">
        <f t="shared" si="31"/>
        <v>STAT.#3033080001</v>
      </c>
      <c r="F109" s="10"/>
      <c r="G109" s="10"/>
      <c r="H109" s="44"/>
      <c r="I109" s="44"/>
      <c r="J109" s="10" t="str">
        <f t="shared" si="32"/>
        <v>SR</v>
      </c>
      <c r="K109" s="10" t="str">
        <f t="shared" si="33"/>
        <v>Academy.Title.Name.Sirius.ultimatedamagerate.SR</v>
      </c>
      <c r="L109" s="37" t="s">
        <v>297</v>
      </c>
      <c r="M109" s="10" t="str">
        <f t="shared" si="34"/>
        <v>Academy.Title.Name.Sirius.ultimatedamagerate.Desc</v>
      </c>
      <c r="N109" s="10" t="s">
        <v>239</v>
      </c>
      <c r="O109" s="10" t="s">
        <v>159</v>
      </c>
      <c r="P109" s="10" t="s">
        <v>175</v>
      </c>
      <c r="Q109" s="48" t="s">
        <v>273</v>
      </c>
      <c r="R109" s="10" t="s">
        <v>73</v>
      </c>
    </row>
    <row r="110" spans="1:18" s="47" customFormat="1">
      <c r="A110" s="10" t="str">
        <f t="shared" si="35"/>
        <v>#3033080002</v>
      </c>
      <c r="B110" s="10" t="s">
        <v>307</v>
      </c>
      <c r="C110" s="10" t="str">
        <f t="shared" si="29"/>
        <v>Sirius</v>
      </c>
      <c r="D110" s="10" t="str">
        <f t="shared" si="30"/>
        <v>Fun</v>
      </c>
      <c r="E110" s="10" t="str">
        <f t="shared" si="31"/>
        <v>STAT.#3033080002</v>
      </c>
      <c r="F110" s="10"/>
      <c r="G110" s="10"/>
      <c r="H110" s="44"/>
      <c r="I110" s="44"/>
      <c r="J110" s="10" t="str">
        <f t="shared" si="32"/>
        <v>SSR</v>
      </c>
      <c r="K110" s="30" t="str">
        <f t="shared" si="33"/>
        <v>Academy.Title.Name.Sirius.ultimatedamagerate.SSR</v>
      </c>
      <c r="L110" s="37" t="s">
        <v>297</v>
      </c>
      <c r="M110" s="10" t="str">
        <f t="shared" si="34"/>
        <v>Academy.Title.Name.Sirius.ultimatedamagerate.Desc</v>
      </c>
      <c r="N110" s="10" t="s">
        <v>239</v>
      </c>
      <c r="O110" s="10" t="s">
        <v>159</v>
      </c>
      <c r="P110" s="10" t="s">
        <v>175</v>
      </c>
      <c r="Q110" s="48" t="s">
        <v>273</v>
      </c>
      <c r="R110" s="10" t="s">
        <v>75</v>
      </c>
    </row>
    <row r="111" spans="1:18" s="47" customFormat="1">
      <c r="A111" s="10" t="str">
        <f t="shared" si="35"/>
        <v>#3033080003</v>
      </c>
      <c r="B111" s="10" t="s">
        <v>307</v>
      </c>
      <c r="C111" s="10" t="str">
        <f t="shared" si="29"/>
        <v>Sirius</v>
      </c>
      <c r="D111" s="10" t="str">
        <f t="shared" si="30"/>
        <v>Fun</v>
      </c>
      <c r="E111" s="10" t="str">
        <f t="shared" si="31"/>
        <v>STAT.#3033080003</v>
      </c>
      <c r="F111" s="10"/>
      <c r="G111" s="10"/>
      <c r="H111" s="44"/>
      <c r="I111" s="44"/>
      <c r="J111" s="10" t="str">
        <f t="shared" si="32"/>
        <v>UR</v>
      </c>
      <c r="K111" s="30" t="str">
        <f t="shared" si="33"/>
        <v>Academy.Title.Name.Sirius.ultimatedamagerate.UR</v>
      </c>
      <c r="L111" s="37" t="s">
        <v>297</v>
      </c>
      <c r="M111" s="10" t="str">
        <f t="shared" si="34"/>
        <v>Academy.Title.Name.Sirius.ultimatedamagerate.Desc</v>
      </c>
      <c r="N111" s="10" t="s">
        <v>239</v>
      </c>
      <c r="O111" s="10" t="s">
        <v>159</v>
      </c>
      <c r="P111" s="10" t="s">
        <v>175</v>
      </c>
      <c r="Q111" s="48" t="s">
        <v>273</v>
      </c>
      <c r="R111" s="10" t="s">
        <v>77</v>
      </c>
    </row>
    <row r="112" spans="1:18" s="47" customFormat="1">
      <c r="A112" s="10" t="str">
        <f t="shared" si="35"/>
        <v>#3033080004</v>
      </c>
      <c r="B112" s="10" t="s">
        <v>307</v>
      </c>
      <c r="C112" s="10" t="str">
        <f t="shared" si="29"/>
        <v>Sirius</v>
      </c>
      <c r="D112" s="10" t="str">
        <f t="shared" si="30"/>
        <v>Fun</v>
      </c>
      <c r="E112" s="10" t="str">
        <f t="shared" si="31"/>
        <v>STAT.#3033080004</v>
      </c>
      <c r="F112" s="10"/>
      <c r="G112" s="10"/>
      <c r="H112" s="44"/>
      <c r="I112" s="44"/>
      <c r="J112" s="10" t="str">
        <f t="shared" si="32"/>
        <v>MR</v>
      </c>
      <c r="K112" s="30" t="str">
        <f t="shared" si="33"/>
        <v>Academy.Title.Name.Sirius.ultimatedamagerate.MR</v>
      </c>
      <c r="L112" s="37" t="s">
        <v>297</v>
      </c>
      <c r="M112" s="10" t="str">
        <f t="shared" si="34"/>
        <v>Academy.Title.Name.Sirius.ultimatedamagerate.Desc</v>
      </c>
      <c r="N112" s="10" t="s">
        <v>239</v>
      </c>
      <c r="O112" s="10" t="s">
        <v>159</v>
      </c>
      <c r="P112" s="10" t="s">
        <v>175</v>
      </c>
      <c r="Q112" s="48" t="s">
        <v>273</v>
      </c>
      <c r="R112" s="10" t="s">
        <v>241</v>
      </c>
    </row>
    <row r="113" spans="1:18" s="47" customFormat="1">
      <c r="A113" s="10" t="str">
        <f t="shared" si="35"/>
        <v>#3033080005</v>
      </c>
      <c r="B113" s="10" t="s">
        <v>307</v>
      </c>
      <c r="C113" s="10" t="str">
        <f t="shared" si="29"/>
        <v>Sirius</v>
      </c>
      <c r="D113" s="10" t="str">
        <f t="shared" si="30"/>
        <v>Fun</v>
      </c>
      <c r="E113" s="10" t="str">
        <f t="shared" si="31"/>
        <v>STAT.#3033080005</v>
      </c>
      <c r="F113" s="10"/>
      <c r="G113" s="10"/>
      <c r="H113" s="44"/>
      <c r="I113" s="44"/>
      <c r="J113" s="10" t="str">
        <f t="shared" si="32"/>
        <v>LR</v>
      </c>
      <c r="K113" s="30" t="str">
        <f t="shared" si="33"/>
        <v>Academy.Title.Name.Sirius.ultimatedamagerate.LR</v>
      </c>
      <c r="L113" s="37" t="s">
        <v>297</v>
      </c>
      <c r="M113" s="10" t="str">
        <f t="shared" si="34"/>
        <v>Academy.Title.Name.Sirius.ultimatedamagerate.Desc</v>
      </c>
      <c r="N113" s="10" t="s">
        <v>239</v>
      </c>
      <c r="O113" s="10" t="s">
        <v>159</v>
      </c>
      <c r="P113" s="10" t="s">
        <v>175</v>
      </c>
      <c r="Q113" s="48" t="s">
        <v>273</v>
      </c>
      <c r="R113" s="10" t="s">
        <v>380</v>
      </c>
    </row>
    <row r="114" spans="1:18" s="47" customFormat="1">
      <c r="A114" s="10" t="str">
        <f t="shared" si="35"/>
        <v>#3033090001</v>
      </c>
      <c r="B114" s="10" t="s">
        <v>79</v>
      </c>
      <c r="C114" s="10" t="str">
        <f t="shared" ref="C114:C123" si="36">VLOOKUP(N114,국문참조,2,FALSE)</f>
        <v>Sirius</v>
      </c>
      <c r="D114" s="10" t="str">
        <f t="shared" ref="D114:D123" si="37">VLOOKUP(O114,국문참조,2,FALSE)</f>
        <v>Harmony</v>
      </c>
      <c r="E114" s="10" t="str">
        <f t="shared" ref="E114:E123" si="38">"STAT."&amp;A114</f>
        <v>STAT.#3033090001</v>
      </c>
      <c r="F114" s="10"/>
      <c r="G114" s="10"/>
      <c r="H114" s="44"/>
      <c r="I114" s="44"/>
      <c r="J114" s="10" t="str">
        <f t="shared" ref="J114:J123" si="39">R114</f>
        <v>SR</v>
      </c>
      <c r="K114" s="30" t="str">
        <f t="shared" ref="K114:K123" si="40">"Academy.Title.Name."&amp;VLOOKUP(N114,국문참조,2,FALSE)&amp;"."&amp;VLOOKUP(P114,이름참조,2,FALSE)&amp;"."&amp;J114</f>
        <v>Academy.Title.Name.Sirius.effect_res.SR</v>
      </c>
      <c r="L114" s="36" t="s">
        <v>298</v>
      </c>
      <c r="M114" s="10" t="str">
        <f t="shared" ref="M114:M123" si="41">"Academy.Title.Name."&amp;VLOOKUP(N114,국문참조,2,FALSE)&amp;"."&amp;VLOOKUP(P114,이름참조,2,FALSE)&amp;".Desc"</f>
        <v>Academy.Title.Name.Sirius.effect_res.Desc</v>
      </c>
      <c r="N114" s="10" t="s">
        <v>239</v>
      </c>
      <c r="O114" s="10" t="s">
        <v>240</v>
      </c>
      <c r="P114" s="10" t="s">
        <v>177</v>
      </c>
      <c r="Q114" s="48" t="s">
        <v>273</v>
      </c>
      <c r="R114" s="10" t="s">
        <v>73</v>
      </c>
    </row>
    <row r="115" spans="1:18" s="47" customFormat="1">
      <c r="A115" s="10" t="str">
        <f t="shared" si="35"/>
        <v>#3033090002</v>
      </c>
      <c r="B115" s="10" t="s">
        <v>79</v>
      </c>
      <c r="C115" s="10" t="str">
        <f t="shared" si="36"/>
        <v>Sirius</v>
      </c>
      <c r="D115" s="10" t="str">
        <f t="shared" si="37"/>
        <v>Harmony</v>
      </c>
      <c r="E115" s="10" t="str">
        <f t="shared" si="38"/>
        <v>STAT.#3033090002</v>
      </c>
      <c r="F115" s="10"/>
      <c r="G115" s="10"/>
      <c r="H115" s="44"/>
      <c r="I115" s="44"/>
      <c r="J115" s="10" t="str">
        <f t="shared" si="39"/>
        <v>SSR</v>
      </c>
      <c r="K115" s="30" t="str">
        <f t="shared" si="40"/>
        <v>Academy.Title.Name.Sirius.effect_res.SSR</v>
      </c>
      <c r="L115" s="36" t="s">
        <v>298</v>
      </c>
      <c r="M115" s="10" t="str">
        <f t="shared" si="41"/>
        <v>Academy.Title.Name.Sirius.effect_res.Desc</v>
      </c>
      <c r="N115" s="10" t="s">
        <v>239</v>
      </c>
      <c r="O115" s="10" t="s">
        <v>240</v>
      </c>
      <c r="P115" s="10" t="s">
        <v>177</v>
      </c>
      <c r="Q115" s="48" t="s">
        <v>273</v>
      </c>
      <c r="R115" s="10" t="s">
        <v>75</v>
      </c>
    </row>
    <row r="116" spans="1:18" s="47" customFormat="1">
      <c r="A116" s="10" t="str">
        <f t="shared" si="35"/>
        <v>#3033090003</v>
      </c>
      <c r="B116" s="10" t="s">
        <v>79</v>
      </c>
      <c r="C116" s="10" t="str">
        <f t="shared" si="36"/>
        <v>Sirius</v>
      </c>
      <c r="D116" s="10" t="str">
        <f t="shared" si="37"/>
        <v>Harmony</v>
      </c>
      <c r="E116" s="10" t="str">
        <f t="shared" si="38"/>
        <v>STAT.#3033090003</v>
      </c>
      <c r="F116" s="10"/>
      <c r="G116" s="10"/>
      <c r="H116" s="44"/>
      <c r="I116" s="44"/>
      <c r="J116" s="10" t="str">
        <f t="shared" si="39"/>
        <v>UR</v>
      </c>
      <c r="K116" s="30" t="str">
        <f t="shared" si="40"/>
        <v>Academy.Title.Name.Sirius.effect_res.UR</v>
      </c>
      <c r="L116" s="36" t="s">
        <v>298</v>
      </c>
      <c r="M116" s="10" t="str">
        <f t="shared" si="41"/>
        <v>Academy.Title.Name.Sirius.effect_res.Desc</v>
      </c>
      <c r="N116" s="10" t="s">
        <v>239</v>
      </c>
      <c r="O116" s="10" t="s">
        <v>240</v>
      </c>
      <c r="P116" s="10" t="s">
        <v>177</v>
      </c>
      <c r="Q116" s="48" t="s">
        <v>273</v>
      </c>
      <c r="R116" s="10" t="s">
        <v>77</v>
      </c>
    </row>
    <row r="117" spans="1:18" s="47" customFormat="1">
      <c r="A117" s="10" t="str">
        <f t="shared" si="35"/>
        <v>#3033090004</v>
      </c>
      <c r="B117" s="10" t="s">
        <v>79</v>
      </c>
      <c r="C117" s="10" t="str">
        <f t="shared" si="36"/>
        <v>Sirius</v>
      </c>
      <c r="D117" s="10" t="str">
        <f t="shared" si="37"/>
        <v>Harmony</v>
      </c>
      <c r="E117" s="10" t="str">
        <f t="shared" si="38"/>
        <v>STAT.#3033090004</v>
      </c>
      <c r="F117" s="10"/>
      <c r="G117" s="10"/>
      <c r="H117" s="44"/>
      <c r="I117" s="44"/>
      <c r="J117" s="10" t="str">
        <f t="shared" si="39"/>
        <v>MR</v>
      </c>
      <c r="K117" s="30" t="str">
        <f t="shared" si="40"/>
        <v>Academy.Title.Name.Sirius.effect_res.MR</v>
      </c>
      <c r="L117" s="36" t="s">
        <v>298</v>
      </c>
      <c r="M117" s="10" t="str">
        <f t="shared" si="41"/>
        <v>Academy.Title.Name.Sirius.effect_res.Desc</v>
      </c>
      <c r="N117" s="10" t="s">
        <v>239</v>
      </c>
      <c r="O117" s="10" t="s">
        <v>240</v>
      </c>
      <c r="P117" s="10" t="s">
        <v>177</v>
      </c>
      <c r="Q117" s="48" t="s">
        <v>273</v>
      </c>
      <c r="R117" s="10" t="s">
        <v>241</v>
      </c>
    </row>
    <row r="118" spans="1:18" s="47" customFormat="1">
      <c r="A118" s="10" t="str">
        <f t="shared" si="35"/>
        <v>#3033090005</v>
      </c>
      <c r="B118" s="10" t="s">
        <v>79</v>
      </c>
      <c r="C118" s="10" t="str">
        <f t="shared" si="36"/>
        <v>Sirius</v>
      </c>
      <c r="D118" s="10" t="str">
        <f t="shared" si="37"/>
        <v>Harmony</v>
      </c>
      <c r="E118" s="10" t="str">
        <f t="shared" si="38"/>
        <v>STAT.#3033090005</v>
      </c>
      <c r="F118" s="10"/>
      <c r="G118" s="10"/>
      <c r="H118" s="44"/>
      <c r="I118" s="44"/>
      <c r="J118" s="10" t="str">
        <f t="shared" si="39"/>
        <v>LR</v>
      </c>
      <c r="K118" s="30" t="str">
        <f t="shared" si="40"/>
        <v>Academy.Title.Name.Sirius.effect_res.LR</v>
      </c>
      <c r="L118" s="36" t="s">
        <v>298</v>
      </c>
      <c r="M118" s="10" t="str">
        <f t="shared" si="41"/>
        <v>Academy.Title.Name.Sirius.effect_res.Desc</v>
      </c>
      <c r="N118" s="10" t="s">
        <v>239</v>
      </c>
      <c r="O118" s="10" t="s">
        <v>240</v>
      </c>
      <c r="P118" s="10" t="s">
        <v>177</v>
      </c>
      <c r="Q118" s="48" t="s">
        <v>273</v>
      </c>
      <c r="R118" s="10" t="s">
        <v>380</v>
      </c>
    </row>
    <row r="119" spans="1:18" s="47" customFormat="1">
      <c r="A119" s="10" t="str">
        <f t="shared" si="35"/>
        <v>#3033100001</v>
      </c>
      <c r="B119" s="10" t="s">
        <v>79</v>
      </c>
      <c r="C119" s="10" t="str">
        <f t="shared" si="36"/>
        <v>Sirius</v>
      </c>
      <c r="D119" s="10" t="str">
        <f t="shared" si="37"/>
        <v>Harmony</v>
      </c>
      <c r="E119" s="10" t="str">
        <f t="shared" si="38"/>
        <v>STAT.#3033100001</v>
      </c>
      <c r="F119" s="10"/>
      <c r="G119" s="10"/>
      <c r="H119" s="44"/>
      <c r="I119" s="44"/>
      <c r="J119" s="10" t="str">
        <f t="shared" si="39"/>
        <v>SR</v>
      </c>
      <c r="K119" s="30" t="str">
        <f t="shared" si="40"/>
        <v>Academy.Title.Name.Sirius.eprechargerate.SR</v>
      </c>
      <c r="L119" s="37" t="s">
        <v>299</v>
      </c>
      <c r="M119" s="10" t="str">
        <f t="shared" si="41"/>
        <v>Academy.Title.Name.Sirius.eprechargerate.Desc</v>
      </c>
      <c r="N119" s="10" t="s">
        <v>239</v>
      </c>
      <c r="O119" s="10" t="s">
        <v>240</v>
      </c>
      <c r="P119" s="10" t="s">
        <v>172</v>
      </c>
      <c r="Q119" s="48" t="s">
        <v>273</v>
      </c>
      <c r="R119" s="10" t="s">
        <v>73</v>
      </c>
    </row>
    <row r="120" spans="1:18" s="47" customFormat="1">
      <c r="A120" s="10" t="str">
        <f t="shared" si="35"/>
        <v>#3033100002</v>
      </c>
      <c r="B120" s="10" t="s">
        <v>79</v>
      </c>
      <c r="C120" s="10" t="str">
        <f t="shared" si="36"/>
        <v>Sirius</v>
      </c>
      <c r="D120" s="10" t="str">
        <f t="shared" si="37"/>
        <v>Harmony</v>
      </c>
      <c r="E120" s="10" t="str">
        <f t="shared" si="38"/>
        <v>STAT.#3033100002</v>
      </c>
      <c r="F120" s="10"/>
      <c r="G120" s="10"/>
      <c r="H120" s="44"/>
      <c r="I120" s="44"/>
      <c r="J120" s="10" t="str">
        <f t="shared" si="39"/>
        <v>SSR</v>
      </c>
      <c r="K120" s="30" t="str">
        <f t="shared" si="40"/>
        <v>Academy.Title.Name.Sirius.eprechargerate.SSR</v>
      </c>
      <c r="L120" s="37" t="s">
        <v>299</v>
      </c>
      <c r="M120" s="10" t="str">
        <f t="shared" si="41"/>
        <v>Academy.Title.Name.Sirius.eprechargerate.Desc</v>
      </c>
      <c r="N120" s="10" t="s">
        <v>239</v>
      </c>
      <c r="O120" s="10" t="s">
        <v>240</v>
      </c>
      <c r="P120" s="10" t="s">
        <v>172</v>
      </c>
      <c r="Q120" s="48" t="s">
        <v>273</v>
      </c>
      <c r="R120" s="10" t="s">
        <v>75</v>
      </c>
    </row>
    <row r="121" spans="1:18" s="47" customFormat="1">
      <c r="A121" s="10" t="str">
        <f t="shared" si="35"/>
        <v>#3033100003</v>
      </c>
      <c r="B121" s="10" t="s">
        <v>79</v>
      </c>
      <c r="C121" s="10" t="str">
        <f t="shared" si="36"/>
        <v>Sirius</v>
      </c>
      <c r="D121" s="10" t="str">
        <f t="shared" si="37"/>
        <v>Harmony</v>
      </c>
      <c r="E121" s="10" t="str">
        <f t="shared" si="38"/>
        <v>STAT.#3033100003</v>
      </c>
      <c r="F121" s="10"/>
      <c r="G121" s="10"/>
      <c r="H121" s="44"/>
      <c r="I121" s="44"/>
      <c r="J121" s="10" t="str">
        <f t="shared" si="39"/>
        <v>UR</v>
      </c>
      <c r="K121" s="30" t="str">
        <f t="shared" si="40"/>
        <v>Academy.Title.Name.Sirius.eprechargerate.UR</v>
      </c>
      <c r="L121" s="37" t="s">
        <v>299</v>
      </c>
      <c r="M121" s="10" t="str">
        <f t="shared" si="41"/>
        <v>Academy.Title.Name.Sirius.eprechargerate.Desc</v>
      </c>
      <c r="N121" s="10" t="s">
        <v>239</v>
      </c>
      <c r="O121" s="10" t="s">
        <v>240</v>
      </c>
      <c r="P121" s="10" t="s">
        <v>172</v>
      </c>
      <c r="Q121" s="48" t="s">
        <v>273</v>
      </c>
      <c r="R121" s="10" t="s">
        <v>77</v>
      </c>
    </row>
    <row r="122" spans="1:18" s="47" customFormat="1">
      <c r="A122" s="10" t="str">
        <f t="shared" si="35"/>
        <v>#3033100004</v>
      </c>
      <c r="B122" s="10" t="s">
        <v>79</v>
      </c>
      <c r="C122" s="10" t="str">
        <f t="shared" si="36"/>
        <v>Sirius</v>
      </c>
      <c r="D122" s="10" t="str">
        <f t="shared" si="37"/>
        <v>Harmony</v>
      </c>
      <c r="E122" s="10" t="str">
        <f t="shared" si="38"/>
        <v>STAT.#3033100004</v>
      </c>
      <c r="F122" s="10"/>
      <c r="G122" s="10"/>
      <c r="H122" s="44"/>
      <c r="I122" s="44"/>
      <c r="J122" s="10" t="str">
        <f t="shared" si="39"/>
        <v>MR</v>
      </c>
      <c r="K122" s="30" t="str">
        <f t="shared" si="40"/>
        <v>Academy.Title.Name.Sirius.eprechargerate.MR</v>
      </c>
      <c r="L122" s="37" t="s">
        <v>299</v>
      </c>
      <c r="M122" s="10" t="str">
        <f t="shared" si="41"/>
        <v>Academy.Title.Name.Sirius.eprechargerate.Desc</v>
      </c>
      <c r="N122" s="10" t="s">
        <v>239</v>
      </c>
      <c r="O122" s="10" t="s">
        <v>240</v>
      </c>
      <c r="P122" s="10" t="s">
        <v>172</v>
      </c>
      <c r="Q122" s="48" t="s">
        <v>273</v>
      </c>
      <c r="R122" s="10" t="s">
        <v>241</v>
      </c>
    </row>
    <row r="123" spans="1:18" s="47" customFormat="1">
      <c r="A123" s="10" t="str">
        <f t="shared" si="35"/>
        <v>#3033100005</v>
      </c>
      <c r="B123" s="10" t="s">
        <v>79</v>
      </c>
      <c r="C123" s="10" t="str">
        <f t="shared" si="36"/>
        <v>Sirius</v>
      </c>
      <c r="D123" s="10" t="str">
        <f t="shared" si="37"/>
        <v>Harmony</v>
      </c>
      <c r="E123" s="10" t="str">
        <f t="shared" si="38"/>
        <v>STAT.#3033100005</v>
      </c>
      <c r="F123" s="10"/>
      <c r="G123" s="10"/>
      <c r="H123" s="44"/>
      <c r="I123" s="44"/>
      <c r="J123" s="10" t="str">
        <f t="shared" si="39"/>
        <v>LR</v>
      </c>
      <c r="K123" s="30" t="str">
        <f t="shared" si="40"/>
        <v>Academy.Title.Name.Sirius.eprechargerate.LR</v>
      </c>
      <c r="L123" s="37" t="s">
        <v>299</v>
      </c>
      <c r="M123" s="10" t="str">
        <f t="shared" si="41"/>
        <v>Academy.Title.Name.Sirius.eprechargerate.Desc</v>
      </c>
      <c r="N123" s="10" t="s">
        <v>239</v>
      </c>
      <c r="O123" s="10" t="s">
        <v>240</v>
      </c>
      <c r="P123" s="10" t="s">
        <v>172</v>
      </c>
      <c r="Q123" s="48" t="s">
        <v>273</v>
      </c>
      <c r="R123" s="10" t="s">
        <v>380</v>
      </c>
    </row>
    <row r="124" spans="1:18" s="47" customFormat="1">
      <c r="A124" s="6" t="str">
        <f t="shared" ref="A124:A134" si="42">"#"&amp;"303"&amp;VLOOKUP(C124,ID참조,2,FALSE)&amp;VLOOKUP(P124,ID참조,2,FALSE)&amp;Q124&amp;VLOOKUP(J124,ID참조,2,FALSE)</f>
        <v>#3031011175</v>
      </c>
      <c r="B124" s="6" t="s">
        <v>308</v>
      </c>
      <c r="C124" s="6" t="str">
        <f t="shared" ref="C124:C148" si="43">VLOOKUP(N124,국문참조,2,FALSE)</f>
        <v>Spica</v>
      </c>
      <c r="D124" s="6" t="str">
        <f t="shared" ref="D124:D148" si="44">VLOOKUP(O124,국문참조,2,FALSE)</f>
        <v>Force</v>
      </c>
      <c r="E124" s="6"/>
      <c r="F124" s="6" t="str">
        <f>Q124&amp;".Academy.01"</f>
        <v>117.Academy.01</v>
      </c>
      <c r="G124" s="6"/>
      <c r="H124" s="42"/>
      <c r="I124" s="42"/>
      <c r="J124" s="6" t="str">
        <f t="shared" ref="J124:J148" si="45">R124</f>
        <v>LR</v>
      </c>
      <c r="K124" s="31" t="str">
        <f t="shared" ref="K124:K148" si="46">"Academy.Title.Name."&amp;VLOOKUP(N124,국문참조,2,FALSE)&amp;"."&amp;Q124</f>
        <v>Academy.Title.Name.Spica.117</v>
      </c>
      <c r="L124" s="38" t="str">
        <f t="shared" ref="L124:L131" si="47">"icon_academy_title_"&amp;VLOOKUP(C124,ICON참조,2,FALSE)&amp;Q124</f>
        <v>icon_academy_title_class01_117</v>
      </c>
      <c r="M124" s="6" t="str">
        <f>K124&amp;".Desc"</f>
        <v>Academy.Title.Name.Spica.117.Desc</v>
      </c>
      <c r="N124" s="6" t="s">
        <v>216</v>
      </c>
      <c r="O124" s="6" t="s">
        <v>215</v>
      </c>
      <c r="P124" s="6" t="s">
        <v>256</v>
      </c>
      <c r="Q124" s="6">
        <v>117</v>
      </c>
      <c r="R124" s="6" t="s">
        <v>381</v>
      </c>
    </row>
    <row r="125" spans="1:18" s="47" customFormat="1">
      <c r="A125" s="6" t="str">
        <f t="shared" si="42"/>
        <v>#3031031125</v>
      </c>
      <c r="B125" s="6" t="s">
        <v>308</v>
      </c>
      <c r="C125" s="6" t="str">
        <f t="shared" si="43"/>
        <v>Spica</v>
      </c>
      <c r="D125" s="6" t="str">
        <f t="shared" si="44"/>
        <v>Sense</v>
      </c>
      <c r="E125" s="6"/>
      <c r="F125" s="6" t="str">
        <f t="shared" ref="F125:F149" si="48">Q125&amp;".Academy.01"</f>
        <v>112.Academy.01</v>
      </c>
      <c r="G125" s="6" t="s">
        <v>250</v>
      </c>
      <c r="H125" s="42">
        <v>1010720002</v>
      </c>
      <c r="I125" s="42" t="s">
        <v>243</v>
      </c>
      <c r="J125" s="6" t="str">
        <f t="shared" si="45"/>
        <v>LR</v>
      </c>
      <c r="K125" s="31" t="str">
        <f t="shared" si="46"/>
        <v>Academy.Title.Name.Spica.112</v>
      </c>
      <c r="L125" s="38" t="str">
        <f t="shared" si="47"/>
        <v>icon_academy_title_class01_112</v>
      </c>
      <c r="M125" s="6" t="str">
        <f t="shared" ref="M125:M148" si="49">K125&amp;".Desc"</f>
        <v>Academy.Title.Name.Spica.112.Desc</v>
      </c>
      <c r="N125" s="6" t="s">
        <v>214</v>
      </c>
      <c r="O125" s="6" t="s">
        <v>222</v>
      </c>
      <c r="P125" s="6" t="s">
        <v>257</v>
      </c>
      <c r="Q125" s="6">
        <v>112</v>
      </c>
      <c r="R125" s="6" t="s">
        <v>380</v>
      </c>
    </row>
    <row r="126" spans="1:18" s="47" customFormat="1">
      <c r="A126" s="6" t="str">
        <f t="shared" si="42"/>
        <v>#3031051385</v>
      </c>
      <c r="B126" s="6" t="s">
        <v>308</v>
      </c>
      <c r="C126" s="6" t="str">
        <f t="shared" si="43"/>
        <v>Spica</v>
      </c>
      <c r="D126" s="6" t="str">
        <f t="shared" si="44"/>
        <v>Intellect</v>
      </c>
      <c r="E126" s="6"/>
      <c r="F126" s="6" t="str">
        <f t="shared" si="48"/>
        <v>138.Academy.01</v>
      </c>
      <c r="G126" s="6"/>
      <c r="H126" s="42"/>
      <c r="I126" s="42"/>
      <c r="J126" s="6" t="str">
        <f t="shared" si="45"/>
        <v>LR</v>
      </c>
      <c r="K126" s="31" t="str">
        <f t="shared" si="46"/>
        <v>Academy.Title.Name.Spica.138</v>
      </c>
      <c r="L126" s="38" t="str">
        <f t="shared" si="47"/>
        <v>icon_academy_title_class01_138</v>
      </c>
      <c r="M126" s="6" t="str">
        <f t="shared" si="49"/>
        <v>Academy.Title.Name.Spica.138.Desc</v>
      </c>
      <c r="N126" s="6" t="s">
        <v>214</v>
      </c>
      <c r="O126" s="6" t="s">
        <v>218</v>
      </c>
      <c r="P126" s="6" t="s">
        <v>258</v>
      </c>
      <c r="Q126" s="6">
        <v>138</v>
      </c>
      <c r="R126" s="6" t="s">
        <v>380</v>
      </c>
    </row>
    <row r="127" spans="1:18" s="47" customFormat="1">
      <c r="A127" s="13" t="str">
        <f t="shared" si="42"/>
        <v>#3032011215</v>
      </c>
      <c r="B127" s="13" t="s">
        <v>308</v>
      </c>
      <c r="C127" s="13" t="str">
        <f t="shared" si="43"/>
        <v>Altair</v>
      </c>
      <c r="D127" s="13" t="str">
        <f t="shared" si="44"/>
        <v>Force</v>
      </c>
      <c r="E127" s="13"/>
      <c r="F127" s="13" t="str">
        <f t="shared" si="48"/>
        <v>121.Academy.01</v>
      </c>
      <c r="G127" s="13"/>
      <c r="H127" s="43"/>
      <c r="I127" s="43"/>
      <c r="J127" s="13" t="str">
        <f t="shared" si="45"/>
        <v>LR</v>
      </c>
      <c r="K127" s="32" t="str">
        <f t="shared" si="46"/>
        <v>Academy.Title.Name.Altair.121</v>
      </c>
      <c r="L127" s="39" t="str">
        <f t="shared" si="47"/>
        <v>icon_academy_title_class02_121</v>
      </c>
      <c r="M127" s="13" t="str">
        <f t="shared" si="49"/>
        <v>Academy.Title.Name.Altair.121.Desc</v>
      </c>
      <c r="N127" s="13" t="s">
        <v>221</v>
      </c>
      <c r="O127" s="13" t="s">
        <v>215</v>
      </c>
      <c r="P127" s="13" t="s">
        <v>259</v>
      </c>
      <c r="Q127" s="13">
        <v>121</v>
      </c>
      <c r="R127" s="13" t="s">
        <v>380</v>
      </c>
    </row>
    <row r="128" spans="1:18" s="47" customFormat="1">
      <c r="A128" s="13" t="str">
        <f t="shared" si="42"/>
        <v>#3032011015</v>
      </c>
      <c r="B128" s="13" t="s">
        <v>308</v>
      </c>
      <c r="C128" s="13" t="str">
        <f t="shared" si="43"/>
        <v>Altair</v>
      </c>
      <c r="D128" s="13" t="str">
        <f t="shared" si="44"/>
        <v>Force</v>
      </c>
      <c r="E128" s="13"/>
      <c r="F128" s="13" t="str">
        <f t="shared" si="48"/>
        <v>101.Academy.01</v>
      </c>
      <c r="G128" s="13"/>
      <c r="H128" s="43"/>
      <c r="I128" s="43"/>
      <c r="J128" s="13" t="str">
        <f t="shared" si="45"/>
        <v>LR</v>
      </c>
      <c r="K128" s="32" t="str">
        <f t="shared" si="46"/>
        <v>Academy.Title.Name.Altair.101</v>
      </c>
      <c r="L128" s="39" t="str">
        <f t="shared" si="47"/>
        <v>icon_academy_title_class02_101</v>
      </c>
      <c r="M128" s="13" t="str">
        <f t="shared" si="49"/>
        <v>Academy.Title.Name.Altair.101.Desc</v>
      </c>
      <c r="N128" s="13" t="s">
        <v>138</v>
      </c>
      <c r="O128" s="13" t="s">
        <v>215</v>
      </c>
      <c r="P128" s="13" t="s">
        <v>259</v>
      </c>
      <c r="Q128" s="13">
        <v>101</v>
      </c>
      <c r="R128" s="13" t="s">
        <v>380</v>
      </c>
    </row>
    <row r="129" spans="1:18" s="47" customFormat="1">
      <c r="A129" s="13" t="str">
        <f t="shared" si="42"/>
        <v>#3032031075</v>
      </c>
      <c r="B129" s="13" t="s">
        <v>308</v>
      </c>
      <c r="C129" s="13" t="str">
        <f t="shared" si="43"/>
        <v>Altair</v>
      </c>
      <c r="D129" s="13" t="str">
        <f t="shared" si="44"/>
        <v>Sense</v>
      </c>
      <c r="E129" s="13"/>
      <c r="F129" s="13" t="str">
        <f t="shared" si="48"/>
        <v>107.Academy.01</v>
      </c>
      <c r="G129" s="13"/>
      <c r="H129" s="43"/>
      <c r="I129" s="43"/>
      <c r="J129" s="13" t="str">
        <f t="shared" si="45"/>
        <v>LR</v>
      </c>
      <c r="K129" s="32" t="str">
        <f t="shared" si="46"/>
        <v>Academy.Title.Name.Altair.107</v>
      </c>
      <c r="L129" s="39" t="str">
        <f t="shared" si="47"/>
        <v>icon_academy_title_class02_107</v>
      </c>
      <c r="M129" s="13" t="str">
        <f t="shared" si="49"/>
        <v>Academy.Title.Name.Altair.107.Desc</v>
      </c>
      <c r="N129" s="13" t="s">
        <v>138</v>
      </c>
      <c r="O129" s="13" t="s">
        <v>217</v>
      </c>
      <c r="P129" s="13" t="s">
        <v>260</v>
      </c>
      <c r="Q129" s="13">
        <v>107</v>
      </c>
      <c r="R129" s="13" t="s">
        <v>380</v>
      </c>
    </row>
    <row r="130" spans="1:18" s="47" customFormat="1">
      <c r="A130" s="13" t="str">
        <f t="shared" si="42"/>
        <v>#3032031195</v>
      </c>
      <c r="B130" s="13" t="s">
        <v>308</v>
      </c>
      <c r="C130" s="13" t="str">
        <f t="shared" si="43"/>
        <v>Altair</v>
      </c>
      <c r="D130" s="13" t="str">
        <f t="shared" si="44"/>
        <v>Sense</v>
      </c>
      <c r="E130" s="13"/>
      <c r="F130" s="13" t="str">
        <f t="shared" si="48"/>
        <v>119.Academy.01</v>
      </c>
      <c r="G130" s="13"/>
      <c r="H130" s="43"/>
      <c r="I130" s="43"/>
      <c r="J130" s="13" t="str">
        <f t="shared" si="45"/>
        <v>LR</v>
      </c>
      <c r="K130" s="32" t="str">
        <f t="shared" si="46"/>
        <v>Academy.Title.Name.Altair.119</v>
      </c>
      <c r="L130" s="39" t="s">
        <v>300</v>
      </c>
      <c r="M130" s="13" t="str">
        <f t="shared" si="49"/>
        <v>Academy.Title.Name.Altair.119.Desc</v>
      </c>
      <c r="N130" s="13" t="s">
        <v>138</v>
      </c>
      <c r="O130" s="13" t="s">
        <v>151</v>
      </c>
      <c r="P130" s="13" t="s">
        <v>260</v>
      </c>
      <c r="Q130" s="13">
        <v>119</v>
      </c>
      <c r="R130" s="13" t="s">
        <v>380</v>
      </c>
    </row>
    <row r="131" spans="1:18" s="47" customFormat="1">
      <c r="A131" s="13" t="str">
        <f t="shared" si="42"/>
        <v>#3032051295</v>
      </c>
      <c r="B131" s="13" t="s">
        <v>308</v>
      </c>
      <c r="C131" s="13" t="str">
        <f t="shared" si="43"/>
        <v>Altair</v>
      </c>
      <c r="D131" s="13" t="str">
        <f t="shared" si="44"/>
        <v>Intellect</v>
      </c>
      <c r="E131" s="13"/>
      <c r="F131" s="13" t="str">
        <f t="shared" si="48"/>
        <v>129.Academy.01</v>
      </c>
      <c r="G131" s="13"/>
      <c r="H131" s="43"/>
      <c r="I131" s="43"/>
      <c r="J131" s="13" t="str">
        <f t="shared" si="45"/>
        <v>LR</v>
      </c>
      <c r="K131" s="32" t="str">
        <f t="shared" si="46"/>
        <v>Academy.Title.Name.Altair.129</v>
      </c>
      <c r="L131" s="39" t="str">
        <f t="shared" si="47"/>
        <v>icon_academy_title_class02_129</v>
      </c>
      <c r="M131" s="13" t="str">
        <f t="shared" si="49"/>
        <v>Academy.Title.Name.Altair.129.Desc</v>
      </c>
      <c r="N131" s="13" t="s">
        <v>138</v>
      </c>
      <c r="O131" s="13" t="s">
        <v>218</v>
      </c>
      <c r="P131" s="13" t="s">
        <v>261</v>
      </c>
      <c r="Q131" s="13">
        <v>129</v>
      </c>
      <c r="R131" s="13" t="s">
        <v>380</v>
      </c>
    </row>
    <row r="132" spans="1:18" s="47" customFormat="1">
      <c r="A132" s="13" t="str">
        <f t="shared" si="42"/>
        <v>#3032051345</v>
      </c>
      <c r="B132" s="13" t="s">
        <v>308</v>
      </c>
      <c r="C132" s="13" t="str">
        <f t="shared" si="43"/>
        <v>Altair</v>
      </c>
      <c r="D132" s="13" t="str">
        <f t="shared" si="44"/>
        <v>Intellect</v>
      </c>
      <c r="E132" s="13"/>
      <c r="F132" s="13" t="str">
        <f t="shared" si="48"/>
        <v>134.Academy.01</v>
      </c>
      <c r="G132" s="13" t="s">
        <v>251</v>
      </c>
      <c r="H132" s="43">
        <v>1010520003</v>
      </c>
      <c r="I132" s="43" t="s">
        <v>245</v>
      </c>
      <c r="J132" s="13" t="str">
        <f t="shared" si="45"/>
        <v>LR</v>
      </c>
      <c r="K132" s="32" t="str">
        <f t="shared" si="46"/>
        <v>Academy.Title.Name.Altair.134</v>
      </c>
      <c r="L132" s="39" t="s">
        <v>301</v>
      </c>
      <c r="M132" s="13" t="str">
        <f t="shared" si="49"/>
        <v>Academy.Title.Name.Altair.134.Desc</v>
      </c>
      <c r="N132" s="13" t="s">
        <v>138</v>
      </c>
      <c r="O132" s="13" t="s">
        <v>218</v>
      </c>
      <c r="P132" s="13" t="s">
        <v>261</v>
      </c>
      <c r="Q132" s="13">
        <v>134</v>
      </c>
      <c r="R132" s="13" t="s">
        <v>380</v>
      </c>
    </row>
    <row r="133" spans="1:18" s="47" customFormat="1">
      <c r="A133" s="13" t="str">
        <f t="shared" si="42"/>
        <v>#3032071095</v>
      </c>
      <c r="B133" s="13" t="s">
        <v>308</v>
      </c>
      <c r="C133" s="13" t="str">
        <f t="shared" si="43"/>
        <v>Altair</v>
      </c>
      <c r="D133" s="13" t="str">
        <f t="shared" si="44"/>
        <v>Fun</v>
      </c>
      <c r="E133" s="13"/>
      <c r="F133" s="13" t="str">
        <f t="shared" si="48"/>
        <v>109.Academy.01</v>
      </c>
      <c r="G133" s="13"/>
      <c r="H133" s="43"/>
      <c r="I133" s="43"/>
      <c r="J133" s="13" t="str">
        <f t="shared" si="45"/>
        <v>LR</v>
      </c>
      <c r="K133" s="32" t="str">
        <f t="shared" si="46"/>
        <v>Academy.Title.Name.Altair.109</v>
      </c>
      <c r="L133" s="39" t="str">
        <f t="shared" ref="L133" si="50">"icon_academy_title_"&amp;VLOOKUP(C133,ICON참조,2,FALSE)&amp;Q133</f>
        <v>icon_academy_title_class02_109</v>
      </c>
      <c r="M133" s="13" t="str">
        <f t="shared" si="49"/>
        <v>Academy.Title.Name.Altair.109.Desc</v>
      </c>
      <c r="N133" s="13" t="s">
        <v>138</v>
      </c>
      <c r="O133" s="13" t="s">
        <v>220</v>
      </c>
      <c r="P133" s="13" t="s">
        <v>262</v>
      </c>
      <c r="Q133" s="13">
        <v>109</v>
      </c>
      <c r="R133" s="13" t="s">
        <v>380</v>
      </c>
    </row>
    <row r="134" spans="1:18" s="47" customFormat="1">
      <c r="A134" s="13" t="str">
        <f t="shared" si="42"/>
        <v>#3032071185</v>
      </c>
      <c r="B134" s="13" t="s">
        <v>308</v>
      </c>
      <c r="C134" s="13" t="str">
        <f t="shared" si="43"/>
        <v>Altair</v>
      </c>
      <c r="D134" s="13" t="str">
        <f t="shared" si="44"/>
        <v>Fun</v>
      </c>
      <c r="E134" s="13"/>
      <c r="F134" s="13" t="str">
        <f t="shared" si="48"/>
        <v>118.Academy.01</v>
      </c>
      <c r="G134" s="13" t="s">
        <v>252</v>
      </c>
      <c r="H134" s="43">
        <v>1010520001</v>
      </c>
      <c r="I134" s="43" t="s">
        <v>244</v>
      </c>
      <c r="J134" s="13" t="str">
        <f t="shared" si="45"/>
        <v>LR</v>
      </c>
      <c r="K134" s="32" t="str">
        <f t="shared" si="46"/>
        <v>Academy.Title.Name.Altair.118</v>
      </c>
      <c r="L134" s="39" t="str">
        <f t="shared" ref="L134:L148" si="51">"icon_academy_title_"&amp;VLOOKUP(C134,ICON참조,2,FALSE)&amp;Q134</f>
        <v>icon_academy_title_class02_118</v>
      </c>
      <c r="M134" s="13" t="str">
        <f t="shared" si="49"/>
        <v>Academy.Title.Name.Altair.118.Desc</v>
      </c>
      <c r="N134" s="13" t="s">
        <v>138</v>
      </c>
      <c r="O134" s="13" t="s">
        <v>220</v>
      </c>
      <c r="P134" s="13" t="s">
        <v>262</v>
      </c>
      <c r="Q134" s="13">
        <v>118</v>
      </c>
      <c r="R134" s="13" t="s">
        <v>380</v>
      </c>
    </row>
    <row r="135" spans="1:18" s="47" customFormat="1">
      <c r="A135" s="10" t="str">
        <f t="shared" ref="A135:A149" si="52">"#303"&amp;VLOOKUP(C135,ID참조,2,FALSE)&amp;VLOOKUP(P135,ID참조,2,FALSE)&amp;Q135&amp;VLOOKUP(J135,ID참조,2,FALSE)</f>
        <v>#3033011045</v>
      </c>
      <c r="B135" s="10" t="s">
        <v>308</v>
      </c>
      <c r="C135" s="10" t="str">
        <f t="shared" si="43"/>
        <v>Sirius</v>
      </c>
      <c r="D135" s="10" t="str">
        <f t="shared" si="44"/>
        <v>Force</v>
      </c>
      <c r="E135" s="10"/>
      <c r="F135" s="10" t="str">
        <f t="shared" si="48"/>
        <v>104.Academy.01</v>
      </c>
      <c r="G135" s="10"/>
      <c r="H135" s="44"/>
      <c r="I135" s="44"/>
      <c r="J135" s="10" t="str">
        <f t="shared" si="45"/>
        <v>LR</v>
      </c>
      <c r="K135" s="30" t="str">
        <f t="shared" si="46"/>
        <v>Academy.Title.Name.Sirius.104</v>
      </c>
      <c r="L135" s="37" t="str">
        <f t="shared" si="51"/>
        <v>icon_academy_title_class03_104</v>
      </c>
      <c r="M135" s="10" t="str">
        <f t="shared" si="49"/>
        <v>Academy.Title.Name.Sirius.104.Desc</v>
      </c>
      <c r="N135" s="10" t="s">
        <v>143</v>
      </c>
      <c r="O135" s="10" t="s">
        <v>219</v>
      </c>
      <c r="P135" s="10" t="s">
        <v>134</v>
      </c>
      <c r="Q135" s="10">
        <v>104</v>
      </c>
      <c r="R135" s="10" t="s">
        <v>380</v>
      </c>
    </row>
    <row r="136" spans="1:18" s="47" customFormat="1">
      <c r="A136" s="10" t="str">
        <f t="shared" si="52"/>
        <v>#3033011035</v>
      </c>
      <c r="B136" s="10" t="s">
        <v>308</v>
      </c>
      <c r="C136" s="10" t="str">
        <f t="shared" si="43"/>
        <v>Sirius</v>
      </c>
      <c r="D136" s="10" t="str">
        <f t="shared" si="44"/>
        <v>Force</v>
      </c>
      <c r="E136" s="10"/>
      <c r="F136" s="10" t="str">
        <f t="shared" si="48"/>
        <v>103.Academy.01</v>
      </c>
      <c r="G136" s="10"/>
      <c r="H136" s="44"/>
      <c r="I136" s="44"/>
      <c r="J136" s="10" t="str">
        <f t="shared" si="45"/>
        <v>LR</v>
      </c>
      <c r="K136" s="30" t="str">
        <f t="shared" si="46"/>
        <v>Academy.Title.Name.Sirius.103</v>
      </c>
      <c r="L136" s="37" t="str">
        <f t="shared" si="51"/>
        <v>icon_academy_title_class03_103</v>
      </c>
      <c r="M136" s="10" t="str">
        <f t="shared" si="49"/>
        <v>Academy.Title.Name.Sirius.103.Desc</v>
      </c>
      <c r="N136" s="10" t="s">
        <v>143</v>
      </c>
      <c r="O136" s="10" t="s">
        <v>219</v>
      </c>
      <c r="P136" s="10" t="s">
        <v>134</v>
      </c>
      <c r="Q136" s="10">
        <v>103</v>
      </c>
      <c r="R136" s="10" t="s">
        <v>380</v>
      </c>
    </row>
    <row r="137" spans="1:18" s="47" customFormat="1">
      <c r="A137" s="10" t="str">
        <f t="shared" si="52"/>
        <v>#3033011105</v>
      </c>
      <c r="B137" s="10" t="s">
        <v>308</v>
      </c>
      <c r="C137" s="10" t="str">
        <f t="shared" si="43"/>
        <v>Sirius</v>
      </c>
      <c r="D137" s="10" t="str">
        <f t="shared" si="44"/>
        <v>Force</v>
      </c>
      <c r="E137" s="10"/>
      <c r="F137" s="10" t="str">
        <f t="shared" si="48"/>
        <v>110.Academy.01</v>
      </c>
      <c r="G137" s="10"/>
      <c r="H137" s="44"/>
      <c r="I137" s="44"/>
      <c r="J137" s="10" t="str">
        <f t="shared" si="45"/>
        <v>LR</v>
      </c>
      <c r="K137" s="30" t="str">
        <f t="shared" si="46"/>
        <v>Academy.Title.Name.Sirius.110</v>
      </c>
      <c r="L137" s="37" t="str">
        <f t="shared" si="51"/>
        <v>icon_academy_title_class03_110</v>
      </c>
      <c r="M137" s="10" t="str">
        <f t="shared" si="49"/>
        <v>Academy.Title.Name.Sirius.110.Desc</v>
      </c>
      <c r="N137" s="10" t="s">
        <v>143</v>
      </c>
      <c r="O137" s="10" t="s">
        <v>219</v>
      </c>
      <c r="P137" s="10" t="s">
        <v>134</v>
      </c>
      <c r="Q137" s="10">
        <v>110</v>
      </c>
      <c r="R137" s="10" t="s">
        <v>380</v>
      </c>
    </row>
    <row r="138" spans="1:18" s="47" customFormat="1">
      <c r="A138" s="10" t="str">
        <f t="shared" si="52"/>
        <v>#3033031085</v>
      </c>
      <c r="B138" s="10" t="s">
        <v>308</v>
      </c>
      <c r="C138" s="10" t="str">
        <f t="shared" si="43"/>
        <v>Sirius</v>
      </c>
      <c r="D138" s="10" t="str">
        <f t="shared" si="44"/>
        <v>Sense</v>
      </c>
      <c r="E138" s="10"/>
      <c r="F138" s="10" t="str">
        <f t="shared" si="48"/>
        <v>108.Academy.01</v>
      </c>
      <c r="G138" s="10" t="s">
        <v>253</v>
      </c>
      <c r="H138" s="44">
        <v>1010730002</v>
      </c>
      <c r="I138" s="44" t="s">
        <v>246</v>
      </c>
      <c r="J138" s="10" t="str">
        <f t="shared" si="45"/>
        <v>LR</v>
      </c>
      <c r="K138" s="30" t="str">
        <f t="shared" si="46"/>
        <v>Academy.Title.Name.Sirius.108</v>
      </c>
      <c r="L138" s="37" t="str">
        <f t="shared" si="51"/>
        <v>icon_academy_title_class03_108</v>
      </c>
      <c r="M138" s="10" t="str">
        <f t="shared" si="49"/>
        <v>Academy.Title.Name.Sirius.108.Desc</v>
      </c>
      <c r="N138" s="10" t="s">
        <v>143</v>
      </c>
      <c r="O138" s="10" t="s">
        <v>151</v>
      </c>
      <c r="P138" s="10" t="s">
        <v>144</v>
      </c>
      <c r="Q138" s="10">
        <v>108</v>
      </c>
      <c r="R138" s="10" t="s">
        <v>380</v>
      </c>
    </row>
    <row r="139" spans="1:18" s="47" customFormat="1">
      <c r="A139" s="10" t="str">
        <f t="shared" si="52"/>
        <v>#3033031355</v>
      </c>
      <c r="B139" s="10" t="s">
        <v>308</v>
      </c>
      <c r="C139" s="10" t="str">
        <f t="shared" si="43"/>
        <v>Sirius</v>
      </c>
      <c r="D139" s="10" t="str">
        <f t="shared" si="44"/>
        <v>Sense</v>
      </c>
      <c r="E139" s="10"/>
      <c r="F139" s="10" t="str">
        <f t="shared" si="48"/>
        <v>135.Academy.01</v>
      </c>
      <c r="G139" s="10"/>
      <c r="H139" s="44"/>
      <c r="I139" s="44"/>
      <c r="J139" s="10" t="str">
        <f t="shared" si="45"/>
        <v>LR</v>
      </c>
      <c r="K139" s="30" t="str">
        <f t="shared" si="46"/>
        <v>Academy.Title.Name.Sirius.135</v>
      </c>
      <c r="L139" s="37" t="str">
        <f t="shared" si="51"/>
        <v>icon_academy_title_class03_135</v>
      </c>
      <c r="M139" s="10" t="str">
        <f t="shared" si="49"/>
        <v>Academy.Title.Name.Sirius.135.Desc</v>
      </c>
      <c r="N139" s="10" t="s">
        <v>143</v>
      </c>
      <c r="O139" s="10" t="s">
        <v>151</v>
      </c>
      <c r="P139" s="10" t="s">
        <v>144</v>
      </c>
      <c r="Q139" s="10">
        <v>135</v>
      </c>
      <c r="R139" s="10" t="s">
        <v>380</v>
      </c>
    </row>
    <row r="140" spans="1:18" s="47" customFormat="1">
      <c r="A140" s="10" t="str">
        <f t="shared" si="52"/>
        <v>#3033031135</v>
      </c>
      <c r="B140" s="10" t="s">
        <v>308</v>
      </c>
      <c r="C140" s="10" t="str">
        <f t="shared" si="43"/>
        <v>Sirius</v>
      </c>
      <c r="D140" s="10" t="str">
        <f t="shared" si="44"/>
        <v>Sense</v>
      </c>
      <c r="E140" s="10"/>
      <c r="F140" s="10" t="str">
        <f t="shared" si="48"/>
        <v>113.Academy.01</v>
      </c>
      <c r="G140" s="10" t="s">
        <v>254</v>
      </c>
      <c r="H140" s="44">
        <v>1010710003</v>
      </c>
      <c r="I140" s="44" t="s">
        <v>242</v>
      </c>
      <c r="J140" s="10" t="str">
        <f t="shared" si="45"/>
        <v>LR</v>
      </c>
      <c r="K140" s="30" t="str">
        <f t="shared" si="46"/>
        <v>Academy.Title.Name.Sirius.113</v>
      </c>
      <c r="L140" s="37" t="str">
        <f t="shared" si="51"/>
        <v>icon_academy_title_class03_113</v>
      </c>
      <c r="M140" s="10" t="str">
        <f t="shared" si="49"/>
        <v>Academy.Title.Name.Sirius.113.Desc</v>
      </c>
      <c r="N140" s="10" t="s">
        <v>143</v>
      </c>
      <c r="O140" s="10" t="s">
        <v>151</v>
      </c>
      <c r="P140" s="10" t="s">
        <v>144</v>
      </c>
      <c r="Q140" s="10">
        <v>113</v>
      </c>
      <c r="R140" s="10" t="s">
        <v>380</v>
      </c>
    </row>
    <row r="141" spans="1:18" s="47" customFormat="1">
      <c r="A141" s="10" t="str">
        <f t="shared" si="52"/>
        <v>#3033051405</v>
      </c>
      <c r="B141" s="10" t="s">
        <v>308</v>
      </c>
      <c r="C141" s="10" t="str">
        <f t="shared" si="43"/>
        <v>Sirius</v>
      </c>
      <c r="D141" s="10" t="str">
        <f t="shared" si="44"/>
        <v>Intellect</v>
      </c>
      <c r="E141" s="10"/>
      <c r="F141" s="10" t="str">
        <f t="shared" si="48"/>
        <v>140.Academy.01</v>
      </c>
      <c r="G141" s="10" t="s">
        <v>255</v>
      </c>
      <c r="H141" s="44">
        <v>1010530004</v>
      </c>
      <c r="I141" s="44" t="s">
        <v>248</v>
      </c>
      <c r="J141" s="10" t="str">
        <f t="shared" si="45"/>
        <v>LR</v>
      </c>
      <c r="K141" s="30" t="str">
        <f t="shared" si="46"/>
        <v>Academy.Title.Name.Sirius.140</v>
      </c>
      <c r="L141" s="37" t="str">
        <f t="shared" si="51"/>
        <v>icon_academy_title_class03_140</v>
      </c>
      <c r="M141" s="10" t="str">
        <f t="shared" si="49"/>
        <v>Academy.Title.Name.Sirius.140.Desc</v>
      </c>
      <c r="N141" s="10" t="s">
        <v>143</v>
      </c>
      <c r="O141" s="10" t="s">
        <v>218</v>
      </c>
      <c r="P141" s="10" t="s">
        <v>163</v>
      </c>
      <c r="Q141" s="10">
        <v>140</v>
      </c>
      <c r="R141" s="10" t="s">
        <v>380</v>
      </c>
    </row>
    <row r="142" spans="1:18" s="47" customFormat="1">
      <c r="A142" s="10" t="str">
        <f t="shared" si="52"/>
        <v>#3033051265</v>
      </c>
      <c r="B142" s="10" t="s">
        <v>308</v>
      </c>
      <c r="C142" s="10" t="str">
        <f t="shared" si="43"/>
        <v>Sirius</v>
      </c>
      <c r="D142" s="10" t="str">
        <f t="shared" si="44"/>
        <v>Intellect</v>
      </c>
      <c r="E142" s="10"/>
      <c r="F142" s="10" t="str">
        <f t="shared" si="48"/>
        <v>126.Academy.01</v>
      </c>
      <c r="G142" s="10"/>
      <c r="H142" s="44"/>
      <c r="I142" s="44"/>
      <c r="J142" s="10" t="str">
        <f t="shared" si="45"/>
        <v>LR</v>
      </c>
      <c r="K142" s="30" t="str">
        <f t="shared" si="46"/>
        <v>Academy.Title.Name.Sirius.126</v>
      </c>
      <c r="L142" s="37" t="str">
        <f t="shared" si="51"/>
        <v>icon_academy_title_class03_126</v>
      </c>
      <c r="M142" s="10" t="str">
        <f t="shared" si="49"/>
        <v>Academy.Title.Name.Sirius.126.Desc</v>
      </c>
      <c r="N142" s="10" t="s">
        <v>143</v>
      </c>
      <c r="O142" s="10" t="s">
        <v>218</v>
      </c>
      <c r="P142" s="10" t="s">
        <v>163</v>
      </c>
      <c r="Q142" s="10">
        <v>126</v>
      </c>
      <c r="R142" s="10" t="s">
        <v>380</v>
      </c>
    </row>
    <row r="143" spans="1:18" s="47" customFormat="1">
      <c r="A143" s="10" t="str">
        <f t="shared" si="52"/>
        <v>#3033051425</v>
      </c>
      <c r="B143" s="10" t="s">
        <v>308</v>
      </c>
      <c r="C143" s="10" t="str">
        <f t="shared" si="43"/>
        <v>Sirius</v>
      </c>
      <c r="D143" s="10" t="str">
        <f t="shared" si="44"/>
        <v>Intellect</v>
      </c>
      <c r="E143" s="10"/>
      <c r="F143" s="10" t="str">
        <f t="shared" si="48"/>
        <v>142.Academy.01</v>
      </c>
      <c r="G143" s="10"/>
      <c r="H143" s="44"/>
      <c r="I143" s="44"/>
      <c r="J143" s="10" t="str">
        <f t="shared" si="45"/>
        <v>LR</v>
      </c>
      <c r="K143" s="30" t="str">
        <f t="shared" si="46"/>
        <v>Academy.Title.Name.Sirius.142</v>
      </c>
      <c r="L143" s="37" t="str">
        <f t="shared" si="51"/>
        <v>icon_academy_title_class03_142</v>
      </c>
      <c r="M143" s="10" t="str">
        <f t="shared" si="49"/>
        <v>Academy.Title.Name.Sirius.142.Desc</v>
      </c>
      <c r="N143" s="10" t="s">
        <v>143</v>
      </c>
      <c r="O143" s="10" t="s">
        <v>218</v>
      </c>
      <c r="P143" s="10" t="s">
        <v>163</v>
      </c>
      <c r="Q143" s="10">
        <v>142</v>
      </c>
      <c r="R143" s="10" t="s">
        <v>380</v>
      </c>
    </row>
    <row r="144" spans="1:18" s="47" customFormat="1">
      <c r="A144" s="10" t="str">
        <f t="shared" si="52"/>
        <v>#3033071285</v>
      </c>
      <c r="B144" s="10" t="s">
        <v>308</v>
      </c>
      <c r="C144" s="10" t="str">
        <f t="shared" si="43"/>
        <v>Sirius</v>
      </c>
      <c r="D144" s="10" t="str">
        <f t="shared" si="44"/>
        <v>Fun</v>
      </c>
      <c r="E144" s="10"/>
      <c r="F144" s="10" t="str">
        <f t="shared" si="48"/>
        <v>128.Academy.01</v>
      </c>
      <c r="G144" s="10" t="s">
        <v>252</v>
      </c>
      <c r="H144" s="44">
        <v>1010520001</v>
      </c>
      <c r="I144" s="44" t="s">
        <v>247</v>
      </c>
      <c r="J144" s="10" t="str">
        <f t="shared" si="45"/>
        <v>LR</v>
      </c>
      <c r="K144" s="30" t="str">
        <f t="shared" si="46"/>
        <v>Academy.Title.Name.Sirius.128</v>
      </c>
      <c r="L144" s="37" t="str">
        <f t="shared" si="51"/>
        <v>icon_academy_title_class03_128</v>
      </c>
      <c r="M144" s="10" t="str">
        <f t="shared" si="49"/>
        <v>Academy.Title.Name.Sirius.128.Desc</v>
      </c>
      <c r="N144" s="10" t="s">
        <v>143</v>
      </c>
      <c r="O144" s="10" t="s">
        <v>220</v>
      </c>
      <c r="P144" s="10" t="s">
        <v>171</v>
      </c>
      <c r="Q144" s="10">
        <v>128</v>
      </c>
      <c r="R144" s="10" t="s">
        <v>380</v>
      </c>
    </row>
    <row r="145" spans="1:18" s="47" customFormat="1">
      <c r="A145" s="10" t="str">
        <f t="shared" si="52"/>
        <v>#3033071165</v>
      </c>
      <c r="B145" s="10" t="s">
        <v>308</v>
      </c>
      <c r="C145" s="10" t="str">
        <f t="shared" si="43"/>
        <v>Sirius</v>
      </c>
      <c r="D145" s="10" t="str">
        <f t="shared" si="44"/>
        <v>Fun</v>
      </c>
      <c r="E145" s="10"/>
      <c r="F145" s="10" t="str">
        <f t="shared" si="48"/>
        <v>116.Academy.01</v>
      </c>
      <c r="G145" s="10"/>
      <c r="H145" s="44"/>
      <c r="I145" s="44"/>
      <c r="J145" s="10" t="str">
        <f t="shared" si="45"/>
        <v>LR</v>
      </c>
      <c r="K145" s="30" t="str">
        <f t="shared" si="46"/>
        <v>Academy.Title.Name.Sirius.116</v>
      </c>
      <c r="L145" s="37" t="str">
        <f t="shared" si="51"/>
        <v>icon_academy_title_class03_116</v>
      </c>
      <c r="M145" s="10" t="str">
        <f t="shared" si="49"/>
        <v>Academy.Title.Name.Sirius.116.Desc</v>
      </c>
      <c r="N145" s="10" t="s">
        <v>143</v>
      </c>
      <c r="O145" s="10" t="s">
        <v>220</v>
      </c>
      <c r="P145" s="10" t="s">
        <v>171</v>
      </c>
      <c r="Q145" s="10">
        <v>116</v>
      </c>
      <c r="R145" s="10" t="s">
        <v>380</v>
      </c>
    </row>
    <row r="146" spans="1:18" s="47" customFormat="1">
      <c r="A146" s="10" t="str">
        <f t="shared" si="52"/>
        <v>#3033071225</v>
      </c>
      <c r="B146" s="10" t="s">
        <v>308</v>
      </c>
      <c r="C146" s="10" t="str">
        <f t="shared" si="43"/>
        <v>Sirius</v>
      </c>
      <c r="D146" s="10" t="str">
        <f t="shared" si="44"/>
        <v>Fun</v>
      </c>
      <c r="E146" s="10"/>
      <c r="F146" s="10" t="str">
        <f t="shared" si="48"/>
        <v>122.Academy.01</v>
      </c>
      <c r="G146" s="10"/>
      <c r="H146" s="44"/>
      <c r="I146" s="44"/>
      <c r="J146" s="10" t="str">
        <f t="shared" si="45"/>
        <v>LR</v>
      </c>
      <c r="K146" s="30" t="str">
        <f t="shared" si="46"/>
        <v>Academy.Title.Name.Sirius.122</v>
      </c>
      <c r="L146" s="37" t="str">
        <f t="shared" si="51"/>
        <v>icon_academy_title_class03_122</v>
      </c>
      <c r="M146" s="10" t="str">
        <f t="shared" si="49"/>
        <v>Academy.Title.Name.Sirius.122.Desc</v>
      </c>
      <c r="N146" s="10" t="s">
        <v>143</v>
      </c>
      <c r="O146" s="10" t="s">
        <v>220</v>
      </c>
      <c r="P146" s="10" t="s">
        <v>171</v>
      </c>
      <c r="Q146" s="10">
        <v>122</v>
      </c>
      <c r="R146" s="10" t="s">
        <v>380</v>
      </c>
    </row>
    <row r="147" spans="1:18" s="47" customFormat="1">
      <c r="A147" s="10" t="str">
        <f t="shared" si="52"/>
        <v>#3033091205</v>
      </c>
      <c r="B147" s="10" t="s">
        <v>308</v>
      </c>
      <c r="C147" s="10" t="str">
        <f t="shared" si="43"/>
        <v>Sirius</v>
      </c>
      <c r="D147" s="10" t="str">
        <f t="shared" si="44"/>
        <v>Harmony</v>
      </c>
      <c r="E147" s="10"/>
      <c r="F147" s="10" t="str">
        <f t="shared" si="48"/>
        <v>120.Academy.01</v>
      </c>
      <c r="G147" s="10"/>
      <c r="H147" s="44"/>
      <c r="I147" s="44"/>
      <c r="J147" s="10" t="str">
        <f t="shared" si="45"/>
        <v>LR</v>
      </c>
      <c r="K147" s="30" t="str">
        <f t="shared" si="46"/>
        <v>Academy.Title.Name.Sirius.120</v>
      </c>
      <c r="L147" s="37" t="str">
        <f t="shared" si="51"/>
        <v>icon_academy_title_class03_120</v>
      </c>
      <c r="M147" s="10" t="str">
        <f t="shared" si="49"/>
        <v>Academy.Title.Name.Sirius.120.Desc</v>
      </c>
      <c r="N147" s="10" t="s">
        <v>143</v>
      </c>
      <c r="O147" s="10" t="s">
        <v>164</v>
      </c>
      <c r="P147" s="10" t="s">
        <v>177</v>
      </c>
      <c r="Q147" s="10">
        <v>120</v>
      </c>
      <c r="R147" s="10" t="s">
        <v>380</v>
      </c>
    </row>
    <row r="148" spans="1:18" s="47" customFormat="1">
      <c r="A148" s="10" t="str">
        <f t="shared" si="52"/>
        <v>#3033091305</v>
      </c>
      <c r="B148" s="10" t="s">
        <v>308</v>
      </c>
      <c r="C148" s="10" t="str">
        <f t="shared" si="43"/>
        <v>Sirius</v>
      </c>
      <c r="D148" s="10" t="str">
        <f t="shared" si="44"/>
        <v>Harmony</v>
      </c>
      <c r="E148" s="10"/>
      <c r="F148" s="10" t="str">
        <f t="shared" si="48"/>
        <v>130.Academy.01</v>
      </c>
      <c r="G148" s="10"/>
      <c r="H148" s="44"/>
      <c r="I148" s="44"/>
      <c r="J148" s="10" t="str">
        <f t="shared" si="45"/>
        <v>LR</v>
      </c>
      <c r="K148" s="30" t="str">
        <f t="shared" si="46"/>
        <v>Academy.Title.Name.Sirius.130</v>
      </c>
      <c r="L148" s="37" t="str">
        <f t="shared" si="51"/>
        <v>icon_academy_title_class03_130</v>
      </c>
      <c r="M148" s="10" t="str">
        <f t="shared" si="49"/>
        <v>Academy.Title.Name.Sirius.130.Desc</v>
      </c>
      <c r="N148" s="10" t="s">
        <v>143</v>
      </c>
      <c r="O148" s="10" t="s">
        <v>164</v>
      </c>
      <c r="P148" s="10" t="s">
        <v>177</v>
      </c>
      <c r="Q148" s="10">
        <v>130</v>
      </c>
      <c r="R148" s="10" t="s">
        <v>380</v>
      </c>
    </row>
    <row r="149" spans="1:18" s="47" customFormat="1">
      <c r="A149" s="10" t="str">
        <f t="shared" si="52"/>
        <v>#3033091335</v>
      </c>
      <c r="B149" s="10" t="s">
        <v>308</v>
      </c>
      <c r="C149" s="10" t="str">
        <f t="shared" ref="C149" si="53">VLOOKUP(N149,국문참조,2,FALSE)</f>
        <v>Sirius</v>
      </c>
      <c r="D149" s="10" t="str">
        <f t="shared" ref="D149" si="54">VLOOKUP(O149,국문참조,2,FALSE)</f>
        <v>Harmony</v>
      </c>
      <c r="E149" s="10"/>
      <c r="F149" s="10" t="str">
        <f t="shared" si="48"/>
        <v>133.Academy.01</v>
      </c>
      <c r="G149" s="10"/>
      <c r="H149" s="44"/>
      <c r="I149" s="44"/>
      <c r="J149" s="10" t="str">
        <f t="shared" ref="J149" si="55">R149</f>
        <v>LR</v>
      </c>
      <c r="K149" s="30" t="str">
        <f t="shared" ref="K149" si="56">"Academy.Title.Name."&amp;VLOOKUP(N149,국문참조,2,FALSE)&amp;"."&amp;Q149</f>
        <v>Academy.Title.Name.Sirius.133</v>
      </c>
      <c r="L149" s="37" t="str">
        <f t="shared" ref="L149" si="57">"icon_academy_title_"&amp;VLOOKUP(C149,ICON참조,2,FALSE)&amp;Q149</f>
        <v>icon_academy_title_class03_133</v>
      </c>
      <c r="M149" s="10" t="str">
        <f t="shared" ref="M149" si="58">K149&amp;".Desc"</f>
        <v>Academy.Title.Name.Sirius.133.Desc</v>
      </c>
      <c r="N149" s="10" t="s">
        <v>239</v>
      </c>
      <c r="O149" s="10" t="s">
        <v>240</v>
      </c>
      <c r="P149" s="10" t="s">
        <v>177</v>
      </c>
      <c r="Q149" s="10">
        <v>133</v>
      </c>
      <c r="R149" s="10" t="s">
        <v>380</v>
      </c>
    </row>
  </sheetData>
  <phoneticPr fontId="1" type="noConversion"/>
  <conditionalFormatting sqref="A1:A1048576">
    <cfRule type="duplicateValues" dxfId="6" priority="149"/>
  </conditionalFormatting>
  <conditionalFormatting sqref="A1:R149">
    <cfRule type="containsBlanks" dxfId="5" priority="1">
      <formula>LEN(TRIM(A1))=0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8"/>
  <sheetViews>
    <sheetView workbookViewId="0">
      <selection activeCell="A21" sqref="A21"/>
    </sheetView>
  </sheetViews>
  <sheetFormatPr defaultRowHeight="16.5"/>
  <cols>
    <col min="1" max="1" width="15.875" style="25" bestFit="1" customWidth="1"/>
    <col min="2" max="2" width="5.25" style="25" bestFit="1" customWidth="1"/>
    <col min="3" max="3" width="1.625" style="25" customWidth="1"/>
    <col min="4" max="4" width="15.875" style="25" bestFit="1" customWidth="1"/>
    <col min="5" max="5" width="19.5" style="25" bestFit="1" customWidth="1"/>
    <col min="6" max="6" width="1.625" style="25" customWidth="1"/>
    <col min="7" max="7" width="13" style="25" bestFit="1" customWidth="1"/>
    <col min="8" max="8" width="9.25" style="25" bestFit="1" customWidth="1"/>
    <col min="9" max="9" width="1.625" style="25" customWidth="1"/>
    <col min="10" max="10" width="15.875" style="25" bestFit="1" customWidth="1"/>
    <col min="11" max="11" width="19.5" style="25" bestFit="1" customWidth="1"/>
    <col min="12" max="12" width="1.625" style="25" customWidth="1"/>
    <col min="13" max="13" width="11" style="25" bestFit="1" customWidth="1"/>
    <col min="14" max="14" width="19.875" style="25" bestFit="1" customWidth="1"/>
    <col min="15" max="16384" width="9" style="25"/>
  </cols>
  <sheetData>
    <row r="1" spans="1:14">
      <c r="A1" s="25" t="s">
        <v>126</v>
      </c>
      <c r="D1" s="25" t="s">
        <v>127</v>
      </c>
      <c r="G1" s="25" t="s">
        <v>213</v>
      </c>
      <c r="J1" s="25" t="s">
        <v>128</v>
      </c>
      <c r="M1" s="25" t="s">
        <v>129</v>
      </c>
    </row>
    <row r="2" spans="1:14" s="27" customFormat="1">
      <c r="A2" s="26" t="s">
        <v>130</v>
      </c>
      <c r="B2" s="26" t="s">
        <v>131</v>
      </c>
      <c r="D2" s="26" t="s">
        <v>130</v>
      </c>
      <c r="E2" s="26" t="s">
        <v>131</v>
      </c>
      <c r="G2" s="26" t="s">
        <v>130</v>
      </c>
      <c r="H2" s="26" t="s">
        <v>131</v>
      </c>
      <c r="J2" s="26" t="s">
        <v>130</v>
      </c>
      <c r="K2" s="26" t="s">
        <v>131</v>
      </c>
      <c r="M2" s="26" t="s">
        <v>130</v>
      </c>
      <c r="N2" s="26" t="s">
        <v>131</v>
      </c>
    </row>
    <row r="3" spans="1:14">
      <c r="A3" s="25" t="s">
        <v>124</v>
      </c>
      <c r="B3" s="45">
        <v>1</v>
      </c>
      <c r="D3" s="28" t="s">
        <v>124</v>
      </c>
      <c r="E3" s="28" t="s">
        <v>132</v>
      </c>
      <c r="G3" s="28" t="s">
        <v>133</v>
      </c>
      <c r="H3" s="28" t="s">
        <v>124</v>
      </c>
      <c r="J3" s="28" t="s">
        <v>134</v>
      </c>
      <c r="K3" s="28" t="s">
        <v>135</v>
      </c>
      <c r="M3" s="28">
        <v>101</v>
      </c>
      <c r="N3" s="28" t="s">
        <v>136</v>
      </c>
    </row>
    <row r="4" spans="1:14">
      <c r="A4" s="25" t="s">
        <v>85</v>
      </c>
      <c r="B4" s="45">
        <v>2</v>
      </c>
      <c r="D4" s="28" t="s">
        <v>85</v>
      </c>
      <c r="E4" s="28" t="s">
        <v>137</v>
      </c>
      <c r="G4" s="28" t="s">
        <v>138</v>
      </c>
      <c r="H4" s="28" t="s">
        <v>85</v>
      </c>
      <c r="J4" s="28" t="s">
        <v>139</v>
      </c>
      <c r="K4" s="28" t="s">
        <v>140</v>
      </c>
      <c r="M4" s="28">
        <v>102</v>
      </c>
      <c r="N4" s="28" t="s">
        <v>141</v>
      </c>
    </row>
    <row r="5" spans="1:14">
      <c r="A5" s="25" t="s">
        <v>86</v>
      </c>
      <c r="B5" s="45">
        <v>3</v>
      </c>
      <c r="D5" s="28" t="s">
        <v>86</v>
      </c>
      <c r="E5" s="28" t="s">
        <v>142</v>
      </c>
      <c r="G5" s="28" t="s">
        <v>143</v>
      </c>
      <c r="H5" s="28" t="s">
        <v>86</v>
      </c>
      <c r="J5" s="28" t="s">
        <v>144</v>
      </c>
      <c r="K5" s="28" t="s">
        <v>145</v>
      </c>
      <c r="M5" s="28">
        <v>103</v>
      </c>
      <c r="N5" s="28" t="s">
        <v>146</v>
      </c>
    </row>
    <row r="6" spans="1:14">
      <c r="A6" s="27" t="s">
        <v>134</v>
      </c>
      <c r="B6" s="29" t="s">
        <v>263</v>
      </c>
      <c r="D6" s="28" t="s">
        <v>134</v>
      </c>
      <c r="E6" s="28" t="s">
        <v>135</v>
      </c>
      <c r="G6" s="28" t="s">
        <v>147</v>
      </c>
      <c r="H6" s="28" t="s">
        <v>34</v>
      </c>
      <c r="J6" s="28" t="s">
        <v>148</v>
      </c>
      <c r="K6" s="28" t="s">
        <v>149</v>
      </c>
      <c r="M6" s="28">
        <v>104</v>
      </c>
      <c r="N6" s="28" t="s">
        <v>150</v>
      </c>
    </row>
    <row r="7" spans="1:14">
      <c r="A7" s="27" t="s">
        <v>139</v>
      </c>
      <c r="B7" s="29" t="s">
        <v>264</v>
      </c>
      <c r="D7" s="28" t="s">
        <v>139</v>
      </c>
      <c r="E7" s="28" t="s">
        <v>140</v>
      </c>
      <c r="G7" s="28" t="s">
        <v>151</v>
      </c>
      <c r="H7" s="28" t="s">
        <v>38</v>
      </c>
      <c r="J7" s="28" t="s">
        <v>152</v>
      </c>
      <c r="K7" s="28" t="s">
        <v>153</v>
      </c>
      <c r="M7" s="28">
        <v>105</v>
      </c>
      <c r="N7" s="28" t="s">
        <v>154</v>
      </c>
    </row>
    <row r="8" spans="1:14">
      <c r="A8" s="27" t="s">
        <v>144</v>
      </c>
      <c r="B8" s="29" t="s">
        <v>265</v>
      </c>
      <c r="D8" s="28" t="s">
        <v>144</v>
      </c>
      <c r="E8" s="28" t="s">
        <v>145</v>
      </c>
      <c r="G8" s="28" t="s">
        <v>155</v>
      </c>
      <c r="H8" s="28" t="s">
        <v>41</v>
      </c>
      <c r="J8" s="28" t="s">
        <v>156</v>
      </c>
      <c r="K8" s="28" t="s">
        <v>157</v>
      </c>
      <c r="M8" s="28">
        <v>106</v>
      </c>
      <c r="N8" s="28" t="s">
        <v>158</v>
      </c>
    </row>
    <row r="9" spans="1:14">
      <c r="A9" s="27" t="s">
        <v>148</v>
      </c>
      <c r="B9" s="29" t="s">
        <v>266</v>
      </c>
      <c r="D9" s="28" t="s">
        <v>148</v>
      </c>
      <c r="E9" s="28" t="s">
        <v>149</v>
      </c>
      <c r="G9" s="28" t="s">
        <v>159</v>
      </c>
      <c r="H9" s="28" t="s">
        <v>44</v>
      </c>
      <c r="J9" s="28" t="s">
        <v>160</v>
      </c>
      <c r="K9" s="28" t="s">
        <v>161</v>
      </c>
      <c r="M9" s="28">
        <v>107</v>
      </c>
      <c r="N9" s="28" t="s">
        <v>162</v>
      </c>
    </row>
    <row r="10" spans="1:14">
      <c r="A10" s="27" t="s">
        <v>163</v>
      </c>
      <c r="B10" s="29" t="s">
        <v>267</v>
      </c>
      <c r="D10" s="28" t="s">
        <v>152</v>
      </c>
      <c r="E10" s="28" t="s">
        <v>153</v>
      </c>
      <c r="G10" s="28" t="s">
        <v>164</v>
      </c>
      <c r="H10" s="28" t="s">
        <v>47</v>
      </c>
      <c r="J10" s="28" t="s">
        <v>165</v>
      </c>
      <c r="K10" s="28" t="s">
        <v>166</v>
      </c>
      <c r="M10" s="28">
        <v>108</v>
      </c>
      <c r="N10" s="28" t="s">
        <v>167</v>
      </c>
    </row>
    <row r="11" spans="1:14">
      <c r="A11" s="27" t="s">
        <v>156</v>
      </c>
      <c r="B11" s="29" t="s">
        <v>268</v>
      </c>
      <c r="D11" s="28" t="s">
        <v>156</v>
      </c>
      <c r="E11" s="28" t="s">
        <v>157</v>
      </c>
      <c r="J11" s="28" t="s">
        <v>168</v>
      </c>
      <c r="K11" s="28" t="s">
        <v>169</v>
      </c>
      <c r="M11" s="28">
        <v>109</v>
      </c>
      <c r="N11" s="28" t="s">
        <v>170</v>
      </c>
    </row>
    <row r="12" spans="1:14">
      <c r="A12" s="27" t="s">
        <v>171</v>
      </c>
      <c r="B12" s="29" t="s">
        <v>269</v>
      </c>
      <c r="D12" s="28" t="s">
        <v>171</v>
      </c>
      <c r="E12" s="28" t="s">
        <v>161</v>
      </c>
      <c r="J12" s="28" t="s">
        <v>172</v>
      </c>
      <c r="K12" s="28" t="s">
        <v>173</v>
      </c>
      <c r="M12" s="28">
        <v>110</v>
      </c>
      <c r="N12" s="28" t="s">
        <v>174</v>
      </c>
    </row>
    <row r="13" spans="1:14">
      <c r="A13" s="27" t="s">
        <v>175</v>
      </c>
      <c r="B13" s="29" t="s">
        <v>270</v>
      </c>
      <c r="D13" s="28" t="s">
        <v>175</v>
      </c>
      <c r="E13" s="28" t="s">
        <v>166</v>
      </c>
      <c r="M13" s="28">
        <v>111</v>
      </c>
      <c r="N13" s="28" t="s">
        <v>176</v>
      </c>
    </row>
    <row r="14" spans="1:14">
      <c r="A14" s="27" t="s">
        <v>177</v>
      </c>
      <c r="B14" s="29" t="s">
        <v>271</v>
      </c>
      <c r="D14" s="28" t="s">
        <v>177</v>
      </c>
      <c r="E14" s="28" t="s">
        <v>169</v>
      </c>
      <c r="M14" s="28">
        <v>112</v>
      </c>
      <c r="N14" s="28" t="s">
        <v>178</v>
      </c>
    </row>
    <row r="15" spans="1:14">
      <c r="A15" s="27" t="s">
        <v>172</v>
      </c>
      <c r="B15" s="29" t="s">
        <v>272</v>
      </c>
      <c r="D15" s="28" t="s">
        <v>172</v>
      </c>
      <c r="E15" s="28" t="s">
        <v>173</v>
      </c>
      <c r="M15" s="28">
        <v>113</v>
      </c>
      <c r="N15" s="28" t="s">
        <v>179</v>
      </c>
    </row>
    <row r="16" spans="1:14">
      <c r="A16" s="27" t="s">
        <v>73</v>
      </c>
      <c r="B16" s="29">
        <v>1</v>
      </c>
      <c r="M16" s="28">
        <v>114</v>
      </c>
      <c r="N16" s="28" t="s">
        <v>180</v>
      </c>
    </row>
    <row r="17" spans="1:14">
      <c r="A17" s="27" t="s">
        <v>75</v>
      </c>
      <c r="B17" s="29">
        <v>2</v>
      </c>
      <c r="M17" s="28">
        <v>115</v>
      </c>
      <c r="N17" s="28" t="s">
        <v>181</v>
      </c>
    </row>
    <row r="18" spans="1:14">
      <c r="A18" s="27" t="s">
        <v>77</v>
      </c>
      <c r="B18" s="29">
        <v>3</v>
      </c>
      <c r="M18" s="28">
        <v>116</v>
      </c>
      <c r="N18" s="28" t="s">
        <v>182</v>
      </c>
    </row>
    <row r="19" spans="1:14">
      <c r="A19" s="27" t="s">
        <v>241</v>
      </c>
      <c r="B19" s="29">
        <v>4</v>
      </c>
      <c r="M19" s="28">
        <v>117</v>
      </c>
      <c r="N19" s="28" t="s">
        <v>183</v>
      </c>
    </row>
    <row r="20" spans="1:14">
      <c r="A20" s="27" t="s">
        <v>381</v>
      </c>
      <c r="B20" s="29">
        <v>5</v>
      </c>
      <c r="M20" s="28">
        <v>118</v>
      </c>
      <c r="N20" s="28" t="s">
        <v>184</v>
      </c>
    </row>
    <row r="21" spans="1:14">
      <c r="M21" s="28">
        <v>119</v>
      </c>
      <c r="N21" s="28" t="s">
        <v>185</v>
      </c>
    </row>
    <row r="22" spans="1:14">
      <c r="M22" s="28">
        <v>120</v>
      </c>
      <c r="N22" s="28" t="s">
        <v>186</v>
      </c>
    </row>
    <row r="23" spans="1:14">
      <c r="M23" s="28">
        <v>121</v>
      </c>
      <c r="N23" s="28" t="s">
        <v>187</v>
      </c>
    </row>
    <row r="24" spans="1:14">
      <c r="M24" s="28">
        <v>122</v>
      </c>
      <c r="N24" s="28" t="s">
        <v>188</v>
      </c>
    </row>
    <row r="25" spans="1:14">
      <c r="M25" s="28">
        <v>123</v>
      </c>
      <c r="N25" s="28" t="s">
        <v>189</v>
      </c>
    </row>
    <row r="26" spans="1:14">
      <c r="M26" s="28">
        <v>124</v>
      </c>
      <c r="N26" s="28" t="s">
        <v>190</v>
      </c>
    </row>
    <row r="27" spans="1:14">
      <c r="M27" s="28">
        <v>125</v>
      </c>
      <c r="N27" s="28" t="s">
        <v>191</v>
      </c>
    </row>
    <row r="28" spans="1:14">
      <c r="M28" s="28">
        <v>126</v>
      </c>
      <c r="N28" s="28" t="s">
        <v>192</v>
      </c>
    </row>
    <row r="29" spans="1:14">
      <c r="M29" s="28">
        <v>127</v>
      </c>
      <c r="N29" s="28" t="s">
        <v>193</v>
      </c>
    </row>
    <row r="30" spans="1:14">
      <c r="M30" s="28">
        <v>128</v>
      </c>
      <c r="N30" s="28" t="s">
        <v>194</v>
      </c>
    </row>
    <row r="31" spans="1:14">
      <c r="M31" s="28">
        <v>129</v>
      </c>
      <c r="N31" s="28" t="s">
        <v>195</v>
      </c>
    </row>
    <row r="32" spans="1:14">
      <c r="M32" s="28">
        <v>130</v>
      </c>
      <c r="N32" s="28" t="s">
        <v>196</v>
      </c>
    </row>
    <row r="33" spans="13:14">
      <c r="M33" s="28">
        <v>131</v>
      </c>
      <c r="N33" s="28" t="s">
        <v>197</v>
      </c>
    </row>
    <row r="34" spans="13:14">
      <c r="M34" s="28">
        <v>132</v>
      </c>
      <c r="N34" s="28" t="s">
        <v>198</v>
      </c>
    </row>
    <row r="35" spans="13:14">
      <c r="M35" s="28">
        <v>133</v>
      </c>
      <c r="N35" s="28" t="s">
        <v>199</v>
      </c>
    </row>
    <row r="36" spans="13:14">
      <c r="M36" s="28">
        <v>134</v>
      </c>
      <c r="N36" s="28" t="s">
        <v>200</v>
      </c>
    </row>
    <row r="37" spans="13:14">
      <c r="M37" s="28">
        <v>135</v>
      </c>
      <c r="N37" s="28" t="s">
        <v>201</v>
      </c>
    </row>
    <row r="38" spans="13:14">
      <c r="M38" s="28">
        <v>136</v>
      </c>
      <c r="N38" s="28" t="s">
        <v>202</v>
      </c>
    </row>
    <row r="39" spans="13:14">
      <c r="M39" s="28">
        <v>137</v>
      </c>
      <c r="N39" s="28" t="s">
        <v>203</v>
      </c>
    </row>
    <row r="40" spans="13:14">
      <c r="M40" s="28">
        <v>138</v>
      </c>
      <c r="N40" s="28" t="s">
        <v>204</v>
      </c>
    </row>
    <row r="41" spans="13:14">
      <c r="M41" s="28">
        <v>139</v>
      </c>
      <c r="N41" s="28" t="s">
        <v>205</v>
      </c>
    </row>
    <row r="42" spans="13:14">
      <c r="M42" s="28">
        <v>140</v>
      </c>
      <c r="N42" s="28" t="s">
        <v>206</v>
      </c>
    </row>
    <row r="43" spans="13:14">
      <c r="M43" s="28">
        <v>141</v>
      </c>
      <c r="N43" s="28" t="s">
        <v>207</v>
      </c>
    </row>
    <row r="44" spans="13:14">
      <c r="M44" s="28">
        <v>142</v>
      </c>
      <c r="N44" s="28" t="s">
        <v>208</v>
      </c>
    </row>
    <row r="45" spans="13:14">
      <c r="M45" s="28">
        <v>143</v>
      </c>
      <c r="N45" s="28" t="s">
        <v>209</v>
      </c>
    </row>
    <row r="46" spans="13:14">
      <c r="M46" s="28">
        <v>144</v>
      </c>
      <c r="N46" s="28" t="s">
        <v>210</v>
      </c>
    </row>
    <row r="47" spans="13:14">
      <c r="M47" s="28">
        <v>145</v>
      </c>
      <c r="N47" s="28" t="s">
        <v>211</v>
      </c>
    </row>
    <row r="48" spans="13:14">
      <c r="M48" s="28">
        <v>146</v>
      </c>
      <c r="N48" s="28" t="s">
        <v>212</v>
      </c>
    </row>
  </sheetData>
  <phoneticPr fontId="1" type="noConversion"/>
  <conditionalFormatting sqref="A6:B20">
    <cfRule type="containsBlanks" dxfId="4" priority="5">
      <formula>LEN(TRIM(A6))=0</formula>
    </cfRule>
  </conditionalFormatting>
  <conditionalFormatting sqref="A2:L2">
    <cfRule type="containsBlanks" dxfId="3" priority="7">
      <formula>LEN(TRIM(A2))=0</formula>
    </cfRule>
  </conditionalFormatting>
  <conditionalFormatting sqref="A1:XFD1 A3:C5 C6:C15 C16:L20 A21:L48 A49:XFD1048576">
    <cfRule type="containsBlanks" dxfId="2" priority="8">
      <formula>LEN(TRIM(A1))=0</formula>
    </cfRule>
  </conditionalFormatting>
  <conditionalFormatting sqref="D3:L15">
    <cfRule type="containsBlanks" dxfId="1" priority="2">
      <formula>LEN(TRIM(D3))=0</formula>
    </cfRule>
  </conditionalFormatting>
  <conditionalFormatting sqref="M2:XFD48">
    <cfRule type="containsBlanks" dxfId="0" priority="1">
      <formula>LEN(TRIM(M2))=0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5</vt:i4>
      </vt:variant>
    </vt:vector>
  </HeadingPairs>
  <TitlesOfParts>
    <vt:vector size="15" baseType="lpstr">
      <vt:lpstr>AcademyGrade</vt:lpstr>
      <vt:lpstr>AcademyClass</vt:lpstr>
      <vt:lpstr>AcademyClassRank</vt:lpstr>
      <vt:lpstr>AcademyCharacter</vt:lpstr>
      <vt:lpstr>AcademyMainStory</vt:lpstr>
      <vt:lpstr>AcademyCharacterFriendly</vt:lpstr>
      <vt:lpstr>AcademyFriendly</vt:lpstr>
      <vt:lpstr>AcademyTitleGrade</vt:lpstr>
      <vt:lpstr>AcademyTitle</vt:lpstr>
      <vt:lpstr>#AcademyTitle참조</vt:lpstr>
      <vt:lpstr>ICON참조</vt:lpstr>
      <vt:lpstr>ID참조</vt:lpstr>
      <vt:lpstr>국문참조</vt:lpstr>
      <vt:lpstr>이름참조</vt:lpstr>
      <vt:lpstr>패시브참조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채승현</dc:creator>
  <cp:lastModifiedBy>장공수</cp:lastModifiedBy>
  <dcterms:created xsi:type="dcterms:W3CDTF">2021-02-10T04:32:59Z</dcterms:created>
  <dcterms:modified xsi:type="dcterms:W3CDTF">2024-05-21T06:45:43Z</dcterms:modified>
</cp:coreProperties>
</file>