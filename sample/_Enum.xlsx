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0CC4B948-C35D-445E-AEB8-27E769AA960D}" xr6:coauthVersionLast="47" xr6:coauthVersionMax="47" xr10:uidLastSave="{00000000-0000-0000-0000-000000000000}"/>
  <bookViews>
    <workbookView xWindow="-28920" yWindow="-120" windowWidth="29040" windowHeight="17640" tabRatio="829" firstSheet="22" activeTab="25" xr2:uid="{00000000-000D-0000-FFFF-FFFF00000000}"/>
  </bookViews>
  <sheets>
    <sheet name="#AllType" sheetId="3" r:id="rId1"/>
    <sheet name="FactionType" sheetId="197" r:id="rId2"/>
    <sheet name="AcademyBuildingType" sheetId="159" r:id="rId3"/>
    <sheet name="AcademyClassType" sheetId="135" r:id="rId4"/>
    <sheet name="AcademyRankType" sheetId="213" r:id="rId5"/>
    <sheet name="AcademyRankGroupType" sheetId="212" r:id="rId6"/>
    <sheet name="AcademyGradeType" sheetId="151" r:id="rId7"/>
    <sheet name="AcademyTitleType" sheetId="218" r:id="rId8"/>
    <sheet name="AlarmTrigger" sheetId="181" r:id="rId9"/>
    <sheet name="ArenaBattleType" sheetId="118" r:id="rId10"/>
    <sheet name="AttendanceType" sheetId="203" r:id="rId11"/>
    <sheet name="EventAttendanceType" sheetId="227" r:id="rId12"/>
    <sheet name="ArenaType" sheetId="170" r:id="rId13"/>
    <sheet name="ArenaZoneType" sheetId="239" r:id="rId14"/>
    <sheet name="ArenaSortType" sheetId="241" r:id="rId15"/>
    <sheet name="BuffTimeType" sheetId="62" r:id="rId16"/>
    <sheet name="Category" sheetId="122" r:id="rId17"/>
    <sheet name="CharacterCondition" sheetId="183" r:id="rId18"/>
    <sheet name="CharacterConditionType" sheetId="86" r:id="rId19"/>
    <sheet name="ClassType" sheetId="19" r:id="rId20"/>
    <sheet name="ClearGrade" sheetId="116" r:id="rId21"/>
    <sheet name="CombatType" sheetId="80" r:id="rId22"/>
    <sheet name="CommunicationResultType" sheetId="169" r:id="rId23"/>
    <sheet name="ConditionType" sheetId="14" r:id="rId24"/>
    <sheet name="ConquestResult" sheetId="184" r:id="rId25"/>
    <sheet name="ContentsType" sheetId="13" r:id="rId26"/>
    <sheet name="SpecialCharacterType" sheetId="195" r:id="rId27"/>
    <sheet name="DayType" sheetId="127" r:id="rId28"/>
    <sheet name="DeadType" sheetId="6" r:id="rId29"/>
    <sheet name="DeckType" sheetId="117" r:id="rId30"/>
    <sheet name="DefeatGuideType" sheetId="146" r:id="rId31"/>
    <sheet name="DisposeType" sheetId="9" r:id="rId32"/>
    <sheet name="DurationType" sheetId="129" r:id="rId33"/>
    <sheet name="EmotionType" sheetId="186" r:id="rId34"/>
    <sheet name="EpisodeType" sheetId="120" r:id="rId35"/>
    <sheet name="EquipmentStatType" sheetId="96" r:id="rId36"/>
    <sheet name="EquipmentType" sheetId="98" r:id="rId37"/>
    <sheet name="EquipmentSetType" sheetId="194" r:id="rId38"/>
    <sheet name="EventScheduleType" sheetId="214" r:id="rId39"/>
    <sheet name="EventPageType" sheetId="220" r:id="rId40"/>
    <sheet name="EventType" sheetId="1" r:id="rId41"/>
    <sheet name="FacilityState" sheetId="142" r:id="rId42"/>
    <sheet name="FreeRotationMethodType" sheetId="59" r:id="rId43"/>
    <sheet name="FadeType" sheetId="201" r:id="rId44"/>
    <sheet name="GachaConditionType" sheetId="58" r:id="rId45"/>
    <sheet name="GenderType" sheetId="238" r:id="rId46"/>
    <sheet name="GradeType" sheetId="97" r:id="rId47"/>
    <sheet name="GroupType" sheetId="180" r:id="rId48"/>
    <sheet name="GuideButtonType" sheetId="171" r:id="rId49"/>
    <sheet name="InventoryType" sheetId="128" r:id="rId50"/>
    <sheet name="InventoryTab" sheetId="191" r:id="rId51"/>
    <sheet name="InteractionType" sheetId="193" r:id="rId52"/>
    <sheet name="ItemEffectType" sheetId="52" r:id="rId53"/>
    <sheet name="ItemType" sheetId="35" r:id="rId54"/>
    <sheet name="LadderScoreType" sheetId="205" r:id="rId55"/>
    <sheet name="LocalizeType" sheetId="134" r:id="rId56"/>
    <sheet name="MailState" sheetId="101" r:id="rId57"/>
    <sheet name="MailType" sheetId="38" r:id="rId58"/>
    <sheet name="MaterialType" sheetId="21" r:id="rId59"/>
    <sheet name="MovieType" sheetId="235" r:id="rId60"/>
    <sheet name="TalkBackBlurType" sheetId="236" r:id="rId61"/>
    <sheet name="EventBuffType" sheetId="215" r:id="rId62"/>
    <sheet name="OriginType" sheetId="5" r:id="rId63"/>
    <sheet name="PhaseStandardType" sheetId="17" r:id="rId64"/>
    <sheet name="PluginConditionType" sheetId="124" r:id="rId65"/>
    <sheet name="PluginLimitedType" sheetId="179" r:id="rId66"/>
    <sheet name="ProductType" sheetId="175" r:id="rId67"/>
    <sheet name="QuickMoveType" sheetId="147" r:id="rId68"/>
    <sheet name="RaidProgress" sheetId="158" r:id="rId69"/>
    <sheet name="RaidRewardProgress" sheetId="163" r:id="rId70"/>
    <sheet name="RandomType" sheetId="95" r:id="rId71"/>
    <sheet name="WishlistType" sheetId="208" r:id="rId72"/>
    <sheet name="RecommendType" sheetId="174" r:id="rId73"/>
    <sheet name="ResetType" sheetId="112" r:id="rId74"/>
    <sheet name="RewardCharacterType" sheetId="53" r:id="rId75"/>
    <sheet name="RewardProbabilityType" sheetId="55" r:id="rId76"/>
    <sheet name="ScriptActionType" sheetId="185" r:id="rId77"/>
    <sheet name="ScriptTextAnimType" sheetId="234" r:id="rId78"/>
    <sheet name="CameraZoomType" sheetId="207" r:id="rId79"/>
    <sheet name="ScriptSlotType" sheetId="187" r:id="rId80"/>
    <sheet name="StarRecordRewardType" sheetId="177" r:id="rId81"/>
    <sheet name="SeedSlotType" sheetId="143" r:id="rId82"/>
    <sheet name="SimulationStatType" sheetId="136" r:id="rId83"/>
    <sheet name="SimulationStateType" sheetId="154" r:id="rId84"/>
    <sheet name="SizeType" sheetId="7" r:id="rId85"/>
    <sheet name="PostType" sheetId="209" r:id="rId86"/>
    <sheet name="SkillDeckType" sheetId="64" r:id="rId87"/>
    <sheet name="SkillLevelUpType" sheetId="65" r:id="rId88"/>
    <sheet name="StageRewardType" sheetId="81" r:id="rId89"/>
    <sheet name="ItemCategory" sheetId="189" r:id="rId90"/>
    <sheet name="ItemKind" sheetId="188" r:id="rId91"/>
    <sheet name="StageState" sheetId="99" r:id="rId92"/>
    <sheet name="AbilityType" sheetId="157" r:id="rId93"/>
    <sheet name="ActivationCenterType" sheetId="196" r:id="rId94"/>
    <sheet name="StarSeedSectorType" sheetId="148" r:id="rId95"/>
    <sheet name="StoryType" sheetId="119" r:id="rId96"/>
    <sheet name="StorySubType" sheetId="216" r:id="rId97"/>
    <sheet name="StoryCharGroupType" sheetId="230" r:id="rId98"/>
    <sheet name="SuccessType" sheetId="166" r:id="rId99"/>
    <sheet name="TalkFunctionType" sheetId="83" r:id="rId100"/>
    <sheet name="TalkUiType" sheetId="121" r:id="rId101"/>
    <sheet name="TutorialCompleteTriggerType" sheetId="91" r:id="rId102"/>
    <sheet name="TutorialConditionType" sheetId="87" r:id="rId103"/>
    <sheet name="TutorialFuncType" sheetId="89" r:id="rId104"/>
    <sheet name="TutorialFocusEffectType" sheetId="92" r:id="rId105"/>
    <sheet name="TutorialCenterImageType" sheetId="200" r:id="rId106"/>
    <sheet name="AcademyFriendlyType" sheetId="198" r:id="rId107"/>
    <sheet name="AcademyStoryType" sheetId="199" r:id="rId108"/>
    <sheet name="TutorialFocusFindType" sheetId="93" r:id="rId109"/>
    <sheet name="TutorialStartTriggerType" sheetId="88" r:id="rId110"/>
    <sheet name="TutorialRestoreType" sheetId="221" r:id="rId111"/>
    <sheet name="TutorialStepCategoryType" sheetId="132" r:id="rId112"/>
    <sheet name="UICharacterConditionType" sheetId="150" r:id="rId113"/>
    <sheet name="UnlockSettingType" sheetId="12" r:id="rId114"/>
    <sheet name="RewardType" sheetId="54" r:id="rId115"/>
    <sheet name="DominionGradeType" sheetId="206" r:id="rId116"/>
    <sheet name="VideoDownType" sheetId="210" r:id="rId117"/>
    <sheet name="EventStoryStageRankType" sheetId="211" r:id="rId118"/>
    <sheet name="ShopNPCDialogueType" sheetId="217" r:id="rId119"/>
    <sheet name="ShopBonusRewardType" sheetId="219" r:id="rId120"/>
    <sheet name="AttributeType" sheetId="222" r:id="rId121"/>
    <sheet name="AttributeBattleType" sheetId="228" r:id="rId122"/>
    <sheet name="EventSlotMachineResultType" sheetId="224" r:id="rId123"/>
    <sheet name="EventRouletteStopType" sheetId="225" r:id="rId124"/>
    <sheet name="EventRouletteRewardType" sheetId="226" r:id="rId125"/>
    <sheet name="StarRecordExpDependencyType" sheetId="232" r:id="rId126"/>
    <sheet name="RegionCode" sheetId="233" r:id="rId127"/>
    <sheet name="MaintenanceType" sheetId="237" r:id="rId128"/>
    <sheet name="ShopTabTagType" sheetId="240" r:id="rId129"/>
  </sheets>
  <calcPr calcId="181029"/>
</workbook>
</file>

<file path=xl/calcChain.xml><?xml version="1.0" encoding="utf-8"?>
<calcChain xmlns="http://schemas.openxmlformats.org/spreadsheetml/2006/main">
  <c r="B1" i="240" l="1"/>
  <c r="B1" i="238"/>
  <c r="B1" i="237"/>
  <c r="B1" i="236"/>
  <c r="B1" i="235"/>
  <c r="B1" i="233" l="1"/>
  <c r="B1" i="232" l="1"/>
  <c r="B1" i="230"/>
  <c r="B1" i="228" l="1"/>
  <c r="B1" i="227"/>
  <c r="B1" i="226" l="1"/>
  <c r="B1" i="225"/>
  <c r="B1" i="224"/>
  <c r="B1" i="222" l="1"/>
  <c r="B1" i="221" l="1"/>
  <c r="B1" i="220"/>
  <c r="B1" i="219"/>
  <c r="C1" i="218" l="1"/>
  <c r="B1" i="217"/>
  <c r="B1" i="216" l="1"/>
  <c r="C1" i="215"/>
  <c r="B1" i="214"/>
  <c r="B1" i="213"/>
  <c r="C1" i="212"/>
  <c r="B1" i="211"/>
  <c r="B1" i="210"/>
  <c r="B1" i="208"/>
  <c r="B1" i="206" l="1"/>
  <c r="B1" i="205" l="1"/>
  <c r="B1" i="203" l="1"/>
  <c r="B1" i="200"/>
  <c r="B1" i="199"/>
  <c r="B1" i="198"/>
  <c r="C1" i="197"/>
  <c r="C1" i="196" l="1"/>
  <c r="B1" i="194"/>
  <c r="C1" i="179"/>
  <c r="B1" i="177"/>
  <c r="C1" i="171"/>
  <c r="C1" i="169"/>
  <c r="B1" i="166"/>
  <c r="B1" i="163"/>
  <c r="C1" i="159" l="1"/>
  <c r="B1" i="158"/>
  <c r="C1" i="157"/>
  <c r="B1" i="136"/>
  <c r="B1" i="154"/>
  <c r="C1" i="135"/>
  <c r="C1" i="151"/>
  <c r="B1" i="150" l="1"/>
  <c r="B1" i="148"/>
  <c r="B1" i="147"/>
  <c r="C1" i="146"/>
  <c r="B1" i="134"/>
  <c r="B1" i="132"/>
  <c r="B1" i="129"/>
  <c r="B1" i="128"/>
  <c r="B1" i="124" l="1"/>
  <c r="B1" i="122" l="1"/>
  <c r="B1" i="121"/>
  <c r="B1" i="120"/>
  <c r="B1" i="119"/>
  <c r="C1" i="117"/>
  <c r="B1" i="116"/>
  <c r="KN3" i="3" l="1"/>
  <c r="B1" i="101" l="1"/>
  <c r="KK3" i="3"/>
  <c r="B1" i="99"/>
  <c r="B1" i="98"/>
  <c r="KB3" i="3"/>
  <c r="B1" i="97"/>
  <c r="C3" i="3"/>
  <c r="B1" i="96"/>
  <c r="KE3" i="3"/>
  <c r="KH3" i="3"/>
  <c r="B1" i="95"/>
  <c r="JY3" i="3"/>
  <c r="B1" i="93"/>
  <c r="B1" i="92"/>
  <c r="JV3" i="3"/>
  <c r="JS3" i="3"/>
  <c r="JP3" i="3"/>
  <c r="JM3" i="3"/>
  <c r="JJ3" i="3"/>
  <c r="JG3" i="3"/>
  <c r="JD3" i="3"/>
  <c r="C1" i="91"/>
  <c r="B1" i="89"/>
  <c r="C1" i="88"/>
  <c r="B1" i="87"/>
  <c r="B1" i="86"/>
  <c r="JA3" i="3"/>
  <c r="IX3" i="3"/>
  <c r="IU3" i="3"/>
  <c r="B1" i="83"/>
  <c r="B1" i="81"/>
  <c r="B1" i="80"/>
  <c r="IR3" i="3"/>
  <c r="IO3" i="3"/>
  <c r="IL3" i="3"/>
  <c r="II3" i="3"/>
  <c r="IF3" i="3"/>
  <c r="IC3" i="3"/>
  <c r="HZ3" i="3"/>
  <c r="HW3" i="3"/>
  <c r="GS3" i="3"/>
  <c r="GP3" i="3"/>
  <c r="GM3" i="3"/>
  <c r="GJ3" i="3"/>
  <c r="GG3" i="3"/>
  <c r="GD3" i="3"/>
  <c r="GA3" i="3"/>
  <c r="FX3" i="3"/>
  <c r="FU3" i="3"/>
  <c r="FR3" i="3"/>
  <c r="FO3" i="3"/>
  <c r="FL3" i="3"/>
  <c r="FI3" i="3"/>
  <c r="FF3" i="3"/>
  <c r="FC3" i="3"/>
  <c r="B1" i="65"/>
  <c r="B1" i="64"/>
  <c r="B1" i="62"/>
  <c r="EZ3" i="3"/>
  <c r="EW3" i="3"/>
  <c r="ET3" i="3"/>
  <c r="EQ3" i="3"/>
  <c r="EN3" i="3"/>
  <c r="EK3" i="3"/>
  <c r="EH3" i="3"/>
  <c r="B1" i="59"/>
  <c r="B1" i="58"/>
  <c r="B1" i="55"/>
  <c r="EE3" i="3"/>
  <c r="B1" i="54"/>
  <c r="B1" i="53"/>
  <c r="B1" i="52"/>
  <c r="EB3" i="3"/>
  <c r="DY3" i="3"/>
  <c r="DV3" i="3"/>
  <c r="DS3" i="3"/>
  <c r="DP3" i="3"/>
  <c r="DM3" i="3"/>
  <c r="DJ3" i="3"/>
  <c r="DG3" i="3"/>
  <c r="DD3" i="3"/>
  <c r="DA3" i="3"/>
  <c r="CX3" i="3"/>
  <c r="CU3" i="3"/>
  <c r="CR3" i="3"/>
  <c r="CO3" i="3"/>
  <c r="B1" i="38"/>
  <c r="B1" i="35"/>
  <c r="CL3" i="3"/>
  <c r="CI3" i="3"/>
  <c r="CF3" i="3"/>
  <c r="CC3" i="3"/>
  <c r="BZ3" i="3"/>
  <c r="BW3" i="3"/>
  <c r="B1" i="1"/>
  <c r="B1" i="5"/>
  <c r="B1" i="6"/>
  <c r="B1" i="7"/>
  <c r="B1" i="9"/>
  <c r="B1" i="21"/>
  <c r="B1" i="19"/>
  <c r="B1" i="17"/>
  <c r="C1" i="14"/>
  <c r="C1" i="13"/>
  <c r="B1" i="12"/>
  <c r="BT3" i="3"/>
  <c r="BQ3" i="3"/>
  <c r="BN3" i="3"/>
  <c r="BK3" i="3"/>
  <c r="BH3" i="3"/>
  <c r="BE3" i="3"/>
  <c r="BB3" i="3"/>
  <c r="AY3" i="3"/>
  <c r="AV3" i="3" l="1"/>
  <c r="AS3" i="3"/>
  <c r="AP3" i="3"/>
  <c r="AM3" i="3"/>
  <c r="AJ3" i="3"/>
  <c r="AG3" i="3"/>
  <c r="AD3" i="3"/>
  <c r="AA3" i="3"/>
  <c r="X3" i="3"/>
  <c r="U3" i="3"/>
  <c r="R3" i="3"/>
  <c r="O3" i="3"/>
  <c r="L3" i="3"/>
  <c r="I3" i="3"/>
  <c r="F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AU3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하늘색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전투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오퍼레이터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
주황색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특수한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고정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데미지는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안씀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빨간색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오퍼레이터에서만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씀
연두색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전투에서만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장공수</author>
  </authors>
  <commentList>
    <comment ref="C44" authorId="0" shapeId="0" xr:uid="{00000000-0006-0000-4C00-000001000000}">
      <text>
        <r>
          <rPr>
            <b/>
            <sz val="9"/>
            <color indexed="81"/>
            <rFont val="돋움"/>
            <family val="3"/>
            <charset val="129"/>
          </rPr>
          <t>장공수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검은색
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하얀색</t>
        </r>
        <r>
          <rPr>
            <sz val="9"/>
            <color indexed="81"/>
            <rFont val="Tahoma"/>
            <family val="2"/>
          </rPr>
          <t xml:space="preserve"> ffffff</t>
        </r>
      </text>
    </comment>
    <comment ref="D46" authorId="0" shapeId="0" xr:uid="{00000000-0006-0000-4C00-000002000000}">
      <text>
        <r>
          <rPr>
            <b/>
            <sz val="9"/>
            <color indexed="81"/>
            <rFont val="돋움"/>
            <family val="3"/>
            <charset val="129"/>
          </rPr>
          <t>장공수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stakingLayer </t>
        </r>
        <r>
          <rPr>
            <sz val="9"/>
            <color indexed="81"/>
            <rFont val="돋움"/>
            <family val="3"/>
            <charset val="129"/>
          </rPr>
          <t xml:space="preserve">번호
</t>
        </r>
        <r>
          <rPr>
            <sz val="9"/>
            <color indexed="81"/>
            <rFont val="Tahoma"/>
            <family val="2"/>
          </rPr>
          <t xml:space="preserve">1: </t>
        </r>
        <r>
          <rPr>
            <sz val="9"/>
            <color indexed="81"/>
            <rFont val="돋움"/>
            <family val="3"/>
            <charset val="129"/>
          </rPr>
          <t>음영</t>
        </r>
        <r>
          <rPr>
            <sz val="9"/>
            <color indexed="81"/>
            <rFont val="Tahoma"/>
            <family val="2"/>
          </rPr>
          <t xml:space="preserve">(dislike)
2: </t>
        </r>
        <r>
          <rPr>
            <sz val="9"/>
            <color indexed="81"/>
            <rFont val="돋움"/>
            <family val="3"/>
            <charset val="129"/>
          </rPr>
          <t>홍조</t>
        </r>
        <r>
          <rPr>
            <sz val="9"/>
            <color indexed="81"/>
            <rFont val="Tahoma"/>
            <family val="2"/>
          </rPr>
          <t>(shy)</t>
        </r>
      </text>
    </comment>
  </commentList>
</comments>
</file>

<file path=xl/sharedStrings.xml><?xml version="1.0" encoding="utf-8"?>
<sst xmlns="http://schemas.openxmlformats.org/spreadsheetml/2006/main" count="2469" uniqueCount="1932">
  <si>
    <t>None</t>
  </si>
  <si>
    <t>없음</t>
  </si>
  <si>
    <t>Start</t>
  </si>
  <si>
    <t>시작</t>
  </si>
  <si>
    <t>Enter</t>
  </si>
  <si>
    <t>입장</t>
  </si>
  <si>
    <t>Leave</t>
  </si>
  <si>
    <t>떠남</t>
  </si>
  <si>
    <t>Move</t>
  </si>
  <si>
    <t>이동</t>
  </si>
  <si>
    <t>Stop</t>
  </si>
  <si>
    <t>정지</t>
  </si>
  <si>
    <t>Cast</t>
  </si>
  <si>
    <t>시전</t>
  </si>
  <si>
    <t>Fire</t>
  </si>
  <si>
    <t>발사</t>
  </si>
  <si>
    <t>Hit</t>
  </si>
  <si>
    <t>맞음</t>
  </si>
  <si>
    <t>Dead</t>
  </si>
  <si>
    <t>사망</t>
  </si>
  <si>
    <t>End</t>
  </si>
  <si>
    <t>종료</t>
  </si>
  <si>
    <t>Ultimate</t>
  </si>
  <si>
    <t>궁극기</t>
  </si>
  <si>
    <t>CrowdControl</t>
  </si>
  <si>
    <t>제어기</t>
  </si>
  <si>
    <t>Knockback</t>
  </si>
  <si>
    <t>밀침</t>
  </si>
  <si>
    <t>Effect</t>
  </si>
  <si>
    <t>효과</t>
  </si>
  <si>
    <t>BattleTime</t>
  </si>
  <si>
    <t>전투시간</t>
  </si>
  <si>
    <t>AddEnergy_Kill</t>
  </si>
  <si>
    <t>적처치시획득에너지</t>
  </si>
  <si>
    <t>MaxEnergy</t>
  </si>
  <si>
    <t>최대기력</t>
  </si>
  <si>
    <t>GuardReduceRatio</t>
  </si>
  <si>
    <t>기본가드감소율</t>
  </si>
  <si>
    <t>CriticalDamageRatio</t>
  </si>
  <si>
    <t>기본치명데미지율</t>
  </si>
  <si>
    <t>BossHpSliceValue</t>
    <phoneticPr fontId="15" type="noConversion"/>
  </si>
  <si>
    <t>보스체력등분기준</t>
    <phoneticPr fontId="15" type="noConversion"/>
  </si>
  <si>
    <t>Battle_Enum</t>
  </si>
  <si>
    <t>EventType</t>
    <phoneticPr fontId="15" type="noConversion"/>
  </si>
  <si>
    <t>Bgm_Enum</t>
    <phoneticPr fontId="15" type="noConversion"/>
  </si>
  <si>
    <t>BackgroundMusicType</t>
    <phoneticPr fontId="15" type="noConversion"/>
  </si>
  <si>
    <t>Title</t>
  </si>
  <si>
    <t>타이틀</t>
  </si>
  <si>
    <t>Lobby</t>
  </si>
  <si>
    <t>로비</t>
  </si>
  <si>
    <t>NormalBattle</t>
  </si>
  <si>
    <t>일반전투</t>
  </si>
  <si>
    <t>BossBattle</t>
  </si>
  <si>
    <t>보스전투</t>
  </si>
  <si>
    <t>BattleResult</t>
  </si>
  <si>
    <t>전투결과</t>
  </si>
  <si>
    <t>Booster</t>
  </si>
  <si>
    <t>쾌속</t>
  </si>
  <si>
    <t>Character_Enum</t>
    <phoneticPr fontId="15" type="noConversion"/>
  </si>
  <si>
    <t>OriginType</t>
    <phoneticPr fontId="15" type="noConversion"/>
  </si>
  <si>
    <t>Human</t>
  </si>
  <si>
    <t>인간</t>
  </si>
  <si>
    <t>Loli</t>
  </si>
  <si>
    <t>로리</t>
  </si>
  <si>
    <t>Ghost</t>
  </si>
  <si>
    <t>유령</t>
  </si>
  <si>
    <t>Machine</t>
  </si>
  <si>
    <t>기계</t>
  </si>
  <si>
    <t>Goblin</t>
  </si>
  <si>
    <t>고블린</t>
  </si>
  <si>
    <t>Orge</t>
  </si>
  <si>
    <t>오우거</t>
  </si>
  <si>
    <t>Vampire</t>
  </si>
  <si>
    <t>뱀파이어</t>
  </si>
  <si>
    <t>Angel</t>
  </si>
  <si>
    <t>천사</t>
  </si>
  <si>
    <t>Devil</t>
  </si>
  <si>
    <t>악마</t>
  </si>
  <si>
    <t>HalfHuman</t>
  </si>
  <si>
    <t>수인</t>
  </si>
  <si>
    <t>Decay</t>
  </si>
  <si>
    <t>분자</t>
  </si>
  <si>
    <t>Alpha</t>
  </si>
  <si>
    <t>투명 알파</t>
  </si>
  <si>
    <t>Inflated</t>
  </si>
  <si>
    <t>폭발</t>
  </si>
  <si>
    <t>Skin</t>
  </si>
  <si>
    <t>잠수</t>
  </si>
  <si>
    <t>Smog</t>
  </si>
  <si>
    <t>연기</t>
  </si>
  <si>
    <t>DeadType</t>
    <phoneticPr fontId="15" type="noConversion"/>
  </si>
  <si>
    <t>Small</t>
  </si>
  <si>
    <t>소형</t>
  </si>
  <si>
    <t>Medium</t>
  </si>
  <si>
    <t>중형</t>
  </si>
  <si>
    <t>Large</t>
  </si>
  <si>
    <t>대형</t>
  </si>
  <si>
    <t>SizeType</t>
    <phoneticPr fontId="15" type="noConversion"/>
  </si>
  <si>
    <t>ConstCharacterType</t>
    <phoneticPr fontId="15" type="noConversion"/>
  </si>
  <si>
    <t>디폴트대표캐릭터</t>
  </si>
  <si>
    <t>DisposeType</t>
    <phoneticPr fontId="15" type="noConversion"/>
  </si>
  <si>
    <t>Forward</t>
  </si>
  <si>
    <t>전열</t>
  </si>
  <si>
    <t>Backward</t>
  </si>
  <si>
    <t>후열</t>
  </si>
  <si>
    <t>ComboType</t>
    <phoneticPr fontId="15" type="noConversion"/>
  </si>
  <si>
    <t>NonCombo</t>
  </si>
  <si>
    <t>무</t>
  </si>
  <si>
    <t>GreenCombo</t>
  </si>
  <si>
    <t>그린</t>
  </si>
  <si>
    <t>BlueCombo</t>
  </si>
  <si>
    <t>블루</t>
  </si>
  <si>
    <t>YellowCombo</t>
  </si>
  <si>
    <t>옐로우</t>
  </si>
  <si>
    <t>RedCombo</t>
  </si>
  <si>
    <t>레드</t>
  </si>
  <si>
    <t>BlackCombo</t>
  </si>
  <si>
    <t>블랙</t>
  </si>
  <si>
    <t>MaterialType</t>
    <phoneticPr fontId="15" type="noConversion"/>
  </si>
  <si>
    <t>Metal</t>
  </si>
  <si>
    <t>금속</t>
  </si>
  <si>
    <t>가죽</t>
  </si>
  <si>
    <t>Stone</t>
  </si>
  <si>
    <t>돌</t>
  </si>
  <si>
    <t>Gas</t>
  </si>
  <si>
    <t>가스</t>
  </si>
  <si>
    <t>무등급</t>
  </si>
  <si>
    <t>C</t>
  </si>
  <si>
    <t>C등급</t>
  </si>
  <si>
    <t>UC</t>
  </si>
  <si>
    <t>UC등급</t>
  </si>
  <si>
    <t>R</t>
  </si>
  <si>
    <t>R등급</t>
  </si>
  <si>
    <t>SR</t>
  </si>
  <si>
    <t>SR등급</t>
  </si>
  <si>
    <t>SSR</t>
  </si>
  <si>
    <t>SSR등급</t>
  </si>
  <si>
    <t>UR</t>
  </si>
  <si>
    <t>UR등급</t>
  </si>
  <si>
    <t>Attacker</t>
  </si>
  <si>
    <t>어태커</t>
  </si>
  <si>
    <t>Tanker</t>
  </si>
  <si>
    <t>탱커</t>
  </si>
  <si>
    <t>Supporter</t>
  </si>
  <si>
    <t>서포터</t>
  </si>
  <si>
    <t>Ranger</t>
  </si>
  <si>
    <t>레인저</t>
  </si>
  <si>
    <t>Attack</t>
  </si>
  <si>
    <t>공격형</t>
  </si>
  <si>
    <t>Defense</t>
  </si>
  <si>
    <t>방어형</t>
  </si>
  <si>
    <t>ClassType</t>
    <phoneticPr fontId="15" type="noConversion"/>
  </si>
  <si>
    <t>GenderType</t>
    <phoneticPr fontId="15" type="noConversion"/>
  </si>
  <si>
    <t>Female</t>
  </si>
  <si>
    <t>여성</t>
  </si>
  <si>
    <t>Male</t>
  </si>
  <si>
    <t>남성</t>
  </si>
  <si>
    <t>HpRatio</t>
  </si>
  <si>
    <t>체력%이하</t>
  </si>
  <si>
    <t>BuffStart</t>
  </si>
  <si>
    <t>버프시작</t>
  </si>
  <si>
    <t>BuffEnd</t>
  </si>
  <si>
    <t>버프소멸</t>
  </si>
  <si>
    <t>PhaseStandardType</t>
    <phoneticPr fontId="15" type="noConversion"/>
  </si>
  <si>
    <t>CharacterType</t>
    <phoneticPr fontId="15" type="noConversion"/>
  </si>
  <si>
    <t>CommonGrade</t>
  </si>
  <si>
    <t>자코</t>
  </si>
  <si>
    <t>MiddleGrade</t>
  </si>
  <si>
    <t>중보</t>
  </si>
  <si>
    <t>BossGrade</t>
  </si>
  <si>
    <t>보스</t>
  </si>
  <si>
    <t>Battle</t>
  </si>
  <si>
    <t>전투</t>
  </si>
  <si>
    <t>StatType</t>
    <phoneticPr fontId="15" type="noConversion"/>
  </si>
  <si>
    <t>AttackSpeed</t>
  </si>
  <si>
    <t>공격속도</t>
  </si>
  <si>
    <t>공격력</t>
  </si>
  <si>
    <t>방어력</t>
  </si>
  <si>
    <t>SpellPower</t>
  </si>
  <si>
    <t>주문력</t>
  </si>
  <si>
    <t>Resistance</t>
  </si>
  <si>
    <t>주문저항</t>
  </si>
  <si>
    <t>Critical</t>
  </si>
  <si>
    <t>치명</t>
  </si>
  <si>
    <t>Guard</t>
  </si>
  <si>
    <t>막기</t>
  </si>
  <si>
    <t>Hp</t>
  </si>
  <si>
    <t>체력</t>
  </si>
  <si>
    <t>MaxHp</t>
  </si>
  <si>
    <t>최대체력</t>
  </si>
  <si>
    <t>Accuracy</t>
  </si>
  <si>
    <t>명중</t>
  </si>
  <si>
    <t>Evasion</t>
  </si>
  <si>
    <t>회피</t>
  </si>
  <si>
    <t>Tenancity</t>
  </si>
  <si>
    <t>치명저항</t>
  </si>
  <si>
    <t>Impale</t>
  </si>
  <si>
    <t>관통</t>
  </si>
  <si>
    <t>Hp_Ratio</t>
  </si>
  <si>
    <t>체력비율증가</t>
  </si>
  <si>
    <t>Attack_Ratio</t>
  </si>
  <si>
    <t>공격력비율증가</t>
  </si>
  <si>
    <t>Defense_Ratio</t>
  </si>
  <si>
    <t>방어력비율증가</t>
  </si>
  <si>
    <t>EvasionRate</t>
  </si>
  <si>
    <t>회피율증가</t>
  </si>
  <si>
    <t>CriticalRate</t>
  </si>
  <si>
    <t>치명율증가</t>
  </si>
  <si>
    <t>CriticalDamageRate</t>
  </si>
  <si>
    <t>치명피해율증가</t>
  </si>
  <si>
    <t>GuardRate</t>
  </si>
  <si>
    <t>막기율증가</t>
  </si>
  <si>
    <t>FixedDamage</t>
  </si>
  <si>
    <t>고정데미지</t>
  </si>
  <si>
    <t>FixedDefense</t>
  </si>
  <si>
    <t>고정데미지감소</t>
  </si>
  <si>
    <t>MoveSpeed</t>
  </si>
  <si>
    <t>이동속도</t>
  </si>
  <si>
    <t>BackCriticalRate</t>
  </si>
  <si>
    <t>후방치명율증가</t>
  </si>
  <si>
    <t>BackCriticalDamageRate</t>
  </si>
  <si>
    <t>후방치명피해율증가</t>
  </si>
  <si>
    <t>IgnoreDefenseRate</t>
  </si>
  <si>
    <t>방어무시비율증가</t>
  </si>
  <si>
    <t>GainEnergyRate</t>
  </si>
  <si>
    <t>에너지회복율증가</t>
  </si>
  <si>
    <t>DotCriticalRate</t>
  </si>
  <si>
    <t>도트치명율증가</t>
  </si>
  <si>
    <t>UltimateDamageRate</t>
  </si>
  <si>
    <t>궁극기피해율증가</t>
  </si>
  <si>
    <r>
      <t>A</t>
    </r>
    <r>
      <rPr>
        <sz val="11"/>
        <color theme="1"/>
        <rFont val="맑은 고딕"/>
        <family val="2"/>
        <charset val="129"/>
        <scheme val="minor"/>
      </rPr>
      <t>ctive</t>
    </r>
    <r>
      <rPr>
        <sz val="11"/>
        <color theme="1"/>
        <rFont val="맑은 고딕"/>
        <family val="2"/>
        <charset val="129"/>
        <scheme val="minor"/>
      </rPr>
      <t>DamageRate</t>
    </r>
    <phoneticPr fontId="15" type="noConversion"/>
  </si>
  <si>
    <t>스킬피해율증가</t>
    <phoneticPr fontId="15" type="noConversion"/>
  </si>
  <si>
    <t>DefaultRepresentCharacter</t>
    <phoneticPr fontId="15" type="noConversion"/>
  </si>
  <si>
    <t>ConstBattleType</t>
    <phoneticPr fontId="15" type="noConversion"/>
  </si>
  <si>
    <t>ConditionType</t>
    <phoneticPr fontId="15" type="noConversion"/>
  </si>
  <si>
    <t>Condition_Enum</t>
    <phoneticPr fontId="15" type="noConversion"/>
  </si>
  <si>
    <t>AccountLevel</t>
  </si>
  <si>
    <t>계정레벨</t>
  </si>
  <si>
    <t>CharacterLevel</t>
  </si>
  <si>
    <t>캐릭터레벨</t>
  </si>
  <si>
    <t>Stage</t>
  </si>
  <si>
    <t>스테이지</t>
  </si>
  <si>
    <t>Gold</t>
  </si>
  <si>
    <t>골드</t>
  </si>
  <si>
    <t>Item</t>
  </si>
  <si>
    <t>아이템</t>
  </si>
  <si>
    <t>Diamond</t>
  </si>
  <si>
    <t>다이아몬드</t>
  </si>
  <si>
    <t>Skill</t>
  </si>
  <si>
    <t>스킬</t>
  </si>
  <si>
    <t>ItemSlot</t>
  </si>
  <si>
    <t>아이템슬롯레벨</t>
  </si>
  <si>
    <t>SkillSlot</t>
  </si>
  <si>
    <t>스킬슬롯레벨</t>
  </si>
  <si>
    <t>Day</t>
  </si>
  <si>
    <t>요일</t>
  </si>
  <si>
    <t>CharacterGrade</t>
  </si>
  <si>
    <t>캐릭터등급</t>
  </si>
  <si>
    <t>StagePlay</t>
  </si>
  <si>
    <t>스테이지플레이</t>
  </si>
  <si>
    <t>예비</t>
  </si>
  <si>
    <t>CharacterPromote</t>
  </si>
  <si>
    <t>캐릭터승급</t>
  </si>
  <si>
    <t>CharacterAttribute</t>
  </si>
  <si>
    <t>캐릭터속성</t>
  </si>
  <si>
    <t>Shop</t>
  </si>
  <si>
    <t>상점</t>
  </si>
  <si>
    <t>Gacha</t>
  </si>
  <si>
    <t>뽑기</t>
  </si>
  <si>
    <t>Guild</t>
  </si>
  <si>
    <t>길드</t>
  </si>
  <si>
    <t>Mission</t>
  </si>
  <si>
    <t>미션</t>
  </si>
  <si>
    <t>Mail</t>
  </si>
  <si>
    <t>우편함</t>
  </si>
  <si>
    <t>Friend</t>
  </si>
  <si>
    <t>친구</t>
  </si>
  <si>
    <t>Notice</t>
  </si>
  <si>
    <t>공지</t>
  </si>
  <si>
    <t>ItemTab</t>
  </si>
  <si>
    <t>아이템탭</t>
  </si>
  <si>
    <t>Setting</t>
  </si>
  <si>
    <t>설정</t>
  </si>
  <si>
    <t>CharacterTab</t>
  </si>
  <si>
    <t>캐릭터탭</t>
  </si>
  <si>
    <t>CommonCurrency</t>
  </si>
  <si>
    <t>통합재화</t>
  </si>
  <si>
    <t>Chat</t>
  </si>
  <si>
    <t>채팅</t>
  </si>
  <si>
    <t>Inventory</t>
  </si>
  <si>
    <t>인벤토리</t>
  </si>
  <si>
    <t>Operator</t>
  </si>
  <si>
    <t>오퍼레이터</t>
  </si>
  <si>
    <t>Likeability</t>
  </si>
  <si>
    <t>호감도</t>
  </si>
  <si>
    <t>OperatorScout</t>
  </si>
  <si>
    <t>오퍼레이터영입</t>
  </si>
  <si>
    <t>SeasonBattle</t>
  </si>
  <si>
    <t>특수작전</t>
  </si>
  <si>
    <t>Operation</t>
  </si>
  <si>
    <t>작전</t>
  </si>
  <si>
    <t>TrainingMode</t>
  </si>
  <si>
    <t>가상훈련</t>
  </si>
  <si>
    <t>WeeklyMode</t>
  </si>
  <si>
    <t>요일전투</t>
  </si>
  <si>
    <t>DispatchMode</t>
  </si>
  <si>
    <t>파견미션</t>
  </si>
  <si>
    <t>ContentsType</t>
    <phoneticPr fontId="15" type="noConversion"/>
  </si>
  <si>
    <t>UnlockSettingType</t>
    <phoneticPr fontId="15" type="noConversion"/>
  </si>
  <si>
    <t>None</t>
    <phoneticPr fontId="15" type="noConversion"/>
  </si>
  <si>
    <t>ContentsUnlock_Enum</t>
    <phoneticPr fontId="15" type="noConversion"/>
  </si>
  <si>
    <t>StaminaRecoveryLimit</t>
  </si>
  <si>
    <t>입장재화자동획득최대량기본값</t>
  </si>
  <si>
    <t>StaminaMax</t>
  </si>
  <si>
    <t>입장재화최대보유량</t>
  </si>
  <si>
    <t>StaminaRecoveryTime</t>
  </si>
  <si>
    <t>입장재화충전시간</t>
  </si>
  <si>
    <t>Character</t>
  </si>
  <si>
    <t>캐릭터</t>
  </si>
  <si>
    <t>CharacterExp</t>
  </si>
  <si>
    <t>캐릭터경험치</t>
  </si>
  <si>
    <t>AccountExp</t>
  </si>
  <si>
    <t>계정경험치</t>
  </si>
  <si>
    <t>다이아</t>
  </si>
  <si>
    <t>CashDiamond</t>
  </si>
  <si>
    <t>캐쉬다이아</t>
  </si>
  <si>
    <t>FreeDiamond</t>
  </si>
  <si>
    <t>무료다이아</t>
  </si>
  <si>
    <t>가챠</t>
  </si>
  <si>
    <t>StageReward</t>
  </si>
  <si>
    <t>스테이지보상</t>
  </si>
  <si>
    <t>Stamina</t>
  </si>
  <si>
    <t>입장재화</t>
  </si>
  <si>
    <t>OperatorPoint</t>
  </si>
  <si>
    <t>오퍼레이터포인트</t>
  </si>
  <si>
    <t>FriendshipPoint</t>
  </si>
  <si>
    <t>우정포인트</t>
  </si>
  <si>
    <t>TrainingStatPoint</t>
  </si>
  <si>
    <t>가상훈련스탯포인트</t>
  </si>
  <si>
    <t>LikeabilityExp</t>
  </si>
  <si>
    <t>호감도경험치</t>
  </si>
  <si>
    <t>MissionPoint</t>
  </si>
  <si>
    <t>미션포인트</t>
  </si>
  <si>
    <t>Hologram</t>
  </si>
  <si>
    <t>홀로그램</t>
  </si>
  <si>
    <t>HologramParts</t>
  </si>
  <si>
    <t>홀로그램파츠</t>
  </si>
  <si>
    <t>Currency_Enum</t>
    <phoneticPr fontId="15" type="noConversion"/>
  </si>
  <si>
    <t>CurrencyType</t>
    <phoneticPr fontId="15" type="noConversion"/>
  </si>
  <si>
    <t>ConstCurrencyType</t>
    <phoneticPr fontId="15" type="noConversion"/>
  </si>
  <si>
    <t>#AllType</t>
    <phoneticPr fontId="15" type="noConversion"/>
  </si>
  <si>
    <t>Sun</t>
  </si>
  <si>
    <t>일</t>
  </si>
  <si>
    <t>Mon</t>
  </si>
  <si>
    <t>월</t>
  </si>
  <si>
    <t>Tue</t>
  </si>
  <si>
    <t>화</t>
  </si>
  <si>
    <t>Wed</t>
  </si>
  <si>
    <t>수</t>
  </si>
  <si>
    <t>Thu</t>
  </si>
  <si>
    <t>목</t>
  </si>
  <si>
    <t>Fri</t>
  </si>
  <si>
    <t>금</t>
  </si>
  <si>
    <t>Sat</t>
  </si>
  <si>
    <t>토</t>
  </si>
  <si>
    <t>Day_Enum</t>
    <phoneticPr fontId="15" type="noConversion"/>
  </si>
  <si>
    <t>DayType</t>
    <phoneticPr fontId="15" type="noConversion"/>
  </si>
  <si>
    <t>DisplayMax</t>
  </si>
  <si>
    <t>파견미션표시최대수</t>
  </si>
  <si>
    <t>ResetCost</t>
  </si>
  <si>
    <t>파견미션리셋비용</t>
  </si>
  <si>
    <t>ConstDispatchType</t>
    <phoneticPr fontId="15" type="noConversion"/>
  </si>
  <si>
    <t>ConstFriendType</t>
    <phoneticPr fontId="15" type="noConversion"/>
  </si>
  <si>
    <t>MaxFriendCount</t>
  </si>
  <si>
    <t>친구보유최대값</t>
  </si>
  <si>
    <t>MaxAwaiterCount</t>
  </si>
  <si>
    <t>친구요청리스트보유최대값</t>
  </si>
  <si>
    <t>MaxFollowerAwaiterCount</t>
  </si>
  <si>
    <t>친구수락리스트보유최대값</t>
  </si>
  <si>
    <t>RecommendTimeRage</t>
  </si>
  <si>
    <t>친구추천_마지막접속시간_조건범위값_초</t>
  </si>
  <si>
    <t>RecommendLevelRage</t>
  </si>
  <si>
    <t>친구추천_함장레벨_조건범위값</t>
  </si>
  <si>
    <t>RecommendPageCount</t>
  </si>
  <si>
    <t>친구추천_리스트출력유저수</t>
  </si>
  <si>
    <t>SearchPage</t>
  </si>
  <si>
    <t>친구검색_페이지</t>
  </si>
  <si>
    <t>FriendPointUnit</t>
  </si>
  <si>
    <t>친구목록_우정포인트획득값</t>
  </si>
  <si>
    <t>FriendPointResetHour</t>
  </si>
  <si>
    <t>친구목록_우정포인트리셋시각</t>
  </si>
  <si>
    <t>Friend_Enum</t>
    <phoneticPr fontId="15" type="noConversion"/>
  </si>
  <si>
    <t>Guild_Enum</t>
    <phoneticPr fontId="15" type="noConversion"/>
  </si>
  <si>
    <t>Master</t>
  </si>
  <si>
    <t>길드장</t>
  </si>
  <si>
    <t>Manager</t>
  </si>
  <si>
    <t>부길드장</t>
  </si>
  <si>
    <t>EliteMember</t>
  </si>
  <si>
    <t>정예길드원</t>
  </si>
  <si>
    <t>RegularMember</t>
  </si>
  <si>
    <t>정회원</t>
  </si>
  <si>
    <t>Waiting</t>
  </si>
  <si>
    <t>가입대기</t>
  </si>
  <si>
    <t>GuildMemberGradeType</t>
    <phoneticPr fontId="15" type="noConversion"/>
  </si>
  <si>
    <t>ConstGuildType</t>
    <phoneticPr fontId="15" type="noConversion"/>
  </si>
  <si>
    <t>MemberLimit</t>
  </si>
  <si>
    <t>가입인원제한</t>
  </si>
  <si>
    <t>AwaiterLimit</t>
  </si>
  <si>
    <t>가입대기인원제한</t>
  </si>
  <si>
    <t>JoinCoolTime</t>
  </si>
  <si>
    <t>재가입대기시간_초</t>
  </si>
  <si>
    <t>CreateGuildFeeGold</t>
  </si>
  <si>
    <t>길드생성비용_골드</t>
  </si>
  <si>
    <t>ManagerLimit</t>
  </si>
  <si>
    <t>부마스터임명가능수</t>
  </si>
  <si>
    <t>GuildGrantType</t>
    <phoneticPr fontId="15" type="noConversion"/>
  </si>
  <si>
    <t>MemberApproval</t>
  </si>
  <si>
    <t>가입승인</t>
  </si>
  <si>
    <t>MemberBanishment</t>
  </si>
  <si>
    <t>추방</t>
  </si>
  <si>
    <t>AppointManager</t>
  </si>
  <si>
    <t>부마스터임명</t>
  </si>
  <si>
    <t>WithdrawalManager</t>
  </si>
  <si>
    <t>부마스터회수</t>
  </si>
  <si>
    <t>JoinMethodChange</t>
  </si>
  <si>
    <t>가입룰변경</t>
  </si>
  <si>
    <t>공지작성</t>
  </si>
  <si>
    <t>CancelJoin</t>
  </si>
  <si>
    <t>가입취소</t>
  </si>
  <si>
    <t>Hologram_Enum</t>
    <phoneticPr fontId="15" type="noConversion"/>
  </si>
  <si>
    <t>HologamPartsGroupType</t>
    <phoneticPr fontId="15" type="noConversion"/>
  </si>
  <si>
    <t>ConstHologramType</t>
    <phoneticPr fontId="15" type="noConversion"/>
  </si>
  <si>
    <t>HologramEquipSlotType</t>
    <phoneticPr fontId="15" type="noConversion"/>
  </si>
  <si>
    <t>착용안함</t>
  </si>
  <si>
    <t>Head</t>
  </si>
  <si>
    <t>머리</t>
  </si>
  <si>
    <t>Body</t>
  </si>
  <si>
    <t>몸통</t>
  </si>
  <si>
    <t>Weapon</t>
  </si>
  <si>
    <t>무기</t>
  </si>
  <si>
    <t>Hand</t>
  </si>
  <si>
    <t>손</t>
  </si>
  <si>
    <t>Feet</t>
  </si>
  <si>
    <t>발</t>
  </si>
  <si>
    <t>MaxLevelupMaterialQty</t>
  </si>
  <si>
    <t>강화재료최대개수</t>
  </si>
  <si>
    <t>Defence</t>
  </si>
  <si>
    <t>Support</t>
  </si>
  <si>
    <t>지원형</t>
  </si>
  <si>
    <t>ItemType</t>
    <phoneticPr fontId="15" type="noConversion"/>
  </si>
  <si>
    <t>InventoryCategoryType</t>
    <phoneticPr fontId="15" type="noConversion"/>
  </si>
  <si>
    <t>InventoryCharacterPiece</t>
  </si>
  <si>
    <t>캐릭터조각</t>
  </si>
  <si>
    <t>InventoryEtc</t>
  </si>
  <si>
    <t>기타</t>
  </si>
  <si>
    <t>InventoryBM</t>
  </si>
  <si>
    <t>구매</t>
  </si>
  <si>
    <t>ItemMaterial</t>
  </si>
  <si>
    <t>재료</t>
  </si>
  <si>
    <t>ItemTicket</t>
  </si>
  <si>
    <t>티켓</t>
  </si>
  <si>
    <t>ItemHologram</t>
  </si>
  <si>
    <t>ItemCostume</t>
  </si>
  <si>
    <t>스킨</t>
  </si>
  <si>
    <t>ItemHologramParts</t>
  </si>
  <si>
    <t>ItemCharacterPiece</t>
  </si>
  <si>
    <t>ItemHologramMaterial</t>
  </si>
  <si>
    <t>홀로그램강화재료</t>
  </si>
  <si>
    <t>Likeability_Enum</t>
    <phoneticPr fontId="15" type="noConversion"/>
  </si>
  <si>
    <t>ConstLikeabilityType</t>
    <phoneticPr fontId="15" type="noConversion"/>
  </si>
  <si>
    <t>BattleClearLikeability</t>
  </si>
  <si>
    <t>전투클리어호감도계수</t>
  </si>
  <si>
    <t>LobbyInteractionLikeability</t>
  </si>
  <si>
    <t>로비인터랙션호감도</t>
  </si>
  <si>
    <t>LobbyInteractionCooltime</t>
  </si>
  <si>
    <t>로비인터랙션획득쿨타임(초)</t>
  </si>
  <si>
    <t>LobbyInteractionMaxLikeabilityDaily</t>
  </si>
  <si>
    <t>로비인터랙션일일획득최대값</t>
  </si>
  <si>
    <t>MaxLevelUsingExp</t>
  </si>
  <si>
    <t>경험치최대레벨</t>
  </si>
  <si>
    <t>System</t>
  </si>
  <si>
    <t>시스템메일</t>
  </si>
  <si>
    <t>공지메일</t>
  </si>
  <si>
    <t>MailType</t>
    <phoneticPr fontId="15" type="noConversion"/>
  </si>
  <si>
    <t>Mail_Enum</t>
    <phoneticPr fontId="15" type="noConversion"/>
  </si>
  <si>
    <t>StatisticsType</t>
    <phoneticPr fontId="15" type="noConversion"/>
  </si>
  <si>
    <t>Mission_Enum</t>
    <phoneticPr fontId="15" type="noConversion"/>
  </si>
  <si>
    <t>Login</t>
  </si>
  <si>
    <t>누적로그인</t>
  </si>
  <si>
    <t>ChapterClear</t>
  </si>
  <si>
    <t>챕터클리어</t>
  </si>
  <si>
    <t>StageClear</t>
  </si>
  <si>
    <t>스테이지클리어</t>
  </si>
  <si>
    <t>AccumulateStageClear</t>
  </si>
  <si>
    <t>누적스테이지클리어</t>
  </si>
  <si>
    <t>ItemEquip</t>
  </si>
  <si>
    <t>장비장착</t>
  </si>
  <si>
    <t>SkillLvUp</t>
  </si>
  <si>
    <t>캐릭터스킬레벨업</t>
  </si>
  <si>
    <t>Chatting</t>
  </si>
  <si>
    <t>채팅하기</t>
  </si>
  <si>
    <t>FriendAdd</t>
  </si>
  <si>
    <t>친구추가</t>
  </si>
  <si>
    <t>PetExplore</t>
  </si>
  <si>
    <t>오퍼탐험</t>
  </si>
  <si>
    <t>PetGet</t>
  </si>
  <si>
    <t>오퍼포획</t>
  </si>
  <si>
    <t>PetSell</t>
  </si>
  <si>
    <t>오퍼방생</t>
  </si>
  <si>
    <t>AcountLv</t>
  </si>
  <si>
    <t>CharacterLv</t>
  </si>
  <si>
    <t>DailyMissionPoint</t>
  </si>
  <si>
    <t>일일미션포인트</t>
  </si>
  <si>
    <t>WeeklyMissionPoint</t>
  </si>
  <si>
    <t>주간미션포인트</t>
  </si>
  <si>
    <t>CharacterExpUp</t>
  </si>
  <si>
    <t>전투원경험치강화</t>
  </si>
  <si>
    <t>EnemyKill</t>
  </si>
  <si>
    <t>적처치</t>
  </si>
  <si>
    <t>ShopPurchase</t>
  </si>
  <si>
    <t>상점구매</t>
  </si>
  <si>
    <t>Supply</t>
  </si>
  <si>
    <t>보급</t>
  </si>
  <si>
    <t>HologramExpUp</t>
  </si>
  <si>
    <t>홀로그램강화</t>
  </si>
  <si>
    <t>CharacterPossess</t>
  </si>
  <si>
    <t>전투원보유</t>
  </si>
  <si>
    <t>MissionGoalUiType</t>
    <phoneticPr fontId="15" type="noConversion"/>
  </si>
  <si>
    <t>Goalcount</t>
  </si>
  <si>
    <t>목표값</t>
  </si>
  <si>
    <t>Flag</t>
  </si>
  <si>
    <t>플래그</t>
  </si>
  <si>
    <t>AcountMission</t>
  </si>
  <si>
    <t>계정전용</t>
  </si>
  <si>
    <t>CharacterMission</t>
  </si>
  <si>
    <t>캐릭터전용</t>
  </si>
  <si>
    <t>MissionCheckType</t>
    <phoneticPr fontId="15" type="noConversion"/>
  </si>
  <si>
    <t>MissionCategoryType</t>
    <phoneticPr fontId="15" type="noConversion"/>
  </si>
  <si>
    <t>Main</t>
  </si>
  <si>
    <t>메인미션</t>
  </si>
  <si>
    <t>Daily</t>
  </si>
  <si>
    <t>일일미션</t>
  </si>
  <si>
    <t>DailyPoint</t>
  </si>
  <si>
    <t>Weekly</t>
  </si>
  <si>
    <t>주간미션</t>
  </si>
  <si>
    <t>WeeklyPoint</t>
  </si>
  <si>
    <t>Attendance</t>
  </si>
  <si>
    <t>출석부</t>
  </si>
  <si>
    <t>MainScenario</t>
  </si>
  <si>
    <t>메인미션시나리오</t>
  </si>
  <si>
    <t>Event</t>
  </si>
  <si>
    <t>이벤트미션</t>
  </si>
  <si>
    <t>Achievement</t>
  </si>
  <si>
    <t>업적</t>
  </si>
  <si>
    <t>DailyMissionMax</t>
  </si>
  <si>
    <t>일일미션최대치</t>
  </si>
  <si>
    <t>WeeklyMissionMax</t>
  </si>
  <si>
    <t>주간미션최대치</t>
  </si>
  <si>
    <t>ConstMissionType</t>
    <phoneticPr fontId="15" type="noConversion"/>
  </si>
  <si>
    <t>ConstMissionResetType</t>
    <phoneticPr fontId="15" type="noConversion"/>
  </si>
  <si>
    <t>DailyMission</t>
  </si>
  <si>
    <t>일일미션초기화</t>
  </si>
  <si>
    <t>WeeklyMission</t>
  </si>
  <si>
    <t>주간미션초기화</t>
  </si>
  <si>
    <t>Date</t>
  </si>
  <si>
    <t>특정일시</t>
  </si>
  <si>
    <t>Newbie</t>
  </si>
  <si>
    <t>신규가입</t>
  </si>
  <si>
    <t>MissionGenerateType</t>
    <phoneticPr fontId="15" type="noConversion"/>
  </si>
  <si>
    <t>StatisticsCalculateType</t>
    <phoneticPr fontId="15" type="noConversion"/>
  </si>
  <si>
    <t>Max</t>
  </si>
  <si>
    <t>최대</t>
  </si>
  <si>
    <t>Count</t>
  </si>
  <si>
    <t>횟수</t>
  </si>
  <si>
    <t>Sum</t>
  </si>
  <si>
    <t>합산</t>
  </si>
  <si>
    <t>DailyOnce</t>
  </si>
  <si>
    <t>일일한번</t>
  </si>
  <si>
    <t>Equality</t>
  </si>
  <si>
    <t>동등</t>
  </si>
  <si>
    <t>Always</t>
  </si>
  <si>
    <t>매번</t>
  </si>
  <si>
    <t>StatisticsRecordType</t>
    <phoneticPr fontId="15" type="noConversion"/>
  </si>
  <si>
    <t>MissionPointType</t>
    <phoneticPr fontId="15" type="noConversion"/>
  </si>
  <si>
    <t>일일</t>
  </si>
  <si>
    <t>주간</t>
  </si>
  <si>
    <t>Dispatch_Enum</t>
    <phoneticPr fontId="15" type="noConversion"/>
  </si>
  <si>
    <t>OnAllyCount</t>
  </si>
  <si>
    <t>OnEnemyCount</t>
  </si>
  <si>
    <t>OnStart</t>
  </si>
  <si>
    <t>OnEnd</t>
  </si>
  <si>
    <t>OnDefeat</t>
  </si>
  <si>
    <t>OnAllyDie</t>
  </si>
  <si>
    <t>OnEnemyDie</t>
  </si>
  <si>
    <t>OnBossCastSkill</t>
  </si>
  <si>
    <t>OnAllyHpBelow</t>
  </si>
  <si>
    <t>OnEnemyHpBelow</t>
  </si>
  <si>
    <t>Option_Enum</t>
    <phoneticPr fontId="15" type="noConversion"/>
  </si>
  <si>
    <t>경험치획득</t>
  </si>
  <si>
    <t>HologramExp</t>
  </si>
  <si>
    <t>홀로그램경험치획득</t>
  </si>
  <si>
    <t>OptionType</t>
    <phoneticPr fontId="15" type="noConversion"/>
  </si>
  <si>
    <t>Reward_Enum</t>
    <phoneticPr fontId="15" type="noConversion"/>
  </si>
  <si>
    <t>RewardCharacterType</t>
    <phoneticPr fontId="15" type="noConversion"/>
  </si>
  <si>
    <t>RewardType</t>
    <phoneticPr fontId="15" type="noConversion"/>
  </si>
  <si>
    <t>RewardProbabilityType</t>
    <phoneticPr fontId="15" type="noConversion"/>
  </si>
  <si>
    <t>All</t>
  </si>
  <si>
    <t>전체</t>
  </si>
  <si>
    <t>전투참여</t>
  </si>
  <si>
    <t>Select</t>
  </si>
  <si>
    <t>선택</t>
  </si>
  <si>
    <t>StageFirst</t>
  </si>
  <si>
    <t>스테이지첫보상</t>
  </si>
  <si>
    <t>Dispatch</t>
  </si>
  <si>
    <t>파견</t>
  </si>
  <si>
    <t>VirtualTraining</t>
  </si>
  <si>
    <t>Individual</t>
  </si>
  <si>
    <t>개별</t>
  </si>
  <si>
    <t>Shop_Enum</t>
    <phoneticPr fontId="15" type="noConversion"/>
  </si>
  <si>
    <t>ShopCategoryType</t>
    <phoneticPr fontId="15" type="noConversion"/>
  </si>
  <si>
    <t>GachaGradeType</t>
    <phoneticPr fontId="15" type="noConversion"/>
  </si>
  <si>
    <t>Normal</t>
  </si>
  <si>
    <t>일반</t>
  </si>
  <si>
    <t>Rare</t>
  </si>
  <si>
    <t>고급</t>
  </si>
  <si>
    <t>SpecialRare</t>
  </si>
  <si>
    <t>희귀</t>
  </si>
  <si>
    <t>ItemEquipment</t>
  </si>
  <si>
    <t>장착아이템</t>
  </si>
  <si>
    <t>재료아이템</t>
  </si>
  <si>
    <t>골드상점</t>
  </si>
  <si>
    <t>오퍼레이터포인트상점</t>
  </si>
  <si>
    <t>NormalShop</t>
  </si>
  <si>
    <t>일반상점</t>
  </si>
  <si>
    <t>CurrencyShop</t>
  </si>
  <si>
    <t>재화상점</t>
  </si>
  <si>
    <t>GachaConditionType</t>
    <phoneticPr fontId="15" type="noConversion"/>
  </si>
  <si>
    <t>AccountLevelUnlock</t>
  </si>
  <si>
    <t>계정레벨잠금해제</t>
  </si>
  <si>
    <t>Exposure</t>
  </si>
  <si>
    <t>노출</t>
  </si>
  <si>
    <t>FreeRotationMethodType</t>
    <phoneticPr fontId="15" type="noConversion"/>
  </si>
  <si>
    <t>Stack</t>
  </si>
  <si>
    <t>스택</t>
  </si>
  <si>
    <t>Ticket</t>
  </si>
  <si>
    <t>Skill_Enum</t>
    <phoneticPr fontId="15" type="noConversion"/>
  </si>
  <si>
    <t>SkillType</t>
    <phoneticPr fontId="15" type="noConversion"/>
  </si>
  <si>
    <t>Active</t>
  </si>
  <si>
    <t>액티브</t>
  </si>
  <si>
    <t>Passive</t>
  </si>
  <si>
    <t>패시브</t>
  </si>
  <si>
    <t>BuffTimeType</t>
    <phoneticPr fontId="15" type="noConversion"/>
  </si>
  <si>
    <t>Update</t>
  </si>
  <si>
    <t>갱신</t>
  </si>
  <si>
    <t>누적</t>
  </si>
  <si>
    <t>Damage</t>
  </si>
  <si>
    <t>데미지</t>
  </si>
  <si>
    <t>Heal</t>
  </si>
  <si>
    <t>힐</t>
  </si>
  <si>
    <t>Dot</t>
  </si>
  <si>
    <t>도트데미지</t>
  </si>
  <si>
    <t>Hot</t>
  </si>
  <si>
    <t>도트힐</t>
  </si>
  <si>
    <t>Status</t>
  </si>
  <si>
    <t>스탯</t>
  </si>
  <si>
    <t>이벤트</t>
  </si>
  <si>
    <t>Stun</t>
  </si>
  <si>
    <t>스턴</t>
  </si>
  <si>
    <t>Airborn</t>
  </si>
  <si>
    <t>에어본</t>
  </si>
  <si>
    <t>넉백</t>
  </si>
  <si>
    <t>Shield</t>
  </si>
  <si>
    <t>실드</t>
  </si>
  <si>
    <t>Remove</t>
  </si>
  <si>
    <t>제거</t>
  </si>
  <si>
    <t>Summon</t>
  </si>
  <si>
    <t>소환</t>
  </si>
  <si>
    <t>Area</t>
  </si>
  <si>
    <t>영역</t>
  </si>
  <si>
    <t>Bombing</t>
  </si>
  <si>
    <t>폭격</t>
  </si>
  <si>
    <t>Resist</t>
  </si>
  <si>
    <t>저항</t>
  </si>
  <si>
    <t>Indomitable</t>
  </si>
  <si>
    <t>불굴</t>
  </si>
  <si>
    <t>Provoke</t>
  </si>
  <si>
    <t>도발</t>
  </si>
  <si>
    <t>Cooldown</t>
  </si>
  <si>
    <t>쿨타임</t>
  </si>
  <si>
    <t>Recharge</t>
  </si>
  <si>
    <t>리차지</t>
  </si>
  <si>
    <t>Invincible</t>
  </si>
  <si>
    <t>무적</t>
  </si>
  <si>
    <t>Revive</t>
  </si>
  <si>
    <t>부활</t>
  </si>
  <si>
    <t>EffectType</t>
    <phoneticPr fontId="15" type="noConversion"/>
  </si>
  <si>
    <t>Hunt</t>
  </si>
  <si>
    <t>사냥</t>
  </si>
  <si>
    <t>AutoHunt</t>
  </si>
  <si>
    <t>자동사냥</t>
  </si>
  <si>
    <t>R1</t>
  </si>
  <si>
    <t>예비1</t>
  </si>
  <si>
    <t>R2</t>
  </si>
  <si>
    <t>예비2</t>
  </si>
  <si>
    <t>R3</t>
  </si>
  <si>
    <t>예비3</t>
  </si>
  <si>
    <t>R4</t>
  </si>
  <si>
    <t>예비4</t>
  </si>
  <si>
    <t>R5</t>
  </si>
  <si>
    <t>예비5</t>
  </si>
  <si>
    <t>SkillDeckType</t>
    <phoneticPr fontId="15" type="noConversion"/>
  </si>
  <si>
    <t>궁극</t>
  </si>
  <si>
    <t>SkillLevelUpType</t>
    <phoneticPr fontId="15" type="noConversion"/>
  </si>
  <si>
    <t>TeamType</t>
    <phoneticPr fontId="15" type="noConversion"/>
  </si>
  <si>
    <t>NONE</t>
  </si>
  <si>
    <t>Blue</t>
  </si>
  <si>
    <t>BLUE</t>
  </si>
  <si>
    <t>Red</t>
  </si>
  <si>
    <t>RED</t>
  </si>
  <si>
    <t>ConstSkillType</t>
    <phoneticPr fontId="15" type="noConversion"/>
  </si>
  <si>
    <t>MaxSkillSlot</t>
  </si>
  <si>
    <t>최대스킬슬롯</t>
  </si>
  <si>
    <t>MaxSkillLevel</t>
  </si>
  <si>
    <t>최대스킬레벨</t>
  </si>
  <si>
    <t>GlobalCoolDown</t>
  </si>
  <si>
    <t>글로벌쿨타임</t>
  </si>
  <si>
    <t>DamageType</t>
    <phoneticPr fontId="15" type="noConversion"/>
  </si>
  <si>
    <t>일반타입</t>
  </si>
  <si>
    <t>Spell</t>
  </si>
  <si>
    <t>주문타입</t>
  </si>
  <si>
    <t>SkillTargetType</t>
    <phoneticPr fontId="15" type="noConversion"/>
  </si>
  <si>
    <t>Self</t>
  </si>
  <si>
    <t>자신</t>
  </si>
  <si>
    <t>Enemy</t>
  </si>
  <si>
    <t>적</t>
  </si>
  <si>
    <t>Ally</t>
  </si>
  <si>
    <t>아군</t>
  </si>
  <si>
    <t>Base</t>
  </si>
  <si>
    <t>진영</t>
  </si>
  <si>
    <t>체력이낮은</t>
  </si>
  <si>
    <t>체력이높은</t>
  </si>
  <si>
    <t>LowDef</t>
  </si>
  <si>
    <t>방어력이낮은</t>
  </si>
  <si>
    <t>방어력이높은</t>
  </si>
  <si>
    <t>LowAtk</t>
  </si>
  <si>
    <t>공격력이낮은</t>
  </si>
  <si>
    <t>HighAtk</t>
  </si>
  <si>
    <t>공격력이높은</t>
  </si>
  <si>
    <t>Farthest</t>
  </si>
  <si>
    <t>가장먼</t>
  </si>
  <si>
    <t>Sequence</t>
  </si>
  <si>
    <t>순차</t>
  </si>
  <si>
    <t>Circle</t>
  </si>
  <si>
    <t>순환</t>
  </si>
  <si>
    <t>Back</t>
  </si>
  <si>
    <t>뒤</t>
  </si>
  <si>
    <t>Pass</t>
  </si>
  <si>
    <t>통과</t>
  </si>
  <si>
    <t>EffectTargetType</t>
    <phoneticPr fontId="15" type="noConversion"/>
  </si>
  <si>
    <t>사망자</t>
  </si>
  <si>
    <t>EventCauser</t>
    <phoneticPr fontId="15" type="noConversion"/>
  </si>
  <si>
    <t>이펙트가</t>
  </si>
  <si>
    <t>Opponent</t>
  </si>
  <si>
    <t>상대가</t>
  </si>
  <si>
    <t>Me</t>
  </si>
  <si>
    <t>내가</t>
  </si>
  <si>
    <t>OnEffect</t>
  </si>
  <si>
    <t>발동시</t>
  </si>
  <si>
    <t>OnHit</t>
  </si>
  <si>
    <t>타격시</t>
  </si>
  <si>
    <t>OnCritical</t>
  </si>
  <si>
    <t>치명타시</t>
  </si>
  <si>
    <t>OnDodge</t>
  </si>
  <si>
    <t>회피시</t>
  </si>
  <si>
    <t>OnBlock</t>
  </si>
  <si>
    <t>막을시</t>
  </si>
  <si>
    <t>OnStun</t>
  </si>
  <si>
    <t>스턴시</t>
  </si>
  <si>
    <t>OnAirborn</t>
  </si>
  <si>
    <t>에어본시</t>
  </si>
  <si>
    <t>OnKnockback</t>
  </si>
  <si>
    <t>넉백시</t>
  </si>
  <si>
    <t>OnBackHit</t>
  </si>
  <si>
    <t>후방타격시</t>
  </si>
  <si>
    <t>OnHeal</t>
  </si>
  <si>
    <t>체력회복시</t>
  </si>
  <si>
    <t>OnKill</t>
  </si>
  <si>
    <t>죽일시</t>
  </si>
  <si>
    <t>EffectCondition</t>
    <phoneticPr fontId="15" type="noConversion"/>
  </si>
  <si>
    <t>AreaTargetType</t>
    <phoneticPr fontId="15" type="noConversion"/>
  </si>
  <si>
    <t>Caster</t>
  </si>
  <si>
    <t>시전자</t>
  </si>
  <si>
    <t>Target</t>
  </si>
  <si>
    <t>대상</t>
  </si>
  <si>
    <t>EffectAreaType</t>
    <phoneticPr fontId="15" type="noConversion"/>
  </si>
  <si>
    <t>Single</t>
  </si>
  <si>
    <t>단일</t>
  </si>
  <si>
    <t>원</t>
  </si>
  <si>
    <t>Arc</t>
  </si>
  <si>
    <t>호</t>
  </si>
  <si>
    <t>Square</t>
  </si>
  <si>
    <t>사각</t>
  </si>
  <si>
    <t>Stat</t>
  </si>
  <si>
    <t>이펙트</t>
  </si>
  <si>
    <t>CastDamage</t>
  </si>
  <si>
    <t>시전피해</t>
  </si>
  <si>
    <t>Absolute</t>
  </si>
  <si>
    <t>절대값</t>
  </si>
  <si>
    <t>Relative</t>
  </si>
  <si>
    <t>상대값</t>
  </si>
  <si>
    <t>EffectValueType</t>
    <phoneticPr fontId="15" type="noConversion"/>
  </si>
  <si>
    <t>Stage_Enum</t>
    <phoneticPr fontId="15" type="noConversion"/>
  </si>
  <si>
    <t>Scenario</t>
  </si>
  <si>
    <t>시나리오</t>
  </si>
  <si>
    <t>Boss</t>
  </si>
  <si>
    <t>침공방어</t>
  </si>
  <si>
    <t>요일던전</t>
  </si>
  <si>
    <t>Tutorial</t>
  </si>
  <si>
    <t>튜토리얼</t>
  </si>
  <si>
    <t>TimelineActionType</t>
    <phoneticPr fontId="15" type="noConversion"/>
  </si>
  <si>
    <t>Path</t>
  </si>
  <si>
    <t>경로</t>
  </si>
  <si>
    <t>타겟</t>
  </si>
  <si>
    <t>Owner</t>
  </si>
  <si>
    <t>Offset</t>
  </si>
  <si>
    <t>오프셋</t>
  </si>
  <si>
    <t>TimelineTargetType</t>
    <phoneticPr fontId="15" type="noConversion"/>
  </si>
  <si>
    <t>AllyAll</t>
  </si>
  <si>
    <t>아군전체</t>
  </si>
  <si>
    <t>EnemyAll</t>
  </si>
  <si>
    <t>적군전체</t>
  </si>
  <si>
    <t>특정아군</t>
  </si>
  <si>
    <t>특정적군</t>
  </si>
  <si>
    <t>TimelineOwnerType</t>
    <phoneticPr fontId="15" type="noConversion"/>
  </si>
  <si>
    <t>Prefab</t>
  </si>
  <si>
    <t>프리팹</t>
  </si>
  <si>
    <t>CombatType</t>
    <phoneticPr fontId="15" type="noConversion"/>
  </si>
  <si>
    <t>StageRewardType</t>
    <phoneticPr fontId="15" type="noConversion"/>
  </si>
  <si>
    <t>FirstClear</t>
  </si>
  <si>
    <t>첫클리어</t>
  </si>
  <si>
    <t>Random</t>
  </si>
  <si>
    <t>랜덤</t>
  </si>
  <si>
    <t>ConstStageType</t>
    <phoneticPr fontId="15" type="noConversion"/>
  </si>
  <si>
    <t>MaxPlayingCharacterCount</t>
  </si>
  <si>
    <t>최대전투캐릭터수</t>
  </si>
  <si>
    <t>MaxGridCountX</t>
  </si>
  <si>
    <t>최대그리드X</t>
  </si>
  <si>
    <t>MaxGridCountY</t>
  </si>
  <si>
    <t>최대그리드Y</t>
  </si>
  <si>
    <t>Talk_Enum</t>
    <phoneticPr fontId="15" type="noConversion"/>
  </si>
  <si>
    <t>Talk</t>
  </si>
  <si>
    <t>대화</t>
  </si>
  <si>
    <t>FadeIn</t>
  </si>
  <si>
    <t>페이드인</t>
  </si>
  <si>
    <t>FadeOut</t>
  </si>
  <si>
    <t>페이드아웃</t>
  </si>
  <si>
    <t>Delay</t>
  </si>
  <si>
    <t>대기</t>
  </si>
  <si>
    <t>Shake</t>
  </si>
  <si>
    <t>진동</t>
  </si>
  <si>
    <t>UIShake</t>
  </si>
  <si>
    <t>UI진동</t>
  </si>
  <si>
    <t>WhiteFadeIn</t>
  </si>
  <si>
    <t>화이트인</t>
  </si>
  <si>
    <t>WhiteFadeOut</t>
  </si>
  <si>
    <t>화이트아웃</t>
  </si>
  <si>
    <t>TalkFunctionType</t>
    <phoneticPr fontId="15" type="noConversion"/>
  </si>
  <si>
    <t>Training_Enum</t>
    <phoneticPr fontId="15" type="noConversion"/>
  </si>
  <si>
    <t>TrainingStatType</t>
    <phoneticPr fontId="15" type="noConversion"/>
  </si>
  <si>
    <t>ConstTrainingType</t>
    <phoneticPr fontId="15" type="noConversion"/>
  </si>
  <si>
    <t>CharacterConditionType</t>
    <phoneticPr fontId="15" type="noConversion"/>
  </si>
  <si>
    <t>Ready</t>
  </si>
  <si>
    <t>전투가능</t>
  </si>
  <si>
    <t>Recovering</t>
  </si>
  <si>
    <t>회복중</t>
  </si>
  <si>
    <t>SupportPortion</t>
  </si>
  <si>
    <t>각성제아이이템</t>
  </si>
  <si>
    <t>AddonResetCost</t>
  </si>
  <si>
    <t>애드온초기화캐시비용</t>
  </si>
  <si>
    <t>AddonResetCount</t>
  </si>
  <si>
    <t>일일애드온무료리셋횟수</t>
  </si>
  <si>
    <t>RecoveryCost</t>
  </si>
  <si>
    <t>생명력회복캐시비용</t>
  </si>
  <si>
    <t>SeasonTerm</t>
  </si>
  <si>
    <t>가상훈련기간설정</t>
  </si>
  <si>
    <t>ResetTime</t>
  </si>
  <si>
    <t>가상훈련정산시간</t>
  </si>
  <si>
    <t>RankingShowLimit</t>
  </si>
  <si>
    <t>순위노출구간설정</t>
  </si>
  <si>
    <t>신체</t>
  </si>
  <si>
    <t>Sense</t>
  </si>
  <si>
    <t>감각</t>
  </si>
  <si>
    <t>Mind</t>
  </si>
  <si>
    <t>정신</t>
  </si>
  <si>
    <t>Tutorial_Enum</t>
    <phoneticPr fontId="15" type="noConversion"/>
  </si>
  <si>
    <t>TutorialConditionType</t>
    <phoneticPr fontId="15" type="noConversion"/>
  </si>
  <si>
    <t>Forced</t>
  </si>
  <si>
    <t>강제튜토리얼</t>
  </si>
  <si>
    <t>Conditional</t>
  </si>
  <si>
    <t>조건부튜토리얼</t>
  </si>
  <si>
    <t>TutorialStartConditionType</t>
    <phoneticPr fontId="15" type="noConversion"/>
  </si>
  <si>
    <t>Level</t>
  </si>
  <si>
    <t>특정레벨달성시</t>
  </si>
  <si>
    <t>스테이지클리어시</t>
  </si>
  <si>
    <t>StageFailed</t>
  </si>
  <si>
    <t>전투패배시</t>
  </si>
  <si>
    <t>StagePlayed</t>
  </si>
  <si>
    <t>전투진행시</t>
  </si>
  <si>
    <t>TutorialClear</t>
  </si>
  <si>
    <t>튜토리얼클리어시</t>
  </si>
  <si>
    <t>UltimateGauge</t>
  </si>
  <si>
    <t>궁극기충전시</t>
  </si>
  <si>
    <t>AccountLevelUp</t>
  </si>
  <si>
    <t>계정레벨업시</t>
  </si>
  <si>
    <t>BattleStart</t>
  </si>
  <si>
    <t>전투시작시</t>
  </si>
  <si>
    <t>TutorialDialogType</t>
    <phoneticPr fontId="15" type="noConversion"/>
  </si>
  <si>
    <t>Up</t>
  </si>
  <si>
    <t>위</t>
  </si>
  <si>
    <t>Down</t>
  </si>
  <si>
    <t>아래</t>
  </si>
  <si>
    <t>TutorialArrowType</t>
    <phoneticPr fontId="15" type="noConversion"/>
  </si>
  <si>
    <t>Left</t>
  </si>
  <si>
    <t>왼쪽</t>
  </si>
  <si>
    <t>Right</t>
  </si>
  <si>
    <t>오른쪽</t>
  </si>
  <si>
    <t>TutorialCompleteConditionType</t>
    <phoneticPr fontId="15" type="noConversion"/>
  </si>
  <si>
    <t>CompleteConversationDialog</t>
  </si>
  <si>
    <t>대화창완료시</t>
  </si>
  <si>
    <t>EnterMainLobby</t>
  </si>
  <si>
    <t>로비진입시</t>
  </si>
  <si>
    <t>ClickFocusButton</t>
  </si>
  <si>
    <t>포커스버튼클릭</t>
  </si>
  <si>
    <t>TutorialFocusEffectType</t>
    <phoneticPr fontId="15" type="noConversion"/>
  </si>
  <si>
    <t>Arrow</t>
  </si>
  <si>
    <t>화살표</t>
  </si>
  <si>
    <t>Outline</t>
  </si>
  <si>
    <t>테두리강조</t>
  </si>
  <si>
    <t>TutorialFocusFindType</t>
    <phoneticPr fontId="15" type="noConversion"/>
  </si>
  <si>
    <t>UnSelectedCharacter</t>
  </si>
  <si>
    <t>미선택캐릭터</t>
  </si>
  <si>
    <t>BattlePotraitCharacter</t>
  </si>
  <si>
    <t>전투캐릭터</t>
  </si>
  <si>
    <t>InventoryMaterial</t>
  </si>
  <si>
    <t>Enemy</t>
    <phoneticPr fontId="15" type="noConversion"/>
  </si>
  <si>
    <t>Ally</t>
    <phoneticPr fontId="15" type="noConversion"/>
  </si>
  <si>
    <t>LowHp</t>
    <phoneticPr fontId="15" type="noConversion"/>
  </si>
  <si>
    <t>HighDef</t>
    <phoneticPr fontId="15" type="noConversion"/>
  </si>
  <si>
    <t>HighHp</t>
    <phoneticPr fontId="15" type="noConversion"/>
  </si>
  <si>
    <t>Nickname</t>
    <phoneticPr fontId="15" type="noConversion"/>
  </si>
  <si>
    <t>Rot</t>
    <phoneticPr fontId="15" type="noConversion"/>
  </si>
  <si>
    <t>도트리차지</t>
    <phoneticPr fontId="15" type="noConversion"/>
  </si>
  <si>
    <t>InventoryInit</t>
    <phoneticPr fontId="15" type="noConversion"/>
  </si>
  <si>
    <t>InventoryMax</t>
    <phoneticPr fontId="15" type="noConversion"/>
  </si>
  <si>
    <t>InventoryAddCost</t>
    <phoneticPr fontId="15" type="noConversion"/>
  </si>
  <si>
    <t>InventoryAddCostGrowthRate</t>
    <phoneticPr fontId="15" type="noConversion"/>
  </si>
  <si>
    <t>InventoryAddCount</t>
    <phoneticPr fontId="15" type="noConversion"/>
  </si>
  <si>
    <t>초기 인벤토리</t>
    <phoneticPr fontId="15" type="noConversion"/>
  </si>
  <si>
    <t>인벤토리 최대</t>
    <phoneticPr fontId="15" type="noConversion"/>
  </si>
  <si>
    <t>추가 시 비용</t>
    <phoneticPr fontId="15" type="noConversion"/>
  </si>
  <si>
    <t>추가 시 증가 수</t>
    <phoneticPr fontId="15" type="noConversion"/>
  </si>
  <si>
    <t>상승 비용</t>
    <phoneticPr fontId="15" type="noConversion"/>
  </si>
  <si>
    <t>Independent</t>
  </si>
  <si>
    <t>Dependent</t>
  </si>
  <si>
    <t>ItemPackage</t>
    <phoneticPr fontId="15" type="noConversion"/>
  </si>
  <si>
    <t>RandomType</t>
    <phoneticPr fontId="15" type="noConversion"/>
  </si>
  <si>
    <t>독립</t>
    <phoneticPr fontId="15" type="noConversion"/>
  </si>
  <si>
    <t>종속</t>
    <phoneticPr fontId="15" type="noConversion"/>
  </si>
  <si>
    <t>All</t>
    <phoneticPr fontId="15" type="noConversion"/>
  </si>
  <si>
    <t>MainStat</t>
    <phoneticPr fontId="15" type="noConversion"/>
  </si>
  <si>
    <t>SubStat</t>
    <phoneticPr fontId="15" type="noConversion"/>
  </si>
  <si>
    <t>메인, 서브</t>
    <phoneticPr fontId="15" type="noConversion"/>
  </si>
  <si>
    <t>서브</t>
    <phoneticPr fontId="15" type="noConversion"/>
  </si>
  <si>
    <t>메인</t>
    <phoneticPr fontId="15" type="noConversion"/>
  </si>
  <si>
    <t>GradeType</t>
    <phoneticPr fontId="15" type="noConversion"/>
  </si>
  <si>
    <t>전체</t>
    <phoneticPr fontId="15" type="noConversion"/>
  </si>
  <si>
    <t>-</t>
    <phoneticPr fontId="15" type="noConversion"/>
  </si>
  <si>
    <t>Play</t>
    <phoneticPr fontId="15" type="noConversion"/>
  </si>
  <si>
    <t>Clear</t>
    <phoneticPr fontId="15" type="noConversion"/>
  </si>
  <si>
    <t>강화 자동 선택 최대</t>
    <phoneticPr fontId="15" type="noConversion"/>
  </si>
  <si>
    <t>EnhanceAutoSelectMax</t>
    <phoneticPr fontId="15" type="noConversion"/>
  </si>
  <si>
    <t>아티팩트 최대 판매 개수</t>
    <phoneticPr fontId="15" type="noConversion"/>
  </si>
  <si>
    <t>ConstPresetType</t>
    <phoneticPr fontId="15" type="noConversion"/>
  </si>
  <si>
    <t>PresetInit</t>
    <phoneticPr fontId="15" type="noConversion"/>
  </si>
  <si>
    <t>PresetMax</t>
    <phoneticPr fontId="15" type="noConversion"/>
  </si>
  <si>
    <t>PresetAddCost</t>
    <phoneticPr fontId="15" type="noConversion"/>
  </si>
  <si>
    <t>PresetAddCostGrowthRate</t>
    <phoneticPr fontId="15" type="noConversion"/>
  </si>
  <si>
    <t>PresetAddCount</t>
    <phoneticPr fontId="15" type="noConversion"/>
  </si>
  <si>
    <t>PresetAccountLvLimit</t>
    <phoneticPr fontId="15" type="noConversion"/>
  </si>
  <si>
    <t>PresetCharacterLvLimit</t>
    <phoneticPr fontId="15" type="noConversion"/>
  </si>
  <si>
    <t>PresetNameMin</t>
    <phoneticPr fontId="15" type="noConversion"/>
  </si>
  <si>
    <t>PresetNameMax</t>
    <phoneticPr fontId="15" type="noConversion"/>
  </si>
  <si>
    <t>프리 셋 초기 개수</t>
    <phoneticPr fontId="15" type="noConversion"/>
  </si>
  <si>
    <t>프리 셋 최대 개수</t>
    <phoneticPr fontId="15" type="noConversion"/>
  </si>
  <si>
    <t>추가 시 상승 비용</t>
    <phoneticPr fontId="15" type="noConversion"/>
  </si>
  <si>
    <t>사용 계정 레벨 제한</t>
    <phoneticPr fontId="15" type="noConversion"/>
  </si>
  <si>
    <t>사용 캐릭터 레벨 제한</t>
    <phoneticPr fontId="15" type="noConversion"/>
  </si>
  <si>
    <t>이름 최소</t>
    <phoneticPr fontId="15" type="noConversion"/>
  </si>
  <si>
    <t>이름 최대</t>
    <phoneticPr fontId="15" type="noConversion"/>
  </si>
  <si>
    <t>Delete</t>
  </si>
  <si>
    <t>EXPCriticalValue</t>
    <phoneticPr fontId="15" type="noConversion"/>
  </si>
  <si>
    <t>강화 시 크리티컬 발생 확률</t>
    <phoneticPr fontId="15" type="noConversion"/>
  </si>
  <si>
    <t>MoveType</t>
  </si>
  <si>
    <t>MovePos</t>
  </si>
  <si>
    <t>AreaType</t>
  </si>
  <si>
    <t>TargetTendency</t>
  </si>
  <si>
    <t>TargetOrder</t>
  </si>
  <si>
    <t>SkillEffectType</t>
  </si>
  <si>
    <t>UseTarget</t>
  </si>
  <si>
    <t>HitCondition</t>
  </si>
  <si>
    <t>BuffEffectType</t>
  </si>
  <si>
    <t>Normal</t>
    <phoneticPr fontId="17" type="noConversion"/>
  </si>
  <si>
    <t>Single</t>
    <phoneticPr fontId="17" type="noConversion"/>
  </si>
  <si>
    <t>Self</t>
    <phoneticPr fontId="17" type="noConversion"/>
  </si>
  <si>
    <t>Nearest</t>
    <phoneticPr fontId="17" type="noConversion"/>
  </si>
  <si>
    <t>Damage</t>
    <phoneticPr fontId="17" type="noConversion"/>
  </si>
  <si>
    <t>Me</t>
    <phoneticPr fontId="17" type="noConversion"/>
  </si>
  <si>
    <t>None</t>
    <phoneticPr fontId="17" type="noConversion"/>
  </si>
  <si>
    <t>Dash</t>
    <phoneticPr fontId="17" type="noConversion"/>
  </si>
  <si>
    <t>Back</t>
    <phoneticPr fontId="17" type="noConversion"/>
  </si>
  <si>
    <t>Circle</t>
    <phoneticPr fontId="17" type="noConversion"/>
  </si>
  <si>
    <t>Ally</t>
    <phoneticPr fontId="17" type="noConversion"/>
  </si>
  <si>
    <t>Farthest</t>
    <phoneticPr fontId="17" type="noConversion"/>
  </si>
  <si>
    <t>Spell</t>
    <phoneticPr fontId="17" type="noConversion"/>
  </si>
  <si>
    <t>Op</t>
    <phoneticPr fontId="17" type="noConversion"/>
  </si>
  <si>
    <t>OnHit</t>
    <phoneticPr fontId="17" type="noConversion"/>
  </si>
  <si>
    <t>Blink</t>
    <phoneticPr fontId="17" type="noConversion"/>
  </si>
  <si>
    <t>Pass</t>
    <phoneticPr fontId="17" type="noConversion"/>
  </si>
  <si>
    <t>Square</t>
    <phoneticPr fontId="17" type="noConversion"/>
  </si>
  <si>
    <t>Enemy</t>
    <phoneticPr fontId="17" type="noConversion"/>
  </si>
  <si>
    <t>LowHp</t>
    <phoneticPr fontId="17" type="noConversion"/>
  </si>
  <si>
    <t>Heal</t>
    <phoneticPr fontId="17" type="noConversion"/>
  </si>
  <si>
    <t>OnCritical</t>
    <phoneticPr fontId="17" type="noConversion"/>
  </si>
  <si>
    <t>Rot</t>
  </si>
  <si>
    <t>Line</t>
    <phoneticPr fontId="17" type="noConversion"/>
  </si>
  <si>
    <t>DeadAlly</t>
    <phoneticPr fontId="17" type="noConversion"/>
  </si>
  <si>
    <t>HighHp</t>
    <phoneticPr fontId="17" type="noConversion"/>
  </si>
  <si>
    <t>Recharge</t>
    <phoneticPr fontId="17" type="noConversion"/>
  </si>
  <si>
    <t>OnMiss</t>
    <phoneticPr fontId="17" type="noConversion"/>
  </si>
  <si>
    <t>All</t>
    <phoneticPr fontId="17" type="noConversion"/>
  </si>
  <si>
    <t>DeadEnemy</t>
    <phoneticPr fontId="17" type="noConversion"/>
  </si>
  <si>
    <t>LowDef</t>
    <phoneticPr fontId="17" type="noConversion"/>
  </si>
  <si>
    <t>Buff</t>
    <phoneticPr fontId="17" type="noConversion"/>
  </si>
  <si>
    <t>BeBlock</t>
    <phoneticPr fontId="17" type="noConversion"/>
  </si>
  <si>
    <t>HighDef</t>
    <phoneticPr fontId="17" type="noConversion"/>
  </si>
  <si>
    <t>RemoveBuff</t>
    <phoneticPr fontId="17" type="noConversion"/>
  </si>
  <si>
    <t>BeResist</t>
    <phoneticPr fontId="17" type="noConversion"/>
  </si>
  <si>
    <t>Status</t>
    <phoneticPr fontId="17" type="noConversion"/>
  </si>
  <si>
    <t>LowAtk</t>
    <phoneticPr fontId="17" type="noConversion"/>
  </si>
  <si>
    <t>Debuff</t>
    <phoneticPr fontId="17" type="noConversion"/>
  </si>
  <si>
    <t>OnKill</t>
    <phoneticPr fontId="17" type="noConversion"/>
  </si>
  <si>
    <t>HighAtk</t>
    <phoneticPr fontId="17" type="noConversion"/>
  </si>
  <si>
    <t>RemoveDebuff</t>
    <phoneticPr fontId="17" type="noConversion"/>
  </si>
  <si>
    <t>OnHeal</t>
    <phoneticPr fontId="17" type="noConversion"/>
  </si>
  <si>
    <t>OnRecharge</t>
    <phoneticPr fontId="17" type="noConversion"/>
  </si>
  <si>
    <t>BeHit</t>
    <phoneticPr fontId="17" type="noConversion"/>
  </si>
  <si>
    <t>BeCritical</t>
    <phoneticPr fontId="17" type="noConversion"/>
  </si>
  <si>
    <t>EffectResist</t>
    <phoneticPr fontId="17" type="noConversion"/>
  </si>
  <si>
    <t>OnDodge</t>
    <phoneticPr fontId="17" type="noConversion"/>
  </si>
  <si>
    <t>BuffResist</t>
    <phoneticPr fontId="17" type="noConversion"/>
  </si>
  <si>
    <t>OnBlock</t>
    <phoneticPr fontId="17" type="noConversion"/>
  </si>
  <si>
    <t>OnResist</t>
    <phoneticPr fontId="17" type="noConversion"/>
  </si>
  <si>
    <t>OnDie</t>
    <phoneticPr fontId="17" type="noConversion"/>
  </si>
  <si>
    <t>BeHeal</t>
    <phoneticPr fontId="17" type="noConversion"/>
  </si>
  <si>
    <t>BeRecharge</t>
    <phoneticPr fontId="17" type="noConversion"/>
  </si>
  <si>
    <t>일반이동</t>
  </si>
  <si>
    <t>대쉬이동</t>
  </si>
  <si>
    <t>순간이동</t>
  </si>
  <si>
    <t>후방에서 생성</t>
  </si>
  <si>
    <t>관통해서 이동</t>
  </si>
  <si>
    <t>최단거리 이동</t>
  </si>
  <si>
    <t>죽은아군</t>
  </si>
  <si>
    <t>죽은적</t>
  </si>
  <si>
    <t>가장 가까운</t>
  </si>
  <si>
    <t>가장 먼</t>
  </si>
  <si>
    <t>가장 HP가 적은</t>
  </si>
  <si>
    <t>가장 HP가 많은</t>
  </si>
  <si>
    <t>가장 낮은 공격력</t>
  </si>
  <si>
    <t>가장 낮은 방어력</t>
  </si>
  <si>
    <t>가장 높은 방어력</t>
  </si>
  <si>
    <t>가장 높은 공격력</t>
  </si>
  <si>
    <t>HP회복</t>
  </si>
  <si>
    <t>EP회복</t>
  </si>
  <si>
    <t>버프</t>
  </si>
  <si>
    <t>버프제거</t>
  </si>
  <si>
    <t>디버프</t>
  </si>
  <si>
    <t>디버프제거</t>
  </si>
  <si>
    <t>범위</t>
  </si>
  <si>
    <t>도트피해</t>
  </si>
  <si>
    <t>도트HP회복</t>
  </si>
  <si>
    <t>도트EP회복</t>
  </si>
  <si>
    <t>기절</t>
  </si>
  <si>
    <t>스텟</t>
  </si>
  <si>
    <t>빗나감시</t>
  </si>
  <si>
    <t>HP회복시</t>
  </si>
  <si>
    <t>EP회복시</t>
  </si>
  <si>
    <t>피격시</t>
  </si>
  <si>
    <t>피치명타시</t>
  </si>
  <si>
    <t>막힐시</t>
  </si>
  <si>
    <t>저항될시</t>
  </si>
  <si>
    <t>저항할시</t>
  </si>
  <si>
    <t>죽을시</t>
  </si>
  <si>
    <t>선</t>
  </si>
  <si>
    <t>상대</t>
  </si>
  <si>
    <t>피HP회복시</t>
  </si>
  <si>
    <t>피EP회복시</t>
  </si>
  <si>
    <t>Normal</t>
    <phoneticPr fontId="15" type="noConversion"/>
  </si>
  <si>
    <t>MissionPoint</t>
    <phoneticPr fontId="15" type="noConversion"/>
  </si>
  <si>
    <t>Choice</t>
    <phoneticPr fontId="15" type="noConversion"/>
  </si>
  <si>
    <t>Goto</t>
    <phoneticPr fontId="15" type="noConversion"/>
  </si>
  <si>
    <t>CharacterGrade</t>
    <phoneticPr fontId="15" type="noConversion"/>
  </si>
  <si>
    <t>Weekly</t>
    <phoneticPr fontId="15" type="noConversion"/>
  </si>
  <si>
    <t>Daily</t>
    <phoneticPr fontId="15" type="noConversion"/>
  </si>
  <si>
    <t>일일던전</t>
    <phoneticPr fontId="15" type="noConversion"/>
  </si>
  <si>
    <t>WeekOf</t>
  </si>
  <si>
    <t>MonthOf</t>
  </si>
  <si>
    <t>Duration</t>
  </si>
  <si>
    <t>Read</t>
    <phoneticPr fontId="15" type="noConversion"/>
  </si>
  <si>
    <t>Character</t>
    <phoneticPr fontId="15" type="noConversion"/>
  </si>
  <si>
    <t>MaxGroupMember</t>
  </si>
  <si>
    <t>DailyEnterCount</t>
  </si>
  <si>
    <t>DailyResetTime</t>
  </si>
  <si>
    <t>BattleLogMax</t>
  </si>
  <si>
    <t>MatchBlockTime</t>
  </si>
  <si>
    <t>BattleReadyTime</t>
  </si>
  <si>
    <t>DefenceLogMax</t>
  </si>
  <si>
    <t>SavingRewardTime</t>
  </si>
  <si>
    <t>SavingRewardMax</t>
  </si>
  <si>
    <t>PvPRankingMax</t>
  </si>
  <si>
    <t>PvP_Enum</t>
    <phoneticPr fontId="15" type="noConversion"/>
  </si>
  <si>
    <t>ConstPvPType</t>
    <phoneticPr fontId="15" type="noConversion"/>
  </si>
  <si>
    <t>그룹 인원 수</t>
  </si>
  <si>
    <t>일일 입장 횟수</t>
  </si>
  <si>
    <t>입장 횟수 초기화 재화</t>
  </si>
  <si>
    <t>일일 초기화 시간</t>
  </si>
  <si>
    <t>전투 이력 최대 저장 수</t>
  </si>
  <si>
    <t>대전 상대를 취소 한 경우 대기 시간</t>
  </si>
  <si>
    <t>전투 준비 화면 제한 시간</t>
  </si>
  <si>
    <t>상대의 방어 기록 표시 최대 수</t>
  </si>
  <si>
    <t>보상이 누적되는 시간</t>
  </si>
  <si>
    <t>누적 보상 최대치</t>
  </si>
  <si>
    <t>랭킹 최대 표시 수</t>
  </si>
  <si>
    <t>MatchRange</t>
  </si>
  <si>
    <t>MatchMaxCount</t>
  </si>
  <si>
    <t>매칭 최대 범위</t>
  </si>
  <si>
    <t>매칭 인원 수</t>
  </si>
  <si>
    <t>F</t>
    <phoneticPr fontId="17" type="noConversion"/>
  </si>
  <si>
    <t>D</t>
    <phoneticPr fontId="17" type="noConversion"/>
  </si>
  <si>
    <t>C</t>
    <phoneticPr fontId="17" type="noConversion"/>
  </si>
  <si>
    <t>B</t>
    <phoneticPr fontId="17" type="noConversion"/>
  </si>
  <si>
    <t>A</t>
    <phoneticPr fontId="17" type="noConversion"/>
  </si>
  <si>
    <t>S</t>
    <phoneticPr fontId="17" type="noConversion"/>
  </si>
  <si>
    <t>MaxRating</t>
    <phoneticPr fontId="15" type="noConversion"/>
  </si>
  <si>
    <t>BattleContentsType</t>
    <phoneticPr fontId="15" type="noConversion"/>
  </si>
  <si>
    <t>Raid</t>
    <phoneticPr fontId="15" type="noConversion"/>
  </si>
  <si>
    <t>#AllType</t>
  </si>
  <si>
    <t>전체 Type 이동</t>
  </si>
  <si>
    <t>Offense</t>
  </si>
  <si>
    <t>Main</t>
    <phoneticPr fontId="15" type="noConversion"/>
  </si>
  <si>
    <t>Faction</t>
    <phoneticPr fontId="15" type="noConversion"/>
  </si>
  <si>
    <t>CharacterArchive</t>
    <phoneticPr fontId="15" type="noConversion"/>
  </si>
  <si>
    <t>EventArchive</t>
    <phoneticPr fontId="15" type="noConversion"/>
  </si>
  <si>
    <t>ArenaArchive</t>
    <phoneticPr fontId="15" type="noConversion"/>
  </si>
  <si>
    <t>Title</t>
    <phoneticPr fontId="15" type="noConversion"/>
  </si>
  <si>
    <t>Portrait</t>
    <phoneticPr fontId="15" type="noConversion"/>
  </si>
  <si>
    <t>ArenaDefense</t>
    <phoneticPr fontId="15" type="noConversion"/>
  </si>
  <si>
    <t>Cash</t>
    <phoneticPr fontId="15" type="noConversion"/>
  </si>
  <si>
    <t>Item</t>
    <phoneticPr fontId="15" type="noConversion"/>
  </si>
  <si>
    <t>Equipment</t>
  </si>
  <si>
    <t>ConstEquipmentType</t>
  </si>
  <si>
    <t>EquipmentType</t>
  </si>
  <si>
    <t>EquipmentStatType</t>
  </si>
  <si>
    <t>EquipmentSaleMaxCount</t>
  </si>
  <si>
    <t>AccountExp</t>
    <phoneticPr fontId="15" type="noConversion"/>
  </si>
  <si>
    <t>CharacterExp</t>
    <phoneticPr fontId="15" type="noConversion"/>
  </si>
  <si>
    <t>Plugin</t>
    <phoneticPr fontId="15" type="noConversion"/>
  </si>
  <si>
    <t>Mail</t>
    <phoneticPr fontId="15" type="noConversion"/>
  </si>
  <si>
    <t>Gacha</t>
    <phoneticPr fontId="15" type="noConversion"/>
  </si>
  <si>
    <t>Equipment</t>
    <phoneticPr fontId="15" type="noConversion"/>
  </si>
  <si>
    <t>ItemPack</t>
    <phoneticPr fontId="15" type="noConversion"/>
  </si>
  <si>
    <t>Video</t>
    <phoneticPr fontId="15" type="noConversion"/>
  </si>
  <si>
    <t>Talk</t>
    <phoneticPr fontId="15" type="noConversion"/>
  </si>
  <si>
    <t>StageClear</t>
    <phoneticPr fontId="15" type="noConversion"/>
  </si>
  <si>
    <t>Mon</t>
    <phoneticPr fontId="15" type="noConversion"/>
  </si>
  <si>
    <t>Tue</t>
    <phoneticPr fontId="15" type="noConversion"/>
  </si>
  <si>
    <t>Wed</t>
    <phoneticPr fontId="15" type="noConversion"/>
  </si>
  <si>
    <t>Sat</t>
    <phoneticPr fontId="15" type="noConversion"/>
  </si>
  <si>
    <t>Sun</t>
    <phoneticPr fontId="15" type="noConversion"/>
  </si>
  <si>
    <t>Fri</t>
    <phoneticPr fontId="15" type="noConversion"/>
  </si>
  <si>
    <t>Thu</t>
    <phoneticPr fontId="15" type="noConversion"/>
  </si>
  <si>
    <t>RatingReward</t>
    <phoneticPr fontId="15" type="noConversion"/>
  </si>
  <si>
    <t>EquipmentExp</t>
    <phoneticPr fontId="15" type="noConversion"/>
  </si>
  <si>
    <t>Weapon</t>
    <phoneticPr fontId="15" type="noConversion"/>
  </si>
  <si>
    <t>무기</t>
    <phoneticPr fontId="15" type="noConversion"/>
  </si>
  <si>
    <t>Suit</t>
  </si>
  <si>
    <t>갑옷</t>
    <phoneticPr fontId="15" type="noConversion"/>
  </si>
  <si>
    <t>Shoes</t>
    <phoneticPr fontId="15" type="noConversion"/>
  </si>
  <si>
    <t>신발</t>
    <phoneticPr fontId="15" type="noConversion"/>
  </si>
  <si>
    <t>Single</t>
    <phoneticPr fontId="15" type="noConversion"/>
  </si>
  <si>
    <t>Off</t>
    <phoneticPr fontId="15" type="noConversion"/>
  </si>
  <si>
    <t>DateTime</t>
    <phoneticPr fontId="15" type="noConversion"/>
  </si>
  <si>
    <t>Day</t>
    <phoneticPr fontId="15" type="noConversion"/>
  </si>
  <si>
    <t>WeekOf</t>
    <phoneticPr fontId="15" type="noConversion"/>
  </si>
  <si>
    <t>TimeSpan</t>
    <phoneticPr fontId="15" type="noConversion"/>
  </si>
  <si>
    <t>EquipmentEnhance</t>
    <phoneticPr fontId="15" type="noConversion"/>
  </si>
  <si>
    <t>PluginSynthesis</t>
    <phoneticPr fontId="15" type="noConversion"/>
  </si>
  <si>
    <t>Battle</t>
    <phoneticPr fontId="15" type="noConversion"/>
  </si>
  <si>
    <t>MainLobby</t>
    <phoneticPr fontId="15" type="noConversion"/>
  </si>
  <si>
    <t>Etc</t>
    <phoneticPr fontId="15" type="noConversion"/>
  </si>
  <si>
    <t>Arena</t>
    <phoneticPr fontId="15" type="noConversion"/>
  </si>
  <si>
    <t>Optimization</t>
    <phoneticPr fontId="15" type="noConversion"/>
  </si>
  <si>
    <t>InventoryUse</t>
    <phoneticPr fontId="15" type="noConversion"/>
  </si>
  <si>
    <t>Key</t>
    <phoneticPr fontId="15" type="noConversion"/>
  </si>
  <si>
    <t>RotationMode</t>
    <phoneticPr fontId="15" type="noConversion"/>
  </si>
  <si>
    <t>Upgrade</t>
    <phoneticPr fontId="15" type="noConversion"/>
  </si>
  <si>
    <t>Idle</t>
    <phoneticPr fontId="15" type="noConversion"/>
  </si>
  <si>
    <t>Sub</t>
    <phoneticPr fontId="15" type="noConversion"/>
  </si>
  <si>
    <t>FocusId</t>
  </si>
  <si>
    <t>OnLastAllyHpBelow</t>
    <phoneticPr fontId="15" type="noConversion"/>
  </si>
  <si>
    <t>OnLastEnemyHpBelow</t>
    <phoneticPr fontId="15" type="noConversion"/>
  </si>
  <si>
    <t>OnAllyCrowdControl</t>
    <phoneticPr fontId="15" type="noConversion"/>
  </si>
  <si>
    <t>OnEnemyCrowdControl</t>
    <phoneticPr fontId="15" type="noConversion"/>
  </si>
  <si>
    <t>GradeUp</t>
    <phoneticPr fontId="15" type="noConversion"/>
  </si>
  <si>
    <t>SkillUp</t>
    <phoneticPr fontId="15" type="noConversion"/>
  </si>
  <si>
    <t>LevelUp</t>
    <phoneticPr fontId="15" type="noConversion"/>
  </si>
  <si>
    <t>Optimize</t>
    <phoneticPr fontId="15" type="noConversion"/>
  </si>
  <si>
    <t>Supply</t>
    <phoneticPr fontId="15" type="noConversion"/>
  </si>
  <si>
    <t>Contents</t>
  </si>
  <si>
    <t>DispatchCenter</t>
  </si>
  <si>
    <t>Academy</t>
    <phoneticPr fontId="15" type="noConversion"/>
  </si>
  <si>
    <t>Buy</t>
    <phoneticPr fontId="15" type="noConversion"/>
  </si>
  <si>
    <t>Touch</t>
    <phoneticPr fontId="15" type="noConversion"/>
  </si>
  <si>
    <t>Rest</t>
    <phoneticPr fontId="15" type="noConversion"/>
  </si>
  <si>
    <t>휴식</t>
    <phoneticPr fontId="15" type="noConversion"/>
  </si>
  <si>
    <t>Fail</t>
    <phoneticPr fontId="15" type="noConversion"/>
  </si>
  <si>
    <t>실패</t>
    <phoneticPr fontId="15" type="noConversion"/>
  </si>
  <si>
    <t>Success</t>
    <phoneticPr fontId="15" type="noConversion"/>
  </si>
  <si>
    <t>성공</t>
    <phoneticPr fontId="15" type="noConversion"/>
  </si>
  <si>
    <t>대성공</t>
    <phoneticPr fontId="15" type="noConversion"/>
  </si>
  <si>
    <t>Wait</t>
    <phoneticPr fontId="15" type="noConversion"/>
  </si>
  <si>
    <t>End</t>
    <phoneticPr fontId="15" type="noConversion"/>
  </si>
  <si>
    <t>GuildExp</t>
    <phoneticPr fontId="15" type="noConversion"/>
  </si>
  <si>
    <t>UR1</t>
  </si>
  <si>
    <t>MR</t>
  </si>
  <si>
    <t>StarSeed</t>
    <phoneticPr fontId="15" type="noConversion"/>
  </si>
  <si>
    <t>SeedLab</t>
    <phoneticPr fontId="15" type="noConversion"/>
  </si>
  <si>
    <t>Settling</t>
    <phoneticPr fontId="15" type="noConversion"/>
  </si>
  <si>
    <t>Finished</t>
    <phoneticPr fontId="15" type="noConversion"/>
  </si>
  <si>
    <t>Proceeding</t>
    <phoneticPr fontId="15" type="noConversion"/>
  </si>
  <si>
    <t>Failed</t>
    <phoneticPr fontId="15" type="noConversion"/>
  </si>
  <si>
    <t>본관</t>
    <phoneticPr fontId="15" type="noConversion"/>
  </si>
  <si>
    <t>Event</t>
    <phoneticPr fontId="15" type="noConversion"/>
  </si>
  <si>
    <t>PhysicalCenter</t>
  </si>
  <si>
    <t>체육시설</t>
  </si>
  <si>
    <t>ArtCenter</t>
  </si>
  <si>
    <t>예술학교</t>
  </si>
  <si>
    <t>ResearchCenter</t>
  </si>
  <si>
    <t>연구기관</t>
  </si>
  <si>
    <t>GameCenter</t>
  </si>
  <si>
    <t>오락시설</t>
  </si>
  <si>
    <t>ConservationArea</t>
  </si>
  <si>
    <t>보존지역</t>
  </si>
  <si>
    <t>HolyArea</t>
  </si>
  <si>
    <t>성지</t>
  </si>
  <si>
    <t>Force</t>
    <phoneticPr fontId="15" type="noConversion"/>
  </si>
  <si>
    <t>체력</t>
    <phoneticPr fontId="15" type="noConversion"/>
  </si>
  <si>
    <t>Sense</t>
    <phoneticPr fontId="15" type="noConversion"/>
  </si>
  <si>
    <t>감각</t>
    <phoneticPr fontId="15" type="noConversion"/>
  </si>
  <si>
    <t>Intellect</t>
    <phoneticPr fontId="15" type="noConversion"/>
  </si>
  <si>
    <t>지능</t>
    <phoneticPr fontId="15" type="noConversion"/>
  </si>
  <si>
    <t>Fun</t>
    <phoneticPr fontId="15" type="noConversion"/>
  </si>
  <si>
    <t>재미</t>
    <phoneticPr fontId="15" type="noConversion"/>
  </si>
  <si>
    <t>Harmony</t>
    <phoneticPr fontId="15" type="noConversion"/>
  </si>
  <si>
    <t>조화</t>
    <phoneticPr fontId="15" type="noConversion"/>
  </si>
  <si>
    <t>Moral</t>
    <phoneticPr fontId="15" type="noConversion"/>
  </si>
  <si>
    <t>도덕</t>
    <phoneticPr fontId="15" type="noConversion"/>
  </si>
  <si>
    <t>Force</t>
  </si>
  <si>
    <t>Intellect</t>
  </si>
  <si>
    <t>Fun</t>
  </si>
  <si>
    <t>Harmony</t>
  </si>
  <si>
    <t>Moral</t>
  </si>
  <si>
    <t>All</t>
    <phoneticPr fontId="15" type="noConversion"/>
  </si>
  <si>
    <t>아군적군모두</t>
    <phoneticPr fontId="15" type="noConversion"/>
  </si>
  <si>
    <t>SR1</t>
    <phoneticPr fontId="15" type="noConversion"/>
  </si>
  <si>
    <t>SSR1</t>
    <phoneticPr fontId="15" type="noConversion"/>
  </si>
  <si>
    <t>Story</t>
    <phoneticPr fontId="15" type="noConversion"/>
  </si>
  <si>
    <t>Rewardable</t>
    <phoneticPr fontId="15" type="noConversion"/>
  </si>
  <si>
    <t>Rewarded</t>
    <phoneticPr fontId="15" type="noConversion"/>
  </si>
  <si>
    <t>InRewardable</t>
    <phoneticPr fontId="15" type="noConversion"/>
  </si>
  <si>
    <t>Puzzle</t>
    <phoneticPr fontId="15" type="noConversion"/>
  </si>
  <si>
    <t>GuildMemberExp</t>
  </si>
  <si>
    <t>Always</t>
    <phoneticPr fontId="15" type="noConversion"/>
  </si>
  <si>
    <t>OnAllyTotalHpBelow</t>
    <phoneticPr fontId="15" type="noConversion"/>
  </si>
  <si>
    <t>OnEnemyTotalHpBelow</t>
    <phoneticPr fontId="15" type="noConversion"/>
  </si>
  <si>
    <t>OnAllyEnergyAbove</t>
    <phoneticPr fontId="15" type="noConversion"/>
  </si>
  <si>
    <t>OnEnemyEnergyAbove</t>
    <phoneticPr fontId="15" type="noConversion"/>
  </si>
  <si>
    <t>OnAllyTotalEnergyAbove</t>
    <phoneticPr fontId="15" type="noConversion"/>
  </si>
  <si>
    <t>OnEnemyTotalEnergyAbove</t>
    <phoneticPr fontId="15" type="noConversion"/>
  </si>
  <si>
    <t>OnAllyBuffCountAbove</t>
    <phoneticPr fontId="15" type="noConversion"/>
  </si>
  <si>
    <t>OnEnemyBuffCountAbove</t>
    <phoneticPr fontId="15" type="noConversion"/>
  </si>
  <si>
    <t>OnAllyDebuffCountAbove</t>
    <phoneticPr fontId="15" type="noConversion"/>
  </si>
  <si>
    <t>OnEnemyDebuffCountAbove</t>
    <phoneticPr fontId="15" type="noConversion"/>
  </si>
  <si>
    <t>Good</t>
    <phoneticPr fontId="15" type="noConversion"/>
  </si>
  <si>
    <t>Great</t>
    <phoneticPr fontId="15" type="noConversion"/>
  </si>
  <si>
    <t>Excellent</t>
    <phoneticPr fontId="15" type="noConversion"/>
  </si>
  <si>
    <t>Attack</t>
    <phoneticPr fontId="15" type="noConversion"/>
  </si>
  <si>
    <t>Defense</t>
    <phoneticPr fontId="15" type="noConversion"/>
  </si>
  <si>
    <t>CharacterLikeability</t>
  </si>
  <si>
    <t>SelectBox</t>
    <phoneticPr fontId="15" type="noConversion"/>
  </si>
  <si>
    <t>Time</t>
    <phoneticPr fontId="15" type="noConversion"/>
  </si>
  <si>
    <t>PluginLab</t>
    <phoneticPr fontId="15" type="noConversion"/>
  </si>
  <si>
    <t>WorldRaid</t>
    <phoneticPr fontId="15" type="noConversion"/>
  </si>
  <si>
    <t>TeamArenaOffense</t>
    <phoneticPr fontId="15" type="noConversion"/>
  </si>
  <si>
    <t>ArenaOffense</t>
    <phoneticPr fontId="15" type="noConversion"/>
  </si>
  <si>
    <t>TeamArenaDefense</t>
    <phoneticPr fontId="15" type="noConversion"/>
  </si>
  <si>
    <t>Team</t>
    <phoneticPr fontId="15" type="noConversion"/>
  </si>
  <si>
    <t>Product</t>
    <phoneticPr fontId="15" type="noConversion"/>
  </si>
  <si>
    <t>EquipmentSlotAdd</t>
    <phoneticPr fontId="15" type="noConversion"/>
  </si>
  <si>
    <t>EquipmentDisassembly</t>
    <phoneticPr fontId="15" type="noConversion"/>
  </si>
  <si>
    <t>PluginSlotAdd</t>
    <phoneticPr fontId="15" type="noConversion"/>
  </si>
  <si>
    <t>NextWeek</t>
    <phoneticPr fontId="15" type="noConversion"/>
  </si>
  <si>
    <t>NextMonth</t>
    <phoneticPr fontId="15" type="noConversion"/>
  </si>
  <si>
    <t>MonthlyTicket</t>
    <phoneticPr fontId="15" type="noConversion"/>
  </si>
  <si>
    <t>Category</t>
    <phoneticPr fontId="23" type="noConversion"/>
  </si>
  <si>
    <t>Product</t>
    <phoneticPr fontId="23" type="noConversion"/>
  </si>
  <si>
    <t>Multi</t>
  </si>
  <si>
    <t>Slot</t>
  </si>
  <si>
    <t>Type01</t>
  </si>
  <si>
    <t>#일반</t>
  </si>
  <si>
    <t>Type02</t>
  </si>
  <si>
    <t>#한정</t>
  </si>
  <si>
    <t>ArenaChallenge</t>
    <phoneticPr fontId="15" type="noConversion"/>
  </si>
  <si>
    <t>EquipUp</t>
  </si>
  <si>
    <t>ShopSlot</t>
    <phoneticPr fontId="15" type="noConversion"/>
  </si>
  <si>
    <t>PluginScout</t>
    <phoneticPr fontId="15" type="noConversion"/>
  </si>
  <si>
    <t>PluginLab</t>
    <phoneticPr fontId="15" type="noConversion"/>
  </si>
  <si>
    <t>Gacha</t>
    <phoneticPr fontId="15" type="noConversion"/>
  </si>
  <si>
    <t>Guild</t>
    <phoneticPr fontId="12" type="noConversion"/>
  </si>
  <si>
    <t>Friend</t>
    <phoneticPr fontId="12" type="noConversion"/>
  </si>
  <si>
    <t>#AllType</t>
    <phoneticPr fontId="12" type="noConversion"/>
  </si>
  <si>
    <t>EnterUI</t>
    <phoneticPr fontId="10" type="noConversion"/>
  </si>
  <si>
    <t>UnlockContents</t>
    <phoneticPr fontId="12" type="noConversion"/>
  </si>
  <si>
    <t>AchievementPackage</t>
    <phoneticPr fontId="10" type="noConversion"/>
  </si>
  <si>
    <t>ArenaChallenge</t>
    <phoneticPr fontId="12" type="noConversion"/>
  </si>
  <si>
    <t>Worst</t>
    <phoneticPr fontId="10" type="noConversion"/>
  </si>
  <si>
    <t>Bad</t>
    <phoneticPr fontId="10" type="noConversion"/>
  </si>
  <si>
    <t>Normal</t>
    <phoneticPr fontId="10" type="noConversion"/>
  </si>
  <si>
    <t>Good</t>
    <phoneticPr fontId="10" type="noConversion"/>
  </si>
  <si>
    <t>Best</t>
    <phoneticPr fontId="10" type="noConversion"/>
  </si>
  <si>
    <t>Execute</t>
    <phoneticPr fontId="12" type="noConversion"/>
  </si>
  <si>
    <t>AlreadyDead</t>
    <phoneticPr fontId="12" type="noConversion"/>
  </si>
  <si>
    <t>Done</t>
    <phoneticPr fontId="12" type="noConversion"/>
  </si>
  <si>
    <t>#AllType</t>
    <phoneticPr fontId="10" type="noConversion"/>
  </si>
  <si>
    <t>Skill2</t>
    <phoneticPr fontId="10" type="noConversion"/>
  </si>
  <si>
    <t>Skill1</t>
    <phoneticPr fontId="10" type="noConversion"/>
  </si>
  <si>
    <t>Sad</t>
    <phoneticPr fontId="10" type="noConversion"/>
  </si>
  <si>
    <t>Angry</t>
    <phoneticPr fontId="10" type="noConversion"/>
  </si>
  <si>
    <t>Smile</t>
    <phoneticPr fontId="10" type="noConversion"/>
  </si>
  <si>
    <t>Right</t>
    <phoneticPr fontId="10" type="noConversion"/>
  </si>
  <si>
    <t>Center</t>
    <phoneticPr fontId="10" type="noConversion"/>
  </si>
  <si>
    <t>Left</t>
    <phoneticPr fontId="10" type="noConversion"/>
  </si>
  <si>
    <t>DispatchCenter_DispatchTime_Ratio_Dec</t>
    <phoneticPr fontId="15" type="noConversion"/>
  </si>
  <si>
    <t>파견작전실 제작 시간 % 감소</t>
    <phoneticPr fontId="15" type="noConversion"/>
  </si>
  <si>
    <t>DispatchFacility_Critical_Prob_Inc</t>
    <phoneticPr fontId="15" type="noConversion"/>
  </si>
  <si>
    <t>파견작전실 설비 대성공 확률 증가</t>
    <phoneticPr fontId="15" type="noConversion"/>
  </si>
  <si>
    <t>Event</t>
    <phoneticPr fontId="15" type="noConversion"/>
  </si>
  <si>
    <t>Quest</t>
    <phoneticPr fontId="15" type="noConversion"/>
  </si>
  <si>
    <t>General</t>
    <phoneticPr fontId="15" type="noConversion"/>
  </si>
  <si>
    <t>#</t>
    <phoneticPr fontId="15" type="noConversion"/>
  </si>
  <si>
    <t>Box</t>
    <phoneticPr fontId="15" type="noConversion"/>
  </si>
  <si>
    <t>Exp</t>
    <phoneticPr fontId="15" type="noConversion"/>
  </si>
  <si>
    <t>Property</t>
  </si>
  <si>
    <t>Ticket</t>
    <phoneticPr fontId="15" type="noConversion"/>
  </si>
  <si>
    <t>Point</t>
    <phoneticPr fontId="15" type="noConversion"/>
  </si>
  <si>
    <t>Material</t>
    <phoneticPr fontId="15" type="noConversion"/>
  </si>
  <si>
    <t>#</t>
    <phoneticPr fontId="15" type="noConversion"/>
  </si>
  <si>
    <t>CharPiece</t>
  </si>
  <si>
    <t>EquipDecompPoint</t>
  </si>
  <si>
    <t>FormationM</t>
    <phoneticPr fontId="15" type="noConversion"/>
  </si>
  <si>
    <t>InstantBox</t>
  </si>
  <si>
    <t>GuildPoint</t>
  </si>
  <si>
    <t>GuildExp</t>
  </si>
  <si>
    <t>MakingM</t>
  </si>
  <si>
    <t>RandomBox</t>
  </si>
  <si>
    <t>AccountEXP</t>
  </si>
  <si>
    <t>Coin</t>
    <phoneticPr fontId="15" type="noConversion"/>
  </si>
  <si>
    <t>Cash</t>
    <phoneticPr fontId="15" type="noConversion"/>
  </si>
  <si>
    <t>Gold</t>
    <phoneticPr fontId="15" type="noConversion"/>
  </si>
  <si>
    <t>FriendShipPoint</t>
    <phoneticPr fontId="15" type="noConversion"/>
  </si>
  <si>
    <t>OptimizationDefM</t>
  </si>
  <si>
    <t>OptimizationAtkM</t>
  </si>
  <si>
    <t>SearchT</t>
  </si>
  <si>
    <t>PlatformT</t>
    <phoneticPr fontId="15" type="noConversion"/>
  </si>
  <si>
    <t>PluginPoint</t>
    <phoneticPr fontId="15" type="noConversion"/>
  </si>
  <si>
    <t>CharLvM</t>
    <phoneticPr fontId="15" type="noConversion"/>
  </si>
  <si>
    <t>#</t>
    <phoneticPr fontId="15" type="noConversion"/>
  </si>
  <si>
    <t>SeedM</t>
    <phoneticPr fontId="15" type="noConversion"/>
  </si>
  <si>
    <t>Etc</t>
    <phoneticPr fontId="15" type="noConversion"/>
  </si>
  <si>
    <t>InventoryUse</t>
  </si>
  <si>
    <t>#</t>
    <phoneticPr fontId="15" type="noConversion"/>
  </si>
  <si>
    <t>Mileage</t>
    <phoneticPr fontId="15" type="noConversion"/>
  </si>
  <si>
    <t>AcademyPoint</t>
  </si>
  <si>
    <t>Skill3</t>
    <phoneticPr fontId="15" type="noConversion"/>
  </si>
  <si>
    <t>Skill4</t>
    <phoneticPr fontId="15" type="noConversion"/>
  </si>
  <si>
    <t>Close</t>
    <phoneticPr fontId="15" type="noConversion"/>
  </si>
  <si>
    <t>Circle</t>
    <phoneticPr fontId="15" type="noConversion"/>
  </si>
  <si>
    <t>CharacterEXP</t>
    <phoneticPr fontId="15" type="noConversion"/>
  </si>
  <si>
    <t>PluginLabFacility_ResearchTime_Ratio_Dec</t>
    <phoneticPr fontId="15" type="noConversion"/>
  </si>
  <si>
    <t>플러그인연구소 연구 시간 % 감소</t>
    <phoneticPr fontId="15" type="noConversion"/>
  </si>
  <si>
    <t>PluginLabFacility_WishList_Count</t>
    <phoneticPr fontId="15" type="noConversion"/>
  </si>
  <si>
    <t>플러그인연구소 소원리스트 수</t>
    <phoneticPr fontId="15" type="noConversion"/>
  </si>
  <si>
    <t>SelectT</t>
    <phoneticPr fontId="15" type="noConversion"/>
  </si>
  <si>
    <t>PieceBox</t>
    <phoneticPr fontId="15" type="noConversion"/>
  </si>
  <si>
    <t>TimeReward</t>
    <phoneticPr fontId="15" type="noConversion"/>
  </si>
  <si>
    <t>AscendM</t>
    <phoneticPr fontId="15" type="noConversion"/>
  </si>
  <si>
    <t>SkillLvM</t>
    <phoneticPr fontId="15" type="noConversion"/>
  </si>
  <si>
    <t>Time1</t>
    <phoneticPr fontId="15" type="noConversion"/>
  </si>
  <si>
    <t>Time2</t>
    <phoneticPr fontId="15" type="noConversion"/>
  </si>
  <si>
    <t>Time3</t>
    <phoneticPr fontId="15" type="noConversion"/>
  </si>
  <si>
    <t>Time4</t>
    <phoneticPr fontId="15" type="noConversion"/>
  </si>
  <si>
    <t>Head</t>
    <phoneticPr fontId="15" type="noConversion"/>
  </si>
  <si>
    <t>Glove</t>
    <phoneticPr fontId="15" type="noConversion"/>
  </si>
  <si>
    <t>Critical</t>
    <phoneticPr fontId="15" type="noConversion"/>
  </si>
  <si>
    <t>Hp</t>
    <phoneticPr fontId="15" type="noConversion"/>
  </si>
  <si>
    <t>StarRecord</t>
    <phoneticPr fontId="15" type="noConversion"/>
  </si>
  <si>
    <t>Normal</t>
    <phoneticPr fontId="23" type="noConversion"/>
  </si>
  <si>
    <t>Premium</t>
    <phoneticPr fontId="23" type="noConversion"/>
  </si>
  <si>
    <t>StarRecordExp</t>
    <phoneticPr fontId="23" type="noConversion"/>
  </si>
  <si>
    <t>InventoryEquipment</t>
    <phoneticPr fontId="15" type="noConversion"/>
  </si>
  <si>
    <t>EnchantM</t>
    <phoneticPr fontId="15" type="noConversion"/>
  </si>
  <si>
    <t>D</t>
    <phoneticPr fontId="15" type="noConversion"/>
  </si>
  <si>
    <t>N</t>
    <phoneticPr fontId="15" type="noConversion"/>
  </si>
  <si>
    <t>MR1</t>
    <phoneticPr fontId="15" type="noConversion"/>
  </si>
  <si>
    <t>DataTower</t>
    <phoneticPr fontId="15" type="noConversion"/>
  </si>
  <si>
    <t>GuildOperation</t>
    <phoneticPr fontId="15" type="noConversion"/>
  </si>
  <si>
    <t>ShowReward</t>
    <phoneticPr fontId="15" type="noConversion"/>
  </si>
  <si>
    <t>Client</t>
    <phoneticPr fontId="15" type="noConversion"/>
  </si>
  <si>
    <t>GetIdleReward</t>
    <phoneticPr fontId="15" type="noConversion"/>
  </si>
  <si>
    <t>BattleSceneLoadCompleted</t>
    <phoneticPr fontId="15" type="noConversion"/>
  </si>
  <si>
    <t>GotoBattleStage</t>
    <phoneticPr fontId="15" type="noConversion"/>
  </si>
  <si>
    <t>ExchangePiece</t>
    <phoneticPr fontId="15" type="noConversion"/>
  </si>
  <si>
    <t>RecoveryHP</t>
    <phoneticPr fontId="15" type="noConversion"/>
  </si>
  <si>
    <t>UltDmg</t>
    <phoneticPr fontId="15" type="noConversion"/>
  </si>
  <si>
    <t>Guard</t>
    <phoneticPr fontId="15" type="noConversion"/>
  </si>
  <si>
    <t>SetChangeM</t>
    <phoneticPr fontId="15" type="noConversion"/>
  </si>
  <si>
    <t>StarseedM</t>
    <phoneticPr fontId="15" type="noConversion"/>
  </si>
  <si>
    <t>IdleBattleReward</t>
    <phoneticPr fontId="15" type="noConversion"/>
  </si>
  <si>
    <t>Hidden</t>
    <phoneticPr fontId="15" type="noConversion"/>
  </si>
  <si>
    <t>TeamArena</t>
    <phoneticPr fontId="15" type="noConversion"/>
  </si>
  <si>
    <t>IdleBattleFastAuto</t>
    <phoneticPr fontId="15" type="noConversion"/>
  </si>
  <si>
    <t>RecoveryEp</t>
    <phoneticPr fontId="15" type="noConversion"/>
  </si>
  <si>
    <t>SyncProtocol</t>
    <phoneticPr fontId="15" type="noConversion"/>
  </si>
  <si>
    <t>SpecialCharacter</t>
    <phoneticPr fontId="15" type="noConversion"/>
  </si>
  <si>
    <t>SyncProtocolM</t>
    <phoneticPr fontId="15" type="noConversion"/>
  </si>
  <si>
    <t>Random</t>
    <phoneticPr fontId="15" type="noConversion"/>
  </si>
  <si>
    <t>CharacterLink</t>
    <phoneticPr fontId="15" type="noConversion"/>
  </si>
  <si>
    <t>아레나 초기화 입장권 최대 개수 증가</t>
    <phoneticPr fontId="15" type="noConversion"/>
  </si>
  <si>
    <t>팀 아레나 초기화 입장권 최대 개수 증가</t>
    <phoneticPr fontId="15" type="noConversion"/>
  </si>
  <si>
    <t>TeamArena_Ticket_Charge_Max_Inc</t>
    <phoneticPr fontId="15" type="noConversion"/>
  </si>
  <si>
    <t>Arena_Ticket_Charge_Max_Inc</t>
    <phoneticPr fontId="15" type="noConversion"/>
  </si>
  <si>
    <t>Raid_Ticket_Charge_Max_Inc</t>
    <phoneticPr fontId="15" type="noConversion"/>
  </si>
  <si>
    <t>통합작전 입장권 최대 개수 증가</t>
    <phoneticPr fontId="15" type="noConversion"/>
  </si>
  <si>
    <t>IdleBattle_Gold_Ratio_Inc</t>
    <phoneticPr fontId="15" type="noConversion"/>
  </si>
  <si>
    <t>방치 보상 골드 % 증가</t>
    <phoneticPr fontId="15" type="noConversion"/>
  </si>
  <si>
    <t>IdleBattle_Ascend_Ratio_Inc</t>
    <phoneticPr fontId="15" type="noConversion"/>
  </si>
  <si>
    <t>방치 보상 돌파 아이템 % 증가</t>
    <phoneticPr fontId="15" type="noConversion"/>
  </si>
  <si>
    <t>IdleBattle_CharacterExp_Ratio_Inc</t>
    <phoneticPr fontId="15" type="noConversion"/>
  </si>
  <si>
    <t>방치 보상 캐릭터 경험치 아이템 % 증가</t>
    <phoneticPr fontId="15" type="noConversion"/>
  </si>
  <si>
    <t>방치 보상 빠른 작전 일일 횟수 증가</t>
    <phoneticPr fontId="15" type="noConversion"/>
  </si>
  <si>
    <t>방치 보상 최대 시간 증가</t>
    <phoneticPr fontId="15" type="noConversion"/>
  </si>
  <si>
    <t>IdleBattle_FastReward_Count_Inc</t>
    <phoneticPr fontId="15" type="noConversion"/>
  </si>
  <si>
    <t>IdleBattle_MaxTimeHour_Count_Inc</t>
    <phoneticPr fontId="15" type="noConversion"/>
  </si>
  <si>
    <t>ActivationAbility</t>
    <phoneticPr fontId="15" type="noConversion"/>
  </si>
  <si>
    <t>ActivationExtraction</t>
    <phoneticPr fontId="15" type="noConversion"/>
  </si>
  <si>
    <t>GuildCoin</t>
    <phoneticPr fontId="15" type="noConversion"/>
  </si>
  <si>
    <t>Gacha_Character_Single_Daily_Free_Count_Inc</t>
    <phoneticPr fontId="15" type="noConversion"/>
  </si>
  <si>
    <t>캐릭터 가챠 일일 무료 횟수 증가</t>
    <phoneticPr fontId="15" type="noConversion"/>
  </si>
  <si>
    <t>Null</t>
    <phoneticPr fontId="17" type="noConversion"/>
  </si>
  <si>
    <t>Starseed</t>
    <phoneticPr fontId="17" type="noConversion"/>
  </si>
  <si>
    <t>Artase</t>
    <phoneticPr fontId="17" type="noConversion"/>
  </si>
  <si>
    <t>Stings</t>
    <phoneticPr fontId="17" type="noConversion"/>
  </si>
  <si>
    <t>Ideolla</t>
    <phoneticPr fontId="17" type="noConversion"/>
  </si>
  <si>
    <t>Autolata</t>
    <phoneticPr fontId="17" type="noConversion"/>
  </si>
  <si>
    <t>Croniya</t>
    <phoneticPr fontId="17" type="noConversion"/>
  </si>
  <si>
    <t>Limerit</t>
    <phoneticPr fontId="17" type="noConversion"/>
  </si>
  <si>
    <t>StartTalk_Portrait</t>
    <phoneticPr fontId="15" type="noConversion"/>
  </si>
  <si>
    <t>BGM</t>
    <phoneticPr fontId="15" type="noConversion"/>
  </si>
  <si>
    <t>SE</t>
    <phoneticPr fontId="15" type="noConversion"/>
  </si>
  <si>
    <t>(cue_name)</t>
    <phoneticPr fontId="15" type="noConversion"/>
  </si>
  <si>
    <t>(cue_sheet)</t>
    <phoneticPr fontId="15" type="noConversion"/>
  </si>
  <si>
    <t>(portrait)</t>
    <phoneticPr fontId="15" type="noConversion"/>
  </si>
  <si>
    <t>Gallery</t>
  </si>
  <si>
    <t>WorldRaid</t>
  </si>
  <si>
    <t>RankingBoard</t>
  </si>
  <si>
    <t>#데이터베이스(갤러리)</t>
  </si>
  <si>
    <t>#월드레이드</t>
  </si>
  <si>
    <t>#용병</t>
  </si>
  <si>
    <t>#랭킹보드</t>
  </si>
  <si>
    <t>StoryMain</t>
    <phoneticPr fontId="15" type="noConversion"/>
  </si>
  <si>
    <t>StoryFaction</t>
    <phoneticPr fontId="15" type="noConversion"/>
  </si>
  <si>
    <t>StoryArchive</t>
    <phoneticPr fontId="15" type="noConversion"/>
  </si>
  <si>
    <t>QuickMove</t>
    <phoneticPr fontId="15" type="noConversion"/>
  </si>
  <si>
    <t>Dialog</t>
    <phoneticPr fontId="15" type="noConversion"/>
  </si>
  <si>
    <t>StageFailed</t>
    <phoneticPr fontId="15" type="noConversion"/>
  </si>
  <si>
    <t>DispatchCenter</t>
    <phoneticPr fontId="15" type="noConversion"/>
  </si>
  <si>
    <t>ActivationCenter</t>
    <phoneticPr fontId="15" type="noConversion"/>
  </si>
  <si>
    <t>StarseedBuilding</t>
    <phoneticPr fontId="15" type="noConversion"/>
  </si>
  <si>
    <t>Formation</t>
    <phoneticPr fontId="15" type="noConversion"/>
  </si>
  <si>
    <t>AutoBattle</t>
    <phoneticPr fontId="15" type="noConversion"/>
  </si>
  <si>
    <t>BattleSpeedControl</t>
    <phoneticPr fontId="15" type="noConversion"/>
  </si>
  <si>
    <t>IdleBattle</t>
    <phoneticPr fontId="15" type="noConversion"/>
  </si>
  <si>
    <t>TeamArenaTournament</t>
    <phoneticPr fontId="15" type="noConversion"/>
  </si>
  <si>
    <t>Mercenary</t>
    <phoneticPr fontId="15" type="noConversion"/>
  </si>
  <si>
    <t>GuideQuest</t>
    <phoneticPr fontId="15" type="noConversion"/>
  </si>
  <si>
    <t>GuildSupport</t>
    <phoneticPr fontId="15" type="noConversion"/>
  </si>
  <si>
    <t>BattleCamera</t>
  </si>
  <si>
    <t>BattleCutScene</t>
  </si>
  <si>
    <t>Attendance</t>
    <phoneticPr fontId="15" type="noConversion"/>
  </si>
  <si>
    <t>Friend</t>
    <phoneticPr fontId="15" type="noConversion"/>
  </si>
  <si>
    <t>BestFriend</t>
    <phoneticPr fontId="15" type="noConversion"/>
  </si>
  <si>
    <t>MainStory</t>
    <phoneticPr fontId="15" type="noConversion"/>
  </si>
  <si>
    <t>SubStory</t>
    <phoneticPr fontId="15" type="noConversion"/>
  </si>
  <si>
    <t>MentorStory</t>
    <phoneticPr fontId="15" type="noConversion"/>
  </si>
  <si>
    <t>ListPortraitCharacter</t>
    <phoneticPr fontId="15" type="noConversion"/>
  </si>
  <si>
    <t>Pause</t>
    <phoneticPr fontId="15" type="noConversion"/>
  </si>
  <si>
    <t>Image</t>
    <phoneticPr fontId="15" type="noConversion"/>
  </si>
  <si>
    <t>ArenaTournament</t>
    <phoneticPr fontId="15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</si>
  <si>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ogin</t>
    </r>
    <phoneticPr fontId="15" type="noConversion"/>
  </si>
  <si>
    <r>
      <t>E</t>
    </r>
    <r>
      <rPr>
        <sz val="11"/>
        <color theme="1"/>
        <rFont val="맑은 고딕"/>
        <family val="2"/>
        <charset val="129"/>
        <scheme val="minor"/>
      </rPr>
      <t>nterLobby</t>
    </r>
    <phoneticPr fontId="15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</si>
  <si>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issionRewardable</t>
    </r>
    <phoneticPr fontId="15" type="noConversion"/>
  </si>
  <si>
    <t>Waiting</t>
    <phoneticPr fontId="15" type="noConversion"/>
  </si>
  <si>
    <t>GetItem</t>
    <phoneticPr fontId="15" type="noConversion"/>
  </si>
  <si>
    <t>#획득처</t>
    <phoneticPr fontId="15" type="noConversion"/>
  </si>
  <si>
    <t>StarRecord</t>
    <phoneticPr fontId="15" type="noConversion"/>
  </si>
  <si>
    <t>Event</t>
    <phoneticPr fontId="15" type="noConversion"/>
  </si>
  <si>
    <t>CharacterTab</t>
    <phoneticPr fontId="15" type="noConversion"/>
  </si>
  <si>
    <t>CharacterList</t>
    <phoneticPr fontId="15" type="noConversion"/>
  </si>
  <si>
    <t>Mission</t>
    <phoneticPr fontId="15" type="noConversion"/>
  </si>
  <si>
    <t>ChatInput</t>
    <phoneticPr fontId="15" type="noConversion"/>
  </si>
  <si>
    <t>Timeline</t>
    <phoneticPr fontId="15" type="noConversion"/>
  </si>
  <si>
    <t>Notice</t>
    <phoneticPr fontId="15" type="noConversion"/>
  </si>
  <si>
    <t>Blur</t>
  </si>
  <si>
    <t>Noise</t>
    <phoneticPr fontId="15" type="noConversion"/>
  </si>
  <si>
    <t>Color</t>
    <phoneticPr fontId="15" type="noConversion"/>
  </si>
  <si>
    <t>(power)</t>
    <phoneticPr fontId="15" type="noConversion"/>
  </si>
  <si>
    <t>(color)</t>
    <phoneticPr fontId="15" type="noConversion"/>
  </si>
  <si>
    <t>(time)</t>
    <phoneticPr fontId="15" type="noConversion"/>
  </si>
  <si>
    <t>ShakeScreen</t>
    <phoneticPr fontId="15" type="noConversion"/>
  </si>
  <si>
    <t>Authorize</t>
    <phoneticPr fontId="15" type="noConversion"/>
  </si>
  <si>
    <t>EnterBattleReady</t>
    <phoneticPr fontId="15" type="noConversion"/>
  </si>
  <si>
    <t>GlobalEffect</t>
    <phoneticPr fontId="15" type="noConversion"/>
  </si>
  <si>
    <t>Effect</t>
    <phoneticPr fontId="15" type="noConversion"/>
  </si>
  <si>
    <t>(effect_prefab)</t>
    <phoneticPr fontId="15" type="noConversion"/>
  </si>
  <si>
    <t>(pos)</t>
    <phoneticPr fontId="15" type="noConversion"/>
  </si>
  <si>
    <t>(attach_point)</t>
    <phoneticPr fontId="15" type="noConversion"/>
  </si>
  <si>
    <t>Eye</t>
    <phoneticPr fontId="15" type="noConversion"/>
  </si>
  <si>
    <t>Wipe</t>
    <phoneticPr fontId="15" type="noConversion"/>
  </si>
  <si>
    <t>TurnOn</t>
    <phoneticPr fontId="15" type="noConversion"/>
  </si>
  <si>
    <t>ShowSkip</t>
    <phoneticPr fontId="15" type="noConversion"/>
  </si>
  <si>
    <t>(bool)</t>
    <phoneticPr fontId="15" type="noConversion"/>
  </si>
  <si>
    <t>SilentTalk</t>
    <phoneticPr fontId="15" type="noConversion"/>
  </si>
  <si>
    <t>TurnOn2</t>
    <phoneticPr fontId="15" type="noConversion"/>
  </si>
  <si>
    <t>TurnOn3</t>
    <phoneticPr fontId="15" type="noConversion"/>
  </si>
  <si>
    <t>Event7Days</t>
    <phoneticPr fontId="15" type="noConversion"/>
  </si>
  <si>
    <t>BattleLobbyCharacterTab</t>
    <phoneticPr fontId="15" type="noConversion"/>
  </si>
  <si>
    <t>#배틀로비캐릭터퀵버튼/잠금 설정 위해 추가</t>
    <phoneticPr fontId="15" type="noConversion"/>
  </si>
  <si>
    <t>OpenCharacter</t>
  </si>
  <si>
    <t>TeamSetting</t>
  </si>
  <si>
    <t>UseUlt</t>
  </si>
  <si>
    <t>Raid01</t>
    <phoneticPr fontId="15" type="noConversion"/>
  </si>
  <si>
    <t>Raid02</t>
    <phoneticPr fontId="15" type="noConversion"/>
  </si>
  <si>
    <t>StageClear</t>
    <phoneticPr fontId="15" type="noConversion"/>
  </si>
  <si>
    <t>Camera</t>
    <phoneticPr fontId="15" type="noConversion"/>
  </si>
  <si>
    <t>(slot)</t>
    <phoneticPr fontId="15" type="noConversion"/>
  </si>
  <si>
    <t>(bone)</t>
    <phoneticPr fontId="15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</si>
  <si>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easonRewardable</t>
    </r>
    <phoneticPr fontId="15" type="noConversion"/>
  </si>
  <si>
    <t>StageClearPacket</t>
    <phoneticPr fontId="15" type="noConversion"/>
  </si>
  <si>
    <t>GuildAssault</t>
    <phoneticPr fontId="15" type="noConversion"/>
  </si>
  <si>
    <t>NormalM</t>
    <phoneticPr fontId="15" type="noConversion"/>
  </si>
  <si>
    <t>UseT</t>
  </si>
  <si>
    <t>ExchangeM</t>
    <phoneticPr fontId="15" type="noConversion"/>
  </si>
  <si>
    <t>UltimateGaugeFull</t>
    <phoneticPr fontId="15" type="noConversion"/>
  </si>
  <si>
    <t>CharacterLevelUp</t>
    <phoneticPr fontId="15" type="noConversion"/>
  </si>
  <si>
    <t>AccountLevelUp</t>
    <phoneticPr fontId="15" type="noConversion"/>
  </si>
  <si>
    <t>EnterUI</t>
    <phoneticPr fontId="15" type="noConversion"/>
  </si>
  <si>
    <t>ClickButton</t>
    <phoneticPr fontId="15" type="noConversion"/>
  </si>
  <si>
    <t>PluginLvM</t>
    <phoneticPr fontId="15" type="noConversion"/>
  </si>
  <si>
    <t>FavorabilityM</t>
    <phoneticPr fontId="15" type="noConversion"/>
  </si>
  <si>
    <t>#AllType</t>
    <phoneticPr fontId="5" type="noConversion"/>
  </si>
  <si>
    <t>StartTalk</t>
    <phoneticPr fontId="5" type="noConversion"/>
  </si>
  <si>
    <t>(name)</t>
    <phoneticPr fontId="5" type="noConversion"/>
  </si>
  <si>
    <t>(font_size)</t>
    <phoneticPr fontId="5" type="noConversion"/>
  </si>
  <si>
    <t>Talk</t>
    <phoneticPr fontId="5" type="noConversion"/>
  </si>
  <si>
    <t>(text)</t>
    <phoneticPr fontId="5" type="noConversion"/>
  </si>
  <si>
    <t>(end_delay)</t>
    <phoneticPr fontId="5" type="noConversion"/>
  </si>
  <si>
    <t>(char_delay)</t>
    <phoneticPr fontId="5" type="noConversion"/>
  </si>
  <si>
    <t>Voice</t>
    <phoneticPr fontId="5" type="noConversion"/>
  </si>
  <si>
    <t>(slot_type)</t>
    <phoneticPr fontId="5" type="noConversion"/>
  </si>
  <si>
    <t>(cue_name)</t>
    <phoneticPr fontId="5" type="noConversion"/>
  </si>
  <si>
    <t>(wait)</t>
    <phoneticPr fontId="5" type="noConversion"/>
  </si>
  <si>
    <t>Emotion</t>
    <phoneticPr fontId="5" type="noConversion"/>
  </si>
  <si>
    <t>(emotion_type)</t>
    <phoneticPr fontId="5" type="noConversion"/>
  </si>
  <si>
    <t>Animation</t>
    <phoneticPr fontId="5" type="noConversion"/>
  </si>
  <si>
    <t>(anim_name)</t>
    <phoneticPr fontId="5" type="noConversion"/>
  </si>
  <si>
    <t>SetCharacter</t>
    <phoneticPr fontId="5" type="noConversion"/>
  </si>
  <si>
    <t>(prefab_path)</t>
    <phoneticPr fontId="5" type="noConversion"/>
  </si>
  <si>
    <t>(pos)</t>
    <phoneticPr fontId="5" type="noConversion"/>
  </si>
  <si>
    <t>Select</t>
    <phoneticPr fontId="5" type="noConversion"/>
  </si>
  <si>
    <t>(script_id)</t>
    <phoneticPr fontId="5" type="noConversion"/>
  </si>
  <si>
    <t>Goto</t>
    <phoneticPr fontId="5" type="noConversion"/>
  </si>
  <si>
    <t>Wait</t>
    <phoneticPr fontId="5" type="noConversion"/>
  </si>
  <si>
    <t>Light</t>
    <phoneticPr fontId="5" type="noConversion"/>
  </si>
  <si>
    <t>(bool)</t>
    <phoneticPr fontId="5" type="noConversion"/>
  </si>
  <si>
    <t>Shake</t>
    <phoneticPr fontId="5" type="noConversion"/>
  </si>
  <si>
    <t>(time)</t>
    <phoneticPr fontId="5" type="noConversion"/>
  </si>
  <si>
    <t>ShakeAll</t>
    <phoneticPr fontId="5" type="noConversion"/>
  </si>
  <si>
    <t>NickName</t>
    <phoneticPr fontId="5" type="noConversion"/>
  </si>
  <si>
    <t>Video</t>
    <phoneticPr fontId="5" type="noConversion"/>
  </si>
  <si>
    <t>(file)</t>
    <phoneticPr fontId="5" type="noConversion"/>
  </si>
  <si>
    <t>(sub_file)</t>
    <phoneticPr fontId="5" type="noConversion"/>
  </si>
  <si>
    <t>LookTo</t>
    <phoneticPr fontId="5" type="noConversion"/>
  </si>
  <si>
    <t>SelectGift</t>
    <phoneticPr fontId="15" type="noConversion"/>
  </si>
  <si>
    <t>Gacha_Plugin_Single_Daily_Free_Count_Inc</t>
    <phoneticPr fontId="15" type="noConversion"/>
  </si>
  <si>
    <t>플러그인 가챠 일일 무료 횟수 증가</t>
    <phoneticPr fontId="15" type="noConversion"/>
  </si>
  <si>
    <t>IdleBattle_Item_Ratio_Inc</t>
    <phoneticPr fontId="15" type="noConversion"/>
  </si>
  <si>
    <t>방치 보상 아이템 % 증가</t>
    <phoneticPr fontId="15" type="noConversion"/>
  </si>
  <si>
    <t>Shop_Reset_Max_Count_Inc</t>
    <phoneticPr fontId="15" type="noConversion"/>
  </si>
  <si>
    <t>상점 초기화 횟수 증가</t>
    <phoneticPr fontId="15" type="noConversion"/>
  </si>
  <si>
    <t>IdleBattle_FastReward_Free_Count_Inc</t>
    <phoneticPr fontId="15" type="noConversion"/>
  </si>
  <si>
    <t>방치 보상 빠른 작전 무료 횟수 증가</t>
    <phoneticPr fontId="15" type="noConversion"/>
  </si>
  <si>
    <t>GuildAssault</t>
  </si>
  <si>
    <t>Favorability</t>
    <phoneticPr fontId="15" type="noConversion"/>
  </si>
  <si>
    <t>World_Raid_Ticket_Charge_Max_Inc</t>
    <phoneticPr fontId="15" type="noConversion"/>
  </si>
  <si>
    <t>월드 레이드 입장권 최대 개수 증가</t>
    <phoneticPr fontId="15" type="noConversion"/>
  </si>
  <si>
    <t>WorldBox</t>
    <phoneticPr fontId="15" type="noConversion"/>
  </si>
  <si>
    <t>WorldCircle</t>
    <phoneticPr fontId="15" type="noConversion"/>
  </si>
  <si>
    <t>EnterCharacter_Promote</t>
  </si>
  <si>
    <t>EnterEquipment_Enhance</t>
  </si>
  <si>
    <t>승급 가능한 캐릭터 페이지에 진입했을 경우</t>
  </si>
  <si>
    <t>강화 가능한 장비정보 팝업에 진입했을 경우</t>
  </si>
  <si>
    <t>FavorMessage</t>
    <phoneticPr fontId="15" type="noConversion"/>
  </si>
  <si>
    <t>n개 세트효과가 장착되었을 경우</t>
    <phoneticPr fontId="15" type="noConversion"/>
  </si>
  <si>
    <t>n개 세트효과를 장착하고 전투를 시작했을 경우</t>
    <phoneticPr fontId="15" type="noConversion"/>
  </si>
  <si>
    <t>PluginSetCount</t>
    <phoneticPr fontId="15" type="noConversion"/>
  </si>
  <si>
    <t>BattleStart_PluginSetCount</t>
    <phoneticPr fontId="15" type="noConversion"/>
  </si>
  <si>
    <t>PluginActiveGaugeFull</t>
    <phoneticPr fontId="15" type="noConversion"/>
  </si>
  <si>
    <t>전투에서 플러그인 액티브 발동 게이지가 가득찼을 때</t>
    <phoneticPr fontId="15" type="noConversion"/>
  </si>
  <si>
    <t>엔</t>
    <phoneticPr fontId="15" type="noConversion"/>
  </si>
  <si>
    <t>BattleInfoBase</t>
    <phoneticPr fontId="15" type="noConversion"/>
  </si>
  <si>
    <t>CharacterCameraMode</t>
    <phoneticPr fontId="15" type="noConversion"/>
  </si>
  <si>
    <t>PluginPromote</t>
    <phoneticPr fontId="15" type="noConversion"/>
  </si>
  <si>
    <t>#플러그인 승급</t>
    <phoneticPr fontId="15" type="noConversion"/>
  </si>
  <si>
    <t>#삭제 대상</t>
    <phoneticPr fontId="15" type="noConversion"/>
  </si>
  <si>
    <t>PluginPromote</t>
    <phoneticPr fontId="15" type="noConversion"/>
  </si>
  <si>
    <t>#승급</t>
    <phoneticPr fontId="15" type="noConversion"/>
  </si>
  <si>
    <t>Proxyan</t>
    <phoneticPr fontId="15" type="noConversion"/>
  </si>
  <si>
    <t>Stage</t>
    <phoneticPr fontId="15" type="noConversion"/>
  </si>
  <si>
    <t>승급 가능한 캐릭터 승급팝업에 진입했을 경우</t>
    <phoneticPr fontId="15" type="noConversion"/>
  </si>
  <si>
    <t>EnterPromote_Promote</t>
    <phoneticPr fontId="15" type="noConversion"/>
  </si>
  <si>
    <t>EnterFavor_WithMesssage</t>
    <phoneticPr fontId="15" type="noConversion"/>
  </si>
  <si>
    <t>Danger</t>
    <phoneticPr fontId="15" type="noConversion"/>
  </si>
  <si>
    <t>None</t>
    <phoneticPr fontId="15" type="noConversion"/>
  </si>
  <si>
    <t>Dominion</t>
    <phoneticPr fontId="15" type="noConversion"/>
  </si>
  <si>
    <t>SS</t>
    <phoneticPr fontId="15" type="noConversion"/>
  </si>
  <si>
    <t>S</t>
    <phoneticPr fontId="15" type="noConversion"/>
  </si>
  <si>
    <t>A</t>
    <phoneticPr fontId="15" type="noConversion"/>
  </si>
  <si>
    <t>B</t>
    <phoneticPr fontId="15" type="noConversion"/>
  </si>
  <si>
    <t>C</t>
    <phoneticPr fontId="15" type="noConversion"/>
  </si>
  <si>
    <t>Dominion</t>
    <phoneticPr fontId="15" type="noConversion"/>
  </si>
  <si>
    <t>EnterUIFinished</t>
    <phoneticPr fontId="15" type="noConversion"/>
  </si>
  <si>
    <t>특정 UI페이지 진입 후 연출이 종료된 시점에 호출. 필요한 곳은 코드에 추가해야 함</t>
    <phoneticPr fontId="15" type="noConversion"/>
  </si>
  <si>
    <t>BattleMonsterDead</t>
    <phoneticPr fontId="15" type="noConversion"/>
  </si>
  <si>
    <t>ClassAdvantage</t>
  </si>
  <si>
    <t>ZoomIn</t>
    <phoneticPr fontId="15" type="noConversion"/>
  </si>
  <si>
    <t>CameraMove</t>
    <phoneticPr fontId="15" type="noConversion"/>
  </si>
  <si>
    <t>(zoom_type)</t>
    <phoneticPr fontId="15" type="noConversion"/>
  </si>
  <si>
    <t>ZoomIn1_Large</t>
    <phoneticPr fontId="10" type="noConversion"/>
  </si>
  <si>
    <t>ZoomIn2_Large</t>
    <phoneticPr fontId="10" type="noConversion"/>
  </si>
  <si>
    <t>ZoomIn1_Mid</t>
    <phoneticPr fontId="10" type="noConversion"/>
  </si>
  <si>
    <t>ZoomIn2_Mid</t>
    <phoneticPr fontId="10" type="noConversion"/>
  </si>
  <si>
    <t>ZoomIn1_Small</t>
    <phoneticPr fontId="10" type="noConversion"/>
  </si>
  <si>
    <t>ZoomIn2_Small</t>
    <phoneticPr fontId="10" type="noConversion"/>
  </si>
  <si>
    <t>ShakeText</t>
  </si>
  <si>
    <t>ReleaseEffect</t>
    <phoneticPr fontId="15" type="noConversion"/>
  </si>
  <si>
    <t>AchiveStage</t>
    <phoneticPr fontId="15" type="noConversion"/>
  </si>
  <si>
    <t>AchiveAccount</t>
  </si>
  <si>
    <t>Wishlist</t>
    <phoneticPr fontId="15" type="noConversion"/>
  </si>
  <si>
    <t>Plugin</t>
    <phoneticPr fontId="15" type="noConversion"/>
  </si>
  <si>
    <t>QuickMove</t>
    <phoneticPr fontId="15" type="noConversion"/>
  </si>
  <si>
    <t>EventStory</t>
    <phoneticPr fontId="15" type="noConversion"/>
  </si>
  <si>
    <t>Character</t>
    <phoneticPr fontId="15" type="noConversion"/>
  </si>
  <si>
    <t>LobbyEnter</t>
    <phoneticPr fontId="15" type="noConversion"/>
  </si>
  <si>
    <t>RecommendMission</t>
    <phoneticPr fontId="15" type="noConversion"/>
  </si>
  <si>
    <t>#추천 미션</t>
    <phoneticPr fontId="15" type="noConversion"/>
  </si>
  <si>
    <t>CharacterPromote</t>
    <phoneticPr fontId="15" type="noConversion"/>
  </si>
  <si>
    <t>#캐릭터 승급</t>
    <phoneticPr fontId="15" type="noConversion"/>
  </si>
  <si>
    <t>EventBattle</t>
    <phoneticPr fontId="15" type="noConversion"/>
  </si>
  <si>
    <t>ListOptimization</t>
    <phoneticPr fontId="15" type="noConversion"/>
  </si>
  <si>
    <t>EventStory</t>
    <phoneticPr fontId="15" type="noConversion"/>
  </si>
  <si>
    <t>Archive</t>
  </si>
  <si>
    <t>CharacterEnter</t>
    <phoneticPr fontId="15" type="noConversion"/>
  </si>
  <si>
    <t>RatioA</t>
    <phoneticPr fontId="15" type="noConversion"/>
  </si>
  <si>
    <t>RatioB</t>
    <phoneticPr fontId="15" type="noConversion"/>
  </si>
  <si>
    <t>RatioC</t>
    <phoneticPr fontId="15" type="noConversion"/>
  </si>
  <si>
    <t>#1:1</t>
    <phoneticPr fontId="15" type="noConversion"/>
  </si>
  <si>
    <t>#16:9</t>
    <phoneticPr fontId="15" type="noConversion"/>
  </si>
  <si>
    <t>#4:5</t>
    <phoneticPr fontId="15" type="noConversion"/>
  </si>
  <si>
    <t>Bundle</t>
    <phoneticPr fontId="15" type="noConversion"/>
  </si>
  <si>
    <t>Streaming</t>
    <phoneticPr fontId="15" type="noConversion"/>
  </si>
  <si>
    <t>Lower</t>
    <phoneticPr fontId="15" type="noConversion"/>
  </si>
  <si>
    <t>낮은등급</t>
    <phoneticPr fontId="15" type="noConversion"/>
  </si>
  <si>
    <t>Higher</t>
    <phoneticPr fontId="15" type="noConversion"/>
  </si>
  <si>
    <t>높은등급</t>
    <phoneticPr fontId="15" type="noConversion"/>
  </si>
  <si>
    <t>Overclock</t>
    <phoneticPr fontId="15" type="noConversion"/>
  </si>
  <si>
    <t># 캐릭터 최대 레벨 개방</t>
    <phoneticPr fontId="15" type="noConversion"/>
  </si>
  <si>
    <t>NONE</t>
    <phoneticPr fontId="15" type="noConversion"/>
  </si>
  <si>
    <t>ProfileFrame</t>
    <phoneticPr fontId="15" type="noConversion"/>
  </si>
  <si>
    <t>ProfileImage</t>
    <phoneticPr fontId="15" type="noConversion"/>
  </si>
  <si>
    <t>ArchitectProfile</t>
  </si>
  <si>
    <t>PluginPiece</t>
    <phoneticPr fontId="15" type="noConversion"/>
  </si>
  <si>
    <t>OverclockOpen</t>
    <phoneticPr fontId="15" type="noConversion"/>
  </si>
  <si>
    <t>Spica</t>
  </si>
  <si>
    <t>Altair</t>
  </si>
  <si>
    <t>Sirius</t>
  </si>
  <si>
    <t>EventStory</t>
  </si>
  <si>
    <t>EventAttendance</t>
  </si>
  <si>
    <t>EventGrowth</t>
  </si>
  <si>
    <t>EventMove</t>
  </si>
  <si>
    <t>Image</t>
    <phoneticPr fontId="15" type="noConversion"/>
  </si>
  <si>
    <t>(image_path)</t>
    <phoneticPr fontId="15" type="noConversion"/>
  </si>
  <si>
    <t>BounceText</t>
    <phoneticPr fontId="15" type="noConversion"/>
  </si>
  <si>
    <t>StartTalk_Center</t>
    <phoneticPr fontId="15" type="noConversion"/>
  </si>
  <si>
    <t>EventShop</t>
    <phoneticPr fontId="15" type="noConversion"/>
  </si>
  <si>
    <t>EventBattle</t>
    <phoneticPr fontId="15" type="noConversion"/>
  </si>
  <si>
    <t>Mood</t>
    <phoneticPr fontId="15" type="noConversion"/>
  </si>
  <si>
    <t>OverlapText</t>
    <phoneticPr fontId="15" type="noConversion"/>
  </si>
  <si>
    <t>PivotAnimation</t>
    <phoneticPr fontId="5" type="noConversion"/>
  </si>
  <si>
    <t>Surprise</t>
    <phoneticPr fontId="15" type="noConversion"/>
  </si>
  <si>
    <t>Shy</t>
    <phoneticPr fontId="15" type="noConversion"/>
  </si>
  <si>
    <t>Dislike</t>
    <phoneticPr fontId="15" type="noConversion"/>
  </si>
  <si>
    <t>Tough</t>
    <phoneticPr fontId="15" type="noConversion"/>
  </si>
  <si>
    <t>EventLogin</t>
    <phoneticPr fontId="15" type="noConversion"/>
  </si>
  <si>
    <t>FadeIn</t>
    <phoneticPr fontId="15" type="noConversion"/>
  </si>
  <si>
    <t>FadeOut</t>
    <phoneticPr fontId="15" type="noConversion"/>
  </si>
  <si>
    <t>SetBackground</t>
    <phoneticPr fontId="15" type="noConversion"/>
  </si>
  <si>
    <t>(prefab_path)</t>
    <phoneticPr fontId="15" type="noConversion"/>
  </si>
  <si>
    <t>(image_path)</t>
    <phoneticPr fontId="15" type="noConversion"/>
  </si>
  <si>
    <t>(fade_color)</t>
    <phoneticPr fontId="15" type="noConversion"/>
  </si>
  <si>
    <t>RewardArena</t>
  </si>
  <si>
    <t>RewardArenaChallenge</t>
  </si>
  <si>
    <t>RewardTeamArena</t>
  </si>
  <si>
    <t>RewardWorldRaid</t>
  </si>
  <si>
    <t>RewardDominion</t>
  </si>
  <si>
    <t>RewardGuildOperation</t>
  </si>
  <si>
    <t>RewardPluginLab</t>
  </si>
  <si>
    <t>RewardDispatch</t>
  </si>
  <si>
    <t>RewardRapidOp</t>
  </si>
  <si>
    <t>ProbAcademyFriendly</t>
  </si>
  <si>
    <t>TimePluginLab</t>
  </si>
  <si>
    <t>TimeDispatch</t>
  </si>
  <si>
    <t>MainNormal</t>
    <phoneticPr fontId="15" type="noConversion"/>
  </si>
  <si>
    <t>FactionNormal</t>
    <phoneticPr fontId="15" type="noConversion"/>
  </si>
  <si>
    <t>CharacterNormal</t>
    <phoneticPr fontId="15" type="noConversion"/>
  </si>
  <si>
    <t>ArchiveEvent</t>
    <phoneticPr fontId="15" type="noConversion"/>
  </si>
  <si>
    <t>Idle</t>
    <phoneticPr fontId="15" type="noConversion"/>
  </si>
  <si>
    <t>RewardGuildAssault</t>
    <phoneticPr fontId="15" type="noConversion"/>
  </si>
  <si>
    <t>CashShop</t>
    <phoneticPr fontId="15" type="noConversion"/>
  </si>
  <si>
    <t>RewardRotation</t>
    <phoneticPr fontId="15" type="noConversion"/>
  </si>
  <si>
    <t>CashShop</t>
    <phoneticPr fontId="15" type="noConversion"/>
  </si>
  <si>
    <t>EnterBattleReadyWithExSkill</t>
  </si>
  <si>
    <t>전투준비화면의 Normal모드 갱신시, 내 덱의 UltimateEx가 하나라도 있을 때</t>
    <phoneticPr fontId="15" type="noConversion"/>
  </si>
  <si>
    <t>FirstPurchase</t>
    <phoneticPr fontId="15" type="noConversion"/>
  </si>
  <si>
    <t>AsniaQuest</t>
    <phoneticPr fontId="15" type="noConversion"/>
  </si>
  <si>
    <t>Stat</t>
    <phoneticPr fontId="15" type="noConversion"/>
  </si>
  <si>
    <t>Passive</t>
    <phoneticPr fontId="15" type="noConversion"/>
  </si>
  <si>
    <t>First</t>
    <phoneticPr fontId="15" type="noConversion"/>
  </si>
  <si>
    <r>
      <t>Event</t>
    </r>
    <r>
      <rPr>
        <sz val="10"/>
        <color rgb="FF000000"/>
        <rFont val="Malgun Gothic"/>
        <family val="3"/>
        <charset val="129"/>
      </rPr>
      <t>Bingo</t>
    </r>
  </si>
  <si>
    <t>EventSelectPickup</t>
    <phoneticPr fontId="15" type="noConversion"/>
  </si>
  <si>
    <t>EventPickup</t>
    <phoneticPr fontId="15" type="noConversion"/>
  </si>
  <si>
    <t># 캐릭터 해산</t>
    <phoneticPr fontId="15" type="noConversion"/>
  </si>
  <si>
    <t>CharacterSell</t>
    <phoneticPr fontId="15" type="noConversion"/>
  </si>
  <si>
    <t>BattleRaid</t>
    <phoneticPr fontId="15" type="noConversion"/>
  </si>
  <si>
    <t>EventAttendance</t>
    <phoneticPr fontId="15" type="noConversion"/>
  </si>
  <si>
    <t># 이벤트 출석부</t>
    <phoneticPr fontId="15" type="noConversion"/>
  </si>
  <si>
    <t>BattleReady</t>
    <phoneticPr fontId="15" type="noConversion"/>
  </si>
  <si>
    <t>BattleStart</t>
    <phoneticPr fontId="15" type="noConversion"/>
  </si>
  <si>
    <t>Lobby</t>
    <phoneticPr fontId="15" type="noConversion"/>
  </si>
  <si>
    <t>EventStoryLobby</t>
    <phoneticPr fontId="15" type="noConversion"/>
  </si>
  <si>
    <t>EventLogin</t>
    <phoneticPr fontId="15" type="noConversion"/>
  </si>
  <si>
    <t>ExtraMode</t>
    <phoneticPr fontId="15" type="noConversion"/>
  </si>
  <si>
    <t>ExtraMode</t>
    <phoneticPr fontId="15" type="noConversion"/>
  </si>
  <si>
    <t>AttributeRed</t>
    <phoneticPr fontId="15" type="noConversion"/>
  </si>
  <si>
    <t>AttributeGreen</t>
    <phoneticPr fontId="15" type="noConversion"/>
  </si>
  <si>
    <t>AttributeBlue</t>
    <phoneticPr fontId="15" type="noConversion"/>
  </si>
  <si>
    <t>AttributeNone</t>
    <phoneticPr fontId="15" type="noConversion"/>
  </si>
  <si>
    <t>JackPot</t>
    <phoneticPr fontId="15" type="noConversion"/>
  </si>
  <si>
    <t>Match</t>
    <phoneticPr fontId="15" type="noConversion"/>
  </si>
  <si>
    <t>AttributeBattle</t>
  </si>
  <si>
    <t>#속성전투</t>
    <phoneticPr fontId="15" type="noConversion"/>
  </si>
  <si>
    <t>AttributeBattle01</t>
    <phoneticPr fontId="15" type="noConversion"/>
  </si>
  <si>
    <t>AttributeBattle02</t>
  </si>
  <si>
    <t>AttributeBattle03</t>
  </si>
  <si>
    <t>Attribute_Battle_Ticket_Charge_Max_Inc</t>
    <phoneticPr fontId="15" type="noConversion"/>
  </si>
  <si>
    <t>속성 전투 어빌리티 추가</t>
    <phoneticPr fontId="15" type="noConversion"/>
  </si>
  <si>
    <t>EventRoulette</t>
    <phoneticPr fontId="15" type="noConversion"/>
  </si>
  <si>
    <t>SlowBack</t>
    <phoneticPr fontId="15" type="noConversion"/>
  </si>
  <si>
    <t>SlowPass</t>
    <phoneticPr fontId="15" type="noConversion"/>
  </si>
  <si>
    <t>Rare</t>
    <phoneticPr fontId="15" type="noConversion"/>
  </si>
  <si>
    <t>ClearTalk</t>
    <phoneticPr fontId="15" type="noConversion"/>
  </si>
  <si>
    <t>EventSlotMachine</t>
    <phoneticPr fontId="15" type="noConversion"/>
  </si>
  <si>
    <t>HiveItem</t>
    <phoneticPr fontId="15" type="noConversion"/>
  </si>
  <si>
    <t>LR</t>
    <phoneticPr fontId="15" type="noConversion"/>
  </si>
  <si>
    <t>LR1</t>
    <phoneticPr fontId="15" type="noConversion"/>
  </si>
  <si>
    <t>LR2</t>
  </si>
  <si>
    <t>LR3</t>
  </si>
  <si>
    <t>LR4</t>
  </si>
  <si>
    <t>LR5</t>
  </si>
  <si>
    <t>Makeup</t>
    <phoneticPr fontId="15" type="noConversion"/>
  </si>
  <si>
    <t>(use&amp;fade_time)</t>
    <phoneticPr fontId="15" type="noConversion"/>
  </si>
  <si>
    <t>(layer_num)</t>
    <phoneticPr fontId="15" type="noConversion"/>
  </si>
  <si>
    <t>Campaign</t>
  </si>
  <si>
    <t>#캠페인 로비</t>
  </si>
  <si>
    <t>AcademyAltair</t>
    <phoneticPr fontId="15" type="noConversion"/>
  </si>
  <si>
    <t>AcademySirius</t>
    <phoneticPr fontId="15" type="noConversion"/>
  </si>
  <si>
    <t>Raid03</t>
  </si>
  <si>
    <t>Raid04</t>
  </si>
  <si>
    <t>Introduce</t>
    <phoneticPr fontId="15" type="noConversion"/>
  </si>
  <si>
    <t>BlockTouch</t>
    <phoneticPr fontId="15" type="noConversion"/>
  </si>
  <si>
    <t>(use)</t>
    <phoneticPr fontId="15" type="noConversion"/>
  </si>
  <si>
    <t>HighlightMove</t>
    <phoneticPr fontId="15" type="noConversion"/>
  </si>
  <si>
    <t>(x,y,z)</t>
    <phoneticPr fontId="15" type="noConversion"/>
  </si>
  <si>
    <t>AttributeGold</t>
    <phoneticPr fontId="15" type="noConversion"/>
  </si>
  <si>
    <t>AttributePurple</t>
    <phoneticPr fontId="15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</si>
  <si>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urchase</t>
    </r>
    <phoneticPr fontId="15" type="noConversion"/>
  </si>
  <si>
    <t>EventAttendance</t>
    <phoneticPr fontId="15" type="noConversion"/>
  </si>
  <si>
    <t>DailyReturn</t>
    <phoneticPr fontId="15" type="noConversion"/>
  </si>
  <si>
    <t>Step</t>
    <phoneticPr fontId="15" type="noConversion"/>
  </si>
  <si>
    <t>AttributeBattle04</t>
    <phoneticPr fontId="15" type="noConversion"/>
  </si>
  <si>
    <t>AttributeBattle05</t>
    <phoneticPr fontId="15" type="noConversion"/>
  </si>
  <si>
    <t>All</t>
    <phoneticPr fontId="15" type="noConversion"/>
  </si>
  <si>
    <t>AttributeBattle1</t>
    <phoneticPr fontId="15" type="noConversion"/>
  </si>
  <si>
    <t>AttributeBattle2</t>
  </si>
  <si>
    <t>AttributeBattle3</t>
  </si>
  <si>
    <t>AttributeBattle4</t>
  </si>
  <si>
    <t>Event</t>
    <phoneticPr fontId="15" type="noConversion"/>
  </si>
  <si>
    <t>Instarseed</t>
    <phoneticPr fontId="15" type="noConversion"/>
  </si>
  <si>
    <t>DataTowerFloor</t>
    <phoneticPr fontId="15" type="noConversion"/>
  </si>
  <si>
    <t>ArenaScore</t>
    <phoneticPr fontId="23" type="noConversion"/>
  </si>
  <si>
    <t>CharacterMaxLevel</t>
    <phoneticPr fontId="15" type="noConversion"/>
  </si>
  <si>
    <t>AdminDelete</t>
    <phoneticPr fontId="15" type="noConversion"/>
  </si>
  <si>
    <t>UIAnimation</t>
    <phoneticPr fontId="15" type="noConversion"/>
  </si>
  <si>
    <t>KR</t>
    <phoneticPr fontId="15" type="noConversion"/>
  </si>
  <si>
    <t>JP</t>
    <phoneticPr fontId="15" type="noConversion"/>
  </si>
  <si>
    <t>US</t>
    <phoneticPr fontId="15" type="noConversion"/>
  </si>
  <si>
    <t>EU</t>
    <phoneticPr fontId="15" type="noConversion"/>
  </si>
  <si>
    <t>CN</t>
    <phoneticPr fontId="15" type="noConversion"/>
  </si>
  <si>
    <t>Asia</t>
    <phoneticPr fontId="15" type="noConversion"/>
  </si>
  <si>
    <t>Bliss</t>
    <phoneticPr fontId="15" type="noConversion"/>
  </si>
  <si>
    <t>Charm</t>
    <phoneticPr fontId="15" type="noConversion"/>
  </si>
  <si>
    <t>Hunt</t>
    <phoneticPr fontId="15" type="noConversion"/>
  </si>
  <si>
    <t>Sly</t>
    <phoneticPr fontId="15" type="noConversion"/>
  </si>
  <si>
    <t>Pitful</t>
    <phoneticPr fontId="15" type="noConversion"/>
  </si>
  <si>
    <t>BossChallenge</t>
  </si>
  <si>
    <t>BossChallenge</t>
    <phoneticPr fontId="15" type="noConversion"/>
  </si>
  <si>
    <t>#보스 챌린지</t>
    <phoneticPr fontId="15" type="noConversion"/>
  </si>
  <si>
    <t>StepGrowthCharacter</t>
    <phoneticPr fontId="15" type="noConversion"/>
  </si>
  <si>
    <t>StepGrowthPlugin</t>
    <phoneticPr fontId="15" type="noConversion"/>
  </si>
  <si>
    <t>BackgroundBlur</t>
    <phoneticPr fontId="15" type="noConversion"/>
  </si>
  <si>
    <t>(use)</t>
    <phoneticPr fontId="15" type="noConversion"/>
  </si>
  <si>
    <t>FadeOutOverlay</t>
    <phoneticPr fontId="15" type="noConversion"/>
  </si>
  <si>
    <t>FadeInOverlay</t>
    <phoneticPr fontId="15" type="noConversion"/>
  </si>
  <si>
    <t>(type)</t>
    <phoneticPr fontId="15" type="noConversion"/>
  </si>
  <si>
    <t>(ScriptActionType)</t>
    <phoneticPr fontId="15" type="noConversion"/>
  </si>
  <si>
    <t>#로비 변경</t>
    <phoneticPr fontId="15" type="noConversion"/>
  </si>
  <si>
    <t>LobbyChange</t>
    <phoneticPr fontId="15" type="noConversion"/>
  </si>
  <si>
    <t>Event7DayMission</t>
    <phoneticPr fontId="15" type="noConversion"/>
  </si>
  <si>
    <t>TextAnimation</t>
    <phoneticPr fontId="15" type="noConversion"/>
  </si>
  <si>
    <t>(values)</t>
    <phoneticPr fontId="15" type="noConversion"/>
  </si>
  <si>
    <t>Wave</t>
    <phoneticPr fontId="15" type="noConversion"/>
  </si>
  <si>
    <t>(ScriptTextAnimType)</t>
    <phoneticPr fontId="15" type="noConversion"/>
  </si>
  <si>
    <t>AttributeBattle</t>
    <phoneticPr fontId="15" type="noConversion"/>
  </si>
  <si>
    <t>BattleContentMove</t>
    <phoneticPr fontId="15" type="noConversion"/>
  </si>
  <si>
    <t>ArchiveContents</t>
    <phoneticPr fontId="15" type="noConversion"/>
  </si>
  <si>
    <t>Scanline</t>
    <phoneticPr fontId="15" type="noConversion"/>
  </si>
  <si>
    <t>SetPastScene</t>
    <phoneticPr fontId="15" type="noConversion"/>
  </si>
  <si>
    <t>Gallery</t>
    <phoneticPr fontId="15" type="noConversion"/>
  </si>
  <si>
    <t>NotUsed</t>
    <phoneticPr fontId="15" type="noConversion"/>
  </si>
  <si>
    <t>OnlyStart</t>
    <phoneticPr fontId="15" type="noConversion"/>
  </si>
  <si>
    <r>
      <t>R</t>
    </r>
    <r>
      <rPr>
        <sz val="11"/>
        <color theme="1"/>
        <rFont val="Calibri"/>
        <family val="2"/>
      </rPr>
      <t>egular</t>
    </r>
  </si>
  <si>
    <r>
      <t>Em</t>
    </r>
    <r>
      <rPr>
        <sz val="11"/>
        <color theme="1"/>
        <rFont val="맑은 고딕"/>
        <family val="3"/>
        <charset val="129"/>
      </rPr>
      <t>ergency</t>
    </r>
  </si>
  <si>
    <t>SkipBlock</t>
    <phoneticPr fontId="15" type="noConversion"/>
  </si>
  <si>
    <t>AcademyUp</t>
    <phoneticPr fontId="15" type="noConversion"/>
  </si>
  <si>
    <t>FavorabilityUp</t>
    <phoneticPr fontId="15" type="noConversion"/>
  </si>
  <si>
    <t>Recall</t>
    <phoneticPr fontId="15" type="noConversion"/>
  </si>
  <si>
    <t>EventCraft</t>
    <phoneticPr fontId="15" type="noConversion"/>
  </si>
  <si>
    <t>RewardRaid02</t>
    <phoneticPr fontId="15" type="noConversion"/>
  </si>
  <si>
    <t>RewardRaid03</t>
    <phoneticPr fontId="15" type="noConversion"/>
  </si>
  <si>
    <t>RewardRaid04</t>
    <phoneticPr fontId="15" type="noConversion"/>
  </si>
  <si>
    <t>RewardRaid01</t>
    <phoneticPr fontId="15" type="noConversion"/>
  </si>
  <si>
    <t>MonsterWave</t>
    <phoneticPr fontId="15" type="noConversion"/>
  </si>
  <si>
    <t>#ArchiveSector</t>
    <phoneticPr fontId="15" type="noConversion"/>
  </si>
  <si>
    <t>Male</t>
    <phoneticPr fontId="15" type="noConversion"/>
  </si>
  <si>
    <t>Female</t>
    <phoneticPr fontId="15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</si>
  <si>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ewbie</t>
    </r>
    <phoneticPr fontId="15" type="noConversion"/>
  </si>
  <si>
    <t>Limited</t>
    <phoneticPr fontId="15" type="noConversion"/>
  </si>
  <si>
    <t>New</t>
    <phoneticPr fontId="15" type="noConversion"/>
  </si>
  <si>
    <t>LowerBp</t>
    <phoneticPr fontId="15" type="noConversion"/>
  </si>
  <si>
    <t>HigherBp</t>
    <phoneticPr fontId="15" type="noConversion"/>
  </si>
  <si>
    <t>ProxyanEcho</t>
  </si>
  <si>
    <t>레벨 동기화 등록 대기 시간 삭제</t>
    <phoneticPr fontId="15" type="noConversion"/>
  </si>
  <si>
    <t>SyncProtocol_Wait_Set_Time_Delete</t>
    <phoneticPr fontId="15" type="noConversion"/>
  </si>
  <si>
    <t>Proxyan_Level_Reset_Free</t>
    <phoneticPr fontId="15" type="noConversion"/>
  </si>
  <si>
    <t>프록시안 레벨 초기화 무료</t>
    <phoneticPr fontId="15" type="noConversion"/>
  </si>
  <si>
    <t>Ultimate</t>
    <phoneticPr fontId="15" type="noConversion"/>
  </si>
  <si>
    <t>MiningRoulette</t>
    <phoneticPr fontId="15" type="noConversion"/>
  </si>
  <si>
    <t>#로비메인스토리버튼</t>
    <phoneticPr fontId="15" type="noConversion"/>
  </si>
  <si>
    <t>#7일 미션</t>
    <phoneticPr fontId="15" type="noConversion"/>
  </si>
  <si>
    <t>LobbyStoryMainBTN</t>
    <phoneticPr fontId="15" type="noConversion"/>
  </si>
  <si>
    <t>EventLink</t>
    <phoneticPr fontId="15" type="noConversion"/>
  </si>
  <si>
    <t>Memorial</t>
    <phoneticPr fontId="15" type="noConversion"/>
  </si>
  <si>
    <t>CustomPackage</t>
    <phoneticPr fontId="15" type="noConversion"/>
  </si>
  <si>
    <t>GuildPoint</t>
    <phoneticPr fontId="15" type="noConversion"/>
  </si>
  <si>
    <t>MercenaryBonusCount</t>
    <phoneticPr fontId="15" type="noConversion"/>
  </si>
  <si>
    <t>SymbolRaid</t>
    <phoneticPr fontId="15" type="noConversion"/>
  </si>
  <si>
    <t>ProfileSymbol</t>
    <phoneticPr fontId="15" type="noConversion"/>
  </si>
  <si>
    <t>Plant</t>
    <phoneticPr fontId="15" type="noConversion"/>
  </si>
  <si>
    <t>ArchitectProfileSymbol</t>
    <phoneticPr fontId="15" type="noConversion"/>
  </si>
  <si>
    <t>SymbolRaidBosslevel</t>
    <phoneticPr fontId="15" type="noConversion"/>
  </si>
  <si>
    <t>SymbolRaidCustom</t>
    <phoneticPr fontId="15" type="noConversion"/>
  </si>
  <si>
    <t>Symbol</t>
    <phoneticPr fontId="15" type="noConversion"/>
  </si>
  <si>
    <t>EventPuzzle</t>
    <phoneticPr fontId="15" type="noConversion"/>
  </si>
  <si>
    <t>AsniaPlant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</si>
</sst>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rgb="FF10101B"/>
      <name val="Segoe UI"/>
      <family val="2"/>
    </font>
    <font>
      <sz val="11"/>
      <color theme="1"/>
      <name val="맑은 고딕"/>
      <family val="2"/>
      <scheme val="minor"/>
    </font>
    <font>
      <sz val="10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1"/>
      <color rgb="FF444444"/>
      <name val="Calibri"/>
      <family val="2"/>
    </font>
    <font>
      <sz val="11"/>
      <name val="맑은 고딕"/>
      <family val="3"/>
      <charset val="129"/>
      <scheme val="minor"/>
    </font>
    <font>
      <sz val="11"/>
      <color rgb="FF242424"/>
      <name val="Segoe UI"/>
      <family val="2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나눔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1" fillId="0" borderId="1">
      <alignment horizontal="center"/>
    </xf>
    <xf numFmtId="0" fontId="21" fillId="0" borderId="0"/>
    <xf numFmtId="0" fontId="1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</cellStyleXfs>
  <cellXfs count="99">
    <xf numFmtId="0" fontId="0" fillId="0" borderId="0" xfId="0"/>
    <xf numFmtId="0" fontId="0" fillId="6" borderId="0" xfId="0" applyFill="1"/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8" fillId="6" borderId="0" xfId="5" applyFill="1" applyAlignment="1">
      <alignment horizontal="center"/>
    </xf>
    <xf numFmtId="0" fontId="18" fillId="8" borderId="1" xfId="5" applyFill="1" applyBorder="1" applyAlignment="1">
      <alignment horizontal="center"/>
    </xf>
    <xf numFmtId="0" fontId="14" fillId="2" borderId="1" xfId="1" applyBorder="1" applyAlignment="1">
      <alignment horizontal="center"/>
    </xf>
    <xf numFmtId="0" fontId="14" fillId="5" borderId="1" xfId="4" applyBorder="1" applyAlignment="1">
      <alignment horizontal="center"/>
    </xf>
    <xf numFmtId="0" fontId="14" fillId="3" borderId="1" xfId="2" applyBorder="1" applyAlignment="1">
      <alignment horizontal="center"/>
    </xf>
    <xf numFmtId="0" fontId="14" fillId="4" borderId="1" xfId="3" applyBorder="1" applyAlignment="1">
      <alignment horizontal="center"/>
    </xf>
    <xf numFmtId="0" fontId="18" fillId="8" borderId="2" xfId="5" applyFill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9" borderId="0" xfId="0" applyFont="1" applyFill="1" applyAlignment="1">
      <alignment horizontal="center"/>
    </xf>
    <xf numFmtId="0" fontId="0" fillId="0" borderId="1" xfId="0" applyBorder="1"/>
    <xf numFmtId="0" fontId="12" fillId="6" borderId="1" xfId="6" applyFill="1" applyBorder="1" applyAlignment="1"/>
    <xf numFmtId="0" fontId="14" fillId="6" borderId="1" xfId="2" applyFill="1" applyBorder="1" applyAlignment="1"/>
    <xf numFmtId="0" fontId="0" fillId="6" borderId="3" xfId="0" applyFill="1" applyBorder="1" applyAlignment="1">
      <alignment horizontal="center"/>
    </xf>
    <xf numFmtId="0" fontId="14" fillId="6" borderId="1" xfId="3" applyFill="1" applyBorder="1" applyAlignment="1"/>
    <xf numFmtId="0" fontId="18" fillId="8" borderId="4" xfId="5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0" fillId="0" borderId="0" xfId="0" applyFont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9" fillId="9" borderId="1" xfId="11" applyFont="1" applyFill="1" applyBorder="1" applyAlignment="1">
      <alignment horizontal="center"/>
    </xf>
    <xf numFmtId="0" fontId="21" fillId="0" borderId="0" xfId="11"/>
    <xf numFmtId="0" fontId="11" fillId="0" borderId="0" xfId="12">
      <alignment vertical="center"/>
    </xf>
    <xf numFmtId="0" fontId="11" fillId="0" borderId="0" xfId="12" applyAlignment="1">
      <alignment vertical="center" wrapText="1"/>
    </xf>
    <xf numFmtId="0" fontId="11" fillId="0" borderId="0" xfId="12" applyAlignment="1">
      <alignment horizontal="center" vertical="center" wrapText="1"/>
    </xf>
    <xf numFmtId="0" fontId="11" fillId="0" borderId="0" xfId="12" applyAlignment="1">
      <alignment horizontal="center" vertical="center"/>
    </xf>
    <xf numFmtId="0" fontId="11" fillId="0" borderId="0" xfId="12" applyAlignment="1"/>
    <xf numFmtId="0" fontId="19" fillId="9" borderId="1" xfId="12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9" borderId="1" xfId="0" applyFont="1" applyFill="1" applyBorder="1" applyAlignment="1">
      <alignment horizontal="center"/>
    </xf>
    <xf numFmtId="0" fontId="29" fillId="8" borderId="1" xfId="5" applyFont="1" applyFill="1" applyBorder="1" applyAlignment="1">
      <alignment horizontal="center"/>
    </xf>
    <xf numFmtId="0" fontId="27" fillId="6" borderId="0" xfId="0" applyFont="1" applyFill="1"/>
    <xf numFmtId="0" fontId="27" fillId="0" borderId="0" xfId="0" applyFont="1" applyAlignment="1">
      <alignment vertical="center"/>
    </xf>
    <xf numFmtId="0" fontId="10" fillId="0" borderId="0" xfId="13">
      <alignment vertical="center"/>
    </xf>
    <xf numFmtId="0" fontId="10" fillId="0" borderId="0" xfId="13" applyAlignment="1">
      <alignment vertical="center" wrapText="1"/>
    </xf>
    <xf numFmtId="0" fontId="10" fillId="0" borderId="0" xfId="13" applyAlignment="1">
      <alignment horizontal="center" vertical="center" wrapText="1"/>
    </xf>
    <xf numFmtId="0" fontId="10" fillId="0" borderId="0" xfId="13" applyAlignment="1">
      <alignment horizontal="center" vertical="center"/>
    </xf>
    <xf numFmtId="0" fontId="10" fillId="0" borderId="0" xfId="13" applyAlignment="1"/>
    <xf numFmtId="0" fontId="19" fillId="9" borderId="1" xfId="13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3" fillId="9" borderId="1" xfId="0" applyFont="1" applyFill="1" applyBorder="1" applyAlignment="1">
      <alignment horizontal="center"/>
    </xf>
    <xf numFmtId="0" fontId="19" fillId="9" borderId="9" xfId="0" applyFont="1" applyFill="1" applyBorder="1" applyAlignment="1">
      <alignment horizontal="center"/>
    </xf>
    <xf numFmtId="0" fontId="18" fillId="8" borderId="9" xfId="5" applyFill="1" applyBorder="1" applyAlignment="1">
      <alignment horizontal="center"/>
    </xf>
    <xf numFmtId="0" fontId="9" fillId="0" borderId="0" xfId="13" applyFont="1" applyAlignment="1"/>
    <xf numFmtId="0" fontId="9" fillId="0" borderId="0" xfId="13" applyFont="1">
      <alignment vertical="center"/>
    </xf>
    <xf numFmtId="0" fontId="8" fillId="0" borderId="0" xfId="13" applyFont="1">
      <alignment vertical="center"/>
    </xf>
    <xf numFmtId="0" fontId="20" fillId="0" borderId="1" xfId="0" applyFont="1" applyBorder="1" applyAlignment="1">
      <alignment horizontal="center"/>
    </xf>
    <xf numFmtId="0" fontId="7" fillId="0" borderId="0" xfId="13" applyFont="1">
      <alignment vertical="center"/>
    </xf>
    <xf numFmtId="0" fontId="6" fillId="0" borderId="0" xfId="14">
      <alignment vertical="center"/>
    </xf>
    <xf numFmtId="0" fontId="6" fillId="6" borderId="0" xfId="14" applyFill="1" applyAlignment="1"/>
    <xf numFmtId="0" fontId="6" fillId="0" borderId="1" xfId="14" applyBorder="1" applyAlignment="1">
      <alignment horizontal="center"/>
    </xf>
    <xf numFmtId="0" fontId="19" fillId="9" borderId="1" xfId="14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/>
    <xf numFmtId="0" fontId="35" fillId="0" borderId="0" xfId="0" applyFont="1"/>
    <xf numFmtId="0" fontId="20" fillId="0" borderId="0" xfId="0" applyFont="1" applyAlignment="1">
      <alignment horizontal="center"/>
    </xf>
    <xf numFmtId="0" fontId="38" fillId="0" borderId="0" xfId="0" applyFont="1"/>
    <xf numFmtId="0" fontId="4" fillId="0" borderId="1" xfId="14" applyFont="1" applyBorder="1" applyAlignment="1">
      <alignment horizontal="center"/>
    </xf>
    <xf numFmtId="0" fontId="40" fillId="0" borderId="0" xfId="0" applyFont="1" applyAlignment="1">
      <alignment vertical="center"/>
    </xf>
    <xf numFmtId="0" fontId="0" fillId="12" borderId="1" xfId="11" applyFont="1" applyFill="1" applyBorder="1" applyAlignment="1">
      <alignment horizontal="center"/>
    </xf>
    <xf numFmtId="0" fontId="0" fillId="6" borderId="1" xfId="0" applyFill="1" applyBorder="1"/>
    <xf numFmtId="0" fontId="0" fillId="12" borderId="1" xfId="0" applyFill="1" applyBorder="1"/>
    <xf numFmtId="0" fontId="3" fillId="0" borderId="0" xfId="12" applyFont="1" applyAlignment="1"/>
    <xf numFmtId="0" fontId="19" fillId="9" borderId="1" xfId="15" applyFont="1" applyFill="1" applyBorder="1" applyAlignment="1">
      <alignment horizontal="center"/>
    </xf>
    <xf numFmtId="0" fontId="2" fillId="0" borderId="0" xfId="15" applyAlignment="1">
      <alignment horizontal="center" vertical="center"/>
    </xf>
    <xf numFmtId="0" fontId="34" fillId="0" borderId="0" xfId="0" applyFont="1"/>
    <xf numFmtId="0" fontId="2" fillId="0" borderId="0" xfId="15" applyAlignment="1"/>
    <xf numFmtId="0" fontId="2" fillId="0" borderId="0" xfId="15">
      <alignment vertical="center"/>
    </xf>
    <xf numFmtId="0" fontId="2" fillId="0" borderId="0" xfId="15" applyAlignment="1">
      <alignment horizontal="center" vertical="center" wrapText="1"/>
    </xf>
    <xf numFmtId="0" fontId="2" fillId="0" borderId="0" xfId="15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27" fillId="0" borderId="1" xfId="0" applyFont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</cellXfs>
  <cellStyles count="16">
    <cellStyle name="20% - 강조색1" xfId="1" builtinId="30"/>
    <cellStyle name="20% - 강조색2" xfId="2" builtinId="34"/>
    <cellStyle name="20% - 강조색2 2" xfId="8" xr:uid="{00000000-0005-0000-0000-000002000000}"/>
    <cellStyle name="20% - 강조색3" xfId="3" builtinId="38"/>
    <cellStyle name="20% - 강조색3 2" xfId="7" xr:uid="{00000000-0005-0000-0000-000004000000}"/>
    <cellStyle name="20% - 강조색5" xfId="6" builtinId="46"/>
    <cellStyle name="20% - 강조색5 2" xfId="9" xr:uid="{00000000-0005-0000-0000-000006000000}"/>
    <cellStyle name="20% - 강조색6" xfId="4" builtinId="50"/>
    <cellStyle name="기본" xfId="10" xr:uid="{00000000-0005-0000-0000-000008000000}"/>
    <cellStyle name="표준" xfId="0" builtinId="0"/>
    <cellStyle name="표준 2" xfId="11" xr:uid="{00000000-0005-0000-0000-00000A000000}"/>
    <cellStyle name="표준 3" xfId="12" xr:uid="{00000000-0005-0000-0000-00000B000000}"/>
    <cellStyle name="표준 3 2" xfId="15" xr:uid="{00000000-0005-0000-0000-00000C000000}"/>
    <cellStyle name="표준 4" xfId="13" xr:uid="{00000000-0005-0000-0000-00000D000000}"/>
    <cellStyle name="표준 5" xfId="14" xr:uid="{00000000-0005-0000-0000-00000E000000}"/>
    <cellStyle name="하이퍼링크" xfId="5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N33"/>
  <sheetViews>
    <sheetView zoomScale="85" zoomScaleNormal="85" workbookViewId="0">
      <selection activeCell="C20" sqref="C20"/>
    </sheetView>
  </sheetViews>
  <sheetFormatPr defaultColWidth="9" defaultRowHeight="16.5"/>
  <cols>
    <col min="1" max="1" width="1.625" style="3" customWidth="1"/>
    <col min="2" max="2" width="10.625" style="3" bestFit="1" customWidth="1"/>
    <col min="3" max="3" width="10.625" style="3" customWidth="1"/>
    <col min="4" max="4" width="1.625" style="3" customWidth="1"/>
    <col min="5" max="5" width="12.25" style="3" bestFit="1" customWidth="1"/>
    <col min="6" max="6" width="9" style="3"/>
    <col min="7" max="7" width="1.625" style="3" customWidth="1"/>
    <col min="8" max="8" width="19.875" style="3" bestFit="1" customWidth="1"/>
    <col min="9" max="9" width="19.25" style="3" bestFit="1" customWidth="1"/>
    <col min="10" max="10" width="1.625" style="3" customWidth="1"/>
    <col min="11" max="11" width="21.875" style="3" bestFit="1" customWidth="1"/>
    <col min="12" max="12" width="9" style="3"/>
    <col min="13" max="13" width="1.625" style="3" customWidth="1"/>
    <col min="14" max="14" width="15.875" style="3" bestFit="1" customWidth="1"/>
    <col min="15" max="15" width="9" style="3"/>
    <col min="16" max="16" width="1.625" style="3" customWidth="1"/>
    <col min="17" max="18" width="9" style="3"/>
    <col min="19" max="19" width="1.625" style="3" customWidth="1"/>
    <col min="20" max="21" width="9" style="3"/>
    <col min="22" max="22" width="1.625" style="3" customWidth="1"/>
    <col min="23" max="23" width="25.75" style="3" bestFit="1" customWidth="1"/>
    <col min="24" max="24" width="17.25" style="3" bestFit="1" customWidth="1"/>
    <col min="25" max="25" width="1.625" style="3" customWidth="1"/>
    <col min="26" max="26" width="12.375" style="3" bestFit="1" customWidth="1"/>
    <col min="27" max="27" width="5.25" style="3" bestFit="1" customWidth="1"/>
    <col min="28" max="28" width="1.625" style="3" customWidth="1"/>
    <col min="29" max="29" width="13.625" style="3" bestFit="1" customWidth="1"/>
    <col min="30" max="30" width="7.125" style="3" bestFit="1" customWidth="1"/>
    <col min="31" max="31" width="1.625" style="3" customWidth="1"/>
    <col min="32" max="32" width="12.75" style="3" bestFit="1" customWidth="1"/>
    <col min="33" max="33" width="5.25" style="3" bestFit="1" customWidth="1"/>
    <col min="34" max="34" width="1.625" style="3" customWidth="1"/>
    <col min="35" max="35" width="9.875" style="3" bestFit="1" customWidth="1"/>
    <col min="36" max="36" width="7.125" style="3" bestFit="1" customWidth="1"/>
    <col min="37" max="37" width="1.625" style="3" customWidth="1"/>
    <col min="38" max="38" width="11.875" style="3" bestFit="1" customWidth="1"/>
    <col min="39" max="39" width="5.25" style="3" bestFit="1" customWidth="1"/>
    <col min="40" max="40" width="1.625" style="3" customWidth="1"/>
    <col min="41" max="41" width="19" style="3" bestFit="1" customWidth="1"/>
    <col min="42" max="42" width="10.625" style="3" bestFit="1" customWidth="1"/>
    <col min="43" max="43" width="1.625" style="3" customWidth="1"/>
    <col min="44" max="44" width="15" style="3" bestFit="1" customWidth="1"/>
    <col min="45" max="45" width="5.25" style="3" bestFit="1" customWidth="1"/>
    <col min="46" max="46" width="1.625" style="3" customWidth="1"/>
    <col min="47" max="47" width="23.625" style="3" bestFit="1" customWidth="1"/>
    <col min="48" max="48" width="19.25" style="3" bestFit="1" customWidth="1"/>
    <col min="49" max="49" width="1.625" style="3" customWidth="1"/>
    <col min="50" max="50" width="16.25" style="3" customWidth="1"/>
    <col min="51" max="51" width="15.125" style="3" bestFit="1" customWidth="1"/>
    <col min="52" max="52" width="1.625" style="3" customWidth="1"/>
    <col min="53" max="53" width="28.875" style="3" bestFit="1" customWidth="1"/>
    <col min="54" max="54" width="15.125" style="3" bestFit="1" customWidth="1"/>
    <col min="55" max="55" width="1.625" style="3" customWidth="1"/>
    <col min="56" max="56" width="18.375" style="3" bestFit="1" customWidth="1"/>
    <col min="57" max="57" width="5.25" style="3" bestFit="1" customWidth="1"/>
    <col min="58" max="58" width="1.625" style="3" customWidth="1"/>
    <col min="59" max="59" width="16.875" style="3" bestFit="1" customWidth="1"/>
    <col min="60" max="60" width="19.25" style="3" bestFit="1" customWidth="1"/>
    <col min="61" max="61" width="1.625" style="3" customWidth="1"/>
    <col min="62" max="62" width="21.125" style="3" bestFit="1" customWidth="1"/>
    <col min="63" max="63" width="29.625" style="3" bestFit="1" customWidth="1"/>
    <col min="64" max="64" width="1.625" style="3" customWidth="1"/>
    <col min="65" max="65" width="10.375" style="3" bestFit="1" customWidth="1"/>
    <col min="66" max="66" width="5.25" style="3" bestFit="1" customWidth="1"/>
    <col min="67" max="67" width="1.625" style="3" customWidth="1"/>
    <col min="68" max="68" width="18.625" style="3" bestFit="1" customWidth="1"/>
    <col min="69" max="69" width="19.25" style="3" bestFit="1" customWidth="1"/>
    <col min="70" max="70" width="1.625" style="3" customWidth="1"/>
    <col min="71" max="71" width="25.375" style="3" bestFit="1" customWidth="1"/>
    <col min="72" max="72" width="38.375" style="3" bestFit="1" customWidth="1"/>
    <col min="73" max="73" width="1.625" style="3" customWidth="1"/>
    <col min="74" max="74" width="23.75" style="3" bestFit="1" customWidth="1"/>
    <col min="75" max="75" width="11" style="3" bestFit="1" customWidth="1"/>
    <col min="76" max="76" width="1.625" style="3" customWidth="1"/>
    <col min="77" max="77" width="19.375" style="3" bestFit="1" customWidth="1"/>
    <col min="78" max="78" width="19.25" style="3" bestFit="1" customWidth="1"/>
    <col min="79" max="79" width="1.625" style="3" customWidth="1"/>
    <col min="80" max="80" width="19.75" style="3" bestFit="1" customWidth="1"/>
    <col min="81" max="81" width="13" style="3" bestFit="1" customWidth="1"/>
    <col min="82" max="82" width="1.625" style="3" customWidth="1"/>
    <col min="83" max="83" width="23.375" style="3" bestFit="1" customWidth="1"/>
    <col min="84" max="84" width="9" style="3"/>
    <col min="85" max="85" width="1.625" style="3" customWidth="1"/>
    <col min="86" max="86" width="22.875" style="3" bestFit="1" customWidth="1"/>
    <col min="87" max="87" width="17.25" style="3" bestFit="1" customWidth="1"/>
    <col min="88" max="88" width="1.625" style="3" customWidth="1"/>
    <col min="89" max="89" width="24.25" style="3" bestFit="1" customWidth="1"/>
    <col min="90" max="90" width="7.125" style="3" bestFit="1" customWidth="1"/>
    <col min="91" max="91" width="1.625" style="3" customWidth="1"/>
    <col min="92" max="92" width="21.875" style="3" bestFit="1" customWidth="1"/>
    <col min="93" max="93" width="17.25" style="3" bestFit="1" customWidth="1"/>
    <col min="94" max="94" width="1.625" style="3" customWidth="1"/>
    <col min="95" max="95" width="23.25" style="3" bestFit="1" customWidth="1"/>
    <col min="96" max="96" width="11" style="3" bestFit="1" customWidth="1"/>
    <col min="97" max="97" width="1.625" style="3" customWidth="1"/>
    <col min="98" max="98" width="34.375" style="3" bestFit="1" customWidth="1"/>
    <col min="99" max="99" width="27.625" style="3" bestFit="1" customWidth="1"/>
    <col min="100" max="100" width="1.625" style="3" customWidth="1"/>
    <col min="101" max="102" width="11" style="3" bestFit="1" customWidth="1"/>
    <col min="103" max="103" width="1.625" style="3" customWidth="1"/>
    <col min="104" max="104" width="21.75" style="3" bestFit="1" customWidth="1"/>
    <col min="105" max="105" width="19.25" style="3" bestFit="1" customWidth="1"/>
    <col min="106" max="106" width="1.625" style="3" customWidth="1"/>
    <col min="107" max="107" width="18.75" style="3" bestFit="1" customWidth="1"/>
    <col min="108" max="108" width="7.125" style="3" bestFit="1" customWidth="1"/>
    <col min="109" max="109" width="1.625" style="3" customWidth="1"/>
    <col min="110" max="110" width="18" style="3" bestFit="1" customWidth="1"/>
    <col min="111" max="111" width="11" style="3" bestFit="1" customWidth="1"/>
    <col min="112" max="112" width="1.625" style="3" customWidth="1"/>
    <col min="113" max="113" width="20.625" style="3" bestFit="1" customWidth="1"/>
    <col min="114" max="114" width="17.25" style="3" bestFit="1" customWidth="1"/>
    <col min="115" max="115" width="1.625" style="3" customWidth="1"/>
    <col min="116" max="116" width="18.625" style="3" bestFit="1" customWidth="1"/>
    <col min="117" max="117" width="15.125" style="3" bestFit="1" customWidth="1"/>
    <col min="118" max="118" width="1.625" style="3" customWidth="1"/>
    <col min="119" max="119" width="22.625" style="3" bestFit="1" customWidth="1"/>
    <col min="120" max="120" width="15.125" style="3" bestFit="1" customWidth="1"/>
    <col min="121" max="121" width="1.625" style="3" customWidth="1"/>
    <col min="122" max="122" width="20.75" style="3" bestFit="1" customWidth="1"/>
    <col min="123" max="123" width="9" style="3"/>
    <col min="124" max="124" width="1.625" style="3" customWidth="1"/>
    <col min="125" max="125" width="21.75" style="3" bestFit="1" customWidth="1"/>
    <col min="126" max="126" width="9" style="3"/>
    <col min="127" max="127" width="1.625" style="3" customWidth="1"/>
    <col min="128" max="128" width="19.375" style="3" bestFit="1" customWidth="1"/>
    <col min="129" max="129" width="9" style="3"/>
    <col min="130" max="130" width="1.625" style="3" customWidth="1"/>
    <col min="131" max="131" width="17.25" style="3" bestFit="1" customWidth="1"/>
    <col min="132" max="132" width="5.25" style="3" bestFit="1" customWidth="1"/>
    <col min="133" max="133" width="1.625" style="3" customWidth="1"/>
    <col min="134" max="134" width="13.375" style="3" bestFit="1" customWidth="1"/>
    <col min="135" max="135" width="19.25" style="3" bestFit="1" customWidth="1"/>
    <col min="136" max="136" width="1.625" style="3" customWidth="1"/>
    <col min="137" max="137" width="21" style="3" bestFit="1" customWidth="1"/>
    <col min="138" max="138" width="9" style="3"/>
    <col min="139" max="139" width="1.625" style="3" customWidth="1"/>
    <col min="140" max="140" width="14.625" style="3" bestFit="1" customWidth="1"/>
    <col min="141" max="141" width="15.125" style="3" bestFit="1" customWidth="1"/>
    <col min="142" max="142" width="1.625" style="3" customWidth="1"/>
    <col min="143" max="143" width="22" style="3" bestFit="1" customWidth="1"/>
    <col min="144" max="144" width="5.25" style="3" bestFit="1" customWidth="1"/>
    <col min="145" max="145" width="1.625" style="3" customWidth="1"/>
    <col min="146" max="146" width="18.375" style="3" bestFit="1" customWidth="1"/>
    <col min="147" max="147" width="21.375" style="3" bestFit="1" customWidth="1"/>
    <col min="148" max="148" width="1.625" style="3" customWidth="1"/>
    <col min="149" max="149" width="16.625" style="3" bestFit="1" customWidth="1"/>
    <col min="150" max="150" width="5.25" style="3" bestFit="1" customWidth="1"/>
    <col min="151" max="151" width="1.625" style="3" customWidth="1"/>
    <col min="152" max="152" width="20.375" style="3" bestFit="1" customWidth="1"/>
    <col min="153" max="153" width="17.25" style="3" bestFit="1" customWidth="1"/>
    <col min="154" max="154" width="1.625" style="3" customWidth="1"/>
    <col min="155" max="155" width="24.375" style="3" bestFit="1" customWidth="1"/>
    <col min="156" max="156" width="5.25" style="3" bestFit="1" customWidth="1"/>
    <col min="157" max="157" width="1.625" style="3" customWidth="1"/>
    <col min="158" max="159" width="9" style="3"/>
    <col min="160" max="160" width="1.625" style="3" customWidth="1"/>
    <col min="161" max="161" width="13.375" style="3" bestFit="1" customWidth="1"/>
    <col min="162" max="162" width="5.25" style="3" bestFit="1" customWidth="1"/>
    <col min="163" max="163" width="1.625" style="3" customWidth="1"/>
    <col min="164" max="164" width="11.875" style="3" bestFit="1" customWidth="1"/>
    <col min="165" max="165" width="11" style="3" bestFit="1" customWidth="1"/>
    <col min="166" max="166" width="1.625" style="3" customWidth="1"/>
    <col min="167" max="167" width="13.625" style="3" bestFit="1" customWidth="1"/>
    <col min="168" max="168" width="9" style="3"/>
    <col min="169" max="169" width="1.625" style="3" customWidth="1"/>
    <col min="170" max="170" width="16.375" style="3" bestFit="1" customWidth="1"/>
    <col min="171" max="171" width="5.25" style="3" bestFit="1" customWidth="1"/>
    <col min="172" max="172" width="1.625" style="3" customWidth="1"/>
    <col min="173" max="173" width="10.125" style="3" bestFit="1" customWidth="1"/>
    <col min="174" max="174" width="6.75" style="3" bestFit="1" customWidth="1"/>
    <col min="175" max="175" width="1.625" style="3" customWidth="1"/>
    <col min="176" max="176" width="16.75" style="3" bestFit="1" customWidth="1"/>
    <col min="177" max="177" width="13" style="3" bestFit="1" customWidth="1"/>
    <col min="178" max="178" width="1.625" style="3" customWidth="1"/>
    <col min="179" max="179" width="12.875" style="3" bestFit="1" customWidth="1"/>
    <col min="180" max="180" width="9" style="3"/>
    <col min="181" max="181" width="1.625" style="3" customWidth="1"/>
    <col min="182" max="182" width="14.875" style="3" bestFit="1" customWidth="1"/>
    <col min="183" max="183" width="13" style="3" bestFit="1" customWidth="1"/>
    <col min="184" max="184" width="1.625" style="3" customWidth="1"/>
    <col min="185" max="185" width="16.25" style="3" bestFit="1" customWidth="1"/>
    <col min="186" max="186" width="7.125" style="3" bestFit="1" customWidth="1"/>
    <col min="187" max="187" width="1.625" style="3" customWidth="1"/>
    <col min="188" max="188" width="12.125" style="3" bestFit="1" customWidth="1"/>
    <col min="189" max="189" width="9" style="3"/>
    <col min="190" max="190" width="1.625" style="3" customWidth="1"/>
    <col min="191" max="191" width="15.25" style="3" bestFit="1" customWidth="1"/>
    <col min="192" max="192" width="11" style="3" bestFit="1" customWidth="1"/>
    <col min="193" max="193" width="1.625" style="3" customWidth="1"/>
    <col min="194" max="194" width="15.25" style="3" bestFit="1" customWidth="1"/>
    <col min="195" max="195" width="7.125" style="3" bestFit="1" customWidth="1"/>
    <col min="196" max="196" width="1.625" style="3" customWidth="1"/>
    <col min="197" max="197" width="14.625" style="3" bestFit="1" customWidth="1"/>
    <col min="198" max="198" width="5.25" style="3" bestFit="1" customWidth="1"/>
    <col min="199" max="199" width="1.625" style="3" customWidth="1"/>
    <col min="200" max="200" width="15.625" style="3" bestFit="1" customWidth="1"/>
    <col min="201" max="201" width="9" style="3"/>
    <col min="202" max="202" width="1.625" style="3" customWidth="1"/>
    <col min="203" max="203" width="15.625" style="3" bestFit="1" customWidth="1"/>
    <col min="204" max="204" width="9" style="3"/>
    <col min="205" max="205" width="1.625" style="3" customWidth="1"/>
    <col min="206" max="206" width="15.625" style="3" bestFit="1" customWidth="1"/>
    <col min="207" max="207" width="14" style="3" bestFit="1" customWidth="1"/>
    <col min="208" max="208" width="1.625" style="3" customWidth="1"/>
    <col min="209" max="209" width="15.625" style="3" bestFit="1" customWidth="1"/>
    <col min="210" max="210" width="9" style="3"/>
    <col min="211" max="211" width="1.625" style="3" customWidth="1"/>
    <col min="212" max="212" width="15.625" style="3" bestFit="1" customWidth="1"/>
    <col min="213" max="213" width="9" style="3"/>
    <col min="214" max="214" width="1.625" style="3" customWidth="1"/>
    <col min="215" max="215" width="15.625" style="3" bestFit="1" customWidth="1"/>
    <col min="216" max="216" width="17" style="3" bestFit="1" customWidth="1"/>
    <col min="217" max="217" width="1.625" style="3" customWidth="1"/>
    <col min="218" max="218" width="15.625" style="3" bestFit="1" customWidth="1"/>
    <col min="219" max="219" width="11.75" style="3" bestFit="1" customWidth="1"/>
    <col min="220" max="220" width="1.625" style="3" customWidth="1"/>
    <col min="221" max="221" width="15.625" style="3" bestFit="1" customWidth="1"/>
    <col min="222" max="222" width="9" style="3"/>
    <col min="223" max="223" width="1.625" style="3" customWidth="1"/>
    <col min="224" max="224" width="15.625" style="3" bestFit="1" customWidth="1"/>
    <col min="225" max="225" width="12" style="3" bestFit="1" customWidth="1"/>
    <col min="226" max="226" width="1.625" style="3" customWidth="1"/>
    <col min="227" max="227" width="15.625" style="3" bestFit="1" customWidth="1"/>
    <col min="228" max="228" width="9" style="3"/>
    <col min="229" max="229" width="1.625" style="3" customWidth="1"/>
    <col min="230" max="230" width="17.75" style="3" customWidth="1"/>
    <col min="231" max="231" width="9" style="3"/>
    <col min="232" max="232" width="1.625" style="3" customWidth="1"/>
    <col min="233" max="233" width="19.125" style="3" bestFit="1" customWidth="1"/>
    <col min="234" max="234" width="7.125" style="3" bestFit="1" customWidth="1"/>
    <col min="235" max="235" width="1.625" style="3" customWidth="1"/>
    <col min="236" max="236" width="19" style="3" bestFit="1" customWidth="1"/>
    <col min="237" max="237" width="9" style="3"/>
    <col min="238" max="238" width="1.625" style="3" customWidth="1"/>
    <col min="239" max="239" width="19.25" style="3" bestFit="1" customWidth="1"/>
    <col min="240" max="240" width="7.125" style="3" bestFit="1" customWidth="1"/>
    <col min="241" max="241" width="1.625" style="3" customWidth="1"/>
    <col min="242" max="242" width="12.375" style="3" bestFit="1" customWidth="1"/>
    <col min="243" max="243" width="5.25" style="3" bestFit="1" customWidth="1"/>
    <col min="244" max="244" width="1.625" style="3" customWidth="1"/>
    <col min="245" max="245" width="17.25" style="3" bestFit="1" customWidth="1"/>
    <col min="246" max="246" width="9" style="3"/>
    <col min="247" max="247" width="1.625" style="3" customWidth="1"/>
    <col min="248" max="248" width="26.375" style="3" bestFit="1" customWidth="1"/>
    <col min="249" max="249" width="17.25" style="3" bestFit="1" customWidth="1"/>
    <col min="250" max="250" width="1.625" style="3" customWidth="1"/>
    <col min="251" max="251" width="17.125" style="3" bestFit="1" customWidth="1"/>
    <col min="252" max="252" width="11" style="3" bestFit="1" customWidth="1"/>
    <col min="253" max="253" width="1.625" style="3" customWidth="1"/>
    <col min="254" max="254" width="16.375" style="3" bestFit="1" customWidth="1"/>
    <col min="255" max="255" width="5.25" style="3" bestFit="1" customWidth="1"/>
    <col min="256" max="256" width="1.625" style="3" customWidth="1"/>
    <col min="257" max="257" width="18.125" style="3" bestFit="1" customWidth="1"/>
    <col min="258" max="258" width="23.375" style="3" bestFit="1" customWidth="1"/>
    <col min="259" max="259" width="1.625" style="3" customWidth="1"/>
    <col min="260" max="260" width="23.375" style="3" bestFit="1" customWidth="1"/>
    <col min="261" max="261" width="9" style="3"/>
    <col min="262" max="262" width="1.625" style="3" customWidth="1"/>
    <col min="263" max="263" width="21.625" style="3" bestFit="1" customWidth="1"/>
    <col min="264" max="264" width="15.125" style="3" bestFit="1" customWidth="1"/>
    <col min="265" max="265" width="1.625" style="3" customWidth="1"/>
    <col min="266" max="266" width="26" style="3" bestFit="1" customWidth="1"/>
    <col min="267" max="267" width="17.25" style="3" bestFit="1" customWidth="1"/>
    <col min="268" max="268" width="1.625" style="3" customWidth="1"/>
    <col min="269" max="269" width="18.375" style="3" bestFit="1" customWidth="1"/>
    <col min="270" max="270" width="5.25" style="3" bestFit="1" customWidth="1"/>
    <col min="271" max="271" width="1.625" style="3" customWidth="1"/>
    <col min="272" max="272" width="17.75" style="3" bestFit="1" customWidth="1"/>
    <col min="273" max="273" width="7.125" style="3" bestFit="1" customWidth="1"/>
    <col min="274" max="274" width="1.625" style="3" customWidth="1"/>
    <col min="275" max="275" width="30.75" style="3" bestFit="1" customWidth="1"/>
    <col min="276" max="276" width="15.125" style="3" bestFit="1" customWidth="1"/>
    <col min="277" max="277" width="1.625" style="3" customWidth="1"/>
    <col min="278" max="278" width="22.75" style="3" bestFit="1" customWidth="1"/>
    <col min="279" max="279" width="11" style="3" bestFit="1" customWidth="1"/>
    <col min="280" max="280" width="1.625" style="3" customWidth="1"/>
    <col min="281" max="281" width="21.375" style="3" bestFit="1" customWidth="1"/>
    <col min="282" max="282" width="13" style="3" bestFit="1" customWidth="1"/>
    <col min="283" max="283" width="3.125" style="3" customWidth="1"/>
    <col min="284" max="284" width="28.375" style="3" bestFit="1" customWidth="1"/>
    <col min="285" max="285" width="23.375" style="3" bestFit="1" customWidth="1"/>
    <col min="286" max="286" width="3.125" style="3" customWidth="1"/>
    <col min="287" max="288" width="15.125" style="3" customWidth="1"/>
    <col min="289" max="289" width="3.125" style="3" customWidth="1"/>
    <col min="290" max="290" width="15.375" style="3" customWidth="1"/>
    <col min="291" max="291" width="10" style="3" bestFit="1" customWidth="1"/>
    <col min="292" max="292" width="3.125" style="3" customWidth="1"/>
    <col min="293" max="293" width="12.875" style="3" bestFit="1" customWidth="1"/>
    <col min="294" max="294" width="5.25" style="3" bestFit="1" customWidth="1"/>
    <col min="295" max="295" width="3.125" style="3" customWidth="1"/>
    <col min="296" max="296" width="25.375" style="3" bestFit="1" customWidth="1"/>
    <col min="297" max="297" width="21.375" style="3" bestFit="1" customWidth="1"/>
    <col min="298" max="298" width="9" style="3"/>
    <col min="299" max="299" width="25.375" style="3" bestFit="1" customWidth="1"/>
    <col min="300" max="300" width="33.875" style="3" bestFit="1" customWidth="1"/>
    <col min="301" max="16384" width="9" style="3"/>
  </cols>
  <sheetData>
    <row r="1" spans="2:300" ht="9.9499999999999993" customHeight="1"/>
    <row r="2" spans="2:300">
      <c r="B2" s="95" t="s">
        <v>968</v>
      </c>
      <c r="C2" s="95"/>
      <c r="E2" s="95" t="s">
        <v>42</v>
      </c>
      <c r="F2" s="95"/>
      <c r="G2" s="95"/>
      <c r="H2" s="95"/>
      <c r="I2" s="95"/>
      <c r="K2" s="95" t="s">
        <v>44</v>
      </c>
      <c r="L2" s="95"/>
      <c r="N2" s="95" t="s">
        <v>58</v>
      </c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X2" s="95" t="s">
        <v>235</v>
      </c>
      <c r="AY2" s="95"/>
      <c r="BA2" s="95" t="s">
        <v>310</v>
      </c>
      <c r="BB2" s="95"/>
      <c r="BC2" s="95"/>
      <c r="BD2" s="95"/>
      <c r="BE2" s="95"/>
      <c r="BG2" s="95" t="s">
        <v>347</v>
      </c>
      <c r="BH2" s="95"/>
      <c r="BI2" s="95"/>
      <c r="BJ2" s="95"/>
      <c r="BK2" s="95"/>
      <c r="BM2" s="95" t="s">
        <v>365</v>
      </c>
      <c r="BN2" s="95"/>
      <c r="BP2" s="95" t="s">
        <v>586</v>
      </c>
      <c r="BQ2" s="95"/>
      <c r="BS2" s="95" t="s">
        <v>391</v>
      </c>
      <c r="BT2" s="95"/>
      <c r="BV2" s="95" t="s">
        <v>392</v>
      </c>
      <c r="BW2" s="95"/>
      <c r="BX2" s="95"/>
      <c r="BY2" s="95"/>
      <c r="BZ2" s="95"/>
      <c r="CA2" s="95"/>
      <c r="CB2" s="95"/>
      <c r="CC2" s="95"/>
      <c r="CE2" s="95" t="s">
        <v>429</v>
      </c>
      <c r="CF2" s="95"/>
      <c r="CG2" s="95"/>
      <c r="CH2" s="95"/>
      <c r="CI2" s="95"/>
      <c r="CJ2" s="95"/>
      <c r="CK2" s="95"/>
      <c r="CL2" s="95"/>
      <c r="CN2" s="95"/>
      <c r="CO2" s="95"/>
      <c r="CP2" s="95"/>
      <c r="CQ2" s="95"/>
      <c r="CR2" s="95"/>
      <c r="CT2" s="95" t="s">
        <v>468</v>
      </c>
      <c r="CU2" s="95"/>
      <c r="CW2" s="95" t="s">
        <v>484</v>
      </c>
      <c r="CX2" s="95"/>
      <c r="CZ2" s="95" t="s">
        <v>486</v>
      </c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D2" s="95" t="s">
        <v>597</v>
      </c>
      <c r="EE2" s="95"/>
      <c r="EG2" s="95" t="s">
        <v>602</v>
      </c>
      <c r="EH2" s="95"/>
      <c r="EI2" s="95"/>
      <c r="EJ2" s="95"/>
      <c r="EK2" s="95"/>
      <c r="EL2" s="95"/>
      <c r="EM2" s="95"/>
      <c r="EN2" s="95"/>
      <c r="EP2" s="95" t="s">
        <v>618</v>
      </c>
      <c r="EQ2" s="95"/>
      <c r="ER2" s="95"/>
      <c r="ES2" s="95"/>
      <c r="ET2" s="95"/>
      <c r="EU2" s="95"/>
      <c r="EV2" s="95"/>
      <c r="EW2" s="95"/>
      <c r="EX2" s="95"/>
      <c r="EY2" s="95"/>
      <c r="EZ2" s="95"/>
      <c r="FB2" s="96" t="s">
        <v>645</v>
      </c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8"/>
      <c r="HV2" s="95" t="s">
        <v>811</v>
      </c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Q2" s="95" t="s">
        <v>849</v>
      </c>
      <c r="IR2" s="95"/>
      <c r="IT2" s="95" t="s">
        <v>867</v>
      </c>
      <c r="IU2" s="95"/>
      <c r="IV2" s="95"/>
      <c r="IW2" s="95"/>
      <c r="IX2" s="95"/>
      <c r="IY2" s="95"/>
      <c r="IZ2" s="95"/>
      <c r="JA2" s="95"/>
      <c r="JC2" s="95" t="s">
        <v>894</v>
      </c>
      <c r="JD2" s="95"/>
      <c r="JE2" s="95"/>
      <c r="JF2" s="95"/>
      <c r="JG2" s="95"/>
      <c r="JH2" s="95"/>
      <c r="JI2" s="95"/>
      <c r="JJ2" s="95"/>
      <c r="JK2" s="95"/>
      <c r="JL2" s="95"/>
      <c r="JM2" s="95"/>
      <c r="JN2" s="95"/>
      <c r="JO2" s="95"/>
      <c r="JP2" s="95"/>
      <c r="JQ2" s="95"/>
      <c r="JR2" s="95"/>
      <c r="JS2" s="95"/>
      <c r="JT2" s="95"/>
      <c r="JU2" s="95"/>
      <c r="JV2" s="95"/>
      <c r="JX2" s="95" t="s">
        <v>1168</v>
      </c>
      <c r="JY2" s="95"/>
      <c r="JZ2" s="95"/>
      <c r="KA2" s="95"/>
      <c r="KB2" s="95"/>
      <c r="KC2" s="95"/>
      <c r="KD2" s="95"/>
      <c r="KE2" s="95"/>
      <c r="KG2" s="95" t="s">
        <v>964</v>
      </c>
      <c r="KH2" s="95"/>
      <c r="KJ2" s="95"/>
      <c r="KK2" s="95"/>
      <c r="KM2" s="95" t="s">
        <v>1129</v>
      </c>
      <c r="KN2" s="95"/>
    </row>
    <row r="3" spans="2:300">
      <c r="B3" s="11" t="s">
        <v>974</v>
      </c>
      <c r="C3" s="10" t="str">
        <f>HYPERLINK("#'"&amp;B3&amp;"'!A1","이동")</f>
        <v>이동</v>
      </c>
      <c r="E3" s="11" t="s">
        <v>43</v>
      </c>
      <c r="F3" s="10" t="str">
        <f>HYPERLINK("#'"&amp;E3&amp;"'!A1","이동")</f>
        <v>이동</v>
      </c>
      <c r="H3" s="11" t="s">
        <v>233</v>
      </c>
      <c r="I3" s="10" t="str">
        <f>HYPERLINK("#'"&amp;H3&amp;"'!A1","이동")</f>
        <v>이동</v>
      </c>
      <c r="K3" s="11" t="s">
        <v>45</v>
      </c>
      <c r="L3" s="5" t="str">
        <f>HYPERLINK("#'"&amp;K3&amp;"'!A1","이동")</f>
        <v>이동</v>
      </c>
      <c r="N3" s="11" t="s">
        <v>59</v>
      </c>
      <c r="O3" s="10" t="str">
        <f>HYPERLINK("#'"&amp;N3&amp;"'!A1","이동")</f>
        <v>이동</v>
      </c>
      <c r="Q3" s="11" t="s">
        <v>90</v>
      </c>
      <c r="R3" s="10" t="str">
        <f>HYPERLINK("#'"&amp;Q3&amp;"'!A1","이동")</f>
        <v>이동</v>
      </c>
      <c r="T3" s="11" t="s">
        <v>97</v>
      </c>
      <c r="U3" s="10" t="str">
        <f>HYPERLINK("#'"&amp;T3&amp;"'!A1","이동")</f>
        <v>이동</v>
      </c>
      <c r="W3" s="11" t="s">
        <v>98</v>
      </c>
      <c r="X3" s="10" t="str">
        <f>HYPERLINK("#'"&amp;W3&amp;"'!A1","이동")</f>
        <v>이동</v>
      </c>
      <c r="Y3" s="4"/>
      <c r="Z3" s="11" t="s">
        <v>100</v>
      </c>
      <c r="AA3" s="10" t="str">
        <f>HYPERLINK("#'"&amp;Z3&amp;"'!A1","이동")</f>
        <v>이동</v>
      </c>
      <c r="AC3" s="11" t="s">
        <v>105</v>
      </c>
      <c r="AD3" s="10" t="str">
        <f>HYPERLINK("#'"&amp;AC3&amp;"'!A1","이동")</f>
        <v>이동</v>
      </c>
      <c r="AF3" s="11" t="s">
        <v>118</v>
      </c>
      <c r="AG3" s="10" t="str">
        <f>HYPERLINK("#'"&amp;AF3&amp;"'!A1","이동")</f>
        <v>이동</v>
      </c>
      <c r="AI3" s="11" t="s">
        <v>151</v>
      </c>
      <c r="AJ3" s="10" t="str">
        <f>HYPERLINK("#'"&amp;AI3&amp;"'!A1","이동")</f>
        <v>이동</v>
      </c>
      <c r="AL3" s="11" t="s">
        <v>152</v>
      </c>
      <c r="AM3" s="10" t="str">
        <f>HYPERLINK("#'"&amp;AL3&amp;"'!A1","이동")</f>
        <v>이동</v>
      </c>
      <c r="AO3" s="11" t="s">
        <v>163</v>
      </c>
      <c r="AP3" s="10" t="str">
        <f>HYPERLINK("#'"&amp;AO3&amp;"'!A1","이동")</f>
        <v>이동</v>
      </c>
      <c r="AR3" s="11" t="s">
        <v>164</v>
      </c>
      <c r="AS3" s="10" t="str">
        <f>HYPERLINK("#'"&amp;AR3&amp;"'!A1","이동")</f>
        <v>이동</v>
      </c>
      <c r="AU3" s="11" t="s">
        <v>173</v>
      </c>
      <c r="AV3" s="10" t="str">
        <f>HYPERLINK("#'"&amp;AU3&amp;"'!A1","이동")</f>
        <v>이동</v>
      </c>
      <c r="AX3" s="12" t="s">
        <v>234</v>
      </c>
      <c r="AY3" s="5" t="str">
        <f>HYPERLINK("#'"&amp;AX3&amp;"'!A1","이동")</f>
        <v>이동</v>
      </c>
      <c r="BA3" s="12" t="s">
        <v>307</v>
      </c>
      <c r="BB3" s="5" t="str">
        <f>HYPERLINK("#'"&amp;BA3&amp;"'!A1","이동")</f>
        <v>이동</v>
      </c>
      <c r="BD3" s="12" t="s">
        <v>308</v>
      </c>
      <c r="BE3" s="5" t="str">
        <f>HYPERLINK("#'"&amp;BD3&amp;"'!A1","이동")</f>
        <v>이동</v>
      </c>
      <c r="BG3" s="12" t="s">
        <v>348</v>
      </c>
      <c r="BH3" s="5" t="str">
        <f>HYPERLINK("#'"&amp;BG3&amp;"'!A1","이동")</f>
        <v>이동</v>
      </c>
      <c r="BJ3" s="12" t="s">
        <v>349</v>
      </c>
      <c r="BK3" s="5" t="str">
        <f>HYPERLINK("#'"&amp;BJ3&amp;"'!A1","이동")</f>
        <v>이동</v>
      </c>
      <c r="BM3" s="12" t="s">
        <v>366</v>
      </c>
      <c r="BN3" s="5" t="str">
        <f>HYPERLINK("#'"&amp;BM3&amp;"'!A1","이동")</f>
        <v>이동</v>
      </c>
      <c r="BP3" s="12" t="s">
        <v>371</v>
      </c>
      <c r="BQ3" s="5" t="str">
        <f>HYPERLINK("#'"&amp;BP3&amp;"'!A1","이동")</f>
        <v>이동</v>
      </c>
      <c r="BS3" s="12" t="s">
        <v>372</v>
      </c>
      <c r="BT3" s="5" t="str">
        <f>HYPERLINK("#'"&amp;BS3&amp;"'!A1","이동")</f>
        <v>이동</v>
      </c>
      <c r="BV3" s="11" t="s">
        <v>403</v>
      </c>
      <c r="BW3" s="10" t="str">
        <f>HYPERLINK("#'"&amp;BV3&amp;"'!A1","이동")</f>
        <v>이동</v>
      </c>
      <c r="BY3" s="11" t="s">
        <v>404</v>
      </c>
      <c r="BZ3" s="10" t="str">
        <f>HYPERLINK("#'"&amp;BY3&amp;"'!A1","이동")</f>
        <v>이동</v>
      </c>
      <c r="CB3" s="11" t="s">
        <v>415</v>
      </c>
      <c r="CC3" s="10" t="str">
        <f>HYPERLINK("#'"&amp;CB3&amp;"'!A1","이동")</f>
        <v>이동</v>
      </c>
      <c r="CE3" s="11" t="s">
        <v>432</v>
      </c>
      <c r="CF3" s="10" t="str">
        <f>HYPERLINK("#'"&amp;CE3&amp;"'!A1","이동")</f>
        <v>이동</v>
      </c>
      <c r="CH3" s="11" t="s">
        <v>431</v>
      </c>
      <c r="CI3" s="10" t="str">
        <f>HYPERLINK("#'"&amp;CH3&amp;"'!A1","이동")</f>
        <v>이동</v>
      </c>
      <c r="CK3" s="11" t="s">
        <v>430</v>
      </c>
      <c r="CL3" s="10" t="str">
        <f>HYPERLINK("#'"&amp;CK3&amp;"'!A1","이동")</f>
        <v>이동</v>
      </c>
      <c r="CN3" s="11" t="s">
        <v>449</v>
      </c>
      <c r="CO3" s="10" t="str">
        <f>HYPERLINK("#'"&amp;CN3&amp;"'!A1","이동")</f>
        <v>이동</v>
      </c>
      <c r="CQ3" s="11" t="s">
        <v>450</v>
      </c>
      <c r="CR3" s="10" t="str">
        <f>HYPERLINK("#'"&amp;CQ3&amp;"'!A1","이동")</f>
        <v>이동</v>
      </c>
      <c r="CT3" s="12" t="s">
        <v>469</v>
      </c>
      <c r="CU3" s="5" t="str">
        <f>HYPERLINK("#'"&amp;CT3&amp;"'!A1","이동")</f>
        <v>이동</v>
      </c>
      <c r="CW3" s="12" t="s">
        <v>483</v>
      </c>
      <c r="CX3" s="5" t="str">
        <f>HYPERLINK("#'"&amp;CW3&amp;"'!A1","이동")</f>
        <v>이동</v>
      </c>
      <c r="CZ3" s="11" t="s">
        <v>485</v>
      </c>
      <c r="DA3" s="10" t="str">
        <f>HYPERLINK("#'"&amp;CZ3&amp;"'!A1","이동")</f>
        <v>이동</v>
      </c>
      <c r="DC3" s="11" t="s">
        <v>527</v>
      </c>
      <c r="DD3" s="10" t="str">
        <f>HYPERLINK("#'"&amp;DC3&amp;"'!A1","이동")</f>
        <v>이동</v>
      </c>
      <c r="DF3" s="11" t="s">
        <v>536</v>
      </c>
      <c r="DG3" s="10" t="str">
        <f>HYPERLINK("#'"&amp;DF3&amp;"'!A1","이동")</f>
        <v>이동</v>
      </c>
      <c r="DI3" s="11" t="s">
        <v>537</v>
      </c>
      <c r="DJ3" s="10" t="str">
        <f>HYPERLINK("#'"&amp;DI3&amp;"'!A1","이동")</f>
        <v>이동</v>
      </c>
      <c r="DL3" s="11" t="s">
        <v>558</v>
      </c>
      <c r="DM3" s="10" t="str">
        <f>HYPERLINK("#'"&amp;DL3&amp;"'!A1","이동")</f>
        <v>이동</v>
      </c>
      <c r="DO3" s="11" t="s">
        <v>559</v>
      </c>
      <c r="DP3" s="10" t="str">
        <f>HYPERLINK("#'"&amp;DO3&amp;"'!A1","이동")</f>
        <v>이동</v>
      </c>
      <c r="DR3" s="11" t="s">
        <v>568</v>
      </c>
      <c r="DS3" s="10" t="str">
        <f>HYPERLINK("#'"&amp;DR3&amp;"'!A1","이동")</f>
        <v>이동</v>
      </c>
      <c r="DU3" s="11" t="s">
        <v>569</v>
      </c>
      <c r="DV3" s="10" t="str">
        <f>HYPERLINK("#'"&amp;DU3&amp;"'!A1","이동")</f>
        <v>이동</v>
      </c>
      <c r="DX3" s="11" t="s">
        <v>582</v>
      </c>
      <c r="DY3" s="10" t="str">
        <f>HYPERLINK("#'"&amp;DX3&amp;"'!A1","이동")</f>
        <v>이동</v>
      </c>
      <c r="EA3" s="11" t="s">
        <v>583</v>
      </c>
      <c r="EB3" s="10" t="str">
        <f>HYPERLINK("#'"&amp;EA3&amp;"'!A1","이동")</f>
        <v>이동</v>
      </c>
      <c r="ED3" s="12" t="s">
        <v>601</v>
      </c>
      <c r="EE3" s="5" t="str">
        <f>HYPERLINK("#'"&amp;ED3&amp;"'!A1","이동")</f>
        <v>이동</v>
      </c>
      <c r="EG3" s="11" t="s">
        <v>603</v>
      </c>
      <c r="EH3" s="10" t="str">
        <f>HYPERLINK("#'"&amp;EG3&amp;"'!A1","이동")</f>
        <v>이동</v>
      </c>
      <c r="EJ3" s="11" t="s">
        <v>604</v>
      </c>
      <c r="EK3" s="10" t="str">
        <f>HYPERLINK("#'"&amp;EJ3&amp;"'!A1","이동")</f>
        <v>이동</v>
      </c>
      <c r="EM3" s="11" t="s">
        <v>605</v>
      </c>
      <c r="EN3" s="10" t="str">
        <f>HYPERLINK("#'"&amp;EM3&amp;"'!A1","이동")</f>
        <v>이동</v>
      </c>
      <c r="EP3" s="11" t="s">
        <v>619</v>
      </c>
      <c r="EQ3" s="10" t="str">
        <f>HYPERLINK("#'"&amp;EP3&amp;"'!A1","이동")</f>
        <v>이동</v>
      </c>
      <c r="ES3" s="11" t="s">
        <v>620</v>
      </c>
      <c r="ET3" s="10" t="str">
        <f>HYPERLINK("#'"&amp;ES3&amp;"'!A1","이동")</f>
        <v>이동</v>
      </c>
      <c r="EV3" s="11" t="s">
        <v>636</v>
      </c>
      <c r="EW3" s="10" t="str">
        <f>HYPERLINK("#'"&amp;EV3&amp;"'!A1","이동")</f>
        <v>이동</v>
      </c>
      <c r="EY3" s="11" t="s">
        <v>641</v>
      </c>
      <c r="EZ3" s="10" t="str">
        <f>HYPERLINK("#'"&amp;EY3&amp;"'!A1","이동")</f>
        <v>이동</v>
      </c>
      <c r="FB3" s="11" t="s">
        <v>646</v>
      </c>
      <c r="FC3" s="10" t="str">
        <f>HYPERLINK("#'"&amp;FB3&amp;"'!A1","이동")</f>
        <v>이동</v>
      </c>
      <c r="FE3" s="11" t="s">
        <v>651</v>
      </c>
      <c r="FF3" s="10" t="str">
        <f>HYPERLINK("#'"&amp;FE3&amp;"'!A1","이동")</f>
        <v>이동</v>
      </c>
      <c r="FH3" s="11" t="s">
        <v>695</v>
      </c>
      <c r="FI3" s="10" t="str">
        <f>HYPERLINK("#'"&amp;FH3&amp;"'!A1","이동")</f>
        <v>이동</v>
      </c>
      <c r="FK3" s="11" t="s">
        <v>710</v>
      </c>
      <c r="FL3" s="10" t="str">
        <f>HYPERLINK("#'"&amp;FK3&amp;"'!A1","이동")</f>
        <v>이동</v>
      </c>
      <c r="FN3" s="11" t="s">
        <v>712</v>
      </c>
      <c r="FO3" s="10" t="str">
        <f>HYPERLINK("#'"&amp;FN3&amp;"'!A1","이동")</f>
        <v>이동</v>
      </c>
      <c r="FQ3" s="11" t="s">
        <v>713</v>
      </c>
      <c r="FR3" s="10" t="str">
        <f>HYPERLINK("#'"&amp;FQ3&amp;"'!A1","이동")</f>
        <v>이동</v>
      </c>
      <c r="FT3" s="11" t="s">
        <v>719</v>
      </c>
      <c r="FU3" s="10" t="str">
        <f>HYPERLINK("#'"&amp;FT3&amp;"'!A1","이동")</f>
        <v>이동</v>
      </c>
      <c r="FW3" s="11" t="s">
        <v>726</v>
      </c>
      <c r="FX3" s="10" t="str">
        <f>HYPERLINK("#'"&amp;FW3&amp;"'!A1","이동")</f>
        <v>이동</v>
      </c>
      <c r="FZ3" s="11" t="s">
        <v>730</v>
      </c>
      <c r="GA3" s="10" t="str">
        <f>HYPERLINK("#'"&amp;FZ3&amp;"'!A1","이동")</f>
        <v>이동</v>
      </c>
      <c r="GC3" s="11" t="s">
        <v>758</v>
      </c>
      <c r="GD3" s="10" t="str">
        <f>HYPERLINK("#'"&amp;GC3&amp;"'!A1","이동")</f>
        <v>이동</v>
      </c>
      <c r="GF3" s="11" t="s">
        <v>760</v>
      </c>
      <c r="GG3" s="10" t="str">
        <f>HYPERLINK("#'"&amp;GF3&amp;"'!A1","이동")</f>
        <v>이동</v>
      </c>
      <c r="GI3" s="11" t="s">
        <v>788</v>
      </c>
      <c r="GJ3" s="10" t="str">
        <f>HYPERLINK("#'"&amp;GI3&amp;"'!A1","이동")</f>
        <v>이동</v>
      </c>
      <c r="GL3" s="11" t="s">
        <v>789</v>
      </c>
      <c r="GM3" s="10" t="str">
        <f>HYPERLINK("#'"&amp;GL3&amp;"'!A1","이동")</f>
        <v>이동</v>
      </c>
      <c r="GO3" s="11" t="s">
        <v>794</v>
      </c>
      <c r="GP3" s="10" t="str">
        <f>HYPERLINK("#'"&amp;GO3&amp;"'!A1","이동")</f>
        <v>이동</v>
      </c>
      <c r="GR3" s="11" t="s">
        <v>810</v>
      </c>
      <c r="GS3" s="10" t="str">
        <f>HYPERLINK("#'"&amp;GR3&amp;"'!A1","이동")</f>
        <v>이동</v>
      </c>
      <c r="GU3" s="11" t="s">
        <v>1002</v>
      </c>
      <c r="GV3" s="10" t="s">
        <v>9</v>
      </c>
      <c r="GX3" s="11" t="s">
        <v>1003</v>
      </c>
      <c r="GY3" s="10" t="s">
        <v>9</v>
      </c>
      <c r="HA3" s="11" t="s">
        <v>1004</v>
      </c>
      <c r="HB3" s="10" t="s">
        <v>9</v>
      </c>
      <c r="HD3" s="11" t="s">
        <v>1005</v>
      </c>
      <c r="HE3" s="10" t="s">
        <v>9</v>
      </c>
      <c r="HG3" s="11" t="s">
        <v>1006</v>
      </c>
      <c r="HH3" s="10" t="s">
        <v>9</v>
      </c>
      <c r="HJ3" s="11" t="s">
        <v>1007</v>
      </c>
      <c r="HK3" s="10" t="s">
        <v>9</v>
      </c>
      <c r="HM3" s="11" t="s">
        <v>1008</v>
      </c>
      <c r="HN3" s="10" t="s">
        <v>9</v>
      </c>
      <c r="HP3" s="14" t="s">
        <v>1009</v>
      </c>
      <c r="HQ3" s="20" t="s">
        <v>9</v>
      </c>
      <c r="HS3" s="14" t="s">
        <v>1010</v>
      </c>
      <c r="HT3" s="20" t="s">
        <v>9</v>
      </c>
      <c r="HV3" s="11" t="s">
        <v>1153</v>
      </c>
      <c r="HW3" s="10" t="str">
        <f>HYPERLINK("#'"&amp;HV3&amp;"'!A1","이동")</f>
        <v>이동</v>
      </c>
      <c r="HY3" s="11" t="s">
        <v>819</v>
      </c>
      <c r="HZ3" s="10" t="str">
        <f>HYPERLINK("#'"&amp;HY3&amp;"'!A1","이동")</f>
        <v>이동</v>
      </c>
      <c r="IB3" s="11" t="s">
        <v>826</v>
      </c>
      <c r="IC3" s="10" t="str">
        <f>HYPERLINK("#'"&amp;IB3&amp;"'!A1","이동")</f>
        <v>이동</v>
      </c>
      <c r="IE3" s="11" t="s">
        <v>833</v>
      </c>
      <c r="IF3" s="10" t="str">
        <f>HYPERLINK("#'"&amp;IE3&amp;"'!A1","이동")</f>
        <v>이동</v>
      </c>
      <c r="IH3" s="11" t="s">
        <v>836</v>
      </c>
      <c r="II3" s="10" t="str">
        <f>HYPERLINK("#'"&amp;IH3&amp;"'!A1","이동")</f>
        <v>이동</v>
      </c>
      <c r="IK3" s="11" t="s">
        <v>837</v>
      </c>
      <c r="IL3" s="10" t="str">
        <f>HYPERLINK("#'"&amp;IK3&amp;"'!A1","이동")</f>
        <v>이동</v>
      </c>
      <c r="IN3" s="11" t="s">
        <v>842</v>
      </c>
      <c r="IO3" s="10" t="str">
        <f>HYPERLINK("#'"&amp;IN3&amp;"'!A1","이동")</f>
        <v>이동</v>
      </c>
      <c r="IQ3" s="12" t="s">
        <v>866</v>
      </c>
      <c r="IR3" s="5" t="str">
        <f>HYPERLINK("#'"&amp;IQ3&amp;"'!A1","이동")</f>
        <v>이동</v>
      </c>
      <c r="IT3" s="11" t="s">
        <v>868</v>
      </c>
      <c r="IU3" s="10" t="str">
        <f>HYPERLINK("#'"&amp;IT3&amp;"'!A1","이동")</f>
        <v>이동</v>
      </c>
      <c r="IW3" s="11" t="s">
        <v>869</v>
      </c>
      <c r="IX3" s="10" t="str">
        <f>HYPERLINK("#'"&amp;IW3&amp;"'!A1","이동")</f>
        <v>이동</v>
      </c>
      <c r="IZ3" s="11" t="s">
        <v>870</v>
      </c>
      <c r="JA3" s="10" t="str">
        <f>HYPERLINK("#'"&amp;IZ3&amp;"'!A1","이동")</f>
        <v>이동</v>
      </c>
      <c r="JC3" s="11" t="s">
        <v>895</v>
      </c>
      <c r="JD3" s="10" t="str">
        <f>HYPERLINK("#'"&amp;JC3&amp;"'!A1","이동")</f>
        <v>이동</v>
      </c>
      <c r="JF3" s="11" t="s">
        <v>900</v>
      </c>
      <c r="JG3" s="10" t="str">
        <f>HYPERLINK("#'"&amp;JF3&amp;"'!A1","이동")</f>
        <v>이동</v>
      </c>
      <c r="JI3" s="11" t="s">
        <v>916</v>
      </c>
      <c r="JJ3" s="10" t="str">
        <f>HYPERLINK("#'"&amp;JI3&amp;"'!A1","이동")</f>
        <v>이동</v>
      </c>
      <c r="JL3" s="11" t="s">
        <v>921</v>
      </c>
      <c r="JM3" s="10" t="str">
        <f>HYPERLINK("#'"&amp;JL3&amp;"'!A1","이동")</f>
        <v>이동</v>
      </c>
      <c r="JO3" s="11" t="s">
        <v>926</v>
      </c>
      <c r="JP3" s="10" t="str">
        <f>HYPERLINK("#'"&amp;JO3&amp;"'!A1","이동")</f>
        <v>이동</v>
      </c>
      <c r="JR3" s="11" t="s">
        <v>933</v>
      </c>
      <c r="JS3" s="10" t="str">
        <f>HYPERLINK("#'"&amp;JR3&amp;"'!A1","이동")</f>
        <v>이동</v>
      </c>
      <c r="JU3" s="11" t="s">
        <v>938</v>
      </c>
      <c r="JV3" s="10" t="str">
        <f>HYPERLINK("#'"&amp;JU3&amp;"'!A1","이동")</f>
        <v>이동</v>
      </c>
      <c r="JX3" s="11" t="s">
        <v>1169</v>
      </c>
      <c r="JY3" s="10" t="str">
        <f>HYPERLINK("#'"&amp;JX3&amp;"'!A1","이동")</f>
        <v>이동</v>
      </c>
      <c r="KA3" s="11" t="s">
        <v>1170</v>
      </c>
      <c r="KB3" s="10" t="str">
        <f>HYPERLINK("#'"&amp;KA3&amp;"'!A1","이동")</f>
        <v>이동</v>
      </c>
      <c r="KD3" s="11" t="s">
        <v>1171</v>
      </c>
      <c r="KE3" s="10" t="str">
        <f>HYPERLINK("#'"&amp;KD3&amp;"'!A1","이동")</f>
        <v>이동</v>
      </c>
      <c r="KG3" s="12" t="s">
        <v>965</v>
      </c>
      <c r="KH3" s="5" t="str">
        <f>HYPERLINK("#'"&amp;KG3&amp;"'!A1","이동")</f>
        <v>이동</v>
      </c>
      <c r="KJ3" s="12" t="s">
        <v>982</v>
      </c>
      <c r="KK3" s="5" t="str">
        <f>HYPERLINK("#'"&amp;KJ3&amp;"'!A1","이동")</f>
        <v>이동</v>
      </c>
      <c r="KM3" s="12" t="s">
        <v>1130</v>
      </c>
      <c r="KN3" s="5" t="str">
        <f>HYPERLINK("#'"&amp;KM3&amp;"'!A1","이동")</f>
        <v>이동</v>
      </c>
    </row>
    <row r="4" spans="2:300">
      <c r="B4" s="2" t="s">
        <v>0</v>
      </c>
      <c r="C4" s="2" t="s">
        <v>126</v>
      </c>
      <c r="E4" s="2" t="s">
        <v>0</v>
      </c>
      <c r="F4" s="2" t="s">
        <v>1</v>
      </c>
      <c r="H4" s="2" t="s">
        <v>30</v>
      </c>
      <c r="I4" s="2" t="s">
        <v>31</v>
      </c>
      <c r="K4" s="2" t="s">
        <v>0</v>
      </c>
      <c r="L4" s="2" t="s">
        <v>1</v>
      </c>
      <c r="N4" s="2" t="s">
        <v>60</v>
      </c>
      <c r="O4" s="2" t="s">
        <v>61</v>
      </c>
      <c r="Q4" s="2" t="s">
        <v>80</v>
      </c>
      <c r="R4" s="2" t="s">
        <v>81</v>
      </c>
      <c r="T4" s="2" t="s">
        <v>91</v>
      </c>
      <c r="U4" s="2" t="s">
        <v>92</v>
      </c>
      <c r="W4" s="2" t="s">
        <v>232</v>
      </c>
      <c r="X4" s="2" t="s">
        <v>99</v>
      </c>
      <c r="Z4" s="2" t="s">
        <v>101</v>
      </c>
      <c r="AA4" s="2" t="s">
        <v>102</v>
      </c>
      <c r="AC4" s="2" t="s">
        <v>106</v>
      </c>
      <c r="AD4" s="2" t="s">
        <v>107</v>
      </c>
      <c r="AF4" s="2" t="s">
        <v>119</v>
      </c>
      <c r="AG4" s="2" t="s">
        <v>120</v>
      </c>
      <c r="AI4" s="2" t="s">
        <v>968</v>
      </c>
      <c r="AJ4" s="2" t="s">
        <v>975</v>
      </c>
      <c r="AL4" s="2" t="s">
        <v>153</v>
      </c>
      <c r="AM4" s="2" t="s">
        <v>154</v>
      </c>
      <c r="AO4" s="2" t="s">
        <v>157</v>
      </c>
      <c r="AP4" s="2" t="s">
        <v>158</v>
      </c>
      <c r="AR4" s="2" t="s">
        <v>165</v>
      </c>
      <c r="AS4" s="2" t="s">
        <v>166</v>
      </c>
      <c r="AU4" s="6" t="s">
        <v>174</v>
      </c>
      <c r="AV4" s="6" t="s">
        <v>175</v>
      </c>
      <c r="AX4" s="13" t="s">
        <v>236</v>
      </c>
      <c r="AY4" s="13" t="s">
        <v>237</v>
      </c>
      <c r="BA4" s="13" t="s">
        <v>261</v>
      </c>
      <c r="BB4" s="13" t="s">
        <v>262</v>
      </c>
      <c r="BD4" s="13" t="s">
        <v>309</v>
      </c>
      <c r="BE4" s="13" t="s">
        <v>260</v>
      </c>
      <c r="BG4" s="2" t="s">
        <v>242</v>
      </c>
      <c r="BH4" s="2" t="s">
        <v>243</v>
      </c>
      <c r="BJ4" s="13" t="s">
        <v>309</v>
      </c>
      <c r="BK4" s="13" t="s">
        <v>260</v>
      </c>
      <c r="BM4" s="13" t="s">
        <v>351</v>
      </c>
      <c r="BN4" s="13" t="s">
        <v>352</v>
      </c>
      <c r="BP4" s="2" t="s">
        <v>367</v>
      </c>
      <c r="BQ4" s="2" t="s">
        <v>368</v>
      </c>
      <c r="BS4" s="13" t="s">
        <v>373</v>
      </c>
      <c r="BT4" s="13" t="s">
        <v>374</v>
      </c>
      <c r="BV4" s="13" t="s">
        <v>393</v>
      </c>
      <c r="BW4" s="13" t="s">
        <v>394</v>
      </c>
      <c r="BY4" s="13" t="s">
        <v>405</v>
      </c>
      <c r="BZ4" s="13" t="s">
        <v>406</v>
      </c>
      <c r="CB4" s="13" t="s">
        <v>416</v>
      </c>
      <c r="CC4" s="13" t="s">
        <v>417</v>
      </c>
      <c r="CE4" s="13" t="s">
        <v>0</v>
      </c>
      <c r="CF4" s="13" t="s">
        <v>433</v>
      </c>
      <c r="CH4" s="13" t="s">
        <v>444</v>
      </c>
      <c r="CI4" s="13" t="s">
        <v>445</v>
      </c>
      <c r="CK4" s="13" t="s">
        <v>147</v>
      </c>
      <c r="CL4" s="13" t="s">
        <v>148</v>
      </c>
      <c r="CN4" s="13" t="s">
        <v>457</v>
      </c>
      <c r="CO4" s="13" t="s">
        <v>458</v>
      </c>
      <c r="CQ4" s="13" t="s">
        <v>943</v>
      </c>
      <c r="CR4" s="13" t="s">
        <v>458</v>
      </c>
      <c r="CT4" s="13" t="s">
        <v>470</v>
      </c>
      <c r="CU4" s="13" t="s">
        <v>471</v>
      </c>
      <c r="CW4" s="13" t="s">
        <v>480</v>
      </c>
      <c r="CX4" s="13" t="s">
        <v>481</v>
      </c>
      <c r="CZ4" s="13" t="s">
        <v>487</v>
      </c>
      <c r="DA4" s="13" t="s">
        <v>488</v>
      </c>
      <c r="DC4" s="13" t="s">
        <v>528</v>
      </c>
      <c r="DD4" s="13" t="s">
        <v>529</v>
      </c>
      <c r="DF4" s="13" t="s">
        <v>532</v>
      </c>
      <c r="DG4" s="13" t="s">
        <v>533</v>
      </c>
      <c r="DI4" s="13" t="s">
        <v>538</v>
      </c>
      <c r="DJ4" s="13" t="s">
        <v>539</v>
      </c>
      <c r="DL4" s="13" t="s">
        <v>554</v>
      </c>
      <c r="DM4" s="13" t="s">
        <v>555</v>
      </c>
      <c r="DO4" s="13" t="s">
        <v>560</v>
      </c>
      <c r="DP4" s="13" t="s">
        <v>561</v>
      </c>
      <c r="DR4" s="13" t="s">
        <v>564</v>
      </c>
      <c r="DS4" s="13" t="s">
        <v>565</v>
      </c>
      <c r="DU4" s="13" t="s">
        <v>570</v>
      </c>
      <c r="DV4" s="13" t="s">
        <v>571</v>
      </c>
      <c r="DX4" s="13" t="s">
        <v>570</v>
      </c>
      <c r="DY4" s="13" t="s">
        <v>571</v>
      </c>
      <c r="EA4" s="13" t="s">
        <v>540</v>
      </c>
      <c r="EB4" s="13" t="s">
        <v>584</v>
      </c>
      <c r="ED4" s="13" t="s">
        <v>319</v>
      </c>
      <c r="EE4" s="13" t="s">
        <v>598</v>
      </c>
      <c r="EG4" s="13" t="s">
        <v>606</v>
      </c>
      <c r="EH4" s="13" t="s">
        <v>607</v>
      </c>
      <c r="EJ4" s="13" t="s">
        <v>0</v>
      </c>
      <c r="EK4" s="13" t="s">
        <v>1</v>
      </c>
      <c r="EM4" s="13" t="s">
        <v>606</v>
      </c>
      <c r="EN4" s="13" t="s">
        <v>607</v>
      </c>
      <c r="EP4" s="13" t="s">
        <v>627</v>
      </c>
      <c r="EQ4" s="13" t="s">
        <v>628</v>
      </c>
      <c r="ES4" s="13" t="s">
        <v>621</v>
      </c>
      <c r="ET4" s="13" t="s">
        <v>622</v>
      </c>
      <c r="EV4" s="13" t="s">
        <v>637</v>
      </c>
      <c r="EW4" s="13" t="s">
        <v>638</v>
      </c>
      <c r="EY4" s="13" t="s">
        <v>606</v>
      </c>
      <c r="EZ4" s="13" t="s">
        <v>607</v>
      </c>
      <c r="FB4" s="13" t="s">
        <v>621</v>
      </c>
      <c r="FC4" s="13" t="s">
        <v>622</v>
      </c>
      <c r="FE4" s="13" t="s">
        <v>652</v>
      </c>
      <c r="FF4" s="13" t="s">
        <v>653</v>
      </c>
      <c r="FH4" s="13" t="s">
        <v>0</v>
      </c>
      <c r="FI4" s="13" t="s">
        <v>1</v>
      </c>
      <c r="FK4" s="13" t="s">
        <v>696</v>
      </c>
      <c r="FL4" s="13" t="s">
        <v>697</v>
      </c>
      <c r="FN4" s="13" t="s">
        <v>621</v>
      </c>
      <c r="FO4" s="13" t="s">
        <v>622</v>
      </c>
      <c r="FQ4" s="13" t="s">
        <v>0</v>
      </c>
      <c r="FR4" s="13" t="s">
        <v>714</v>
      </c>
      <c r="FT4" s="13" t="s">
        <v>720</v>
      </c>
      <c r="FU4" s="13" t="s">
        <v>721</v>
      </c>
      <c r="FW4" s="13" t="s">
        <v>621</v>
      </c>
      <c r="FX4" s="13" t="s">
        <v>727</v>
      </c>
      <c r="FZ4" s="13" t="s">
        <v>731</v>
      </c>
      <c r="GA4" s="13" t="s">
        <v>732</v>
      </c>
      <c r="GC4" s="13" t="s">
        <v>733</v>
      </c>
      <c r="GD4" s="13" t="s">
        <v>734</v>
      </c>
      <c r="GF4" s="13" t="s">
        <v>28</v>
      </c>
      <c r="GG4" s="13" t="s">
        <v>761</v>
      </c>
      <c r="GI4" s="13" t="s">
        <v>766</v>
      </c>
      <c r="GJ4" s="13" t="s">
        <v>767</v>
      </c>
      <c r="GL4" s="13" t="s">
        <v>790</v>
      </c>
      <c r="GM4" s="13" t="s">
        <v>791</v>
      </c>
      <c r="GO4" s="13" t="s">
        <v>795</v>
      </c>
      <c r="GP4" s="13" t="s">
        <v>796</v>
      </c>
      <c r="GR4" s="13" t="s">
        <v>802</v>
      </c>
      <c r="GS4" s="13" t="s">
        <v>664</v>
      </c>
      <c r="GU4" s="13" t="s">
        <v>1011</v>
      </c>
      <c r="GV4" s="13" t="s">
        <v>1065</v>
      </c>
      <c r="GX4" s="15" t="s">
        <v>1011</v>
      </c>
      <c r="GY4" s="2" t="s">
        <v>1070</v>
      </c>
      <c r="HA4" s="13" t="s">
        <v>1012</v>
      </c>
      <c r="HB4" s="2" t="s">
        <v>796</v>
      </c>
      <c r="HD4" s="13" t="s">
        <v>1013</v>
      </c>
      <c r="HE4" s="2" t="s">
        <v>732</v>
      </c>
      <c r="HG4" s="13" t="s">
        <v>1014</v>
      </c>
      <c r="HH4" s="2" t="s">
        <v>1073</v>
      </c>
      <c r="HJ4" s="15" t="s">
        <v>1015</v>
      </c>
      <c r="HK4" s="2" t="s">
        <v>727</v>
      </c>
      <c r="HM4" s="15" t="s">
        <v>1016</v>
      </c>
      <c r="HN4" s="2" t="s">
        <v>732</v>
      </c>
      <c r="HP4" s="16" t="s">
        <v>1017</v>
      </c>
      <c r="HQ4" s="2" t="s">
        <v>1</v>
      </c>
      <c r="HS4" s="15" t="s">
        <v>659</v>
      </c>
      <c r="HT4" s="2" t="s">
        <v>1088</v>
      </c>
      <c r="HV4" s="13" t="s">
        <v>812</v>
      </c>
      <c r="HW4" s="13" t="s">
        <v>813</v>
      </c>
      <c r="HY4" s="13" t="s">
        <v>820</v>
      </c>
      <c r="HZ4" s="13" t="s">
        <v>821</v>
      </c>
      <c r="IB4" s="13" t="s">
        <v>827</v>
      </c>
      <c r="IC4" s="13" t="s">
        <v>828</v>
      </c>
      <c r="IE4" s="13" t="s">
        <v>834</v>
      </c>
      <c r="IF4" s="13" t="s">
        <v>835</v>
      </c>
      <c r="IH4" s="13" t="s">
        <v>621</v>
      </c>
      <c r="II4" s="13" t="s">
        <v>622</v>
      </c>
      <c r="IK4" s="13" t="s">
        <v>838</v>
      </c>
      <c r="IL4" s="13" t="s">
        <v>839</v>
      </c>
      <c r="IN4" s="13" t="s">
        <v>843</v>
      </c>
      <c r="IO4" s="13" t="s">
        <v>844</v>
      </c>
      <c r="IQ4" s="13" t="s">
        <v>850</v>
      </c>
      <c r="IR4" s="13" t="s">
        <v>851</v>
      </c>
      <c r="IT4" s="13" t="s">
        <v>436</v>
      </c>
      <c r="IU4" s="13" t="s">
        <v>889</v>
      </c>
      <c r="IW4" s="13" t="s">
        <v>875</v>
      </c>
      <c r="IX4" s="13" t="s">
        <v>876</v>
      </c>
      <c r="IZ4" s="13" t="s">
        <v>871</v>
      </c>
      <c r="JA4" s="13" t="s">
        <v>872</v>
      </c>
      <c r="JC4" s="13" t="s">
        <v>896</v>
      </c>
      <c r="JD4" s="13" t="s">
        <v>897</v>
      </c>
      <c r="JF4" s="13" t="s">
        <v>0</v>
      </c>
      <c r="JG4" s="13" t="s">
        <v>1</v>
      </c>
      <c r="JI4" s="13" t="s">
        <v>917</v>
      </c>
      <c r="JJ4" s="13" t="s">
        <v>918</v>
      </c>
      <c r="JL4" s="13" t="s">
        <v>917</v>
      </c>
      <c r="JM4" s="13" t="s">
        <v>918</v>
      </c>
      <c r="JO4" s="13" t="s">
        <v>927</v>
      </c>
      <c r="JP4" s="13" t="s">
        <v>928</v>
      </c>
      <c r="JR4" s="13" t="s">
        <v>934</v>
      </c>
      <c r="JS4" s="13" t="s">
        <v>935</v>
      </c>
      <c r="JU4" s="13" t="s">
        <v>939</v>
      </c>
      <c r="JV4" s="13" t="s">
        <v>940</v>
      </c>
      <c r="JX4" s="13" t="s">
        <v>952</v>
      </c>
      <c r="JY4" s="13" t="s">
        <v>957</v>
      </c>
      <c r="KA4" s="13" t="s">
        <v>1192</v>
      </c>
      <c r="KB4" s="13" t="s">
        <v>1193</v>
      </c>
      <c r="KD4" s="13" t="s">
        <v>968</v>
      </c>
      <c r="KE4" s="13" t="s">
        <v>971</v>
      </c>
      <c r="KG4" s="2" t="s">
        <v>309</v>
      </c>
      <c r="KH4" s="13" t="s">
        <v>976</v>
      </c>
      <c r="KJ4" s="13" t="s">
        <v>983</v>
      </c>
      <c r="KK4" s="13" t="s">
        <v>992</v>
      </c>
      <c r="KM4" s="13" t="s">
        <v>1119</v>
      </c>
      <c r="KN4" s="13" t="s">
        <v>1131</v>
      </c>
    </row>
    <row r="5" spans="2:300">
      <c r="B5" s="2" t="s">
        <v>127</v>
      </c>
      <c r="C5" s="2" t="s">
        <v>128</v>
      </c>
      <c r="E5" s="2" t="s">
        <v>2</v>
      </c>
      <c r="F5" s="2" t="s">
        <v>3</v>
      </c>
      <c r="H5" s="2" t="s">
        <v>32</v>
      </c>
      <c r="I5" s="2" t="s">
        <v>33</v>
      </c>
      <c r="K5" s="2" t="s">
        <v>46</v>
      </c>
      <c r="L5" s="2" t="s">
        <v>47</v>
      </c>
      <c r="N5" s="2" t="s">
        <v>62</v>
      </c>
      <c r="O5" s="2" t="s">
        <v>63</v>
      </c>
      <c r="Q5" s="2" t="s">
        <v>82</v>
      </c>
      <c r="R5" s="2" t="s">
        <v>83</v>
      </c>
      <c r="T5" s="2" t="s">
        <v>93</v>
      </c>
      <c r="U5" s="2" t="s">
        <v>94</v>
      </c>
      <c r="Z5" s="2" t="s">
        <v>103</v>
      </c>
      <c r="AA5" s="2" t="s">
        <v>104</v>
      </c>
      <c r="AC5" s="2" t="s">
        <v>108</v>
      </c>
      <c r="AD5" s="2" t="s">
        <v>109</v>
      </c>
      <c r="AF5" s="2" t="s">
        <v>86</v>
      </c>
      <c r="AG5" s="2" t="s">
        <v>121</v>
      </c>
      <c r="AI5" s="2" t="s">
        <v>139</v>
      </c>
      <c r="AJ5" s="2" t="s">
        <v>140</v>
      </c>
      <c r="AL5" s="2" t="s">
        <v>155</v>
      </c>
      <c r="AM5" s="2" t="s">
        <v>156</v>
      </c>
      <c r="AO5" s="2" t="s">
        <v>159</v>
      </c>
      <c r="AP5" s="2" t="s">
        <v>160</v>
      </c>
      <c r="AR5" s="2" t="s">
        <v>167</v>
      </c>
      <c r="AS5" s="2" t="s">
        <v>168</v>
      </c>
      <c r="AU5" s="6" t="s">
        <v>147</v>
      </c>
      <c r="AV5" s="6" t="s">
        <v>176</v>
      </c>
      <c r="AX5" s="13" t="s">
        <v>238</v>
      </c>
      <c r="AY5" s="13" t="s">
        <v>239</v>
      </c>
      <c r="BA5" s="13" t="s">
        <v>263</v>
      </c>
      <c r="BB5" s="13" t="s">
        <v>264</v>
      </c>
      <c r="BG5" s="2" t="s">
        <v>244</v>
      </c>
      <c r="BH5" s="2" t="s">
        <v>245</v>
      </c>
      <c r="BJ5" s="2" t="s">
        <v>311</v>
      </c>
      <c r="BK5" s="2" t="s">
        <v>312</v>
      </c>
      <c r="BM5" s="13" t="s">
        <v>353</v>
      </c>
      <c r="BN5" s="13" t="s">
        <v>354</v>
      </c>
      <c r="BP5" s="2" t="s">
        <v>369</v>
      </c>
      <c r="BQ5" s="2" t="s">
        <v>370</v>
      </c>
      <c r="BS5" s="13" t="s">
        <v>375</v>
      </c>
      <c r="BT5" s="13" t="s">
        <v>376</v>
      </c>
      <c r="BV5" s="13" t="s">
        <v>395</v>
      </c>
      <c r="BW5" s="13" t="s">
        <v>396</v>
      </c>
      <c r="BY5" s="13" t="s">
        <v>407</v>
      </c>
      <c r="BZ5" s="13" t="s">
        <v>408</v>
      </c>
      <c r="CB5" s="13" t="s">
        <v>418</v>
      </c>
      <c r="CC5" s="13" t="s">
        <v>419</v>
      </c>
      <c r="CE5" s="13" t="s">
        <v>434</v>
      </c>
      <c r="CF5" s="13" t="s">
        <v>435</v>
      </c>
      <c r="CK5" s="13" t="s">
        <v>446</v>
      </c>
      <c r="CL5" s="13" t="s">
        <v>150</v>
      </c>
      <c r="CN5" s="13" t="s">
        <v>459</v>
      </c>
      <c r="CO5" s="13" t="s">
        <v>460</v>
      </c>
      <c r="CQ5" s="13" t="s">
        <v>451</v>
      </c>
      <c r="CR5" s="13" t="s">
        <v>452</v>
      </c>
      <c r="CT5" s="13" t="s">
        <v>472</v>
      </c>
      <c r="CU5" s="13" t="s">
        <v>473</v>
      </c>
      <c r="CW5" s="13" t="s">
        <v>277</v>
      </c>
      <c r="CX5" s="13" t="s">
        <v>482</v>
      </c>
      <c r="CZ5" s="13" t="s">
        <v>489</v>
      </c>
      <c r="DA5" s="13" t="s">
        <v>490</v>
      </c>
      <c r="DC5" s="13" t="s">
        <v>530</v>
      </c>
      <c r="DD5" s="13" t="s">
        <v>531</v>
      </c>
      <c r="DF5" s="13" t="s">
        <v>534</v>
      </c>
      <c r="DG5" s="13" t="s">
        <v>535</v>
      </c>
      <c r="DI5" s="13" t="s">
        <v>540</v>
      </c>
      <c r="DJ5" s="13" t="s">
        <v>541</v>
      </c>
      <c r="DL5" s="13" t="s">
        <v>556</v>
      </c>
      <c r="DM5" s="13" t="s">
        <v>557</v>
      </c>
      <c r="DO5" s="13" t="s">
        <v>562</v>
      </c>
      <c r="DP5" s="13" t="s">
        <v>563</v>
      </c>
      <c r="DR5" s="13" t="s">
        <v>566</v>
      </c>
      <c r="DS5" s="13" t="s">
        <v>567</v>
      </c>
      <c r="DU5" s="13" t="s">
        <v>572</v>
      </c>
      <c r="DV5" s="13" t="s">
        <v>573</v>
      </c>
      <c r="DX5" s="13" t="s">
        <v>576</v>
      </c>
      <c r="DY5" s="13" t="s">
        <v>577</v>
      </c>
      <c r="EA5" s="13" t="s">
        <v>543</v>
      </c>
      <c r="EB5" s="13" t="s">
        <v>585</v>
      </c>
      <c r="ED5" s="13" t="s">
        <v>599</v>
      </c>
      <c r="EE5" s="13" t="s">
        <v>600</v>
      </c>
      <c r="EG5" s="13" t="s">
        <v>171</v>
      </c>
      <c r="EH5" s="13" t="s">
        <v>608</v>
      </c>
      <c r="EJ5" s="13" t="s">
        <v>240</v>
      </c>
      <c r="EK5" s="13" t="s">
        <v>241</v>
      </c>
      <c r="EM5" s="13" t="s">
        <v>616</v>
      </c>
      <c r="EN5" s="13" t="s">
        <v>617</v>
      </c>
      <c r="EP5" s="13" t="s">
        <v>457</v>
      </c>
      <c r="EQ5" s="13" t="s">
        <v>629</v>
      </c>
      <c r="ES5" s="13" t="s">
        <v>623</v>
      </c>
      <c r="ET5" s="13" t="s">
        <v>624</v>
      </c>
      <c r="EV5" s="13" t="s">
        <v>639</v>
      </c>
      <c r="EW5" s="13" t="s">
        <v>640</v>
      </c>
      <c r="EY5" s="13" t="s">
        <v>642</v>
      </c>
      <c r="EZ5" s="13" t="s">
        <v>643</v>
      </c>
      <c r="FB5" s="13" t="s">
        <v>647</v>
      </c>
      <c r="FC5" s="13" t="s">
        <v>648</v>
      </c>
      <c r="FE5" s="13" t="s">
        <v>642</v>
      </c>
      <c r="FF5" s="13" t="s">
        <v>654</v>
      </c>
      <c r="FH5" s="13" t="s">
        <v>655</v>
      </c>
      <c r="FI5" s="13" t="s">
        <v>656</v>
      </c>
      <c r="FK5" s="13" t="s">
        <v>698</v>
      </c>
      <c r="FL5" s="13" t="s">
        <v>699</v>
      </c>
      <c r="FN5" s="13" t="s">
        <v>22</v>
      </c>
      <c r="FO5" s="13" t="s">
        <v>711</v>
      </c>
      <c r="FQ5" s="13" t="s">
        <v>715</v>
      </c>
      <c r="FR5" s="13" t="s">
        <v>716</v>
      </c>
      <c r="FT5" s="13" t="s">
        <v>722</v>
      </c>
      <c r="FU5" s="13" t="s">
        <v>723</v>
      </c>
      <c r="FW5" s="13" t="s">
        <v>728</v>
      </c>
      <c r="FX5" s="13" t="s">
        <v>729</v>
      </c>
      <c r="FZ5" s="13" t="s">
        <v>944</v>
      </c>
      <c r="GA5" s="13" t="s">
        <v>734</v>
      </c>
      <c r="GC5" s="13" t="s">
        <v>735</v>
      </c>
      <c r="GD5" s="13" t="s">
        <v>736</v>
      </c>
      <c r="GF5" s="13" t="s">
        <v>762</v>
      </c>
      <c r="GG5" s="13" t="s">
        <v>763</v>
      </c>
      <c r="GI5" s="13" t="s">
        <v>768</v>
      </c>
      <c r="GJ5" s="13" t="s">
        <v>769</v>
      </c>
      <c r="GL5" s="13" t="s">
        <v>792</v>
      </c>
      <c r="GM5" s="13" t="s">
        <v>793</v>
      </c>
      <c r="GO5" s="13" t="s">
        <v>752</v>
      </c>
      <c r="GP5" s="13" t="s">
        <v>797</v>
      </c>
      <c r="GR5" s="13" t="s">
        <v>28</v>
      </c>
      <c r="GS5" s="13" t="s">
        <v>803</v>
      </c>
      <c r="GU5" s="13" t="s">
        <v>1018</v>
      </c>
      <c r="GV5" s="13" t="s">
        <v>1066</v>
      </c>
      <c r="GX5" s="15" t="s">
        <v>1019</v>
      </c>
      <c r="GY5" s="2" t="s">
        <v>1068</v>
      </c>
      <c r="HA5" s="13" t="s">
        <v>1020</v>
      </c>
      <c r="HB5" s="2" t="s">
        <v>797</v>
      </c>
      <c r="HD5" s="13" t="s">
        <v>1021</v>
      </c>
      <c r="HE5" s="2" t="s">
        <v>736</v>
      </c>
      <c r="HG5" s="13" t="s">
        <v>1022</v>
      </c>
      <c r="HH5" s="2" t="s">
        <v>1074</v>
      </c>
      <c r="HJ5" s="15" t="s">
        <v>1023</v>
      </c>
      <c r="HK5" s="2" t="s">
        <v>729</v>
      </c>
      <c r="HM5" s="15" t="s">
        <v>1024</v>
      </c>
      <c r="HN5" s="2" t="s">
        <v>1103</v>
      </c>
      <c r="HP5" s="17" t="s">
        <v>1025</v>
      </c>
      <c r="HQ5" s="2" t="s">
        <v>769</v>
      </c>
      <c r="HS5" s="15" t="s">
        <v>661</v>
      </c>
      <c r="HT5" s="2" t="s">
        <v>1089</v>
      </c>
      <c r="HV5" s="13" t="s">
        <v>814</v>
      </c>
      <c r="HW5" s="13" t="s">
        <v>170</v>
      </c>
      <c r="HY5" s="13" t="s">
        <v>792</v>
      </c>
      <c r="HZ5" s="13" t="s">
        <v>822</v>
      </c>
      <c r="IB5" s="13" t="s">
        <v>829</v>
      </c>
      <c r="IC5" s="13" t="s">
        <v>830</v>
      </c>
      <c r="IE5" s="13" t="s">
        <v>814</v>
      </c>
      <c r="IF5" s="13" t="s">
        <v>170</v>
      </c>
      <c r="IH5" s="13" t="s">
        <v>814</v>
      </c>
      <c r="II5" s="13" t="s">
        <v>170</v>
      </c>
      <c r="IK5" s="13" t="s">
        <v>840</v>
      </c>
      <c r="IL5" s="13" t="s">
        <v>841</v>
      </c>
      <c r="IN5" s="13" t="s">
        <v>845</v>
      </c>
      <c r="IO5" s="13" t="s">
        <v>846</v>
      </c>
      <c r="IQ5" s="13" t="s">
        <v>852</v>
      </c>
      <c r="IR5" s="13" t="s">
        <v>853</v>
      </c>
      <c r="IT5" s="13" t="s">
        <v>890</v>
      </c>
      <c r="IU5" s="13" t="s">
        <v>891</v>
      </c>
      <c r="IW5" s="13" t="s">
        <v>877</v>
      </c>
      <c r="IX5" s="13" t="s">
        <v>878</v>
      </c>
      <c r="IZ5" s="13" t="s">
        <v>873</v>
      </c>
      <c r="JA5" s="13" t="s">
        <v>874</v>
      </c>
      <c r="JC5" s="13" t="s">
        <v>898</v>
      </c>
      <c r="JD5" s="13" t="s">
        <v>899</v>
      </c>
      <c r="JF5" s="13" t="s">
        <v>901</v>
      </c>
      <c r="JG5" s="13" t="s">
        <v>902</v>
      </c>
      <c r="JI5" s="13" t="s">
        <v>919</v>
      </c>
      <c r="JJ5" s="13" t="s">
        <v>920</v>
      </c>
      <c r="JL5" s="13" t="s">
        <v>919</v>
      </c>
      <c r="JM5" s="13" t="s">
        <v>920</v>
      </c>
      <c r="JO5" s="13" t="s">
        <v>929</v>
      </c>
      <c r="JP5" s="13" t="s">
        <v>930</v>
      </c>
      <c r="JR5" s="13" t="s">
        <v>936</v>
      </c>
      <c r="JS5" s="13" t="s">
        <v>937</v>
      </c>
      <c r="JU5" s="13" t="s">
        <v>941</v>
      </c>
      <c r="JV5" s="13" t="s">
        <v>942</v>
      </c>
      <c r="JX5" s="13" t="s">
        <v>953</v>
      </c>
      <c r="JY5" s="13" t="s">
        <v>958</v>
      </c>
      <c r="KA5" s="13" t="s">
        <v>1194</v>
      </c>
      <c r="KB5" s="13" t="s">
        <v>1195</v>
      </c>
      <c r="KD5" s="13" t="s">
        <v>969</v>
      </c>
      <c r="KE5" s="13" t="s">
        <v>973</v>
      </c>
      <c r="KG5" s="2" t="s">
        <v>962</v>
      </c>
      <c r="KH5" s="13" t="s">
        <v>966</v>
      </c>
      <c r="KJ5" s="13" t="s">
        <v>984</v>
      </c>
      <c r="KK5" s="13" t="s">
        <v>993</v>
      </c>
      <c r="KM5" s="13" t="s">
        <v>1120</v>
      </c>
      <c r="KN5" s="13" t="s">
        <v>1132</v>
      </c>
    </row>
    <row r="6" spans="2:300">
      <c r="B6" s="2" t="s">
        <v>129</v>
      </c>
      <c r="C6" s="2" t="s">
        <v>130</v>
      </c>
      <c r="E6" s="2" t="s">
        <v>4</v>
      </c>
      <c r="F6" s="2" t="s">
        <v>5</v>
      </c>
      <c r="H6" s="2" t="s">
        <v>34</v>
      </c>
      <c r="I6" s="2" t="s">
        <v>35</v>
      </c>
      <c r="K6" s="2" t="s">
        <v>48</v>
      </c>
      <c r="L6" s="2" t="s">
        <v>49</v>
      </c>
      <c r="N6" s="2" t="s">
        <v>64</v>
      </c>
      <c r="O6" s="2" t="s">
        <v>65</v>
      </c>
      <c r="Q6" s="2" t="s">
        <v>84</v>
      </c>
      <c r="R6" s="2" t="s">
        <v>85</v>
      </c>
      <c r="T6" s="2" t="s">
        <v>95</v>
      </c>
      <c r="U6" s="2" t="s">
        <v>96</v>
      </c>
      <c r="AC6" s="2" t="s">
        <v>110</v>
      </c>
      <c r="AD6" s="2" t="s">
        <v>111</v>
      </c>
      <c r="AF6" s="2" t="s">
        <v>122</v>
      </c>
      <c r="AG6" s="2" t="s">
        <v>123</v>
      </c>
      <c r="AI6" s="2" t="s">
        <v>141</v>
      </c>
      <c r="AJ6" s="2" t="s">
        <v>142</v>
      </c>
      <c r="AO6" s="2" t="s">
        <v>161</v>
      </c>
      <c r="AP6" s="2" t="s">
        <v>162</v>
      </c>
      <c r="AR6" s="2" t="s">
        <v>169</v>
      </c>
      <c r="AS6" s="2" t="s">
        <v>170</v>
      </c>
      <c r="AU6" s="6" t="s">
        <v>149</v>
      </c>
      <c r="AV6" s="6" t="s">
        <v>177</v>
      </c>
      <c r="AX6" s="13" t="s">
        <v>240</v>
      </c>
      <c r="AY6" s="13" t="s">
        <v>241</v>
      </c>
      <c r="BA6" s="13" t="s">
        <v>265</v>
      </c>
      <c r="BB6" s="13" t="s">
        <v>266</v>
      </c>
      <c r="BG6" s="2" t="s">
        <v>317</v>
      </c>
      <c r="BH6" s="2" t="s">
        <v>318</v>
      </c>
      <c r="BJ6" s="2" t="s">
        <v>313</v>
      </c>
      <c r="BK6" s="2" t="s">
        <v>314</v>
      </c>
      <c r="BM6" s="13" t="s">
        <v>355</v>
      </c>
      <c r="BN6" s="13" t="s">
        <v>356</v>
      </c>
      <c r="BS6" s="13" t="s">
        <v>377</v>
      </c>
      <c r="BT6" s="13" t="s">
        <v>378</v>
      </c>
      <c r="BV6" s="13" t="s">
        <v>397</v>
      </c>
      <c r="BW6" s="13" t="s">
        <v>398</v>
      </c>
      <c r="BY6" s="13" t="s">
        <v>409</v>
      </c>
      <c r="BZ6" s="13" t="s">
        <v>410</v>
      </c>
      <c r="CB6" s="13" t="s">
        <v>420</v>
      </c>
      <c r="CC6" s="13" t="s">
        <v>421</v>
      </c>
      <c r="CE6" s="13" t="s">
        <v>436</v>
      </c>
      <c r="CF6" s="13" t="s">
        <v>437</v>
      </c>
      <c r="CK6" s="13" t="s">
        <v>447</v>
      </c>
      <c r="CL6" s="13" t="s">
        <v>448</v>
      </c>
      <c r="CN6" s="13" t="s">
        <v>461</v>
      </c>
      <c r="CO6" s="13" t="s">
        <v>344</v>
      </c>
      <c r="CQ6" s="13" t="s">
        <v>453</v>
      </c>
      <c r="CR6" s="13" t="s">
        <v>454</v>
      </c>
      <c r="CT6" s="13" t="s">
        <v>474</v>
      </c>
      <c r="CU6" s="13" t="s">
        <v>475</v>
      </c>
      <c r="CZ6" s="13" t="s">
        <v>491</v>
      </c>
      <c r="DA6" s="13" t="s">
        <v>492</v>
      </c>
      <c r="DI6" s="13" t="s">
        <v>542</v>
      </c>
      <c r="DJ6" s="13" t="s">
        <v>512</v>
      </c>
      <c r="DU6" s="13" t="s">
        <v>574</v>
      </c>
      <c r="DV6" s="13" t="s">
        <v>575</v>
      </c>
      <c r="DX6" s="13" t="s">
        <v>580</v>
      </c>
      <c r="DY6" s="13" t="s">
        <v>581</v>
      </c>
      <c r="EG6" s="13" t="s">
        <v>609</v>
      </c>
      <c r="EH6" s="13" t="s">
        <v>610</v>
      </c>
      <c r="EJ6" s="13" t="s">
        <v>611</v>
      </c>
      <c r="EK6" s="13" t="s">
        <v>612</v>
      </c>
      <c r="EP6" s="13" t="s">
        <v>331</v>
      </c>
      <c r="EQ6" s="13" t="s">
        <v>332</v>
      </c>
      <c r="ES6" s="13" t="s">
        <v>625</v>
      </c>
      <c r="ET6" s="13" t="s">
        <v>626</v>
      </c>
      <c r="EY6" s="13" t="s">
        <v>644</v>
      </c>
      <c r="EZ6" s="13" t="s">
        <v>460</v>
      </c>
      <c r="FB6" s="13" t="s">
        <v>22</v>
      </c>
      <c r="FC6" s="13" t="s">
        <v>23</v>
      </c>
      <c r="FH6" s="13" t="s">
        <v>657</v>
      </c>
      <c r="FI6" s="13" t="s">
        <v>658</v>
      </c>
      <c r="FK6" s="13" t="s">
        <v>700</v>
      </c>
      <c r="FL6" s="13" t="s">
        <v>701</v>
      </c>
      <c r="FQ6" s="13" t="s">
        <v>717</v>
      </c>
      <c r="FR6" s="13" t="s">
        <v>718</v>
      </c>
      <c r="FT6" s="13" t="s">
        <v>724</v>
      </c>
      <c r="FU6" s="13" t="s">
        <v>725</v>
      </c>
      <c r="FZ6" s="13" t="s">
        <v>945</v>
      </c>
      <c r="GA6" s="13" t="s">
        <v>736</v>
      </c>
      <c r="GC6" s="13" t="s">
        <v>18</v>
      </c>
      <c r="GD6" s="13" t="s">
        <v>759</v>
      </c>
      <c r="GF6" s="13" t="s">
        <v>764</v>
      </c>
      <c r="GG6" s="13" t="s">
        <v>765</v>
      </c>
      <c r="GI6" s="13" t="s">
        <v>770</v>
      </c>
      <c r="GJ6" s="13" t="s">
        <v>771</v>
      </c>
      <c r="GO6" s="13" t="s">
        <v>798</v>
      </c>
      <c r="GP6" s="13" t="s">
        <v>799</v>
      </c>
      <c r="GR6" s="13" t="s">
        <v>317</v>
      </c>
      <c r="GS6" s="13" t="s">
        <v>318</v>
      </c>
      <c r="GU6" s="13" t="s">
        <v>1026</v>
      </c>
      <c r="GV6" s="13" t="s">
        <v>1067</v>
      </c>
      <c r="GX6" s="15" t="s">
        <v>1027</v>
      </c>
      <c r="GY6" s="2" t="s">
        <v>1069</v>
      </c>
      <c r="HA6" s="13" t="s">
        <v>1028</v>
      </c>
      <c r="HB6" s="2" t="s">
        <v>801</v>
      </c>
      <c r="HD6" s="13" t="s">
        <v>1029</v>
      </c>
      <c r="HE6" s="2" t="s">
        <v>734</v>
      </c>
      <c r="HG6" s="13" t="s">
        <v>1030</v>
      </c>
      <c r="HH6" s="2" t="s">
        <v>1075</v>
      </c>
      <c r="HJ6" s="15" t="s">
        <v>1031</v>
      </c>
      <c r="HK6" s="2" t="s">
        <v>1081</v>
      </c>
      <c r="HP6" s="17" t="s">
        <v>1032</v>
      </c>
      <c r="HQ6" s="2" t="s">
        <v>771</v>
      </c>
      <c r="HS6" s="15" t="s">
        <v>1033</v>
      </c>
      <c r="HT6" s="2" t="s">
        <v>1090</v>
      </c>
      <c r="HV6" s="13" t="s">
        <v>149</v>
      </c>
      <c r="HW6" s="13" t="s">
        <v>815</v>
      </c>
      <c r="HY6" s="13" t="s">
        <v>823</v>
      </c>
      <c r="HZ6" s="13" t="s">
        <v>791</v>
      </c>
      <c r="IB6" s="13" t="s">
        <v>735</v>
      </c>
      <c r="IC6" s="13" t="s">
        <v>831</v>
      </c>
      <c r="IN6" s="13" t="s">
        <v>847</v>
      </c>
      <c r="IO6" s="13" t="s">
        <v>848</v>
      </c>
      <c r="IQ6" s="13" t="s">
        <v>854</v>
      </c>
      <c r="IR6" s="13" t="s">
        <v>855</v>
      </c>
      <c r="IT6" s="13" t="s">
        <v>892</v>
      </c>
      <c r="IU6" s="13" t="s">
        <v>893</v>
      </c>
      <c r="IW6" s="13" t="s">
        <v>879</v>
      </c>
      <c r="IX6" s="13" t="s">
        <v>880</v>
      </c>
      <c r="JF6" s="13" t="s">
        <v>491</v>
      </c>
      <c r="JG6" s="13" t="s">
        <v>903</v>
      </c>
      <c r="JL6" s="13" t="s">
        <v>922</v>
      </c>
      <c r="JM6" s="13" t="s">
        <v>923</v>
      </c>
      <c r="JO6" s="13" t="s">
        <v>931</v>
      </c>
      <c r="JP6" s="13" t="s">
        <v>932</v>
      </c>
      <c r="JR6" s="13" t="s">
        <v>317</v>
      </c>
      <c r="JS6" s="13" t="s">
        <v>318</v>
      </c>
      <c r="JX6" s="13" t="s">
        <v>954</v>
      </c>
      <c r="JY6" s="13" t="s">
        <v>959</v>
      </c>
      <c r="KA6" s="13" t="s">
        <v>1196</v>
      </c>
      <c r="KB6" s="13" t="s">
        <v>1197</v>
      </c>
      <c r="KD6" s="13" t="s">
        <v>970</v>
      </c>
      <c r="KE6" s="13" t="s">
        <v>972</v>
      </c>
      <c r="KG6" s="2" t="s">
        <v>963</v>
      </c>
      <c r="KH6" s="13" t="s">
        <v>967</v>
      </c>
      <c r="KJ6" s="13" t="s">
        <v>985</v>
      </c>
      <c r="KK6" s="13" t="s">
        <v>959</v>
      </c>
      <c r="KM6" s="13" t="s">
        <v>369</v>
      </c>
      <c r="KN6" s="13" t="s">
        <v>1133</v>
      </c>
    </row>
    <row r="7" spans="2:300">
      <c r="B7" s="2" t="s">
        <v>131</v>
      </c>
      <c r="C7" s="2" t="s">
        <v>132</v>
      </c>
      <c r="E7" s="2" t="s">
        <v>6</v>
      </c>
      <c r="F7" s="2" t="s">
        <v>7</v>
      </c>
      <c r="H7" s="2" t="s">
        <v>36</v>
      </c>
      <c r="I7" s="2" t="s">
        <v>37</v>
      </c>
      <c r="K7" s="2" t="s">
        <v>50</v>
      </c>
      <c r="L7" s="2" t="s">
        <v>51</v>
      </c>
      <c r="N7" s="2" t="s">
        <v>66</v>
      </c>
      <c r="O7" s="2" t="s">
        <v>67</v>
      </c>
      <c r="Q7" s="2" t="s">
        <v>86</v>
      </c>
      <c r="R7" s="2" t="s">
        <v>87</v>
      </c>
      <c r="AC7" s="2" t="s">
        <v>112</v>
      </c>
      <c r="AD7" s="2" t="s">
        <v>113</v>
      </c>
      <c r="AF7" s="2" t="s">
        <v>124</v>
      </c>
      <c r="AG7" s="2" t="s">
        <v>125</v>
      </c>
      <c r="AI7" s="2" t="s">
        <v>143</v>
      </c>
      <c r="AJ7" s="2" t="s">
        <v>144</v>
      </c>
      <c r="AR7" s="2" t="s">
        <v>171</v>
      </c>
      <c r="AS7" s="2" t="s">
        <v>172</v>
      </c>
      <c r="AU7" s="6" t="s">
        <v>178</v>
      </c>
      <c r="AV7" s="6" t="s">
        <v>179</v>
      </c>
      <c r="AX7" s="13" t="s">
        <v>242</v>
      </c>
      <c r="AY7" s="13" t="s">
        <v>243</v>
      </c>
      <c r="BA7" s="13" t="s">
        <v>267</v>
      </c>
      <c r="BB7" s="13" t="s">
        <v>268</v>
      </c>
      <c r="BG7" s="2" t="s">
        <v>319</v>
      </c>
      <c r="BH7" s="2" t="s">
        <v>320</v>
      </c>
      <c r="BJ7" s="2" t="s">
        <v>315</v>
      </c>
      <c r="BK7" s="2" t="s">
        <v>316</v>
      </c>
      <c r="BM7" s="13" t="s">
        <v>357</v>
      </c>
      <c r="BN7" s="13" t="s">
        <v>358</v>
      </c>
      <c r="BS7" s="13" t="s">
        <v>379</v>
      </c>
      <c r="BT7" s="13" t="s">
        <v>380</v>
      </c>
      <c r="BV7" s="13" t="s">
        <v>399</v>
      </c>
      <c r="BW7" s="13" t="s">
        <v>400</v>
      </c>
      <c r="BY7" s="13" t="s">
        <v>411</v>
      </c>
      <c r="BZ7" s="13" t="s">
        <v>412</v>
      </c>
      <c r="CB7" s="13" t="s">
        <v>422</v>
      </c>
      <c r="CC7" s="13" t="s">
        <v>423</v>
      </c>
      <c r="CE7" s="13" t="s">
        <v>438</v>
      </c>
      <c r="CF7" s="13" t="s">
        <v>439</v>
      </c>
      <c r="CN7" s="13" t="s">
        <v>462</v>
      </c>
      <c r="CO7" s="13" t="s">
        <v>463</v>
      </c>
      <c r="CQ7" s="13" t="s">
        <v>455</v>
      </c>
      <c r="CR7" s="13" t="s">
        <v>456</v>
      </c>
      <c r="CT7" s="13" t="s">
        <v>476</v>
      </c>
      <c r="CU7" s="13" t="s">
        <v>477</v>
      </c>
      <c r="CZ7" s="13" t="s">
        <v>258</v>
      </c>
      <c r="DA7" s="13" t="s">
        <v>259</v>
      </c>
      <c r="DI7" s="13" t="s">
        <v>543</v>
      </c>
      <c r="DJ7" s="13" t="s">
        <v>544</v>
      </c>
      <c r="DU7" s="13" t="s">
        <v>576</v>
      </c>
      <c r="DV7" s="13" t="s">
        <v>577</v>
      </c>
      <c r="EJ7" s="13" t="s">
        <v>613</v>
      </c>
      <c r="EK7" s="13" t="s">
        <v>614</v>
      </c>
      <c r="EP7" s="13" t="s">
        <v>246</v>
      </c>
      <c r="EQ7" s="13" t="s">
        <v>247</v>
      </c>
      <c r="FB7" s="13" t="s">
        <v>649</v>
      </c>
      <c r="FC7" s="13" t="s">
        <v>650</v>
      </c>
      <c r="FH7" s="13" t="s">
        <v>659</v>
      </c>
      <c r="FI7" s="13" t="s">
        <v>660</v>
      </c>
      <c r="FK7" s="13" t="s">
        <v>702</v>
      </c>
      <c r="FL7" s="13" t="s">
        <v>703</v>
      </c>
      <c r="FZ7" s="13" t="s">
        <v>737</v>
      </c>
      <c r="GA7" s="13" t="s">
        <v>738</v>
      </c>
      <c r="GI7" s="13" t="s">
        <v>772</v>
      </c>
      <c r="GJ7" s="13" t="s">
        <v>773</v>
      </c>
      <c r="GO7" s="13" t="s">
        <v>800</v>
      </c>
      <c r="GP7" s="13" t="s">
        <v>801</v>
      </c>
      <c r="GR7" s="13" t="s">
        <v>804</v>
      </c>
      <c r="GS7" s="13" t="s">
        <v>805</v>
      </c>
      <c r="GU7" s="18"/>
      <c r="GV7" s="18"/>
      <c r="HA7" s="13" t="s">
        <v>1034</v>
      </c>
      <c r="HB7" s="2" t="s">
        <v>1102</v>
      </c>
      <c r="HD7" s="13" t="s">
        <v>1035</v>
      </c>
      <c r="HE7" s="2" t="s">
        <v>1071</v>
      </c>
      <c r="HG7" s="13" t="s">
        <v>1036</v>
      </c>
      <c r="HH7" s="2" t="s">
        <v>1076</v>
      </c>
      <c r="HJ7" s="15" t="s">
        <v>1037</v>
      </c>
      <c r="HK7" s="2" t="s">
        <v>1082</v>
      </c>
      <c r="HP7" s="17" t="s">
        <v>1038</v>
      </c>
      <c r="HQ7" s="2" t="s">
        <v>1093</v>
      </c>
      <c r="HS7" s="15" t="s">
        <v>666</v>
      </c>
      <c r="HT7" s="2" t="s">
        <v>1091</v>
      </c>
      <c r="HV7" s="13" t="s">
        <v>615</v>
      </c>
      <c r="HW7" s="13" t="s">
        <v>302</v>
      </c>
      <c r="HY7" s="13" t="s">
        <v>824</v>
      </c>
      <c r="HZ7" s="13" t="s">
        <v>825</v>
      </c>
      <c r="IB7" s="13" t="s">
        <v>733</v>
      </c>
      <c r="IC7" s="13" t="s">
        <v>832</v>
      </c>
      <c r="IQ7" s="13" t="s">
        <v>856</v>
      </c>
      <c r="IR7" s="13" t="s">
        <v>857</v>
      </c>
      <c r="IW7" s="13" t="s">
        <v>881</v>
      </c>
      <c r="IX7" s="13" t="s">
        <v>882</v>
      </c>
      <c r="JF7" s="13" t="s">
        <v>904</v>
      </c>
      <c r="JG7" s="13" t="s">
        <v>905</v>
      </c>
      <c r="JL7" s="13" t="s">
        <v>924</v>
      </c>
      <c r="JM7" s="13" t="s">
        <v>925</v>
      </c>
      <c r="JX7" s="13" t="s">
        <v>955</v>
      </c>
      <c r="JY7" s="13" t="s">
        <v>961</v>
      </c>
      <c r="KJ7" s="13" t="s">
        <v>986</v>
      </c>
      <c r="KK7" s="13" t="s">
        <v>994</v>
      </c>
      <c r="KM7" s="13" t="s">
        <v>1121</v>
      </c>
      <c r="KN7" s="13" t="s">
        <v>1134</v>
      </c>
    </row>
    <row r="8" spans="2:300">
      <c r="B8" s="2" t="s">
        <v>133</v>
      </c>
      <c r="C8" s="2" t="s">
        <v>134</v>
      </c>
      <c r="E8" s="2" t="s">
        <v>8</v>
      </c>
      <c r="F8" s="2" t="s">
        <v>9</v>
      </c>
      <c r="H8" s="2" t="s">
        <v>38</v>
      </c>
      <c r="I8" s="2" t="s">
        <v>39</v>
      </c>
      <c r="K8" s="2" t="s">
        <v>52</v>
      </c>
      <c r="L8" s="2" t="s">
        <v>53</v>
      </c>
      <c r="N8" s="2" t="s">
        <v>68</v>
      </c>
      <c r="O8" s="2" t="s">
        <v>69</v>
      </c>
      <c r="Q8" s="2" t="s">
        <v>88</v>
      </c>
      <c r="R8" s="2" t="s">
        <v>89</v>
      </c>
      <c r="AC8" s="2" t="s">
        <v>114</v>
      </c>
      <c r="AD8" s="2" t="s">
        <v>115</v>
      </c>
      <c r="AI8" s="2" t="s">
        <v>145</v>
      </c>
      <c r="AJ8" s="2" t="s">
        <v>146</v>
      </c>
      <c r="AR8" s="2" t="s">
        <v>48</v>
      </c>
      <c r="AS8" s="2" t="s">
        <v>49</v>
      </c>
      <c r="AU8" s="6" t="s">
        <v>180</v>
      </c>
      <c r="AV8" s="6" t="s">
        <v>181</v>
      </c>
      <c r="AX8" s="13" t="s">
        <v>244</v>
      </c>
      <c r="AY8" s="13" t="s">
        <v>245</v>
      </c>
      <c r="BA8" s="13" t="s">
        <v>269</v>
      </c>
      <c r="BB8" s="13" t="s">
        <v>270</v>
      </c>
      <c r="BG8" s="2" t="s">
        <v>321</v>
      </c>
      <c r="BH8" s="2" t="s">
        <v>322</v>
      </c>
      <c r="BM8" s="13" t="s">
        <v>359</v>
      </c>
      <c r="BN8" s="13" t="s">
        <v>360</v>
      </c>
      <c r="BS8" s="13" t="s">
        <v>381</v>
      </c>
      <c r="BT8" s="13" t="s">
        <v>382</v>
      </c>
      <c r="BV8" s="13" t="s">
        <v>401</v>
      </c>
      <c r="BW8" s="13" t="s">
        <v>402</v>
      </c>
      <c r="BY8" s="13" t="s">
        <v>413</v>
      </c>
      <c r="BZ8" s="13" t="s">
        <v>414</v>
      </c>
      <c r="CB8" s="13" t="s">
        <v>424</v>
      </c>
      <c r="CC8" s="13" t="s">
        <v>425</v>
      </c>
      <c r="CE8" s="13" t="s">
        <v>440</v>
      </c>
      <c r="CF8" s="13" t="s">
        <v>441</v>
      </c>
      <c r="CN8" s="13" t="s">
        <v>464</v>
      </c>
      <c r="CO8" s="13" t="s">
        <v>346</v>
      </c>
      <c r="CT8" s="13" t="s">
        <v>478</v>
      </c>
      <c r="CU8" s="13" t="s">
        <v>479</v>
      </c>
      <c r="CZ8" s="13" t="s">
        <v>493</v>
      </c>
      <c r="DA8" s="13" t="s">
        <v>494</v>
      </c>
      <c r="DI8" s="13" t="s">
        <v>545</v>
      </c>
      <c r="DJ8" s="13" t="s">
        <v>514</v>
      </c>
      <c r="DU8" s="13" t="s">
        <v>578</v>
      </c>
      <c r="DV8" s="13" t="s">
        <v>579</v>
      </c>
      <c r="EJ8" s="13" t="s">
        <v>615</v>
      </c>
      <c r="EK8" s="13" t="s">
        <v>302</v>
      </c>
      <c r="EP8" s="13" t="s">
        <v>242</v>
      </c>
      <c r="EQ8" s="13" t="s">
        <v>630</v>
      </c>
      <c r="FH8" s="13" t="s">
        <v>661</v>
      </c>
      <c r="FI8" s="13" t="s">
        <v>662</v>
      </c>
      <c r="FK8" s="13" t="s">
        <v>704</v>
      </c>
      <c r="FL8" s="13" t="s">
        <v>705</v>
      </c>
      <c r="FZ8" s="13" t="s">
        <v>946</v>
      </c>
      <c r="GA8" s="13" t="s">
        <v>739</v>
      </c>
      <c r="GI8" s="13" t="s">
        <v>774</v>
      </c>
      <c r="GJ8" s="13" t="s">
        <v>775</v>
      </c>
      <c r="GO8" s="13" t="s">
        <v>606</v>
      </c>
      <c r="GP8" s="13" t="s">
        <v>607</v>
      </c>
      <c r="GR8" s="13" t="s">
        <v>806</v>
      </c>
      <c r="GS8" s="13" t="s">
        <v>807</v>
      </c>
      <c r="HA8" s="13" t="s">
        <v>1039</v>
      </c>
      <c r="HB8" s="2" t="s">
        <v>607</v>
      </c>
      <c r="HD8" s="13" t="s">
        <v>1040</v>
      </c>
      <c r="HE8" s="2" t="s">
        <v>1072</v>
      </c>
      <c r="HG8" s="13" t="s">
        <v>1041</v>
      </c>
      <c r="HH8" s="2" t="s">
        <v>1078</v>
      </c>
      <c r="HJ8" s="15" t="s">
        <v>1042</v>
      </c>
      <c r="HK8" s="2" t="s">
        <v>1083</v>
      </c>
      <c r="HP8" s="17" t="s">
        <v>1043</v>
      </c>
      <c r="HQ8" s="2" t="s">
        <v>1098</v>
      </c>
      <c r="HS8" s="15" t="s">
        <v>26</v>
      </c>
      <c r="HT8" s="2" t="s">
        <v>670</v>
      </c>
      <c r="HV8" s="13" t="s">
        <v>1111</v>
      </c>
      <c r="HW8" s="13" t="s">
        <v>816</v>
      </c>
      <c r="IQ8" s="13" t="s">
        <v>858</v>
      </c>
      <c r="IR8" s="13" t="s">
        <v>859</v>
      </c>
      <c r="IW8" s="13" t="s">
        <v>883</v>
      </c>
      <c r="IX8" s="13" t="s">
        <v>884</v>
      </c>
      <c r="JF8" s="13" t="s">
        <v>906</v>
      </c>
      <c r="JG8" s="13" t="s">
        <v>907</v>
      </c>
      <c r="JX8" s="13" t="s">
        <v>956</v>
      </c>
      <c r="JY8" s="13" t="s">
        <v>960</v>
      </c>
      <c r="KJ8" s="13" t="s">
        <v>987</v>
      </c>
      <c r="KK8" s="13" t="s">
        <v>960</v>
      </c>
      <c r="KM8" s="13" t="s">
        <v>1122</v>
      </c>
      <c r="KN8" s="13" t="s">
        <v>1135</v>
      </c>
    </row>
    <row r="9" spans="2:300">
      <c r="B9" s="2" t="s">
        <v>135</v>
      </c>
      <c r="C9" s="2" t="s">
        <v>136</v>
      </c>
      <c r="E9" s="2" t="s">
        <v>10</v>
      </c>
      <c r="F9" s="2" t="s">
        <v>11</v>
      </c>
      <c r="H9" s="2" t="s">
        <v>40</v>
      </c>
      <c r="I9" s="2" t="s">
        <v>41</v>
      </c>
      <c r="K9" s="2" t="s">
        <v>54</v>
      </c>
      <c r="L9" s="2" t="s">
        <v>55</v>
      </c>
      <c r="N9" s="2" t="s">
        <v>70</v>
      </c>
      <c r="O9" s="2" t="s">
        <v>71</v>
      </c>
      <c r="AC9" s="2" t="s">
        <v>116</v>
      </c>
      <c r="AD9" s="2" t="s">
        <v>117</v>
      </c>
      <c r="AI9" s="2" t="s">
        <v>147</v>
      </c>
      <c r="AJ9" s="2" t="s">
        <v>148</v>
      </c>
      <c r="AU9" s="6" t="s">
        <v>182</v>
      </c>
      <c r="AV9" s="6" t="s">
        <v>183</v>
      </c>
      <c r="AX9" s="13" t="s">
        <v>246</v>
      </c>
      <c r="AY9" s="13" t="s">
        <v>247</v>
      </c>
      <c r="BA9" s="13" t="s">
        <v>271</v>
      </c>
      <c r="BB9" s="13" t="s">
        <v>272</v>
      </c>
      <c r="BG9" s="2" t="s">
        <v>246</v>
      </c>
      <c r="BH9" s="2" t="s">
        <v>323</v>
      </c>
      <c r="BM9" s="13" t="s">
        <v>361</v>
      </c>
      <c r="BN9" s="13" t="s">
        <v>362</v>
      </c>
      <c r="BS9" s="13" t="s">
        <v>383</v>
      </c>
      <c r="BT9" s="13" t="s">
        <v>384</v>
      </c>
      <c r="CB9" s="13" t="s">
        <v>277</v>
      </c>
      <c r="CC9" s="13" t="s">
        <v>426</v>
      </c>
      <c r="CE9" s="13" t="s">
        <v>442</v>
      </c>
      <c r="CF9" s="13" t="s">
        <v>443</v>
      </c>
      <c r="CN9" s="13" t="s">
        <v>465</v>
      </c>
      <c r="CO9" s="13" t="s">
        <v>452</v>
      </c>
      <c r="CZ9" s="13" t="s">
        <v>495</v>
      </c>
      <c r="DA9" s="13" t="s">
        <v>496</v>
      </c>
      <c r="DI9" s="13" t="s">
        <v>546</v>
      </c>
      <c r="DJ9" s="13" t="s">
        <v>547</v>
      </c>
      <c r="EP9" s="13" t="s">
        <v>291</v>
      </c>
      <c r="EQ9" s="13" t="s">
        <v>631</v>
      </c>
      <c r="FH9" s="13" t="s">
        <v>663</v>
      </c>
      <c r="FI9" s="13" t="s">
        <v>664</v>
      </c>
      <c r="FK9" s="13" t="s">
        <v>706</v>
      </c>
      <c r="FL9" s="13" t="s">
        <v>707</v>
      </c>
      <c r="FZ9" s="13" t="s">
        <v>948</v>
      </c>
      <c r="GA9" s="13" t="s">
        <v>740</v>
      </c>
      <c r="GI9" s="13" t="s">
        <v>776</v>
      </c>
      <c r="GJ9" s="13" t="s">
        <v>777</v>
      </c>
      <c r="GR9" s="13" t="s">
        <v>808</v>
      </c>
      <c r="GS9" s="13" t="s">
        <v>809</v>
      </c>
      <c r="HD9" s="2" t="s">
        <v>1281</v>
      </c>
      <c r="HE9" s="2" t="s">
        <v>1282</v>
      </c>
      <c r="HG9" s="13" t="s">
        <v>1044</v>
      </c>
      <c r="HH9" s="2" t="s">
        <v>1079</v>
      </c>
      <c r="HJ9" s="15" t="s">
        <v>1045</v>
      </c>
      <c r="HK9" s="2" t="s">
        <v>1084</v>
      </c>
      <c r="HP9" s="17" t="s">
        <v>1046</v>
      </c>
      <c r="HQ9" s="2" t="s">
        <v>1099</v>
      </c>
      <c r="HS9" s="15" t="s">
        <v>1047</v>
      </c>
      <c r="HT9" s="2" t="s">
        <v>1092</v>
      </c>
      <c r="HV9" s="13" t="s">
        <v>1112</v>
      </c>
      <c r="HW9" s="13" t="s">
        <v>1113</v>
      </c>
      <c r="IQ9" s="13" t="s">
        <v>860</v>
      </c>
      <c r="IR9" s="13" t="s">
        <v>861</v>
      </c>
      <c r="IW9" s="13" t="s">
        <v>885</v>
      </c>
      <c r="IX9" s="13" t="s">
        <v>886</v>
      </c>
      <c r="JF9" s="13" t="s">
        <v>908</v>
      </c>
      <c r="JG9" s="13" t="s">
        <v>909</v>
      </c>
      <c r="JX9" s="13" t="s">
        <v>980</v>
      </c>
      <c r="JY9" s="13" t="s">
        <v>979</v>
      </c>
      <c r="KJ9" s="13" t="s">
        <v>988</v>
      </c>
      <c r="KK9" s="13" t="s">
        <v>995</v>
      </c>
      <c r="KM9" s="13" t="s">
        <v>1142</v>
      </c>
      <c r="KN9" s="13" t="s">
        <v>1144</v>
      </c>
    </row>
    <row r="10" spans="2:300">
      <c r="B10" s="2" t="s">
        <v>137</v>
      </c>
      <c r="C10" s="2" t="s">
        <v>138</v>
      </c>
      <c r="E10" s="2" t="s">
        <v>12</v>
      </c>
      <c r="F10" s="2" t="s">
        <v>13</v>
      </c>
      <c r="K10" s="2" t="s">
        <v>56</v>
      </c>
      <c r="L10" s="2" t="s">
        <v>57</v>
      </c>
      <c r="N10" s="2" t="s">
        <v>72</v>
      </c>
      <c r="O10" s="2" t="s">
        <v>73</v>
      </c>
      <c r="AI10" s="2" t="s">
        <v>149</v>
      </c>
      <c r="AJ10" s="2" t="s">
        <v>150</v>
      </c>
      <c r="AU10" s="6" t="s">
        <v>184</v>
      </c>
      <c r="AV10" s="6" t="s">
        <v>185</v>
      </c>
      <c r="AX10" s="13" t="s">
        <v>248</v>
      </c>
      <c r="AY10" s="13" t="s">
        <v>249</v>
      </c>
      <c r="BA10" s="13" t="s">
        <v>273</v>
      </c>
      <c r="BB10" s="13" t="s">
        <v>274</v>
      </c>
      <c r="BG10" s="2" t="s">
        <v>324</v>
      </c>
      <c r="BH10" s="2" t="s">
        <v>325</v>
      </c>
      <c r="BM10" s="13" t="s">
        <v>363</v>
      </c>
      <c r="BN10" s="13" t="s">
        <v>364</v>
      </c>
      <c r="BS10" s="13" t="s">
        <v>385</v>
      </c>
      <c r="BT10" s="13" t="s">
        <v>386</v>
      </c>
      <c r="CB10" s="13" t="s">
        <v>427</v>
      </c>
      <c r="CC10" s="13" t="s">
        <v>428</v>
      </c>
      <c r="CN10" s="13" t="s">
        <v>466</v>
      </c>
      <c r="CO10" s="13" t="s">
        <v>467</v>
      </c>
      <c r="CZ10" s="13" t="s">
        <v>497</v>
      </c>
      <c r="DA10" s="13" t="s">
        <v>498</v>
      </c>
      <c r="DI10" s="13" t="s">
        <v>548</v>
      </c>
      <c r="DJ10" s="13" t="s">
        <v>549</v>
      </c>
      <c r="EP10" s="13" t="s">
        <v>632</v>
      </c>
      <c r="EQ10" s="13" t="s">
        <v>633</v>
      </c>
      <c r="FH10" s="13" t="s">
        <v>550</v>
      </c>
      <c r="FI10" s="13" t="s">
        <v>665</v>
      </c>
      <c r="FK10" s="13" t="s">
        <v>708</v>
      </c>
      <c r="FL10" s="13" t="s">
        <v>709</v>
      </c>
      <c r="FZ10" s="13" t="s">
        <v>741</v>
      </c>
      <c r="GA10" s="13" t="s">
        <v>742</v>
      </c>
      <c r="GI10" s="13" t="s">
        <v>778</v>
      </c>
      <c r="GJ10" s="13" t="s">
        <v>779</v>
      </c>
      <c r="HG10" s="13" t="s">
        <v>1048</v>
      </c>
      <c r="HH10" s="2" t="s">
        <v>1077</v>
      </c>
      <c r="HJ10" s="15" t="s">
        <v>1049</v>
      </c>
      <c r="HK10" s="2" t="s">
        <v>1085</v>
      </c>
      <c r="HP10" s="17" t="s">
        <v>1050</v>
      </c>
      <c r="HQ10" s="2" t="s">
        <v>787</v>
      </c>
      <c r="HS10" s="15" t="s">
        <v>685</v>
      </c>
      <c r="HT10" s="2" t="s">
        <v>686</v>
      </c>
      <c r="HV10" s="13" t="s">
        <v>613</v>
      </c>
      <c r="HW10" s="13" t="s">
        <v>614</v>
      </c>
      <c r="IQ10" s="13" t="s">
        <v>862</v>
      </c>
      <c r="IR10" s="13" t="s">
        <v>863</v>
      </c>
      <c r="IW10" s="13" t="s">
        <v>887</v>
      </c>
      <c r="IX10" s="13" t="s">
        <v>888</v>
      </c>
      <c r="JF10" s="13" t="s">
        <v>910</v>
      </c>
      <c r="JG10" s="13" t="s">
        <v>911</v>
      </c>
      <c r="JX10" s="13" t="s">
        <v>1172</v>
      </c>
      <c r="JY10" s="13" t="s">
        <v>981</v>
      </c>
      <c r="KJ10" s="13" t="s">
        <v>989</v>
      </c>
      <c r="KK10" s="13" t="s">
        <v>996</v>
      </c>
      <c r="KM10" s="13" t="s">
        <v>1143</v>
      </c>
      <c r="KN10" s="13" t="s">
        <v>1145</v>
      </c>
    </row>
    <row r="11" spans="2:300">
      <c r="E11" s="2" t="s">
        <v>14</v>
      </c>
      <c r="F11" s="2" t="s">
        <v>15</v>
      </c>
      <c r="N11" s="2" t="s">
        <v>74</v>
      </c>
      <c r="O11" s="2" t="s">
        <v>75</v>
      </c>
      <c r="AU11" s="7" t="s">
        <v>186</v>
      </c>
      <c r="AV11" s="7" t="s">
        <v>187</v>
      </c>
      <c r="AX11" s="13" t="s">
        <v>250</v>
      </c>
      <c r="AY11" s="13" t="s">
        <v>251</v>
      </c>
      <c r="BA11" s="13" t="s">
        <v>275</v>
      </c>
      <c r="BB11" s="13" t="s">
        <v>276</v>
      </c>
      <c r="BG11" s="2" t="s">
        <v>326</v>
      </c>
      <c r="BH11" s="2" t="s">
        <v>327</v>
      </c>
      <c r="BS11" s="13" t="s">
        <v>387</v>
      </c>
      <c r="BT11" s="13" t="s">
        <v>388</v>
      </c>
      <c r="CZ11" s="13" t="s">
        <v>499</v>
      </c>
      <c r="DA11" s="13" t="s">
        <v>500</v>
      </c>
      <c r="DI11" s="13" t="s">
        <v>550</v>
      </c>
      <c r="DJ11" s="13" t="s">
        <v>551</v>
      </c>
      <c r="EP11" s="13" t="s">
        <v>634</v>
      </c>
      <c r="EQ11" s="13" t="s">
        <v>635</v>
      </c>
      <c r="FH11" s="13" t="s">
        <v>666</v>
      </c>
      <c r="FI11" s="13" t="s">
        <v>667</v>
      </c>
      <c r="FZ11" s="13" t="s">
        <v>947</v>
      </c>
      <c r="GA11" s="13" t="s">
        <v>743</v>
      </c>
      <c r="GI11" s="13" t="s">
        <v>780</v>
      </c>
      <c r="GJ11" s="13" t="s">
        <v>781</v>
      </c>
      <c r="HG11" s="13" t="s">
        <v>1051</v>
      </c>
      <c r="HH11" s="2" t="s">
        <v>1080</v>
      </c>
      <c r="HJ11" s="15" t="s">
        <v>1052</v>
      </c>
      <c r="HK11" s="2" t="s">
        <v>1086</v>
      </c>
      <c r="HP11" s="17" t="s">
        <v>1053</v>
      </c>
      <c r="HQ11" s="2" t="s">
        <v>1094</v>
      </c>
      <c r="HS11" s="15" t="s">
        <v>691</v>
      </c>
      <c r="HT11" s="2" t="s">
        <v>692</v>
      </c>
      <c r="HV11" s="13" t="s">
        <v>817</v>
      </c>
      <c r="HW11" s="13" t="s">
        <v>818</v>
      </c>
      <c r="IQ11" s="13" t="s">
        <v>864</v>
      </c>
      <c r="IR11" s="13" t="s">
        <v>865</v>
      </c>
      <c r="JF11" s="13" t="s">
        <v>912</v>
      </c>
      <c r="JG11" s="13" t="s">
        <v>913</v>
      </c>
      <c r="JX11" s="13" t="s">
        <v>1000</v>
      </c>
      <c r="JY11" s="13" t="s">
        <v>1001</v>
      </c>
      <c r="KJ11" s="13" t="s">
        <v>990</v>
      </c>
      <c r="KK11" s="13" t="s">
        <v>997</v>
      </c>
      <c r="KM11" s="13" t="s">
        <v>1123</v>
      </c>
      <c r="KN11" s="13" t="s">
        <v>1136</v>
      </c>
    </row>
    <row r="12" spans="2:300">
      <c r="E12" s="2" t="s">
        <v>16</v>
      </c>
      <c r="F12" s="2" t="s">
        <v>17</v>
      </c>
      <c r="N12" s="2" t="s">
        <v>76</v>
      </c>
      <c r="O12" s="2" t="s">
        <v>77</v>
      </c>
      <c r="AU12" s="6" t="s">
        <v>188</v>
      </c>
      <c r="AV12" s="6" t="s">
        <v>189</v>
      </c>
      <c r="AX12" s="13" t="s">
        <v>252</v>
      </c>
      <c r="AY12" s="13" t="s">
        <v>253</v>
      </c>
      <c r="BA12" s="13" t="s">
        <v>277</v>
      </c>
      <c r="BB12" s="13" t="s">
        <v>278</v>
      </c>
      <c r="BG12" s="2" t="s">
        <v>267</v>
      </c>
      <c r="BH12" s="2" t="s">
        <v>328</v>
      </c>
      <c r="BS12" s="13" t="s">
        <v>389</v>
      </c>
      <c r="BT12" s="13" t="s">
        <v>390</v>
      </c>
      <c r="CZ12" s="13" t="s">
        <v>501</v>
      </c>
      <c r="DA12" s="13" t="s">
        <v>502</v>
      </c>
      <c r="DI12" s="13" t="s">
        <v>552</v>
      </c>
      <c r="DJ12" s="13" t="s">
        <v>553</v>
      </c>
      <c r="FH12" s="13" t="s">
        <v>668</v>
      </c>
      <c r="FI12" s="13" t="s">
        <v>669</v>
      </c>
      <c r="FZ12" s="13" t="s">
        <v>744</v>
      </c>
      <c r="GA12" s="13" t="s">
        <v>745</v>
      </c>
      <c r="GI12" s="13" t="s">
        <v>782</v>
      </c>
      <c r="GJ12" s="13" t="s">
        <v>783</v>
      </c>
      <c r="HJ12" s="15" t="s">
        <v>677</v>
      </c>
      <c r="HK12" s="2" t="s">
        <v>1087</v>
      </c>
      <c r="HP12" s="17" t="s">
        <v>1054</v>
      </c>
      <c r="HQ12" s="2" t="s">
        <v>1095</v>
      </c>
      <c r="HS12" s="15" t="s">
        <v>671</v>
      </c>
      <c r="HT12" s="2" t="s">
        <v>672</v>
      </c>
      <c r="JF12" s="13" t="s">
        <v>914</v>
      </c>
      <c r="JG12" s="13" t="s">
        <v>915</v>
      </c>
      <c r="KJ12" s="13" t="s">
        <v>991</v>
      </c>
      <c r="KK12" s="13" t="s">
        <v>998</v>
      </c>
      <c r="KM12" s="13" t="s">
        <v>1124</v>
      </c>
      <c r="KN12" s="13" t="s">
        <v>1137</v>
      </c>
    </row>
    <row r="13" spans="2:300">
      <c r="E13" s="2" t="s">
        <v>18</v>
      </c>
      <c r="F13" s="2" t="s">
        <v>19</v>
      </c>
      <c r="N13" s="2" t="s">
        <v>78</v>
      </c>
      <c r="O13" s="2" t="s">
        <v>79</v>
      </c>
      <c r="AU13" s="6" t="s">
        <v>190</v>
      </c>
      <c r="AV13" s="6" t="s">
        <v>191</v>
      </c>
      <c r="AX13" s="13" t="s">
        <v>254</v>
      </c>
      <c r="AY13" s="13" t="s">
        <v>255</v>
      </c>
      <c r="BA13" s="13" t="s">
        <v>279</v>
      </c>
      <c r="BB13" s="13" t="s">
        <v>280</v>
      </c>
      <c r="BG13" s="2" t="s">
        <v>329</v>
      </c>
      <c r="BH13" s="2" t="s">
        <v>330</v>
      </c>
      <c r="CZ13" s="13" t="s">
        <v>503</v>
      </c>
      <c r="DA13" s="13" t="s">
        <v>504</v>
      </c>
      <c r="FH13" s="13" t="s">
        <v>26</v>
      </c>
      <c r="FI13" s="13" t="s">
        <v>670</v>
      </c>
      <c r="FZ13" s="13" t="s">
        <v>746</v>
      </c>
      <c r="GA13" s="13" t="s">
        <v>747</v>
      </c>
      <c r="GI13" s="13" t="s">
        <v>784</v>
      </c>
      <c r="GJ13" s="13" t="s">
        <v>785</v>
      </c>
      <c r="HP13" s="19" t="s">
        <v>1055</v>
      </c>
      <c r="HQ13" s="2" t="s">
        <v>1096</v>
      </c>
      <c r="HS13" s="15" t="s">
        <v>28</v>
      </c>
      <c r="HT13" s="2"/>
      <c r="KM13" s="13" t="s">
        <v>1125</v>
      </c>
      <c r="KN13" s="13" t="s">
        <v>1138</v>
      </c>
    </row>
    <row r="14" spans="2:300">
      <c r="E14" s="2" t="s">
        <v>20</v>
      </c>
      <c r="F14" s="2" t="s">
        <v>21</v>
      </c>
      <c r="AU14" s="6" t="s">
        <v>192</v>
      </c>
      <c r="AV14" s="6" t="s">
        <v>193</v>
      </c>
      <c r="AX14" s="13" t="s">
        <v>256</v>
      </c>
      <c r="AY14" s="13" t="s">
        <v>257</v>
      </c>
      <c r="BA14" s="13" t="s">
        <v>281</v>
      </c>
      <c r="BB14" s="13" t="s">
        <v>282</v>
      </c>
      <c r="BG14" s="2" t="s">
        <v>331</v>
      </c>
      <c r="BH14" s="2" t="s">
        <v>332</v>
      </c>
      <c r="CZ14" s="13" t="s">
        <v>505</v>
      </c>
      <c r="DA14" s="13" t="s">
        <v>506</v>
      </c>
      <c r="FH14" s="13" t="s">
        <v>671</v>
      </c>
      <c r="FI14" s="13" t="s">
        <v>672</v>
      </c>
      <c r="FZ14" s="13" t="s">
        <v>748</v>
      </c>
      <c r="GA14" s="13" t="s">
        <v>749</v>
      </c>
      <c r="GI14" s="13" t="s">
        <v>786</v>
      </c>
      <c r="GJ14" s="13" t="s">
        <v>787</v>
      </c>
      <c r="HP14" s="19" t="s">
        <v>1056</v>
      </c>
      <c r="HQ14" s="2" t="s">
        <v>1097</v>
      </c>
      <c r="HS14" s="15" t="s">
        <v>1057</v>
      </c>
      <c r="HT14" s="2"/>
      <c r="KM14" s="13" t="s">
        <v>1126</v>
      </c>
      <c r="KN14" s="13" t="s">
        <v>1139</v>
      </c>
    </row>
    <row r="15" spans="2:300">
      <c r="E15" s="2" t="s">
        <v>22</v>
      </c>
      <c r="F15" s="2" t="s">
        <v>23</v>
      </c>
      <c r="AU15" s="6" t="s">
        <v>194</v>
      </c>
      <c r="AV15" s="6" t="s">
        <v>195</v>
      </c>
      <c r="AX15" s="13" t="s">
        <v>258</v>
      </c>
      <c r="AY15" s="13" t="s">
        <v>259</v>
      </c>
      <c r="BA15" s="13" t="s">
        <v>283</v>
      </c>
      <c r="BB15" s="13" t="s">
        <v>284</v>
      </c>
      <c r="BG15" s="2" t="s">
        <v>291</v>
      </c>
      <c r="BH15" s="2" t="s">
        <v>292</v>
      </c>
      <c r="CZ15" s="13" t="s">
        <v>507</v>
      </c>
      <c r="DA15" s="13" t="s">
        <v>508</v>
      </c>
      <c r="FH15" s="13" t="s">
        <v>673</v>
      </c>
      <c r="FI15" s="13" t="s">
        <v>674</v>
      </c>
      <c r="FZ15" s="13" t="s">
        <v>750</v>
      </c>
      <c r="GA15" s="13" t="s">
        <v>751</v>
      </c>
      <c r="HP15" s="19" t="s">
        <v>1058</v>
      </c>
      <c r="HQ15" s="2" t="s">
        <v>773</v>
      </c>
      <c r="HS15" s="15" t="s">
        <v>1059</v>
      </c>
      <c r="HT15" s="2"/>
      <c r="KM15" s="13" t="s">
        <v>1127</v>
      </c>
      <c r="KN15" s="13" t="s">
        <v>1140</v>
      </c>
    </row>
    <row r="16" spans="2:300">
      <c r="E16" s="2" t="s">
        <v>24</v>
      </c>
      <c r="F16" s="2" t="s">
        <v>25</v>
      </c>
      <c r="AU16" s="6" t="s">
        <v>196</v>
      </c>
      <c r="AV16" s="6" t="s">
        <v>197</v>
      </c>
      <c r="BA16" s="13" t="s">
        <v>285</v>
      </c>
      <c r="BB16" s="13" t="s">
        <v>286</v>
      </c>
      <c r="BG16" s="2" t="s">
        <v>333</v>
      </c>
      <c r="BH16" s="2" t="s">
        <v>334</v>
      </c>
      <c r="CZ16" s="13" t="s">
        <v>509</v>
      </c>
      <c r="DA16" s="13" t="s">
        <v>237</v>
      </c>
      <c r="FH16" s="13" t="s">
        <v>675</v>
      </c>
      <c r="FI16" s="13" t="s">
        <v>676</v>
      </c>
      <c r="FZ16" s="13" t="s">
        <v>752</v>
      </c>
      <c r="GA16" s="13" t="s">
        <v>753</v>
      </c>
      <c r="HP16" s="19" t="s">
        <v>1060</v>
      </c>
      <c r="HQ16" s="2" t="s">
        <v>775</v>
      </c>
      <c r="KM16" s="13" t="s">
        <v>1128</v>
      </c>
      <c r="KN16" s="13" t="s">
        <v>1141</v>
      </c>
    </row>
    <row r="17" spans="5:225">
      <c r="E17" s="2" t="s">
        <v>26</v>
      </c>
      <c r="F17" s="2" t="s">
        <v>27</v>
      </c>
      <c r="AU17" s="8" t="s">
        <v>198</v>
      </c>
      <c r="AV17" s="8" t="s">
        <v>199</v>
      </c>
      <c r="BA17" s="13" t="s">
        <v>287</v>
      </c>
      <c r="BB17" s="13" t="s">
        <v>288</v>
      </c>
      <c r="BG17" s="2" t="s">
        <v>335</v>
      </c>
      <c r="BH17" s="2" t="s">
        <v>336</v>
      </c>
      <c r="CZ17" s="13" t="s">
        <v>510</v>
      </c>
      <c r="DA17" s="13" t="s">
        <v>239</v>
      </c>
      <c r="FH17" s="13" t="s">
        <v>677</v>
      </c>
      <c r="FI17" s="13" t="s">
        <v>678</v>
      </c>
      <c r="FZ17" s="13" t="s">
        <v>754</v>
      </c>
      <c r="GA17" s="13" t="s">
        <v>755</v>
      </c>
      <c r="HP17" s="19" t="s">
        <v>1061</v>
      </c>
      <c r="HQ17" s="2" t="s">
        <v>1100</v>
      </c>
    </row>
    <row r="18" spans="5:225">
      <c r="E18" s="2" t="s">
        <v>28</v>
      </c>
      <c r="F18" s="2" t="s">
        <v>29</v>
      </c>
      <c r="AU18" s="8" t="s">
        <v>200</v>
      </c>
      <c r="AV18" s="8" t="s">
        <v>201</v>
      </c>
      <c r="BA18" s="13" t="s">
        <v>248</v>
      </c>
      <c r="BB18" s="13" t="s">
        <v>249</v>
      </c>
      <c r="BG18" s="2" t="s">
        <v>337</v>
      </c>
      <c r="BH18" s="2" t="s">
        <v>338</v>
      </c>
      <c r="CZ18" s="13" t="s">
        <v>511</v>
      </c>
      <c r="DA18" s="13" t="s">
        <v>512</v>
      </c>
      <c r="FH18" s="13" t="s">
        <v>679</v>
      </c>
      <c r="FI18" s="13" t="s">
        <v>680</v>
      </c>
      <c r="FZ18" s="13" t="s">
        <v>756</v>
      </c>
      <c r="GA18" s="13" t="s">
        <v>757</v>
      </c>
      <c r="HP18" s="19" t="s">
        <v>1062</v>
      </c>
      <c r="HQ18" s="2" t="s">
        <v>1101</v>
      </c>
    </row>
    <row r="19" spans="5:225">
      <c r="AU19" s="8" t="s">
        <v>202</v>
      </c>
      <c r="AV19" s="8" t="s">
        <v>203</v>
      </c>
      <c r="BA19" s="13" t="s">
        <v>289</v>
      </c>
      <c r="BB19" s="13" t="s">
        <v>290</v>
      </c>
      <c r="BG19" s="2" t="s">
        <v>339</v>
      </c>
      <c r="BH19" s="2" t="s">
        <v>340</v>
      </c>
      <c r="CZ19" s="13" t="s">
        <v>513</v>
      </c>
      <c r="DA19" s="13" t="s">
        <v>514</v>
      </c>
      <c r="FH19" s="13" t="s">
        <v>681</v>
      </c>
      <c r="FI19" s="13" t="s">
        <v>682</v>
      </c>
      <c r="HP19" s="19" t="s">
        <v>1063</v>
      </c>
      <c r="HQ19" s="2" t="s">
        <v>1104</v>
      </c>
    </row>
    <row r="20" spans="5:225">
      <c r="AU20" s="6" t="s">
        <v>204</v>
      </c>
      <c r="AV20" s="6" t="s">
        <v>205</v>
      </c>
      <c r="BA20" s="13" t="s">
        <v>291</v>
      </c>
      <c r="BB20" s="13" t="s">
        <v>292</v>
      </c>
      <c r="BG20" s="2" t="s">
        <v>248</v>
      </c>
      <c r="BH20" s="2" t="s">
        <v>249</v>
      </c>
      <c r="CZ20" s="13" t="s">
        <v>515</v>
      </c>
      <c r="DA20" s="13" t="s">
        <v>516</v>
      </c>
      <c r="FH20" s="13" t="s">
        <v>683</v>
      </c>
      <c r="FI20" s="13" t="s">
        <v>684</v>
      </c>
      <c r="HP20" s="19" t="s">
        <v>1064</v>
      </c>
      <c r="HQ20" s="2" t="s">
        <v>1105</v>
      </c>
    </row>
    <row r="21" spans="5:225">
      <c r="AU21" s="6" t="s">
        <v>206</v>
      </c>
      <c r="AV21" s="6" t="s">
        <v>207</v>
      </c>
      <c r="BA21" s="13" t="s">
        <v>293</v>
      </c>
      <c r="BB21" s="13" t="s">
        <v>294</v>
      </c>
      <c r="BG21" s="2" t="s">
        <v>341</v>
      </c>
      <c r="BH21" s="2" t="s">
        <v>342</v>
      </c>
      <c r="CZ21" s="13" t="s">
        <v>517</v>
      </c>
      <c r="DA21" s="13" t="s">
        <v>518</v>
      </c>
      <c r="FH21" s="13" t="s">
        <v>685</v>
      </c>
      <c r="FI21" s="13" t="s">
        <v>686</v>
      </c>
    </row>
    <row r="22" spans="5:225">
      <c r="AU22" s="6" t="s">
        <v>208</v>
      </c>
      <c r="AV22" s="6" t="s">
        <v>209</v>
      </c>
      <c r="BA22" s="13" t="s">
        <v>295</v>
      </c>
      <c r="BB22" s="13" t="s">
        <v>296</v>
      </c>
      <c r="BG22" s="2" t="s">
        <v>343</v>
      </c>
      <c r="BH22" s="2" t="s">
        <v>344</v>
      </c>
      <c r="CZ22" s="13" t="s">
        <v>519</v>
      </c>
      <c r="DA22" s="13" t="s">
        <v>520</v>
      </c>
      <c r="FH22" s="13" t="s">
        <v>687</v>
      </c>
      <c r="FI22" s="13" t="s">
        <v>688</v>
      </c>
    </row>
    <row r="23" spans="5:225">
      <c r="AU23" s="6" t="s">
        <v>210</v>
      </c>
      <c r="AV23" s="6" t="s">
        <v>211</v>
      </c>
      <c r="BA23" s="13" t="s">
        <v>297</v>
      </c>
      <c r="BB23" s="13" t="s">
        <v>298</v>
      </c>
      <c r="BG23" s="2" t="s">
        <v>345</v>
      </c>
      <c r="BH23" s="2" t="s">
        <v>346</v>
      </c>
      <c r="CZ23" s="13" t="s">
        <v>521</v>
      </c>
      <c r="DA23" s="13" t="s">
        <v>522</v>
      </c>
      <c r="FH23" s="13" t="s">
        <v>689</v>
      </c>
      <c r="FI23" s="13" t="s">
        <v>690</v>
      </c>
    </row>
    <row r="24" spans="5:225">
      <c r="AU24" s="7" t="s">
        <v>212</v>
      </c>
      <c r="AV24" s="7" t="s">
        <v>213</v>
      </c>
      <c r="BA24" s="13" t="s">
        <v>299</v>
      </c>
      <c r="BB24" s="13" t="s">
        <v>300</v>
      </c>
      <c r="CZ24" s="13" t="s">
        <v>523</v>
      </c>
      <c r="DA24" s="13" t="s">
        <v>524</v>
      </c>
      <c r="FH24" s="13" t="s">
        <v>691</v>
      </c>
      <c r="FI24" s="13" t="s">
        <v>692</v>
      </c>
    </row>
    <row r="25" spans="5:225">
      <c r="AU25" s="7" t="s">
        <v>214</v>
      </c>
      <c r="AV25" s="7" t="s">
        <v>215</v>
      </c>
      <c r="BA25" s="13" t="s">
        <v>301</v>
      </c>
      <c r="BB25" s="13" t="s">
        <v>302</v>
      </c>
      <c r="CZ25" s="13" t="s">
        <v>525</v>
      </c>
      <c r="DA25" s="13" t="s">
        <v>526</v>
      </c>
      <c r="FH25" s="13" t="s">
        <v>693</v>
      </c>
      <c r="FI25" s="13" t="s">
        <v>694</v>
      </c>
    </row>
    <row r="26" spans="5:225">
      <c r="AU26" s="6" t="s">
        <v>216</v>
      </c>
      <c r="AV26" s="6" t="s">
        <v>217</v>
      </c>
      <c r="BA26" s="13" t="s">
        <v>303</v>
      </c>
      <c r="BB26" s="13" t="s">
        <v>304</v>
      </c>
      <c r="FH26" s="13" t="s">
        <v>950</v>
      </c>
      <c r="FI26" s="13" t="s">
        <v>951</v>
      </c>
    </row>
    <row r="27" spans="5:225">
      <c r="AU27" s="9" t="s">
        <v>218</v>
      </c>
      <c r="AV27" s="9" t="s">
        <v>219</v>
      </c>
      <c r="BA27" s="13" t="s">
        <v>305</v>
      </c>
      <c r="BB27" s="13" t="s">
        <v>306</v>
      </c>
    </row>
    <row r="28" spans="5:225">
      <c r="AU28" s="9" t="s">
        <v>220</v>
      </c>
      <c r="AV28" s="9" t="s">
        <v>221</v>
      </c>
      <c r="BA28" s="2"/>
      <c r="BB28" s="2"/>
    </row>
    <row r="29" spans="5:225">
      <c r="AU29" s="9" t="s">
        <v>222</v>
      </c>
      <c r="AV29" s="9" t="s">
        <v>223</v>
      </c>
      <c r="BA29" s="2"/>
      <c r="BB29" s="2"/>
    </row>
    <row r="30" spans="5:225">
      <c r="AU30" s="9" t="s">
        <v>224</v>
      </c>
      <c r="AV30" s="9" t="s">
        <v>225</v>
      </c>
      <c r="BA30" s="2"/>
      <c r="BB30" s="2"/>
    </row>
    <row r="31" spans="5:225">
      <c r="AU31" s="9" t="s">
        <v>226</v>
      </c>
      <c r="AV31" s="9" t="s">
        <v>227</v>
      </c>
      <c r="BA31" s="2"/>
      <c r="BB31" s="2"/>
    </row>
    <row r="32" spans="5:225">
      <c r="AU32" s="9" t="s">
        <v>228</v>
      </c>
      <c r="AV32" s="9" t="s">
        <v>229</v>
      </c>
      <c r="BA32" s="2"/>
      <c r="BB32" s="2"/>
    </row>
    <row r="33" spans="47:54">
      <c r="AU33" s="9" t="s">
        <v>230</v>
      </c>
      <c r="AV33" s="9" t="s">
        <v>231</v>
      </c>
      <c r="BA33" s="2"/>
      <c r="BB33" s="2"/>
    </row>
  </sheetData>
  <mergeCells count="28">
    <mergeCell ref="KM2:KN2"/>
    <mergeCell ref="KJ2:KK2"/>
    <mergeCell ref="HV2:IO2"/>
    <mergeCell ref="E2:I2"/>
    <mergeCell ref="K2:L2"/>
    <mergeCell ref="N2:AV2"/>
    <mergeCell ref="AX2:AY2"/>
    <mergeCell ref="BA2:BE2"/>
    <mergeCell ref="KG2:KH2"/>
    <mergeCell ref="IT2:JA2"/>
    <mergeCell ref="JC2:JV2"/>
    <mergeCell ref="IQ2:IR2"/>
    <mergeCell ref="JX2:KE2"/>
    <mergeCell ref="FB2:HT2"/>
    <mergeCell ref="B2:C2"/>
    <mergeCell ref="EG2:EN2"/>
    <mergeCell ref="EP2:EZ2"/>
    <mergeCell ref="CE2:CL2"/>
    <mergeCell ref="BG2:BK2"/>
    <mergeCell ref="BM2:BN2"/>
    <mergeCell ref="BP2:BQ2"/>
    <mergeCell ref="BS2:BT2"/>
    <mergeCell ref="BV2:CC2"/>
    <mergeCell ref="ED2:EE2"/>
    <mergeCell ref="CN2:CR2"/>
    <mergeCell ref="CT2:CU2"/>
    <mergeCell ref="CW2:CX2"/>
    <mergeCell ref="CZ2:EB2"/>
  </mergeCells>
  <phoneticPr fontId="15" type="noConversion"/>
  <hyperlinks>
    <hyperlink ref="GV3" location="MoveType!A1" display="이동" xr:uid="{00000000-0004-0000-0000-000000000000}"/>
    <hyperlink ref="GY3" location="MovePos!A1" display="이동" xr:uid="{00000000-0004-0000-0000-000001000000}"/>
    <hyperlink ref="HB3" location="AreaType!A1" display="이동" xr:uid="{00000000-0004-0000-0000-000002000000}"/>
    <hyperlink ref="HE3" location="TargetTendency!A1" display="이동" xr:uid="{00000000-0004-0000-0000-000003000000}"/>
    <hyperlink ref="HH3" location="TargetOrder!A1" display="이동" xr:uid="{00000000-0004-0000-0000-000004000000}"/>
    <hyperlink ref="HK3" location="SkillEffectType!A1" display="이동" xr:uid="{00000000-0004-0000-0000-000005000000}"/>
    <hyperlink ref="HN3" location="UseTarget!A1" display="이동" xr:uid="{00000000-0004-0000-0000-000006000000}"/>
    <hyperlink ref="HQ3" location="HitCondition!A1" display="이동" xr:uid="{00000000-0004-0000-0000-000007000000}"/>
    <hyperlink ref="HT3" location="BuffEffectType!A1" display="이동" xr:uid="{00000000-0004-0000-0000-000008000000}"/>
  </hyperlink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selection activeCell="B2" sqref="B2:B9"/>
    </sheetView>
  </sheetViews>
  <sheetFormatPr defaultRowHeight="16.5"/>
  <cols>
    <col min="1" max="1" width="28.375" bestFit="1" customWidth="1"/>
    <col min="2" max="2" width="28.375" customWidth="1"/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2" t="s">
        <v>1477</v>
      </c>
      <c r="B2" s="3">
        <v>0</v>
      </c>
      <c r="C2" s="3"/>
    </row>
    <row r="3" spans="1:3">
      <c r="A3" s="2" t="s">
        <v>1478</v>
      </c>
      <c r="B3" s="3">
        <v>1</v>
      </c>
      <c r="C3" s="3"/>
    </row>
    <row r="4" spans="1:3">
      <c r="A4" s="2" t="s">
        <v>1479</v>
      </c>
      <c r="B4" s="3">
        <v>2</v>
      </c>
      <c r="C4" s="3"/>
    </row>
    <row r="5" spans="1:3">
      <c r="A5" s="2" t="s">
        <v>1480</v>
      </c>
      <c r="B5" s="3">
        <v>3</v>
      </c>
      <c r="C5" s="3"/>
    </row>
    <row r="6" spans="1:3">
      <c r="A6" s="2" t="s">
        <v>1481</v>
      </c>
      <c r="B6" s="3">
        <v>4</v>
      </c>
      <c r="C6" s="3"/>
    </row>
    <row r="7" spans="1:3">
      <c r="A7" s="2" t="s">
        <v>1482</v>
      </c>
      <c r="B7" s="3">
        <v>5</v>
      </c>
      <c r="C7" s="3"/>
    </row>
    <row r="8" spans="1:3">
      <c r="A8" s="2" t="s">
        <v>1483</v>
      </c>
      <c r="B8" s="3">
        <v>6</v>
      </c>
    </row>
    <row r="9" spans="1:3">
      <c r="A9" s="2" t="s">
        <v>1484</v>
      </c>
      <c r="B9" s="3">
        <v>7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4"/>
  <dimension ref="A1:C8"/>
  <sheetViews>
    <sheetView workbookViewId="0">
      <selection activeCell="B2" sqref="B2:B8"/>
    </sheetView>
  </sheetViews>
  <sheetFormatPr defaultRowHeight="16.5"/>
  <cols>
    <col min="1" max="1" width="17.25" bestFit="1" customWidth="1"/>
    <col min="2" max="2" width="17.25" customWidth="1"/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t="s">
        <v>1158</v>
      </c>
      <c r="B2">
        <v>0</v>
      </c>
      <c r="C2" t="s">
        <v>1250</v>
      </c>
    </row>
    <row r="3" spans="1:3">
      <c r="A3" t="s">
        <v>1252</v>
      </c>
      <c r="B3">
        <v>1</v>
      </c>
      <c r="C3" t="s">
        <v>1253</v>
      </c>
    </row>
    <row r="4" spans="1:3">
      <c r="A4" t="s">
        <v>1254</v>
      </c>
      <c r="B4">
        <v>2</v>
      </c>
      <c r="C4" t="s">
        <v>1255</v>
      </c>
    </row>
    <row r="5" spans="1:3">
      <c r="A5" t="s">
        <v>1256</v>
      </c>
      <c r="B5">
        <v>3</v>
      </c>
      <c r="C5" t="s">
        <v>1257</v>
      </c>
    </row>
    <row r="6" spans="1:3">
      <c r="A6" t="s">
        <v>1258</v>
      </c>
      <c r="B6">
        <v>4</v>
      </c>
      <c r="C6" t="s">
        <v>1259</v>
      </c>
    </row>
    <row r="7" spans="1:3">
      <c r="A7" t="s">
        <v>1260</v>
      </c>
      <c r="B7">
        <v>5</v>
      </c>
      <c r="C7" t="s">
        <v>1261</v>
      </c>
    </row>
    <row r="8" spans="1:3">
      <c r="A8" t="s">
        <v>1262</v>
      </c>
      <c r="B8">
        <v>6</v>
      </c>
      <c r="C8" t="s">
        <v>1263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5"/>
  <dimension ref="A1:C8"/>
  <sheetViews>
    <sheetView workbookViewId="0">
      <selection activeCell="B2" sqref="B2:B8"/>
    </sheetView>
  </sheetViews>
  <sheetFormatPr defaultRowHeight="16.5"/>
  <cols>
    <col min="1" max="1" width="10.375" bestFit="1" customWidth="1"/>
    <col min="2" max="2" width="10.375" customWidth="1"/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t="s">
        <v>1232</v>
      </c>
      <c r="B2">
        <v>0</v>
      </c>
      <c r="C2" t="s">
        <v>1233</v>
      </c>
    </row>
    <row r="3" spans="1:3">
      <c r="A3" t="s">
        <v>1264</v>
      </c>
      <c r="B3">
        <v>1</v>
      </c>
      <c r="C3" t="s">
        <v>1265</v>
      </c>
    </row>
    <row r="4" spans="1:3">
      <c r="A4" t="s">
        <v>1266</v>
      </c>
      <c r="B4">
        <v>2</v>
      </c>
      <c r="C4" t="s">
        <v>1267</v>
      </c>
    </row>
    <row r="5" spans="1:3">
      <c r="A5" t="s">
        <v>1268</v>
      </c>
      <c r="B5">
        <v>3</v>
      </c>
      <c r="C5" t="s">
        <v>1269</v>
      </c>
    </row>
    <row r="6" spans="1:3">
      <c r="A6" t="s">
        <v>1270</v>
      </c>
      <c r="B6">
        <v>4</v>
      </c>
      <c r="C6" t="s">
        <v>1271</v>
      </c>
    </row>
    <row r="7" spans="1:3">
      <c r="A7" t="s">
        <v>1272</v>
      </c>
      <c r="B7">
        <v>5</v>
      </c>
      <c r="C7" t="s">
        <v>1273</v>
      </c>
    </row>
    <row r="8" spans="1:3">
      <c r="A8" t="s">
        <v>1274</v>
      </c>
      <c r="B8">
        <v>6</v>
      </c>
      <c r="C8" t="s">
        <v>1275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E8" sqref="E8"/>
    </sheetView>
  </sheetViews>
  <sheetFormatPr defaultRowHeight="16.5"/>
  <cols>
    <col min="1" max="1" width="8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74" t="s">
        <v>1667</v>
      </c>
      <c r="B2" s="74">
        <v>0</v>
      </c>
    </row>
    <row r="3" spans="1:2">
      <c r="A3" s="74" t="s">
        <v>1666</v>
      </c>
      <c r="B3" s="74">
        <v>1</v>
      </c>
    </row>
    <row r="4" spans="1:2">
      <c r="A4" s="74" t="s">
        <v>1665</v>
      </c>
      <c r="B4" s="74">
        <v>2</v>
      </c>
    </row>
    <row r="5" spans="1:2">
      <c r="A5" s="74" t="s">
        <v>1664</v>
      </c>
      <c r="B5" s="74">
        <v>3</v>
      </c>
    </row>
    <row r="6" spans="1:2">
      <c r="A6" s="74" t="s">
        <v>1663</v>
      </c>
      <c r="B6" s="74">
        <v>4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D3" sqref="D3"/>
    </sheetView>
  </sheetViews>
  <sheetFormatPr defaultRowHeight="16.5"/>
  <cols>
    <col min="1" max="1" width="10.375" bestFit="1" customWidth="1"/>
    <col min="2" max="2" width="10.375" customWidth="1"/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t="s">
        <v>1709</v>
      </c>
      <c r="B2">
        <v>0</v>
      </c>
      <c r="C2" t="s">
        <v>1710</v>
      </c>
    </row>
    <row r="3" spans="1:3">
      <c r="A3" t="s">
        <v>1711</v>
      </c>
      <c r="B3">
        <v>1</v>
      </c>
      <c r="C3" t="s">
        <v>1712</v>
      </c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3"/>
  <dimension ref="A1:C4"/>
  <sheetViews>
    <sheetView workbookViewId="0">
      <selection activeCell="F14" sqref="F14"/>
    </sheetView>
  </sheetViews>
  <sheetFormatPr defaultRowHeight="16.5"/>
  <cols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t="s">
        <v>1721</v>
      </c>
      <c r="B2">
        <v>0</v>
      </c>
    </row>
    <row r="3" spans="1:3">
      <c r="A3" t="s">
        <v>1722</v>
      </c>
      <c r="B3">
        <v>1</v>
      </c>
    </row>
    <row r="4" spans="1:3">
      <c r="A4" t="s">
        <v>1723</v>
      </c>
      <c r="B4">
        <v>2</v>
      </c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selection activeCell="B5" sqref="B5"/>
    </sheetView>
  </sheetViews>
  <sheetFormatPr defaultRowHeight="16.5"/>
  <cols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t="s">
        <v>1773</v>
      </c>
      <c r="B2">
        <v>0</v>
      </c>
    </row>
    <row r="3" spans="1:3">
      <c r="A3" t="s">
        <v>1774</v>
      </c>
      <c r="B3">
        <v>1</v>
      </c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1"/>
  <dimension ref="A1:F7"/>
  <sheetViews>
    <sheetView zoomScaleNormal="100" workbookViewId="0">
      <selection activeCell="P8" sqref="P8"/>
    </sheetView>
  </sheetViews>
  <sheetFormatPr defaultColWidth="9.125" defaultRowHeight="16.5"/>
  <cols>
    <col min="1" max="1" width="18.75" style="44" bestFit="1" customWidth="1"/>
    <col min="2" max="3" width="9.125" style="47"/>
    <col min="4" max="4" width="9.125" style="46"/>
    <col min="5" max="6" width="9.125" style="45"/>
    <col min="7" max="16384" width="9.125" style="44"/>
  </cols>
  <sheetData>
    <row r="1" spans="1:2">
      <c r="A1" s="49" t="s">
        <v>1339</v>
      </c>
    </row>
    <row r="2" spans="1:2">
      <c r="A2" s="48" t="s">
        <v>1341</v>
      </c>
      <c r="B2" s="47">
        <v>0</v>
      </c>
    </row>
    <row r="3" spans="1:2">
      <c r="A3" s="48" t="s">
        <v>1340</v>
      </c>
      <c r="B3" s="47">
        <v>1</v>
      </c>
    </row>
    <row r="4" spans="1:2">
      <c r="A4" s="57" t="s">
        <v>1528</v>
      </c>
      <c r="B4" s="47">
        <v>2</v>
      </c>
    </row>
    <row r="5" spans="1:2">
      <c r="A5" s="56" t="s">
        <v>1527</v>
      </c>
      <c r="B5" s="47">
        <v>3</v>
      </c>
    </row>
    <row r="6" spans="1:2">
      <c r="A6" s="58" t="s">
        <v>1529</v>
      </c>
      <c r="B6" s="47">
        <v>4</v>
      </c>
    </row>
    <row r="7" spans="1:2">
      <c r="A7" s="60" t="s">
        <v>1575</v>
      </c>
      <c r="B7" s="47">
        <v>5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0"/>
  <dimension ref="A1:B3"/>
  <sheetViews>
    <sheetView workbookViewId="0">
      <selection activeCell="B4" sqref="B4"/>
    </sheetView>
  </sheetViews>
  <sheetFormatPr defaultRowHeight="16.5"/>
  <cols>
    <col min="2" max="2" width="14.75" bestFit="1" customWidth="1"/>
  </cols>
  <sheetData>
    <row r="1" spans="1:2">
      <c r="A1" t="s">
        <v>1155</v>
      </c>
      <c r="B1" t="s">
        <v>1156</v>
      </c>
    </row>
    <row r="2" spans="1:2">
      <c r="A2" t="s">
        <v>1157</v>
      </c>
      <c r="B2">
        <v>0</v>
      </c>
    </row>
    <row r="3" spans="1:2">
      <c r="A3" t="s">
        <v>149</v>
      </c>
      <c r="B3">
        <v>1</v>
      </c>
    </row>
  </sheetData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>
      <selection sqref="A1:B3"/>
    </sheetView>
  </sheetViews>
  <sheetFormatPr defaultRowHeight="16.5"/>
  <cols>
    <col min="1" max="1" width="9" style="61"/>
    <col min="2" max="2" width="14.75" style="61" bestFit="1" customWidth="1"/>
    <col min="3" max="16384" width="9" style="61"/>
  </cols>
  <sheetData>
    <row r="1" spans="1:2" s="62" customFormat="1">
      <c r="A1" s="64" t="s">
        <v>350</v>
      </c>
      <c r="B1" s="5" t="str">
        <f>HYPERLINK("#'"&amp;A1&amp;"'!A1","전체 Type 이동")</f>
        <v>전체 Type 이동</v>
      </c>
    </row>
    <row r="2" spans="1:2" s="62" customFormat="1">
      <c r="A2" s="63" t="s">
        <v>1106</v>
      </c>
      <c r="B2" s="62">
        <v>0</v>
      </c>
    </row>
    <row r="3" spans="1:2" s="62" customFormat="1">
      <c r="A3" s="63" t="s">
        <v>1251</v>
      </c>
      <c r="B3" s="62">
        <v>1</v>
      </c>
    </row>
  </sheetData>
  <phoneticPr fontId="1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>
      <selection activeCell="G9" sqref="G9"/>
    </sheetView>
  </sheetViews>
  <sheetFormatPr defaultRowHeight="16.5"/>
  <cols>
    <col min="1" max="1" width="9.125" bestFit="1" customWidth="1"/>
    <col min="2" max="2" width="14.75" bestFit="1" customWidth="1"/>
  </cols>
  <sheetData>
    <row r="1" spans="1:2">
      <c r="A1" s="64" t="s">
        <v>350</v>
      </c>
      <c r="B1" s="5" t="str">
        <f>HYPERLINK("#'"&amp;A1&amp;"'!A1","전체 Type 이동")</f>
        <v>전체 Type 이동</v>
      </c>
    </row>
    <row r="2" spans="1:2">
      <c r="A2" s="63" t="s">
        <v>1106</v>
      </c>
      <c r="B2" s="62">
        <v>0</v>
      </c>
    </row>
    <row r="3" spans="1:2">
      <c r="A3" s="79" t="s">
        <v>1833</v>
      </c>
      <c r="B3" s="62">
        <v>1</v>
      </c>
    </row>
  </sheetData>
  <phoneticPr fontId="1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2"/>
  <dimension ref="A1:F4"/>
  <sheetViews>
    <sheetView zoomScaleNormal="100" workbookViewId="0">
      <selection activeCell="B4" sqref="B4"/>
    </sheetView>
  </sheetViews>
  <sheetFormatPr defaultColWidth="9" defaultRowHeight="16.5"/>
  <cols>
    <col min="1" max="1" width="9" style="29"/>
    <col min="2" max="3" width="9" style="32"/>
    <col min="4" max="4" width="9" style="31"/>
    <col min="5" max="6" width="9" style="30"/>
    <col min="7" max="16384" width="9" style="29"/>
  </cols>
  <sheetData>
    <row r="1" spans="1:2">
      <c r="A1" s="34" t="s">
        <v>350</v>
      </c>
    </row>
    <row r="2" spans="1:2">
      <c r="A2" s="33" t="s">
        <v>1106</v>
      </c>
      <c r="B2" s="32">
        <v>0</v>
      </c>
    </row>
    <row r="3" spans="1:2">
      <c r="A3" s="33" t="s">
        <v>1315</v>
      </c>
      <c r="B3" s="32">
        <v>1</v>
      </c>
    </row>
    <row r="4" spans="1:2">
      <c r="A4" s="33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zoomScaleNormal="100" workbookViewId="0">
      <selection activeCell="E23" sqref="E23"/>
    </sheetView>
  </sheetViews>
  <sheetFormatPr defaultColWidth="9" defaultRowHeight="16.5"/>
  <cols>
    <col min="1" max="1" width="9" style="29"/>
    <col min="2" max="3" width="9" style="32"/>
    <col min="4" max="4" width="9" style="31"/>
    <col min="5" max="6" width="9" style="30"/>
    <col min="7" max="16384" width="9" style="29"/>
  </cols>
  <sheetData>
    <row r="1" spans="1:2">
      <c r="A1" s="34" t="s">
        <v>350</v>
      </c>
    </row>
    <row r="2" spans="1:2">
      <c r="A2" s="84" t="s">
        <v>1903</v>
      </c>
      <c r="B2" s="32">
        <v>0</v>
      </c>
    </row>
    <row r="3" spans="1:2">
      <c r="A3" s="84" t="s">
        <v>1106</v>
      </c>
      <c r="B3" s="32">
        <v>1</v>
      </c>
    </row>
    <row r="4" spans="1:2">
      <c r="A4" s="84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"/>
  <sheetViews>
    <sheetView zoomScaleNormal="100" workbookViewId="0">
      <selection activeCell="A3" sqref="A3"/>
    </sheetView>
  </sheetViews>
  <sheetFormatPr defaultColWidth="9" defaultRowHeight="16.5"/>
  <cols>
    <col min="1" max="1" width="9" style="89"/>
    <col min="2" max="3" width="9" style="86"/>
    <col min="4" max="4" width="9" style="90"/>
    <col min="5" max="6" width="9" style="91"/>
    <col min="7" max="16384" width="9" style="89"/>
  </cols>
  <sheetData>
    <row r="1" spans="1:2">
      <c r="A1" s="85" t="s">
        <v>350</v>
      </c>
    </row>
    <row r="2" spans="1:2">
      <c r="A2" s="87" t="s">
        <v>1906</v>
      </c>
      <c r="B2" s="86">
        <v>0</v>
      </c>
    </row>
    <row r="3" spans="1:2">
      <c r="A3" s="87" t="s">
        <v>1907</v>
      </c>
      <c r="B3" s="86">
        <v>1</v>
      </c>
    </row>
    <row r="4" spans="1:2">
      <c r="A4" s="88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5"/>
  <dimension ref="A1:B3"/>
  <sheetViews>
    <sheetView workbookViewId="0">
      <selection activeCell="B4" sqref="B4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652</v>
      </c>
      <c r="B2" s="1">
        <v>0</v>
      </c>
    </row>
    <row r="3" spans="1:2">
      <c r="A3" s="13" t="s">
        <v>642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3"/>
  <dimension ref="A1:C24"/>
  <sheetViews>
    <sheetView workbookViewId="0">
      <selection activeCell="E14" sqref="E14"/>
    </sheetView>
  </sheetViews>
  <sheetFormatPr defaultColWidth="9" defaultRowHeight="13.5"/>
  <cols>
    <col min="1" max="1" width="16.875" style="39" bestFit="1" customWidth="1"/>
    <col min="2" max="2" width="13" style="39" bestFit="1" customWidth="1"/>
    <col min="3" max="16384" width="9" style="39"/>
  </cols>
  <sheetData>
    <row r="1" spans="1:3">
      <c r="A1" s="40" t="s">
        <v>350</v>
      </c>
      <c r="B1" s="41" t="str">
        <f>HYPERLINK("#'"&amp;A1&amp;"'!A1","전체 Type 이동")</f>
        <v>전체 Type 이동</v>
      </c>
      <c r="C1" s="42"/>
    </row>
    <row r="2" spans="1:3">
      <c r="A2" s="39" t="s">
        <v>309</v>
      </c>
      <c r="B2" s="39">
        <v>0</v>
      </c>
    </row>
    <row r="3" spans="1:3">
      <c r="A3" s="39" t="s">
        <v>1167</v>
      </c>
      <c r="B3" s="39">
        <v>1</v>
      </c>
    </row>
    <row r="4" spans="1:3">
      <c r="A4" s="39" t="s">
        <v>1118</v>
      </c>
      <c r="B4" s="39">
        <v>2</v>
      </c>
    </row>
    <row r="5" spans="1:3">
      <c r="A5" s="39" t="s">
        <v>1175</v>
      </c>
      <c r="B5" s="39">
        <v>3</v>
      </c>
    </row>
    <row r="6" spans="1:3">
      <c r="A6" s="39" t="s">
        <v>1176</v>
      </c>
      <c r="B6" s="39">
        <v>4</v>
      </c>
    </row>
    <row r="7" spans="1:3">
      <c r="A7" s="39" t="s">
        <v>1177</v>
      </c>
      <c r="B7" s="39">
        <v>5</v>
      </c>
    </row>
    <row r="8" spans="1:3">
      <c r="A8" s="39" t="s">
        <v>1174</v>
      </c>
      <c r="B8" s="39">
        <v>6</v>
      </c>
    </row>
    <row r="9" spans="1:3">
      <c r="A9" s="39" t="s">
        <v>1173</v>
      </c>
      <c r="B9" s="39">
        <v>7</v>
      </c>
    </row>
    <row r="10" spans="1:3">
      <c r="A10" s="39" t="s">
        <v>1179</v>
      </c>
      <c r="B10" s="39">
        <v>8</v>
      </c>
    </row>
    <row r="11" spans="1:3">
      <c r="A11" s="39" t="s">
        <v>1107</v>
      </c>
      <c r="B11" s="39">
        <v>9</v>
      </c>
    </row>
    <row r="12" spans="1:3">
      <c r="A12" s="39" t="s">
        <v>1178</v>
      </c>
      <c r="B12" s="39">
        <v>10</v>
      </c>
    </row>
    <row r="13" spans="1:3">
      <c r="A13" s="39" t="s">
        <v>1241</v>
      </c>
      <c r="B13" s="39">
        <v>11</v>
      </c>
    </row>
    <row r="14" spans="1:3">
      <c r="A14" s="39" t="s">
        <v>1290</v>
      </c>
      <c r="B14" s="39">
        <v>12</v>
      </c>
    </row>
    <row r="15" spans="1:3">
      <c r="A15" s="39" t="s">
        <v>1322</v>
      </c>
      <c r="B15" s="39">
        <v>13</v>
      </c>
    </row>
    <row r="16" spans="1:3">
      <c r="A16" s="39" t="s">
        <v>1427</v>
      </c>
      <c r="B16" s="39">
        <v>14</v>
      </c>
    </row>
    <row r="17" spans="1:2">
      <c r="A17" s="39" t="s">
        <v>1333</v>
      </c>
      <c r="B17" s="39">
        <v>15</v>
      </c>
    </row>
    <row r="18" spans="1:2">
      <c r="A18" s="39" t="s">
        <v>1342</v>
      </c>
      <c r="B18" s="39">
        <v>16</v>
      </c>
    </row>
    <row r="19" spans="1:2">
      <c r="A19" s="39" t="s">
        <v>1424</v>
      </c>
      <c r="B19" s="39">
        <v>17</v>
      </c>
    </row>
    <row r="20" spans="1:2">
      <c r="A20" s="39" t="s">
        <v>1474</v>
      </c>
      <c r="B20" s="39">
        <v>18</v>
      </c>
    </row>
    <row r="21" spans="1:2">
      <c r="A21" s="39" t="s">
        <v>1834</v>
      </c>
      <c r="B21" s="39">
        <v>19</v>
      </c>
    </row>
    <row r="22" spans="1:2">
      <c r="A22" s="39" t="s">
        <v>1920</v>
      </c>
      <c r="B22" s="39">
        <v>20</v>
      </c>
    </row>
    <row r="23" spans="1:2">
      <c r="A23" s="39" t="s">
        <v>1921</v>
      </c>
      <c r="B23" s="39">
        <v>21</v>
      </c>
    </row>
    <row r="24" spans="1:2">
      <c r="A24" s="39" t="s">
        <v>1929</v>
      </c>
      <c r="B24" s="39">
        <v>22</v>
      </c>
    </row>
  </sheetData>
  <phoneticPr fontId="1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2"/>
  <dimension ref="A1:F6"/>
  <sheetViews>
    <sheetView workbookViewId="0">
      <selection activeCell="B2" sqref="B2:B6"/>
    </sheetView>
  </sheetViews>
  <sheetFormatPr defaultColWidth="9.125" defaultRowHeight="16.5"/>
  <cols>
    <col min="1" max="1" width="8.875" style="44" bestFit="1" customWidth="1"/>
    <col min="2" max="16384" width="9.125" style="44"/>
  </cols>
  <sheetData>
    <row r="1" spans="1:6">
      <c r="A1" s="49" t="s">
        <v>1339</v>
      </c>
      <c r="B1" s="47"/>
      <c r="C1" s="47"/>
      <c r="D1" s="46"/>
      <c r="E1" s="45"/>
      <c r="F1" s="45"/>
    </row>
    <row r="2" spans="1:6">
      <c r="A2" s="44" t="s">
        <v>1348</v>
      </c>
      <c r="B2" s="44">
        <v>0</v>
      </c>
    </row>
    <row r="3" spans="1:6">
      <c r="A3" s="44" t="s">
        <v>1347</v>
      </c>
      <c r="B3" s="44">
        <v>1</v>
      </c>
    </row>
    <row r="4" spans="1:6">
      <c r="A4" s="44" t="s">
        <v>1346</v>
      </c>
      <c r="B4" s="44">
        <v>2</v>
      </c>
    </row>
    <row r="5" spans="1:6">
      <c r="A5" s="44" t="s">
        <v>1345</v>
      </c>
      <c r="B5" s="44">
        <v>3</v>
      </c>
    </row>
    <row r="6" spans="1:6">
      <c r="A6" s="44" t="s">
        <v>1344</v>
      </c>
      <c r="B6" s="44">
        <v>4</v>
      </c>
    </row>
  </sheetData>
  <phoneticPr fontId="1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90"/>
  <dimension ref="A1:B3"/>
  <sheetViews>
    <sheetView workbookViewId="0">
      <selection activeCell="B4" sqref="B4"/>
    </sheetView>
  </sheetViews>
  <sheetFormatPr defaultColWidth="9" defaultRowHeight="16.5"/>
  <cols>
    <col min="1" max="1" width="11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871</v>
      </c>
      <c r="B2" s="1">
        <v>0</v>
      </c>
    </row>
    <row r="3" spans="1:2">
      <c r="A3" s="13" t="s">
        <v>873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9"/>
  <dimension ref="A1:B7"/>
  <sheetViews>
    <sheetView workbookViewId="0">
      <selection activeCell="B2" sqref="B2:B7"/>
    </sheetView>
  </sheetViews>
  <sheetFormatPr defaultColWidth="9" defaultRowHeight="16.5"/>
  <cols>
    <col min="1" max="1" width="9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968</v>
      </c>
      <c r="B2" s="1">
        <v>0</v>
      </c>
    </row>
    <row r="3" spans="1:2">
      <c r="A3" s="2" t="s">
        <v>139</v>
      </c>
      <c r="B3" s="1">
        <v>1</v>
      </c>
    </row>
    <row r="4" spans="1:2">
      <c r="A4" s="2" t="s">
        <v>141</v>
      </c>
      <c r="B4" s="1">
        <v>2</v>
      </c>
    </row>
    <row r="5" spans="1:2">
      <c r="A5" s="2" t="s">
        <v>143</v>
      </c>
      <c r="B5" s="1">
        <v>3</v>
      </c>
    </row>
    <row r="6" spans="1:2">
      <c r="A6" s="2" t="s">
        <v>145</v>
      </c>
      <c r="B6" s="1">
        <v>4</v>
      </c>
    </row>
    <row r="7" spans="1:2">
      <c r="A7" s="1" t="s">
        <v>1661</v>
      </c>
      <c r="B7" s="1">
        <v>5</v>
      </c>
    </row>
  </sheetData>
  <phoneticPr fontId="1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3"/>
  <dimension ref="A1:B7"/>
  <sheetViews>
    <sheetView showGridLines="0" workbookViewId="0">
      <selection activeCell="B2" sqref="B2:B7"/>
    </sheetView>
  </sheetViews>
  <sheetFormatPr defaultRowHeight="16.5"/>
  <cols>
    <col min="1" max="1" width="28.3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1146</v>
      </c>
      <c r="B2" s="3">
        <v>0</v>
      </c>
    </row>
    <row r="3" spans="1:2">
      <c r="A3" s="2" t="s">
        <v>1147</v>
      </c>
      <c r="B3" s="3">
        <v>1</v>
      </c>
    </row>
    <row r="4" spans="1:2">
      <c r="A4" s="2" t="s">
        <v>1148</v>
      </c>
      <c r="B4" s="3">
        <v>2</v>
      </c>
    </row>
    <row r="5" spans="1:2">
      <c r="A5" s="2" t="s">
        <v>1149</v>
      </c>
      <c r="B5" s="3">
        <v>3</v>
      </c>
    </row>
    <row r="6" spans="1:2">
      <c r="A6" s="2" t="s">
        <v>1150</v>
      </c>
      <c r="B6" s="3">
        <v>4</v>
      </c>
    </row>
    <row r="7" spans="1:2">
      <c r="A7" s="2" t="s">
        <v>1151</v>
      </c>
      <c r="B7" s="3">
        <v>5</v>
      </c>
    </row>
  </sheetData>
  <phoneticPr fontId="1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84"/>
  <dimension ref="A1:B3"/>
  <sheetViews>
    <sheetView workbookViewId="0">
      <selection activeCell="B4" sqref="B4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621</v>
      </c>
      <c r="B2" s="1">
        <v>0</v>
      </c>
    </row>
    <row r="3" spans="1:2">
      <c r="A3" s="13" t="s">
        <v>814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7"/>
  <dimension ref="A1:C4"/>
  <sheetViews>
    <sheetView workbookViewId="0">
      <selection activeCell="B5" sqref="B5"/>
    </sheetView>
  </sheetViews>
  <sheetFormatPr defaultColWidth="9" defaultRowHeight="16.5"/>
  <cols>
    <col min="1" max="1" width="8.875" style="28" bestFit="1" customWidth="1"/>
    <col min="2" max="2" width="8.875" style="28" customWidth="1"/>
    <col min="3" max="3" width="14.75" style="28" bestFit="1" customWidth="1"/>
    <col min="4" max="16384" width="9" style="28"/>
  </cols>
  <sheetData>
    <row r="1" spans="1:3">
      <c r="A1" s="27" t="s">
        <v>350</v>
      </c>
      <c r="B1" s="27"/>
      <c r="C1" s="5" t="str">
        <f>HYPERLINK("#'"&amp;A1&amp;"'!A1","전체 Type 이동")</f>
        <v>전체 Type 이동</v>
      </c>
    </row>
    <row r="2" spans="1:3">
      <c r="A2" s="28" t="s">
        <v>1234</v>
      </c>
      <c r="B2" s="28">
        <v>0</v>
      </c>
      <c r="C2" s="28" t="s">
        <v>1235</v>
      </c>
    </row>
    <row r="3" spans="1:3">
      <c r="A3" s="28" t="s">
        <v>1236</v>
      </c>
      <c r="B3" s="28">
        <v>1</v>
      </c>
      <c r="C3" s="28" t="s">
        <v>1237</v>
      </c>
    </row>
    <row r="4" spans="1:3">
      <c r="A4" s="28" t="s">
        <v>182</v>
      </c>
      <c r="B4" s="28">
        <v>2</v>
      </c>
      <c r="C4" s="28" t="s">
        <v>1238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40"/>
  <dimension ref="A1:C11"/>
  <sheetViews>
    <sheetView workbookViewId="0">
      <selection activeCell="B2" sqref="B2:B11"/>
    </sheetView>
  </sheetViews>
  <sheetFormatPr defaultColWidth="9" defaultRowHeight="16.5"/>
  <cols>
    <col min="1" max="1" width="15.25" style="1" bestFit="1" customWidth="1"/>
    <col min="2" max="2" width="15.25" style="1" customWidth="1"/>
    <col min="3" max="3" width="15.125" style="1" bestFit="1" customWidth="1"/>
    <col min="4" max="16384" width="9" style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2" t="s">
        <v>236</v>
      </c>
      <c r="B2" s="3">
        <v>0</v>
      </c>
    </row>
    <row r="3" spans="1:3">
      <c r="A3" s="2" t="s">
        <v>238</v>
      </c>
      <c r="B3" s="3">
        <v>1</v>
      </c>
    </row>
    <row r="4" spans="1:3">
      <c r="A4" s="2" t="s">
        <v>242</v>
      </c>
      <c r="B4" s="3">
        <v>2</v>
      </c>
    </row>
    <row r="5" spans="1:3">
      <c r="A5" s="2" t="s">
        <v>244</v>
      </c>
      <c r="B5" s="3">
        <v>3</v>
      </c>
    </row>
    <row r="6" spans="1:3">
      <c r="A6" s="2" t="s">
        <v>1166</v>
      </c>
      <c r="B6" s="3">
        <v>4</v>
      </c>
    </row>
    <row r="7" spans="1:3">
      <c r="A7" s="2" t="s">
        <v>254</v>
      </c>
      <c r="B7" s="3">
        <v>5</v>
      </c>
    </row>
    <row r="8" spans="1:3">
      <c r="A8" s="2" t="s">
        <v>256</v>
      </c>
      <c r="B8" s="3">
        <v>6</v>
      </c>
    </row>
    <row r="9" spans="1:3">
      <c r="A9" s="2" t="s">
        <v>1182</v>
      </c>
      <c r="B9" s="3">
        <v>7</v>
      </c>
    </row>
    <row r="10" spans="1:3">
      <c r="A10" s="2" t="s">
        <v>258</v>
      </c>
      <c r="B10" s="3">
        <v>8</v>
      </c>
    </row>
    <row r="11" spans="1:3">
      <c r="A11" s="2" t="s">
        <v>1190</v>
      </c>
      <c r="B11" s="3">
        <v>9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13"/>
  <dimension ref="A1:F4"/>
  <sheetViews>
    <sheetView zoomScaleNormal="100" workbookViewId="0">
      <selection activeCell="B5" sqref="B5"/>
    </sheetView>
  </sheetViews>
  <sheetFormatPr defaultColWidth="9.125" defaultRowHeight="16.5"/>
  <cols>
    <col min="1" max="1" width="9.125" style="44"/>
    <col min="2" max="3" width="9.125" style="47"/>
    <col min="4" max="4" width="9.125" style="46"/>
    <col min="5" max="6" width="9.125" style="45"/>
    <col min="7" max="16384" width="9.125" style="44"/>
  </cols>
  <sheetData>
    <row r="1" spans="1:2">
      <c r="A1" s="49" t="s">
        <v>1339</v>
      </c>
    </row>
    <row r="2" spans="1:2">
      <c r="A2" s="48" t="s">
        <v>1351</v>
      </c>
      <c r="B2" s="47">
        <v>0</v>
      </c>
    </row>
    <row r="3" spans="1:2">
      <c r="A3" s="48" t="s">
        <v>1350</v>
      </c>
      <c r="B3" s="47">
        <v>1</v>
      </c>
    </row>
    <row r="4" spans="1:2">
      <c r="A4" s="48" t="s">
        <v>1349</v>
      </c>
      <c r="B4" s="47">
        <v>2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1"/>
  <dimension ref="A1:I97"/>
  <sheetViews>
    <sheetView tabSelected="1" topLeftCell="A70" workbookViewId="0">
      <selection activeCell="G93" sqref="G93"/>
    </sheetView>
  </sheetViews>
  <sheetFormatPr defaultColWidth="9" defaultRowHeight="16.5"/>
  <cols>
    <col min="1" max="1" width="28.875" style="1" bestFit="1" customWidth="1"/>
    <col min="2" max="2" width="28.875" style="1" customWidth="1"/>
    <col min="3" max="3" width="15.125" style="1" bestFit="1" customWidth="1"/>
    <col min="4" max="16384" width="9" style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2" t="s">
        <v>265</v>
      </c>
      <c r="B2" s="3">
        <v>0</v>
      </c>
    </row>
    <row r="3" spans="1:3">
      <c r="A3" s="2" t="s">
        <v>267</v>
      </c>
      <c r="B3" s="3">
        <v>1</v>
      </c>
    </row>
    <row r="4" spans="1:3">
      <c r="A4" s="2" t="s">
        <v>269</v>
      </c>
      <c r="B4" s="3">
        <v>2</v>
      </c>
    </row>
    <row r="5" spans="1:3">
      <c r="A5" s="2" t="s">
        <v>271</v>
      </c>
      <c r="B5" s="3">
        <v>3</v>
      </c>
    </row>
    <row r="6" spans="1:3">
      <c r="A6" s="2" t="s">
        <v>273</v>
      </c>
      <c r="B6" s="3">
        <v>4</v>
      </c>
    </row>
    <row r="7" spans="1:3">
      <c r="A7" s="2" t="s">
        <v>275</v>
      </c>
      <c r="B7" s="3">
        <v>5</v>
      </c>
    </row>
    <row r="8" spans="1:3">
      <c r="A8" s="2" t="s">
        <v>277</v>
      </c>
      <c r="B8" s="3">
        <v>6</v>
      </c>
    </row>
    <row r="9" spans="1:3">
      <c r="A9" s="67" t="s">
        <v>299</v>
      </c>
      <c r="B9" s="3">
        <v>7</v>
      </c>
    </row>
    <row r="10" spans="1:3">
      <c r="A10" s="2" t="s">
        <v>281</v>
      </c>
      <c r="B10" s="3">
        <v>8</v>
      </c>
    </row>
    <row r="11" spans="1:3">
      <c r="A11" s="2" t="s">
        <v>1535</v>
      </c>
      <c r="B11" s="3">
        <v>9</v>
      </c>
    </row>
    <row r="12" spans="1:3">
      <c r="A12" s="2" t="s">
        <v>285</v>
      </c>
      <c r="B12" s="3">
        <v>10</v>
      </c>
    </row>
    <row r="13" spans="1:3">
      <c r="A13" s="2" t="s">
        <v>287</v>
      </c>
      <c r="B13" s="3">
        <v>11</v>
      </c>
    </row>
    <row r="14" spans="1:3">
      <c r="A14" s="2" t="s">
        <v>248</v>
      </c>
      <c r="B14" s="3">
        <v>12</v>
      </c>
    </row>
    <row r="15" spans="1:3">
      <c r="A15" s="2" t="s">
        <v>289</v>
      </c>
      <c r="B15" s="3">
        <v>13</v>
      </c>
    </row>
    <row r="16" spans="1:3">
      <c r="A16" s="2" t="s">
        <v>1334</v>
      </c>
      <c r="B16" s="3">
        <v>14</v>
      </c>
    </row>
    <row r="17" spans="1:3">
      <c r="A17" s="2" t="s">
        <v>297</v>
      </c>
      <c r="B17" s="3">
        <v>15</v>
      </c>
    </row>
    <row r="18" spans="1:3">
      <c r="A18" s="2" t="s">
        <v>1175</v>
      </c>
      <c r="B18" s="3">
        <v>16</v>
      </c>
    </row>
    <row r="19" spans="1:3">
      <c r="A19" s="2" t="s">
        <v>301</v>
      </c>
      <c r="B19" s="3">
        <v>17</v>
      </c>
    </row>
    <row r="20" spans="1:3">
      <c r="A20" s="2" t="s">
        <v>1213</v>
      </c>
      <c r="B20" s="3">
        <v>18</v>
      </c>
    </row>
    <row r="21" spans="1:3">
      <c r="A21" s="2" t="s">
        <v>1448</v>
      </c>
      <c r="B21" s="3">
        <v>25</v>
      </c>
    </row>
    <row r="22" spans="1:3">
      <c r="A22" s="2" t="s">
        <v>1209</v>
      </c>
      <c r="B22" s="3">
        <v>26</v>
      </c>
    </row>
    <row r="23" spans="1:3">
      <c r="A23" s="2" t="s">
        <v>1331</v>
      </c>
      <c r="B23" s="3">
        <v>27</v>
      </c>
    </row>
    <row r="24" spans="1:3">
      <c r="A24" s="2" t="s">
        <v>1154</v>
      </c>
      <c r="B24" s="3">
        <v>28</v>
      </c>
    </row>
    <row r="25" spans="1:3">
      <c r="A25" s="2" t="s">
        <v>1205</v>
      </c>
      <c r="B25" s="3">
        <v>29</v>
      </c>
      <c r="C25" s="1" t="s">
        <v>1652</v>
      </c>
    </row>
    <row r="26" spans="1:3">
      <c r="A26" s="2" t="s">
        <v>1178</v>
      </c>
      <c r="B26" s="3">
        <v>30</v>
      </c>
    </row>
    <row r="27" spans="1:3">
      <c r="A27" s="2" t="s">
        <v>1210</v>
      </c>
      <c r="B27" s="3">
        <v>31</v>
      </c>
    </row>
    <row r="28" spans="1:3">
      <c r="A28" s="2" t="s">
        <v>1244</v>
      </c>
      <c r="B28" s="3">
        <v>32</v>
      </c>
    </row>
    <row r="29" spans="1:3">
      <c r="A29" s="2" t="s">
        <v>1245</v>
      </c>
      <c r="B29" s="3">
        <v>33</v>
      </c>
    </row>
    <row r="30" spans="1:3">
      <c r="A30" s="2" t="s">
        <v>1285</v>
      </c>
      <c r="B30" s="3">
        <v>34</v>
      </c>
    </row>
    <row r="31" spans="1:3">
      <c r="A31" s="23" t="s">
        <v>1498</v>
      </c>
      <c r="B31" s="3">
        <v>35</v>
      </c>
    </row>
    <row r="32" spans="1:3">
      <c r="A32" s="23" t="s">
        <v>1499</v>
      </c>
      <c r="B32" s="3">
        <v>36</v>
      </c>
    </row>
    <row r="33" spans="1:3">
      <c r="A33" s="23" t="s">
        <v>1500</v>
      </c>
      <c r="B33" s="3">
        <v>37</v>
      </c>
    </row>
    <row r="34" spans="1:3">
      <c r="A34" s="2" t="s">
        <v>1289</v>
      </c>
      <c r="B34" s="3">
        <v>38</v>
      </c>
    </row>
    <row r="35" spans="1:3">
      <c r="A35" s="2" t="s">
        <v>1335</v>
      </c>
      <c r="B35" s="3">
        <v>42</v>
      </c>
    </row>
    <row r="36" spans="1:3">
      <c r="A36" s="2" t="s">
        <v>1434</v>
      </c>
      <c r="B36" s="3">
        <v>43</v>
      </c>
    </row>
    <row r="37" spans="1:3">
      <c r="A37" s="2" t="s">
        <v>1451</v>
      </c>
      <c r="B37" s="3">
        <v>44</v>
      </c>
    </row>
    <row r="38" spans="1:3">
      <c r="A38" s="2" t="s">
        <v>1455</v>
      </c>
      <c r="B38" s="3">
        <v>45</v>
      </c>
    </row>
    <row r="39" spans="1:3">
      <c r="A39" s="2" t="s">
        <v>1491</v>
      </c>
      <c r="B39" s="3">
        <v>46</v>
      </c>
      <c r="C39" s="1" t="s">
        <v>1494</v>
      </c>
    </row>
    <row r="40" spans="1:3">
      <c r="A40" s="2" t="s">
        <v>1492</v>
      </c>
      <c r="B40" s="3">
        <v>47</v>
      </c>
      <c r="C40" s="1" t="s">
        <v>1495</v>
      </c>
    </row>
    <row r="41" spans="1:3">
      <c r="A41" s="2" t="s">
        <v>1512</v>
      </c>
      <c r="B41" s="3">
        <v>48</v>
      </c>
      <c r="C41" s="1" t="s">
        <v>1496</v>
      </c>
    </row>
    <row r="42" spans="1:3">
      <c r="A42" s="2" t="s">
        <v>1493</v>
      </c>
      <c r="B42" s="3">
        <v>50</v>
      </c>
      <c r="C42" s="1" t="s">
        <v>1497</v>
      </c>
    </row>
    <row r="43" spans="1:3">
      <c r="A43" s="13" t="s">
        <v>1504</v>
      </c>
      <c r="B43" s="3">
        <v>52</v>
      </c>
    </row>
    <row r="44" spans="1:3">
      <c r="A44" s="2" t="s">
        <v>1229</v>
      </c>
      <c r="B44" s="3">
        <v>53</v>
      </c>
    </row>
    <row r="45" spans="1:3">
      <c r="A45" s="2" t="s">
        <v>1505</v>
      </c>
      <c r="B45" s="3">
        <v>54</v>
      </c>
    </row>
    <row r="46" spans="1:3">
      <c r="A46" s="2" t="s">
        <v>1433</v>
      </c>
      <c r="B46" s="3">
        <v>55</v>
      </c>
    </row>
    <row r="47" spans="1:3">
      <c r="A47" s="2" t="s">
        <v>1507</v>
      </c>
      <c r="B47" s="3">
        <v>56</v>
      </c>
    </row>
    <row r="48" spans="1:3">
      <c r="A48" s="2" t="s">
        <v>1508</v>
      </c>
      <c r="B48" s="3">
        <v>57</v>
      </c>
    </row>
    <row r="49" spans="1:9">
      <c r="A49" s="2" t="s">
        <v>1509</v>
      </c>
      <c r="B49" s="3">
        <v>58</v>
      </c>
    </row>
    <row r="50" spans="1:9">
      <c r="A50" s="2" t="s">
        <v>1510</v>
      </c>
      <c r="B50" s="3">
        <v>59</v>
      </c>
    </row>
    <row r="51" spans="1:9">
      <c r="A51" s="2" t="s">
        <v>1511</v>
      </c>
      <c r="B51" s="3">
        <v>61</v>
      </c>
    </row>
    <row r="52" spans="1:9">
      <c r="A52" s="2" t="s">
        <v>1513</v>
      </c>
      <c r="B52" s="3">
        <v>62</v>
      </c>
    </row>
    <row r="53" spans="1:9">
      <c r="A53" s="68" t="s">
        <v>1514</v>
      </c>
      <c r="B53" s="3">
        <v>63</v>
      </c>
    </row>
    <row r="54" spans="1:9">
      <c r="A54" s="2" t="s">
        <v>1515</v>
      </c>
      <c r="B54" s="3">
        <v>64</v>
      </c>
    </row>
    <row r="55" spans="1:9">
      <c r="A55" s="2" t="s">
        <v>1516</v>
      </c>
      <c r="B55" s="3">
        <v>65</v>
      </c>
    </row>
    <row r="56" spans="1:9">
      <c r="A56" s="2" t="s">
        <v>1517</v>
      </c>
      <c r="B56" s="3">
        <v>66</v>
      </c>
      <c r="I56" s="1" t="s">
        <v>1647</v>
      </c>
    </row>
    <row r="57" spans="1:9">
      <c r="A57" s="2" t="s">
        <v>1524</v>
      </c>
      <c r="B57" s="3">
        <v>67</v>
      </c>
    </row>
    <row r="58" spans="1:9">
      <c r="A58" s="2" t="s">
        <v>1526</v>
      </c>
      <c r="B58" s="3">
        <v>69</v>
      </c>
    </row>
    <row r="59" spans="1:9">
      <c r="A59" s="2" t="s">
        <v>1251</v>
      </c>
      <c r="B59" s="3">
        <v>70</v>
      </c>
    </row>
    <row r="60" spans="1:9">
      <c r="A60" s="2" t="s">
        <v>1631</v>
      </c>
      <c r="B60" s="3">
        <v>71</v>
      </c>
    </row>
    <row r="61" spans="1:9">
      <c r="A61" s="2" t="s">
        <v>1531</v>
      </c>
      <c r="B61" s="3">
        <v>73</v>
      </c>
      <c r="C61" s="1" t="s">
        <v>1532</v>
      </c>
    </row>
    <row r="62" spans="1:9">
      <c r="A62" s="2" t="s">
        <v>1533</v>
      </c>
      <c r="B62" s="3">
        <v>74</v>
      </c>
    </row>
    <row r="63" spans="1:9">
      <c r="A63" s="2" t="s">
        <v>1538</v>
      </c>
      <c r="B63" s="3">
        <v>75</v>
      </c>
    </row>
    <row r="64" spans="1:9">
      <c r="A64" s="2" t="s">
        <v>1564</v>
      </c>
      <c r="B64" s="3">
        <v>77</v>
      </c>
      <c r="C64" s="1" t="s">
        <v>1565</v>
      </c>
    </row>
    <row r="65" spans="1:3">
      <c r="A65" s="2" t="s">
        <v>1630</v>
      </c>
      <c r="B65" s="3">
        <v>78</v>
      </c>
    </row>
    <row r="66" spans="1:3">
      <c r="A66" s="2" t="s">
        <v>1640</v>
      </c>
      <c r="B66" s="3">
        <v>79</v>
      </c>
    </row>
    <row r="67" spans="1:3">
      <c r="A67" s="2" t="s">
        <v>1648</v>
      </c>
      <c r="B67" s="3">
        <v>81</v>
      </c>
    </row>
    <row r="68" spans="1:3">
      <c r="A68" s="2" t="s">
        <v>1649</v>
      </c>
      <c r="B68" s="3">
        <v>82</v>
      </c>
    </row>
    <row r="69" spans="1:3">
      <c r="A69" s="2" t="s">
        <v>1650</v>
      </c>
      <c r="B69" s="3">
        <v>83</v>
      </c>
      <c r="C69" s="1" t="s">
        <v>1651</v>
      </c>
    </row>
    <row r="70" spans="1:3">
      <c r="A70" s="2" t="s">
        <v>1668</v>
      </c>
      <c r="B70" s="3">
        <v>84</v>
      </c>
    </row>
    <row r="71" spans="1:3">
      <c r="A71" s="2" t="s">
        <v>1672</v>
      </c>
      <c r="B71" s="3">
        <v>85</v>
      </c>
    </row>
    <row r="72" spans="1:3">
      <c r="A72" s="2" t="s">
        <v>1692</v>
      </c>
      <c r="B72" s="3">
        <v>86</v>
      </c>
      <c r="C72" s="1" t="s">
        <v>1693</v>
      </c>
    </row>
    <row r="73" spans="1:3">
      <c r="A73" s="2" t="s">
        <v>1694</v>
      </c>
      <c r="B73" s="3">
        <v>87</v>
      </c>
      <c r="C73" s="1" t="s">
        <v>1695</v>
      </c>
    </row>
    <row r="74" spans="1:3">
      <c r="A74" s="2" t="s">
        <v>1696</v>
      </c>
      <c r="B74" s="3">
        <v>88</v>
      </c>
    </row>
    <row r="75" spans="1:3">
      <c r="A75" s="2" t="s">
        <v>1698</v>
      </c>
      <c r="B75" s="3">
        <v>89</v>
      </c>
    </row>
    <row r="76" spans="1:3">
      <c r="A76" s="2" t="s">
        <v>1713</v>
      </c>
      <c r="B76" s="73">
        <v>90</v>
      </c>
      <c r="C76" s="1" t="s">
        <v>1714</v>
      </c>
    </row>
    <row r="77" spans="1:3">
      <c r="A77" s="2" t="s">
        <v>1720</v>
      </c>
      <c r="B77" s="73">
        <v>91</v>
      </c>
    </row>
    <row r="78" spans="1:3">
      <c r="A78" s="2" t="s">
        <v>1741</v>
      </c>
      <c r="B78" s="73">
        <v>92</v>
      </c>
    </row>
    <row r="79" spans="1:3">
      <c r="A79" s="2" t="s">
        <v>1766</v>
      </c>
      <c r="B79" s="3">
        <v>93</v>
      </c>
    </row>
    <row r="80" spans="1:3">
      <c r="A80" s="2" t="s">
        <v>1771</v>
      </c>
      <c r="B80" s="3">
        <v>94</v>
      </c>
    </row>
    <row r="81" spans="1:3">
      <c r="A81" s="2" t="s">
        <v>1780</v>
      </c>
      <c r="B81" s="3">
        <v>95</v>
      </c>
      <c r="C81" s="1" t="s">
        <v>1779</v>
      </c>
    </row>
    <row r="82" spans="1:3">
      <c r="A82" s="2" t="s">
        <v>1782</v>
      </c>
      <c r="B82" s="3">
        <v>96</v>
      </c>
      <c r="C82" s="1" t="s">
        <v>1783</v>
      </c>
    </row>
    <row r="83" spans="1:3">
      <c r="A83" s="2" t="s">
        <v>1790</v>
      </c>
      <c r="B83" s="3">
        <v>97</v>
      </c>
    </row>
    <row r="84" spans="1:3">
      <c r="A84" s="2" t="s">
        <v>1797</v>
      </c>
      <c r="B84" s="3">
        <v>98</v>
      </c>
      <c r="C84" s="1" t="s">
        <v>1798</v>
      </c>
    </row>
    <row r="85" spans="1:3">
      <c r="A85" s="2" t="s">
        <v>1820</v>
      </c>
      <c r="B85" s="3">
        <v>99</v>
      </c>
      <c r="C85" s="1" t="s">
        <v>1821</v>
      </c>
    </row>
    <row r="86" spans="1:3">
      <c r="A86" s="2" t="s">
        <v>1822</v>
      </c>
      <c r="B86" s="3">
        <v>100</v>
      </c>
    </row>
    <row r="87" spans="1:3">
      <c r="A87" s="2" t="s">
        <v>1823</v>
      </c>
      <c r="B87" s="3">
        <v>101</v>
      </c>
    </row>
    <row r="88" spans="1:3">
      <c r="A88" s="2" t="s">
        <v>1863</v>
      </c>
      <c r="B88" s="3">
        <v>102</v>
      </c>
      <c r="C88" s="1" t="s">
        <v>1864</v>
      </c>
    </row>
    <row r="89" spans="1:3">
      <c r="A89" s="2" t="s">
        <v>1874</v>
      </c>
      <c r="B89" s="3">
        <v>103</v>
      </c>
      <c r="C89" s="1" t="s">
        <v>1873</v>
      </c>
    </row>
    <row r="90" spans="1:3">
      <c r="A90" s="2" t="s">
        <v>1875</v>
      </c>
      <c r="B90" s="3">
        <v>104</v>
      </c>
      <c r="C90" s="1" t="s">
        <v>1916</v>
      </c>
    </row>
    <row r="91" spans="1:3">
      <c r="A91" s="2" t="s">
        <v>1881</v>
      </c>
      <c r="B91" s="3">
        <v>105</v>
      </c>
    </row>
    <row r="92" spans="1:3">
      <c r="A92" s="2" t="s">
        <v>1899</v>
      </c>
      <c r="B92" s="3">
        <v>106</v>
      </c>
    </row>
    <row r="93" spans="1:3">
      <c r="A93" s="2" t="s">
        <v>1914</v>
      </c>
      <c r="B93" s="3">
        <v>107</v>
      </c>
    </row>
    <row r="94" spans="1:3">
      <c r="A94" s="2" t="s">
        <v>1917</v>
      </c>
      <c r="B94" s="3">
        <v>108</v>
      </c>
      <c r="C94" s="1" t="s">
        <v>1915</v>
      </c>
    </row>
    <row r="95" spans="1:3">
      <c r="A95" s="2" t="s">
        <v>1919</v>
      </c>
      <c r="B95" s="3">
        <v>109</v>
      </c>
    </row>
    <row r="96" spans="1:3">
      <c r="A96" s="3" t="s">
        <v>1923</v>
      </c>
      <c r="B96" s="3">
        <v>110</v>
      </c>
    </row>
    <row r="97" spans="1:2">
      <c r="A97" s="1" t="s">
        <v>1931</v>
      </c>
      <c r="B97" s="1">
        <v>111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"/>
  <sheetViews>
    <sheetView workbookViewId="0">
      <selection activeCell="B2" sqref="B2"/>
    </sheetView>
  </sheetViews>
  <sheetFormatPr defaultRowHeight="16.5"/>
  <cols>
    <col min="1" max="1" width="16.25" bestFit="1" customWidth="1"/>
  </cols>
  <sheetData>
    <row r="1" spans="1:2">
      <c r="A1" s="12" t="s">
        <v>350</v>
      </c>
    </row>
    <row r="2" spans="1:2">
      <c r="A2" s="23" t="s">
        <v>1452</v>
      </c>
      <c r="B2">
        <v>0</v>
      </c>
    </row>
  </sheetData>
  <phoneticPr fontId="1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8"/>
  <dimension ref="A1:B8"/>
  <sheetViews>
    <sheetView workbookViewId="0">
      <selection activeCell="B9" sqref="B9"/>
    </sheetView>
  </sheetViews>
  <sheetFormatPr defaultRowHeight="16.5"/>
  <sheetData>
    <row r="1" spans="1:2">
      <c r="A1" s="12" t="s">
        <v>350</v>
      </c>
    </row>
    <row r="2" spans="1:2">
      <c r="A2" s="23" t="s">
        <v>1187</v>
      </c>
      <c r="B2">
        <v>0</v>
      </c>
    </row>
    <row r="3" spans="1:2">
      <c r="A3" s="21" t="s">
        <v>1183</v>
      </c>
      <c r="B3">
        <v>1</v>
      </c>
    </row>
    <row r="4" spans="1:2">
      <c r="A4" s="21" t="s">
        <v>1184</v>
      </c>
      <c r="B4">
        <v>2</v>
      </c>
    </row>
    <row r="5" spans="1:2">
      <c r="A5" s="23" t="s">
        <v>1185</v>
      </c>
      <c r="B5">
        <v>3</v>
      </c>
    </row>
    <row r="6" spans="1:2">
      <c r="A6" s="23" t="s">
        <v>1189</v>
      </c>
      <c r="B6">
        <v>4</v>
      </c>
    </row>
    <row r="7" spans="1:2">
      <c r="A7" s="23" t="s">
        <v>1188</v>
      </c>
      <c r="B7">
        <v>5</v>
      </c>
    </row>
    <row r="8" spans="1:2">
      <c r="A8" s="23" t="s">
        <v>1186</v>
      </c>
      <c r="B8">
        <v>6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4"/>
  <dimension ref="A1:B6"/>
  <sheetViews>
    <sheetView workbookViewId="0">
      <selection activeCell="B7" sqref="B7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80</v>
      </c>
      <c r="B2" s="1">
        <v>0</v>
      </c>
    </row>
    <row r="3" spans="1:2">
      <c r="A3" s="2" t="s">
        <v>82</v>
      </c>
      <c r="B3" s="1">
        <v>1</v>
      </c>
    </row>
    <row r="4" spans="1:2">
      <c r="A4" s="2" t="s">
        <v>84</v>
      </c>
      <c r="B4" s="1">
        <v>2</v>
      </c>
    </row>
    <row r="5" spans="1:2">
      <c r="A5" s="2" t="s">
        <v>86</v>
      </c>
      <c r="B5" s="1">
        <v>3</v>
      </c>
    </row>
    <row r="6" spans="1:2">
      <c r="A6" s="2" t="s">
        <v>88</v>
      </c>
      <c r="B6" s="1">
        <v>4</v>
      </c>
    </row>
  </sheetData>
  <phoneticPr fontId="1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79"/>
  <dimension ref="A1:C29"/>
  <sheetViews>
    <sheetView workbookViewId="0">
      <selection activeCell="A30" sqref="A30"/>
    </sheetView>
  </sheetViews>
  <sheetFormatPr defaultRowHeight="16.5"/>
  <cols>
    <col min="1" max="1" width="20.75" bestFit="1" customWidth="1"/>
    <col min="2" max="2" width="20.75" customWidth="1"/>
    <col min="3" max="3" width="25.3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74" t="s">
        <v>309</v>
      </c>
      <c r="B2" s="74">
        <v>0</v>
      </c>
      <c r="C2" s="1"/>
    </row>
    <row r="3" spans="1:3">
      <c r="A3" s="74" t="s">
        <v>812</v>
      </c>
      <c r="B3" s="74">
        <v>1</v>
      </c>
      <c r="C3" s="1"/>
    </row>
    <row r="4" spans="1:3">
      <c r="A4" s="74" t="s">
        <v>1313</v>
      </c>
      <c r="B4" s="74">
        <v>10</v>
      </c>
      <c r="C4" s="1"/>
    </row>
    <row r="5" spans="1:3">
      <c r="A5" s="74" t="s">
        <v>1165</v>
      </c>
      <c r="B5" s="74">
        <v>11</v>
      </c>
      <c r="C5" s="1"/>
    </row>
    <row r="6" spans="1:3">
      <c r="A6" s="74" t="s">
        <v>1569</v>
      </c>
      <c r="B6" s="74">
        <v>12</v>
      </c>
      <c r="C6" s="1"/>
    </row>
    <row r="7" spans="1:3">
      <c r="A7" s="74" t="s">
        <v>1570</v>
      </c>
      <c r="B7" s="74">
        <v>13</v>
      </c>
    </row>
    <row r="8" spans="1:3">
      <c r="A8" s="74" t="s">
        <v>1824</v>
      </c>
      <c r="B8" s="74">
        <v>38</v>
      </c>
    </row>
    <row r="9" spans="1:3">
      <c r="A9" s="74" t="s">
        <v>1825</v>
      </c>
      <c r="B9" s="74">
        <v>39</v>
      </c>
    </row>
    <row r="10" spans="1:3">
      <c r="A10" s="74" t="s">
        <v>1311</v>
      </c>
      <c r="B10" s="74">
        <v>16</v>
      </c>
    </row>
    <row r="11" spans="1:3">
      <c r="A11" s="74" t="s">
        <v>1312</v>
      </c>
      <c r="B11" s="74">
        <v>17</v>
      </c>
    </row>
    <row r="12" spans="1:3">
      <c r="A12" s="74" t="s">
        <v>1314</v>
      </c>
      <c r="B12" s="74">
        <v>18</v>
      </c>
    </row>
    <row r="13" spans="1:3">
      <c r="A13" s="74" t="s">
        <v>1111</v>
      </c>
      <c r="B13" s="74">
        <v>25</v>
      </c>
    </row>
    <row r="14" spans="1:3">
      <c r="A14" s="74" t="s">
        <v>1343</v>
      </c>
      <c r="B14" s="74">
        <v>26</v>
      </c>
    </row>
    <row r="15" spans="1:3">
      <c r="A15" s="74" t="s">
        <v>1433</v>
      </c>
      <c r="B15" s="74">
        <v>27</v>
      </c>
    </row>
    <row r="16" spans="1:3">
      <c r="A16" s="74" t="s">
        <v>1434</v>
      </c>
      <c r="B16" s="74">
        <v>28</v>
      </c>
    </row>
    <row r="17" spans="1:2">
      <c r="A17" s="74" t="s">
        <v>1577</v>
      </c>
      <c r="B17" s="74">
        <v>30</v>
      </c>
    </row>
    <row r="18" spans="1:2">
      <c r="A18" s="74" t="s">
        <v>1662</v>
      </c>
      <c r="B18" s="74">
        <v>31</v>
      </c>
    </row>
    <row r="19" spans="1:2">
      <c r="A19" s="74" t="s">
        <v>1689</v>
      </c>
      <c r="B19" s="74">
        <v>32</v>
      </c>
    </row>
    <row r="20" spans="1:2">
      <c r="A20" s="74" t="s">
        <v>1772</v>
      </c>
      <c r="B20" s="74">
        <v>33</v>
      </c>
    </row>
    <row r="21" spans="1:2">
      <c r="A21" s="74" t="s">
        <v>1789</v>
      </c>
      <c r="B21" s="74">
        <v>34</v>
      </c>
    </row>
    <row r="22" spans="1:2">
      <c r="A22" s="74" t="s">
        <v>1799</v>
      </c>
      <c r="B22" s="74">
        <v>35</v>
      </c>
    </row>
    <row r="23" spans="1:2">
      <c r="A23" s="74" t="s">
        <v>1800</v>
      </c>
      <c r="B23" s="74">
        <v>36</v>
      </c>
    </row>
    <row r="24" spans="1:2">
      <c r="A24" s="74" t="s">
        <v>1801</v>
      </c>
      <c r="B24" s="74">
        <v>37</v>
      </c>
    </row>
    <row r="25" spans="1:2">
      <c r="A25" s="74" t="s">
        <v>1837</v>
      </c>
      <c r="B25" s="74">
        <v>40</v>
      </c>
    </row>
    <row r="26" spans="1:2">
      <c r="A26" s="74" t="s">
        <v>1838</v>
      </c>
      <c r="B26" s="74">
        <v>41</v>
      </c>
    </row>
    <row r="27" spans="1:2">
      <c r="A27" s="74" t="s">
        <v>1862</v>
      </c>
      <c r="B27" s="74">
        <v>42</v>
      </c>
    </row>
    <row r="28" spans="1:2">
      <c r="A28" s="74" t="s">
        <v>1899</v>
      </c>
      <c r="B28" s="74">
        <v>43</v>
      </c>
    </row>
    <row r="29" spans="1:2">
      <c r="A29" s="74" t="s">
        <v>1923</v>
      </c>
      <c r="B29" s="74">
        <v>44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69"/>
  <dimension ref="A1:G16"/>
  <sheetViews>
    <sheetView workbookViewId="0">
      <selection activeCell="K13" sqref="K13"/>
    </sheetView>
  </sheetViews>
  <sheetFormatPr defaultRowHeight="16.5"/>
  <cols>
    <col min="1" max="1" width="15.875" bestFit="1" customWidth="1"/>
    <col min="2" max="2" width="15.875" customWidth="1"/>
    <col min="3" max="3" width="14.75" bestFit="1" customWidth="1"/>
  </cols>
  <sheetData>
    <row r="1" spans="1:7">
      <c r="A1" s="53" t="s">
        <v>350</v>
      </c>
      <c r="B1" s="53"/>
      <c r="C1" s="41" t="str">
        <f>HYPERLINK("#'"&amp;A1&amp;"'!A1","전체 Type 이동")</f>
        <v>전체 Type 이동</v>
      </c>
      <c r="D1" s="39"/>
      <c r="E1" s="39"/>
    </row>
    <row r="2" spans="1:7">
      <c r="A2" s="92" t="s">
        <v>1222</v>
      </c>
      <c r="B2" s="92">
        <v>0</v>
      </c>
      <c r="C2" s="39"/>
      <c r="D2" s="39"/>
      <c r="E2" s="39"/>
      <c r="F2" s="39"/>
      <c r="G2" s="39"/>
    </row>
    <row r="3" spans="1:7">
      <c r="A3" s="92" t="s">
        <v>1224</v>
      </c>
      <c r="B3" s="92">
        <v>1</v>
      </c>
      <c r="C3" s="39"/>
      <c r="D3" s="39"/>
      <c r="E3" s="39"/>
      <c r="F3" s="39"/>
      <c r="G3" s="39"/>
    </row>
    <row r="4" spans="1:7">
      <c r="A4" s="92" t="s">
        <v>1332</v>
      </c>
      <c r="B4" s="92">
        <v>2</v>
      </c>
      <c r="C4" s="39"/>
      <c r="D4" s="39"/>
      <c r="E4" s="39"/>
      <c r="F4" s="39"/>
      <c r="G4" s="39"/>
    </row>
    <row r="5" spans="1:7">
      <c r="A5" s="92" t="s">
        <v>1223</v>
      </c>
      <c r="B5" s="92">
        <v>3</v>
      </c>
      <c r="C5" s="39"/>
      <c r="D5" s="39"/>
      <c r="E5" s="39"/>
      <c r="F5" s="39"/>
      <c r="G5" s="39"/>
    </row>
    <row r="6" spans="1:7">
      <c r="A6" s="92" t="s">
        <v>1225</v>
      </c>
      <c r="B6" s="92">
        <v>4</v>
      </c>
      <c r="C6" s="39"/>
      <c r="D6" s="39"/>
      <c r="E6" s="39"/>
      <c r="F6" s="39"/>
      <c r="G6" s="39"/>
    </row>
    <row r="7" spans="1:7">
      <c r="A7" s="92" t="s">
        <v>1226</v>
      </c>
      <c r="B7" s="92">
        <v>5</v>
      </c>
      <c r="C7" s="39"/>
      <c r="D7" s="39"/>
      <c r="E7" s="39"/>
      <c r="F7" s="39"/>
      <c r="G7" s="39"/>
    </row>
    <row r="8" spans="1:7">
      <c r="A8" s="92" t="s">
        <v>1437</v>
      </c>
      <c r="B8" s="92">
        <v>6</v>
      </c>
      <c r="C8" s="39"/>
      <c r="D8" s="39"/>
      <c r="E8" s="39"/>
      <c r="F8" s="39"/>
      <c r="G8" s="39"/>
    </row>
    <row r="9" spans="1:7">
      <c r="A9" s="92" t="s">
        <v>1566</v>
      </c>
      <c r="B9" s="92">
        <v>7</v>
      </c>
      <c r="C9" s="39"/>
      <c r="D9" s="39"/>
      <c r="E9" s="39"/>
      <c r="F9" s="39"/>
      <c r="G9" s="39"/>
    </row>
    <row r="10" spans="1:7">
      <c r="A10" s="92" t="s">
        <v>1567</v>
      </c>
      <c r="B10" s="92">
        <v>8</v>
      </c>
      <c r="C10" s="39"/>
      <c r="D10" s="39"/>
      <c r="E10" s="39"/>
      <c r="F10" s="39"/>
      <c r="G10" s="39"/>
    </row>
    <row r="11" spans="1:7">
      <c r="A11" s="92" t="s">
        <v>1568</v>
      </c>
      <c r="B11" s="92">
        <v>9</v>
      </c>
      <c r="C11" s="39"/>
      <c r="D11" s="39"/>
      <c r="E11" s="39"/>
      <c r="F11" s="39"/>
      <c r="G11" s="39"/>
    </row>
    <row r="12" spans="1:7">
      <c r="A12" s="92" t="s">
        <v>1891</v>
      </c>
      <c r="B12" s="92">
        <v>10</v>
      </c>
      <c r="C12" s="39"/>
      <c r="D12" s="39"/>
      <c r="E12" s="39"/>
      <c r="F12" s="39"/>
      <c r="G12" s="39"/>
    </row>
    <row r="13" spans="1:7">
      <c r="A13" s="92" t="s">
        <v>1892</v>
      </c>
      <c r="B13" s="92">
        <v>11</v>
      </c>
      <c r="C13" s="39"/>
      <c r="D13" s="39"/>
      <c r="E13" s="39"/>
      <c r="F13" s="39"/>
      <c r="G13" s="39"/>
    </row>
    <row r="14" spans="1:7">
      <c r="A14" s="92" t="s">
        <v>1913</v>
      </c>
      <c r="B14" s="92">
        <v>12</v>
      </c>
      <c r="C14" s="39"/>
      <c r="D14" s="39"/>
      <c r="E14" s="39"/>
      <c r="F14" s="39"/>
      <c r="G14" s="39"/>
    </row>
    <row r="15" spans="1:7">
      <c r="A15" s="93" t="s">
        <v>1928</v>
      </c>
      <c r="B15" s="92">
        <v>13</v>
      </c>
      <c r="C15" s="39"/>
      <c r="D15" s="39"/>
      <c r="E15" s="39"/>
      <c r="F15" s="39"/>
      <c r="G15" s="39"/>
    </row>
    <row r="16" spans="1:7">
      <c r="A16" s="94" t="s">
        <v>1927</v>
      </c>
      <c r="B16" s="92">
        <v>14</v>
      </c>
      <c r="C16" s="39"/>
      <c r="D16" s="39"/>
      <c r="E16" s="39"/>
      <c r="F16" s="39"/>
      <c r="G16" s="39"/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6"/>
  <dimension ref="A1:B3"/>
  <sheetViews>
    <sheetView workbookViewId="0">
      <selection activeCell="B4" sqref="B4"/>
    </sheetView>
  </sheetViews>
  <sheetFormatPr defaultColWidth="9" defaultRowHeight="16.5"/>
  <cols>
    <col min="1" max="1" width="9.62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101</v>
      </c>
      <c r="B2" s="1">
        <v>0</v>
      </c>
    </row>
    <row r="3" spans="1:2">
      <c r="A3" s="2" t="s">
        <v>103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97"/>
  <dimension ref="A1:B7"/>
  <sheetViews>
    <sheetView workbookViewId="0">
      <selection activeCell="B8" sqref="B8"/>
    </sheetView>
  </sheetViews>
  <sheetFormatPr defaultRowHeight="16.5"/>
  <cols>
    <col min="1" max="1" width="11.25" bestFit="1" customWidth="1"/>
    <col min="2" max="2" width="14.75" bestFit="1" customWidth="1"/>
  </cols>
  <sheetData>
    <row r="1" spans="1:2" s="1" customFormat="1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1200</v>
      </c>
      <c r="B2">
        <v>0</v>
      </c>
    </row>
    <row r="3" spans="1:2">
      <c r="A3" t="s">
        <v>1201</v>
      </c>
      <c r="B3">
        <v>1</v>
      </c>
    </row>
    <row r="4" spans="1:2">
      <c r="A4" t="s">
        <v>1202</v>
      </c>
      <c r="B4">
        <v>2</v>
      </c>
    </row>
    <row r="5" spans="1:2">
      <c r="A5" t="s">
        <v>1320</v>
      </c>
      <c r="B5">
        <v>3</v>
      </c>
    </row>
    <row r="6" spans="1:2">
      <c r="A6" t="s">
        <v>1321</v>
      </c>
      <c r="B6">
        <v>4</v>
      </c>
    </row>
    <row r="7" spans="1:2">
      <c r="A7" t="s">
        <v>1203</v>
      </c>
      <c r="B7">
        <v>5</v>
      </c>
    </row>
  </sheetData>
  <phoneticPr fontId="1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15"/>
  <dimension ref="A1:B19"/>
  <sheetViews>
    <sheetView workbookViewId="0">
      <selection activeCell="B20" sqref="B20"/>
    </sheetView>
  </sheetViews>
  <sheetFormatPr defaultRowHeight="16.5"/>
  <sheetData>
    <row r="1" spans="1:2">
      <c r="A1" t="s">
        <v>1352</v>
      </c>
    </row>
    <row r="2" spans="1:2">
      <c r="A2" t="s">
        <v>1346</v>
      </c>
      <c r="B2">
        <v>0</v>
      </c>
    </row>
    <row r="3" spans="1:2">
      <c r="A3" t="s">
        <v>1404</v>
      </c>
      <c r="B3">
        <v>1</v>
      </c>
    </row>
    <row r="4" spans="1:2">
      <c r="A4" t="s">
        <v>1357</v>
      </c>
      <c r="B4">
        <v>2</v>
      </c>
    </row>
    <row r="5" spans="1:2">
      <c r="A5" t="s">
        <v>1356</v>
      </c>
      <c r="B5">
        <v>3</v>
      </c>
    </row>
    <row r="6" spans="1:2">
      <c r="A6" t="s">
        <v>1355</v>
      </c>
      <c r="B6">
        <v>4</v>
      </c>
    </row>
    <row r="7" spans="1:2">
      <c r="A7" t="s">
        <v>1354</v>
      </c>
      <c r="B7">
        <v>5</v>
      </c>
    </row>
    <row r="8" spans="1:2">
      <c r="A8" t="s">
        <v>1353</v>
      </c>
      <c r="B8">
        <v>6</v>
      </c>
    </row>
    <row r="9" spans="1:2">
      <c r="A9" t="s">
        <v>1402</v>
      </c>
      <c r="B9">
        <v>7</v>
      </c>
    </row>
    <row r="10" spans="1:2">
      <c r="A10" t="s">
        <v>1403</v>
      </c>
      <c r="B10">
        <v>8</v>
      </c>
    </row>
    <row r="11" spans="1:2">
      <c r="A11" t="s">
        <v>1737</v>
      </c>
      <c r="B11">
        <v>9</v>
      </c>
    </row>
    <row r="12" spans="1:2">
      <c r="A12" t="s">
        <v>1738</v>
      </c>
      <c r="B12">
        <v>10</v>
      </c>
    </row>
    <row r="13" spans="1:2">
      <c r="A13" t="s">
        <v>1739</v>
      </c>
      <c r="B13">
        <v>11</v>
      </c>
    </row>
    <row r="14" spans="1:2">
      <c r="A14" t="s">
        <v>1740</v>
      </c>
      <c r="B14">
        <v>12</v>
      </c>
    </row>
    <row r="15" spans="1:2">
      <c r="A15" t="s">
        <v>1857</v>
      </c>
      <c r="B15">
        <v>13</v>
      </c>
    </row>
    <row r="16" spans="1:2">
      <c r="A16" t="s">
        <v>1858</v>
      </c>
      <c r="B16">
        <v>14</v>
      </c>
    </row>
    <row r="17" spans="1:2">
      <c r="A17" t="s">
        <v>1859</v>
      </c>
      <c r="B17">
        <v>15</v>
      </c>
    </row>
    <row r="18" spans="1:2">
      <c r="A18" t="s">
        <v>1860</v>
      </c>
      <c r="B18">
        <v>16</v>
      </c>
    </row>
    <row r="19" spans="1:2">
      <c r="A19" t="s">
        <v>1861</v>
      </c>
      <c r="B19">
        <v>17</v>
      </c>
    </row>
  </sheetData>
  <phoneticPr fontId="1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7"/>
  <dimension ref="A1:B6"/>
  <sheetViews>
    <sheetView workbookViewId="0">
      <selection activeCell="A5" sqref="A5"/>
    </sheetView>
  </sheetViews>
  <sheetFormatPr defaultColWidth="9" defaultRowHeight="16.5"/>
  <cols>
    <col min="1" max="1" width="26.375" style="1" bestFit="1" customWidth="1"/>
    <col min="2" max="2" width="17.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1106</v>
      </c>
      <c r="B2" s="1">
        <v>0</v>
      </c>
    </row>
    <row r="3" spans="1:2">
      <c r="A3" s="13" t="s">
        <v>1160</v>
      </c>
      <c r="B3" s="1">
        <v>1</v>
      </c>
    </row>
    <row r="4" spans="1:2">
      <c r="A4" s="13" t="s">
        <v>1161</v>
      </c>
      <c r="B4" s="1">
        <v>2</v>
      </c>
    </row>
    <row r="5" spans="1:2">
      <c r="A5" s="13" t="s">
        <v>1162</v>
      </c>
      <c r="B5" s="1">
        <v>3</v>
      </c>
    </row>
    <row r="6" spans="1:2">
      <c r="A6" s="13" t="s">
        <v>1447</v>
      </c>
      <c r="B6" s="1">
        <v>4</v>
      </c>
    </row>
  </sheetData>
  <phoneticPr fontId="1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9"/>
  <dimension ref="A1:B4"/>
  <sheetViews>
    <sheetView workbookViewId="0">
      <selection activeCell="B5" sqref="B5"/>
    </sheetView>
  </sheetViews>
  <sheetFormatPr defaultColWidth="9" defaultRowHeight="16.5"/>
  <cols>
    <col min="1" max="1" width="28.3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968</v>
      </c>
      <c r="B2" s="3">
        <v>0</v>
      </c>
    </row>
    <row r="3" spans="1:2">
      <c r="A3" s="13" t="s">
        <v>969</v>
      </c>
      <c r="B3" s="3">
        <v>1</v>
      </c>
    </row>
    <row r="4" spans="1:2">
      <c r="A4" s="13" t="s">
        <v>970</v>
      </c>
      <c r="B4" s="3">
        <v>2</v>
      </c>
    </row>
  </sheetData>
  <phoneticPr fontId="15" type="noConversion"/>
  <pageMargins left="0.75" right="0.75" top="1" bottom="1" header="0.5" footer="0.5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7"/>
  <dimension ref="A1:B6"/>
  <sheetViews>
    <sheetView workbookViewId="0">
      <selection activeCell="B7" sqref="B7"/>
    </sheetView>
  </sheetViews>
  <sheetFormatPr defaultColWidth="9" defaultRowHeight="16.5"/>
  <cols>
    <col min="1" max="1" width="28.3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1192</v>
      </c>
      <c r="B2" s="3">
        <v>0</v>
      </c>
    </row>
    <row r="3" spans="1:2">
      <c r="A3" s="13" t="s">
        <v>1194</v>
      </c>
      <c r="B3" s="3">
        <v>1</v>
      </c>
    </row>
    <row r="4" spans="1:2">
      <c r="A4" s="13" t="s">
        <v>1196</v>
      </c>
      <c r="B4" s="3">
        <v>2</v>
      </c>
    </row>
    <row r="5" spans="1:2">
      <c r="A5" s="13" t="s">
        <v>1420</v>
      </c>
      <c r="B5" s="3">
        <v>3</v>
      </c>
    </row>
    <row r="6" spans="1:2">
      <c r="A6" s="13" t="s">
        <v>1421</v>
      </c>
      <c r="B6" s="3">
        <v>4</v>
      </c>
    </row>
  </sheetData>
  <phoneticPr fontId="15" type="noConversion"/>
  <pageMargins left="0.75" right="0.75" top="1" bottom="1" header="0.5" footer="0.5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11"/>
  <sheetViews>
    <sheetView workbookViewId="0">
      <selection activeCell="B2" sqref="B2:B11"/>
    </sheetView>
  </sheetViews>
  <sheetFormatPr defaultColWidth="9" defaultRowHeight="16.5"/>
  <cols>
    <col min="1" max="1" width="28.3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309</v>
      </c>
      <c r="B2" s="3">
        <v>0</v>
      </c>
    </row>
    <row r="3" spans="1:2">
      <c r="A3" s="13" t="s">
        <v>1454</v>
      </c>
      <c r="B3" s="3">
        <v>1</v>
      </c>
    </row>
    <row r="4" spans="1:2">
      <c r="A4" s="13" t="s">
        <v>1305</v>
      </c>
      <c r="B4" s="3">
        <v>2</v>
      </c>
    </row>
    <row r="5" spans="1:2">
      <c r="A5" s="13" t="s">
        <v>1306</v>
      </c>
      <c r="B5" s="3">
        <v>3</v>
      </c>
    </row>
    <row r="6" spans="1:2">
      <c r="A6" s="13" t="s">
        <v>1422</v>
      </c>
      <c r="B6" s="3">
        <v>4</v>
      </c>
    </row>
    <row r="7" spans="1:2">
      <c r="A7" s="13" t="s">
        <v>1450</v>
      </c>
      <c r="B7" s="3">
        <v>5</v>
      </c>
    </row>
    <row r="8" spans="1:2">
      <c r="A8" s="13" t="s">
        <v>1423</v>
      </c>
      <c r="B8" s="3">
        <v>6</v>
      </c>
    </row>
    <row r="9" spans="1:2">
      <c r="A9" s="13" t="s">
        <v>1441</v>
      </c>
      <c r="B9" s="3">
        <v>7</v>
      </c>
    </row>
    <row r="10" spans="1:2">
      <c r="A10" s="13" t="s">
        <v>1442</v>
      </c>
      <c r="B10" s="3">
        <v>8</v>
      </c>
    </row>
    <row r="11" spans="1:2">
      <c r="A11" s="13" t="s">
        <v>1443</v>
      </c>
      <c r="B11" s="3">
        <v>9</v>
      </c>
    </row>
  </sheetData>
  <phoneticPr fontId="15" type="noConversion"/>
  <pageMargins left="0.75" right="0.75" top="1" bottom="1" header="0.5" footer="0.5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5"/>
  <sheetViews>
    <sheetView workbookViewId="0">
      <selection activeCell="F17" sqref="F17"/>
    </sheetView>
  </sheetViews>
  <sheetFormatPr defaultColWidth="9" defaultRowHeight="16.5"/>
  <cols>
    <col min="1" max="1" width="13.75" style="3" bestFit="1" customWidth="1"/>
    <col min="2" max="2" width="14.75" style="3" bestFit="1" customWidth="1"/>
    <col min="3" max="16384" width="9" style="3"/>
  </cols>
  <sheetData>
    <row r="1" spans="1:2">
      <c r="A1" s="54" t="s">
        <v>350</v>
      </c>
      <c r="B1" s="55" t="str">
        <f>HYPERLINK("#'"&amp;A1&amp;"'!A1","전체 Type 이동")</f>
        <v>전체 Type 이동</v>
      </c>
    </row>
    <row r="2" spans="1:2">
      <c r="A2" s="75" t="s">
        <v>1724</v>
      </c>
      <c r="B2" s="3">
        <v>0</v>
      </c>
    </row>
    <row r="3" spans="1:2">
      <c r="A3" s="76" t="s">
        <v>1725</v>
      </c>
      <c r="B3" s="3">
        <v>1</v>
      </c>
    </row>
    <row r="4" spans="1:2">
      <c r="A4" s="76" t="s">
        <v>1726</v>
      </c>
      <c r="B4" s="3">
        <v>2</v>
      </c>
    </row>
    <row r="5" spans="1:2">
      <c r="A5" s="76" t="s">
        <v>1727</v>
      </c>
      <c r="B5" s="3">
        <v>4</v>
      </c>
    </row>
  </sheetData>
  <phoneticPr fontId="15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13"/>
  <sheetViews>
    <sheetView workbookViewId="0">
      <selection activeCell="B14" sqref="B14"/>
    </sheetView>
  </sheetViews>
  <sheetFormatPr defaultRowHeight="16.5"/>
  <cols>
    <col min="1" max="1" width="14.875" bestFit="1" customWidth="1"/>
    <col min="2" max="2" width="14.75" bestFit="1" customWidth="1"/>
  </cols>
  <sheetData>
    <row r="1" spans="1:2">
      <c r="A1" s="54" t="s">
        <v>350</v>
      </c>
      <c r="B1" s="55" t="str">
        <f>HYPERLINK("#'"&amp;A1&amp;"'!A1","전체 Type 이동")</f>
        <v>전체 Type 이동</v>
      </c>
    </row>
    <row r="2" spans="1:2">
      <c r="A2" s="75" t="s">
        <v>1517</v>
      </c>
      <c r="B2" s="3">
        <v>0</v>
      </c>
    </row>
    <row r="3" spans="1:2">
      <c r="A3" s="76" t="s">
        <v>1725</v>
      </c>
      <c r="B3" s="3">
        <v>1</v>
      </c>
    </row>
    <row r="4" spans="1:2">
      <c r="A4" s="76" t="s">
        <v>1726</v>
      </c>
      <c r="B4" s="3">
        <v>2</v>
      </c>
    </row>
    <row r="5" spans="1:2">
      <c r="A5" s="78" t="s">
        <v>1776</v>
      </c>
      <c r="B5" s="3">
        <v>4</v>
      </c>
    </row>
    <row r="6" spans="1:2">
      <c r="A6" s="78" t="s">
        <v>1777</v>
      </c>
      <c r="B6" s="3">
        <v>5</v>
      </c>
    </row>
    <row r="7" spans="1:2">
      <c r="A7" s="78" t="s">
        <v>1778</v>
      </c>
      <c r="B7" s="3">
        <v>6</v>
      </c>
    </row>
    <row r="8" spans="1:2">
      <c r="A8" s="78" t="s">
        <v>1788</v>
      </c>
      <c r="B8" s="3">
        <v>7</v>
      </c>
    </row>
    <row r="9" spans="1:2">
      <c r="A9" s="78" t="s">
        <v>1804</v>
      </c>
      <c r="B9" s="3">
        <v>8</v>
      </c>
    </row>
    <row r="10" spans="1:2">
      <c r="A10" s="78" t="s">
        <v>1809</v>
      </c>
      <c r="B10" s="3">
        <v>9</v>
      </c>
    </row>
    <row r="11" spans="1:2">
      <c r="A11" s="78" t="s">
        <v>1894</v>
      </c>
      <c r="B11" s="3">
        <v>10</v>
      </c>
    </row>
    <row r="12" spans="1:2">
      <c r="A12" s="78" t="s">
        <v>1918</v>
      </c>
      <c r="B12" s="3">
        <v>11</v>
      </c>
    </row>
    <row r="13" spans="1:2">
      <c r="A13" s="78" t="s">
        <v>1930</v>
      </c>
      <c r="B13" s="3">
        <v>12</v>
      </c>
    </row>
  </sheetData>
  <phoneticPr fontId="15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1"/>
  <dimension ref="A1:B16"/>
  <sheetViews>
    <sheetView workbookViewId="0">
      <selection activeCell="B2" sqref="B2:B16"/>
    </sheetView>
  </sheetViews>
  <sheetFormatPr defaultColWidth="9" defaultRowHeight="16.5"/>
  <cols>
    <col min="1" max="1" width="13.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0</v>
      </c>
      <c r="B2" s="3">
        <v>0</v>
      </c>
    </row>
    <row r="3" spans="1:2">
      <c r="A3" s="2" t="s">
        <v>2</v>
      </c>
      <c r="B3" s="3">
        <v>1</v>
      </c>
    </row>
    <row r="4" spans="1:2">
      <c r="A4" s="2" t="s">
        <v>4</v>
      </c>
      <c r="B4" s="3">
        <v>2</v>
      </c>
    </row>
    <row r="5" spans="1:2">
      <c r="A5" s="2" t="s">
        <v>6</v>
      </c>
      <c r="B5" s="3">
        <v>3</v>
      </c>
    </row>
    <row r="6" spans="1:2">
      <c r="A6" s="2" t="s">
        <v>8</v>
      </c>
      <c r="B6" s="3">
        <v>4</v>
      </c>
    </row>
    <row r="7" spans="1:2">
      <c r="A7" s="2" t="s">
        <v>10</v>
      </c>
      <c r="B7" s="3">
        <v>5</v>
      </c>
    </row>
    <row r="8" spans="1:2">
      <c r="A8" s="2" t="s">
        <v>12</v>
      </c>
      <c r="B8" s="3">
        <v>6</v>
      </c>
    </row>
    <row r="9" spans="1:2">
      <c r="A9" s="2" t="s">
        <v>14</v>
      </c>
      <c r="B9" s="3">
        <v>7</v>
      </c>
    </row>
    <row r="10" spans="1:2">
      <c r="A10" s="2" t="s">
        <v>16</v>
      </c>
      <c r="B10" s="3">
        <v>8</v>
      </c>
    </row>
    <row r="11" spans="1:2">
      <c r="A11" s="2" t="s">
        <v>18</v>
      </c>
      <c r="B11" s="3">
        <v>9</v>
      </c>
    </row>
    <row r="12" spans="1:2">
      <c r="A12" s="2" t="s">
        <v>20</v>
      </c>
      <c r="B12" s="3">
        <v>10</v>
      </c>
    </row>
    <row r="13" spans="1:2">
      <c r="A13" s="2" t="s">
        <v>22</v>
      </c>
      <c r="B13" s="3">
        <v>11</v>
      </c>
    </row>
    <row r="14" spans="1:2">
      <c r="A14" s="2" t="s">
        <v>24</v>
      </c>
      <c r="B14" s="3">
        <v>12</v>
      </c>
    </row>
    <row r="15" spans="1:2">
      <c r="A15" s="2" t="s">
        <v>26</v>
      </c>
      <c r="B15" s="3">
        <v>13</v>
      </c>
    </row>
    <row r="16" spans="1:2">
      <c r="A16" s="2" t="s">
        <v>28</v>
      </c>
      <c r="B16" s="3">
        <v>14</v>
      </c>
    </row>
  </sheetData>
  <phoneticPr fontId="15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8"/>
  <dimension ref="A1:B4"/>
  <sheetViews>
    <sheetView workbookViewId="0">
      <selection activeCell="B4" sqref="B4"/>
    </sheetView>
  </sheetViews>
  <sheetFormatPr defaultRowHeight="16.5"/>
  <cols>
    <col min="1" max="1" width="12.25" bestFit="1" customWidth="1"/>
  </cols>
  <sheetData>
    <row r="1" spans="1:2">
      <c r="A1" s="12" t="s">
        <v>350</v>
      </c>
    </row>
    <row r="2" spans="1:2">
      <c r="A2" s="2" t="s">
        <v>1215</v>
      </c>
      <c r="B2">
        <v>0</v>
      </c>
    </row>
    <row r="3" spans="1:2">
      <c r="A3" s="2" t="s">
        <v>1214</v>
      </c>
      <c r="B3">
        <v>1</v>
      </c>
    </row>
    <row r="4" spans="1:2">
      <c r="A4" s="2"/>
    </row>
  </sheetData>
  <phoneticPr fontId="15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74"/>
  <dimension ref="A1:B4"/>
  <sheetViews>
    <sheetView workbookViewId="0">
      <selection activeCell="B5" sqref="B5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606</v>
      </c>
      <c r="B2" s="1">
        <v>0</v>
      </c>
    </row>
    <row r="3" spans="1:2">
      <c r="A3" s="13" t="s">
        <v>642</v>
      </c>
      <c r="B3" s="1">
        <v>1</v>
      </c>
    </row>
    <row r="4" spans="1:2">
      <c r="A4" s="13" t="s">
        <v>644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8"/>
  <sheetViews>
    <sheetView workbookViewId="0">
      <selection activeCell="B2" sqref="B2:B8"/>
    </sheetView>
  </sheetViews>
  <sheetFormatPr defaultRowHeight="16.5"/>
  <sheetData>
    <row r="1" spans="1:2">
      <c r="A1" t="s">
        <v>350</v>
      </c>
    </row>
    <row r="2" spans="1:2">
      <c r="A2" t="s">
        <v>1106</v>
      </c>
      <c r="B2">
        <v>0</v>
      </c>
    </row>
    <row r="3" spans="1:2">
      <c r="A3" t="s">
        <v>1405</v>
      </c>
      <c r="B3">
        <v>1</v>
      </c>
    </row>
    <row r="4" spans="1:2">
      <c r="A4" t="s">
        <v>1557</v>
      </c>
      <c r="B4">
        <v>2</v>
      </c>
    </row>
    <row r="5" spans="1:2">
      <c r="A5" t="s">
        <v>1556</v>
      </c>
      <c r="B5">
        <v>3</v>
      </c>
    </row>
    <row r="6" spans="1:2">
      <c r="A6" t="s">
        <v>1555</v>
      </c>
      <c r="B6">
        <v>4</v>
      </c>
    </row>
    <row r="7" spans="1:2">
      <c r="A7" t="s">
        <v>1561</v>
      </c>
      <c r="B7">
        <v>5</v>
      </c>
    </row>
    <row r="8" spans="1:2">
      <c r="A8" t="s">
        <v>1562</v>
      </c>
      <c r="B8">
        <v>6</v>
      </c>
    </row>
  </sheetData>
  <phoneticPr fontId="15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73"/>
  <dimension ref="A1:B3"/>
  <sheetViews>
    <sheetView workbookViewId="0">
      <selection activeCell="G25" sqref="G25"/>
    </sheetView>
  </sheetViews>
  <sheetFormatPr defaultColWidth="9" defaultRowHeight="16.5"/>
  <cols>
    <col min="1" max="1" width="19.75" style="1" bestFit="1" customWidth="1"/>
    <col min="2" max="2" width="17.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637</v>
      </c>
      <c r="B2" s="1">
        <v>0</v>
      </c>
    </row>
    <row r="3" spans="1:2">
      <c r="A3" s="13" t="s">
        <v>639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3"/>
  <sheetViews>
    <sheetView workbookViewId="0">
      <selection activeCell="B3" sqref="B3"/>
    </sheetView>
  </sheetViews>
  <sheetFormatPr defaultColWidth="9" defaultRowHeight="16.5"/>
  <cols>
    <col min="1" max="1" width="19.75" style="1" bestFit="1" customWidth="1"/>
    <col min="2" max="2" width="17.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1901</v>
      </c>
      <c r="B2" s="1">
        <v>0</v>
      </c>
    </row>
    <row r="3" spans="1:2">
      <c r="A3" s="13" t="s">
        <v>1902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8"/>
  <dimension ref="A1:B18"/>
  <sheetViews>
    <sheetView workbookViewId="0">
      <selection activeCell="C18" sqref="C18"/>
    </sheetView>
  </sheetViews>
  <sheetFormatPr defaultColWidth="9" defaultRowHeight="16.5"/>
  <cols>
    <col min="1" max="1" width="8.8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0</v>
      </c>
      <c r="B2" s="3">
        <v>0</v>
      </c>
    </row>
    <row r="3" spans="1:2">
      <c r="A3" s="2" t="s">
        <v>1431</v>
      </c>
      <c r="B3" s="3">
        <v>1</v>
      </c>
    </row>
    <row r="4" spans="1:2">
      <c r="A4" s="2" t="s">
        <v>131</v>
      </c>
      <c r="B4" s="3">
        <v>2</v>
      </c>
    </row>
    <row r="5" spans="1:2">
      <c r="A5" s="2" t="s">
        <v>133</v>
      </c>
      <c r="B5" s="3">
        <v>3</v>
      </c>
    </row>
    <row r="6" spans="1:2">
      <c r="A6" s="2" t="s">
        <v>1283</v>
      </c>
      <c r="B6" s="3">
        <v>4</v>
      </c>
    </row>
    <row r="7" spans="1:2">
      <c r="A7" s="2" t="s">
        <v>135</v>
      </c>
      <c r="B7" s="3">
        <v>5</v>
      </c>
    </row>
    <row r="8" spans="1:2">
      <c r="A8" s="2" t="s">
        <v>1284</v>
      </c>
      <c r="B8" s="3">
        <v>6</v>
      </c>
    </row>
    <row r="9" spans="1:2">
      <c r="A9" s="2" t="s">
        <v>137</v>
      </c>
      <c r="B9" s="3">
        <v>7</v>
      </c>
    </row>
    <row r="10" spans="1:2">
      <c r="A10" s="2" t="s">
        <v>1242</v>
      </c>
      <c r="B10" s="3">
        <v>8</v>
      </c>
    </row>
    <row r="11" spans="1:2">
      <c r="A11" s="2" t="s">
        <v>1243</v>
      </c>
      <c r="B11" s="3">
        <v>9</v>
      </c>
    </row>
    <row r="12" spans="1:2">
      <c r="A12" s="2" t="s">
        <v>1432</v>
      </c>
      <c r="B12" s="3">
        <v>10</v>
      </c>
    </row>
    <row r="13" spans="1:2">
      <c r="A13" s="2" t="s">
        <v>1811</v>
      </c>
      <c r="B13" s="3">
        <v>11</v>
      </c>
    </row>
    <row r="14" spans="1:2">
      <c r="A14" s="2" t="s">
        <v>1812</v>
      </c>
      <c r="B14" s="3">
        <v>12</v>
      </c>
    </row>
    <row r="15" spans="1:2">
      <c r="A15" s="2" t="s">
        <v>1813</v>
      </c>
      <c r="B15" s="3">
        <v>13</v>
      </c>
    </row>
    <row r="16" spans="1:2">
      <c r="A16" s="2" t="s">
        <v>1814</v>
      </c>
      <c r="B16" s="3">
        <v>14</v>
      </c>
    </row>
    <row r="17" spans="1:2">
      <c r="A17" s="2" t="s">
        <v>1815</v>
      </c>
      <c r="B17" s="3">
        <v>15</v>
      </c>
    </row>
    <row r="18" spans="1:2">
      <c r="A18" s="2" t="s">
        <v>1816</v>
      </c>
      <c r="B18" s="3">
        <v>16</v>
      </c>
    </row>
  </sheetData>
  <phoneticPr fontId="15" type="noConversion"/>
  <pageMargins left="0.75" right="0.75" top="1" bottom="1" header="0.5" footer="0.5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10"/>
  <dimension ref="A1:F4"/>
  <sheetViews>
    <sheetView zoomScaleNormal="100" workbookViewId="0">
      <selection activeCell="B4" sqref="B4"/>
    </sheetView>
  </sheetViews>
  <sheetFormatPr defaultColWidth="9.125" defaultRowHeight="16.5"/>
  <cols>
    <col min="1" max="1" width="9.125" style="44"/>
    <col min="2" max="3" width="9.125" style="47"/>
    <col min="4" max="4" width="9.125" style="46"/>
    <col min="5" max="6" width="9.125" style="45"/>
    <col min="7" max="16384" width="9.125" style="44"/>
  </cols>
  <sheetData>
    <row r="1" spans="1:2">
      <c r="A1" s="49" t="s">
        <v>1339</v>
      </c>
    </row>
    <row r="2" spans="1:2">
      <c r="A2" s="48" t="s">
        <v>1338</v>
      </c>
      <c r="B2" s="47">
        <v>0</v>
      </c>
    </row>
    <row r="3" spans="1:2">
      <c r="A3" s="48" t="s">
        <v>1337</v>
      </c>
      <c r="B3" s="47">
        <v>1</v>
      </c>
    </row>
    <row r="4" spans="1:2">
      <c r="A4" s="48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15"/>
  <dimension ref="A1:C7"/>
  <sheetViews>
    <sheetView workbookViewId="0">
      <selection activeCell="A4" sqref="A4"/>
    </sheetView>
  </sheetViews>
  <sheetFormatPr defaultRowHeight="16.5"/>
  <cols>
    <col min="1" max="1" width="22.25" bestFit="1" customWidth="1"/>
    <col min="2" max="2" width="22.25" customWidth="1"/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13" t="s">
        <v>1317</v>
      </c>
      <c r="B2" s="72">
        <v>0</v>
      </c>
      <c r="C2" s="69"/>
    </row>
    <row r="3" spans="1:3">
      <c r="A3" s="13" t="s">
        <v>1318</v>
      </c>
      <c r="B3" s="25">
        <v>1</v>
      </c>
      <c r="C3" s="70"/>
    </row>
    <row r="4" spans="1:3">
      <c r="A4" s="13" t="s">
        <v>1319</v>
      </c>
      <c r="B4" s="25">
        <v>2</v>
      </c>
      <c r="C4" s="71"/>
    </row>
    <row r="5" spans="1:3">
      <c r="A5" s="13" t="s">
        <v>1205</v>
      </c>
      <c r="B5" s="72">
        <v>3</v>
      </c>
      <c r="C5" t="s">
        <v>1652</v>
      </c>
    </row>
    <row r="6" spans="1:3">
      <c r="A6" s="13" t="s">
        <v>1204</v>
      </c>
      <c r="B6" s="25">
        <v>4</v>
      </c>
    </row>
    <row r="7" spans="1:3">
      <c r="A7" s="13" t="s">
        <v>1653</v>
      </c>
      <c r="B7" s="25">
        <v>5</v>
      </c>
      <c r="C7" t="s">
        <v>1654</v>
      </c>
    </row>
  </sheetData>
  <phoneticPr fontId="15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1"/>
  <dimension ref="A1:B4"/>
  <sheetViews>
    <sheetView workbookViewId="0">
      <selection activeCell="Q16" sqref="Q16"/>
    </sheetView>
  </sheetViews>
  <sheetFormatPr defaultColWidth="9" defaultRowHeight="16.5"/>
  <cols>
    <col min="1" max="1" width="28.3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1175</v>
      </c>
      <c r="B2" s="3">
        <v>0</v>
      </c>
    </row>
    <row r="3" spans="1:2">
      <c r="A3" s="2" t="s">
        <v>1178</v>
      </c>
      <c r="B3" s="3">
        <v>1</v>
      </c>
    </row>
    <row r="4" spans="1:2">
      <c r="A4" s="3" t="s">
        <v>1690</v>
      </c>
      <c r="B4" s="3">
        <v>2</v>
      </c>
    </row>
  </sheetData>
  <phoneticPr fontId="15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5"/>
  <sheetViews>
    <sheetView workbookViewId="0">
      <selection activeCell="C5" sqref="C4:C5"/>
    </sheetView>
  </sheetViews>
  <sheetFormatPr defaultRowHeight="16.5"/>
  <cols>
    <col min="1" max="1" width="17.125" bestFit="1" customWidth="1"/>
  </cols>
  <sheetData>
    <row r="1" spans="1:2">
      <c r="A1" s="12" t="s">
        <v>1399</v>
      </c>
    </row>
    <row r="2" spans="1:2">
      <c r="A2" s="13" t="s">
        <v>1398</v>
      </c>
      <c r="B2">
        <v>0</v>
      </c>
    </row>
    <row r="3" spans="1:2">
      <c r="A3" s="13" t="s">
        <v>1428</v>
      </c>
      <c r="B3">
        <v>1</v>
      </c>
    </row>
    <row r="4" spans="1:2">
      <c r="A4" s="13" t="s">
        <v>943</v>
      </c>
      <c r="B4">
        <v>2</v>
      </c>
    </row>
    <row r="5" spans="1:2">
      <c r="A5" s="13" t="s">
        <v>453</v>
      </c>
      <c r="B5">
        <v>3</v>
      </c>
    </row>
  </sheetData>
  <phoneticPr fontId="15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12"/>
  <sheetViews>
    <sheetView workbookViewId="0">
      <selection activeCell="J13" sqref="J13"/>
    </sheetView>
  </sheetViews>
  <sheetFormatPr defaultRowHeight="16.5"/>
  <cols>
    <col min="1" max="1" width="15.875" customWidth="1"/>
  </cols>
  <sheetData>
    <row r="1" spans="1:2">
      <c r="A1" t="s">
        <v>1368</v>
      </c>
    </row>
    <row r="2" spans="1:2">
      <c r="A2" t="s">
        <v>1231</v>
      </c>
      <c r="B2">
        <v>0</v>
      </c>
    </row>
    <row r="3" spans="1:2">
      <c r="A3" t="s">
        <v>1416</v>
      </c>
      <c r="B3">
        <v>1</v>
      </c>
    </row>
    <row r="4" spans="1:2">
      <c r="A4" t="s">
        <v>1417</v>
      </c>
      <c r="B4">
        <v>2</v>
      </c>
    </row>
    <row r="5" spans="1:2">
      <c r="A5" t="s">
        <v>1418</v>
      </c>
      <c r="B5">
        <v>3</v>
      </c>
    </row>
    <row r="6" spans="1:2">
      <c r="A6" t="s">
        <v>1419</v>
      </c>
      <c r="B6">
        <v>4</v>
      </c>
    </row>
    <row r="7" spans="1:2">
      <c r="A7" t="s">
        <v>1112</v>
      </c>
      <c r="B7">
        <v>5</v>
      </c>
    </row>
    <row r="8" spans="1:2">
      <c r="A8" t="s">
        <v>1176</v>
      </c>
      <c r="B8">
        <v>6</v>
      </c>
    </row>
    <row r="9" spans="1:2">
      <c r="A9" t="s">
        <v>1530</v>
      </c>
      <c r="B9">
        <v>7</v>
      </c>
    </row>
    <row r="10" spans="1:2">
      <c r="A10" t="s">
        <v>1660</v>
      </c>
      <c r="B10">
        <v>8</v>
      </c>
    </row>
    <row r="11" spans="1:2">
      <c r="A11" t="s">
        <v>1691</v>
      </c>
      <c r="B11">
        <v>9</v>
      </c>
    </row>
    <row r="12" spans="1:2">
      <c r="A12" t="s">
        <v>1700</v>
      </c>
      <c r="B12">
        <v>10</v>
      </c>
    </row>
  </sheetData>
  <phoneticPr fontId="15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3"/>
  <dimension ref="A1:B5"/>
  <sheetViews>
    <sheetView workbookViewId="0">
      <selection activeCell="B6" sqref="B6"/>
    </sheetView>
  </sheetViews>
  <sheetFormatPr defaultColWidth="9" defaultRowHeight="16.5"/>
  <cols>
    <col min="1" max="1" width="13.375" style="1" bestFit="1" customWidth="1"/>
    <col min="2" max="2" width="19.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319</v>
      </c>
      <c r="B2" s="1">
        <v>0</v>
      </c>
    </row>
    <row r="3" spans="1:2">
      <c r="A3" s="13" t="s">
        <v>1191</v>
      </c>
      <c r="B3" s="1">
        <v>1</v>
      </c>
    </row>
    <row r="4" spans="1:2">
      <c r="A4" s="1" t="s">
        <v>1307</v>
      </c>
      <c r="B4" s="1">
        <v>2</v>
      </c>
    </row>
    <row r="5" spans="1:2">
      <c r="A5" s="1" t="s">
        <v>1309</v>
      </c>
      <c r="B5" s="1">
        <v>3</v>
      </c>
    </row>
  </sheetData>
  <phoneticPr fontId="15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49"/>
  <dimension ref="A1:B49"/>
  <sheetViews>
    <sheetView topLeftCell="A31" workbookViewId="0">
      <selection activeCell="A50" sqref="A50"/>
    </sheetView>
  </sheetViews>
  <sheetFormatPr defaultColWidth="9" defaultRowHeight="16.5"/>
  <cols>
    <col min="1" max="1" width="21.875" style="1" bestFit="1" customWidth="1"/>
    <col min="2" max="2" width="17.25" style="1" bestFit="1" customWidth="1"/>
    <col min="3" max="16384" width="9" style="1"/>
  </cols>
  <sheetData>
    <row r="1" spans="1:2">
      <c r="A1" s="12" t="s">
        <v>1395</v>
      </c>
      <c r="B1" s="5" t="str">
        <f>HYPERLINK("#'"&amp;A1&amp;"'!A1","전체 Type 이동")</f>
        <v>전체 Type 이동</v>
      </c>
    </row>
    <row r="2" spans="1:2">
      <c r="A2" s="2" t="s">
        <v>1435</v>
      </c>
      <c r="B2" s="1">
        <v>0</v>
      </c>
    </row>
    <row r="3" spans="1:2">
      <c r="A3" s="13" t="s">
        <v>1387</v>
      </c>
      <c r="B3" s="1">
        <v>1</v>
      </c>
    </row>
    <row r="4" spans="1:2">
      <c r="A4" s="13" t="s">
        <v>1386</v>
      </c>
      <c r="B4" s="1">
        <v>2</v>
      </c>
    </row>
    <row r="5" spans="1:2">
      <c r="A5" s="13" t="s">
        <v>1385</v>
      </c>
      <c r="B5" s="1">
        <v>3</v>
      </c>
    </row>
    <row r="6" spans="1:2">
      <c r="A6" s="13" t="s">
        <v>1384</v>
      </c>
      <c r="B6" s="1">
        <v>4</v>
      </c>
    </row>
    <row r="7" spans="1:2">
      <c r="A7" s="13" t="s">
        <v>1406</v>
      </c>
      <c r="B7" s="1">
        <v>5</v>
      </c>
    </row>
    <row r="8" spans="1:2">
      <c r="A8" s="13" t="s">
        <v>1381</v>
      </c>
      <c r="B8" s="1">
        <v>6</v>
      </c>
    </row>
    <row r="9" spans="1:2">
      <c r="A9" s="13" t="s">
        <v>1388</v>
      </c>
      <c r="B9" s="1">
        <v>7</v>
      </c>
    </row>
    <row r="10" spans="1:2">
      <c r="A10" s="13" t="s">
        <v>1393</v>
      </c>
      <c r="B10" s="1">
        <v>8</v>
      </c>
    </row>
    <row r="11" spans="1:2">
      <c r="A11" s="2" t="s">
        <v>1401</v>
      </c>
      <c r="B11" s="1">
        <v>9</v>
      </c>
    </row>
    <row r="12" spans="1:2">
      <c r="A12" s="13" t="s">
        <v>1380</v>
      </c>
      <c r="B12" s="1">
        <v>10</v>
      </c>
    </row>
    <row r="13" spans="1:2">
      <c r="A13" s="2" t="s">
        <v>1578</v>
      </c>
      <c r="B13" s="1">
        <v>11</v>
      </c>
    </row>
    <row r="14" spans="1:2">
      <c r="A14" s="13" t="s">
        <v>1394</v>
      </c>
      <c r="B14" s="1">
        <v>12</v>
      </c>
    </row>
    <row r="15" spans="1:2">
      <c r="A15" s="13" t="s">
        <v>1429</v>
      </c>
      <c r="B15" s="1">
        <v>13</v>
      </c>
    </row>
    <row r="16" spans="1:2">
      <c r="A16" s="13" t="s">
        <v>1390</v>
      </c>
      <c r="B16" s="1">
        <v>14</v>
      </c>
    </row>
    <row r="17" spans="1:2">
      <c r="A17" s="13" t="s">
        <v>1389</v>
      </c>
      <c r="B17" s="1">
        <v>15</v>
      </c>
    </row>
    <row r="18" spans="1:2">
      <c r="A18" s="13" t="s">
        <v>1396</v>
      </c>
      <c r="B18" s="1">
        <v>16</v>
      </c>
    </row>
    <row r="19" spans="1:2">
      <c r="A19" s="2" t="s">
        <v>1580</v>
      </c>
      <c r="B19" s="1">
        <v>17</v>
      </c>
    </row>
    <row r="20" spans="1:2">
      <c r="A20" s="13" t="s">
        <v>1587</v>
      </c>
      <c r="B20" s="1">
        <v>18</v>
      </c>
    </row>
    <row r="21" spans="1:2">
      <c r="A21" s="13" t="s">
        <v>1378</v>
      </c>
      <c r="B21" s="1">
        <v>19</v>
      </c>
    </row>
    <row r="22" spans="1:2">
      <c r="A22" s="13" t="s">
        <v>1415</v>
      </c>
      <c r="B22" s="1">
        <v>20</v>
      </c>
    </row>
    <row r="23" spans="1:2">
      <c r="A23" s="2" t="s">
        <v>1453</v>
      </c>
      <c r="B23" s="1">
        <v>21</v>
      </c>
    </row>
    <row r="24" spans="1:2">
      <c r="A24" s="2" t="s">
        <v>1414</v>
      </c>
      <c r="B24" s="1">
        <v>22</v>
      </c>
    </row>
    <row r="25" spans="1:2">
      <c r="A25" s="2" t="s">
        <v>1440</v>
      </c>
      <c r="B25" s="1">
        <v>23</v>
      </c>
    </row>
    <row r="26" spans="1:2">
      <c r="A26" s="13" t="s">
        <v>1391</v>
      </c>
      <c r="B26" s="1">
        <v>25</v>
      </c>
    </row>
    <row r="27" spans="1:2">
      <c r="A27" s="13" t="s">
        <v>1411</v>
      </c>
      <c r="B27" s="1">
        <v>26</v>
      </c>
    </row>
    <row r="28" spans="1:2">
      <c r="A28" s="13" t="s">
        <v>1392</v>
      </c>
      <c r="B28" s="1">
        <v>27</v>
      </c>
    </row>
    <row r="29" spans="1:2">
      <c r="A29" s="2" t="s">
        <v>1579</v>
      </c>
      <c r="B29" s="1">
        <v>28</v>
      </c>
    </row>
    <row r="30" spans="1:2">
      <c r="A30" s="13" t="s">
        <v>1383</v>
      </c>
      <c r="B30" s="1">
        <v>29</v>
      </c>
    </row>
    <row r="31" spans="1:2">
      <c r="A31" s="13" t="s">
        <v>1379</v>
      </c>
      <c r="B31" s="1">
        <v>30</v>
      </c>
    </row>
    <row r="32" spans="1:2">
      <c r="A32" s="13" t="s">
        <v>1308</v>
      </c>
      <c r="B32" s="1">
        <v>31</v>
      </c>
    </row>
    <row r="33" spans="1:2">
      <c r="A33" s="13" t="s">
        <v>1376</v>
      </c>
      <c r="B33" s="1">
        <v>32</v>
      </c>
    </row>
    <row r="34" spans="1:2">
      <c r="A34" s="2" t="s">
        <v>1412</v>
      </c>
      <c r="B34" s="1">
        <v>33</v>
      </c>
    </row>
    <row r="35" spans="1:2">
      <c r="A35" s="2" t="s">
        <v>1413</v>
      </c>
      <c r="B35" s="1">
        <v>34</v>
      </c>
    </row>
    <row r="36" spans="1:2">
      <c r="A36" s="50" t="s">
        <v>1444</v>
      </c>
      <c r="B36" s="1">
        <v>35</v>
      </c>
    </row>
    <row r="37" spans="1:2">
      <c r="A37" s="65" t="s">
        <v>331</v>
      </c>
      <c r="B37" s="1">
        <v>36</v>
      </c>
    </row>
    <row r="38" spans="1:2">
      <c r="A38" s="65" t="s">
        <v>1382</v>
      </c>
      <c r="B38" s="1">
        <v>37</v>
      </c>
    </row>
    <row r="39" spans="1:2">
      <c r="A39" s="65" t="s">
        <v>1400</v>
      </c>
      <c r="B39" s="1">
        <v>38</v>
      </c>
    </row>
    <row r="40" spans="1:2">
      <c r="A40" s="65" t="s">
        <v>1377</v>
      </c>
      <c r="B40" s="1">
        <v>39</v>
      </c>
    </row>
    <row r="41" spans="1:2">
      <c r="A41" s="65" t="s">
        <v>1397</v>
      </c>
      <c r="B41" s="1">
        <v>40</v>
      </c>
    </row>
    <row r="42" spans="1:2">
      <c r="A42" s="66" t="s">
        <v>1445</v>
      </c>
      <c r="B42" s="1">
        <v>41</v>
      </c>
    </row>
    <row r="43" spans="1:2">
      <c r="A43" s="66" t="s">
        <v>1586</v>
      </c>
      <c r="B43" s="1">
        <v>42</v>
      </c>
    </row>
    <row r="44" spans="1:2">
      <c r="A44" s="1" t="s">
        <v>1716</v>
      </c>
      <c r="B44" s="1">
        <v>44</v>
      </c>
    </row>
    <row r="45" spans="1:2">
      <c r="A45" s="1" t="s">
        <v>1717</v>
      </c>
      <c r="B45" s="1">
        <v>45</v>
      </c>
    </row>
    <row r="46" spans="1:2">
      <c r="A46" s="1" t="s">
        <v>1719</v>
      </c>
      <c r="B46" s="1">
        <v>46</v>
      </c>
    </row>
    <row r="47" spans="1:2">
      <c r="A47" s="1" t="s">
        <v>1893</v>
      </c>
      <c r="B47" s="1">
        <v>47</v>
      </c>
    </row>
    <row r="48" spans="1:2">
      <c r="A48" s="1" t="s">
        <v>1908</v>
      </c>
      <c r="B48" s="1">
        <v>48</v>
      </c>
    </row>
    <row r="49" spans="1:2">
      <c r="A49" s="1" t="s">
        <v>1924</v>
      </c>
      <c r="B49" s="1">
        <v>49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4"/>
  <sheetViews>
    <sheetView workbookViewId="0">
      <selection activeCell="B5" sqref="B5"/>
    </sheetView>
  </sheetViews>
  <sheetFormatPr defaultColWidth="9" defaultRowHeight="16.5"/>
  <cols>
    <col min="1" max="1" width="21.875" style="1" bestFit="1" customWidth="1"/>
    <col min="2" max="2" width="17.25" style="1" bestFit="1" customWidth="1"/>
    <col min="3" max="16384" width="9" style="1"/>
  </cols>
  <sheetData>
    <row r="1" spans="1:2">
      <c r="A1" s="12" t="s">
        <v>1368</v>
      </c>
      <c r="B1" s="5" t="str">
        <f>HYPERLINK("#'"&amp;A1&amp;"'!A1","전체 Type 이동")</f>
        <v>전체 Type 이동</v>
      </c>
    </row>
    <row r="2" spans="1:2">
      <c r="A2" s="15" t="s">
        <v>1655</v>
      </c>
      <c r="B2" s="1">
        <v>0</v>
      </c>
    </row>
    <row r="3" spans="1:2">
      <c r="A3" s="15" t="s">
        <v>1656</v>
      </c>
      <c r="B3" s="1">
        <v>1</v>
      </c>
    </row>
    <row r="4" spans="1:2">
      <c r="A4" s="15" t="s">
        <v>1433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2"/>
  <dimension ref="A1:B3"/>
  <sheetViews>
    <sheetView workbookViewId="0">
      <selection activeCell="H11" sqref="H11"/>
    </sheetView>
  </sheetViews>
  <sheetFormatPr defaultColWidth="9" defaultRowHeight="16.5"/>
  <cols>
    <col min="1" max="1" width="8.8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309</v>
      </c>
      <c r="B2" s="3">
        <v>0</v>
      </c>
    </row>
    <row r="3" spans="1:2">
      <c r="A3" s="13" t="s">
        <v>1212</v>
      </c>
      <c r="B3" s="3">
        <v>1</v>
      </c>
    </row>
  </sheetData>
  <phoneticPr fontId="15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14"/>
  <dimension ref="A1:B5"/>
  <sheetViews>
    <sheetView workbookViewId="0">
      <selection activeCell="B6" sqref="B6"/>
    </sheetView>
  </sheetViews>
  <sheetFormatPr defaultColWidth="9" defaultRowHeight="16.5"/>
  <cols>
    <col min="1" max="1" width="28.3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309</v>
      </c>
      <c r="B2" s="3">
        <v>0</v>
      </c>
    </row>
    <row r="3" spans="1:2">
      <c r="A3" s="13" t="s">
        <v>1117</v>
      </c>
      <c r="B3" s="3">
        <v>1</v>
      </c>
    </row>
    <row r="4" spans="1:2">
      <c r="A4" s="13" t="s">
        <v>999</v>
      </c>
      <c r="B4" s="3">
        <v>2</v>
      </c>
    </row>
    <row r="5" spans="1:2">
      <c r="A5" s="13" t="s">
        <v>1849</v>
      </c>
      <c r="B5" s="3">
        <v>3</v>
      </c>
    </row>
  </sheetData>
  <phoneticPr fontId="15" type="noConversion"/>
  <pageMargins left="0.75" right="0.75" top="1" bottom="1" header="0.5" footer="0.5"/>
  <pageSetup paperSize="9"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1"/>
  <dimension ref="A1:B5"/>
  <sheetViews>
    <sheetView workbookViewId="0">
      <selection activeCell="E7" sqref="D7:E7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480</v>
      </c>
      <c r="B2" s="1">
        <v>0</v>
      </c>
    </row>
    <row r="3" spans="1:2">
      <c r="A3" s="13" t="s">
        <v>1316</v>
      </c>
      <c r="B3" s="1">
        <v>1</v>
      </c>
    </row>
    <row r="4" spans="1:2">
      <c r="A4" s="13" t="s">
        <v>1106</v>
      </c>
      <c r="B4" s="1">
        <v>2</v>
      </c>
    </row>
    <row r="5" spans="1:2">
      <c r="A5" s="13" t="s">
        <v>1810</v>
      </c>
      <c r="B5" s="1">
        <v>3</v>
      </c>
    </row>
  </sheetData>
  <phoneticPr fontId="15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8"/>
  <dimension ref="A1:B5"/>
  <sheetViews>
    <sheetView workbookViewId="0">
      <selection activeCell="B6" sqref="A1:XFD1048576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119</v>
      </c>
      <c r="B2" s="1">
        <v>0</v>
      </c>
    </row>
    <row r="3" spans="1:2">
      <c r="A3" s="2" t="s">
        <v>86</v>
      </c>
      <c r="B3" s="1">
        <v>1</v>
      </c>
    </row>
    <row r="4" spans="1:2">
      <c r="A4" s="2" t="s">
        <v>122</v>
      </c>
      <c r="B4" s="1">
        <v>2</v>
      </c>
    </row>
    <row r="5" spans="1:2">
      <c r="A5" s="2" t="s">
        <v>124</v>
      </c>
      <c r="B5" s="1">
        <v>3</v>
      </c>
    </row>
  </sheetData>
  <phoneticPr fontId="15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4"/>
  <sheetViews>
    <sheetView workbookViewId="0">
      <selection activeCell="B4" sqref="B4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1175</v>
      </c>
      <c r="B2" s="1">
        <v>0</v>
      </c>
    </row>
    <row r="3" spans="1:2">
      <c r="A3" s="2" t="s">
        <v>1885</v>
      </c>
      <c r="B3" s="1">
        <v>1</v>
      </c>
    </row>
    <row r="4" spans="1:2">
      <c r="A4" s="1" t="s">
        <v>309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4"/>
  <sheetViews>
    <sheetView workbookViewId="0">
      <selection activeCell="E10" sqref="E10"/>
    </sheetView>
  </sheetViews>
  <sheetFormatPr defaultRowHeight="16.5"/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1886</v>
      </c>
      <c r="B2" s="1">
        <v>0</v>
      </c>
    </row>
    <row r="3" spans="1:2">
      <c r="A3" s="2" t="s">
        <v>1106</v>
      </c>
      <c r="B3" s="1">
        <v>1</v>
      </c>
    </row>
    <row r="4" spans="1:2">
      <c r="A4" t="s">
        <v>1887</v>
      </c>
      <c r="B4">
        <v>2</v>
      </c>
    </row>
  </sheetData>
  <phoneticPr fontId="15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20"/>
  <sheetViews>
    <sheetView workbookViewId="0">
      <selection activeCell="B19" sqref="B19"/>
    </sheetView>
  </sheetViews>
  <sheetFormatPr defaultRowHeight="13.5"/>
  <cols>
    <col min="1" max="1" width="37.625" style="39" bestFit="1" customWidth="1"/>
    <col min="2" max="2" width="37.625" style="39" customWidth="1"/>
    <col min="3" max="3" width="36.625" style="39" bestFit="1" customWidth="1"/>
    <col min="4" max="16384" width="9" style="39"/>
  </cols>
  <sheetData>
    <row r="1" spans="1:3">
      <c r="A1" s="40" t="s">
        <v>350</v>
      </c>
      <c r="B1" s="40"/>
      <c r="C1" s="41" t="str">
        <f>HYPERLINK("#'"&amp;A1&amp;"'!A1","전체 Type 이동")</f>
        <v>전체 Type 이동</v>
      </c>
    </row>
    <row r="2" spans="1:3">
      <c r="A2" s="39" t="s">
        <v>1748</v>
      </c>
      <c r="B2" s="39">
        <v>1</v>
      </c>
    </row>
    <row r="3" spans="1:3">
      <c r="A3" s="39" t="s">
        <v>1749</v>
      </c>
      <c r="B3" s="39">
        <v>2</v>
      </c>
    </row>
    <row r="4" spans="1:3">
      <c r="A4" s="39" t="s">
        <v>1750</v>
      </c>
      <c r="B4" s="39">
        <v>3</v>
      </c>
    </row>
    <row r="5" spans="1:3">
      <c r="A5" s="39" t="s">
        <v>1751</v>
      </c>
      <c r="B5" s="39">
        <v>4</v>
      </c>
    </row>
    <row r="6" spans="1:3">
      <c r="A6" s="39" t="s">
        <v>1752</v>
      </c>
      <c r="B6" s="39">
        <v>5</v>
      </c>
    </row>
    <row r="7" spans="1:3">
      <c r="A7" s="39" t="s">
        <v>1753</v>
      </c>
      <c r="B7" s="39">
        <v>7</v>
      </c>
    </row>
    <row r="8" spans="1:3">
      <c r="A8" s="43" t="s">
        <v>1898</v>
      </c>
      <c r="B8" s="39">
        <v>13</v>
      </c>
    </row>
    <row r="9" spans="1:3">
      <c r="A9" s="43" t="s">
        <v>1754</v>
      </c>
      <c r="B9" s="39">
        <v>14</v>
      </c>
    </row>
    <row r="10" spans="1:3">
      <c r="A10" s="43" t="s">
        <v>1755</v>
      </c>
      <c r="B10" s="39">
        <v>15</v>
      </c>
    </row>
    <row r="11" spans="1:3">
      <c r="A11" s="39" t="s">
        <v>1756</v>
      </c>
      <c r="B11" s="39">
        <v>16</v>
      </c>
    </row>
    <row r="12" spans="1:3">
      <c r="A12" s="39" t="s">
        <v>1758</v>
      </c>
      <c r="B12" s="39">
        <v>18</v>
      </c>
    </row>
    <row r="13" spans="1:3">
      <c r="A13" s="39" t="s">
        <v>1759</v>
      </c>
      <c r="B13" s="39">
        <v>19</v>
      </c>
    </row>
    <row r="14" spans="1:3">
      <c r="A14" s="39" t="s">
        <v>1757</v>
      </c>
      <c r="B14" s="39">
        <v>20</v>
      </c>
    </row>
    <row r="15" spans="1:3">
      <c r="A15" s="39" t="s">
        <v>1765</v>
      </c>
      <c r="B15" s="39">
        <v>21</v>
      </c>
    </row>
    <row r="16" spans="1:3">
      <c r="A16" s="39" t="s">
        <v>1767</v>
      </c>
      <c r="B16" s="39">
        <v>22</v>
      </c>
    </row>
    <row r="17" spans="1:2">
      <c r="A17" s="43" t="s">
        <v>1895</v>
      </c>
      <c r="B17" s="39">
        <v>23</v>
      </c>
    </row>
    <row r="18" spans="1:2">
      <c r="A18" s="43" t="s">
        <v>1896</v>
      </c>
      <c r="B18" s="39">
        <v>24</v>
      </c>
    </row>
    <row r="19" spans="1:2">
      <c r="A19" s="43" t="s">
        <v>1897</v>
      </c>
      <c r="B19" s="39">
        <v>25</v>
      </c>
    </row>
    <row r="20" spans="1:2">
      <c r="A20" s="39" t="s">
        <v>1922</v>
      </c>
      <c r="B20" s="39">
        <v>26</v>
      </c>
    </row>
  </sheetData>
  <phoneticPr fontId="15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23"/>
  <dimension ref="A1:B11"/>
  <sheetViews>
    <sheetView workbookViewId="0">
      <selection activeCell="Q18" sqref="Q18"/>
    </sheetView>
  </sheetViews>
  <sheetFormatPr defaultColWidth="9" defaultRowHeight="16.5"/>
  <cols>
    <col min="1" max="1" width="11.3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60</v>
      </c>
      <c r="B2" s="1">
        <v>0</v>
      </c>
    </row>
    <row r="3" spans="1:2">
      <c r="A3" s="2" t="s">
        <v>62</v>
      </c>
      <c r="B3" s="1">
        <v>1</v>
      </c>
    </row>
    <row r="4" spans="1:2">
      <c r="A4" s="2" t="s">
        <v>64</v>
      </c>
      <c r="B4" s="1">
        <v>2</v>
      </c>
    </row>
    <row r="5" spans="1:2">
      <c r="A5" s="2" t="s">
        <v>66</v>
      </c>
      <c r="B5" s="1">
        <v>3</v>
      </c>
    </row>
    <row r="6" spans="1:2">
      <c r="A6" s="2" t="s">
        <v>68</v>
      </c>
      <c r="B6" s="1">
        <v>4</v>
      </c>
    </row>
    <row r="7" spans="1:2">
      <c r="A7" s="2" t="s">
        <v>70</v>
      </c>
      <c r="B7" s="1">
        <v>5</v>
      </c>
    </row>
    <row r="8" spans="1:2">
      <c r="A8" s="2" t="s">
        <v>72</v>
      </c>
      <c r="B8" s="1">
        <v>6</v>
      </c>
    </row>
    <row r="9" spans="1:2">
      <c r="A9" s="2" t="s">
        <v>74</v>
      </c>
      <c r="B9" s="1">
        <v>7</v>
      </c>
    </row>
    <row r="10" spans="1:2">
      <c r="A10" s="2" t="s">
        <v>76</v>
      </c>
      <c r="B10" s="1">
        <v>8</v>
      </c>
    </row>
    <row r="11" spans="1:2">
      <c r="A11" s="2" t="s">
        <v>78</v>
      </c>
      <c r="B11" s="1">
        <v>9</v>
      </c>
    </row>
  </sheetData>
  <phoneticPr fontId="15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31"/>
  <dimension ref="A1:B4"/>
  <sheetViews>
    <sheetView workbookViewId="0">
      <selection activeCell="B5" sqref="B5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157</v>
      </c>
      <c r="B2" s="1">
        <v>0</v>
      </c>
    </row>
    <row r="3" spans="1:2">
      <c r="A3" s="2" t="s">
        <v>159</v>
      </c>
      <c r="B3" s="1">
        <v>1</v>
      </c>
    </row>
    <row r="4" spans="1:2">
      <c r="A4" s="2" t="s">
        <v>161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2"/>
  <dimension ref="A1:B25"/>
  <sheetViews>
    <sheetView workbookViewId="0">
      <selection activeCell="A9" sqref="A9"/>
    </sheetView>
  </sheetViews>
  <sheetFormatPr defaultColWidth="9" defaultRowHeight="16.5"/>
  <cols>
    <col min="1" max="1" width="25.625" style="1" customWidth="1"/>
    <col min="2" max="2" width="15.1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587</v>
      </c>
      <c r="B2" s="1">
        <v>0</v>
      </c>
    </row>
    <row r="3" spans="1:2">
      <c r="A3" s="13" t="s">
        <v>588</v>
      </c>
      <c r="B3" s="1">
        <v>1</v>
      </c>
    </row>
    <row r="4" spans="1:2">
      <c r="A4" s="13" t="s">
        <v>589</v>
      </c>
      <c r="B4" s="1">
        <v>2</v>
      </c>
    </row>
    <row r="5" spans="1:2">
      <c r="A5" s="13" t="s">
        <v>590</v>
      </c>
      <c r="B5" s="1">
        <v>3</v>
      </c>
    </row>
    <row r="6" spans="1:2">
      <c r="A6" s="13" t="s">
        <v>591</v>
      </c>
      <c r="B6" s="1">
        <v>4</v>
      </c>
    </row>
    <row r="7" spans="1:2">
      <c r="A7" s="2" t="s">
        <v>592</v>
      </c>
      <c r="B7" s="1">
        <v>5</v>
      </c>
    </row>
    <row r="8" spans="1:2">
      <c r="A8" s="2" t="s">
        <v>593</v>
      </c>
      <c r="B8" s="1">
        <v>6</v>
      </c>
    </row>
    <row r="9" spans="1:2">
      <c r="A9" s="2" t="s">
        <v>594</v>
      </c>
      <c r="B9" s="1">
        <v>7</v>
      </c>
    </row>
    <row r="10" spans="1:2">
      <c r="A10" s="2" t="s">
        <v>595</v>
      </c>
      <c r="B10" s="1">
        <v>8</v>
      </c>
    </row>
    <row r="11" spans="1:2">
      <c r="A11" s="2" t="s">
        <v>596</v>
      </c>
      <c r="B11" s="1">
        <v>9</v>
      </c>
    </row>
    <row r="12" spans="1:2">
      <c r="A12" s="2" t="s">
        <v>1218</v>
      </c>
      <c r="B12" s="1">
        <v>10</v>
      </c>
    </row>
    <row r="13" spans="1:2">
      <c r="A13" s="2" t="s">
        <v>1219</v>
      </c>
      <c r="B13" s="1">
        <v>11</v>
      </c>
    </row>
    <row r="14" spans="1:2">
      <c r="A14" s="2" t="s">
        <v>1220</v>
      </c>
      <c r="B14" s="1">
        <v>12</v>
      </c>
    </row>
    <row r="15" spans="1:2">
      <c r="A15" s="2" t="s">
        <v>1221</v>
      </c>
      <c r="B15" s="1">
        <v>13</v>
      </c>
    </row>
    <row r="16" spans="1:2">
      <c r="A16" s="2" t="s">
        <v>1292</v>
      </c>
      <c r="B16" s="1">
        <v>14</v>
      </c>
    </row>
    <row r="17" spans="1:2">
      <c r="A17" s="2" t="s">
        <v>1293</v>
      </c>
      <c r="B17" s="1">
        <v>15</v>
      </c>
    </row>
    <row r="18" spans="1:2">
      <c r="A18" s="2" t="s">
        <v>1294</v>
      </c>
      <c r="B18" s="1">
        <v>16</v>
      </c>
    </row>
    <row r="19" spans="1:2">
      <c r="A19" s="2" t="s">
        <v>1295</v>
      </c>
      <c r="B19" s="1">
        <v>17</v>
      </c>
    </row>
    <row r="20" spans="1:2">
      <c r="A20" s="2" t="s">
        <v>1296</v>
      </c>
      <c r="B20" s="1">
        <v>18</v>
      </c>
    </row>
    <row r="21" spans="1:2">
      <c r="A21" s="2" t="s">
        <v>1297</v>
      </c>
      <c r="B21" s="1">
        <v>19</v>
      </c>
    </row>
    <row r="22" spans="1:2">
      <c r="A22" s="2" t="s">
        <v>1298</v>
      </c>
      <c r="B22" s="1">
        <v>20</v>
      </c>
    </row>
    <row r="23" spans="1:2">
      <c r="A23" s="2" t="s">
        <v>1299</v>
      </c>
      <c r="B23" s="1">
        <v>21</v>
      </c>
    </row>
    <row r="24" spans="1:2">
      <c r="A24" s="2" t="s">
        <v>1300</v>
      </c>
      <c r="B24" s="1">
        <v>22</v>
      </c>
    </row>
    <row r="25" spans="1:2">
      <c r="A25" s="2" t="s">
        <v>1301</v>
      </c>
      <c r="B25" s="1">
        <v>23</v>
      </c>
    </row>
  </sheetData>
  <phoneticPr fontId="15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09"/>
  <dimension ref="A1:C3"/>
  <sheetViews>
    <sheetView workbookViewId="0">
      <selection activeCell="B4" sqref="B4"/>
    </sheetView>
  </sheetViews>
  <sheetFormatPr defaultRowHeight="16.5"/>
  <sheetData>
    <row r="1" spans="1:3">
      <c r="A1" s="27" t="s">
        <v>350</v>
      </c>
      <c r="B1" s="27"/>
      <c r="C1" s="5" t="str">
        <f>HYPERLINK("#'"&amp;A1&amp;"'!A1","전체 Type 이동")</f>
        <v>전체 Type 이동</v>
      </c>
    </row>
    <row r="2" spans="1:3">
      <c r="A2" t="s">
        <v>1327</v>
      </c>
      <c r="B2">
        <v>0</v>
      </c>
      <c r="C2" t="s">
        <v>1328</v>
      </c>
    </row>
    <row r="3" spans="1:3">
      <c r="A3" t="s">
        <v>1329</v>
      </c>
      <c r="B3">
        <v>1</v>
      </c>
      <c r="C3" t="s">
        <v>1330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B10"/>
  <sheetViews>
    <sheetView workbookViewId="0">
      <selection activeCell="A11" sqref="A11"/>
    </sheetView>
  </sheetViews>
  <sheetFormatPr defaultRowHeight="16.5"/>
  <cols>
    <col min="1" max="1" width="15" style="1" bestFit="1" customWidth="1"/>
  </cols>
  <sheetData>
    <row r="1" spans="1:2">
      <c r="A1" s="12" t="s">
        <v>350</v>
      </c>
    </row>
    <row r="2" spans="1:2">
      <c r="A2" s="37" t="s">
        <v>1198</v>
      </c>
      <c r="B2">
        <v>0</v>
      </c>
    </row>
    <row r="3" spans="1:2">
      <c r="A3" s="37" t="s">
        <v>1325</v>
      </c>
      <c r="B3">
        <v>1</v>
      </c>
    </row>
    <row r="4" spans="1:2">
      <c r="A4" s="38" t="s">
        <v>1326</v>
      </c>
      <c r="B4">
        <v>2</v>
      </c>
    </row>
    <row r="5" spans="1:2">
      <c r="A5" s="1" t="s">
        <v>1684</v>
      </c>
      <c r="B5">
        <v>3</v>
      </c>
    </row>
    <row r="6" spans="1:2">
      <c r="A6" t="s">
        <v>1685</v>
      </c>
      <c r="B6">
        <v>4</v>
      </c>
    </row>
    <row r="7" spans="1:2">
      <c r="A7" s="1" t="s">
        <v>1835</v>
      </c>
      <c r="B7">
        <v>5</v>
      </c>
    </row>
    <row r="8" spans="1:2">
      <c r="A8" s="1" t="s">
        <v>1836</v>
      </c>
      <c r="B8">
        <v>6</v>
      </c>
    </row>
    <row r="9" spans="1:2">
      <c r="A9" s="1" t="s">
        <v>1865</v>
      </c>
      <c r="B9">
        <v>7</v>
      </c>
    </row>
    <row r="10" spans="1:2">
      <c r="A10" s="1" t="s">
        <v>1866</v>
      </c>
      <c r="B10">
        <v>8</v>
      </c>
    </row>
  </sheetData>
  <phoneticPr fontId="15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1"/>
  <dimension ref="A1:B22"/>
  <sheetViews>
    <sheetView workbookViewId="0">
      <selection activeCell="C11" sqref="C11"/>
    </sheetView>
  </sheetViews>
  <sheetFormatPr defaultRowHeight="16.5"/>
  <cols>
    <col min="1" max="1" width="17.62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1227</v>
      </c>
      <c r="B2" s="1">
        <v>0</v>
      </c>
    </row>
    <row r="3" spans="1:2">
      <c r="A3" s="13" t="s">
        <v>265</v>
      </c>
      <c r="B3" s="1">
        <v>1</v>
      </c>
    </row>
    <row r="4" spans="1:2">
      <c r="A4" s="22" t="s">
        <v>1336</v>
      </c>
      <c r="B4">
        <v>2</v>
      </c>
    </row>
    <row r="5" spans="1:2">
      <c r="A5" s="22" t="s">
        <v>1449</v>
      </c>
      <c r="B5" s="1">
        <v>3</v>
      </c>
    </row>
    <row r="6" spans="1:2">
      <c r="A6" s="22" t="s">
        <v>1446</v>
      </c>
      <c r="B6" s="1">
        <v>4</v>
      </c>
    </row>
    <row r="7" spans="1:2">
      <c r="A7" s="22" t="s">
        <v>1118</v>
      </c>
      <c r="B7">
        <v>5</v>
      </c>
    </row>
    <row r="8" spans="1:2">
      <c r="A8" s="22" t="s">
        <v>1110</v>
      </c>
      <c r="B8" s="1">
        <v>6</v>
      </c>
    </row>
    <row r="9" spans="1:2">
      <c r="A9" s="22" t="s">
        <v>1207</v>
      </c>
      <c r="B9" s="1">
        <v>7</v>
      </c>
    </row>
    <row r="10" spans="1:2">
      <c r="A10" s="22" t="s">
        <v>1506</v>
      </c>
      <c r="B10">
        <v>8</v>
      </c>
    </row>
    <row r="11" spans="1:2">
      <c r="A11" s="22" t="s">
        <v>1534</v>
      </c>
      <c r="B11" s="1">
        <v>9</v>
      </c>
    </row>
    <row r="12" spans="1:2">
      <c r="A12" s="22" t="s">
        <v>1533</v>
      </c>
      <c r="B12" s="1">
        <v>10</v>
      </c>
    </row>
    <row r="13" spans="1:2">
      <c r="A13" s="22" t="s">
        <v>1536</v>
      </c>
      <c r="B13">
        <v>11</v>
      </c>
    </row>
    <row r="14" spans="1:2">
      <c r="A14" s="22" t="s">
        <v>1537</v>
      </c>
      <c r="B14" s="1">
        <v>12</v>
      </c>
    </row>
    <row r="15" spans="1:2">
      <c r="A15" s="22" t="s">
        <v>1540</v>
      </c>
      <c r="B15" s="1">
        <v>13</v>
      </c>
    </row>
    <row r="16" spans="1:2">
      <c r="A16" s="22" t="s">
        <v>1563</v>
      </c>
      <c r="B16" s="1">
        <v>15</v>
      </c>
    </row>
    <row r="17" spans="1:2">
      <c r="A17" s="22" t="s">
        <v>1732</v>
      </c>
      <c r="B17" s="1">
        <v>16</v>
      </c>
    </row>
    <row r="18" spans="1:2">
      <c r="A18" s="22" t="s">
        <v>1733</v>
      </c>
      <c r="B18" s="1">
        <v>17</v>
      </c>
    </row>
    <row r="19" spans="1:2">
      <c r="A19" s="22" t="s">
        <v>1768</v>
      </c>
      <c r="B19" s="1">
        <v>18</v>
      </c>
    </row>
    <row r="20" spans="1:2">
      <c r="A20" s="22" t="s">
        <v>1781</v>
      </c>
      <c r="B20" s="1">
        <v>19</v>
      </c>
    </row>
    <row r="21" spans="1:2">
      <c r="A21" s="22" t="s">
        <v>1787</v>
      </c>
      <c r="B21" s="1">
        <v>20</v>
      </c>
    </row>
    <row r="22" spans="1:2">
      <c r="A22" s="22" t="s">
        <v>1880</v>
      </c>
      <c r="B22" s="1">
        <v>21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3"/>
  <dimension ref="A1:B6"/>
  <sheetViews>
    <sheetView workbookViewId="0">
      <selection activeCell="B7" sqref="B7"/>
    </sheetView>
  </sheetViews>
  <sheetFormatPr defaultColWidth="9" defaultRowHeight="16.5"/>
  <cols>
    <col min="1" max="1" width="15.62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309</v>
      </c>
      <c r="B2" s="1">
        <v>0</v>
      </c>
    </row>
    <row r="3" spans="1:2">
      <c r="A3" s="2" t="s">
        <v>1248</v>
      </c>
      <c r="B3" s="1">
        <v>1</v>
      </c>
    </row>
    <row r="4" spans="1:2">
      <c r="A4" s="2" t="s">
        <v>1246</v>
      </c>
      <c r="B4" s="1">
        <v>2</v>
      </c>
    </row>
    <row r="5" spans="1:2">
      <c r="A5" s="2" t="s">
        <v>1247</v>
      </c>
      <c r="B5" s="1">
        <v>3</v>
      </c>
    </row>
    <row r="6" spans="1:2">
      <c r="A6" s="2" t="s">
        <v>1249</v>
      </c>
      <c r="B6" s="1">
        <v>4</v>
      </c>
    </row>
  </sheetData>
  <phoneticPr fontId="15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2"/>
  <dimension ref="A1:B4"/>
  <sheetViews>
    <sheetView workbookViewId="0">
      <selection activeCell="B5" sqref="B5"/>
    </sheetView>
  </sheetViews>
  <sheetFormatPr defaultColWidth="9" defaultRowHeight="16.5"/>
  <cols>
    <col min="1" max="1" width="15.62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1288</v>
      </c>
      <c r="B2" s="1">
        <v>0</v>
      </c>
    </row>
    <row r="3" spans="1:2">
      <c r="A3" s="2" t="s">
        <v>1286</v>
      </c>
      <c r="B3" s="1">
        <v>1</v>
      </c>
    </row>
    <row r="4" spans="1:2">
      <c r="A4" s="2" t="s">
        <v>1287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20"/>
  <dimension ref="A1:B6"/>
  <sheetViews>
    <sheetView workbookViewId="0">
      <selection activeCell="B7" sqref="B7"/>
    </sheetView>
  </sheetViews>
  <sheetFormatPr defaultColWidth="9" defaultRowHeight="16.5"/>
  <cols>
    <col min="1" max="1" width="28.3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309</v>
      </c>
      <c r="B2" s="3">
        <v>0</v>
      </c>
    </row>
    <row r="3" spans="1:2">
      <c r="A3" s="2" t="s">
        <v>962</v>
      </c>
      <c r="B3" s="3">
        <v>1</v>
      </c>
    </row>
    <row r="4" spans="1:2">
      <c r="A4" s="2" t="s">
        <v>963</v>
      </c>
      <c r="B4" s="3">
        <v>2</v>
      </c>
    </row>
    <row r="5" spans="1:2">
      <c r="A5" s="2" t="s">
        <v>1198</v>
      </c>
      <c r="B5" s="3">
        <v>3</v>
      </c>
    </row>
    <row r="6" spans="1:2">
      <c r="A6" s="2" t="s">
        <v>1686</v>
      </c>
      <c r="B6" s="3">
        <v>4</v>
      </c>
    </row>
  </sheetData>
  <phoneticPr fontId="15" type="noConversion"/>
  <pageMargins left="0.75" right="0.75" top="1" bottom="1" header="0.5" footer="0.5"/>
  <pageSetup paperSize="9"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6"/>
  <sheetViews>
    <sheetView workbookViewId="0">
      <selection activeCell="A3" sqref="A3"/>
    </sheetView>
  </sheetViews>
  <sheetFormatPr defaultColWidth="9" defaultRowHeight="16.5"/>
  <cols>
    <col min="1" max="1" width="28.375" style="3" bestFit="1" customWidth="1"/>
    <col min="2" max="2" width="14.75" style="3" bestFit="1" customWidth="1"/>
    <col min="3" max="16384" width="9" style="3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1118</v>
      </c>
      <c r="B2" s="3">
        <v>0</v>
      </c>
    </row>
    <row r="3" spans="1:2">
      <c r="A3" s="2" t="s">
        <v>1687</v>
      </c>
      <c r="B3" s="3">
        <v>1</v>
      </c>
    </row>
    <row r="4" spans="1:2">
      <c r="A4" s="2"/>
    </row>
    <row r="5" spans="1:2">
      <c r="A5" s="2"/>
    </row>
    <row r="6" spans="1:2">
      <c r="A6" s="2"/>
    </row>
  </sheetData>
  <phoneticPr fontId="15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46"/>
  <dimension ref="A1:B4"/>
  <sheetViews>
    <sheetView workbookViewId="0">
      <selection activeCell="C27" sqref="C27"/>
    </sheetView>
  </sheetViews>
  <sheetFormatPr defaultRowHeight="16.5"/>
  <sheetData>
    <row r="1" spans="1:2">
      <c r="A1" s="12" t="s">
        <v>350</v>
      </c>
    </row>
    <row r="2" spans="1:2">
      <c r="A2" s="35" t="s">
        <v>1323</v>
      </c>
      <c r="B2">
        <v>0</v>
      </c>
    </row>
    <row r="3" spans="1:2">
      <c r="A3" s="36" t="s">
        <v>1324</v>
      </c>
      <c r="B3">
        <v>1</v>
      </c>
    </row>
    <row r="4" spans="1:2">
      <c r="A4" t="s">
        <v>1688</v>
      </c>
      <c r="B4">
        <v>2</v>
      </c>
    </row>
  </sheetData>
  <phoneticPr fontId="15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47"/>
  <dimension ref="A1:B4"/>
  <sheetViews>
    <sheetView workbookViewId="0">
      <selection activeCell="B5" sqref="B5"/>
    </sheetView>
  </sheetViews>
  <sheetFormatPr defaultRowHeight="16.5"/>
  <sheetData>
    <row r="1" spans="1:2">
      <c r="A1" s="12" t="s">
        <v>350</v>
      </c>
    </row>
    <row r="2" spans="1:2">
      <c r="A2" t="s">
        <v>1114</v>
      </c>
      <c r="B2">
        <v>0</v>
      </c>
    </row>
    <row r="3" spans="1:2">
      <c r="A3" t="s">
        <v>1115</v>
      </c>
      <c r="B3">
        <v>1</v>
      </c>
    </row>
    <row r="4" spans="1:2">
      <c r="A4" t="s">
        <v>1116</v>
      </c>
      <c r="B4">
        <v>2</v>
      </c>
    </row>
  </sheetData>
  <phoneticPr fontId="15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64"/>
  <dimension ref="A1:B4"/>
  <sheetViews>
    <sheetView workbookViewId="0">
      <selection activeCell="B5" sqref="B5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606</v>
      </c>
      <c r="B2" s="1">
        <v>0</v>
      </c>
    </row>
    <row r="3" spans="1:2">
      <c r="A3" s="13" t="s">
        <v>171</v>
      </c>
      <c r="B3" s="1">
        <v>1</v>
      </c>
    </row>
    <row r="4" spans="1:2">
      <c r="A4" s="13" t="s">
        <v>609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66"/>
  <dimension ref="A1:B3"/>
  <sheetViews>
    <sheetView workbookViewId="0">
      <selection activeCell="B4" sqref="B4"/>
    </sheetView>
  </sheetViews>
  <sheetFormatPr defaultColWidth="9" defaultRowHeight="16.5"/>
  <cols>
    <col min="1" max="1" width="9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606</v>
      </c>
      <c r="B2" s="1">
        <v>0</v>
      </c>
    </row>
    <row r="3" spans="1:2">
      <c r="A3" s="13" t="s">
        <v>616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14"/>
  <dimension ref="A1:E57"/>
  <sheetViews>
    <sheetView topLeftCell="A37" workbookViewId="0">
      <selection activeCell="G57" sqref="G57"/>
    </sheetView>
  </sheetViews>
  <sheetFormatPr defaultRowHeight="16.5"/>
  <cols>
    <col min="1" max="2" width="16.375" customWidth="1"/>
    <col min="3" max="3" width="18.375" customWidth="1"/>
    <col min="4" max="4" width="19" customWidth="1"/>
    <col min="5" max="5" width="14.625" customWidth="1"/>
  </cols>
  <sheetData>
    <row r="1" spans="1:5">
      <c r="A1" t="s">
        <v>1588</v>
      </c>
    </row>
    <row r="2" spans="1:5">
      <c r="A2" t="s">
        <v>1589</v>
      </c>
      <c r="B2">
        <v>0</v>
      </c>
      <c r="C2" t="s">
        <v>1590</v>
      </c>
      <c r="D2" t="s">
        <v>1490</v>
      </c>
      <c r="E2" t="s">
        <v>1591</v>
      </c>
    </row>
    <row r="3" spans="1:5">
      <c r="A3" t="s">
        <v>1485</v>
      </c>
      <c r="B3">
        <v>1</v>
      </c>
      <c r="C3" t="s">
        <v>1590</v>
      </c>
      <c r="D3" t="s">
        <v>1490</v>
      </c>
      <c r="E3" t="s">
        <v>1591</v>
      </c>
    </row>
    <row r="4" spans="1:5">
      <c r="A4" t="s">
        <v>1592</v>
      </c>
      <c r="B4">
        <v>2</v>
      </c>
      <c r="C4" t="s">
        <v>1593</v>
      </c>
      <c r="D4" t="s">
        <v>1594</v>
      </c>
      <c r="E4" t="s">
        <v>1595</v>
      </c>
    </row>
    <row r="5" spans="1:5">
      <c r="A5" t="s">
        <v>1596</v>
      </c>
      <c r="B5">
        <v>3</v>
      </c>
      <c r="C5" t="s">
        <v>1597</v>
      </c>
      <c r="D5" t="s">
        <v>1598</v>
      </c>
      <c r="E5" t="s">
        <v>1599</v>
      </c>
    </row>
    <row r="6" spans="1:5">
      <c r="A6" t="s">
        <v>1600</v>
      </c>
      <c r="B6">
        <v>4</v>
      </c>
      <c r="C6" t="s">
        <v>1597</v>
      </c>
      <c r="D6" t="s">
        <v>1601</v>
      </c>
    </row>
    <row r="7" spans="1:5">
      <c r="A7" t="s">
        <v>1602</v>
      </c>
      <c r="B7">
        <v>5</v>
      </c>
      <c r="C7" t="s">
        <v>1597</v>
      </c>
      <c r="D7" t="s">
        <v>1603</v>
      </c>
    </row>
    <row r="8" spans="1:5">
      <c r="A8" t="s">
        <v>1604</v>
      </c>
      <c r="B8">
        <v>6</v>
      </c>
      <c r="C8" t="s">
        <v>1597</v>
      </c>
      <c r="D8" t="s">
        <v>1605</v>
      </c>
      <c r="E8" t="s">
        <v>1606</v>
      </c>
    </row>
    <row r="9" spans="1:5">
      <c r="A9" t="s">
        <v>1607</v>
      </c>
      <c r="B9">
        <v>7</v>
      </c>
      <c r="C9" t="s">
        <v>1593</v>
      </c>
      <c r="D9" t="s">
        <v>1608</v>
      </c>
    </row>
    <row r="10" spans="1:5">
      <c r="A10" t="s">
        <v>1609</v>
      </c>
      <c r="B10">
        <v>8</v>
      </c>
      <c r="C10" t="s">
        <v>1608</v>
      </c>
    </row>
    <row r="11" spans="1:5">
      <c r="A11" t="s">
        <v>1610</v>
      </c>
      <c r="B11">
        <v>9</v>
      </c>
      <c r="C11" t="s">
        <v>1594</v>
      </c>
    </row>
    <row r="12" spans="1:5">
      <c r="A12" t="s">
        <v>1611</v>
      </c>
      <c r="B12">
        <v>10</v>
      </c>
      <c r="C12" t="s">
        <v>1597</v>
      </c>
      <c r="D12" t="s">
        <v>1612</v>
      </c>
    </row>
    <row r="13" spans="1:5">
      <c r="A13" t="s">
        <v>1613</v>
      </c>
      <c r="B13">
        <v>11</v>
      </c>
      <c r="C13" t="s">
        <v>1597</v>
      </c>
      <c r="D13" t="s">
        <v>1614</v>
      </c>
    </row>
    <row r="14" spans="1:5">
      <c r="A14" t="s">
        <v>1615</v>
      </c>
      <c r="B14">
        <v>12</v>
      </c>
      <c r="C14" t="s">
        <v>1614</v>
      </c>
    </row>
    <row r="15" spans="1:5">
      <c r="A15" t="s">
        <v>1547</v>
      </c>
      <c r="B15">
        <v>13</v>
      </c>
    </row>
    <row r="16" spans="1:5">
      <c r="A16" t="s">
        <v>1616</v>
      </c>
      <c r="B16">
        <v>14</v>
      </c>
    </row>
    <row r="17" spans="1:5">
      <c r="A17" t="s">
        <v>1617</v>
      </c>
      <c r="B17">
        <v>15</v>
      </c>
      <c r="C17" t="s">
        <v>1618</v>
      </c>
      <c r="D17" t="s">
        <v>1619</v>
      </c>
      <c r="E17" t="s">
        <v>1872</v>
      </c>
    </row>
    <row r="18" spans="1:5">
      <c r="A18" t="s">
        <v>1620</v>
      </c>
      <c r="B18">
        <v>16</v>
      </c>
      <c r="C18" t="s">
        <v>1597</v>
      </c>
    </row>
    <row r="19" spans="1:5">
      <c r="A19" t="s">
        <v>1486</v>
      </c>
      <c r="B19">
        <v>17</v>
      </c>
      <c r="C19" t="s">
        <v>1608</v>
      </c>
    </row>
    <row r="20" spans="1:5">
      <c r="A20" t="s">
        <v>1487</v>
      </c>
      <c r="B20">
        <v>18</v>
      </c>
      <c r="C20" t="s">
        <v>1489</v>
      </c>
      <c r="D20" t="s">
        <v>1488</v>
      </c>
    </row>
    <row r="21" spans="1:5">
      <c r="A21" t="s">
        <v>1539</v>
      </c>
      <c r="B21">
        <v>19</v>
      </c>
    </row>
    <row r="22" spans="1:5">
      <c r="A22" t="s">
        <v>1541</v>
      </c>
      <c r="B22">
        <v>20</v>
      </c>
      <c r="C22" t="s">
        <v>1544</v>
      </c>
      <c r="D22" t="s">
        <v>1546</v>
      </c>
    </row>
    <row r="23" spans="1:5">
      <c r="A23" t="s">
        <v>1542</v>
      </c>
      <c r="B23">
        <v>21</v>
      </c>
      <c r="C23" t="s">
        <v>1544</v>
      </c>
      <c r="D23" t="s">
        <v>1614</v>
      </c>
    </row>
    <row r="24" spans="1:5">
      <c r="A24" t="s">
        <v>1543</v>
      </c>
      <c r="B24">
        <v>22</v>
      </c>
      <c r="C24" t="s">
        <v>1545</v>
      </c>
      <c r="D24" t="s">
        <v>1546</v>
      </c>
    </row>
    <row r="25" spans="1:5">
      <c r="A25" t="s">
        <v>1548</v>
      </c>
      <c r="B25">
        <v>23</v>
      </c>
    </row>
    <row r="26" spans="1:5">
      <c r="A26" t="s">
        <v>1550</v>
      </c>
      <c r="B26">
        <v>24</v>
      </c>
      <c r="C26" t="s">
        <v>1552</v>
      </c>
      <c r="D26" t="s">
        <v>1553</v>
      </c>
    </row>
    <row r="27" spans="1:5">
      <c r="A27" t="s">
        <v>1551</v>
      </c>
      <c r="B27">
        <v>25</v>
      </c>
      <c r="C27" t="s">
        <v>1597</v>
      </c>
      <c r="D27" t="s">
        <v>1552</v>
      </c>
      <c r="E27" t="s">
        <v>1554</v>
      </c>
    </row>
    <row r="28" spans="1:5">
      <c r="A28" t="s">
        <v>1558</v>
      </c>
      <c r="B28">
        <v>26</v>
      </c>
      <c r="C28" t="s">
        <v>1559</v>
      </c>
    </row>
    <row r="29" spans="1:5">
      <c r="A29" t="s">
        <v>1560</v>
      </c>
      <c r="B29">
        <v>27</v>
      </c>
    </row>
    <row r="30" spans="1:5">
      <c r="A30" t="s">
        <v>1572</v>
      </c>
      <c r="B30">
        <v>28</v>
      </c>
      <c r="C30" t="s">
        <v>1573</v>
      </c>
      <c r="D30" t="s">
        <v>1574</v>
      </c>
      <c r="E30" t="s">
        <v>1606</v>
      </c>
    </row>
    <row r="31" spans="1:5">
      <c r="A31" t="s">
        <v>1621</v>
      </c>
      <c r="B31">
        <v>29</v>
      </c>
    </row>
    <row r="32" spans="1:5">
      <c r="A32" t="s">
        <v>1673</v>
      </c>
      <c r="B32">
        <v>30</v>
      </c>
      <c r="C32" t="s">
        <v>1675</v>
      </c>
    </row>
    <row r="33" spans="1:5">
      <c r="A33" t="s">
        <v>1674</v>
      </c>
      <c r="B33">
        <v>31</v>
      </c>
      <c r="C33" t="s">
        <v>1597</v>
      </c>
    </row>
    <row r="34" spans="1:5">
      <c r="A34" t="s">
        <v>1682</v>
      </c>
      <c r="B34">
        <v>32</v>
      </c>
    </row>
    <row r="35" spans="1:5">
      <c r="A35" t="s">
        <v>1683</v>
      </c>
      <c r="B35">
        <v>33</v>
      </c>
    </row>
    <row r="36" spans="1:5">
      <c r="A36" t="s">
        <v>1728</v>
      </c>
      <c r="B36">
        <v>34</v>
      </c>
      <c r="C36" t="s">
        <v>1729</v>
      </c>
    </row>
    <row r="37" spans="1:5">
      <c r="A37" t="s">
        <v>1731</v>
      </c>
      <c r="B37">
        <v>35</v>
      </c>
      <c r="C37" t="s">
        <v>1591</v>
      </c>
    </row>
    <row r="38" spans="1:5">
      <c r="A38" t="s">
        <v>1730</v>
      </c>
      <c r="B38">
        <v>36</v>
      </c>
    </row>
    <row r="39" spans="1:5">
      <c r="A39" t="s">
        <v>1734</v>
      </c>
      <c r="B39">
        <v>37</v>
      </c>
      <c r="C39" t="s">
        <v>1597</v>
      </c>
      <c r="D39" t="s">
        <v>1552</v>
      </c>
      <c r="E39" t="s">
        <v>1554</v>
      </c>
    </row>
    <row r="40" spans="1:5">
      <c r="A40" t="s">
        <v>1735</v>
      </c>
      <c r="B40">
        <v>38</v>
      </c>
    </row>
    <row r="41" spans="1:5">
      <c r="A41" t="s">
        <v>1736</v>
      </c>
      <c r="B41">
        <v>39</v>
      </c>
      <c r="C41" t="s">
        <v>1597</v>
      </c>
      <c r="D41" t="s">
        <v>1603</v>
      </c>
    </row>
    <row r="42" spans="1:5">
      <c r="A42" t="s">
        <v>1744</v>
      </c>
      <c r="B42">
        <v>40</v>
      </c>
      <c r="C42" t="s">
        <v>1745</v>
      </c>
      <c r="D42" t="s">
        <v>1746</v>
      </c>
    </row>
    <row r="43" spans="1:5">
      <c r="A43" t="s">
        <v>1742</v>
      </c>
      <c r="B43">
        <v>41</v>
      </c>
    </row>
    <row r="44" spans="1:5">
      <c r="A44" t="s">
        <v>1743</v>
      </c>
      <c r="B44">
        <v>42</v>
      </c>
      <c r="C44" t="s">
        <v>1747</v>
      </c>
    </row>
    <row r="45" spans="1:5">
      <c r="A45" t="s">
        <v>1808</v>
      </c>
      <c r="B45">
        <v>43</v>
      </c>
    </row>
    <row r="46" spans="1:5">
      <c r="A46" t="s">
        <v>1817</v>
      </c>
      <c r="B46">
        <v>44</v>
      </c>
      <c r="C46" t="s">
        <v>1597</v>
      </c>
      <c r="D46" t="s">
        <v>1819</v>
      </c>
      <c r="E46" t="s">
        <v>1818</v>
      </c>
    </row>
    <row r="47" spans="1:5">
      <c r="A47" t="s">
        <v>1826</v>
      </c>
      <c r="B47">
        <v>45</v>
      </c>
      <c r="C47" t="s">
        <v>1593</v>
      </c>
    </row>
    <row r="48" spans="1:5">
      <c r="A48" t="s">
        <v>1827</v>
      </c>
      <c r="B48">
        <v>46</v>
      </c>
      <c r="C48" t="s">
        <v>1828</v>
      </c>
    </row>
    <row r="49" spans="1:5">
      <c r="A49" t="s">
        <v>1829</v>
      </c>
      <c r="B49">
        <v>47</v>
      </c>
      <c r="C49" t="s">
        <v>1828</v>
      </c>
      <c r="D49" t="s">
        <v>1830</v>
      </c>
      <c r="E49" t="s">
        <v>1546</v>
      </c>
    </row>
    <row r="50" spans="1:5">
      <c r="A50" t="s">
        <v>1850</v>
      </c>
      <c r="B50">
        <v>48</v>
      </c>
      <c r="C50" t="s">
        <v>1745</v>
      </c>
      <c r="D50" t="s">
        <v>1603</v>
      </c>
    </row>
    <row r="51" spans="1:5">
      <c r="A51" t="s">
        <v>1867</v>
      </c>
      <c r="B51">
        <v>49</v>
      </c>
      <c r="C51" t="s">
        <v>1868</v>
      </c>
    </row>
    <row r="52" spans="1:5">
      <c r="A52" t="s">
        <v>1869</v>
      </c>
      <c r="B52">
        <v>50</v>
      </c>
      <c r="C52" t="s">
        <v>1545</v>
      </c>
      <c r="D52" t="s">
        <v>1871</v>
      </c>
    </row>
    <row r="53" spans="1:5">
      <c r="A53" t="s">
        <v>1870</v>
      </c>
      <c r="B53">
        <v>51</v>
      </c>
    </row>
    <row r="54" spans="1:5">
      <c r="A54" t="s">
        <v>1876</v>
      </c>
      <c r="B54">
        <v>52</v>
      </c>
      <c r="C54" t="s">
        <v>1879</v>
      </c>
      <c r="D54" t="s">
        <v>1877</v>
      </c>
    </row>
    <row r="55" spans="1:5">
      <c r="A55" t="s">
        <v>1883</v>
      </c>
      <c r="B55">
        <v>53</v>
      </c>
      <c r="C55" t="s">
        <v>1597</v>
      </c>
      <c r="D55" t="s">
        <v>1559</v>
      </c>
    </row>
    <row r="56" spans="1:5">
      <c r="A56" t="s">
        <v>1884</v>
      </c>
      <c r="B56">
        <v>54</v>
      </c>
      <c r="C56" t="s">
        <v>1559</v>
      </c>
    </row>
    <row r="57" spans="1:5">
      <c r="A57" t="s">
        <v>1890</v>
      </c>
      <c r="B57">
        <v>55</v>
      </c>
    </row>
  </sheetData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3"/>
  <sheetViews>
    <sheetView workbookViewId="0">
      <selection activeCell="G24" sqref="G24"/>
    </sheetView>
  </sheetViews>
  <sheetFormatPr defaultRowHeight="16.5"/>
  <sheetData>
    <row r="1" spans="1:2">
      <c r="A1" t="s">
        <v>1588</v>
      </c>
    </row>
    <row r="2" spans="1:2">
      <c r="A2" t="s">
        <v>1613</v>
      </c>
      <c r="B2">
        <v>0</v>
      </c>
    </row>
    <row r="3" spans="1:2">
      <c r="A3" t="s">
        <v>1878</v>
      </c>
      <c r="B3">
        <v>1</v>
      </c>
    </row>
  </sheetData>
  <phoneticPr fontId="15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8"/>
  <sheetViews>
    <sheetView workbookViewId="0">
      <selection activeCell="B2" sqref="B2:B8"/>
    </sheetView>
  </sheetViews>
  <sheetFormatPr defaultRowHeight="16.5"/>
  <sheetData>
    <row r="1" spans="1:2">
      <c r="A1" t="s">
        <v>1352</v>
      </c>
    </row>
    <row r="2" spans="1:2">
      <c r="A2" t="s">
        <v>1676</v>
      </c>
      <c r="B2">
        <v>0</v>
      </c>
    </row>
    <row r="3" spans="1:2">
      <c r="A3" t="s">
        <v>1677</v>
      </c>
      <c r="B3">
        <v>1</v>
      </c>
    </row>
    <row r="4" spans="1:2">
      <c r="A4" t="s">
        <v>1678</v>
      </c>
      <c r="B4">
        <v>2</v>
      </c>
    </row>
    <row r="5" spans="1:2">
      <c r="A5" t="s">
        <v>1679</v>
      </c>
      <c r="B5">
        <v>3</v>
      </c>
    </row>
    <row r="6" spans="1:2">
      <c r="A6" t="s">
        <v>1680</v>
      </c>
      <c r="B6">
        <v>4</v>
      </c>
    </row>
    <row r="7" spans="1:2">
      <c r="A7" t="s">
        <v>1681</v>
      </c>
      <c r="B7">
        <v>5</v>
      </c>
    </row>
    <row r="8" spans="1:2">
      <c r="A8" t="s">
        <v>309</v>
      </c>
      <c r="B8">
        <v>6</v>
      </c>
    </row>
  </sheetData>
  <phoneticPr fontId="15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116"/>
  <dimension ref="A1:B6"/>
  <sheetViews>
    <sheetView workbookViewId="0">
      <selection activeCell="B6" sqref="B6"/>
    </sheetView>
  </sheetViews>
  <sheetFormatPr defaultRowHeight="16.5"/>
  <sheetData>
    <row r="1" spans="1:2">
      <c r="A1" t="s">
        <v>1352</v>
      </c>
    </row>
    <row r="2" spans="1:2">
      <c r="A2" t="s">
        <v>1360</v>
      </c>
      <c r="B2">
        <v>0</v>
      </c>
    </row>
    <row r="3" spans="1:2">
      <c r="A3" t="s">
        <v>1359</v>
      </c>
      <c r="B3">
        <v>1</v>
      </c>
    </row>
    <row r="4" spans="1:2">
      <c r="A4" t="s">
        <v>1358</v>
      </c>
      <c r="B4">
        <v>2</v>
      </c>
    </row>
    <row r="5" spans="1:2">
      <c r="A5" t="s">
        <v>309</v>
      </c>
      <c r="B5">
        <v>3</v>
      </c>
    </row>
    <row r="6" spans="1:2">
      <c r="A6" t="s">
        <v>1839</v>
      </c>
      <c r="B6">
        <v>4</v>
      </c>
    </row>
  </sheetData>
  <phoneticPr fontId="15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44"/>
  <dimension ref="A1:B3"/>
  <sheetViews>
    <sheetView workbookViewId="0">
      <selection activeCell="B4" sqref="B4"/>
    </sheetView>
  </sheetViews>
  <sheetFormatPr defaultRowHeight="16.5"/>
  <cols>
    <col min="1" max="1" width="8.875" bestFit="1" customWidth="1"/>
    <col min="2" max="2" width="13" bestFit="1" customWidth="1"/>
  </cols>
  <sheetData>
    <row r="1" spans="1:2" s="43" customFormat="1" ht="13.5">
      <c r="A1" s="40" t="s">
        <v>350</v>
      </c>
      <c r="B1" s="41" t="str">
        <f>HYPERLINK("#'"&amp;A1&amp;"'!A1","전체 Type 이동")</f>
        <v>전체 Type 이동</v>
      </c>
    </row>
    <row r="2" spans="1:2" s="43" customFormat="1" ht="13.5">
      <c r="A2" s="39" t="s">
        <v>1425</v>
      </c>
      <c r="B2" s="39">
        <v>0</v>
      </c>
    </row>
    <row r="3" spans="1:2" s="43" customFormat="1" ht="13.5">
      <c r="A3" s="43" t="s">
        <v>1426</v>
      </c>
      <c r="B3" s="43">
        <v>1</v>
      </c>
    </row>
  </sheetData>
  <phoneticPr fontId="15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9"/>
  <dimension ref="A1:B3"/>
  <sheetViews>
    <sheetView workbookViewId="0">
      <selection sqref="A1:B3"/>
    </sheetView>
  </sheetViews>
  <sheetFormatPr defaultRowHeight="16.5"/>
  <cols>
    <col min="1" max="1" width="12.25" bestFit="1" customWidth="1"/>
  </cols>
  <sheetData>
    <row r="1" spans="1:2">
      <c r="A1" s="12" t="s">
        <v>350</v>
      </c>
    </row>
    <row r="2" spans="1:2">
      <c r="A2" s="2" t="s">
        <v>1158</v>
      </c>
      <c r="B2">
        <v>0</v>
      </c>
    </row>
    <row r="3" spans="1:2">
      <c r="A3" s="2" t="s">
        <v>1216</v>
      </c>
      <c r="B3">
        <v>1</v>
      </c>
    </row>
  </sheetData>
  <phoneticPr fontId="15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39"/>
  <dimension ref="A1:B7"/>
  <sheetViews>
    <sheetView workbookViewId="0">
      <selection activeCell="B8" sqref="B8"/>
    </sheetView>
  </sheetViews>
  <sheetFormatPr defaultRowHeight="16.5"/>
  <cols>
    <col min="1" max="1" width="11.12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1276</v>
      </c>
      <c r="B2">
        <v>0</v>
      </c>
    </row>
    <row r="3" spans="1:2">
      <c r="A3" t="s">
        <v>890</v>
      </c>
      <c r="B3">
        <v>1</v>
      </c>
    </row>
    <row r="4" spans="1:2">
      <c r="A4" t="s">
        <v>1277</v>
      </c>
      <c r="B4">
        <v>2</v>
      </c>
    </row>
    <row r="5" spans="1:2">
      <c r="A5" t="s">
        <v>1278</v>
      </c>
      <c r="B5">
        <v>3</v>
      </c>
    </row>
    <row r="6" spans="1:2">
      <c r="A6" t="s">
        <v>1279</v>
      </c>
      <c r="B6">
        <v>4</v>
      </c>
    </row>
    <row r="7" spans="1:2">
      <c r="A7" t="s">
        <v>1280</v>
      </c>
      <c r="B7">
        <v>5</v>
      </c>
    </row>
  </sheetData>
  <phoneticPr fontId="15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38"/>
  <dimension ref="A1:B3"/>
  <sheetViews>
    <sheetView workbookViewId="0">
      <selection activeCell="G21" sqref="G21"/>
    </sheetView>
  </sheetViews>
  <sheetFormatPr defaultRowHeight="16.5"/>
  <cols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1239</v>
      </c>
      <c r="B2">
        <v>0</v>
      </c>
    </row>
    <row r="3" spans="1:2">
      <c r="A3" t="s">
        <v>1240</v>
      </c>
      <c r="B3">
        <v>1</v>
      </c>
    </row>
  </sheetData>
  <phoneticPr fontId="15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25"/>
  <dimension ref="A1:B4"/>
  <sheetViews>
    <sheetView workbookViewId="0">
      <selection sqref="A1:B4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91</v>
      </c>
      <c r="B2" s="1">
        <v>0</v>
      </c>
    </row>
    <row r="3" spans="1:2">
      <c r="A3" s="2" t="s">
        <v>93</v>
      </c>
      <c r="B3" s="1">
        <v>1</v>
      </c>
    </row>
    <row r="4" spans="1:2">
      <c r="A4" s="2" t="s">
        <v>95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4"/>
  <sheetViews>
    <sheetView workbookViewId="0">
      <selection activeCell="C5" sqref="C5"/>
    </sheetView>
  </sheetViews>
  <sheetFormatPr defaultRowHeight="16.5"/>
  <sheetData>
    <row r="1" spans="1:3">
      <c r="A1" s="12" t="s">
        <v>350</v>
      </c>
      <c r="B1" s="5"/>
    </row>
    <row r="2" spans="1:3">
      <c r="A2" s="2" t="s">
        <v>1701</v>
      </c>
      <c r="B2" s="1">
        <v>0</v>
      </c>
      <c r="C2" t="s">
        <v>1704</v>
      </c>
    </row>
    <row r="3" spans="1:3">
      <c r="A3" s="2" t="s">
        <v>1702</v>
      </c>
      <c r="B3" s="1">
        <v>1</v>
      </c>
      <c r="C3" t="s">
        <v>1705</v>
      </c>
    </row>
    <row r="4" spans="1:3">
      <c r="A4" s="2" t="s">
        <v>1703</v>
      </c>
      <c r="B4" s="1">
        <v>2</v>
      </c>
      <c r="C4" t="s">
        <v>1706</v>
      </c>
    </row>
  </sheetData>
  <phoneticPr fontId="15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76"/>
  <dimension ref="A1:B8"/>
  <sheetViews>
    <sheetView workbookViewId="0">
      <selection activeCell="B9" sqref="B9"/>
    </sheetView>
  </sheetViews>
  <sheetFormatPr defaultColWidth="9" defaultRowHeight="16.5"/>
  <cols>
    <col min="1" max="1" width="9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696</v>
      </c>
      <c r="B2" s="1">
        <v>0</v>
      </c>
    </row>
    <row r="3" spans="1:2">
      <c r="A3" s="13" t="s">
        <v>698</v>
      </c>
      <c r="B3" s="1">
        <v>1</v>
      </c>
    </row>
    <row r="4" spans="1:2">
      <c r="A4" s="13" t="s">
        <v>700</v>
      </c>
      <c r="B4" s="1">
        <v>2</v>
      </c>
    </row>
    <row r="5" spans="1:2">
      <c r="A5" s="13" t="s">
        <v>702</v>
      </c>
      <c r="B5" s="1">
        <v>3</v>
      </c>
    </row>
    <row r="6" spans="1:2">
      <c r="A6" s="13" t="s">
        <v>704</v>
      </c>
      <c r="B6" s="1">
        <v>4</v>
      </c>
    </row>
    <row r="7" spans="1:2">
      <c r="A7" s="13" t="s">
        <v>706</v>
      </c>
      <c r="B7" s="1">
        <v>5</v>
      </c>
    </row>
    <row r="8" spans="1:2">
      <c r="A8" s="13" t="s">
        <v>708</v>
      </c>
      <c r="B8" s="1">
        <v>6</v>
      </c>
    </row>
  </sheetData>
  <phoneticPr fontId="15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77"/>
  <dimension ref="A1:B3"/>
  <sheetViews>
    <sheetView workbookViewId="0">
      <selection activeCell="B4" sqref="B4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621</v>
      </c>
      <c r="B2" s="1">
        <v>0</v>
      </c>
    </row>
    <row r="3" spans="1:2">
      <c r="A3" s="13" t="s">
        <v>22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5"/>
  <dimension ref="A1:B4"/>
  <sheetViews>
    <sheetView workbookViewId="0">
      <selection activeCell="B5" sqref="B5"/>
    </sheetView>
  </sheetViews>
  <sheetFormatPr defaultColWidth="9" defaultRowHeight="16.5"/>
  <cols>
    <col min="1" max="1" width="9.2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838</v>
      </c>
      <c r="B2" s="1">
        <v>0</v>
      </c>
    </row>
    <row r="3" spans="1:2">
      <c r="A3" s="13" t="s">
        <v>1152</v>
      </c>
      <c r="B3" s="1">
        <v>1</v>
      </c>
    </row>
    <row r="4" spans="1:2">
      <c r="A4" s="13" t="s">
        <v>840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10"/>
  <sheetViews>
    <sheetView workbookViewId="0">
      <selection activeCell="E9" sqref="E9"/>
    </sheetView>
  </sheetViews>
  <sheetFormatPr defaultRowHeight="16.5"/>
  <cols>
    <col min="1" max="1" width="21.875" bestFit="1" customWidth="1"/>
  </cols>
  <sheetData>
    <row r="1" spans="1:2">
      <c r="A1" s="12" t="s">
        <v>1375</v>
      </c>
    </row>
    <row r="2" spans="1:2">
      <c r="A2" s="13" t="s">
        <v>1374</v>
      </c>
      <c r="B2">
        <v>0</v>
      </c>
    </row>
    <row r="3" spans="1:2">
      <c r="A3" s="13" t="s">
        <v>1373</v>
      </c>
      <c r="B3">
        <v>1</v>
      </c>
    </row>
    <row r="4" spans="1:2">
      <c r="A4" s="13" t="s">
        <v>1372</v>
      </c>
      <c r="B4">
        <v>2</v>
      </c>
    </row>
    <row r="5" spans="1:2">
      <c r="A5" s="13" t="s">
        <v>1371</v>
      </c>
      <c r="B5">
        <v>3</v>
      </c>
    </row>
    <row r="6" spans="1:2">
      <c r="A6" s="13" t="s">
        <v>1370</v>
      </c>
      <c r="B6">
        <v>4</v>
      </c>
    </row>
    <row r="7" spans="1:2">
      <c r="A7" s="13" t="s">
        <v>1369</v>
      </c>
      <c r="B7">
        <v>5</v>
      </c>
    </row>
    <row r="8" spans="1:2">
      <c r="A8" s="22" t="s">
        <v>1436</v>
      </c>
      <c r="B8">
        <v>6</v>
      </c>
    </row>
    <row r="9" spans="1:2">
      <c r="A9" s="15" t="s">
        <v>1718</v>
      </c>
      <c r="B9">
        <v>7</v>
      </c>
    </row>
    <row r="10" spans="1:2">
      <c r="A10" s="15" t="s">
        <v>1926</v>
      </c>
      <c r="B10">
        <v>8</v>
      </c>
    </row>
  </sheetData>
  <phoneticPr fontId="15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4"/>
  <sheetViews>
    <sheetView workbookViewId="0">
      <selection activeCell="B5" sqref="B5"/>
    </sheetView>
  </sheetViews>
  <sheetFormatPr defaultColWidth="9" defaultRowHeight="16.5"/>
  <cols>
    <col min="1" max="1" width="9.625" bestFit="1" customWidth="1"/>
  </cols>
  <sheetData>
    <row r="1" spans="1:2">
      <c r="A1" s="12" t="s">
        <v>1368</v>
      </c>
    </row>
    <row r="2" spans="1:2">
      <c r="A2" s="13" t="s">
        <v>1367</v>
      </c>
      <c r="B2">
        <v>0</v>
      </c>
    </row>
    <row r="3" spans="1:2">
      <c r="A3" s="13" t="s">
        <v>1366</v>
      </c>
      <c r="B3">
        <v>1</v>
      </c>
    </row>
    <row r="4" spans="1:2">
      <c r="A4" s="13" t="s">
        <v>1365</v>
      </c>
      <c r="B4">
        <v>2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6"/>
  <dimension ref="A1:B8"/>
  <sheetViews>
    <sheetView workbookViewId="0">
      <selection activeCell="B4" sqref="B4"/>
    </sheetView>
  </sheetViews>
  <sheetFormatPr defaultColWidth="9" defaultRowHeight="16.5"/>
  <cols>
    <col min="1" max="1" width="9" style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977</v>
      </c>
      <c r="B2" s="3">
        <v>0</v>
      </c>
    </row>
    <row r="3" spans="1:2">
      <c r="A3" s="13" t="s">
        <v>978</v>
      </c>
      <c r="B3" s="3">
        <v>1</v>
      </c>
    </row>
    <row r="4" spans="1:2">
      <c r="A4" s="3"/>
      <c r="B4" s="3"/>
    </row>
    <row r="5" spans="1:2">
      <c r="A5" s="3"/>
      <c r="B5" s="3"/>
    </row>
    <row r="6" spans="1:2">
      <c r="A6" s="3"/>
      <c r="B6" s="3"/>
    </row>
    <row r="7" spans="1:2">
      <c r="A7" s="3"/>
    </row>
    <row r="8" spans="1:2">
      <c r="A8" s="3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03"/>
  <dimension ref="A1:C22"/>
  <sheetViews>
    <sheetView workbookViewId="0">
      <selection activeCell="C30" sqref="C30"/>
    </sheetView>
  </sheetViews>
  <sheetFormatPr defaultRowHeight="16.5"/>
  <cols>
    <col min="1" max="2" width="51.875" customWidth="1"/>
    <col min="3" max="3" width="43.375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t="s">
        <v>1361</v>
      </c>
      <c r="B2">
        <v>0</v>
      </c>
      <c r="C2" t="s">
        <v>1362</v>
      </c>
    </row>
    <row r="3" spans="1:3">
      <c r="A3" t="s">
        <v>1363</v>
      </c>
      <c r="B3">
        <v>7</v>
      </c>
      <c r="C3" t="s">
        <v>1364</v>
      </c>
    </row>
    <row r="4" spans="1:3">
      <c r="A4" t="s">
        <v>1407</v>
      </c>
      <c r="B4">
        <v>9</v>
      </c>
      <c r="C4" t="s">
        <v>1408</v>
      </c>
    </row>
    <row r="5" spans="1:3">
      <c r="A5" t="s">
        <v>1409</v>
      </c>
      <c r="B5">
        <v>10</v>
      </c>
      <c r="C5" t="s">
        <v>1410</v>
      </c>
    </row>
    <row r="6" spans="1:3">
      <c r="A6" t="s">
        <v>1459</v>
      </c>
      <c r="B6">
        <v>11</v>
      </c>
      <c r="C6" t="s">
        <v>1456</v>
      </c>
    </row>
    <row r="7" spans="1:3">
      <c r="A7" t="s">
        <v>1458</v>
      </c>
      <c r="B7">
        <v>12</v>
      </c>
      <c r="C7" t="s">
        <v>1457</v>
      </c>
    </row>
    <row r="8" spans="1:3">
      <c r="A8" t="s">
        <v>1460</v>
      </c>
      <c r="B8">
        <v>19</v>
      </c>
      <c r="C8" t="s">
        <v>1461</v>
      </c>
    </row>
    <row r="9" spans="1:3">
      <c r="A9" t="s">
        <v>1462</v>
      </c>
      <c r="B9">
        <v>20</v>
      </c>
      <c r="C9" t="s">
        <v>1463</v>
      </c>
    </row>
    <row r="10" spans="1:3">
      <c r="A10" t="s">
        <v>1464</v>
      </c>
      <c r="B10">
        <v>21</v>
      </c>
      <c r="C10" t="s">
        <v>1465</v>
      </c>
    </row>
    <row r="11" spans="1:3">
      <c r="A11" t="s">
        <v>1466</v>
      </c>
      <c r="B11">
        <v>22</v>
      </c>
      <c r="C11" t="s">
        <v>1467</v>
      </c>
    </row>
    <row r="12" spans="1:3">
      <c r="A12" t="s">
        <v>1624</v>
      </c>
      <c r="B12">
        <v>23</v>
      </c>
      <c r="C12" t="s">
        <v>1625</v>
      </c>
    </row>
    <row r="13" spans="1:3">
      <c r="A13" t="s">
        <v>1470</v>
      </c>
      <c r="B13">
        <v>24</v>
      </c>
      <c r="C13" t="s">
        <v>1468</v>
      </c>
    </row>
    <row r="14" spans="1:3">
      <c r="A14" t="s">
        <v>1628</v>
      </c>
      <c r="B14">
        <v>25</v>
      </c>
      <c r="C14" t="s">
        <v>1629</v>
      </c>
    </row>
    <row r="15" spans="1:3">
      <c r="A15" t="s">
        <v>1471</v>
      </c>
      <c r="B15">
        <v>26</v>
      </c>
      <c r="C15" t="s">
        <v>1469</v>
      </c>
    </row>
    <row r="16" spans="1:3">
      <c r="A16" t="s">
        <v>1475</v>
      </c>
      <c r="B16">
        <v>27</v>
      </c>
      <c r="C16" t="s">
        <v>1476</v>
      </c>
    </row>
    <row r="17" spans="1:3">
      <c r="A17" t="s">
        <v>1622</v>
      </c>
      <c r="B17">
        <v>28</v>
      </c>
      <c r="C17" t="s">
        <v>1623</v>
      </c>
    </row>
    <row r="18" spans="1:3">
      <c r="A18" t="s">
        <v>1626</v>
      </c>
      <c r="B18">
        <v>29</v>
      </c>
      <c r="C18" t="s">
        <v>1627</v>
      </c>
    </row>
    <row r="19" spans="1:3">
      <c r="A19" t="s">
        <v>1632</v>
      </c>
      <c r="B19">
        <v>30</v>
      </c>
      <c r="C19" t="s">
        <v>1633</v>
      </c>
    </row>
    <row r="20" spans="1:3">
      <c r="A20" t="s">
        <v>1802</v>
      </c>
      <c r="B20">
        <v>31</v>
      </c>
      <c r="C20" t="s">
        <v>1803</v>
      </c>
    </row>
    <row r="21" spans="1:3">
      <c r="A21" t="s">
        <v>1910</v>
      </c>
      <c r="B21">
        <v>32</v>
      </c>
      <c r="C21" t="s">
        <v>1909</v>
      </c>
    </row>
    <row r="22" spans="1:3">
      <c r="A22" t="s">
        <v>1911</v>
      </c>
      <c r="B22">
        <v>33</v>
      </c>
      <c r="C22" t="s">
        <v>1912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3"/>
  <sheetViews>
    <sheetView workbookViewId="0">
      <selection activeCell="B4" sqref="B4"/>
    </sheetView>
  </sheetViews>
  <sheetFormatPr defaultRowHeight="16.5"/>
  <cols>
    <col min="1" max="1" width="19.25" bestFit="1" customWidth="1"/>
    <col min="2" max="2" width="19.25" customWidth="1"/>
    <col min="3" max="3" width="14.75" bestFit="1" customWidth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51" t="s">
        <v>1472</v>
      </c>
      <c r="B2" s="51">
        <v>0</v>
      </c>
      <c r="C2" s="3"/>
    </row>
    <row r="3" spans="1:3">
      <c r="A3" s="52" t="s">
        <v>1473</v>
      </c>
      <c r="B3" s="52">
        <v>1</v>
      </c>
      <c r="C3" s="3"/>
    </row>
  </sheetData>
  <phoneticPr fontId="15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70"/>
  <dimension ref="A1:B4"/>
  <sheetViews>
    <sheetView workbookViewId="0">
      <selection activeCell="B4" sqref="B4"/>
    </sheetView>
  </sheetViews>
  <sheetFormatPr defaultRowHeight="16.5"/>
  <cols>
    <col min="1" max="1" width="1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1228</v>
      </c>
      <c r="B2" s="1">
        <v>1</v>
      </c>
    </row>
    <row r="3" spans="1:2">
      <c r="A3" t="s">
        <v>1310</v>
      </c>
      <c r="B3">
        <v>3</v>
      </c>
    </row>
    <row r="4" spans="1:2">
      <c r="A4" t="s">
        <v>1925</v>
      </c>
      <c r="B4">
        <v>4</v>
      </c>
    </row>
  </sheetData>
  <phoneticPr fontId="15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86"/>
  <dimension ref="A1:B6"/>
  <sheetViews>
    <sheetView workbookViewId="0">
      <selection activeCell="A5" sqref="A5"/>
    </sheetView>
  </sheetViews>
  <sheetFormatPr defaultColWidth="9" defaultRowHeight="16.5"/>
  <cols>
    <col min="1" max="1" width="26.375" style="1" bestFit="1" customWidth="1"/>
    <col min="2" max="2" width="17.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1158</v>
      </c>
      <c r="B2" s="1">
        <v>0</v>
      </c>
    </row>
    <row r="3" spans="1:2">
      <c r="A3" s="13" t="s">
        <v>1159</v>
      </c>
      <c r="B3" s="1">
        <v>1</v>
      </c>
    </row>
    <row r="4" spans="1:2">
      <c r="A4" s="13" t="s">
        <v>1118</v>
      </c>
      <c r="B4" s="1">
        <v>2</v>
      </c>
    </row>
    <row r="5" spans="1:2">
      <c r="A5" s="13" t="s">
        <v>1699</v>
      </c>
      <c r="B5" s="1">
        <v>3</v>
      </c>
    </row>
    <row r="6" spans="1:2">
      <c r="A6" s="13" t="s">
        <v>1844</v>
      </c>
      <c r="B6" s="1">
        <v>4</v>
      </c>
    </row>
  </sheetData>
  <phoneticPr fontId="15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7"/>
  <sheetViews>
    <sheetView workbookViewId="0">
      <selection activeCell="F15" sqref="F15"/>
    </sheetView>
  </sheetViews>
  <sheetFormatPr defaultColWidth="9" defaultRowHeight="16.5"/>
  <cols>
    <col min="1" max="1" width="26.375" style="1" bestFit="1" customWidth="1"/>
    <col min="2" max="2" width="17.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1760</v>
      </c>
      <c r="B2" s="82">
        <v>0</v>
      </c>
    </row>
    <row r="3" spans="1:2">
      <c r="A3" s="13" t="s">
        <v>1761</v>
      </c>
      <c r="B3" s="82">
        <v>1</v>
      </c>
    </row>
    <row r="4" spans="1:2">
      <c r="A4" s="13" t="s">
        <v>1762</v>
      </c>
      <c r="B4" s="82">
        <v>2</v>
      </c>
    </row>
    <row r="5" spans="1:2">
      <c r="A5" s="13" t="s">
        <v>1763</v>
      </c>
      <c r="B5" s="82">
        <v>3</v>
      </c>
    </row>
    <row r="6" spans="1:2">
      <c r="A6" s="13" t="s">
        <v>1882</v>
      </c>
      <c r="B6" s="82">
        <v>4</v>
      </c>
    </row>
    <row r="7" spans="1:2">
      <c r="A7" s="81" t="s">
        <v>1900</v>
      </c>
      <c r="B7" s="83">
        <v>5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B4"/>
  <sheetViews>
    <sheetView workbookViewId="0">
      <selection activeCell="F15" sqref="F15"/>
    </sheetView>
  </sheetViews>
  <sheetFormatPr defaultColWidth="9" defaultRowHeight="16.5"/>
  <cols>
    <col min="1" max="1" width="26.375" style="1" bestFit="1" customWidth="1"/>
    <col min="2" max="2" width="17.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1118</v>
      </c>
      <c r="B2" s="1">
        <v>0</v>
      </c>
    </row>
    <row r="3" spans="1:2">
      <c r="A3" s="13" t="s">
        <v>1845</v>
      </c>
      <c r="B3" s="1">
        <v>1</v>
      </c>
    </row>
    <row r="4" spans="1:2">
      <c r="A4" s="13" t="s">
        <v>1229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6"/>
  <dimension ref="A1:B4"/>
  <sheetViews>
    <sheetView workbookViewId="0">
      <selection activeCell="B5" sqref="B5"/>
    </sheetView>
  </sheetViews>
  <sheetFormatPr defaultRowHeight="16.5"/>
  <cols>
    <col min="1" max="1" width="8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1302</v>
      </c>
      <c r="B2">
        <v>0</v>
      </c>
    </row>
    <row r="3" spans="1:2">
      <c r="A3" t="s">
        <v>1303</v>
      </c>
      <c r="B3">
        <v>1</v>
      </c>
    </row>
    <row r="4" spans="1:2">
      <c r="A4" t="s">
        <v>1304</v>
      </c>
      <c r="B4">
        <v>2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88"/>
  <dimension ref="A1:B14"/>
  <sheetViews>
    <sheetView workbookViewId="0">
      <selection activeCell="B2" sqref="B2:B14"/>
    </sheetView>
  </sheetViews>
  <sheetFormatPr defaultColWidth="9" defaultRowHeight="16.5"/>
  <cols>
    <col min="1" max="1" width="14.12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850</v>
      </c>
      <c r="B2" s="1">
        <v>0</v>
      </c>
    </row>
    <row r="3" spans="1:2">
      <c r="A3" s="13" t="s">
        <v>852</v>
      </c>
      <c r="B3" s="1">
        <v>1</v>
      </c>
    </row>
    <row r="4" spans="1:2">
      <c r="A4" s="13" t="s">
        <v>854</v>
      </c>
      <c r="B4" s="1">
        <v>2</v>
      </c>
    </row>
    <row r="5" spans="1:2">
      <c r="A5" s="13" t="s">
        <v>856</v>
      </c>
      <c r="B5" s="1">
        <v>3</v>
      </c>
    </row>
    <row r="6" spans="1:2">
      <c r="A6" s="13" t="s">
        <v>858</v>
      </c>
      <c r="B6" s="1">
        <v>4</v>
      </c>
    </row>
    <row r="7" spans="1:2">
      <c r="A7" s="13" t="s">
        <v>860</v>
      </c>
      <c r="B7" s="1">
        <v>5</v>
      </c>
    </row>
    <row r="8" spans="1:2">
      <c r="A8" s="13" t="s">
        <v>862</v>
      </c>
      <c r="B8" s="1">
        <v>6</v>
      </c>
    </row>
    <row r="9" spans="1:2">
      <c r="A9" s="13" t="s">
        <v>864</v>
      </c>
      <c r="B9" s="1">
        <v>7</v>
      </c>
    </row>
    <row r="10" spans="1:2">
      <c r="A10" s="13" t="s">
        <v>949</v>
      </c>
      <c r="B10" s="1">
        <v>8</v>
      </c>
    </row>
    <row r="11" spans="1:2">
      <c r="A11" s="13" t="s">
        <v>1108</v>
      </c>
      <c r="B11" s="1">
        <v>9</v>
      </c>
    </row>
    <row r="12" spans="1:2">
      <c r="A12" s="13" t="s">
        <v>1109</v>
      </c>
      <c r="B12" s="1">
        <v>10</v>
      </c>
    </row>
    <row r="13" spans="1:2">
      <c r="A13" s="13" t="s">
        <v>1163</v>
      </c>
      <c r="B13" s="1">
        <v>11</v>
      </c>
    </row>
    <row r="14" spans="1:2">
      <c r="A14" s="13" t="s">
        <v>1180</v>
      </c>
      <c r="B14" s="1">
        <v>12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89"/>
  <dimension ref="A1:B4"/>
  <sheetViews>
    <sheetView workbookViewId="0">
      <selection activeCell="B5" sqref="B5"/>
    </sheetView>
  </sheetViews>
  <sheetFormatPr defaultColWidth="9" defaultRowHeight="16.5"/>
  <cols>
    <col min="1" max="1" width="14.12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1106</v>
      </c>
      <c r="B2" s="1">
        <v>0</v>
      </c>
    </row>
    <row r="3" spans="1:2">
      <c r="A3" s="13" t="s">
        <v>1164</v>
      </c>
      <c r="B3" s="1">
        <v>1</v>
      </c>
    </row>
    <row r="4" spans="1:2">
      <c r="A4" s="13" t="s">
        <v>1199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95"/>
  <dimension ref="A1:C11"/>
  <sheetViews>
    <sheetView workbookViewId="0">
      <selection activeCell="A6" sqref="A6"/>
    </sheetView>
  </sheetViews>
  <sheetFormatPr defaultColWidth="9" defaultRowHeight="16.5"/>
  <cols>
    <col min="1" max="1" width="28.25" style="3" bestFit="1" customWidth="1"/>
    <col min="2" max="2" width="28.25" style="3" customWidth="1"/>
    <col min="3" max="3" width="15.125" style="1" bestFit="1" customWidth="1"/>
    <col min="4" max="16384" width="9" style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13" t="s">
        <v>927</v>
      </c>
      <c r="B2" s="26">
        <v>0</v>
      </c>
    </row>
    <row r="3" spans="1:3">
      <c r="A3" s="13" t="s">
        <v>929</v>
      </c>
      <c r="B3" s="26">
        <v>1</v>
      </c>
    </row>
    <row r="4" spans="1:3">
      <c r="A4" s="13" t="s">
        <v>931</v>
      </c>
      <c r="B4" s="26">
        <v>2</v>
      </c>
    </row>
    <row r="5" spans="1:3">
      <c r="A5" s="59" t="s">
        <v>1438</v>
      </c>
      <c r="B5" s="26">
        <v>3</v>
      </c>
    </row>
    <row r="6" spans="1:3">
      <c r="A6" s="2" t="s">
        <v>1584</v>
      </c>
      <c r="B6" s="26">
        <v>4</v>
      </c>
    </row>
    <row r="7" spans="1:3">
      <c r="A7" s="2" t="s">
        <v>1669</v>
      </c>
      <c r="B7" s="26">
        <v>5</v>
      </c>
      <c r="C7" s="1" t="s">
        <v>1670</v>
      </c>
    </row>
    <row r="8" spans="1:3">
      <c r="A8" s="2" t="s">
        <v>1581</v>
      </c>
      <c r="B8" s="26">
        <v>6</v>
      </c>
    </row>
    <row r="9" spans="1:3">
      <c r="A9" s="2" t="s">
        <v>1571</v>
      </c>
      <c r="B9" s="26">
        <v>7</v>
      </c>
    </row>
    <row r="10" spans="1:3">
      <c r="A10" s="2" t="s">
        <v>1576</v>
      </c>
      <c r="B10" s="26">
        <v>8</v>
      </c>
    </row>
    <row r="11" spans="1:3">
      <c r="A11" s="3" t="s">
        <v>1671</v>
      </c>
      <c r="B11" s="26">
        <v>9</v>
      </c>
    </row>
  </sheetData>
  <phoneticPr fontId="15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91"/>
  <dimension ref="A1:B3"/>
  <sheetViews>
    <sheetView workbookViewId="0">
      <selection activeCell="B4" sqref="B4"/>
    </sheetView>
  </sheetViews>
  <sheetFormatPr defaultColWidth="9" defaultRowHeight="16.5"/>
  <cols>
    <col min="1" max="1" width="11.625" style="1" bestFit="1" customWidth="1"/>
    <col min="2" max="2" width="15.1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896</v>
      </c>
      <c r="B2" s="1">
        <v>0</v>
      </c>
    </row>
    <row r="3" spans="1:2">
      <c r="A3" s="13" t="s">
        <v>898</v>
      </c>
      <c r="B3" s="1">
        <v>1</v>
      </c>
    </row>
  </sheetData>
  <phoneticPr fontId="15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93"/>
  <dimension ref="A1:B5"/>
  <sheetViews>
    <sheetView workbookViewId="0">
      <selection activeCell="B6" sqref="B6"/>
    </sheetView>
  </sheetViews>
  <sheetFormatPr defaultColWidth="9" defaultRowHeight="16.5"/>
  <cols>
    <col min="1" max="1" width="16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1502</v>
      </c>
      <c r="B2" s="1">
        <v>0</v>
      </c>
    </row>
    <row r="3" spans="1:2">
      <c r="A3" s="13" t="s">
        <v>1181</v>
      </c>
      <c r="B3" s="1">
        <v>1</v>
      </c>
    </row>
    <row r="4" spans="1:2">
      <c r="A4" s="13" t="s">
        <v>1439</v>
      </c>
      <c r="B4" s="1">
        <v>2</v>
      </c>
    </row>
    <row r="5" spans="1:2">
      <c r="A5" s="1" t="s">
        <v>1501</v>
      </c>
      <c r="B5" s="1">
        <v>3</v>
      </c>
    </row>
  </sheetData>
  <phoneticPr fontId="15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96"/>
  <dimension ref="A1:B6"/>
  <sheetViews>
    <sheetView workbookViewId="0">
      <selection activeCell="B7" sqref="B7"/>
    </sheetView>
  </sheetViews>
  <sheetFormatPr defaultColWidth="9" defaultRowHeight="16.5"/>
  <cols>
    <col min="1" max="1" width="13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1199</v>
      </c>
      <c r="B2" s="1">
        <v>0</v>
      </c>
    </row>
    <row r="3" spans="1:2">
      <c r="A3" s="13" t="s">
        <v>1405</v>
      </c>
      <c r="B3" s="1">
        <v>1</v>
      </c>
    </row>
    <row r="4" spans="1:2">
      <c r="A4" s="13" t="s">
        <v>1369</v>
      </c>
      <c r="B4" s="1">
        <v>2</v>
      </c>
    </row>
    <row r="5" spans="1:2">
      <c r="A5" s="2" t="s">
        <v>1634</v>
      </c>
      <c r="B5" s="1">
        <v>3</v>
      </c>
    </row>
    <row r="6" spans="1:2">
      <c r="A6" s="2" t="s">
        <v>1635</v>
      </c>
      <c r="B6" s="1">
        <v>4</v>
      </c>
    </row>
  </sheetData>
  <phoneticPr fontId="15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5"/>
  <sheetViews>
    <sheetView workbookViewId="0">
      <selection activeCell="B4" sqref="B4"/>
    </sheetView>
  </sheetViews>
  <sheetFormatPr defaultRowHeight="16.5"/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1167</v>
      </c>
      <c r="B2" s="1">
        <v>0</v>
      </c>
    </row>
    <row r="3" spans="1:2">
      <c r="A3" s="13" t="s">
        <v>1525</v>
      </c>
      <c r="B3" s="1">
        <v>1</v>
      </c>
    </row>
    <row r="4" spans="1:2">
      <c r="A4" s="2"/>
      <c r="B4" s="1"/>
    </row>
    <row r="5" spans="1:2">
      <c r="A5" s="1"/>
      <c r="B5" s="1"/>
    </row>
  </sheetData>
  <phoneticPr fontId="15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B4"/>
  <sheetViews>
    <sheetView workbookViewId="0">
      <selection activeCell="S41" sqref="S41"/>
    </sheetView>
  </sheetViews>
  <sheetFormatPr defaultRowHeight="16.5"/>
  <cols>
    <col min="1" max="1" width="13.875" bestFit="1" customWidth="1"/>
    <col min="2" max="2" width="14.75" bestFit="1" customWidth="1"/>
  </cols>
  <sheetData>
    <row r="1" spans="1:2">
      <c r="A1" s="54" t="s">
        <v>350</v>
      </c>
      <c r="B1" s="55" t="str">
        <f>HYPERLINK("#'"&amp;A1&amp;"'!A1","전체 Type 이동")</f>
        <v>전체 Type 이동</v>
      </c>
    </row>
    <row r="2" spans="1:2">
      <c r="A2" s="26" t="s">
        <v>1106</v>
      </c>
      <c r="B2">
        <v>0</v>
      </c>
    </row>
    <row r="3" spans="1:2">
      <c r="A3" s="26" t="s">
        <v>1518</v>
      </c>
      <c r="B3">
        <v>1</v>
      </c>
    </row>
    <row r="4" spans="1:2">
      <c r="A4" s="26" t="s">
        <v>1519</v>
      </c>
      <c r="B4">
        <v>2</v>
      </c>
    </row>
  </sheetData>
  <phoneticPr fontId="15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B4"/>
  <sheetViews>
    <sheetView workbookViewId="0">
      <selection activeCell="B5" sqref="B5"/>
    </sheetView>
  </sheetViews>
  <sheetFormatPr defaultRowHeight="16.5"/>
  <cols>
    <col min="1" max="1" width="12.25" bestFit="1" customWidth="1"/>
    <col min="2" max="2" width="14.75" bestFit="1" customWidth="1"/>
  </cols>
  <sheetData>
    <row r="1" spans="1:2">
      <c r="A1" s="54" t="s">
        <v>350</v>
      </c>
      <c r="B1" s="55" t="str">
        <f>HYPERLINK("#'"&amp;A1&amp;"'!A1","전체 Type 이동")</f>
        <v>전체 Type 이동</v>
      </c>
    </row>
    <row r="2" spans="1:2">
      <c r="A2" s="26" t="s">
        <v>1520</v>
      </c>
      <c r="B2">
        <v>0</v>
      </c>
    </row>
    <row r="3" spans="1:2">
      <c r="A3" s="26" t="s">
        <v>1521</v>
      </c>
      <c r="B3">
        <v>1</v>
      </c>
    </row>
    <row r="4" spans="1:2">
      <c r="A4" s="26" t="s">
        <v>1522</v>
      </c>
      <c r="B4">
        <v>2</v>
      </c>
    </row>
  </sheetData>
  <phoneticPr fontId="15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98"/>
  <dimension ref="A1:B7"/>
  <sheetViews>
    <sheetView workbookViewId="0">
      <selection activeCell="B7" sqref="B7"/>
    </sheetView>
  </sheetViews>
  <sheetFormatPr defaultColWidth="9" defaultRowHeight="16.5"/>
  <cols>
    <col min="1" max="1" width="21.2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941</v>
      </c>
      <c r="B2" s="1">
        <v>0</v>
      </c>
    </row>
    <row r="3" spans="1:2">
      <c r="A3" s="24" t="s">
        <v>267</v>
      </c>
      <c r="B3" s="1">
        <v>1</v>
      </c>
    </row>
    <row r="4" spans="1:2">
      <c r="A4" s="1" t="s">
        <v>820</v>
      </c>
      <c r="B4" s="1">
        <v>2</v>
      </c>
    </row>
    <row r="5" spans="1:2">
      <c r="A5" s="1" t="s">
        <v>1217</v>
      </c>
      <c r="B5" s="1">
        <v>3</v>
      </c>
    </row>
    <row r="6" spans="1:2">
      <c r="A6" s="1" t="s">
        <v>1523</v>
      </c>
      <c r="B6" s="1">
        <v>4</v>
      </c>
    </row>
    <row r="7" spans="1:2">
      <c r="A7" s="1" t="s">
        <v>1697</v>
      </c>
      <c r="B7" s="1">
        <v>5</v>
      </c>
    </row>
  </sheetData>
  <phoneticPr fontId="15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92"/>
  <dimension ref="A1:C22"/>
  <sheetViews>
    <sheetView workbookViewId="0">
      <selection activeCell="A21" sqref="A20:A21"/>
    </sheetView>
  </sheetViews>
  <sheetFormatPr defaultColWidth="9" defaultRowHeight="16.5"/>
  <cols>
    <col min="1" max="1" width="31.625" style="3" bestFit="1" customWidth="1"/>
    <col min="2" max="2" width="31.625" style="3" customWidth="1"/>
    <col min="3" max="3" width="14.75" style="1" bestFit="1" customWidth="1"/>
    <col min="4" max="16384" width="9" style="1"/>
  </cols>
  <sheetData>
    <row r="1" spans="1:3">
      <c r="A1" s="12" t="s">
        <v>350</v>
      </c>
      <c r="B1" s="12"/>
      <c r="C1" s="5" t="str">
        <f>HYPERLINK("#'"&amp;A1&amp;"'!A1","전체 Type 이동")</f>
        <v>전체 Type 이동</v>
      </c>
    </row>
    <row r="2" spans="1:3">
      <c r="A2" s="13" t="s">
        <v>0</v>
      </c>
      <c r="B2" s="26">
        <v>0</v>
      </c>
    </row>
    <row r="3" spans="1:3">
      <c r="A3" s="13" t="s">
        <v>491</v>
      </c>
      <c r="B3" s="26">
        <v>1</v>
      </c>
    </row>
    <row r="4" spans="1:3">
      <c r="A4" s="13" t="s">
        <v>1503</v>
      </c>
      <c r="B4" s="26">
        <v>2</v>
      </c>
    </row>
    <row r="5" spans="1:3">
      <c r="A5" s="13" t="s">
        <v>906</v>
      </c>
      <c r="B5" s="26">
        <v>3</v>
      </c>
    </row>
    <row r="6" spans="1:3">
      <c r="A6" s="13" t="s">
        <v>1576</v>
      </c>
      <c r="B6" s="26">
        <v>4</v>
      </c>
    </row>
    <row r="7" spans="1:3">
      <c r="A7" s="13" t="s">
        <v>908</v>
      </c>
      <c r="B7" s="26">
        <v>5</v>
      </c>
    </row>
    <row r="8" spans="1:3">
      <c r="A8" s="13" t="s">
        <v>1581</v>
      </c>
      <c r="B8" s="26">
        <v>6</v>
      </c>
    </row>
    <row r="9" spans="1:3">
      <c r="A9" s="13" t="s">
        <v>1583</v>
      </c>
      <c r="B9" s="26">
        <v>7</v>
      </c>
    </row>
    <row r="10" spans="1:3">
      <c r="A10" s="13" t="s">
        <v>914</v>
      </c>
      <c r="B10" s="26">
        <v>8</v>
      </c>
    </row>
    <row r="11" spans="1:3">
      <c r="A11" s="2" t="s">
        <v>1582</v>
      </c>
      <c r="B11" s="26">
        <v>9</v>
      </c>
    </row>
    <row r="12" spans="1:3">
      <c r="A12" s="2" t="s">
        <v>1584</v>
      </c>
      <c r="B12" s="26">
        <v>10</v>
      </c>
    </row>
    <row r="13" spans="1:3">
      <c r="A13" s="2" t="s">
        <v>1585</v>
      </c>
      <c r="B13" s="26">
        <v>11</v>
      </c>
    </row>
    <row r="14" spans="1:3">
      <c r="A14" s="2" t="s">
        <v>1549</v>
      </c>
      <c r="B14" s="26">
        <v>12</v>
      </c>
    </row>
    <row r="15" spans="1:3">
      <c r="A15" s="2" t="s">
        <v>1636</v>
      </c>
      <c r="B15" s="26">
        <v>13</v>
      </c>
      <c r="C15" s="1" t="s">
        <v>1638</v>
      </c>
    </row>
    <row r="16" spans="1:3">
      <c r="A16" s="2" t="s">
        <v>1658</v>
      </c>
      <c r="B16" s="26">
        <v>14</v>
      </c>
      <c r="C16" s="1" t="s">
        <v>1657</v>
      </c>
    </row>
    <row r="17" spans="1:3">
      <c r="A17" s="2" t="s">
        <v>1637</v>
      </c>
      <c r="B17" s="26">
        <v>15</v>
      </c>
      <c r="C17" s="1" t="s">
        <v>1639</v>
      </c>
    </row>
    <row r="18" spans="1:3">
      <c r="A18" s="3" t="s">
        <v>1643</v>
      </c>
      <c r="B18" s="26">
        <v>16</v>
      </c>
      <c r="C18" s="1" t="s">
        <v>1641</v>
      </c>
    </row>
    <row r="19" spans="1:3">
      <c r="A19" s="3" t="s">
        <v>1644</v>
      </c>
      <c r="B19" s="26">
        <v>17</v>
      </c>
      <c r="C19" s="1" t="s">
        <v>1642</v>
      </c>
    </row>
    <row r="20" spans="1:3">
      <c r="A20" s="3" t="s">
        <v>1645</v>
      </c>
      <c r="B20" s="26">
        <v>18</v>
      </c>
      <c r="C20" s="1" t="s">
        <v>1646</v>
      </c>
    </row>
    <row r="21" spans="1:3">
      <c r="A21" s="3" t="s">
        <v>1659</v>
      </c>
      <c r="B21" s="26">
        <v>19</v>
      </c>
    </row>
    <row r="22" spans="1:3">
      <c r="A22" s="77" t="s">
        <v>1769</v>
      </c>
      <c r="B22" s="3">
        <v>20</v>
      </c>
      <c r="C22" s="1" t="s">
        <v>1770</v>
      </c>
    </row>
  </sheetData>
  <phoneticPr fontId="15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B4"/>
  <sheetViews>
    <sheetView workbookViewId="0">
      <selection activeCell="D4" sqref="D4"/>
    </sheetView>
  </sheetViews>
  <sheetFormatPr defaultRowHeight="16.5"/>
  <cols>
    <col min="1" max="1" width="14.2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6" t="s">
        <v>1786</v>
      </c>
      <c r="B2" s="1">
        <v>0</v>
      </c>
    </row>
    <row r="3" spans="1:2">
      <c r="A3" s="13" t="s">
        <v>1784</v>
      </c>
      <c r="B3" s="1">
        <v>1</v>
      </c>
    </row>
    <row r="4" spans="1:2">
      <c r="A4" s="13" t="s">
        <v>1785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99"/>
  <dimension ref="A1:B4"/>
  <sheetViews>
    <sheetView workbookViewId="0">
      <selection activeCell="B5" sqref="B5"/>
    </sheetView>
  </sheetViews>
  <sheetFormatPr defaultRowHeight="16.5"/>
  <cols>
    <col min="1" max="1" width="14.2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1206</v>
      </c>
      <c r="B2" s="1">
        <v>0</v>
      </c>
    </row>
    <row r="3" spans="1:2">
      <c r="A3" s="13" t="s">
        <v>1207</v>
      </c>
      <c r="B3" s="1">
        <v>1</v>
      </c>
    </row>
    <row r="4" spans="1:2">
      <c r="A4" s="24" t="s">
        <v>1208</v>
      </c>
      <c r="B4" s="1">
        <v>2</v>
      </c>
    </row>
  </sheetData>
  <phoneticPr fontId="15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68"/>
  <dimension ref="A1:B5"/>
  <sheetViews>
    <sheetView workbookViewId="0">
      <selection activeCell="A6" sqref="A6"/>
    </sheetView>
  </sheetViews>
  <sheetFormatPr defaultRowHeight="16.5"/>
  <cols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840</v>
      </c>
      <c r="B2" s="1">
        <v>0</v>
      </c>
    </row>
    <row r="3" spans="1:2">
      <c r="A3" s="13" t="s">
        <v>1230</v>
      </c>
      <c r="B3" s="1">
        <v>1</v>
      </c>
    </row>
    <row r="4" spans="1:2">
      <c r="A4" s="13" t="s">
        <v>1231</v>
      </c>
      <c r="B4" s="1">
        <v>2</v>
      </c>
    </row>
    <row r="5" spans="1:2">
      <c r="A5" t="s">
        <v>1764</v>
      </c>
      <c r="B5" s="1">
        <v>3</v>
      </c>
    </row>
  </sheetData>
  <phoneticPr fontId="15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42"/>
  <dimension ref="A1:B2"/>
  <sheetViews>
    <sheetView workbookViewId="0">
      <selection activeCell="I13" sqref="I13"/>
    </sheetView>
  </sheetViews>
  <sheetFormatPr defaultColWidth="9" defaultRowHeight="16.5"/>
  <cols>
    <col min="1" max="1" width="8.875" style="1" bestFit="1" customWidth="1"/>
    <col min="2" max="2" width="14.7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0</v>
      </c>
      <c r="B2" s="1">
        <v>0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65"/>
  <dimension ref="A1:B7"/>
  <sheetViews>
    <sheetView workbookViewId="0">
      <selection activeCell="C17" sqref="C17"/>
    </sheetView>
  </sheetViews>
  <sheetFormatPr defaultColWidth="9" defaultRowHeight="16.5"/>
  <cols>
    <col min="1" max="1" width="14.625" style="1" bestFit="1" customWidth="1"/>
    <col min="2" max="2" width="15.125" style="1" bestFit="1" customWidth="1"/>
    <col min="3" max="16384" width="9" style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13" t="s">
        <v>0</v>
      </c>
      <c r="B2" s="1">
        <v>0</v>
      </c>
    </row>
    <row r="3" spans="1:2">
      <c r="A3" s="13" t="s">
        <v>240</v>
      </c>
      <c r="B3" s="1">
        <v>1</v>
      </c>
    </row>
    <row r="4" spans="1:2">
      <c r="A4" s="13" t="s">
        <v>611</v>
      </c>
      <c r="B4" s="1">
        <v>2</v>
      </c>
    </row>
    <row r="5" spans="1:2">
      <c r="A5" s="13" t="s">
        <v>613</v>
      </c>
      <c r="B5" s="1">
        <v>4</v>
      </c>
    </row>
    <row r="6" spans="1:2">
      <c r="A6" s="13" t="s">
        <v>1152</v>
      </c>
      <c r="B6" s="1">
        <v>8</v>
      </c>
    </row>
    <row r="7" spans="1:2">
      <c r="A7" s="13" t="s">
        <v>1211</v>
      </c>
      <c r="B7" s="1">
        <v>16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B7"/>
  <sheetViews>
    <sheetView workbookViewId="0">
      <selection activeCell="B7" sqref="A1:B7"/>
    </sheetView>
  </sheetViews>
  <sheetFormatPr defaultRowHeight="16.5"/>
  <cols>
    <col min="1" max="1" width="8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2" t="s">
        <v>1663</v>
      </c>
      <c r="B2" s="1">
        <v>0</v>
      </c>
    </row>
    <row r="3" spans="1:2">
      <c r="A3" t="s">
        <v>1664</v>
      </c>
      <c r="B3">
        <v>1</v>
      </c>
    </row>
    <row r="4" spans="1:2">
      <c r="A4" t="s">
        <v>1665</v>
      </c>
      <c r="B4">
        <v>2</v>
      </c>
    </row>
    <row r="5" spans="1:2">
      <c r="A5" t="s">
        <v>1666</v>
      </c>
      <c r="B5">
        <v>3</v>
      </c>
    </row>
    <row r="6" spans="1:2">
      <c r="A6" t="s">
        <v>1667</v>
      </c>
      <c r="B6">
        <v>4</v>
      </c>
    </row>
    <row r="7" spans="1:2">
      <c r="A7" t="s">
        <v>1430</v>
      </c>
      <c r="B7">
        <v>5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B3"/>
  <sheetViews>
    <sheetView workbookViewId="0">
      <selection activeCell="H12" sqref="H12"/>
    </sheetView>
  </sheetViews>
  <sheetFormatPr defaultRowHeight="16.5"/>
  <cols>
    <col min="1" max="1" width="12.25" bestFit="1" customWidth="1"/>
    <col min="2" max="2" width="14.75" bestFit="1" customWidth="1"/>
  </cols>
  <sheetData>
    <row r="1" spans="1:2">
      <c r="A1" s="54" t="s">
        <v>350</v>
      </c>
      <c r="B1" s="55" t="str">
        <f>HYPERLINK("#'"&amp;A1&amp;"'!A1","전체 Type 이동")</f>
        <v>전체 Type 이동</v>
      </c>
    </row>
    <row r="2" spans="1:2">
      <c r="A2" s="26" t="s">
        <v>1707</v>
      </c>
      <c r="B2">
        <v>0</v>
      </c>
    </row>
    <row r="3" spans="1:2">
      <c r="A3" s="26" t="s">
        <v>1708</v>
      </c>
      <c r="B3">
        <v>1</v>
      </c>
    </row>
  </sheetData>
  <phoneticPr fontId="15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B7"/>
  <sheetViews>
    <sheetView workbookViewId="0">
      <selection sqref="A1:B3"/>
    </sheetView>
  </sheetViews>
  <sheetFormatPr defaultRowHeight="16.5"/>
  <cols>
    <col min="1" max="1" width="8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74" t="s">
        <v>1715</v>
      </c>
      <c r="B2" s="74">
        <v>0</v>
      </c>
    </row>
    <row r="3" spans="1:2">
      <c r="A3" s="74" t="s">
        <v>1667</v>
      </c>
      <c r="B3" s="74">
        <v>1</v>
      </c>
    </row>
    <row r="4" spans="1:2">
      <c r="A4" s="74" t="s">
        <v>1666</v>
      </c>
      <c r="B4" s="74">
        <v>2</v>
      </c>
    </row>
    <row r="5" spans="1:2">
      <c r="A5" s="74" t="s">
        <v>1665</v>
      </c>
      <c r="B5" s="74">
        <v>3</v>
      </c>
    </row>
    <row r="6" spans="1:2">
      <c r="A6" s="74" t="s">
        <v>1664</v>
      </c>
      <c r="B6" s="74">
        <v>4</v>
      </c>
    </row>
    <row r="7" spans="1:2">
      <c r="A7" s="74" t="s">
        <v>1663</v>
      </c>
      <c r="B7" s="74">
        <v>5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B3"/>
  <sheetViews>
    <sheetView workbookViewId="0">
      <selection activeCell="F21" sqref="F21"/>
    </sheetView>
  </sheetViews>
  <sheetFormatPr defaultRowHeight="16.5"/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74" t="s">
        <v>1540</v>
      </c>
      <c r="B2" s="74">
        <v>0</v>
      </c>
    </row>
    <row r="3" spans="1:2">
      <c r="A3" s="74" t="s">
        <v>1106</v>
      </c>
      <c r="B3" s="74">
        <v>1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B3"/>
  <sheetViews>
    <sheetView workbookViewId="0">
      <selection activeCell="A4" sqref="A4"/>
    </sheetView>
  </sheetViews>
  <sheetFormatPr defaultRowHeight="16.5"/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1775</v>
      </c>
      <c r="B2">
        <v>0</v>
      </c>
    </row>
    <row r="3" spans="1:2">
      <c r="A3" t="s">
        <v>1291</v>
      </c>
      <c r="B3">
        <v>1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B7"/>
  <sheetViews>
    <sheetView workbookViewId="0">
      <selection activeCell="I28" sqref="I28"/>
    </sheetView>
  </sheetViews>
  <sheetFormatPr defaultRowHeight="16.5"/>
  <cols>
    <col min="1" max="1" width="14.62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1791</v>
      </c>
      <c r="B2">
        <v>0</v>
      </c>
    </row>
    <row r="3" spans="1:2">
      <c r="A3" t="s">
        <v>1792</v>
      </c>
      <c r="B3">
        <v>1</v>
      </c>
    </row>
    <row r="4" spans="1:2">
      <c r="A4" t="s">
        <v>1793</v>
      </c>
      <c r="B4">
        <v>2</v>
      </c>
    </row>
    <row r="5" spans="1:2">
      <c r="A5" t="s">
        <v>1794</v>
      </c>
      <c r="B5">
        <v>3</v>
      </c>
    </row>
    <row r="6" spans="1:2">
      <c r="A6" t="s">
        <v>1831</v>
      </c>
      <c r="B6">
        <v>4</v>
      </c>
    </row>
    <row r="7" spans="1:2">
      <c r="A7" t="s">
        <v>1832</v>
      </c>
      <c r="B7">
        <v>5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B5"/>
  <sheetViews>
    <sheetView workbookViewId="0">
      <selection activeCell="C13" sqref="C13"/>
    </sheetView>
  </sheetViews>
  <sheetFormatPr defaultRowHeight="16.5"/>
  <cols>
    <col min="1" max="1" width="1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1840</v>
      </c>
      <c r="B2">
        <v>0</v>
      </c>
    </row>
    <row r="3" spans="1:2">
      <c r="A3" t="s">
        <v>1841</v>
      </c>
      <c r="B3">
        <v>1</v>
      </c>
    </row>
    <row r="4" spans="1:2">
      <c r="A4" t="s">
        <v>1842</v>
      </c>
      <c r="B4">
        <v>2</v>
      </c>
    </row>
    <row r="5" spans="1:2">
      <c r="A5" t="s">
        <v>1843</v>
      </c>
      <c r="B5">
        <v>3</v>
      </c>
    </row>
  </sheetData>
  <phoneticPr fontId="15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B4"/>
  <sheetViews>
    <sheetView workbookViewId="0">
      <selection activeCell="E23" sqref="E23"/>
    </sheetView>
  </sheetViews>
  <sheetFormatPr defaultRowHeight="16.5"/>
  <cols>
    <col min="1" max="1" width="8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1795</v>
      </c>
      <c r="B2">
        <v>0</v>
      </c>
    </row>
    <row r="3" spans="1:2">
      <c r="A3" t="s">
        <v>1796</v>
      </c>
      <c r="B3">
        <v>1</v>
      </c>
    </row>
    <row r="4" spans="1:2">
      <c r="A4" t="s">
        <v>1234</v>
      </c>
      <c r="B4">
        <v>2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B4"/>
  <sheetViews>
    <sheetView workbookViewId="0">
      <selection activeCell="H16" sqref="H16"/>
    </sheetView>
  </sheetViews>
  <sheetFormatPr defaultRowHeight="16.5"/>
  <cols>
    <col min="1" max="1" width="8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1106</v>
      </c>
      <c r="B2">
        <v>0</v>
      </c>
    </row>
    <row r="3" spans="1:2">
      <c r="A3" t="s">
        <v>1805</v>
      </c>
      <c r="B3">
        <v>1</v>
      </c>
    </row>
    <row r="4" spans="1:2">
      <c r="A4" t="s">
        <v>1806</v>
      </c>
      <c r="B4">
        <v>2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B3"/>
  <sheetViews>
    <sheetView workbookViewId="0">
      <selection sqref="A1:B3"/>
    </sheetView>
  </sheetViews>
  <sheetFormatPr defaultRowHeight="16.5"/>
  <cols>
    <col min="1" max="1" width="8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1106</v>
      </c>
      <c r="B2">
        <v>0</v>
      </c>
    </row>
    <row r="3" spans="1:2">
      <c r="A3" t="s">
        <v>1807</v>
      </c>
      <c r="B3">
        <v>1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B4"/>
  <sheetViews>
    <sheetView workbookViewId="0">
      <selection sqref="A1:B1"/>
    </sheetView>
  </sheetViews>
  <sheetFormatPr defaultRowHeight="16.5"/>
  <cols>
    <col min="1" max="1" width="18.3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1848</v>
      </c>
      <c r="B2">
        <v>1</v>
      </c>
    </row>
    <row r="3" spans="1:2">
      <c r="A3" t="s">
        <v>1847</v>
      </c>
      <c r="B3">
        <v>2</v>
      </c>
    </row>
    <row r="4" spans="1:2">
      <c r="A4" t="s">
        <v>1846</v>
      </c>
      <c r="B4">
        <v>3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B8"/>
  <sheetViews>
    <sheetView workbookViewId="0">
      <selection sqref="A1:B8"/>
    </sheetView>
  </sheetViews>
  <sheetFormatPr defaultRowHeight="16.5"/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t="s">
        <v>1851</v>
      </c>
      <c r="B2">
        <v>1</v>
      </c>
    </row>
    <row r="3" spans="1:2">
      <c r="A3" t="s">
        <v>1852</v>
      </c>
      <c r="B3">
        <v>2</v>
      </c>
    </row>
    <row r="4" spans="1:2">
      <c r="A4" t="s">
        <v>1853</v>
      </c>
      <c r="B4">
        <v>3</v>
      </c>
    </row>
    <row r="5" spans="1:2">
      <c r="A5" t="s">
        <v>1854</v>
      </c>
      <c r="B5">
        <v>4</v>
      </c>
    </row>
    <row r="6" spans="1:2">
      <c r="A6" t="s">
        <v>1855</v>
      </c>
      <c r="B6">
        <v>5</v>
      </c>
    </row>
    <row r="7" spans="1:2">
      <c r="A7" t="s">
        <v>1856</v>
      </c>
      <c r="B7">
        <v>6</v>
      </c>
    </row>
    <row r="8" spans="1:2">
      <c r="A8" t="s">
        <v>1208</v>
      </c>
      <c r="B8">
        <v>7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B4"/>
  <sheetViews>
    <sheetView workbookViewId="0">
      <selection activeCell="C10" sqref="A1:C10"/>
    </sheetView>
  </sheetViews>
  <sheetFormatPr defaultRowHeight="16.5"/>
  <cols>
    <col min="1" max="1" width="10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80" t="s">
        <v>1888</v>
      </c>
      <c r="B2">
        <v>0</v>
      </c>
    </row>
    <row r="3" spans="1:2">
      <c r="A3" s="80" t="s">
        <v>1889</v>
      </c>
      <c r="B3">
        <v>1</v>
      </c>
    </row>
    <row r="4" spans="1:2">
      <c r="A4" s="80" t="s">
        <v>652</v>
      </c>
      <c r="B4">
        <v>2</v>
      </c>
    </row>
  </sheetData>
  <phoneticPr fontId="15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B4"/>
  <sheetViews>
    <sheetView workbookViewId="0">
      <selection activeCell="H13" sqref="H13"/>
    </sheetView>
  </sheetViews>
  <sheetFormatPr defaultRowHeight="16.5"/>
  <cols>
    <col min="1" max="1" width="10.875" bestFit="1" customWidth="1"/>
    <col min="2" max="2" width="14.75" bestFit="1" customWidth="1"/>
  </cols>
  <sheetData>
    <row r="1" spans="1:2">
      <c r="A1" s="12" t="s">
        <v>350</v>
      </c>
      <c r="B1" s="5" t="str">
        <f>HYPERLINK("#'"&amp;A1&amp;"'!A1","전체 Type 이동")</f>
        <v>전체 Type 이동</v>
      </c>
    </row>
    <row r="2" spans="1:2">
      <c r="A2" s="80" t="s">
        <v>1904</v>
      </c>
      <c r="B2">
        <v>0</v>
      </c>
    </row>
    <row r="3" spans="1:2">
      <c r="A3" s="80" t="s">
        <v>1905</v>
      </c>
      <c r="B3">
        <v>1</v>
      </c>
    </row>
    <row r="4" spans="1:2">
      <c r="A4" s="80"/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129</vt:i4>
      </vt:variant>
    </vt:vector>
  </HeadingPairs>
  <TitlesOfParts>
    <vt:vector size="129" baseType="lpstr">
      <vt:lpstr>#AllType</vt:lpstr>
      <vt:lpstr>FactionType</vt:lpstr>
      <vt:lpstr>AcademyBuildingType</vt:lpstr>
      <vt:lpstr>AcademyClassType</vt:lpstr>
      <vt:lpstr>AcademyRankType</vt:lpstr>
      <vt:lpstr>AcademyRankGroupType</vt:lpstr>
      <vt:lpstr>AcademyGradeType</vt:lpstr>
      <vt:lpstr>AcademyTitleType</vt:lpstr>
      <vt:lpstr>AlarmTrigger</vt:lpstr>
      <vt:lpstr>ArenaBattleType</vt:lpstr>
      <vt:lpstr>AttendanceType</vt:lpstr>
      <vt:lpstr>EventAttendanceType</vt:lpstr>
      <vt:lpstr>ArenaType</vt:lpstr>
      <vt:lpstr>ArenaZoneType</vt:lpstr>
      <vt:lpstr>ArenaSortType</vt:lpstr>
      <vt:lpstr>BuffTimeType</vt:lpstr>
      <vt:lpstr>Category</vt:lpstr>
      <vt:lpstr>CharacterCondition</vt:lpstr>
      <vt:lpstr>CharacterConditionType</vt:lpstr>
      <vt:lpstr>ClassType</vt:lpstr>
      <vt:lpstr>ClearGrade</vt:lpstr>
      <vt:lpstr>CombatType</vt:lpstr>
      <vt:lpstr>CommunicationResultType</vt:lpstr>
      <vt:lpstr>ConditionType</vt:lpstr>
      <vt:lpstr>ConquestResult</vt:lpstr>
      <vt:lpstr>ContentsType</vt:lpstr>
      <vt:lpstr>SpecialCharacterType</vt:lpstr>
      <vt:lpstr>DayType</vt:lpstr>
      <vt:lpstr>DeadType</vt:lpstr>
      <vt:lpstr>DeckType</vt:lpstr>
      <vt:lpstr>DefeatGuideType</vt:lpstr>
      <vt:lpstr>DisposeType</vt:lpstr>
      <vt:lpstr>DurationType</vt:lpstr>
      <vt:lpstr>EmotionType</vt:lpstr>
      <vt:lpstr>EpisodeType</vt:lpstr>
      <vt:lpstr>EquipmentStatType</vt:lpstr>
      <vt:lpstr>EquipmentType</vt:lpstr>
      <vt:lpstr>EquipmentSetType</vt:lpstr>
      <vt:lpstr>EventScheduleType</vt:lpstr>
      <vt:lpstr>EventPageType</vt:lpstr>
      <vt:lpstr>EventType</vt:lpstr>
      <vt:lpstr>FacilityState</vt:lpstr>
      <vt:lpstr>FreeRotationMethodType</vt:lpstr>
      <vt:lpstr>FadeType</vt:lpstr>
      <vt:lpstr>GachaConditionType</vt:lpstr>
      <vt:lpstr>GenderType</vt:lpstr>
      <vt:lpstr>GradeType</vt:lpstr>
      <vt:lpstr>GroupType</vt:lpstr>
      <vt:lpstr>GuideButtonType</vt:lpstr>
      <vt:lpstr>InventoryType</vt:lpstr>
      <vt:lpstr>InventoryTab</vt:lpstr>
      <vt:lpstr>InteractionType</vt:lpstr>
      <vt:lpstr>ItemEffectType</vt:lpstr>
      <vt:lpstr>ItemType</vt:lpstr>
      <vt:lpstr>LadderScoreType</vt:lpstr>
      <vt:lpstr>LocalizeType</vt:lpstr>
      <vt:lpstr>MailState</vt:lpstr>
      <vt:lpstr>MailType</vt:lpstr>
      <vt:lpstr>MaterialType</vt:lpstr>
      <vt:lpstr>MovieType</vt:lpstr>
      <vt:lpstr>TalkBackBlurType</vt:lpstr>
      <vt:lpstr>EventBuffType</vt:lpstr>
      <vt:lpstr>OriginType</vt:lpstr>
      <vt:lpstr>PhaseStandardType</vt:lpstr>
      <vt:lpstr>PluginConditionType</vt:lpstr>
      <vt:lpstr>PluginLimitedType</vt:lpstr>
      <vt:lpstr>ProductType</vt:lpstr>
      <vt:lpstr>QuickMoveType</vt:lpstr>
      <vt:lpstr>RaidProgress</vt:lpstr>
      <vt:lpstr>RaidRewardProgress</vt:lpstr>
      <vt:lpstr>RandomType</vt:lpstr>
      <vt:lpstr>WishlistType</vt:lpstr>
      <vt:lpstr>RecommendType</vt:lpstr>
      <vt:lpstr>ResetType</vt:lpstr>
      <vt:lpstr>RewardCharacterType</vt:lpstr>
      <vt:lpstr>RewardProbabilityType</vt:lpstr>
      <vt:lpstr>ScriptActionType</vt:lpstr>
      <vt:lpstr>ScriptTextAnimType</vt:lpstr>
      <vt:lpstr>CameraZoomType</vt:lpstr>
      <vt:lpstr>ScriptSlotType</vt:lpstr>
      <vt:lpstr>StarRecordRewardType</vt:lpstr>
      <vt:lpstr>SeedSlotType</vt:lpstr>
      <vt:lpstr>SimulationStatType</vt:lpstr>
      <vt:lpstr>SimulationStateType</vt:lpstr>
      <vt:lpstr>SizeType</vt:lpstr>
      <vt:lpstr>PostType</vt:lpstr>
      <vt:lpstr>SkillDeckType</vt:lpstr>
      <vt:lpstr>SkillLevelUpType</vt:lpstr>
      <vt:lpstr>StageRewardType</vt:lpstr>
      <vt:lpstr>ItemCategory</vt:lpstr>
      <vt:lpstr>ItemKind</vt:lpstr>
      <vt:lpstr>StageState</vt:lpstr>
      <vt:lpstr>AbilityType</vt:lpstr>
      <vt:lpstr>ActivationCenterType</vt:lpstr>
      <vt:lpstr>StarSeedSectorType</vt:lpstr>
      <vt:lpstr>StoryType</vt:lpstr>
      <vt:lpstr>StorySubType</vt:lpstr>
      <vt:lpstr>StoryCharGroupType</vt:lpstr>
      <vt:lpstr>SuccessType</vt:lpstr>
      <vt:lpstr>TalkFunctionType</vt:lpstr>
      <vt:lpstr>TalkUiType</vt:lpstr>
      <vt:lpstr>TutorialCompleteTriggerType</vt:lpstr>
      <vt:lpstr>TutorialConditionType</vt:lpstr>
      <vt:lpstr>TutorialFuncType</vt:lpstr>
      <vt:lpstr>TutorialFocusEffectType</vt:lpstr>
      <vt:lpstr>TutorialCenterImageType</vt:lpstr>
      <vt:lpstr>AcademyFriendlyType</vt:lpstr>
      <vt:lpstr>AcademyStoryType</vt:lpstr>
      <vt:lpstr>TutorialFocusFindType</vt:lpstr>
      <vt:lpstr>TutorialStartTriggerType</vt:lpstr>
      <vt:lpstr>TutorialRestoreType</vt:lpstr>
      <vt:lpstr>TutorialStepCategoryType</vt:lpstr>
      <vt:lpstr>UICharacterConditionType</vt:lpstr>
      <vt:lpstr>UnlockSettingType</vt:lpstr>
      <vt:lpstr>RewardType</vt:lpstr>
      <vt:lpstr>DominionGradeType</vt:lpstr>
      <vt:lpstr>VideoDownType</vt:lpstr>
      <vt:lpstr>EventStoryStageRankType</vt:lpstr>
      <vt:lpstr>ShopNPCDialogueType</vt:lpstr>
      <vt:lpstr>ShopBonusRewardType</vt:lpstr>
      <vt:lpstr>AttributeType</vt:lpstr>
      <vt:lpstr>AttributeBattleType</vt:lpstr>
      <vt:lpstr>EventSlotMachineResultType</vt:lpstr>
      <vt:lpstr>EventRouletteStopType</vt:lpstr>
      <vt:lpstr>EventRouletteRewardType</vt:lpstr>
      <vt:lpstr>StarRecordExpDependencyType</vt:lpstr>
      <vt:lpstr>RegionCode</vt:lpstr>
      <vt:lpstr>MaintenanceType</vt:lpstr>
      <vt:lpstr>ShopTabTagType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장공수</cp:lastModifiedBy>
  <dcterms:created xsi:type="dcterms:W3CDTF">2020-12-11T20:43:25Z</dcterms:created>
  <dcterms:modified xsi:type="dcterms:W3CDTF">2024-06-07T06:22:11Z</dcterms:modified>
</cp:coreProperties>
</file>