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 tabRatio="709" activeTab="4"/>
  </bookViews>
  <sheets>
    <sheet name="Skill.Academy" sheetId="1" r:id="rId1"/>
    <sheet name="SkillEffect.Academy" sheetId="2" r:id="rId2"/>
    <sheet name="SkillModifier.Academy" sheetId="3" r:id="rId3"/>
    <sheet name="Skill.FormationSkill" sheetId="4" r:id="rId4"/>
    <sheet name="SkillEffect.FormationSkill" sheetId="5" r:id="rId5"/>
    <sheet name="Skill.Stage" sheetId="8" r:id="rId6"/>
    <sheet name="SkillEffect.Stage" sheetId="9" r:id="rId7"/>
    <sheet name="SkillEffectModifier" sheetId="10" r:id="rId8"/>
  </sheets>
  <calcPr calcId="162913"/>
</workbook>
</file>

<file path=xl/calcChain.xml><?xml version="1.0" encoding="utf-8"?>
<calcChain xmlns="http://schemas.openxmlformats.org/spreadsheetml/2006/main">
  <c r="H7" i="9" l="1"/>
  <c r="H16" i="9" l="1"/>
  <c r="H13" i="9" l="1"/>
  <c r="H14" i="9" l="1"/>
  <c r="H12" i="2" l="1"/>
  <c r="H23" i="2" l="1"/>
  <c r="H22" i="2"/>
  <c r="H21" i="2"/>
  <c r="H20" i="2"/>
  <c r="H19" i="2"/>
  <c r="H18" i="2"/>
  <c r="H17" i="2"/>
  <c r="H16" i="2"/>
  <c r="H15" i="2"/>
  <c r="H14" i="2"/>
  <c r="H13" i="2"/>
  <c r="H11" i="2"/>
  <c r="H10" i="2"/>
  <c r="H9" i="2"/>
  <c r="H8" i="2"/>
  <c r="H7" i="2"/>
  <c r="H6" i="2"/>
  <c r="H5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15" i="9" l="1"/>
  <c r="H12" i="9"/>
  <c r="H11" i="9"/>
  <c r="H10" i="9"/>
  <c r="H9" i="9"/>
  <c r="H6" i="9"/>
  <c r="H5" i="9"/>
  <c r="H8" i="9"/>
  <c r="I16" i="5" l="1"/>
  <c r="I15" i="5"/>
  <c r="I14" i="5"/>
  <c r="I13" i="5"/>
  <c r="I12" i="5"/>
  <c r="I11" i="5"/>
  <c r="I10" i="5"/>
  <c r="I9" i="5"/>
  <c r="I8" i="5"/>
  <c r="I7" i="5"/>
  <c r="I6" i="5"/>
  <c r="I5" i="5"/>
  <c r="AC12" i="4" l="1"/>
  <c r="AC11" i="4"/>
  <c r="AC10" i="4"/>
  <c r="AC9" i="4"/>
  <c r="AC8" i="4"/>
  <c r="AC7" i="4"/>
  <c r="AC6" i="4"/>
  <c r="AC5" i="4"/>
</calcChain>
</file>

<file path=xl/comments1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근거리 4
중거리 창   10
중거리 총   15
원거리 숏 30
원거리 35
장거리 40
최장거리 45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2.xml><?xml version="1.0" encoding="utf-8"?>
<comments xmlns="http://schemas.openxmlformats.org/spreadsheetml/2006/main">
  <authors>
    <author>안희덕</author>
  </authors>
  <commentList>
    <comment ref="S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</commentList>
</comments>
</file>

<file path=xl/comments3.xml><?xml version="1.0" encoding="utf-8"?>
<comments xmlns="http://schemas.openxmlformats.org/spreadsheetml/2006/main">
  <authors>
    <author>안희덕</author>
  </authors>
  <commentList>
    <comment ref="E1" authorId="0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</commentList>
</comments>
</file>

<file path=xl/comments4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5.xml><?xml version="1.0" encoding="utf-8"?>
<comments xmlns="http://schemas.openxmlformats.org/spreadsheetml/2006/main">
  <authors>
    <author>안희덕</author>
  </authors>
  <commentList>
    <comment ref="T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</commentList>
</comments>
</file>

<file path=xl/comments6.xml><?xml version="1.0" encoding="utf-8"?>
<comments xmlns="http://schemas.openxmlformats.org/spreadsheetml/2006/main">
  <authors>
    <author>오은석</author>
    <author>안희덕</author>
  </authors>
  <commentList>
    <comment ref="F1" authorId="0" shapeId="0">
      <text>
        <r>
          <rPr>
            <sz val="11"/>
            <color theme="1"/>
            <rFont val="맑은 고딕"/>
            <family val="2"/>
            <scheme val="minor"/>
          </rPr>
          <t>채널링 중 타겟 이
죽을 경우
Continuous 여부에 따라
지속 캔슬 결정</t>
        </r>
      </text>
    </comment>
    <comment ref="H1" authorId="0" shapeId="0">
      <text>
        <r>
          <rPr>
            <sz val="11"/>
            <color theme="1"/>
            <rFont val="맑은 고딕"/>
            <family val="2"/>
            <scheme val="minor"/>
          </rPr>
          <t>캐스팅 중
타겟이 죽을 경우
쿨타임은 그대로 감소
사용한 걸로 판정</t>
        </r>
      </text>
    </comment>
    <comment ref="L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R1" authorId="0" shapeId="0">
      <text>
        <r>
          <rPr>
            <sz val="11"/>
            <color theme="1"/>
            <rFont val="맑은 고딕"/>
            <family val="2"/>
            <scheme val="minor"/>
          </rPr>
          <t>근거리 4
중거리 창   10
중거리 총   15
원거리 숏 30
원거리 35
장거리 40
최장거리 45</t>
        </r>
      </text>
    </comment>
    <comment ref="W1" authorId="1" shapeId="0">
      <text>
        <r>
          <rPr>
            <sz val="11"/>
            <color theme="1"/>
            <rFont val="맑은 고딕"/>
            <family val="2"/>
            <scheme val="minor"/>
          </rPr>
          <t>ID                   
Debuff
BuffEffect
DebuffEffect
Type
BuffEffectType
DebuffEffectType</t>
        </r>
      </text>
    </comment>
    <comment ref="AD1" authorId="1" shapeId="0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3" authorId="0" shapeId="0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7.xml><?xml version="1.0" encoding="utf-8"?>
<comments xmlns="http://schemas.openxmlformats.org/spreadsheetml/2006/main">
  <authors>
    <author>안희덕</author>
  </authors>
  <commentList>
    <comment ref="S1" authorId="0" shapeId="0">
      <text>
        <r>
          <rPr>
            <sz val="11"/>
            <color theme="1"/>
            <rFont val="맑은 고딕"/>
            <family val="2"/>
            <scheme val="minor"/>
          </rPr>
          <t>안희덕:
에니메이션 이벤트의 HitDelay와 동일한 기능을 하지만
에니메이션에서 생성한 이펙트가 아니고 다른 방법으로 이펙트가 생성된 경우 피격지연을 주기위한 컬럼</t>
        </r>
      </text>
    </comment>
  </commentList>
</comments>
</file>

<file path=xl/comments8.xml><?xml version="1.0" encoding="utf-8"?>
<comments xmlns="http://schemas.openxmlformats.org/spreadsheetml/2006/main">
  <authors>
    <author>오은석</author>
  </authors>
  <commentList>
    <comment ref="C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sharedStrings.xml><?xml version="1.0" encoding="utf-8"?>
<sst xmlns="http://schemas.openxmlformats.org/spreadsheetml/2006/main" count="2745" uniqueCount="689">
  <si>
    <t>#ID</t>
  </si>
  <si>
    <t>#Change Skill ID</t>
  </si>
  <si>
    <t>#조건</t>
  </si>
  <si>
    <t>#조건 값 (백분율)</t>
  </si>
  <si>
    <t>#액티브 여부</t>
  </si>
  <si>
    <t>#채널링</t>
  </si>
  <si>
    <t>#다음 타겟 연결</t>
  </si>
  <si>
    <t>#캐스팅</t>
  </si>
  <si>
    <t>#쿨타임</t>
  </si>
  <si>
    <t>#시작 후 쿨타임</t>
  </si>
  <si>
    <t>#EP 회복</t>
  </si>
  <si>
    <t>#시작 후 버프</t>
  </si>
  <si>
    <t>#발동 후 버프</t>
  </si>
  <si>
    <t>#이동타입</t>
  </si>
  <si>
    <t>#이동 타입</t>
  </si>
  <si>
    <t>#대시이동속도 (mu/s)</t>
  </si>
  <si>
    <t>#시야</t>
  </si>
  <si>
    <t>#사정거리 (1/10u)</t>
  </si>
  <si>
    <t>#타겟타입</t>
  </si>
  <si>
    <t>#타겟 대상</t>
  </si>
  <si>
    <t>#대상 클래스</t>
  </si>
  <si>
    <t>#대상이 공격 중인 클래스</t>
  </si>
  <si>
    <t>#타겟 조건</t>
  </si>
  <si>
    <t>#타겟 조건 값 (백분율)</t>
  </si>
  <si>
    <t>#True 시
와리가리</t>
  </si>
  <si>
    <t>#캐스트카운터</t>
  </si>
  <si>
    <t>#이펙트 대기</t>
  </si>
  <si>
    <t>#히트 수</t>
  </si>
  <si>
    <t>#Effect</t>
  </si>
  <si>
    <t>#Buff, 주로 패시브</t>
  </si>
  <si>
    <t>#애니메이션</t>
  </si>
  <si>
    <t>#버프 인포</t>
  </si>
  <si>
    <t>#스킬 이름</t>
  </si>
  <si>
    <t>#맨 처음</t>
  </si>
  <si>
    <t>#맨 마지막</t>
  </si>
  <si>
    <t>#스킬 아이콘</t>
  </si>
  <si>
    <t>#스킬 범위 표기</t>
  </si>
  <si>
    <t>#스킬 범위
표기 기준</t>
  </si>
  <si>
    <t>#스킬 범위 타입</t>
  </si>
  <si>
    <t>#스킬 범위 값</t>
  </si>
  <si>
    <t>#궁극기 발동
UI</t>
  </si>
  <si>
    <t>#궁극기 발동
이펙트</t>
  </si>
  <si>
    <t>#궁극기 UI
이펙트</t>
  </si>
  <si>
    <t>#자동 설명 사용 여부</t>
  </si>
  <si>
    <t>Id</t>
  </si>
  <si>
    <t>ChangeSkillId</t>
  </si>
  <si>
    <t>ActiveCondition</t>
  </si>
  <si>
    <t>ConditionValue</t>
  </si>
  <si>
    <t>IsActive</t>
  </si>
  <si>
    <t>Continuous</t>
  </si>
  <si>
    <t>Casting</t>
  </si>
  <si>
    <t>CoolDown</t>
  </si>
  <si>
    <t>PreCoolDown</t>
  </si>
  <si>
    <t>AddEnergy</t>
  </si>
  <si>
    <t>PreBuffs</t>
  </si>
  <si>
    <t>PostBuffs</t>
  </si>
  <si>
    <t>MoveType</t>
  </si>
  <si>
    <t>MovePos</t>
  </si>
  <si>
    <t>DashVelocity</t>
  </si>
  <si>
    <t>Sight</t>
  </si>
  <si>
    <t>Range</t>
  </si>
  <si>
    <t>TargetTendency</t>
  </si>
  <si>
    <t>TargetOrder</t>
  </si>
  <si>
    <t>TargetClass</t>
  </si>
  <si>
    <t>TargetAttackClass</t>
  </si>
  <si>
    <t>ActiveTargetCondition</t>
  </si>
  <si>
    <t>TargetConditionValue</t>
  </si>
  <si>
    <t>IsCircular</t>
  </si>
  <si>
    <t>CastCount</t>
  </si>
  <si>
    <t>WaitAllEffects</t>
  </si>
  <si>
    <t>HitCount</t>
  </si>
  <si>
    <t>Effects</t>
  </si>
  <si>
    <t>Buffs</t>
  </si>
  <si>
    <t>AnimationName</t>
  </si>
  <si>
    <t>BuffInfo</t>
  </si>
  <si>
    <t>SkillName</t>
  </si>
  <si>
    <t>Desc</t>
  </si>
  <si>
    <t>Desc2</t>
  </si>
  <si>
    <t>Skill_Icon</t>
  </si>
  <si>
    <t>SkillIndicator</t>
  </si>
  <si>
    <t>SkillAreaCenter</t>
  </si>
  <si>
    <t>SkillAreaType</t>
  </si>
  <si>
    <t>SkillAreaValue</t>
  </si>
  <si>
    <t>UltimateAlertUI</t>
  </si>
  <si>
    <t>UltimateEffect</t>
  </si>
  <si>
    <t>UltimateUIEffect</t>
  </si>
  <si>
    <t>UseAutoDesc</t>
  </si>
  <si>
    <t>*string</t>
  </si>
  <si>
    <t>string</t>
  </si>
  <si>
    <t>ActiveCondition?</t>
  </si>
  <si>
    <t>bool</t>
  </si>
  <si>
    <t>int</t>
  </si>
  <si>
    <t>[$Buff]</t>
  </si>
  <si>
    <t>ClassType?</t>
  </si>
  <si>
    <t>int?</t>
  </si>
  <si>
    <t>[$SkillEffect]</t>
  </si>
  <si>
    <t>[string]</t>
  </si>
  <si>
    <t>UseTarget</t>
  </si>
  <si>
    <t>AreaType</t>
  </si>
  <si>
    <t>[int]</t>
  </si>
  <si>
    <t>common</t>
  </si>
  <si>
    <t>client</t>
  </si>
  <si>
    <t>Normal</t>
  </si>
  <si>
    <t>Self</t>
  </si>
  <si>
    <t>Nearest</t>
  </si>
  <si>
    <t>Op</t>
  </si>
  <si>
    <t>Single</t>
  </si>
  <si>
    <t>#타입</t>
  </si>
  <si>
    <t>#값</t>
  </si>
  <si>
    <t>#이펙트</t>
  </si>
  <si>
    <t>#히트
에너지</t>
  </si>
  <si>
    <t>#타겟 유형</t>
  </si>
  <si>
    <t>#확률</t>
  </si>
  <si>
    <t>#범위 기준</t>
  </si>
  <si>
    <t>#이펙트 타입</t>
  </si>
  <si>
    <t>#이펙트 범위</t>
  </si>
  <si>
    <t>#이펙트 소환 위치</t>
  </si>
  <si>
    <t>#피격지연</t>
  </si>
  <si>
    <t>#발사체 속도</t>
  </si>
  <si>
    <t>#발사체 사정거리</t>
  </si>
  <si>
    <t>#광역 타입</t>
  </si>
  <si>
    <t>#광역 값</t>
  </si>
  <si>
    <t>#타겟 수</t>
  </si>
  <si>
    <t>#이벤트 발동</t>
  </si>
  <si>
    <t>#hit 조건</t>
  </si>
  <si>
    <t>#hit Effect</t>
  </si>
  <si>
    <t>#이펙트 프리팹</t>
  </si>
  <si>
    <t>#이펙트 이름 (Desc표기용)</t>
  </si>
  <si>
    <t>#데미지 출력 여부</t>
  </si>
  <si>
    <t>#자동 설명</t>
  </si>
  <si>
    <t>#Type</t>
  </si>
  <si>
    <t>#Value1</t>
  </si>
  <si>
    <t>#Value2</t>
  </si>
  <si>
    <t>#Value3</t>
  </si>
  <si>
    <t>Effect</t>
  </si>
  <si>
    <t>HitEnergy</t>
  </si>
  <si>
    <t>Prob</t>
  </si>
  <si>
    <t>AreaCenter</t>
  </si>
  <si>
    <t>SpawnAreaType</t>
  </si>
  <si>
    <t>SpawnValue</t>
  </si>
  <si>
    <t>TargetSpawn</t>
  </si>
  <si>
    <t>HitDelay</t>
  </si>
  <si>
    <t>ProjectileVelocity</t>
  </si>
  <si>
    <t>ProjectileRange</t>
  </si>
  <si>
    <t>AreaValue</t>
  </si>
  <si>
    <t>TargetCount</t>
  </si>
  <si>
    <t>CauseEvent</t>
  </si>
  <si>
    <t>HitCondition</t>
  </si>
  <si>
    <t>HitEffect</t>
  </si>
  <si>
    <t>Prefabs</t>
  </si>
  <si>
    <t>Name</t>
  </si>
  <si>
    <t>ShowHit</t>
  </si>
  <si>
    <t>#SkillEffectType</t>
  </si>
  <si>
    <t>#string</t>
  </si>
  <si>
    <t>dsl</t>
  </si>
  <si>
    <t>TargetOrder?</t>
  </si>
  <si>
    <t>HitCondition?</t>
  </si>
  <si>
    <t>#</t>
  </si>
  <si>
    <t>Recharge</t>
  </si>
  <si>
    <t>Attack</t>
  </si>
  <si>
    <t>Me</t>
  </si>
  <si>
    <t>Debuff</t>
  </si>
  <si>
    <t>Enemy</t>
  </si>
  <si>
    <t>None</t>
  </si>
  <si>
    <t>Buff</t>
  </si>
  <si>
    <t>AllyNSelf</t>
  </si>
  <si>
    <t>Hp</t>
  </si>
  <si>
    <t>Circle</t>
  </si>
  <si>
    <t>Ally</t>
  </si>
  <si>
    <t>LowHpRatio</t>
  </si>
  <si>
    <t>All</t>
  </si>
  <si>
    <t>DamageSelfCalc</t>
  </si>
  <si>
    <t>DebuffEffectType</t>
  </si>
  <si>
    <t>Burn</t>
  </si>
  <si>
    <t>Cooldown</t>
  </si>
  <si>
    <t>Skill1</t>
  </si>
  <si>
    <t>Skill2</t>
  </si>
  <si>
    <t>Consume</t>
  </si>
  <si>
    <t>RemoveBuff</t>
  </si>
  <si>
    <t>HighAtk</t>
  </si>
  <si>
    <t>HighDef</t>
  </si>
  <si>
    <t>HighEnergy</t>
  </si>
  <si>
    <t>RemoveBuffEffectType</t>
  </si>
  <si>
    <t>Damage</t>
  </si>
  <si>
    <t>Damage(Attack, 400)</t>
  </si>
  <si>
    <t>#스킬타입</t>
  </si>
  <si>
    <t>SkillTypes</t>
  </si>
  <si>
    <t>[SkillType]</t>
  </si>
  <si>
    <t>Ultimate</t>
  </si>
  <si>
    <t>방어력 비례 보호막</t>
  </si>
  <si>
    <t>주는 피해 증가</t>
  </si>
  <si>
    <t>Effect/Prefab/07_etc/fomation/EFF_formation_skill04_hit</t>
  </si>
  <si>
    <t>범위 피해 및 기절</t>
  </si>
  <si>
    <t>OnHit</t>
  </si>
  <si>
    <t>다단 히트 피해</t>
  </si>
  <si>
    <t>Effect/Prefab/07_etc/fomation/EFF_formation_skill02_hit</t>
  </si>
  <si>
    <t>디버프 면역 및 회복</t>
  </si>
  <si>
    <t>Defense</t>
  </si>
  <si>
    <t>OnHeal</t>
  </si>
  <si>
    <t>상대 EP 감소</t>
  </si>
  <si>
    <t>Effect/Prefab/07_etc/fomation/EFF_formation_skill03_hit</t>
  </si>
  <si>
    <t>Class</t>
  </si>
  <si>
    <t>Attacker</t>
  </si>
  <si>
    <t>Damage(Attack, 100)</t>
  </si>
  <si>
    <t>#버프 이펙트 아이디</t>
  </si>
  <si>
    <t>SkillEffectIds</t>
  </si>
  <si>
    <t>NearestContinue</t>
  </si>
  <si>
    <t>stage.add.ep.500</t>
  </si>
  <si>
    <t>stage.add.ep.500.effect</t>
  </si>
  <si>
    <t>stage.add.ep.300</t>
  </si>
  <si>
    <t>stage.add.ep.300.effect</t>
  </si>
  <si>
    <t>stage.add.ep.200</t>
  </si>
  <si>
    <t>stage.add.ep.200.effect</t>
  </si>
  <si>
    <t>stage.add.ep.tutorial</t>
  </si>
  <si>
    <t>stage.buff.energy.up.50</t>
  </si>
  <si>
    <t>stage.buff.energy.up.50.effect</t>
  </si>
  <si>
    <t>Area</t>
  </si>
  <si>
    <t>stage.add.ep.tutorial.effect1</t>
  </si>
  <si>
    <t>stage.add.ep.tutorial.effect2</t>
  </si>
  <si>
    <t>stage.buff.energy.up.50.buff</t>
  </si>
  <si>
    <t>Damage(Attack, 200)</t>
  </si>
  <si>
    <t>Damage(Attack, 300)</t>
  </si>
  <si>
    <t>Damage(Attack, 500)</t>
  </si>
  <si>
    <t>Damage(Attack, 600)</t>
  </si>
  <si>
    <t>Damage(Attack, 700)</t>
  </si>
  <si>
    <t>Academy.test.01</t>
  </si>
  <si>
    <t>Academy.test.buff.01</t>
  </si>
  <si>
    <t>skill.name.Academy.Academy</t>
  </si>
  <si>
    <t>skill.desc.Academy.Academy.test.1</t>
  </si>
  <si>
    <t>icon_skill_c_Academy_Academy</t>
  </si>
  <si>
    <t>Academy.test.02</t>
  </si>
  <si>
    <t>Academy.test.buff.02</t>
  </si>
  <si>
    <t>skill.desc.Academy.Academy.test.2</t>
  </si>
  <si>
    <t>Academy.test.03</t>
  </si>
  <si>
    <t>Academy.test.buff.03</t>
  </si>
  <si>
    <t>skill.desc.Academy.Academy.test.3</t>
  </si>
  <si>
    <t>Academy.test.04</t>
  </si>
  <si>
    <t>Academy.test.buff.04</t>
  </si>
  <si>
    <t>skill.desc.Academy.Academy.test.4</t>
  </si>
  <si>
    <t>Academy.test.buff.buffeffect.skilleffect.01</t>
  </si>
  <si>
    <t>Academy.test.buff.buffeffect.skilleffect.02</t>
  </si>
  <si>
    <t>Academy.test.buff.buffeffect.skilleffect.03</t>
  </si>
  <si>
    <t>Academy.test.buff.buffeffect.skilleffect.04</t>
  </si>
  <si>
    <t>101.Academy.01</t>
  </si>
  <si>
    <t>101.Academy.01.buff</t>
  </si>
  <si>
    <t>skill.name.Academy.101</t>
  </si>
  <si>
    <t>skill.desc.Academy.101.1</t>
  </si>
  <si>
    <t>101.Academy.01.buff.buffeffect.skilleffect</t>
  </si>
  <si>
    <t>103.Academy.01</t>
  </si>
  <si>
    <t>103.Academy.01.buff</t>
  </si>
  <si>
    <t>skill.name.Academy.103</t>
  </si>
  <si>
    <t>skill.desc.Academy.103.1</t>
  </si>
  <si>
    <t>103.Academy.01.buff.buffeffect.skilleffect</t>
  </si>
  <si>
    <t>103.Academy.01.freeze.buff</t>
  </si>
  <si>
    <t>104.Academy.01</t>
  </si>
  <si>
    <t>104.Academy.01.buff</t>
  </si>
  <si>
    <t>skill.name.Academy.104</t>
  </si>
  <si>
    <t>skill.desc.Academy.104.1</t>
  </si>
  <si>
    <t>104.Academy.01.buff.buffeffect02.skilleffect</t>
  </si>
  <si>
    <t>104.Academy.01.dmgimmun.buff</t>
  </si>
  <si>
    <t>105.Academy.01</t>
  </si>
  <si>
    <t>105.Academy.01.buff</t>
  </si>
  <si>
    <t>skill.name.Academy.105</t>
  </si>
  <si>
    <t>skill.desc.Academy.105.1</t>
  </si>
  <si>
    <t>106.Academy.01</t>
  </si>
  <si>
    <t>106.Academy.01.buff</t>
  </si>
  <si>
    <t>skill.name.Academy.106</t>
  </si>
  <si>
    <t>skill.desc.Academy.106.1</t>
  </si>
  <si>
    <t>106.Academy.01.buff.buffeffect.skilleffect</t>
  </si>
  <si>
    <t>106.Academy.01.shield.buff</t>
  </si>
  <si>
    <t>107.Academy.01</t>
  </si>
  <si>
    <t>107.Academy.01.buff</t>
  </si>
  <si>
    <t>skill.name.Academy.107</t>
  </si>
  <si>
    <t>skill.desc.Academy.107.1</t>
  </si>
  <si>
    <t>107.Academy.01.buff.buffeffect.skilleffect</t>
  </si>
  <si>
    <t>108.Academy.01</t>
  </si>
  <si>
    <t>108.Academy.01.buff</t>
  </si>
  <si>
    <t>skill.name.Academy.108</t>
  </si>
  <si>
    <t>skill.desc.Academy.108.1</t>
  </si>
  <si>
    <t>108.Academy.01.buff.buffeffect.skilleffect</t>
  </si>
  <si>
    <t>108.Academy.01.atkup.buff</t>
  </si>
  <si>
    <t>109.Academy.01</t>
  </si>
  <si>
    <t>109.Academy.01.buff</t>
  </si>
  <si>
    <t>skill.name.Academy.109</t>
  </si>
  <si>
    <t>skill.desc.Academy.109.1</t>
  </si>
  <si>
    <t>109.Academy.01.buff.buffeffect.skilleffect</t>
  </si>
  <si>
    <t>110.Academy.01</t>
  </si>
  <si>
    <t>110.Academy.01.buff</t>
  </si>
  <si>
    <t>skill.name.Academy.110</t>
  </si>
  <si>
    <t>skill.desc.Academy.110.1</t>
  </si>
  <si>
    <t>110.Academy.01.buff.buffeffect.skilleffect</t>
  </si>
  <si>
    <t>110.Academy.01.buff.buffeffect.skilleffect02</t>
  </si>
  <si>
    <t>111.Academy.01</t>
  </si>
  <si>
    <t>111.Academy.01.buff</t>
  </si>
  <si>
    <t>skill.name.Academy.111</t>
  </si>
  <si>
    <t>skill.desc.Academy.111.1</t>
  </si>
  <si>
    <t>111.Academy.01.hit.epdown.buff.buffeffect.skilleffect</t>
  </si>
  <si>
    <t>111.Academy.01.buff.buffeffect.SkillModifier</t>
  </si>
  <si>
    <t>stage.ti111ttack</t>
  </si>
  <si>
    <t>stage.ti111ttack.effect</t>
  </si>
  <si>
    <t>stage.ti111ttack.effect.damage</t>
  </si>
  <si>
    <t>112.Academy.01</t>
  </si>
  <si>
    <t>112.Academy.01.buff</t>
  </si>
  <si>
    <t>skill.name.Academy.112</t>
  </si>
  <si>
    <t>skill.desc.Academy.112.1</t>
  </si>
  <si>
    <t>112.Academy.01.buff.buffeffect.skilleffect</t>
  </si>
  <si>
    <t>113.Academy.01</t>
  </si>
  <si>
    <t>113.Academy.01.buff</t>
  </si>
  <si>
    <t>skill.name.Academy.113</t>
  </si>
  <si>
    <t>skill.desc.Academy.113.1</t>
  </si>
  <si>
    <t>113.Academy.01.buff.buffeffect.skilleffect</t>
  </si>
  <si>
    <t>113.Academy.01.shield.buff</t>
  </si>
  <si>
    <t>114.Academy.01</t>
  </si>
  <si>
    <t>114.Academy.01.buff</t>
  </si>
  <si>
    <t>skill.name.Academy.114</t>
  </si>
  <si>
    <t>skill.desc.Academy.114.1</t>
  </si>
  <si>
    <t>114.Academy.01.buff.buffeffect01.skilleffect</t>
  </si>
  <si>
    <t>114.Academy.01.stun.buff</t>
  </si>
  <si>
    <t>114.Academy.01.removebuff</t>
  </si>
  <si>
    <t>114.Academy.01.stack.buff</t>
  </si>
  <si>
    <t>114.Academy.01.buff.buffeffect02.skilleffect</t>
  </si>
  <si>
    <t>115.Academy.01</t>
  </si>
  <si>
    <t>115.Academy.01.buff</t>
  </si>
  <si>
    <t>skill.name.Academy.115</t>
  </si>
  <si>
    <t>skill.desc.Academy.115.1</t>
  </si>
  <si>
    <t>115.Academy.01.buff.buffeffect01.skilleffect</t>
  </si>
  <si>
    <t>115.Academy.01.atkup.buff</t>
  </si>
  <si>
    <t>115.Academy.01.buff.buffeffect02.skilleffect</t>
  </si>
  <si>
    <t>116.Academy.01</t>
  </si>
  <si>
    <t>116.Academy.01.buff</t>
  </si>
  <si>
    <t>skill.name.Academy.116</t>
  </si>
  <si>
    <t>skill.desc.Academy.116.1</t>
  </si>
  <si>
    <t>116.Academy.01.buff.buffeffect.skilleffect</t>
  </si>
  <si>
    <t>117.Academy.01</t>
  </si>
  <si>
    <t>117.Academy.01.buff</t>
  </si>
  <si>
    <t>skill.name.Academy.117</t>
  </si>
  <si>
    <t>skill.desc.Academy.117.1</t>
  </si>
  <si>
    <t>117.Academy.01.burn.buff</t>
  </si>
  <si>
    <t>118.Academy.01</t>
  </si>
  <si>
    <t>118.Academy.01.buff</t>
  </si>
  <si>
    <t>skill.name.Academy.118</t>
  </si>
  <si>
    <t>skill.desc.Academy.118.1</t>
  </si>
  <si>
    <t>118.Academy.01.buff.buffeffect.skilleffect</t>
  </si>
  <si>
    <t>118.Academy.01.atkup.buff</t>
  </si>
  <si>
    <t>119.Academy.01</t>
  </si>
  <si>
    <t>119.Academy.01.buff</t>
  </si>
  <si>
    <t>skill.name.Academy.119</t>
  </si>
  <si>
    <t>skill.desc.Academy.119.1</t>
  </si>
  <si>
    <t>119.Academy.01.buff.buffeffect02.skilleffect</t>
  </si>
  <si>
    <t>119.Academy.01.barrier.buff</t>
  </si>
  <si>
    <t>120.Academy.01</t>
  </si>
  <si>
    <t>120.Academy.01.buff</t>
  </si>
  <si>
    <t>skill.name.Academy.120</t>
  </si>
  <si>
    <t>skill.desc.Academy.120.1</t>
  </si>
  <si>
    <t>120.Academy.01.buff.buffeffect.skilleffect</t>
  </si>
  <si>
    <t>121.Academy.01</t>
  </si>
  <si>
    <t>121.Academy.01.buff</t>
  </si>
  <si>
    <t>skill.name.Academy.121</t>
  </si>
  <si>
    <t>skill.desc.Academy.121.1</t>
  </si>
  <si>
    <t>121.Academy.01.buff.buffeffect.skilleffect</t>
  </si>
  <si>
    <t>121.Academy.01.linkfrom.buff</t>
  </si>
  <si>
    <t>121.Academy.01.buff.buffeffect.skilleffect02</t>
  </si>
  <si>
    <t>121.Academy.01.linkto.buff</t>
  </si>
  <si>
    <t>122.Academy.01</t>
  </si>
  <si>
    <t>122.Academy.01.buff</t>
  </si>
  <si>
    <t>skill.name.Academy.122</t>
  </si>
  <si>
    <t>skill.desc.Academy.122.1</t>
  </si>
  <si>
    <t>122.Academy.01.buff.buffeffect.skilleffect</t>
  </si>
  <si>
    <t>Effect/Prefab/01.Character/25_122/EFF_122_beam_drop&amp;
Effect/Prefab/01.Character/25_122/EFF_122_ult_mark</t>
  </si>
  <si>
    <t>123.Academy.01</t>
  </si>
  <si>
    <t>123.Academy.01.buff</t>
  </si>
  <si>
    <t>skill.name.Academy.123</t>
  </si>
  <si>
    <t>skill.desc.Academy.123.1</t>
  </si>
  <si>
    <t>123.Academy.01.hit.event.buff.buffeffect.skilleffect</t>
  </si>
  <si>
    <t>123.Academy.01.ultderate.buff</t>
  </si>
  <si>
    <t>123.Academy.01.buff.buffeffect.SkillModifier</t>
  </si>
  <si>
    <t>123.Academy.01.hit.event.buff</t>
  </si>
  <si>
    <t>125.Academy.01</t>
  </si>
  <si>
    <t>125.Academy.01.buff</t>
  </si>
  <si>
    <t>skill.desc.Academy.125.1</t>
  </si>
  <si>
    <t>125.Academy.01.buff.buffeffect.skilleffect</t>
  </si>
  <si>
    <t>125.Academy.01.poison.buff</t>
  </si>
  <si>
    <t>126.Academy.01</t>
  </si>
  <si>
    <t>126.Academy.01.buff</t>
  </si>
  <si>
    <t>skill.name.Academy.126</t>
  </si>
  <si>
    <t>skill.desc.Academy.126.1</t>
  </si>
  <si>
    <t>126.Academy.01.buff.buffeffect.skilleffect</t>
  </si>
  <si>
    <t>126.Academy.01.barrier.buff</t>
  </si>
  <si>
    <t>127.Academy.01</t>
  </si>
  <si>
    <t>127.Academy.01.buff</t>
  </si>
  <si>
    <t>skill.name.Academy.127</t>
  </si>
  <si>
    <t>skill.desc.Academy.127.1</t>
  </si>
  <si>
    <t>127.Academy.01.buff.buffeffect.skilleffect</t>
  </si>
  <si>
    <t>127.Academy.01.stun.buff</t>
  </si>
  <si>
    <t>128.Academy.01</t>
  </si>
  <si>
    <t>128.Academy.01.buff</t>
  </si>
  <si>
    <t>skill.name.Academy.128</t>
  </si>
  <si>
    <t>skill.desc.Academy.128.1</t>
  </si>
  <si>
    <t>128.Academy.01.buff.buffeffect.skilleffect</t>
  </si>
  <si>
    <t>129.Academy.01</t>
  </si>
  <si>
    <t>129.Academy.01.buff</t>
  </si>
  <si>
    <t>skill.name.Academy.129</t>
  </si>
  <si>
    <t>skill.desc.Academy.129.1</t>
  </si>
  <si>
    <t>129.Academy.01.buff.buffeffect.skilleffect</t>
  </si>
  <si>
    <t>129.Academy.01.stun.buff</t>
  </si>
  <si>
    <t>130.Academy.01</t>
  </si>
  <si>
    <t>130.Academy.01.buff</t>
  </si>
  <si>
    <t>skill.name.Academy.130</t>
  </si>
  <si>
    <t>skill.desc.Academy.130.1</t>
  </si>
  <si>
    <t>130.Academy.01.buff.buffeffect.skilleffect</t>
  </si>
  <si>
    <t>131.Academy.01</t>
  </si>
  <si>
    <t>131.Academy.01.buff</t>
  </si>
  <si>
    <t>skill.name.Academy.131</t>
  </si>
  <si>
    <t>skill.desc.Academy.131.1</t>
  </si>
  <si>
    <t>132.Academy.01</t>
  </si>
  <si>
    <t>132.Academy.01.buff</t>
  </si>
  <si>
    <t>skill.name.Academy.132</t>
  </si>
  <si>
    <t>skill.desc.Academy.132.1</t>
  </si>
  <si>
    <t>133.Academy.01</t>
  </si>
  <si>
    <t>133.Academy.01.buff</t>
  </si>
  <si>
    <t>skill.name.Academy.133</t>
  </si>
  <si>
    <t>skill.desc.Academy.133.1</t>
  </si>
  <si>
    <t>133.Academy.01.buff.buffeffect.skilleffect</t>
  </si>
  <si>
    <t>134.Academy.01</t>
  </si>
  <si>
    <t>134.Academy.01.buff</t>
  </si>
  <si>
    <t>skill.name.Academy.134</t>
  </si>
  <si>
    <t>skill.desc.Academy.134.1</t>
  </si>
  <si>
    <t>134.Academy.01.buff.buffeffect.skilleffect</t>
  </si>
  <si>
    <t>134.Academy.01.shock.buff</t>
  </si>
  <si>
    <t>135.Academy.01</t>
  </si>
  <si>
    <t>135.Academy.01.buff</t>
  </si>
  <si>
    <t>skill.name.Academy.135</t>
  </si>
  <si>
    <t>skill.desc.Academy.135.1</t>
  </si>
  <si>
    <t>135.Academy.01.buff.buffeffect.skilleffect</t>
  </si>
  <si>
    <t>136.Academy.01</t>
  </si>
  <si>
    <t>136.Academy.01.buff</t>
  </si>
  <si>
    <t>skill.name.Academy.136</t>
  </si>
  <si>
    <t>skill.desc.Academy.136.1</t>
  </si>
  <si>
    <t>137.Academy.01</t>
  </si>
  <si>
    <t>137.Academy.01.buff</t>
  </si>
  <si>
    <t>skill.name.Academy.137</t>
  </si>
  <si>
    <t>skill.desc.Academy.137.1</t>
  </si>
  <si>
    <t>137.Academy.skilleffect</t>
  </si>
  <si>
    <t>137.Academy.01.buff.buffeffect.skilleffect</t>
  </si>
  <si>
    <t>137.passive.buff.buffeffect.skilleffect.buff.skillmodifier.01</t>
  </si>
  <si>
    <t>137.passive.buff.buffeffect.skilleffect.buff.skillmodifier.02</t>
  </si>
  <si>
    <t>137.passive.buff.buffeffect.skilleffect.buff.skillmodifier.03</t>
  </si>
  <si>
    <t>137.passive.buff.buffeffect.skilleffect.buff.skillmodifier.04</t>
  </si>
  <si>
    <t>137.passive.buff.buffeffect.skilleffect.buff.skillmodifier.05</t>
  </si>
  <si>
    <t>137.passive.buff.buffeffect.skilleffect.buff.skillmodifier.06</t>
  </si>
  <si>
    <t>137.passive.buff.buffeffect.skilleffect.buff.skillmodifier.07</t>
  </si>
  <si>
    <t>138.Academy.01</t>
  </si>
  <si>
    <t>138.Academy.01.buff</t>
  </si>
  <si>
    <t>skill.name.Academy.138</t>
  </si>
  <si>
    <t>skill.desc.Academy.138.1</t>
  </si>
  <si>
    <t>139.Academy.01</t>
  </si>
  <si>
    <t>139.Academy.01.buff</t>
  </si>
  <si>
    <t>skill.name.Academy.139</t>
  </si>
  <si>
    <t>skill.desc.Academy.139.1</t>
  </si>
  <si>
    <t>140.Academy.01</t>
  </si>
  <si>
    <t>140.Academy.01.buff</t>
  </si>
  <si>
    <t>skill.name.Academy.140</t>
  </si>
  <si>
    <t>skill.desc.Academy.140.1</t>
  </si>
  <si>
    <t>140.Academy.01.buff.buffeffect.skilleffect</t>
  </si>
  <si>
    <t>140.Academy.01.defup.buff&amp;140.Academy.01.invincible.buff</t>
  </si>
  <si>
    <t>142.Academy.01</t>
  </si>
  <si>
    <t>142.Academy.01.buff</t>
  </si>
  <si>
    <t>skill.name.Academy.142</t>
  </si>
  <si>
    <t>skill.desc.Academy.142.1</t>
  </si>
  <si>
    <t>142.Academy.01.buff.buffeffect.skilleffect</t>
  </si>
  <si>
    <t>Channeling</t>
  </si>
  <si>
    <t>Channeling</t>
    <phoneticPr fontId="1" type="noConversion"/>
  </si>
  <si>
    <t>aurora.ult.effect.01
aurora.ult.effect.02
aurora.ult.effect.03
aurora.ult.effect.04
aurora.ult.effect.05
aurora.ult.effect.06
aurora.ult.effect.07</t>
  </si>
  <si>
    <t>137.Academy.01.buff.buffeffect.skilleffect</t>
    <phoneticPr fontId="1" type="noConversion"/>
  </si>
  <si>
    <t>128.Academy.01.frostbite.buff</t>
    <phoneticPr fontId="1" type="noConversion"/>
  </si>
  <si>
    <t>skill.desc.Formation.DualArmor.1</t>
  </si>
  <si>
    <t>skill.desc.Formation.DualEdge.1</t>
  </si>
  <si>
    <t>skill.desc.Formation.Predator.1</t>
  </si>
  <si>
    <t>skill.desc.Formation.Slayer.1</t>
  </si>
  <si>
    <t>skill.desc.Formation.Formula.1</t>
  </si>
  <si>
    <t>skill.desc.Formation.Break.1</t>
  </si>
  <si>
    <t>Formation.dualarmor.active.01</t>
    <phoneticPr fontId="1" type="noConversion"/>
  </si>
  <si>
    <t>Formation.dualedge.active.01</t>
    <phoneticPr fontId="1" type="noConversion"/>
  </si>
  <si>
    <t>Formation.predator.active.01</t>
    <phoneticPr fontId="1" type="noConversion"/>
  </si>
  <si>
    <t>Formation.slayer.active.01</t>
    <phoneticPr fontId="1" type="noConversion"/>
  </si>
  <si>
    <t>Formation.formula.active.01</t>
    <phoneticPr fontId="1" type="noConversion"/>
  </si>
  <si>
    <t>Formation.break.active.01</t>
    <phoneticPr fontId="1" type="noConversion"/>
  </si>
  <si>
    <t>Formation.dualarmor.active.01.effect</t>
  </si>
  <si>
    <t>Formation.dualedge.active.01.effect</t>
  </si>
  <si>
    <t>Formation.predator.active.01.effect</t>
  </si>
  <si>
    <t>Formation.slayer.active.01.effect</t>
  </si>
  <si>
    <t>Formation.formula.active.01.effect</t>
  </si>
  <si>
    <t>Formation.break.active.01.effect</t>
  </si>
  <si>
    <t>Formation.dualarmor.active.01.shield.buff</t>
  </si>
  <si>
    <t>Formation.dualedge.active.01.dmgup.buff</t>
  </si>
  <si>
    <t>Formation.predator.active.01.stun</t>
  </si>
  <si>
    <t>Formation.slayer.active.01.addhit.01</t>
  </si>
  <si>
    <t>Formation.slayer.active.01.addhit.02</t>
  </si>
  <si>
    <t>Formation.formula.active.01.immun</t>
  </si>
  <si>
    <t>Formation.formula.active.01.immun.buff</t>
  </si>
  <si>
    <t>Formation.predator.active.01.stun.buff</t>
    <phoneticPr fontId="1" type="noConversion"/>
  </si>
  <si>
    <t>Formation.predator.active.01.stun</t>
    <phoneticPr fontId="1" type="noConversion"/>
  </si>
  <si>
    <t>Formation.timescale.active.01</t>
    <phoneticPr fontId="1" type="noConversion"/>
  </si>
  <si>
    <t>Formation.booster.active.01</t>
    <phoneticPr fontId="1" type="noConversion"/>
  </si>
  <si>
    <t>skill.desc.Formation.TimeScale.1</t>
    <phoneticPr fontId="1" type="noConversion"/>
  </si>
  <si>
    <t>skill.desc.Formation.Booster.1</t>
    <phoneticPr fontId="1" type="noConversion"/>
  </si>
  <si>
    <t>Formation.timescale.active.01.effect</t>
  </si>
  <si>
    <t>좋은 효과 시간 증가</t>
    <phoneticPr fontId="1" type="noConversion"/>
  </si>
  <si>
    <t>Formation.booster.active.01.effect</t>
  </si>
  <si>
    <t>대상 EP 증가</t>
    <phoneticPr fontId="1" type="noConversion"/>
  </si>
  <si>
    <t>103.Academy.01.snopril</t>
    <phoneticPr fontId="1" type="noConversion"/>
  </si>
  <si>
    <t>103.Academy.01.snopril.buff.buffeffect.skilleffect</t>
    <phoneticPr fontId="1" type="noConversion"/>
  </si>
  <si>
    <t>103.Academy.01.snopril.freeze.buff</t>
    <phoneticPr fontId="1" type="noConversion"/>
  </si>
  <si>
    <t>103.Academy.01.snopril.buff</t>
    <phoneticPr fontId="1" type="noConversion"/>
  </si>
  <si>
    <t>112.Academy.01.rachel</t>
    <phoneticPr fontId="1" type="noConversion"/>
  </si>
  <si>
    <t>112.Academy.01.rachel.buff</t>
    <phoneticPr fontId="1" type="noConversion"/>
  </si>
  <si>
    <t>112.Academy.01.rachel.buff.buffeffect.skilleffect</t>
    <phoneticPr fontId="1" type="noConversion"/>
  </si>
  <si>
    <t>118.Academy.01.angelica.buff.buffeffect.skilleffect</t>
    <phoneticPr fontId="1" type="noConversion"/>
  </si>
  <si>
    <t>118.Academy.01.angelica.atkup.buff</t>
    <phoneticPr fontId="1" type="noConversion"/>
  </si>
  <si>
    <t>119.Academy.01.yuna.buff.buffeffect02.skilleffect</t>
    <phoneticPr fontId="1" type="noConversion"/>
  </si>
  <si>
    <t>119.Academy.01.yuna.barrier.buff</t>
    <phoneticPr fontId="1" type="noConversion"/>
  </si>
  <si>
    <t>119.Academy.01.yuna</t>
    <phoneticPr fontId="1" type="noConversion"/>
  </si>
  <si>
    <t>119.Academy.01.yuna.buff</t>
    <phoneticPr fontId="1" type="noConversion"/>
  </si>
  <si>
    <t>118.Academy.01.angelica</t>
    <phoneticPr fontId="1" type="noConversion"/>
  </si>
  <si>
    <t>118.Academy.01.angelica.buff</t>
    <phoneticPr fontId="1" type="noConversion"/>
  </si>
  <si>
    <t>135.Academy.01.ino</t>
    <phoneticPr fontId="1" type="noConversion"/>
  </si>
  <si>
    <t>135.Academy.01.ino.buff</t>
    <phoneticPr fontId="1" type="noConversion"/>
  </si>
  <si>
    <t>135.Academy.01.ino.buff.buffeffect.skilleffect</t>
    <phoneticPr fontId="1" type="noConversion"/>
  </si>
  <si>
    <t>130.Academy.01.angelica</t>
    <phoneticPr fontId="1" type="noConversion"/>
  </si>
  <si>
    <t>130.Academy.01.angelica.buff</t>
    <phoneticPr fontId="1" type="noConversion"/>
  </si>
  <si>
    <t>130.Academy.01.angelica.buff.buffeffect.skilleffect</t>
    <phoneticPr fontId="1" type="noConversion"/>
  </si>
  <si>
    <t>128.Academy.01.patricia.buff.buffeffect.skilleffect</t>
    <phoneticPr fontId="1" type="noConversion"/>
  </si>
  <si>
    <t>128.Academy.01.patricia</t>
    <phoneticPr fontId="1" type="noConversion"/>
  </si>
  <si>
    <t>128.Academy.01.patricia.buff</t>
    <phoneticPr fontId="1" type="noConversion"/>
  </si>
  <si>
    <t>128.Academy.01.patricia.frostbite.buff</t>
    <phoneticPr fontId="1" type="noConversion"/>
  </si>
  <si>
    <t>142.Academy.01.atkspd.buff&amp;142.Academy.01.dmgup.buff</t>
    <phoneticPr fontId="1" type="noConversion"/>
  </si>
  <si>
    <t>DebuffEffectType</t>
    <phoneticPr fontId="1" type="noConversion"/>
  </si>
  <si>
    <t>Shock</t>
  </si>
  <si>
    <t>Ultimate
Skill1
Skill2</t>
    <phoneticPr fontId="1" type="noConversion"/>
  </si>
  <si>
    <t>All</t>
    <phoneticPr fontId="1" type="noConversion"/>
  </si>
  <si>
    <t>111.Academy.01.hit.epdown.buff</t>
    <phoneticPr fontId="1" type="noConversion"/>
  </si>
  <si>
    <t>138.Academy.01.buff.buffeffect.SkillModifier</t>
  </si>
  <si>
    <t>138.Academy.01.recharge.buff.buffeffect.skilleffect</t>
  </si>
  <si>
    <t>Ally</t>
    <phoneticPr fontId="1" type="noConversion"/>
  </si>
  <si>
    <t>138.Academy.01.recharge.buff</t>
  </si>
  <si>
    <t>skill.name.Academy.125</t>
    <phoneticPr fontId="1" type="noConversion"/>
  </si>
  <si>
    <t>#스킬 종류 표시</t>
  </si>
  <si>
    <t>SkillTypeName</t>
  </si>
  <si>
    <t>icon_academy_skill_class01_105</t>
    <phoneticPr fontId="1" type="noConversion"/>
  </si>
  <si>
    <t>icon_academy_skill_class01_106</t>
    <phoneticPr fontId="1" type="noConversion"/>
  </si>
  <si>
    <t>icon_academy_skill_class01_111</t>
    <phoneticPr fontId="1" type="noConversion"/>
  </si>
  <si>
    <t>icon_academy_skill_class01_112</t>
    <phoneticPr fontId="1" type="noConversion"/>
  </si>
  <si>
    <t>icon_academy_skill_class01_112</t>
    <phoneticPr fontId="1" type="noConversion"/>
  </si>
  <si>
    <t>icon_academy_skill_class01_114</t>
    <phoneticPr fontId="1" type="noConversion"/>
  </si>
  <si>
    <t>icon_academy_skill_class01_115</t>
    <phoneticPr fontId="1" type="noConversion"/>
  </si>
  <si>
    <t>icon_academy_skill_class01_117</t>
    <phoneticPr fontId="1" type="noConversion"/>
  </si>
  <si>
    <t>icon_academy_skill_class01_123</t>
    <phoneticPr fontId="1" type="noConversion"/>
  </si>
  <si>
    <t>icon_academy_skill_class01_125</t>
    <phoneticPr fontId="1" type="noConversion"/>
  </si>
  <si>
    <t>icon_academy_skill_class01_127</t>
    <phoneticPr fontId="1" type="noConversion"/>
  </si>
  <si>
    <t>icon_academy_skill_class01_131</t>
    <phoneticPr fontId="1" type="noConversion"/>
  </si>
  <si>
    <t>icon_academy_skill_class01_132</t>
    <phoneticPr fontId="1" type="noConversion"/>
  </si>
  <si>
    <t>icon_academy_skill_class01_136</t>
    <phoneticPr fontId="1" type="noConversion"/>
  </si>
  <si>
    <t>icon_academy_skill_class01_137</t>
    <phoneticPr fontId="1" type="noConversion"/>
  </si>
  <si>
    <t>icon_academy_skill_class01_138</t>
    <phoneticPr fontId="1" type="noConversion"/>
  </si>
  <si>
    <t>icon_academy_skill_class01_139</t>
    <phoneticPr fontId="1" type="noConversion"/>
  </si>
  <si>
    <t>icon_academy_skill_class02_121</t>
    <phoneticPr fontId="1" type="noConversion"/>
  </si>
  <si>
    <t>icon_academy_skill_class02_107</t>
    <phoneticPr fontId="1" type="noConversion"/>
  </si>
  <si>
    <t>icon_academy_skill_class02_129</t>
    <phoneticPr fontId="1" type="noConversion"/>
  </si>
  <si>
    <t>icon_academy_skill_class02_109</t>
    <phoneticPr fontId="1" type="noConversion"/>
  </si>
  <si>
    <t>icon_academy_skill_class02_101</t>
    <phoneticPr fontId="1" type="noConversion"/>
  </si>
  <si>
    <t>icon_academy_skill_class03_120</t>
    <phoneticPr fontId="1" type="noConversion"/>
  </si>
  <si>
    <t>icon_academy_skill_class03_108</t>
    <phoneticPr fontId="1" type="noConversion"/>
  </si>
  <si>
    <t>icon_academy_skill_class03_104</t>
    <phoneticPr fontId="1" type="noConversion"/>
  </si>
  <si>
    <t>icon_academy_skill_class03_140</t>
    <phoneticPr fontId="1" type="noConversion"/>
  </si>
  <si>
    <t>icon_academy_skill_class03_128</t>
    <phoneticPr fontId="1" type="noConversion"/>
  </si>
  <si>
    <t>icon_academy_skill_class03_103</t>
    <phoneticPr fontId="1" type="noConversion"/>
  </si>
  <si>
    <t>icon_academy_skill_class03_103</t>
    <phoneticPr fontId="1" type="noConversion"/>
  </si>
  <si>
    <t>icon_academy_skill_class03_135</t>
    <phoneticPr fontId="1" type="noConversion"/>
  </si>
  <si>
    <t>icon_academy_skill_class03_135</t>
    <phoneticPr fontId="1" type="noConversion"/>
  </si>
  <si>
    <t>icon_academy_skill_class03_126</t>
    <phoneticPr fontId="1" type="noConversion"/>
  </si>
  <si>
    <t>icon_academy_skill_class03_116</t>
    <phoneticPr fontId="1" type="noConversion"/>
  </si>
  <si>
    <t>icon_academy_skill_class03_130</t>
    <phoneticPr fontId="1" type="noConversion"/>
  </si>
  <si>
    <t>icon_academy_skill_class03_130</t>
    <phoneticPr fontId="1" type="noConversion"/>
  </si>
  <si>
    <t>icon_academy_skill_class03_110</t>
    <phoneticPr fontId="1" type="noConversion"/>
  </si>
  <si>
    <t>icon_academy_skill_class03_113</t>
    <phoneticPr fontId="1" type="noConversion"/>
  </si>
  <si>
    <t>icon_academy_skill_class03_122</t>
    <phoneticPr fontId="1" type="noConversion"/>
  </si>
  <si>
    <t>icon_academy_skill_class03_133</t>
    <phoneticPr fontId="1" type="noConversion"/>
  </si>
  <si>
    <t>Effect/Prefab/07_etc/fomation/EFF_formation_skill07_hit</t>
    <phoneticPr fontId="1" type="noConversion"/>
  </si>
  <si>
    <t>Effect/Prefab/07_etc/fomation/EFF_formation_skill08_hit</t>
    <phoneticPr fontId="1" type="noConversion"/>
  </si>
  <si>
    <t>AddTimeAppliedBuff</t>
  </si>
  <si>
    <t>#Ex 설명</t>
  </si>
  <si>
    <t>Ex_Desc</t>
  </si>
  <si>
    <t>icon_academy_skill_class02_118</t>
    <phoneticPr fontId="1" type="noConversion"/>
  </si>
  <si>
    <t>117.Academy.01.effect.buff</t>
  </si>
  <si>
    <t>Single</t>
    <phoneticPr fontId="1" type="noConversion"/>
  </si>
  <si>
    <t>117.Academy.01.buff.buffeffect.skilleffect</t>
    <phoneticPr fontId="1" type="noConversion"/>
  </si>
  <si>
    <t>117.Academy.01.buff.buffeffect.skilleffect.effect</t>
    <phoneticPr fontId="1" type="noConversion"/>
  </si>
  <si>
    <t>103.Academy.01.buff.buffeffect.skilleffect.effect</t>
    <phoneticPr fontId="1" type="noConversion"/>
  </si>
  <si>
    <t>103.Academy.01.buff.buffeffect.skilleffect.effect</t>
    <phoneticPr fontId="1" type="noConversion"/>
  </si>
  <si>
    <t>103.Academy.01.buff.buffeffect.skilleffect.effect</t>
    <phoneticPr fontId="1" type="noConversion"/>
  </si>
  <si>
    <t>103.Academy.01.effect.buff</t>
    <phoneticPr fontId="1" type="noConversion"/>
  </si>
  <si>
    <t>UltimateChargingAlertUI</t>
    <phoneticPr fontId="1" type="noConversion"/>
  </si>
  <si>
    <t>icon_academy_skill_class02_134</t>
  </si>
  <si>
    <t>icon_academy_skill_class02_119</t>
    <phoneticPr fontId="1" type="noConversion"/>
  </si>
  <si>
    <t>icon_academy_skill_class02_118</t>
    <phoneticPr fontId="1" type="noConversion"/>
  </si>
  <si>
    <t>icon_academy_skill_class02_119</t>
    <phoneticPr fontId="1" type="noConversion"/>
  </si>
  <si>
    <t>Formation.slayer.active.01.addhit.01&amp;Formation.slayer.active.01.addhit.01&amp;Formation.slayer.active.01.addhit.01&amp;Formation.slayer.active.01.addhit.01&amp;Formation.slayer.active.01.addhit.01&amp;Formation.slayer.active.01.addhit.02</t>
    <phoneticPr fontId="1" type="noConversion"/>
  </si>
  <si>
    <t>Formation.slayer.active.01.addhit.02</t>
    <phoneticPr fontId="1" type="noConversion"/>
  </si>
  <si>
    <t>HighAtk</t>
    <phoneticPr fontId="1" type="noConversion"/>
  </si>
  <si>
    <t>Enemy</t>
    <phoneticPr fontId="1" type="noConversion"/>
  </si>
  <si>
    <t>HighEnergy</t>
    <phoneticPr fontId="1" type="noConversion"/>
  </si>
  <si>
    <t>Circle</t>
    <phoneticPr fontId="10" type="noConversion"/>
  </si>
  <si>
    <t>Circle</t>
    <phoneticPr fontId="1" type="noConversion"/>
  </si>
  <si>
    <t>HealSelfCalc</t>
  </si>
  <si>
    <t>icon_academy_skill_class03_142</t>
  </si>
  <si>
    <t>103.Academy.01.snopril.buff</t>
  </si>
  <si>
    <t>112.Academy.01.rachel.buff</t>
  </si>
  <si>
    <t>118.Academy.01.angelica.buff</t>
  </si>
  <si>
    <t>119.Academy.01.yuna.buff</t>
  </si>
  <si>
    <t>skill.name.Academy.125</t>
  </si>
  <si>
    <t>128.Academy.01.patricia.buff</t>
  </si>
  <si>
    <t>130.Academy.01.angelica.buff</t>
  </si>
  <si>
    <t>135.Academy.01.ino.buff</t>
  </si>
  <si>
    <t>101.Academy.01.Mimic</t>
  </si>
  <si>
    <t>103.Academy.01.Mimic</t>
  </si>
  <si>
    <t>103.Academy.01.snopril.Mimic</t>
  </si>
  <si>
    <t>105.Academy.01.Mimic</t>
  </si>
  <si>
    <t>104.Academy.01.Mimic</t>
  </si>
  <si>
    <t>106.Academy.01.Mimic</t>
  </si>
  <si>
    <t>108.Academy.01.Mimic</t>
  </si>
  <si>
    <t>109.Academy.01.Mimic</t>
  </si>
  <si>
    <t>107.Academy.01.Mimic</t>
  </si>
  <si>
    <t>110.Academy.01.Mimic</t>
  </si>
  <si>
    <t>111.Academy.01.Mimic</t>
  </si>
  <si>
    <t>112.Academy.01.Mimic</t>
  </si>
  <si>
    <t>112.Academy.01.rachel.Mimic</t>
  </si>
  <si>
    <t>113.Academy.01.Mimic</t>
  </si>
  <si>
    <t>114.Academy.01.Mimic</t>
  </si>
  <si>
    <t>115.Academy.01.Mimic</t>
  </si>
  <si>
    <t>116.Academy.01.Mimic</t>
  </si>
  <si>
    <t>117.Academy.01.Mimic</t>
  </si>
  <si>
    <t>118.Academy.01.Mimic</t>
  </si>
  <si>
    <t>118.Academy.01.angelica.Mimic</t>
  </si>
  <si>
    <t>119.Academy.01.Mimic</t>
  </si>
  <si>
    <t>119.Academy.01.yuna.Mimic</t>
  </si>
  <si>
    <t>120.Academy.01.Mimic</t>
  </si>
  <si>
    <t>121.Academy.01.Mimic</t>
  </si>
  <si>
    <t>122.Academy.01.Mimic</t>
  </si>
  <si>
    <t>123.Academy.01.Mimic</t>
  </si>
  <si>
    <t>125.Academy.01.Mimic</t>
  </si>
  <si>
    <t>126.Academy.01.Mimic</t>
  </si>
  <si>
    <t>127.Academy.01.Mimic</t>
  </si>
  <si>
    <t>128.Academy.01.Mimic</t>
  </si>
  <si>
    <t>128.Academy.01.patricia.Mimic</t>
  </si>
  <si>
    <t>129.Academy.01.Mimic</t>
  </si>
  <si>
    <t>130.Academy.01.Mimic</t>
  </si>
  <si>
    <t>130.Academy.01.angelica.Mimic</t>
  </si>
  <si>
    <t>131.Academy.01.Mimic</t>
  </si>
  <si>
    <t>132.Academy.01.Mimic</t>
  </si>
  <si>
    <t>133.Academy.01.Mimic</t>
  </si>
  <si>
    <t>134.Academy.01.Mimic</t>
  </si>
  <si>
    <t>135.Academy.01.Mimic</t>
  </si>
  <si>
    <t>135.Academy.01.ino.Mimic</t>
  </si>
  <si>
    <t>136.Academy.01.Mimic</t>
  </si>
  <si>
    <t>137.Academy.01.Mimic</t>
  </si>
  <si>
    <t>138.Academy.01.Mimic</t>
  </si>
  <si>
    <t>139.Academy.01.Mimic</t>
  </si>
  <si>
    <t>140.Academy.01.Mimic</t>
  </si>
  <si>
    <t>142.Academy.01.Mimic</t>
  </si>
  <si>
    <t>stage.tutorial.accuracy.100.buff</t>
    <phoneticPr fontId="1" type="noConversion"/>
  </si>
  <si>
    <t>stage.add.ep.tutorial.effect1
stage.add.ep.tutorial.effect2
stage.add.ep.tutorial.effect3
stage.add.ep.tutorial.effect4</t>
    <phoneticPr fontId="1" type="noConversion"/>
  </si>
  <si>
    <t>stage.add.ep.tutorial.effect3</t>
    <phoneticPr fontId="1" type="noConversion"/>
  </si>
  <si>
    <t>stage.add.ep.tutorial.effect4</t>
    <phoneticPr fontId="1" type="noConversion"/>
  </si>
  <si>
    <t>Ranger</t>
  </si>
  <si>
    <t>LowAtk</t>
  </si>
  <si>
    <t>stage.add.ep.serapulsar</t>
    <phoneticPr fontId="1" type="noConversion"/>
  </si>
  <si>
    <t>stage.add.ep.serapulsar.effect</t>
    <phoneticPr fontId="1" type="noConversion"/>
  </si>
  <si>
    <t>stage.add.ep.200.effect
stage.add.ep.serapulsar.effect</t>
    <phoneticPr fontId="1" type="noConversion"/>
  </si>
  <si>
    <t>Buff</t>
    <phoneticPr fontId="1" type="noConversion"/>
  </si>
  <si>
    <t>serapulsar.passive.buff.01</t>
  </si>
  <si>
    <t>Self</t>
    <phoneticPr fontId="1" type="noConversion"/>
  </si>
  <si>
    <t>Single</t>
    <phoneticPr fontId="1" type="noConversion"/>
  </si>
  <si>
    <t>LowHpRatio</t>
    <phoneticPr fontId="1" type="noConversion"/>
  </si>
  <si>
    <t>stage.add.ep.airen.effect</t>
    <phoneticPr fontId="1" type="noConversion"/>
  </si>
  <si>
    <t>airen.passive.buff.01</t>
  </si>
  <si>
    <t>stage.add.ep.500.effect
stage.add.ep.airen.effect</t>
    <phoneticPr fontId="1" type="noConversion"/>
  </si>
  <si>
    <t>stage.add.ep.300.effect
stage.add.ep.airen.effect</t>
    <phoneticPr fontId="1" type="noConversion"/>
  </si>
  <si>
    <t>stage.add.ep.200.effect
stage.add.ep.airen.effect</t>
    <phoneticPr fontId="1" type="noConversion"/>
  </si>
  <si>
    <t>LowEnergy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</si>
</sst>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3" borderId="0">
      <alignment vertical="center"/>
    </xf>
    <xf numFmtId="0" fontId="4" fillId="4" borderId="0">
      <alignment vertical="center"/>
    </xf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4" fillId="8" borderId="0">
      <alignment vertical="center"/>
    </xf>
    <xf numFmtId="0" fontId="3" fillId="0" borderId="1">
      <alignment horizontal="center"/>
    </xf>
    <xf numFmtId="0" fontId="3" fillId="0" borderId="1">
      <alignment horizontal="center" vertical="center"/>
    </xf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1" applyBorder="1" applyAlignment="1">
      <alignment horizontal="center" vertical="center" wrapText="1"/>
    </xf>
    <xf numFmtId="0" fontId="4" fillId="4" borderId="1" xfId="2" applyBorder="1" applyAlignment="1">
      <alignment horizontal="center" vertical="center" wrapText="1"/>
    </xf>
    <xf numFmtId="0" fontId="4" fillId="5" borderId="1" xfId="3" applyBorder="1" applyAlignment="1">
      <alignment horizontal="center" vertical="center" wrapText="1"/>
    </xf>
    <xf numFmtId="0" fontId="4" fillId="6" borderId="1" xfId="4" applyBorder="1" applyAlignment="1">
      <alignment horizontal="center" vertical="center" wrapText="1"/>
    </xf>
    <xf numFmtId="0" fontId="4" fillId="7" borderId="1" xfId="5" applyBorder="1" applyAlignment="1">
      <alignment horizontal="center" vertical="center" wrapText="1"/>
    </xf>
    <xf numFmtId="0" fontId="4" fillId="8" borderId="1" xfId="6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10" borderId="1" xfId="8" applyFill="1">
      <alignment horizontal="center" vertical="center"/>
    </xf>
    <xf numFmtId="0" fontId="0" fillId="11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8" borderId="2" xfId="6" applyBorder="1" applyAlignment="1">
      <alignment horizontal="center" vertical="center" wrapText="1"/>
    </xf>
    <xf numFmtId="0" fontId="4" fillId="17" borderId="1" xfId="3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19" borderId="1" xfId="0" applyFill="1" applyBorder="1"/>
    <xf numFmtId="0" fontId="4" fillId="20" borderId="1" xfId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/>
    <xf numFmtId="0" fontId="0" fillId="16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1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0" fillId="9" borderId="1" xfId="0" applyFill="1" applyBorder="1"/>
    <xf numFmtId="0" fontId="7" fillId="6" borderId="1" xfId="4" applyFont="1" applyBorder="1" applyAlignment="1">
      <alignment horizontal="center" vertical="center" wrapText="1"/>
    </xf>
    <xf numFmtId="0" fontId="7" fillId="4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0" fillId="10" borderId="1" xfId="0" applyFill="1" applyBorder="1"/>
    <xf numFmtId="0" fontId="6" fillId="21" borderId="1" xfId="0" applyFont="1" applyFill="1" applyBorder="1" applyAlignment="1">
      <alignment horizontal="left"/>
    </xf>
    <xf numFmtId="0" fontId="6" fillId="21" borderId="1" xfId="0" applyFont="1" applyFill="1" applyBorder="1"/>
    <xf numFmtId="0" fontId="8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/>
    <xf numFmtId="0" fontId="4" fillId="23" borderId="1" xfId="2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0" fillId="13" borderId="1" xfId="8" applyFont="1" applyFill="1" applyAlignment="1">
      <alignment horizontal="center"/>
    </xf>
    <xf numFmtId="0" fontId="0" fillId="21" borderId="0" xfId="0" applyFill="1"/>
    <xf numFmtId="0" fontId="8" fillId="16" borderId="1" xfId="0" applyFont="1" applyFill="1" applyBorder="1" applyAlignment="1">
      <alignment wrapText="1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6" fillId="16" borderId="1" xfId="0" applyFont="1" applyFill="1" applyBorder="1" applyAlignment="1">
      <alignment wrapText="1"/>
    </xf>
  </cellXfs>
  <cellStyles count="9">
    <cellStyle name="강조색1" xfId="1" builtinId="29"/>
    <cellStyle name="강조색2" xfId="2" builtinId="33"/>
    <cellStyle name="강조색3" xfId="3" builtinId="37"/>
    <cellStyle name="강조색4" xfId="4" builtinId="41"/>
    <cellStyle name="강조색5" xfId="5" builtinId="45"/>
    <cellStyle name="강조색6" xfId="6" builtinId="49"/>
    <cellStyle name="기본" xfId="8"/>
    <cellStyle name="테이블 기본" xfId="7"/>
    <cellStyle name="표준" xfId="0" builtinId="0"/>
  </cellStyles>
  <dxfs count="6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14987640003662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U119"/>
  <sheetViews>
    <sheetView zoomScale="85" zoomScaleNormal="85" workbookViewId="0">
      <pane xSplit="2" ySplit="4" topLeftCell="X5" activePane="bottomRight" state="frozen"/>
      <selection pane="topRight" activeCell="C1" sqref="C1"/>
      <selection pane="bottomLeft" activeCell="A5" sqref="A5"/>
      <selection pane="bottomRight" activeCell="AG1" sqref="AG1"/>
    </sheetView>
  </sheetViews>
  <sheetFormatPr defaultRowHeight="16.5" x14ac:dyDescent="0.3"/>
  <cols>
    <col min="1" max="1" width="48.125" bestFit="1" customWidth="1"/>
    <col min="2" max="2" width="17.375" bestFit="1" customWidth="1"/>
    <col min="3" max="3" width="17.875" bestFit="1" customWidth="1"/>
    <col min="4" max="4" width="15.375" bestFit="1" customWidth="1"/>
    <col min="5" max="5" width="11.5" bestFit="1" customWidth="1"/>
    <col min="6" max="8" width="9.625" bestFit="1" customWidth="1"/>
    <col min="9" max="9" width="9.875" bestFit="1" customWidth="1"/>
    <col min="10" max="10" width="11.5" bestFit="1" customWidth="1"/>
    <col min="11" max="11" width="9.625" bestFit="1" customWidth="1"/>
    <col min="12" max="13" width="14.625" bestFit="1" customWidth="1"/>
    <col min="14" max="14" width="10.25" bestFit="1" customWidth="1"/>
    <col min="15" max="15" width="11.5" bestFit="1" customWidth="1"/>
    <col min="16" max="16" width="14.25" bestFit="1" customWidth="1"/>
    <col min="17" max="17" width="14.25" customWidth="1"/>
    <col min="18" max="18" width="10.75" customWidth="1"/>
    <col min="19" max="19" width="14.25" bestFit="1" customWidth="1"/>
    <col min="20" max="20" width="12.625" bestFit="1" customWidth="1"/>
    <col min="21" max="21" width="12.875" bestFit="1" customWidth="1"/>
    <col min="22" max="22" width="13.75" bestFit="1" customWidth="1"/>
    <col min="23" max="23" width="13.125" bestFit="1" customWidth="1"/>
    <col min="24" max="24" width="12.875" bestFit="1" customWidth="1"/>
    <col min="25" max="25" width="9.625" bestFit="1" customWidth="1"/>
    <col min="26" max="26" width="9.75" bestFit="1" customWidth="1"/>
    <col min="27" max="27" width="14.25" bestFit="1" customWidth="1"/>
    <col min="28" max="28" width="14.25" customWidth="1"/>
    <col min="29" max="29" width="54.5" style="15" bestFit="1" customWidth="1"/>
    <col min="30" max="30" width="25" bestFit="1" customWidth="1"/>
    <col min="31" max="31" width="16.75" bestFit="1" customWidth="1"/>
    <col min="32" max="32" width="16.75" customWidth="1"/>
    <col min="33" max="33" width="27.75" bestFit="1" customWidth="1"/>
    <col min="34" max="34" width="29.875" bestFit="1" customWidth="1"/>
    <col min="35" max="36" width="22" customWidth="1"/>
    <col min="37" max="37" width="29" bestFit="1" customWidth="1"/>
    <col min="38" max="38" width="15.625" bestFit="1" customWidth="1"/>
    <col min="39" max="39" width="15.875" bestFit="1" customWidth="1"/>
    <col min="40" max="40" width="15.875" customWidth="1"/>
    <col min="41" max="46" width="13.75" customWidth="1"/>
    <col min="47" max="47" width="22.125" bestFit="1" customWidth="1"/>
  </cols>
  <sheetData>
    <row r="1" spans="1:47" ht="33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590</v>
      </c>
      <c r="AK1" s="4" t="s">
        <v>35</v>
      </c>
      <c r="AL1" s="4" t="s">
        <v>546</v>
      </c>
      <c r="AM1" s="4" t="s">
        <v>36</v>
      </c>
      <c r="AN1" s="4" t="s">
        <v>37</v>
      </c>
      <c r="AO1" s="4" t="s">
        <v>38</v>
      </c>
      <c r="AP1" s="4" t="s">
        <v>39</v>
      </c>
      <c r="AQ1" s="25" t="s">
        <v>40</v>
      </c>
      <c r="AR1" s="25" t="s">
        <v>41</v>
      </c>
      <c r="AS1" s="25" t="s">
        <v>42</v>
      </c>
      <c r="AT1" s="25" t="s">
        <v>40</v>
      </c>
      <c r="AU1" s="4" t="s">
        <v>43</v>
      </c>
    </row>
    <row r="2" spans="1:47" ht="33" customHeight="1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471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3" t="s">
        <v>54</v>
      </c>
      <c r="M2" s="3" t="s">
        <v>55</v>
      </c>
      <c r="N2" s="6" t="s">
        <v>56</v>
      </c>
      <c r="O2" s="6" t="s">
        <v>57</v>
      </c>
      <c r="P2" s="6" t="s">
        <v>58</v>
      </c>
      <c r="Q2" s="7" t="s">
        <v>59</v>
      </c>
      <c r="R2" s="7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3" t="s">
        <v>65</v>
      </c>
      <c r="X2" s="3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5" t="s">
        <v>71</v>
      </c>
      <c r="AD2" s="5" t="s">
        <v>72</v>
      </c>
      <c r="AE2" s="6" t="s">
        <v>73</v>
      </c>
      <c r="AF2" s="4" t="s">
        <v>74</v>
      </c>
      <c r="AG2" s="4" t="s">
        <v>75</v>
      </c>
      <c r="AH2" s="4" t="s">
        <v>76</v>
      </c>
      <c r="AI2" s="4" t="s">
        <v>77</v>
      </c>
      <c r="AJ2" s="4" t="s">
        <v>591</v>
      </c>
      <c r="AK2" s="4" t="s">
        <v>78</v>
      </c>
      <c r="AL2" s="4" t="s">
        <v>547</v>
      </c>
      <c r="AM2" s="4" t="s">
        <v>79</v>
      </c>
      <c r="AN2" s="4" t="s">
        <v>80</v>
      </c>
      <c r="AO2" s="4" t="s">
        <v>81</v>
      </c>
      <c r="AP2" s="4" t="s">
        <v>82</v>
      </c>
      <c r="AQ2" s="25" t="s">
        <v>83</v>
      </c>
      <c r="AR2" s="25" t="s">
        <v>84</v>
      </c>
      <c r="AS2" s="25" t="s">
        <v>85</v>
      </c>
      <c r="AT2" s="25" t="s">
        <v>601</v>
      </c>
      <c r="AU2" s="4" t="s">
        <v>86</v>
      </c>
    </row>
    <row r="3" spans="1:47" ht="33" customHeight="1" x14ac:dyDescent="0.3">
      <c r="A3" s="1" t="s">
        <v>87</v>
      </c>
      <c r="B3" s="1" t="s">
        <v>88</v>
      </c>
      <c r="C3" s="3" t="s">
        <v>89</v>
      </c>
      <c r="D3" s="3" t="s">
        <v>88</v>
      </c>
      <c r="E3" s="5" t="s">
        <v>90</v>
      </c>
      <c r="F3" s="5" t="s">
        <v>91</v>
      </c>
      <c r="G3" s="5" t="s">
        <v>90</v>
      </c>
      <c r="H3" s="5" t="s">
        <v>91</v>
      </c>
      <c r="I3" s="5" t="s">
        <v>91</v>
      </c>
      <c r="J3" s="5" t="s">
        <v>91</v>
      </c>
      <c r="K3" s="5" t="s">
        <v>91</v>
      </c>
      <c r="L3" s="3" t="s">
        <v>92</v>
      </c>
      <c r="M3" s="3" t="s">
        <v>92</v>
      </c>
      <c r="N3" s="6" t="s">
        <v>56</v>
      </c>
      <c r="O3" s="6" t="s">
        <v>57</v>
      </c>
      <c r="P3" s="6" t="s">
        <v>91</v>
      </c>
      <c r="Q3" s="7" t="s">
        <v>91</v>
      </c>
      <c r="R3" s="7" t="s">
        <v>91</v>
      </c>
      <c r="S3" s="2" t="s">
        <v>61</v>
      </c>
      <c r="T3" s="2" t="s">
        <v>62</v>
      </c>
      <c r="U3" s="2" t="s">
        <v>93</v>
      </c>
      <c r="V3" s="2" t="s">
        <v>93</v>
      </c>
      <c r="W3" s="3" t="s">
        <v>89</v>
      </c>
      <c r="X3" s="3" t="s">
        <v>88</v>
      </c>
      <c r="Y3" s="2" t="s">
        <v>90</v>
      </c>
      <c r="Z3" s="2" t="s">
        <v>91</v>
      </c>
      <c r="AA3" s="2" t="s">
        <v>90</v>
      </c>
      <c r="AB3" s="2" t="s">
        <v>94</v>
      </c>
      <c r="AC3" s="5" t="s">
        <v>95</v>
      </c>
      <c r="AD3" s="5" t="s">
        <v>92</v>
      </c>
      <c r="AE3" s="6" t="s">
        <v>88</v>
      </c>
      <c r="AF3" s="4" t="s">
        <v>96</v>
      </c>
      <c r="AG3" s="4" t="s">
        <v>88</v>
      </c>
      <c r="AH3" s="4" t="s">
        <v>88</v>
      </c>
      <c r="AI3" s="4" t="s">
        <v>88</v>
      </c>
      <c r="AJ3" s="4" t="s">
        <v>88</v>
      </c>
      <c r="AK3" s="4" t="s">
        <v>88</v>
      </c>
      <c r="AL3" s="4" t="s">
        <v>88</v>
      </c>
      <c r="AM3" s="4" t="s">
        <v>90</v>
      </c>
      <c r="AN3" s="4" t="s">
        <v>97</v>
      </c>
      <c r="AO3" s="4" t="s">
        <v>98</v>
      </c>
      <c r="AP3" s="4" t="s">
        <v>99</v>
      </c>
      <c r="AQ3" s="25" t="s">
        <v>88</v>
      </c>
      <c r="AR3" s="25" t="s">
        <v>88</v>
      </c>
      <c r="AS3" s="25" t="s">
        <v>88</v>
      </c>
      <c r="AT3" s="25" t="s">
        <v>88</v>
      </c>
      <c r="AU3" s="4" t="s">
        <v>90</v>
      </c>
    </row>
    <row r="4" spans="1:47" x14ac:dyDescent="0.3">
      <c r="A4" s="1" t="s">
        <v>100</v>
      </c>
      <c r="B4" s="1" t="s">
        <v>100</v>
      </c>
      <c r="C4" s="3" t="s">
        <v>100</v>
      </c>
      <c r="D4" s="3" t="s">
        <v>100</v>
      </c>
      <c r="E4" s="5" t="s">
        <v>100</v>
      </c>
      <c r="F4" s="5" t="s">
        <v>100</v>
      </c>
      <c r="G4" s="5" t="s">
        <v>100</v>
      </c>
      <c r="H4" s="5" t="s">
        <v>100</v>
      </c>
      <c r="I4" s="5" t="s">
        <v>100</v>
      </c>
      <c r="J4" s="5" t="s">
        <v>100</v>
      </c>
      <c r="K4" s="5" t="s">
        <v>100</v>
      </c>
      <c r="L4" s="3" t="s">
        <v>100</v>
      </c>
      <c r="M4" s="3" t="s">
        <v>100</v>
      </c>
      <c r="N4" s="6" t="s">
        <v>100</v>
      </c>
      <c r="O4" s="6" t="s">
        <v>100</v>
      </c>
      <c r="P4" s="6" t="s">
        <v>100</v>
      </c>
      <c r="Q4" s="24" t="s">
        <v>100</v>
      </c>
      <c r="R4" s="7" t="s">
        <v>100</v>
      </c>
      <c r="S4" s="2" t="s">
        <v>100</v>
      </c>
      <c r="T4" s="2" t="s">
        <v>100</v>
      </c>
      <c r="U4" s="2" t="s">
        <v>100</v>
      </c>
      <c r="V4" s="2" t="s">
        <v>100</v>
      </c>
      <c r="W4" s="3" t="s">
        <v>100</v>
      </c>
      <c r="X4" s="3" t="s">
        <v>100</v>
      </c>
      <c r="Y4" s="2" t="s">
        <v>100</v>
      </c>
      <c r="Z4" s="2" t="s">
        <v>100</v>
      </c>
      <c r="AA4" s="2" t="s">
        <v>100</v>
      </c>
      <c r="AB4" s="2" t="s">
        <v>100</v>
      </c>
      <c r="AC4" s="5" t="s">
        <v>100</v>
      </c>
      <c r="AD4" s="5" t="s">
        <v>100</v>
      </c>
      <c r="AE4" s="6" t="s">
        <v>100</v>
      </c>
      <c r="AF4" s="4" t="s">
        <v>100</v>
      </c>
      <c r="AG4" s="4" t="s">
        <v>100</v>
      </c>
      <c r="AH4" s="4" t="s">
        <v>100</v>
      </c>
      <c r="AI4" s="4" t="s">
        <v>100</v>
      </c>
      <c r="AJ4" s="4" t="s">
        <v>100</v>
      </c>
      <c r="AK4" s="4" t="s">
        <v>101</v>
      </c>
      <c r="AL4" s="4" t="s">
        <v>101</v>
      </c>
      <c r="AM4" s="4" t="s">
        <v>101</v>
      </c>
      <c r="AN4" s="4" t="s">
        <v>100</v>
      </c>
      <c r="AO4" s="4" t="s">
        <v>100</v>
      </c>
      <c r="AP4" s="4" t="s">
        <v>100</v>
      </c>
      <c r="AQ4" s="25" t="s">
        <v>101</v>
      </c>
      <c r="AR4" s="25" t="s">
        <v>101</v>
      </c>
      <c r="AS4" s="25" t="s">
        <v>101</v>
      </c>
      <c r="AT4" s="25" t="s">
        <v>101</v>
      </c>
      <c r="AU4" s="4" t="s">
        <v>101</v>
      </c>
    </row>
    <row r="5" spans="1:47" x14ac:dyDescent="0.3">
      <c r="A5" s="21" t="s">
        <v>225</v>
      </c>
      <c r="B5" s="21"/>
      <c r="C5" s="21"/>
      <c r="D5" s="21"/>
      <c r="E5" s="13" t="b">
        <v>0</v>
      </c>
      <c r="F5" s="21">
        <v>0</v>
      </c>
      <c r="G5" s="21" t="b">
        <v>0</v>
      </c>
      <c r="H5" s="21">
        <v>0</v>
      </c>
      <c r="I5" s="21">
        <v>0</v>
      </c>
      <c r="J5" s="21">
        <v>0</v>
      </c>
      <c r="K5" s="21">
        <v>0</v>
      </c>
      <c r="L5" s="21"/>
      <c r="M5" s="21"/>
      <c r="N5" s="21" t="s">
        <v>102</v>
      </c>
      <c r="O5" s="21" t="s">
        <v>102</v>
      </c>
      <c r="P5" s="21">
        <v>0</v>
      </c>
      <c r="Q5" s="13">
        <v>-1</v>
      </c>
      <c r="R5" s="13">
        <v>-1</v>
      </c>
      <c r="S5" s="13" t="s">
        <v>103</v>
      </c>
      <c r="T5" s="13" t="s">
        <v>104</v>
      </c>
      <c r="U5" s="21"/>
      <c r="V5" s="21"/>
      <c r="W5" s="21"/>
      <c r="X5" s="21"/>
      <c r="Y5" s="21" t="b">
        <v>0</v>
      </c>
      <c r="Z5" s="21">
        <v>0</v>
      </c>
      <c r="AA5" s="21" t="b">
        <v>0</v>
      </c>
      <c r="AB5" s="13"/>
      <c r="AC5" s="21"/>
      <c r="AD5" s="21" t="s">
        <v>226</v>
      </c>
      <c r="AE5" s="21"/>
      <c r="AF5" s="21"/>
      <c r="AG5" s="41" t="s">
        <v>227</v>
      </c>
      <c r="AH5" s="41" t="s">
        <v>228</v>
      </c>
      <c r="AI5" s="21"/>
      <c r="AJ5" s="21"/>
      <c r="AK5" s="21" t="s">
        <v>229</v>
      </c>
      <c r="AL5" s="21"/>
      <c r="AM5" s="8" t="b">
        <v>0</v>
      </c>
      <c r="AN5" s="17" t="s">
        <v>105</v>
      </c>
      <c r="AO5" s="21" t="s">
        <v>106</v>
      </c>
      <c r="AP5" s="21"/>
      <c r="AQ5" s="21"/>
      <c r="AR5" s="13"/>
      <c r="AS5" s="26"/>
      <c r="AT5" s="21"/>
      <c r="AU5" s="21" t="b">
        <v>0</v>
      </c>
    </row>
    <row r="6" spans="1:47" x14ac:dyDescent="0.3">
      <c r="A6" s="21" t="s">
        <v>230</v>
      </c>
      <c r="B6" s="21"/>
      <c r="C6" s="21"/>
      <c r="D6" s="21"/>
      <c r="E6" s="13" t="b">
        <v>0</v>
      </c>
      <c r="F6" s="21">
        <v>0</v>
      </c>
      <c r="G6" s="21" t="b">
        <v>0</v>
      </c>
      <c r="H6" s="21">
        <v>0</v>
      </c>
      <c r="I6" s="21">
        <v>0</v>
      </c>
      <c r="J6" s="21">
        <v>0</v>
      </c>
      <c r="K6" s="21">
        <v>0</v>
      </c>
      <c r="L6" s="21"/>
      <c r="M6" s="21"/>
      <c r="N6" s="21" t="s">
        <v>102</v>
      </c>
      <c r="O6" s="21" t="s">
        <v>102</v>
      </c>
      <c r="P6" s="21">
        <v>0</v>
      </c>
      <c r="Q6" s="13">
        <v>-1</v>
      </c>
      <c r="R6" s="13">
        <v>-1</v>
      </c>
      <c r="S6" s="13" t="s">
        <v>103</v>
      </c>
      <c r="T6" s="13" t="s">
        <v>104</v>
      </c>
      <c r="U6" s="21"/>
      <c r="V6" s="21"/>
      <c r="W6" s="21"/>
      <c r="X6" s="21"/>
      <c r="Y6" s="21" t="b">
        <v>0</v>
      </c>
      <c r="Z6" s="21">
        <v>0</v>
      </c>
      <c r="AA6" s="21" t="b">
        <v>0</v>
      </c>
      <c r="AB6" s="21"/>
      <c r="AC6" s="21"/>
      <c r="AD6" s="21" t="s">
        <v>231</v>
      </c>
      <c r="AE6" s="21"/>
      <c r="AF6" s="21"/>
      <c r="AG6" s="41" t="s">
        <v>227</v>
      </c>
      <c r="AH6" s="41" t="s">
        <v>232</v>
      </c>
      <c r="AI6" s="21"/>
      <c r="AJ6" s="21"/>
      <c r="AK6" s="21" t="s">
        <v>229</v>
      </c>
      <c r="AL6" s="21"/>
      <c r="AM6" s="8" t="b">
        <v>0</v>
      </c>
      <c r="AN6" s="17" t="s">
        <v>105</v>
      </c>
      <c r="AO6" s="21" t="s">
        <v>106</v>
      </c>
      <c r="AP6" s="21"/>
      <c r="AQ6" s="21"/>
      <c r="AR6" s="13"/>
      <c r="AS6" s="21"/>
      <c r="AT6" s="21"/>
      <c r="AU6" s="21" t="b">
        <v>0</v>
      </c>
    </row>
    <row r="7" spans="1:47" x14ac:dyDescent="0.3">
      <c r="A7" s="21" t="s">
        <v>233</v>
      </c>
      <c r="B7" s="21"/>
      <c r="C7" s="21"/>
      <c r="D7" s="21"/>
      <c r="E7" s="13" t="b">
        <v>0</v>
      </c>
      <c r="F7" s="21">
        <v>0</v>
      </c>
      <c r="G7" s="21" t="b">
        <v>0</v>
      </c>
      <c r="H7" s="21">
        <v>0</v>
      </c>
      <c r="I7" s="21">
        <v>0</v>
      </c>
      <c r="J7" s="21">
        <v>0</v>
      </c>
      <c r="K7" s="21">
        <v>0</v>
      </c>
      <c r="L7" s="21"/>
      <c r="M7" s="21"/>
      <c r="N7" s="21" t="s">
        <v>102</v>
      </c>
      <c r="O7" s="21" t="s">
        <v>102</v>
      </c>
      <c r="P7" s="21">
        <v>0</v>
      </c>
      <c r="Q7" s="13">
        <v>-1</v>
      </c>
      <c r="R7" s="13">
        <v>-1</v>
      </c>
      <c r="S7" s="13" t="s">
        <v>103</v>
      </c>
      <c r="T7" s="13" t="s">
        <v>104</v>
      </c>
      <c r="U7" s="21"/>
      <c r="V7" s="21"/>
      <c r="W7" s="21"/>
      <c r="X7" s="21"/>
      <c r="Y7" s="21" t="b">
        <v>0</v>
      </c>
      <c r="Z7" s="21">
        <v>0</v>
      </c>
      <c r="AA7" s="21" t="b">
        <v>0</v>
      </c>
      <c r="AB7" s="21"/>
      <c r="AC7" s="21"/>
      <c r="AD7" s="21" t="s">
        <v>234</v>
      </c>
      <c r="AE7" s="21"/>
      <c r="AF7" s="21"/>
      <c r="AG7" s="41" t="s">
        <v>227</v>
      </c>
      <c r="AH7" s="41" t="s">
        <v>235</v>
      </c>
      <c r="AI7" s="21"/>
      <c r="AJ7" s="21"/>
      <c r="AK7" s="21" t="s">
        <v>229</v>
      </c>
      <c r="AL7" s="21"/>
      <c r="AM7" s="8" t="b">
        <v>0</v>
      </c>
      <c r="AN7" s="17" t="s">
        <v>105</v>
      </c>
      <c r="AO7" s="21" t="s">
        <v>106</v>
      </c>
      <c r="AP7" s="21"/>
      <c r="AQ7" s="21"/>
      <c r="AR7" s="13"/>
      <c r="AS7" s="21"/>
      <c r="AT7" s="21"/>
      <c r="AU7" s="21" t="b">
        <v>0</v>
      </c>
    </row>
    <row r="8" spans="1:47" x14ac:dyDescent="0.3">
      <c r="A8" s="21" t="s">
        <v>236</v>
      </c>
      <c r="B8" s="21"/>
      <c r="C8" s="21"/>
      <c r="D8" s="21"/>
      <c r="E8" s="13" t="b">
        <v>0</v>
      </c>
      <c r="F8" s="21">
        <v>0</v>
      </c>
      <c r="G8" s="21" t="b">
        <v>0</v>
      </c>
      <c r="H8" s="21">
        <v>0</v>
      </c>
      <c r="I8" s="21">
        <v>0</v>
      </c>
      <c r="J8" s="21">
        <v>0</v>
      </c>
      <c r="K8" s="21">
        <v>0</v>
      </c>
      <c r="L8" s="21"/>
      <c r="M8" s="21"/>
      <c r="N8" s="21" t="s">
        <v>102</v>
      </c>
      <c r="O8" s="21" t="s">
        <v>102</v>
      </c>
      <c r="P8" s="21">
        <v>0</v>
      </c>
      <c r="Q8" s="13">
        <v>-1</v>
      </c>
      <c r="R8" s="13">
        <v>-1</v>
      </c>
      <c r="S8" s="13" t="s">
        <v>103</v>
      </c>
      <c r="T8" s="13" t="s">
        <v>104</v>
      </c>
      <c r="U8" s="21"/>
      <c r="V8" s="21"/>
      <c r="W8" s="21"/>
      <c r="X8" s="21"/>
      <c r="Y8" s="21" t="b">
        <v>0</v>
      </c>
      <c r="Z8" s="21">
        <v>0</v>
      </c>
      <c r="AA8" s="21" t="b">
        <v>0</v>
      </c>
      <c r="AB8" s="21"/>
      <c r="AC8" s="21"/>
      <c r="AD8" s="21" t="s">
        <v>237</v>
      </c>
      <c r="AE8" s="21"/>
      <c r="AF8" s="21"/>
      <c r="AG8" s="41" t="s">
        <v>227</v>
      </c>
      <c r="AH8" s="41" t="s">
        <v>238</v>
      </c>
      <c r="AI8" s="21"/>
      <c r="AJ8" s="21"/>
      <c r="AK8" s="21" t="s">
        <v>229</v>
      </c>
      <c r="AL8" s="21"/>
      <c r="AM8" s="8" t="b">
        <v>0</v>
      </c>
      <c r="AN8" s="17" t="s">
        <v>105</v>
      </c>
      <c r="AO8" s="21" t="s">
        <v>106</v>
      </c>
      <c r="AP8" s="21"/>
      <c r="AQ8" s="21"/>
      <c r="AR8" s="13"/>
      <c r="AS8" s="21"/>
      <c r="AT8" s="21"/>
      <c r="AU8" s="21" t="b">
        <v>0</v>
      </c>
    </row>
    <row r="9" spans="1:47" s="62" customFormat="1" x14ac:dyDescent="0.3">
      <c r="A9" s="29" t="s">
        <v>243</v>
      </c>
      <c r="B9" s="29"/>
      <c r="C9" s="29"/>
      <c r="D9" s="29"/>
      <c r="E9" s="30" t="b">
        <v>0</v>
      </c>
      <c r="F9" s="29">
        <v>0</v>
      </c>
      <c r="G9" s="29" t="b">
        <v>0</v>
      </c>
      <c r="H9" s="29">
        <v>0</v>
      </c>
      <c r="I9" s="29">
        <v>0</v>
      </c>
      <c r="J9" s="29">
        <v>0</v>
      </c>
      <c r="K9" s="29">
        <v>0</v>
      </c>
      <c r="L9" s="29"/>
      <c r="M9" s="29"/>
      <c r="N9" s="29" t="s">
        <v>102</v>
      </c>
      <c r="O9" s="29" t="s">
        <v>102</v>
      </c>
      <c r="P9" s="29">
        <v>0</v>
      </c>
      <c r="Q9" s="30">
        <v>-1</v>
      </c>
      <c r="R9" s="30">
        <v>-1</v>
      </c>
      <c r="S9" s="30" t="s">
        <v>103</v>
      </c>
      <c r="T9" s="30" t="s">
        <v>104</v>
      </c>
      <c r="U9" s="29"/>
      <c r="V9" s="29"/>
      <c r="W9" s="29"/>
      <c r="X9" s="29"/>
      <c r="Y9" s="29" t="b">
        <v>0</v>
      </c>
      <c r="Z9" s="29">
        <v>0</v>
      </c>
      <c r="AA9" s="29" t="b">
        <v>0</v>
      </c>
      <c r="AB9" s="29"/>
      <c r="AC9" s="29"/>
      <c r="AD9" s="29" t="s">
        <v>244</v>
      </c>
      <c r="AE9" s="29"/>
      <c r="AF9" s="29"/>
      <c r="AG9" s="42" t="s">
        <v>245</v>
      </c>
      <c r="AH9" s="42" t="s">
        <v>246</v>
      </c>
      <c r="AI9" s="29"/>
      <c r="AJ9" s="29"/>
      <c r="AK9" s="29" t="s">
        <v>569</v>
      </c>
      <c r="AL9" s="29"/>
      <c r="AM9" s="30" t="b">
        <v>0</v>
      </c>
      <c r="AN9" s="29" t="s">
        <v>105</v>
      </c>
      <c r="AO9" s="29" t="s">
        <v>106</v>
      </c>
      <c r="AP9" s="29"/>
      <c r="AQ9" s="29"/>
      <c r="AR9" s="30"/>
      <c r="AS9" s="29"/>
      <c r="AT9" s="29"/>
      <c r="AU9" s="29" t="b">
        <v>0</v>
      </c>
    </row>
    <row r="10" spans="1:47" x14ac:dyDescent="0.3">
      <c r="A10" s="29" t="s">
        <v>248</v>
      </c>
      <c r="B10" s="29"/>
      <c r="C10" s="29"/>
      <c r="D10" s="29"/>
      <c r="E10" s="30" t="b">
        <v>0</v>
      </c>
      <c r="F10" s="29">
        <v>0</v>
      </c>
      <c r="G10" s="29" t="b">
        <v>0</v>
      </c>
      <c r="H10" s="29">
        <v>0</v>
      </c>
      <c r="I10" s="29">
        <v>0</v>
      </c>
      <c r="J10" s="29">
        <v>0</v>
      </c>
      <c r="K10" s="29">
        <v>0</v>
      </c>
      <c r="L10" s="29"/>
      <c r="M10" s="29"/>
      <c r="N10" s="29" t="s">
        <v>102</v>
      </c>
      <c r="O10" s="29" t="s">
        <v>102</v>
      </c>
      <c r="P10" s="29">
        <v>0</v>
      </c>
      <c r="Q10" s="30">
        <v>-1</v>
      </c>
      <c r="R10" s="30">
        <v>-1</v>
      </c>
      <c r="S10" s="30" t="s">
        <v>103</v>
      </c>
      <c r="T10" s="30" t="s">
        <v>104</v>
      </c>
      <c r="U10" s="29"/>
      <c r="V10" s="29"/>
      <c r="W10" s="29"/>
      <c r="X10" s="29"/>
      <c r="Y10" s="29" t="b">
        <v>0</v>
      </c>
      <c r="Z10" s="29">
        <v>0</v>
      </c>
      <c r="AA10" s="29" t="b">
        <v>0</v>
      </c>
      <c r="AB10" s="29"/>
      <c r="AC10" s="29"/>
      <c r="AD10" s="29" t="s">
        <v>249</v>
      </c>
      <c r="AE10" s="29"/>
      <c r="AF10" s="29"/>
      <c r="AG10" s="42" t="s">
        <v>250</v>
      </c>
      <c r="AH10" s="42" t="s">
        <v>251</v>
      </c>
      <c r="AI10" s="29"/>
      <c r="AJ10" s="29"/>
      <c r="AK10" s="29" t="s">
        <v>575</v>
      </c>
      <c r="AL10" s="29"/>
      <c r="AM10" s="30" t="b">
        <v>0</v>
      </c>
      <c r="AN10" s="29" t="s">
        <v>105</v>
      </c>
      <c r="AO10" s="29" t="s">
        <v>106</v>
      </c>
      <c r="AP10" s="29"/>
      <c r="AQ10" s="29"/>
      <c r="AR10" s="30"/>
      <c r="AS10" s="29"/>
      <c r="AT10" s="29"/>
      <c r="AU10" s="29" t="b">
        <v>0</v>
      </c>
    </row>
    <row r="11" spans="1:47" x14ac:dyDescent="0.3">
      <c r="A11" s="29" t="s">
        <v>510</v>
      </c>
      <c r="B11" s="29"/>
      <c r="C11" s="29"/>
      <c r="D11" s="29"/>
      <c r="E11" s="30" t="b">
        <v>0</v>
      </c>
      <c r="F11" s="29">
        <v>0</v>
      </c>
      <c r="G11" s="29" t="b">
        <v>0</v>
      </c>
      <c r="H11" s="29">
        <v>0</v>
      </c>
      <c r="I11" s="29">
        <v>0</v>
      </c>
      <c r="J11" s="29">
        <v>0</v>
      </c>
      <c r="K11" s="29">
        <v>0</v>
      </c>
      <c r="L11" s="29"/>
      <c r="M11" s="29"/>
      <c r="N11" s="29" t="s">
        <v>102</v>
      </c>
      <c r="O11" s="29" t="s">
        <v>102</v>
      </c>
      <c r="P11" s="29">
        <v>0</v>
      </c>
      <c r="Q11" s="30">
        <v>-1</v>
      </c>
      <c r="R11" s="30">
        <v>-1</v>
      </c>
      <c r="S11" s="30" t="s">
        <v>103</v>
      </c>
      <c r="T11" s="30" t="s">
        <v>104</v>
      </c>
      <c r="U11" s="29"/>
      <c r="V11" s="29"/>
      <c r="W11" s="29"/>
      <c r="X11" s="29"/>
      <c r="Y11" s="29" t="b">
        <v>0</v>
      </c>
      <c r="Z11" s="29">
        <v>0</v>
      </c>
      <c r="AA11" s="29" t="b">
        <v>0</v>
      </c>
      <c r="AB11" s="29"/>
      <c r="AC11" s="29"/>
      <c r="AD11" s="29" t="s">
        <v>513</v>
      </c>
      <c r="AE11" s="29"/>
      <c r="AF11" s="29"/>
      <c r="AG11" s="42" t="s">
        <v>250</v>
      </c>
      <c r="AH11" s="42" t="s">
        <v>251</v>
      </c>
      <c r="AI11" s="29"/>
      <c r="AJ11" s="29"/>
      <c r="AK11" s="29" t="s">
        <v>576</v>
      </c>
      <c r="AL11" s="29"/>
      <c r="AM11" s="30" t="b">
        <v>0</v>
      </c>
      <c r="AN11" s="29" t="s">
        <v>105</v>
      </c>
      <c r="AO11" s="29" t="s">
        <v>106</v>
      </c>
      <c r="AP11" s="29"/>
      <c r="AQ11" s="29"/>
      <c r="AR11" s="30"/>
      <c r="AS11" s="29"/>
      <c r="AT11" s="29"/>
      <c r="AU11" s="29" t="b">
        <v>0</v>
      </c>
    </row>
    <row r="12" spans="1:47" x14ac:dyDescent="0.3">
      <c r="A12" s="32" t="s">
        <v>260</v>
      </c>
      <c r="B12" s="32"/>
      <c r="C12" s="32"/>
      <c r="D12" s="32"/>
      <c r="E12" s="12" t="b">
        <v>0</v>
      </c>
      <c r="F12" s="32">
        <v>0</v>
      </c>
      <c r="G12" s="32" t="b">
        <v>0</v>
      </c>
      <c r="H12" s="32">
        <v>0</v>
      </c>
      <c r="I12" s="32">
        <v>0</v>
      </c>
      <c r="J12" s="32">
        <v>0</v>
      </c>
      <c r="K12" s="32">
        <v>0</v>
      </c>
      <c r="L12" s="32"/>
      <c r="M12" s="32"/>
      <c r="N12" s="32" t="s">
        <v>102</v>
      </c>
      <c r="O12" s="32" t="s">
        <v>102</v>
      </c>
      <c r="P12" s="32">
        <v>0</v>
      </c>
      <c r="Q12" s="12">
        <v>-1</v>
      </c>
      <c r="R12" s="12">
        <v>-1</v>
      </c>
      <c r="S12" s="12" t="s">
        <v>103</v>
      </c>
      <c r="T12" s="12" t="s">
        <v>104</v>
      </c>
      <c r="U12" s="32"/>
      <c r="V12" s="32"/>
      <c r="W12" s="32"/>
      <c r="X12" s="32"/>
      <c r="Y12" s="32" t="b">
        <v>0</v>
      </c>
      <c r="Z12" s="32">
        <v>0</v>
      </c>
      <c r="AA12" s="32" t="b">
        <v>0</v>
      </c>
      <c r="AB12" s="32"/>
      <c r="AC12" s="32"/>
      <c r="AD12" s="32" t="s">
        <v>261</v>
      </c>
      <c r="AE12" s="32"/>
      <c r="AF12" s="32"/>
      <c r="AG12" s="43" t="s">
        <v>262</v>
      </c>
      <c r="AH12" s="43" t="s">
        <v>263</v>
      </c>
      <c r="AI12" s="32"/>
      <c r="AJ12" s="32"/>
      <c r="AK12" s="32" t="s">
        <v>548</v>
      </c>
      <c r="AL12" s="32"/>
      <c r="AM12" s="12" t="b">
        <v>0</v>
      </c>
      <c r="AN12" s="32" t="s">
        <v>105</v>
      </c>
      <c r="AO12" s="32" t="s">
        <v>106</v>
      </c>
      <c r="AP12" s="32"/>
      <c r="AQ12" s="32"/>
      <c r="AR12" s="12"/>
      <c r="AS12" s="32"/>
      <c r="AT12" s="32"/>
      <c r="AU12" s="32" t="b">
        <v>0</v>
      </c>
    </row>
    <row r="13" spans="1:47" x14ac:dyDescent="0.3">
      <c r="A13" s="29" t="s">
        <v>254</v>
      </c>
      <c r="B13" s="29"/>
      <c r="C13" s="29"/>
      <c r="D13" s="29"/>
      <c r="E13" s="30" t="b">
        <v>0</v>
      </c>
      <c r="F13" s="29">
        <v>0</v>
      </c>
      <c r="G13" s="29" t="b">
        <v>0</v>
      </c>
      <c r="H13" s="29">
        <v>0</v>
      </c>
      <c r="I13" s="29">
        <v>0</v>
      </c>
      <c r="J13" s="29">
        <v>0</v>
      </c>
      <c r="K13" s="29">
        <v>0</v>
      </c>
      <c r="L13" s="29"/>
      <c r="M13" s="29"/>
      <c r="N13" s="29" t="s">
        <v>102</v>
      </c>
      <c r="O13" s="29" t="s">
        <v>102</v>
      </c>
      <c r="P13" s="29">
        <v>0</v>
      </c>
      <c r="Q13" s="30">
        <v>-1</v>
      </c>
      <c r="R13" s="30">
        <v>-1</v>
      </c>
      <c r="S13" s="30" t="s">
        <v>103</v>
      </c>
      <c r="T13" s="30" t="s">
        <v>104</v>
      </c>
      <c r="U13" s="29"/>
      <c r="V13" s="29"/>
      <c r="W13" s="29"/>
      <c r="X13" s="29"/>
      <c r="Y13" s="29" t="b">
        <v>0</v>
      </c>
      <c r="Z13" s="29">
        <v>0</v>
      </c>
      <c r="AA13" s="29" t="b">
        <v>0</v>
      </c>
      <c r="AB13" s="29"/>
      <c r="AC13" s="29"/>
      <c r="AD13" s="29" t="s">
        <v>255</v>
      </c>
      <c r="AE13" s="29"/>
      <c r="AF13" s="29"/>
      <c r="AG13" s="42" t="s">
        <v>256</v>
      </c>
      <c r="AH13" s="42" t="s">
        <v>257</v>
      </c>
      <c r="AI13" s="29"/>
      <c r="AJ13" s="29"/>
      <c r="AK13" s="29" t="s">
        <v>572</v>
      </c>
      <c r="AL13" s="29"/>
      <c r="AM13" s="30" t="b">
        <v>0</v>
      </c>
      <c r="AN13" s="29" t="s">
        <v>105</v>
      </c>
      <c r="AO13" s="29" t="s">
        <v>106</v>
      </c>
      <c r="AP13" s="29"/>
      <c r="AQ13" s="29"/>
      <c r="AR13" s="30"/>
      <c r="AS13" s="29"/>
      <c r="AT13" s="29"/>
      <c r="AU13" s="29" t="b">
        <v>0</v>
      </c>
    </row>
    <row r="14" spans="1:47" x14ac:dyDescent="0.3">
      <c r="A14" s="32" t="s">
        <v>264</v>
      </c>
      <c r="B14" s="32"/>
      <c r="C14" s="32"/>
      <c r="D14" s="32"/>
      <c r="E14" s="12" t="b">
        <v>0</v>
      </c>
      <c r="F14" s="32">
        <v>0</v>
      </c>
      <c r="G14" s="32" t="b">
        <v>0</v>
      </c>
      <c r="H14" s="32">
        <v>0</v>
      </c>
      <c r="I14" s="32">
        <v>0</v>
      </c>
      <c r="J14" s="32">
        <v>0</v>
      </c>
      <c r="K14" s="32">
        <v>0</v>
      </c>
      <c r="L14" s="32"/>
      <c r="M14" s="32"/>
      <c r="N14" s="32" t="s">
        <v>102</v>
      </c>
      <c r="O14" s="32" t="s">
        <v>102</v>
      </c>
      <c r="P14" s="32">
        <v>0</v>
      </c>
      <c r="Q14" s="12">
        <v>-1</v>
      </c>
      <c r="R14" s="12">
        <v>-1</v>
      </c>
      <c r="S14" s="12" t="s">
        <v>103</v>
      </c>
      <c r="T14" s="12" t="s">
        <v>104</v>
      </c>
      <c r="U14" s="32"/>
      <c r="V14" s="32"/>
      <c r="W14" s="32"/>
      <c r="X14" s="32"/>
      <c r="Y14" s="32" t="b">
        <v>0</v>
      </c>
      <c r="Z14" s="32">
        <v>0</v>
      </c>
      <c r="AA14" s="32" t="b">
        <v>0</v>
      </c>
      <c r="AB14" s="32"/>
      <c r="AC14" s="32"/>
      <c r="AD14" s="32" t="s">
        <v>265</v>
      </c>
      <c r="AE14" s="32"/>
      <c r="AF14" s="32"/>
      <c r="AG14" s="43" t="s">
        <v>266</v>
      </c>
      <c r="AH14" s="43" t="s">
        <v>267</v>
      </c>
      <c r="AI14" s="32"/>
      <c r="AJ14" s="32"/>
      <c r="AK14" s="32" t="s">
        <v>549</v>
      </c>
      <c r="AL14" s="32"/>
      <c r="AM14" s="12" t="b">
        <v>0</v>
      </c>
      <c r="AN14" s="32" t="s">
        <v>105</v>
      </c>
      <c r="AO14" s="32" t="s">
        <v>106</v>
      </c>
      <c r="AP14" s="32"/>
      <c r="AQ14" s="32"/>
      <c r="AR14" s="12"/>
      <c r="AS14" s="32"/>
      <c r="AT14" s="32"/>
      <c r="AU14" s="32" t="b">
        <v>0</v>
      </c>
    </row>
    <row r="15" spans="1:47" x14ac:dyDescent="0.3">
      <c r="A15" s="36" t="s">
        <v>275</v>
      </c>
      <c r="B15" s="36"/>
      <c r="C15" s="36"/>
      <c r="D15" s="36"/>
      <c r="E15" s="39" t="b">
        <v>0</v>
      </c>
      <c r="F15" s="36">
        <v>0</v>
      </c>
      <c r="G15" s="36" t="b">
        <v>0</v>
      </c>
      <c r="H15" s="36">
        <v>0</v>
      </c>
      <c r="I15" s="36">
        <v>0</v>
      </c>
      <c r="J15" s="36">
        <v>0</v>
      </c>
      <c r="K15" s="36">
        <v>0</v>
      </c>
      <c r="L15" s="36"/>
      <c r="M15" s="36"/>
      <c r="N15" s="36" t="s">
        <v>102</v>
      </c>
      <c r="O15" s="36" t="s">
        <v>102</v>
      </c>
      <c r="P15" s="36">
        <v>0</v>
      </c>
      <c r="Q15" s="39">
        <v>-1</v>
      </c>
      <c r="R15" s="39">
        <v>-1</v>
      </c>
      <c r="S15" s="39" t="s">
        <v>103</v>
      </c>
      <c r="T15" s="39" t="s">
        <v>104</v>
      </c>
      <c r="U15" s="36"/>
      <c r="V15" s="36"/>
      <c r="W15" s="36"/>
      <c r="X15" s="36"/>
      <c r="Y15" s="36" t="b">
        <v>0</v>
      </c>
      <c r="Z15" s="36">
        <v>0</v>
      </c>
      <c r="AA15" s="36" t="b">
        <v>0</v>
      </c>
      <c r="AB15" s="36"/>
      <c r="AC15" s="36"/>
      <c r="AD15" s="36" t="s">
        <v>276</v>
      </c>
      <c r="AE15" s="36"/>
      <c r="AF15" s="36"/>
      <c r="AG15" s="45" t="s">
        <v>277</v>
      </c>
      <c r="AH15" s="45" t="s">
        <v>278</v>
      </c>
      <c r="AI15" s="36"/>
      <c r="AJ15" s="36"/>
      <c r="AK15" s="36" t="s">
        <v>571</v>
      </c>
      <c r="AL15" s="36"/>
      <c r="AM15" s="39" t="b">
        <v>0</v>
      </c>
      <c r="AN15" s="36" t="s">
        <v>105</v>
      </c>
      <c r="AO15" s="36" t="s">
        <v>106</v>
      </c>
      <c r="AP15" s="36"/>
      <c r="AQ15" s="36"/>
      <c r="AR15" s="39"/>
      <c r="AS15" s="36"/>
      <c r="AT15" s="36"/>
      <c r="AU15" s="36" t="b">
        <v>0</v>
      </c>
    </row>
    <row r="16" spans="1:47" x14ac:dyDescent="0.3">
      <c r="A16" s="34" t="s">
        <v>281</v>
      </c>
      <c r="B16" s="34"/>
      <c r="C16" s="34"/>
      <c r="D16" s="34"/>
      <c r="E16" s="38" t="b">
        <v>0</v>
      </c>
      <c r="F16" s="34">
        <v>0</v>
      </c>
      <c r="G16" s="34" t="b">
        <v>0</v>
      </c>
      <c r="H16" s="34">
        <v>0</v>
      </c>
      <c r="I16" s="34">
        <v>0</v>
      </c>
      <c r="J16" s="34">
        <v>0</v>
      </c>
      <c r="K16" s="34">
        <v>0</v>
      </c>
      <c r="L16" s="34"/>
      <c r="M16" s="34"/>
      <c r="N16" s="34" t="s">
        <v>102</v>
      </c>
      <c r="O16" s="34" t="s">
        <v>102</v>
      </c>
      <c r="P16" s="34">
        <v>0</v>
      </c>
      <c r="Q16" s="38">
        <v>-1</v>
      </c>
      <c r="R16" s="38">
        <v>-1</v>
      </c>
      <c r="S16" s="38" t="s">
        <v>103</v>
      </c>
      <c r="T16" s="38" t="s">
        <v>104</v>
      </c>
      <c r="U16" s="34"/>
      <c r="V16" s="34"/>
      <c r="W16" s="34"/>
      <c r="X16" s="34"/>
      <c r="Y16" s="34" t="b">
        <v>0</v>
      </c>
      <c r="Z16" s="34">
        <v>0</v>
      </c>
      <c r="AA16" s="34" t="b">
        <v>0</v>
      </c>
      <c r="AB16" s="34"/>
      <c r="AC16" s="34"/>
      <c r="AD16" s="34" t="s">
        <v>282</v>
      </c>
      <c r="AE16" s="34"/>
      <c r="AF16" s="34"/>
      <c r="AG16" s="44" t="s">
        <v>283</v>
      </c>
      <c r="AH16" s="44" t="s">
        <v>284</v>
      </c>
      <c r="AI16" s="34"/>
      <c r="AJ16" s="34"/>
      <c r="AK16" s="34" t="s">
        <v>568</v>
      </c>
      <c r="AL16" s="34"/>
      <c r="AM16" s="38" t="b">
        <v>0</v>
      </c>
      <c r="AN16" s="34" t="s">
        <v>105</v>
      </c>
      <c r="AO16" s="34" t="s">
        <v>106</v>
      </c>
      <c r="AP16" s="34"/>
      <c r="AQ16" s="34"/>
      <c r="AR16" s="38"/>
      <c r="AS16" s="34"/>
      <c r="AT16" s="34"/>
      <c r="AU16" s="34" t="b">
        <v>0</v>
      </c>
    </row>
    <row r="17" spans="1:47" x14ac:dyDescent="0.3">
      <c r="A17" s="36" t="s">
        <v>270</v>
      </c>
      <c r="B17" s="36"/>
      <c r="C17" s="36"/>
      <c r="D17" s="36"/>
      <c r="E17" s="39" t="b">
        <v>0</v>
      </c>
      <c r="F17" s="36">
        <v>0</v>
      </c>
      <c r="G17" s="36" t="b">
        <v>0</v>
      </c>
      <c r="H17" s="36">
        <v>0</v>
      </c>
      <c r="I17" s="36">
        <v>0</v>
      </c>
      <c r="J17" s="36">
        <v>0</v>
      </c>
      <c r="K17" s="36">
        <v>0</v>
      </c>
      <c r="L17" s="36"/>
      <c r="M17" s="36"/>
      <c r="N17" s="36" t="s">
        <v>102</v>
      </c>
      <c r="O17" s="36" t="s">
        <v>102</v>
      </c>
      <c r="P17" s="36">
        <v>0</v>
      </c>
      <c r="Q17" s="39">
        <v>-1</v>
      </c>
      <c r="R17" s="39">
        <v>-1</v>
      </c>
      <c r="S17" s="39" t="s">
        <v>103</v>
      </c>
      <c r="T17" s="39" t="s">
        <v>104</v>
      </c>
      <c r="U17" s="36"/>
      <c r="V17" s="36"/>
      <c r="W17" s="36"/>
      <c r="X17" s="36"/>
      <c r="Y17" s="36" t="b">
        <v>0</v>
      </c>
      <c r="Z17" s="36">
        <v>0</v>
      </c>
      <c r="AA17" s="36" t="b">
        <v>0</v>
      </c>
      <c r="AB17" s="36"/>
      <c r="AC17" s="36"/>
      <c r="AD17" s="36" t="s">
        <v>271</v>
      </c>
      <c r="AE17" s="36"/>
      <c r="AF17" s="36"/>
      <c r="AG17" s="45" t="s">
        <v>272</v>
      </c>
      <c r="AH17" s="45" t="s">
        <v>273</v>
      </c>
      <c r="AI17" s="36"/>
      <c r="AJ17" s="36"/>
      <c r="AK17" s="36" t="s">
        <v>566</v>
      </c>
      <c r="AL17" s="36"/>
      <c r="AM17" s="39" t="b">
        <v>0</v>
      </c>
      <c r="AN17" s="36" t="s">
        <v>105</v>
      </c>
      <c r="AO17" s="36" t="s">
        <v>106</v>
      </c>
      <c r="AP17" s="36"/>
      <c r="AQ17" s="36"/>
      <c r="AR17" s="39"/>
      <c r="AS17" s="36"/>
      <c r="AT17" s="36"/>
      <c r="AU17" s="36" t="b">
        <v>0</v>
      </c>
    </row>
    <row r="18" spans="1:47" x14ac:dyDescent="0.3">
      <c r="A18" s="34" t="s">
        <v>286</v>
      </c>
      <c r="B18" s="34"/>
      <c r="C18" s="34"/>
      <c r="D18" s="34"/>
      <c r="E18" s="38" t="b">
        <v>0</v>
      </c>
      <c r="F18" s="34">
        <v>0</v>
      </c>
      <c r="G18" s="34" t="b">
        <v>0</v>
      </c>
      <c r="H18" s="34">
        <v>0</v>
      </c>
      <c r="I18" s="34">
        <v>0</v>
      </c>
      <c r="J18" s="34">
        <v>0</v>
      </c>
      <c r="K18" s="34">
        <v>0</v>
      </c>
      <c r="L18" s="34"/>
      <c r="M18" s="34"/>
      <c r="N18" s="34" t="s">
        <v>102</v>
      </c>
      <c r="O18" s="34" t="s">
        <v>102</v>
      </c>
      <c r="P18" s="34">
        <v>0</v>
      </c>
      <c r="Q18" s="38">
        <v>-1</v>
      </c>
      <c r="R18" s="38">
        <v>-1</v>
      </c>
      <c r="S18" s="38" t="s">
        <v>103</v>
      </c>
      <c r="T18" s="38" t="s">
        <v>104</v>
      </c>
      <c r="U18" s="34"/>
      <c r="V18" s="34"/>
      <c r="W18" s="34"/>
      <c r="X18" s="34"/>
      <c r="Y18" s="34" t="b">
        <v>0</v>
      </c>
      <c r="Z18" s="34">
        <v>0</v>
      </c>
      <c r="AA18" s="34" t="b">
        <v>0</v>
      </c>
      <c r="AB18" s="34"/>
      <c r="AC18" s="34"/>
      <c r="AD18" s="34" t="s">
        <v>287</v>
      </c>
      <c r="AE18" s="34"/>
      <c r="AF18" s="34"/>
      <c r="AG18" s="44" t="s">
        <v>288</v>
      </c>
      <c r="AH18" s="44" t="s">
        <v>289</v>
      </c>
      <c r="AI18" s="34"/>
      <c r="AJ18" s="34"/>
      <c r="AK18" s="34" t="s">
        <v>583</v>
      </c>
      <c r="AL18" s="34"/>
      <c r="AM18" s="38" t="b">
        <v>0</v>
      </c>
      <c r="AN18" s="34" t="s">
        <v>105</v>
      </c>
      <c r="AO18" s="34" t="s">
        <v>106</v>
      </c>
      <c r="AP18" s="34"/>
      <c r="AQ18" s="34"/>
      <c r="AR18" s="38"/>
      <c r="AS18" s="34"/>
      <c r="AT18" s="34"/>
      <c r="AU18" s="34" t="b">
        <v>0</v>
      </c>
    </row>
    <row r="19" spans="1:47" x14ac:dyDescent="0.3">
      <c r="A19" s="36" t="s">
        <v>292</v>
      </c>
      <c r="B19" s="36"/>
      <c r="C19" s="36"/>
      <c r="D19" s="36"/>
      <c r="E19" s="39" t="b">
        <v>0</v>
      </c>
      <c r="F19" s="36">
        <v>0</v>
      </c>
      <c r="G19" s="36" t="b">
        <v>0</v>
      </c>
      <c r="H19" s="36">
        <v>0</v>
      </c>
      <c r="I19" s="36">
        <v>0</v>
      </c>
      <c r="J19" s="36">
        <v>0</v>
      </c>
      <c r="K19" s="36">
        <v>0</v>
      </c>
      <c r="L19" s="36"/>
      <c r="M19" s="36"/>
      <c r="N19" s="36" t="s">
        <v>102</v>
      </c>
      <c r="O19" s="36" t="s">
        <v>102</v>
      </c>
      <c r="P19" s="36">
        <v>0</v>
      </c>
      <c r="Q19" s="39">
        <v>-1</v>
      </c>
      <c r="R19" s="39">
        <v>-1</v>
      </c>
      <c r="S19" s="39" t="s">
        <v>103</v>
      </c>
      <c r="T19" s="39" t="s">
        <v>104</v>
      </c>
      <c r="U19" s="36"/>
      <c r="V19" s="36"/>
      <c r="W19" s="36"/>
      <c r="X19" s="36"/>
      <c r="Y19" s="36" t="b">
        <v>0</v>
      </c>
      <c r="Z19" s="36">
        <v>0</v>
      </c>
      <c r="AA19" s="36" t="b">
        <v>0</v>
      </c>
      <c r="AB19" s="36"/>
      <c r="AC19" s="36"/>
      <c r="AD19" s="36" t="s">
        <v>293</v>
      </c>
      <c r="AE19" s="36"/>
      <c r="AF19" s="36"/>
      <c r="AG19" s="45" t="s">
        <v>294</v>
      </c>
      <c r="AH19" s="45" t="s">
        <v>295</v>
      </c>
      <c r="AI19" s="36"/>
      <c r="AJ19" s="36"/>
      <c r="AK19" s="36" t="s">
        <v>550</v>
      </c>
      <c r="AL19" s="36"/>
      <c r="AM19" s="39" t="b">
        <v>0</v>
      </c>
      <c r="AN19" s="36" t="s">
        <v>105</v>
      </c>
      <c r="AO19" s="36" t="s">
        <v>106</v>
      </c>
      <c r="AP19" s="36"/>
      <c r="AQ19" s="36"/>
      <c r="AR19" s="39"/>
      <c r="AS19" s="36"/>
      <c r="AT19" s="36"/>
      <c r="AU19" s="36" t="b">
        <v>0</v>
      </c>
    </row>
    <row r="20" spans="1:47" x14ac:dyDescent="0.3">
      <c r="A20" s="34" t="s">
        <v>301</v>
      </c>
      <c r="B20" s="34"/>
      <c r="C20" s="34"/>
      <c r="D20" s="34"/>
      <c r="E20" s="38" t="b">
        <v>0</v>
      </c>
      <c r="F20" s="34">
        <v>0</v>
      </c>
      <c r="G20" s="34" t="b">
        <v>0</v>
      </c>
      <c r="H20" s="34">
        <v>0</v>
      </c>
      <c r="I20" s="34">
        <v>0</v>
      </c>
      <c r="J20" s="34">
        <v>0</v>
      </c>
      <c r="K20" s="34">
        <v>0</v>
      </c>
      <c r="L20" s="34"/>
      <c r="M20" s="34"/>
      <c r="N20" s="34" t="s">
        <v>102</v>
      </c>
      <c r="O20" s="34" t="s">
        <v>102</v>
      </c>
      <c r="P20" s="34">
        <v>0</v>
      </c>
      <c r="Q20" s="38">
        <v>-1</v>
      </c>
      <c r="R20" s="38">
        <v>-1</v>
      </c>
      <c r="S20" s="38" t="s">
        <v>103</v>
      </c>
      <c r="T20" s="38" t="s">
        <v>104</v>
      </c>
      <c r="U20" s="34"/>
      <c r="V20" s="34"/>
      <c r="W20" s="34"/>
      <c r="X20" s="34"/>
      <c r="Y20" s="34" t="b">
        <v>0</v>
      </c>
      <c r="Z20" s="34">
        <v>0</v>
      </c>
      <c r="AA20" s="34" t="b">
        <v>0</v>
      </c>
      <c r="AB20" s="34"/>
      <c r="AC20" s="34"/>
      <c r="AD20" s="34" t="s">
        <v>302</v>
      </c>
      <c r="AE20" s="34"/>
      <c r="AF20" s="34"/>
      <c r="AG20" s="44" t="s">
        <v>303</v>
      </c>
      <c r="AH20" s="44" t="s">
        <v>304</v>
      </c>
      <c r="AI20" s="34"/>
      <c r="AJ20" s="34"/>
      <c r="AK20" s="34" t="s">
        <v>551</v>
      </c>
      <c r="AL20" s="34"/>
      <c r="AM20" s="38" t="b">
        <v>0</v>
      </c>
      <c r="AN20" s="34" t="s">
        <v>105</v>
      </c>
      <c r="AO20" s="34" t="s">
        <v>106</v>
      </c>
      <c r="AP20" s="34"/>
      <c r="AQ20" s="34"/>
      <c r="AR20" s="38"/>
      <c r="AS20" s="34"/>
      <c r="AT20" s="34"/>
      <c r="AU20" s="34" t="b">
        <v>0</v>
      </c>
    </row>
    <row r="21" spans="1:47" x14ac:dyDescent="0.3">
      <c r="A21" s="34" t="s">
        <v>514</v>
      </c>
      <c r="B21" s="34"/>
      <c r="C21" s="34"/>
      <c r="D21" s="34"/>
      <c r="E21" s="38" t="b">
        <v>0</v>
      </c>
      <c r="F21" s="34">
        <v>0</v>
      </c>
      <c r="G21" s="34" t="b">
        <v>0</v>
      </c>
      <c r="H21" s="34">
        <v>0</v>
      </c>
      <c r="I21" s="34">
        <v>0</v>
      </c>
      <c r="J21" s="34">
        <v>0</v>
      </c>
      <c r="K21" s="34">
        <v>0</v>
      </c>
      <c r="L21" s="34"/>
      <c r="M21" s="34"/>
      <c r="N21" s="34" t="s">
        <v>102</v>
      </c>
      <c r="O21" s="34" t="s">
        <v>102</v>
      </c>
      <c r="P21" s="34">
        <v>0</v>
      </c>
      <c r="Q21" s="38">
        <v>-1</v>
      </c>
      <c r="R21" s="38">
        <v>-1</v>
      </c>
      <c r="S21" s="38" t="s">
        <v>103</v>
      </c>
      <c r="T21" s="38" t="s">
        <v>104</v>
      </c>
      <c r="U21" s="34"/>
      <c r="V21" s="34"/>
      <c r="W21" s="34"/>
      <c r="X21" s="34"/>
      <c r="Y21" s="34" t="b">
        <v>0</v>
      </c>
      <c r="Z21" s="34">
        <v>0</v>
      </c>
      <c r="AA21" s="34" t="b">
        <v>0</v>
      </c>
      <c r="AB21" s="34"/>
      <c r="AC21" s="34"/>
      <c r="AD21" s="34" t="s">
        <v>515</v>
      </c>
      <c r="AE21" s="34"/>
      <c r="AF21" s="34"/>
      <c r="AG21" s="44" t="s">
        <v>303</v>
      </c>
      <c r="AH21" s="44" t="s">
        <v>304</v>
      </c>
      <c r="AI21" s="34"/>
      <c r="AJ21" s="34"/>
      <c r="AK21" s="34" t="s">
        <v>552</v>
      </c>
      <c r="AL21" s="34"/>
      <c r="AM21" s="38" t="b">
        <v>0</v>
      </c>
      <c r="AN21" s="34" t="s">
        <v>105</v>
      </c>
      <c r="AO21" s="34" t="s">
        <v>106</v>
      </c>
      <c r="AP21" s="34"/>
      <c r="AQ21" s="34"/>
      <c r="AR21" s="38"/>
      <c r="AS21" s="34"/>
      <c r="AT21" s="34"/>
      <c r="AU21" s="34" t="b">
        <v>0</v>
      </c>
    </row>
    <row r="22" spans="1:47" x14ac:dyDescent="0.3">
      <c r="A22" s="36" t="s">
        <v>306</v>
      </c>
      <c r="B22" s="36"/>
      <c r="C22" s="36"/>
      <c r="D22" s="36"/>
      <c r="E22" s="39" t="b">
        <v>0</v>
      </c>
      <c r="F22" s="36">
        <v>0</v>
      </c>
      <c r="G22" s="36" t="b">
        <v>0</v>
      </c>
      <c r="H22" s="36">
        <v>0</v>
      </c>
      <c r="I22" s="36">
        <v>0</v>
      </c>
      <c r="J22" s="36">
        <v>0</v>
      </c>
      <c r="K22" s="36">
        <v>0</v>
      </c>
      <c r="L22" s="36"/>
      <c r="M22" s="36"/>
      <c r="N22" s="36" t="s">
        <v>102</v>
      </c>
      <c r="O22" s="36" t="s">
        <v>102</v>
      </c>
      <c r="P22" s="36">
        <v>0</v>
      </c>
      <c r="Q22" s="39">
        <v>-1</v>
      </c>
      <c r="R22" s="39">
        <v>-1</v>
      </c>
      <c r="S22" s="39" t="s">
        <v>103</v>
      </c>
      <c r="T22" s="39" t="s">
        <v>104</v>
      </c>
      <c r="U22" s="36"/>
      <c r="V22" s="36"/>
      <c r="W22" s="36"/>
      <c r="X22" s="36"/>
      <c r="Y22" s="36" t="b">
        <v>0</v>
      </c>
      <c r="Z22" s="36">
        <v>0</v>
      </c>
      <c r="AA22" s="36" t="b">
        <v>0</v>
      </c>
      <c r="AB22" s="36"/>
      <c r="AC22" s="36"/>
      <c r="AD22" s="36" t="s">
        <v>307</v>
      </c>
      <c r="AE22" s="36"/>
      <c r="AF22" s="36"/>
      <c r="AG22" s="45" t="s">
        <v>308</v>
      </c>
      <c r="AH22" s="45" t="s">
        <v>309</v>
      </c>
      <c r="AI22" s="36"/>
      <c r="AJ22" s="36"/>
      <c r="AK22" s="36" t="s">
        <v>584</v>
      </c>
      <c r="AL22" s="36"/>
      <c r="AM22" s="39" t="b">
        <v>0</v>
      </c>
      <c r="AN22" s="36" t="s">
        <v>105</v>
      </c>
      <c r="AO22" s="36" t="s">
        <v>106</v>
      </c>
      <c r="AP22" s="36"/>
      <c r="AQ22" s="36"/>
      <c r="AR22" s="39"/>
      <c r="AS22" s="36"/>
      <c r="AT22" s="36"/>
      <c r="AU22" s="36" t="b">
        <v>0</v>
      </c>
    </row>
    <row r="23" spans="1:47" x14ac:dyDescent="0.3">
      <c r="A23" s="34" t="s">
        <v>312</v>
      </c>
      <c r="B23" s="34"/>
      <c r="C23" s="34"/>
      <c r="D23" s="34"/>
      <c r="E23" s="38" t="b">
        <v>0</v>
      </c>
      <c r="F23" s="34">
        <v>0</v>
      </c>
      <c r="G23" s="34" t="b">
        <v>0</v>
      </c>
      <c r="H23" s="34">
        <v>0</v>
      </c>
      <c r="I23" s="34">
        <v>0</v>
      </c>
      <c r="J23" s="34">
        <v>0</v>
      </c>
      <c r="K23" s="34">
        <v>0</v>
      </c>
      <c r="L23" s="34"/>
      <c r="M23" s="34"/>
      <c r="N23" s="34" t="s">
        <v>102</v>
      </c>
      <c r="O23" s="34" t="s">
        <v>102</v>
      </c>
      <c r="P23" s="34">
        <v>0</v>
      </c>
      <c r="Q23" s="38">
        <v>-1</v>
      </c>
      <c r="R23" s="38">
        <v>-1</v>
      </c>
      <c r="S23" s="38" t="s">
        <v>103</v>
      </c>
      <c r="T23" s="38" t="s">
        <v>104</v>
      </c>
      <c r="U23" s="34"/>
      <c r="V23" s="34"/>
      <c r="W23" s="34"/>
      <c r="X23" s="34"/>
      <c r="Y23" s="34" t="b">
        <v>0</v>
      </c>
      <c r="Z23" s="34">
        <v>0</v>
      </c>
      <c r="AA23" s="34" t="b">
        <v>0</v>
      </c>
      <c r="AB23" s="34"/>
      <c r="AC23" s="34"/>
      <c r="AD23" s="34" t="s">
        <v>313</v>
      </c>
      <c r="AE23" s="34"/>
      <c r="AF23" s="34"/>
      <c r="AG23" s="44" t="s">
        <v>314</v>
      </c>
      <c r="AH23" s="44" t="s">
        <v>315</v>
      </c>
      <c r="AI23" s="34"/>
      <c r="AJ23" s="34"/>
      <c r="AK23" s="34" t="s">
        <v>553</v>
      </c>
      <c r="AL23" s="34"/>
      <c r="AM23" s="38" t="b">
        <v>0</v>
      </c>
      <c r="AN23" s="34" t="s">
        <v>105</v>
      </c>
      <c r="AO23" s="34" t="s">
        <v>106</v>
      </c>
      <c r="AP23" s="34"/>
      <c r="AQ23" s="34"/>
      <c r="AR23" s="38"/>
      <c r="AS23" s="34"/>
      <c r="AT23" s="34"/>
      <c r="AU23" s="34" t="b">
        <v>0</v>
      </c>
    </row>
    <row r="24" spans="1:47" x14ac:dyDescent="0.3">
      <c r="A24" s="36" t="s">
        <v>321</v>
      </c>
      <c r="B24" s="36"/>
      <c r="C24" s="36"/>
      <c r="D24" s="36"/>
      <c r="E24" s="39" t="b">
        <v>0</v>
      </c>
      <c r="F24" s="36">
        <v>0</v>
      </c>
      <c r="G24" s="36" t="b">
        <v>0</v>
      </c>
      <c r="H24" s="36">
        <v>0</v>
      </c>
      <c r="I24" s="36">
        <v>0</v>
      </c>
      <c r="J24" s="36">
        <v>0</v>
      </c>
      <c r="K24" s="36">
        <v>0</v>
      </c>
      <c r="L24" s="36"/>
      <c r="M24" s="36"/>
      <c r="N24" s="36" t="s">
        <v>102</v>
      </c>
      <c r="O24" s="36" t="s">
        <v>102</v>
      </c>
      <c r="P24" s="36">
        <v>0</v>
      </c>
      <c r="Q24" s="39">
        <v>-1</v>
      </c>
      <c r="R24" s="39">
        <v>-1</v>
      </c>
      <c r="S24" s="39" t="s">
        <v>103</v>
      </c>
      <c r="T24" s="39" t="s">
        <v>104</v>
      </c>
      <c r="U24" s="36"/>
      <c r="V24" s="36"/>
      <c r="W24" s="36"/>
      <c r="X24" s="36"/>
      <c r="Y24" s="36" t="b">
        <v>0</v>
      </c>
      <c r="Z24" s="36">
        <v>0</v>
      </c>
      <c r="AA24" s="36" t="b">
        <v>0</v>
      </c>
      <c r="AB24" s="36"/>
      <c r="AC24" s="36"/>
      <c r="AD24" s="36" t="s">
        <v>322</v>
      </c>
      <c r="AE24" s="36"/>
      <c r="AF24" s="36"/>
      <c r="AG24" s="45" t="s">
        <v>323</v>
      </c>
      <c r="AH24" s="45" t="s">
        <v>324</v>
      </c>
      <c r="AI24" s="36"/>
      <c r="AJ24" s="36"/>
      <c r="AK24" s="36" t="s">
        <v>554</v>
      </c>
      <c r="AL24" s="36"/>
      <c r="AM24" s="39" t="b">
        <v>0</v>
      </c>
      <c r="AN24" s="36" t="s">
        <v>105</v>
      </c>
      <c r="AO24" s="36" t="s">
        <v>106</v>
      </c>
      <c r="AP24" s="36"/>
      <c r="AQ24" s="36"/>
      <c r="AR24" s="39"/>
      <c r="AS24" s="36"/>
      <c r="AT24" s="36"/>
      <c r="AU24" s="36" t="b">
        <v>0</v>
      </c>
    </row>
    <row r="25" spans="1:47" x14ac:dyDescent="0.3">
      <c r="A25" s="34" t="s">
        <v>328</v>
      </c>
      <c r="B25" s="34"/>
      <c r="C25" s="34"/>
      <c r="D25" s="34"/>
      <c r="E25" s="38" t="b">
        <v>0</v>
      </c>
      <c r="F25" s="34">
        <v>0</v>
      </c>
      <c r="G25" s="34" t="b">
        <v>0</v>
      </c>
      <c r="H25" s="34">
        <v>0</v>
      </c>
      <c r="I25" s="34">
        <v>0</v>
      </c>
      <c r="J25" s="34">
        <v>0</v>
      </c>
      <c r="K25" s="34">
        <v>0</v>
      </c>
      <c r="L25" s="34"/>
      <c r="M25" s="34"/>
      <c r="N25" s="34" t="s">
        <v>102</v>
      </c>
      <c r="O25" s="34" t="s">
        <v>102</v>
      </c>
      <c r="P25" s="34">
        <v>0</v>
      </c>
      <c r="Q25" s="38">
        <v>-1</v>
      </c>
      <c r="R25" s="38">
        <v>-1</v>
      </c>
      <c r="S25" s="38" t="s">
        <v>103</v>
      </c>
      <c r="T25" s="38" t="s">
        <v>104</v>
      </c>
      <c r="U25" s="34"/>
      <c r="V25" s="34"/>
      <c r="W25" s="34"/>
      <c r="X25" s="34"/>
      <c r="Y25" s="34" t="b">
        <v>0</v>
      </c>
      <c r="Z25" s="34">
        <v>0</v>
      </c>
      <c r="AA25" s="34" t="b">
        <v>0</v>
      </c>
      <c r="AB25" s="34"/>
      <c r="AC25" s="34"/>
      <c r="AD25" s="34" t="s">
        <v>329</v>
      </c>
      <c r="AE25" s="34"/>
      <c r="AF25" s="34"/>
      <c r="AG25" s="44" t="s">
        <v>330</v>
      </c>
      <c r="AH25" s="44" t="s">
        <v>331</v>
      </c>
      <c r="AI25" s="34"/>
      <c r="AJ25" s="34"/>
      <c r="AK25" s="34" t="s">
        <v>580</v>
      </c>
      <c r="AL25" s="34"/>
      <c r="AM25" s="38" t="b">
        <v>0</v>
      </c>
      <c r="AN25" s="34" t="s">
        <v>105</v>
      </c>
      <c r="AO25" s="34" t="s">
        <v>106</v>
      </c>
      <c r="AP25" s="34"/>
      <c r="AQ25" s="34"/>
      <c r="AR25" s="38"/>
      <c r="AS25" s="34"/>
      <c r="AT25" s="34"/>
      <c r="AU25" s="34" t="b">
        <v>0</v>
      </c>
    </row>
    <row r="26" spans="1:47" x14ac:dyDescent="0.3">
      <c r="A26" s="36" t="s">
        <v>333</v>
      </c>
      <c r="B26" s="36"/>
      <c r="C26" s="36"/>
      <c r="D26" s="36"/>
      <c r="E26" s="39" t="b">
        <v>0</v>
      </c>
      <c r="F26" s="36">
        <v>0</v>
      </c>
      <c r="G26" s="36" t="b">
        <v>0</v>
      </c>
      <c r="H26" s="36">
        <v>0</v>
      </c>
      <c r="I26" s="36">
        <v>0</v>
      </c>
      <c r="J26" s="36">
        <v>0</v>
      </c>
      <c r="K26" s="36">
        <v>0</v>
      </c>
      <c r="L26" s="36"/>
      <c r="M26" s="36"/>
      <c r="N26" s="36" t="s">
        <v>102</v>
      </c>
      <c r="O26" s="36" t="s">
        <v>102</v>
      </c>
      <c r="P26" s="36">
        <v>0</v>
      </c>
      <c r="Q26" s="39">
        <v>-1</v>
      </c>
      <c r="R26" s="39">
        <v>-1</v>
      </c>
      <c r="S26" s="39" t="s">
        <v>103</v>
      </c>
      <c r="T26" s="39" t="s">
        <v>104</v>
      </c>
      <c r="U26" s="36"/>
      <c r="V26" s="36"/>
      <c r="W26" s="36"/>
      <c r="X26" s="36"/>
      <c r="Y26" s="36" t="b">
        <v>0</v>
      </c>
      <c r="Z26" s="36">
        <v>0</v>
      </c>
      <c r="AA26" s="36" t="b">
        <v>0</v>
      </c>
      <c r="AB26" s="36"/>
      <c r="AC26" s="36"/>
      <c r="AD26" s="36" t="s">
        <v>334</v>
      </c>
      <c r="AE26" s="36"/>
      <c r="AF26" s="36"/>
      <c r="AG26" s="45" t="s">
        <v>335</v>
      </c>
      <c r="AH26" s="45" t="s">
        <v>336</v>
      </c>
      <c r="AI26" s="36"/>
      <c r="AJ26" s="36"/>
      <c r="AK26" s="36" t="s">
        <v>555</v>
      </c>
      <c r="AL26" s="36"/>
      <c r="AM26" s="39" t="b">
        <v>0</v>
      </c>
      <c r="AN26" s="36" t="s">
        <v>105</v>
      </c>
      <c r="AO26" s="36" t="s">
        <v>106</v>
      </c>
      <c r="AP26" s="36"/>
      <c r="AQ26" s="36"/>
      <c r="AR26" s="39"/>
      <c r="AS26" s="36"/>
      <c r="AT26" s="36"/>
      <c r="AU26" s="36" t="b">
        <v>0</v>
      </c>
    </row>
    <row r="27" spans="1:47" x14ac:dyDescent="0.3">
      <c r="A27" s="34" t="s">
        <v>338</v>
      </c>
      <c r="B27" s="34"/>
      <c r="C27" s="34"/>
      <c r="D27" s="34"/>
      <c r="E27" s="38" t="b">
        <v>0</v>
      </c>
      <c r="F27" s="34">
        <v>0</v>
      </c>
      <c r="G27" s="34" t="b">
        <v>0</v>
      </c>
      <c r="H27" s="34">
        <v>0</v>
      </c>
      <c r="I27" s="34">
        <v>0</v>
      </c>
      <c r="J27" s="34">
        <v>0</v>
      </c>
      <c r="K27" s="34">
        <v>0</v>
      </c>
      <c r="L27" s="34"/>
      <c r="M27" s="34"/>
      <c r="N27" s="34" t="s">
        <v>102</v>
      </c>
      <c r="O27" s="34" t="s">
        <v>102</v>
      </c>
      <c r="P27" s="34">
        <v>0</v>
      </c>
      <c r="Q27" s="38">
        <v>-1</v>
      </c>
      <c r="R27" s="38">
        <v>-1</v>
      </c>
      <c r="S27" s="38" t="s">
        <v>103</v>
      </c>
      <c r="T27" s="38" t="s">
        <v>104</v>
      </c>
      <c r="U27" s="34"/>
      <c r="V27" s="34"/>
      <c r="W27" s="34"/>
      <c r="X27" s="34"/>
      <c r="Y27" s="34" t="b">
        <v>0</v>
      </c>
      <c r="Z27" s="34">
        <v>0</v>
      </c>
      <c r="AA27" s="34" t="b">
        <v>0</v>
      </c>
      <c r="AB27" s="34"/>
      <c r="AC27" s="34"/>
      <c r="AD27" s="34" t="s">
        <v>339</v>
      </c>
      <c r="AE27" s="34"/>
      <c r="AF27" s="34"/>
      <c r="AG27" s="44" t="s">
        <v>340</v>
      </c>
      <c r="AH27" s="44" t="s">
        <v>341</v>
      </c>
      <c r="AI27" s="34"/>
      <c r="AJ27" s="34"/>
      <c r="AK27" s="34" t="s">
        <v>592</v>
      </c>
      <c r="AL27" s="34"/>
      <c r="AM27" s="38" t="b">
        <v>0</v>
      </c>
      <c r="AN27" s="34" t="s">
        <v>105</v>
      </c>
      <c r="AO27" s="34" t="s">
        <v>106</v>
      </c>
      <c r="AP27" s="34"/>
      <c r="AQ27" s="34"/>
      <c r="AR27" s="38"/>
      <c r="AS27" s="34"/>
      <c r="AT27" s="34"/>
      <c r="AU27" s="34" t="b">
        <v>0</v>
      </c>
    </row>
    <row r="28" spans="1:47" x14ac:dyDescent="0.3">
      <c r="A28" s="34" t="s">
        <v>523</v>
      </c>
      <c r="B28" s="34"/>
      <c r="C28" s="34"/>
      <c r="D28" s="34"/>
      <c r="E28" s="38" t="b">
        <v>0</v>
      </c>
      <c r="F28" s="34">
        <v>0</v>
      </c>
      <c r="G28" s="34" t="b">
        <v>0</v>
      </c>
      <c r="H28" s="34">
        <v>0</v>
      </c>
      <c r="I28" s="34">
        <v>0</v>
      </c>
      <c r="J28" s="34">
        <v>0</v>
      </c>
      <c r="K28" s="34">
        <v>0</v>
      </c>
      <c r="L28" s="34"/>
      <c r="M28" s="34"/>
      <c r="N28" s="34" t="s">
        <v>102</v>
      </c>
      <c r="O28" s="34" t="s">
        <v>102</v>
      </c>
      <c r="P28" s="34">
        <v>0</v>
      </c>
      <c r="Q28" s="38">
        <v>-1</v>
      </c>
      <c r="R28" s="38">
        <v>-1</v>
      </c>
      <c r="S28" s="38" t="s">
        <v>103</v>
      </c>
      <c r="T28" s="38" t="s">
        <v>104</v>
      </c>
      <c r="U28" s="34"/>
      <c r="V28" s="34"/>
      <c r="W28" s="34"/>
      <c r="X28" s="34"/>
      <c r="Y28" s="34" t="b">
        <v>0</v>
      </c>
      <c r="Z28" s="34">
        <v>0</v>
      </c>
      <c r="AA28" s="34" t="b">
        <v>0</v>
      </c>
      <c r="AB28" s="34"/>
      <c r="AC28" s="34"/>
      <c r="AD28" s="34" t="s">
        <v>524</v>
      </c>
      <c r="AE28" s="34"/>
      <c r="AF28" s="34"/>
      <c r="AG28" s="44" t="s">
        <v>340</v>
      </c>
      <c r="AH28" s="44" t="s">
        <v>341</v>
      </c>
      <c r="AI28" s="34"/>
      <c r="AJ28" s="34"/>
      <c r="AK28" s="34" t="s">
        <v>604</v>
      </c>
      <c r="AL28" s="34"/>
      <c r="AM28" s="38" t="b">
        <v>0</v>
      </c>
      <c r="AN28" s="34" t="s">
        <v>105</v>
      </c>
      <c r="AO28" s="34" t="s">
        <v>106</v>
      </c>
      <c r="AP28" s="34"/>
      <c r="AQ28" s="34"/>
      <c r="AR28" s="38"/>
      <c r="AS28" s="34"/>
      <c r="AT28" s="34"/>
      <c r="AU28" s="34" t="b">
        <v>0</v>
      </c>
    </row>
    <row r="29" spans="1:47" x14ac:dyDescent="0.3">
      <c r="A29" s="34" t="s">
        <v>344</v>
      </c>
      <c r="B29" s="34"/>
      <c r="C29" s="34"/>
      <c r="D29" s="34"/>
      <c r="E29" s="38" t="b">
        <v>0</v>
      </c>
      <c r="F29" s="34">
        <v>0</v>
      </c>
      <c r="G29" s="34" t="b">
        <v>0</v>
      </c>
      <c r="H29" s="34">
        <v>0</v>
      </c>
      <c r="I29" s="34">
        <v>0</v>
      </c>
      <c r="J29" s="34">
        <v>0</v>
      </c>
      <c r="K29" s="34">
        <v>0</v>
      </c>
      <c r="L29" s="34"/>
      <c r="M29" s="34"/>
      <c r="N29" s="34" t="s">
        <v>102</v>
      </c>
      <c r="O29" s="34" t="s">
        <v>102</v>
      </c>
      <c r="P29" s="34">
        <v>0</v>
      </c>
      <c r="Q29" s="38">
        <v>-1</v>
      </c>
      <c r="R29" s="38">
        <v>-1</v>
      </c>
      <c r="S29" s="38" t="s">
        <v>103</v>
      </c>
      <c r="T29" s="38" t="s">
        <v>104</v>
      </c>
      <c r="U29" s="34"/>
      <c r="V29" s="34"/>
      <c r="W29" s="34"/>
      <c r="X29" s="34"/>
      <c r="Y29" s="34" t="b">
        <v>0</v>
      </c>
      <c r="Z29" s="34">
        <v>0</v>
      </c>
      <c r="AA29" s="34" t="b">
        <v>0</v>
      </c>
      <c r="AB29" s="34"/>
      <c r="AC29" s="34"/>
      <c r="AD29" s="34" t="s">
        <v>345</v>
      </c>
      <c r="AE29" s="34"/>
      <c r="AF29" s="34"/>
      <c r="AG29" s="44" t="s">
        <v>346</v>
      </c>
      <c r="AH29" s="44" t="s">
        <v>347</v>
      </c>
      <c r="AI29" s="34"/>
      <c r="AJ29" s="34"/>
      <c r="AK29" s="34" t="s">
        <v>603</v>
      </c>
      <c r="AL29" s="34"/>
      <c r="AM29" s="38" t="b">
        <v>0</v>
      </c>
      <c r="AN29" s="34" t="s">
        <v>105</v>
      </c>
      <c r="AO29" s="34" t="s">
        <v>106</v>
      </c>
      <c r="AP29" s="34"/>
      <c r="AQ29" s="34"/>
      <c r="AR29" s="38"/>
      <c r="AS29" s="34"/>
      <c r="AT29" s="34"/>
      <c r="AU29" s="34" t="b">
        <v>0</v>
      </c>
    </row>
    <row r="30" spans="1:47" x14ac:dyDescent="0.3">
      <c r="A30" s="34" t="s">
        <v>521</v>
      </c>
      <c r="B30" s="34"/>
      <c r="C30" s="34"/>
      <c r="D30" s="34"/>
      <c r="E30" s="38" t="b">
        <v>0</v>
      </c>
      <c r="F30" s="34">
        <v>0</v>
      </c>
      <c r="G30" s="34" t="b">
        <v>0</v>
      </c>
      <c r="H30" s="34">
        <v>0</v>
      </c>
      <c r="I30" s="34">
        <v>0</v>
      </c>
      <c r="J30" s="34">
        <v>0</v>
      </c>
      <c r="K30" s="34">
        <v>0</v>
      </c>
      <c r="L30" s="34"/>
      <c r="M30" s="34"/>
      <c r="N30" s="34" t="s">
        <v>102</v>
      </c>
      <c r="O30" s="34" t="s">
        <v>102</v>
      </c>
      <c r="P30" s="34">
        <v>0</v>
      </c>
      <c r="Q30" s="38">
        <v>-1</v>
      </c>
      <c r="R30" s="38">
        <v>-1</v>
      </c>
      <c r="S30" s="38" t="s">
        <v>103</v>
      </c>
      <c r="T30" s="38" t="s">
        <v>104</v>
      </c>
      <c r="U30" s="34"/>
      <c r="V30" s="34"/>
      <c r="W30" s="34"/>
      <c r="X30" s="34"/>
      <c r="Y30" s="34" t="b">
        <v>0</v>
      </c>
      <c r="Z30" s="34">
        <v>0</v>
      </c>
      <c r="AA30" s="34" t="b">
        <v>0</v>
      </c>
      <c r="AB30" s="34"/>
      <c r="AC30" s="34"/>
      <c r="AD30" s="34" t="s">
        <v>522</v>
      </c>
      <c r="AE30" s="34"/>
      <c r="AF30" s="34"/>
      <c r="AG30" s="44" t="s">
        <v>346</v>
      </c>
      <c r="AH30" s="44" t="s">
        <v>347</v>
      </c>
      <c r="AI30" s="34"/>
      <c r="AJ30" s="34"/>
      <c r="AK30" s="34" t="s">
        <v>605</v>
      </c>
      <c r="AL30" s="34"/>
      <c r="AM30" s="38" t="b">
        <v>0</v>
      </c>
      <c r="AN30" s="34" t="s">
        <v>105</v>
      </c>
      <c r="AO30" s="34" t="s">
        <v>106</v>
      </c>
      <c r="AP30" s="34"/>
      <c r="AQ30" s="34"/>
      <c r="AR30" s="38"/>
      <c r="AS30" s="34"/>
      <c r="AT30" s="34"/>
      <c r="AU30" s="34" t="b">
        <v>0</v>
      </c>
    </row>
    <row r="31" spans="1:47" x14ac:dyDescent="0.3">
      <c r="A31" s="36" t="s">
        <v>350</v>
      </c>
      <c r="B31" s="36"/>
      <c r="C31" s="36"/>
      <c r="D31" s="36"/>
      <c r="E31" s="39" t="b">
        <v>0</v>
      </c>
      <c r="F31" s="36">
        <v>0</v>
      </c>
      <c r="G31" s="36" t="b">
        <v>0</v>
      </c>
      <c r="H31" s="36">
        <v>0</v>
      </c>
      <c r="I31" s="36">
        <v>0</v>
      </c>
      <c r="J31" s="36">
        <v>0</v>
      </c>
      <c r="K31" s="36">
        <v>0</v>
      </c>
      <c r="L31" s="36"/>
      <c r="M31" s="36"/>
      <c r="N31" s="36" t="s">
        <v>102</v>
      </c>
      <c r="O31" s="36" t="s">
        <v>102</v>
      </c>
      <c r="P31" s="36">
        <v>0</v>
      </c>
      <c r="Q31" s="39">
        <v>-1</v>
      </c>
      <c r="R31" s="39">
        <v>-1</v>
      </c>
      <c r="S31" s="39" t="s">
        <v>103</v>
      </c>
      <c r="T31" s="39" t="s">
        <v>104</v>
      </c>
      <c r="U31" s="36"/>
      <c r="V31" s="36"/>
      <c r="W31" s="36"/>
      <c r="X31" s="36"/>
      <c r="Y31" s="36" t="b">
        <v>0</v>
      </c>
      <c r="Z31" s="36">
        <v>0</v>
      </c>
      <c r="AA31" s="36" t="b">
        <v>0</v>
      </c>
      <c r="AB31" s="36"/>
      <c r="AC31" s="36"/>
      <c r="AD31" s="36" t="s">
        <v>351</v>
      </c>
      <c r="AE31" s="36"/>
      <c r="AF31" s="36"/>
      <c r="AG31" s="45" t="s">
        <v>352</v>
      </c>
      <c r="AH31" s="45" t="s">
        <v>353</v>
      </c>
      <c r="AI31" s="36"/>
      <c r="AJ31" s="36"/>
      <c r="AK31" s="36" t="s">
        <v>570</v>
      </c>
      <c r="AL31" s="36"/>
      <c r="AM31" s="39" t="b">
        <v>0</v>
      </c>
      <c r="AN31" s="36" t="s">
        <v>105</v>
      </c>
      <c r="AO31" s="36" t="s">
        <v>106</v>
      </c>
      <c r="AP31" s="36"/>
      <c r="AQ31" s="36"/>
      <c r="AR31" s="39"/>
      <c r="AS31" s="36"/>
      <c r="AT31" s="36"/>
      <c r="AU31" s="36" t="b">
        <v>0</v>
      </c>
    </row>
    <row r="32" spans="1:47" x14ac:dyDescent="0.3">
      <c r="A32" s="34" t="s">
        <v>355</v>
      </c>
      <c r="B32" s="34"/>
      <c r="C32" s="34"/>
      <c r="D32" s="34"/>
      <c r="E32" s="38" t="b">
        <v>0</v>
      </c>
      <c r="F32" s="34">
        <v>0</v>
      </c>
      <c r="G32" s="34" t="b">
        <v>0</v>
      </c>
      <c r="H32" s="34">
        <v>0</v>
      </c>
      <c r="I32" s="34">
        <v>0</v>
      </c>
      <c r="J32" s="34">
        <v>0</v>
      </c>
      <c r="K32" s="34">
        <v>0</v>
      </c>
      <c r="L32" s="34"/>
      <c r="M32" s="34"/>
      <c r="N32" s="34" t="s">
        <v>102</v>
      </c>
      <c r="O32" s="34" t="s">
        <v>102</v>
      </c>
      <c r="P32" s="34">
        <v>0</v>
      </c>
      <c r="Q32" s="38">
        <v>-1</v>
      </c>
      <c r="R32" s="38">
        <v>-1</v>
      </c>
      <c r="S32" s="38" t="s">
        <v>103</v>
      </c>
      <c r="T32" s="38" t="s">
        <v>104</v>
      </c>
      <c r="U32" s="34"/>
      <c r="V32" s="34"/>
      <c r="W32" s="34"/>
      <c r="X32" s="34"/>
      <c r="Y32" s="34" t="b">
        <v>0</v>
      </c>
      <c r="Z32" s="34">
        <v>0</v>
      </c>
      <c r="AA32" s="34" t="b">
        <v>0</v>
      </c>
      <c r="AB32" s="34"/>
      <c r="AC32" s="34"/>
      <c r="AD32" s="34" t="s">
        <v>356</v>
      </c>
      <c r="AE32" s="34"/>
      <c r="AF32" s="34"/>
      <c r="AG32" s="44" t="s">
        <v>357</v>
      </c>
      <c r="AH32" s="44" t="s">
        <v>358</v>
      </c>
      <c r="AI32" s="34"/>
      <c r="AJ32" s="34"/>
      <c r="AK32" s="34" t="s">
        <v>565</v>
      </c>
      <c r="AL32" s="34"/>
      <c r="AM32" s="38" t="b">
        <v>0</v>
      </c>
      <c r="AN32" s="34" t="s">
        <v>105</v>
      </c>
      <c r="AO32" s="34" t="s">
        <v>106</v>
      </c>
      <c r="AP32" s="34"/>
      <c r="AQ32" s="34"/>
      <c r="AR32" s="38"/>
      <c r="AS32" s="34"/>
      <c r="AT32" s="34"/>
      <c r="AU32" s="34" t="b">
        <v>0</v>
      </c>
    </row>
    <row r="33" spans="1:47" x14ac:dyDescent="0.3">
      <c r="A33" s="32" t="s">
        <v>363</v>
      </c>
      <c r="B33" s="32"/>
      <c r="C33" s="32"/>
      <c r="D33" s="32"/>
      <c r="E33" s="12" t="b">
        <v>0</v>
      </c>
      <c r="F33" s="32">
        <v>0</v>
      </c>
      <c r="G33" s="32" t="b">
        <v>0</v>
      </c>
      <c r="H33" s="32">
        <v>0</v>
      </c>
      <c r="I33" s="32">
        <v>0</v>
      </c>
      <c r="J33" s="32">
        <v>0</v>
      </c>
      <c r="K33" s="32">
        <v>0</v>
      </c>
      <c r="L33" s="32"/>
      <c r="M33" s="32"/>
      <c r="N33" s="32" t="s">
        <v>102</v>
      </c>
      <c r="O33" s="32" t="s">
        <v>102</v>
      </c>
      <c r="P33" s="32">
        <v>0</v>
      </c>
      <c r="Q33" s="12">
        <v>-1</v>
      </c>
      <c r="R33" s="12">
        <v>-1</v>
      </c>
      <c r="S33" s="12" t="s">
        <v>103</v>
      </c>
      <c r="T33" s="12" t="s">
        <v>104</v>
      </c>
      <c r="U33" s="32"/>
      <c r="V33" s="32"/>
      <c r="W33" s="32"/>
      <c r="X33" s="32"/>
      <c r="Y33" s="32" t="b">
        <v>0</v>
      </c>
      <c r="Z33" s="32">
        <v>0</v>
      </c>
      <c r="AA33" s="32" t="b">
        <v>0</v>
      </c>
      <c r="AB33" s="32"/>
      <c r="AC33" s="32"/>
      <c r="AD33" s="32" t="s">
        <v>364</v>
      </c>
      <c r="AE33" s="32"/>
      <c r="AF33" s="32"/>
      <c r="AG33" s="43" t="s">
        <v>365</v>
      </c>
      <c r="AH33" s="43" t="s">
        <v>366</v>
      </c>
      <c r="AI33" s="32"/>
      <c r="AJ33" s="32"/>
      <c r="AK33" s="32" t="s">
        <v>585</v>
      </c>
      <c r="AL33" s="32"/>
      <c r="AM33" s="12" t="b">
        <v>0</v>
      </c>
      <c r="AN33" s="32" t="s">
        <v>105</v>
      </c>
      <c r="AO33" s="32" t="s">
        <v>106</v>
      </c>
      <c r="AP33" s="32"/>
      <c r="AQ33" s="32"/>
      <c r="AR33" s="12"/>
      <c r="AS33" s="32"/>
      <c r="AT33" s="32"/>
      <c r="AU33" s="32" t="b">
        <v>0</v>
      </c>
    </row>
    <row r="34" spans="1:47" x14ac:dyDescent="0.3">
      <c r="A34" s="29" t="s">
        <v>369</v>
      </c>
      <c r="B34" s="29"/>
      <c r="C34" s="29"/>
      <c r="D34" s="29"/>
      <c r="E34" s="30" t="b">
        <v>0</v>
      </c>
      <c r="F34" s="29">
        <v>0</v>
      </c>
      <c r="G34" s="29" t="b">
        <v>0</v>
      </c>
      <c r="H34" s="29">
        <v>0</v>
      </c>
      <c r="I34" s="29">
        <v>0</v>
      </c>
      <c r="J34" s="29">
        <v>0</v>
      </c>
      <c r="K34" s="29">
        <v>0</v>
      </c>
      <c r="L34" s="29"/>
      <c r="M34" s="29"/>
      <c r="N34" s="29" t="s">
        <v>102</v>
      </c>
      <c r="O34" s="29" t="s">
        <v>102</v>
      </c>
      <c r="P34" s="29">
        <v>0</v>
      </c>
      <c r="Q34" s="30">
        <v>-1</v>
      </c>
      <c r="R34" s="30">
        <v>-1</v>
      </c>
      <c r="S34" s="30" t="s">
        <v>103</v>
      </c>
      <c r="T34" s="30" t="s">
        <v>104</v>
      </c>
      <c r="U34" s="29"/>
      <c r="V34" s="29"/>
      <c r="W34" s="29"/>
      <c r="X34" s="29"/>
      <c r="Y34" s="29" t="b">
        <v>0</v>
      </c>
      <c r="Z34" s="29">
        <v>0</v>
      </c>
      <c r="AA34" s="29" t="b">
        <v>0</v>
      </c>
      <c r="AB34" s="29"/>
      <c r="AC34" s="29"/>
      <c r="AD34" s="29" t="s">
        <v>370</v>
      </c>
      <c r="AE34" s="29"/>
      <c r="AF34" s="29"/>
      <c r="AG34" s="42" t="s">
        <v>371</v>
      </c>
      <c r="AH34" s="42" t="s">
        <v>372</v>
      </c>
      <c r="AI34" s="29"/>
      <c r="AJ34" s="29"/>
      <c r="AK34" s="29" t="s">
        <v>556</v>
      </c>
      <c r="AL34" s="29"/>
      <c r="AM34" s="30" t="b">
        <v>0</v>
      </c>
      <c r="AN34" s="29" t="s">
        <v>105</v>
      </c>
      <c r="AO34" s="29" t="s">
        <v>106</v>
      </c>
      <c r="AP34" s="29"/>
      <c r="AQ34" s="29"/>
      <c r="AR34" s="30"/>
      <c r="AS34" s="29"/>
      <c r="AT34" s="29"/>
      <c r="AU34" s="29" t="b">
        <v>0</v>
      </c>
    </row>
    <row r="35" spans="1:47" x14ac:dyDescent="0.3">
      <c r="A35" s="29" t="s">
        <v>377</v>
      </c>
      <c r="B35" s="29"/>
      <c r="C35" s="29"/>
      <c r="D35" s="29"/>
      <c r="E35" s="30" t="b">
        <v>0</v>
      </c>
      <c r="F35" s="29">
        <v>0</v>
      </c>
      <c r="G35" s="29" t="b">
        <v>0</v>
      </c>
      <c r="H35" s="29">
        <v>0</v>
      </c>
      <c r="I35" s="29">
        <v>0</v>
      </c>
      <c r="J35" s="29">
        <v>0</v>
      </c>
      <c r="K35" s="29">
        <v>0</v>
      </c>
      <c r="L35" s="29"/>
      <c r="M35" s="29"/>
      <c r="N35" s="29" t="s">
        <v>102</v>
      </c>
      <c r="O35" s="29" t="s">
        <v>102</v>
      </c>
      <c r="P35" s="29">
        <v>0</v>
      </c>
      <c r="Q35" s="30">
        <v>-1</v>
      </c>
      <c r="R35" s="30">
        <v>-1</v>
      </c>
      <c r="S35" s="30" t="s">
        <v>103</v>
      </c>
      <c r="T35" s="30" t="s">
        <v>104</v>
      </c>
      <c r="U35" s="29"/>
      <c r="V35" s="29"/>
      <c r="W35" s="29"/>
      <c r="X35" s="29"/>
      <c r="Y35" s="29" t="b">
        <v>0</v>
      </c>
      <c r="Z35" s="29">
        <v>0</v>
      </c>
      <c r="AA35" s="29" t="b">
        <v>0</v>
      </c>
      <c r="AB35" s="29"/>
      <c r="AC35" s="29"/>
      <c r="AD35" s="29" t="s">
        <v>378</v>
      </c>
      <c r="AE35" s="29"/>
      <c r="AF35" s="29"/>
      <c r="AG35" s="42" t="s">
        <v>545</v>
      </c>
      <c r="AH35" s="42" t="s">
        <v>379</v>
      </c>
      <c r="AI35" s="29"/>
      <c r="AJ35" s="29"/>
      <c r="AK35" s="29" t="s">
        <v>557</v>
      </c>
      <c r="AL35" s="29"/>
      <c r="AM35" s="30" t="b">
        <v>0</v>
      </c>
      <c r="AN35" s="29" t="s">
        <v>105</v>
      </c>
      <c r="AO35" s="29" t="s">
        <v>106</v>
      </c>
      <c r="AP35" s="29"/>
      <c r="AQ35" s="29"/>
      <c r="AR35" s="30"/>
      <c r="AS35" s="29"/>
      <c r="AT35" s="29"/>
      <c r="AU35" s="29" t="b">
        <v>0</v>
      </c>
    </row>
    <row r="36" spans="1:47" x14ac:dyDescent="0.3">
      <c r="A36" s="32" t="s">
        <v>382</v>
      </c>
      <c r="B36" s="32"/>
      <c r="C36" s="32"/>
      <c r="D36" s="32"/>
      <c r="E36" s="12" t="b">
        <v>0</v>
      </c>
      <c r="F36" s="32">
        <v>0</v>
      </c>
      <c r="G36" s="32" t="b">
        <v>0</v>
      </c>
      <c r="H36" s="32">
        <v>0</v>
      </c>
      <c r="I36" s="32">
        <v>0</v>
      </c>
      <c r="J36" s="32">
        <v>0</v>
      </c>
      <c r="K36" s="32">
        <v>0</v>
      </c>
      <c r="L36" s="32"/>
      <c r="M36" s="32"/>
      <c r="N36" s="32" t="s">
        <v>102</v>
      </c>
      <c r="O36" s="32" t="s">
        <v>102</v>
      </c>
      <c r="P36" s="32">
        <v>0</v>
      </c>
      <c r="Q36" s="12">
        <v>-1</v>
      </c>
      <c r="R36" s="12">
        <v>-1</v>
      </c>
      <c r="S36" s="12" t="s">
        <v>103</v>
      </c>
      <c r="T36" s="12" t="s">
        <v>104</v>
      </c>
      <c r="U36" s="32"/>
      <c r="V36" s="32"/>
      <c r="W36" s="32"/>
      <c r="X36" s="32"/>
      <c r="Y36" s="32" t="b">
        <v>0</v>
      </c>
      <c r="Z36" s="32">
        <v>0</v>
      </c>
      <c r="AA36" s="32" t="b">
        <v>0</v>
      </c>
      <c r="AB36" s="32"/>
      <c r="AC36" s="32"/>
      <c r="AD36" s="32" t="s">
        <v>383</v>
      </c>
      <c r="AE36" s="32"/>
      <c r="AF36" s="32"/>
      <c r="AG36" s="43" t="s">
        <v>384</v>
      </c>
      <c r="AH36" s="43" t="s">
        <v>385</v>
      </c>
      <c r="AI36" s="32"/>
      <c r="AJ36" s="32"/>
      <c r="AK36" s="32" t="s">
        <v>579</v>
      </c>
      <c r="AL36" s="32"/>
      <c r="AM36" s="12" t="b">
        <v>0</v>
      </c>
      <c r="AN36" s="32" t="s">
        <v>105</v>
      </c>
      <c r="AO36" s="32" t="s">
        <v>106</v>
      </c>
      <c r="AP36" s="32"/>
      <c r="AQ36" s="32"/>
      <c r="AR36" s="12"/>
      <c r="AS36" s="32"/>
      <c r="AT36" s="32"/>
      <c r="AU36" s="32" t="b">
        <v>0</v>
      </c>
    </row>
    <row r="37" spans="1:47" x14ac:dyDescent="0.3">
      <c r="A37" s="29" t="s">
        <v>388</v>
      </c>
      <c r="B37" s="29"/>
      <c r="C37" s="29"/>
      <c r="D37" s="29"/>
      <c r="E37" s="30" t="b">
        <v>0</v>
      </c>
      <c r="F37" s="29">
        <v>0</v>
      </c>
      <c r="G37" s="29" t="b">
        <v>0</v>
      </c>
      <c r="H37" s="29">
        <v>0</v>
      </c>
      <c r="I37" s="29">
        <v>0</v>
      </c>
      <c r="J37" s="29">
        <v>0</v>
      </c>
      <c r="K37" s="29">
        <v>0</v>
      </c>
      <c r="L37" s="29"/>
      <c r="M37" s="29"/>
      <c r="N37" s="29" t="s">
        <v>102</v>
      </c>
      <c r="O37" s="29" t="s">
        <v>102</v>
      </c>
      <c r="P37" s="29">
        <v>0</v>
      </c>
      <c r="Q37" s="30">
        <v>-1</v>
      </c>
      <c r="R37" s="30">
        <v>-1</v>
      </c>
      <c r="S37" s="30" t="s">
        <v>103</v>
      </c>
      <c r="T37" s="30" t="s">
        <v>104</v>
      </c>
      <c r="U37" s="29"/>
      <c r="V37" s="29"/>
      <c r="W37" s="29"/>
      <c r="X37" s="29"/>
      <c r="Y37" s="29" t="b">
        <v>0</v>
      </c>
      <c r="Z37" s="29">
        <v>0</v>
      </c>
      <c r="AA37" s="29" t="b">
        <v>0</v>
      </c>
      <c r="AB37" s="29"/>
      <c r="AC37" s="29"/>
      <c r="AD37" s="29" t="s">
        <v>389</v>
      </c>
      <c r="AE37" s="29"/>
      <c r="AF37" s="29"/>
      <c r="AG37" s="42" t="s">
        <v>390</v>
      </c>
      <c r="AH37" s="42" t="s">
        <v>391</v>
      </c>
      <c r="AI37" s="29"/>
      <c r="AJ37" s="29"/>
      <c r="AK37" s="29" t="s">
        <v>558</v>
      </c>
      <c r="AL37" s="29"/>
      <c r="AM37" s="30" t="b">
        <v>0</v>
      </c>
      <c r="AN37" s="29" t="s">
        <v>105</v>
      </c>
      <c r="AO37" s="29" t="s">
        <v>106</v>
      </c>
      <c r="AP37" s="29"/>
      <c r="AQ37" s="29"/>
      <c r="AR37" s="30"/>
      <c r="AS37" s="29"/>
      <c r="AT37" s="29"/>
      <c r="AU37" s="29" t="b">
        <v>0</v>
      </c>
    </row>
    <row r="38" spans="1:47" x14ac:dyDescent="0.3">
      <c r="A38" s="32" t="s">
        <v>394</v>
      </c>
      <c r="B38" s="32"/>
      <c r="C38" s="32"/>
      <c r="D38" s="32"/>
      <c r="E38" s="12" t="b">
        <v>0</v>
      </c>
      <c r="F38" s="32">
        <v>0</v>
      </c>
      <c r="G38" s="32" t="b">
        <v>0</v>
      </c>
      <c r="H38" s="32">
        <v>0</v>
      </c>
      <c r="I38" s="32">
        <v>0</v>
      </c>
      <c r="J38" s="32">
        <v>0</v>
      </c>
      <c r="K38" s="32">
        <v>0</v>
      </c>
      <c r="L38" s="32"/>
      <c r="M38" s="32"/>
      <c r="N38" s="32" t="s">
        <v>102</v>
      </c>
      <c r="O38" s="32" t="s">
        <v>102</v>
      </c>
      <c r="P38" s="32">
        <v>0</v>
      </c>
      <c r="Q38" s="12">
        <v>-1</v>
      </c>
      <c r="R38" s="12">
        <v>-1</v>
      </c>
      <c r="S38" s="12" t="s">
        <v>103</v>
      </c>
      <c r="T38" s="12" t="s">
        <v>104</v>
      </c>
      <c r="U38" s="32"/>
      <c r="V38" s="32"/>
      <c r="W38" s="32"/>
      <c r="X38" s="32"/>
      <c r="Y38" s="32" t="b">
        <v>0</v>
      </c>
      <c r="Z38" s="32">
        <v>0</v>
      </c>
      <c r="AA38" s="32" t="b">
        <v>0</v>
      </c>
      <c r="AB38" s="32"/>
      <c r="AC38" s="32"/>
      <c r="AD38" s="32" t="s">
        <v>395</v>
      </c>
      <c r="AE38" s="32"/>
      <c r="AF38" s="32"/>
      <c r="AG38" s="43" t="s">
        <v>396</v>
      </c>
      <c r="AH38" s="43" t="s">
        <v>397</v>
      </c>
      <c r="AI38" s="32"/>
      <c r="AJ38" s="32"/>
      <c r="AK38" s="32" t="s">
        <v>574</v>
      </c>
      <c r="AL38" s="32"/>
      <c r="AM38" s="12" t="b">
        <v>0</v>
      </c>
      <c r="AN38" s="32" t="s">
        <v>105</v>
      </c>
      <c r="AO38" s="32" t="s">
        <v>106</v>
      </c>
      <c r="AP38" s="32"/>
      <c r="AQ38" s="32"/>
      <c r="AR38" s="12"/>
      <c r="AS38" s="32"/>
      <c r="AT38" s="32"/>
      <c r="AU38" s="32" t="b">
        <v>0</v>
      </c>
    </row>
    <row r="39" spans="1:47" x14ac:dyDescent="0.3">
      <c r="A39" s="32" t="s">
        <v>532</v>
      </c>
      <c r="B39" s="32"/>
      <c r="C39" s="32"/>
      <c r="D39" s="32"/>
      <c r="E39" s="12" t="b">
        <v>0</v>
      </c>
      <c r="F39" s="32">
        <v>0</v>
      </c>
      <c r="G39" s="32" t="b">
        <v>0</v>
      </c>
      <c r="H39" s="32">
        <v>0</v>
      </c>
      <c r="I39" s="32">
        <v>0</v>
      </c>
      <c r="J39" s="32">
        <v>0</v>
      </c>
      <c r="K39" s="32">
        <v>0</v>
      </c>
      <c r="L39" s="32"/>
      <c r="M39" s="32"/>
      <c r="N39" s="32" t="s">
        <v>102</v>
      </c>
      <c r="O39" s="32" t="s">
        <v>102</v>
      </c>
      <c r="P39" s="32">
        <v>0</v>
      </c>
      <c r="Q39" s="12">
        <v>-1</v>
      </c>
      <c r="R39" s="12">
        <v>-1</v>
      </c>
      <c r="S39" s="12" t="s">
        <v>103</v>
      </c>
      <c r="T39" s="12" t="s">
        <v>104</v>
      </c>
      <c r="U39" s="32"/>
      <c r="V39" s="32"/>
      <c r="W39" s="32"/>
      <c r="X39" s="32"/>
      <c r="Y39" s="32" t="b">
        <v>0</v>
      </c>
      <c r="Z39" s="32">
        <v>0</v>
      </c>
      <c r="AA39" s="32" t="b">
        <v>0</v>
      </c>
      <c r="AB39" s="32"/>
      <c r="AC39" s="32"/>
      <c r="AD39" s="32" t="s">
        <v>533</v>
      </c>
      <c r="AE39" s="32"/>
      <c r="AF39" s="32"/>
      <c r="AG39" s="43" t="s">
        <v>396</v>
      </c>
      <c r="AH39" s="43" t="s">
        <v>397</v>
      </c>
      <c r="AI39" s="32"/>
      <c r="AJ39" s="32"/>
      <c r="AK39" s="32" t="s">
        <v>574</v>
      </c>
      <c r="AL39" s="32"/>
      <c r="AM39" s="12" t="b">
        <v>0</v>
      </c>
      <c r="AN39" s="32" t="s">
        <v>105</v>
      </c>
      <c r="AO39" s="32" t="s">
        <v>106</v>
      </c>
      <c r="AP39" s="32"/>
      <c r="AQ39" s="32"/>
      <c r="AR39" s="12"/>
      <c r="AS39" s="32"/>
      <c r="AT39" s="32"/>
      <c r="AU39" s="32" t="b">
        <v>0</v>
      </c>
    </row>
    <row r="40" spans="1:47" x14ac:dyDescent="0.3">
      <c r="A40" s="29" t="s">
        <v>399</v>
      </c>
      <c r="B40" s="29"/>
      <c r="C40" s="29"/>
      <c r="D40" s="29"/>
      <c r="E40" s="30" t="b">
        <v>0</v>
      </c>
      <c r="F40" s="29">
        <v>0</v>
      </c>
      <c r="G40" s="29" t="b">
        <v>0</v>
      </c>
      <c r="H40" s="29">
        <v>0</v>
      </c>
      <c r="I40" s="29">
        <v>0</v>
      </c>
      <c r="J40" s="29">
        <v>0</v>
      </c>
      <c r="K40" s="29">
        <v>0</v>
      </c>
      <c r="L40" s="29"/>
      <c r="M40" s="29"/>
      <c r="N40" s="29" t="s">
        <v>102</v>
      </c>
      <c r="O40" s="29" t="s">
        <v>102</v>
      </c>
      <c r="P40" s="29">
        <v>0</v>
      </c>
      <c r="Q40" s="30">
        <v>-1</v>
      </c>
      <c r="R40" s="30">
        <v>-1</v>
      </c>
      <c r="S40" s="30" t="s">
        <v>103</v>
      </c>
      <c r="T40" s="30" t="s">
        <v>104</v>
      </c>
      <c r="U40" s="29"/>
      <c r="V40" s="29"/>
      <c r="W40" s="29"/>
      <c r="X40" s="29"/>
      <c r="Y40" s="29" t="b">
        <v>0</v>
      </c>
      <c r="Z40" s="29">
        <v>0</v>
      </c>
      <c r="AA40" s="29" t="b">
        <v>0</v>
      </c>
      <c r="AB40" s="29"/>
      <c r="AC40" s="29"/>
      <c r="AD40" s="29" t="s">
        <v>400</v>
      </c>
      <c r="AE40" s="29"/>
      <c r="AF40" s="29"/>
      <c r="AG40" s="42" t="s">
        <v>401</v>
      </c>
      <c r="AH40" s="42" t="s">
        <v>402</v>
      </c>
      <c r="AI40" s="29"/>
      <c r="AJ40" s="29"/>
      <c r="AK40" s="29" t="s">
        <v>567</v>
      </c>
      <c r="AL40" s="29"/>
      <c r="AM40" s="30" t="b">
        <v>0</v>
      </c>
      <c r="AN40" s="29" t="s">
        <v>105</v>
      </c>
      <c r="AO40" s="29" t="s">
        <v>106</v>
      </c>
      <c r="AP40" s="29"/>
      <c r="AQ40" s="29"/>
      <c r="AR40" s="30"/>
      <c r="AS40" s="29"/>
      <c r="AT40" s="29"/>
      <c r="AU40" s="29" t="b">
        <v>0</v>
      </c>
    </row>
    <row r="41" spans="1:47" x14ac:dyDescent="0.3">
      <c r="A41" s="32" t="s">
        <v>405</v>
      </c>
      <c r="B41" s="32"/>
      <c r="C41" s="32"/>
      <c r="D41" s="32"/>
      <c r="E41" s="12" t="b">
        <v>0</v>
      </c>
      <c r="F41" s="32">
        <v>0</v>
      </c>
      <c r="G41" s="32" t="b">
        <v>0</v>
      </c>
      <c r="H41" s="32">
        <v>0</v>
      </c>
      <c r="I41" s="32">
        <v>0</v>
      </c>
      <c r="J41" s="32">
        <v>0</v>
      </c>
      <c r="K41" s="32">
        <v>0</v>
      </c>
      <c r="L41" s="32"/>
      <c r="M41" s="32"/>
      <c r="N41" s="32" t="s">
        <v>102</v>
      </c>
      <c r="O41" s="32" t="s">
        <v>102</v>
      </c>
      <c r="P41" s="32">
        <v>0</v>
      </c>
      <c r="Q41" s="12">
        <v>-1</v>
      </c>
      <c r="R41" s="12">
        <v>-1</v>
      </c>
      <c r="S41" s="12" t="s">
        <v>103</v>
      </c>
      <c r="T41" s="12" t="s">
        <v>104</v>
      </c>
      <c r="U41" s="32"/>
      <c r="V41" s="32"/>
      <c r="W41" s="32"/>
      <c r="X41" s="32"/>
      <c r="Y41" s="32" t="b">
        <v>0</v>
      </c>
      <c r="Z41" s="32">
        <v>0</v>
      </c>
      <c r="AA41" s="32" t="b">
        <v>0</v>
      </c>
      <c r="AB41" s="32"/>
      <c r="AC41" s="32"/>
      <c r="AD41" s="32" t="s">
        <v>406</v>
      </c>
      <c r="AE41" s="32"/>
      <c r="AF41" s="32"/>
      <c r="AG41" s="43" t="s">
        <v>407</v>
      </c>
      <c r="AH41" s="43" t="s">
        <v>408</v>
      </c>
      <c r="AI41" s="32"/>
      <c r="AJ41" s="32"/>
      <c r="AK41" s="32" t="s">
        <v>581</v>
      </c>
      <c r="AL41" s="32"/>
      <c r="AM41" s="12" t="b">
        <v>0</v>
      </c>
      <c r="AN41" s="32" t="s">
        <v>105</v>
      </c>
      <c r="AO41" s="32" t="s">
        <v>106</v>
      </c>
      <c r="AP41" s="32"/>
      <c r="AQ41" s="32"/>
      <c r="AR41" s="12"/>
      <c r="AS41" s="32"/>
      <c r="AT41" s="32"/>
      <c r="AU41" s="32" t="b">
        <v>0</v>
      </c>
    </row>
    <row r="42" spans="1:47" x14ac:dyDescent="0.3">
      <c r="A42" s="32" t="s">
        <v>528</v>
      </c>
      <c r="B42" s="32"/>
      <c r="C42" s="32"/>
      <c r="D42" s="32"/>
      <c r="E42" s="12" t="b">
        <v>0</v>
      </c>
      <c r="F42" s="32">
        <v>0</v>
      </c>
      <c r="G42" s="32" t="b">
        <v>0</v>
      </c>
      <c r="H42" s="32">
        <v>0</v>
      </c>
      <c r="I42" s="32">
        <v>0</v>
      </c>
      <c r="J42" s="32">
        <v>0</v>
      </c>
      <c r="K42" s="32">
        <v>0</v>
      </c>
      <c r="L42" s="32"/>
      <c r="M42" s="32"/>
      <c r="N42" s="32" t="s">
        <v>102</v>
      </c>
      <c r="O42" s="32" t="s">
        <v>102</v>
      </c>
      <c r="P42" s="32">
        <v>0</v>
      </c>
      <c r="Q42" s="12">
        <v>-1</v>
      </c>
      <c r="R42" s="12">
        <v>-1</v>
      </c>
      <c r="S42" s="12" t="s">
        <v>103</v>
      </c>
      <c r="T42" s="12" t="s">
        <v>104</v>
      </c>
      <c r="U42" s="32"/>
      <c r="V42" s="32"/>
      <c r="W42" s="32"/>
      <c r="X42" s="32"/>
      <c r="Y42" s="32" t="b">
        <v>0</v>
      </c>
      <c r="Z42" s="32">
        <v>0</v>
      </c>
      <c r="AA42" s="32" t="b">
        <v>0</v>
      </c>
      <c r="AB42" s="32"/>
      <c r="AC42" s="32"/>
      <c r="AD42" s="32" t="s">
        <v>529</v>
      </c>
      <c r="AE42" s="32"/>
      <c r="AF42" s="32"/>
      <c r="AG42" s="43" t="s">
        <v>407</v>
      </c>
      <c r="AH42" s="43" t="s">
        <v>408</v>
      </c>
      <c r="AI42" s="32"/>
      <c r="AJ42" s="32"/>
      <c r="AK42" s="32" t="s">
        <v>582</v>
      </c>
      <c r="AL42" s="32"/>
      <c r="AM42" s="12" t="b">
        <v>0</v>
      </c>
      <c r="AN42" s="32" t="s">
        <v>105</v>
      </c>
      <c r="AO42" s="32" t="s">
        <v>106</v>
      </c>
      <c r="AP42" s="32"/>
      <c r="AQ42" s="32"/>
      <c r="AR42" s="12"/>
      <c r="AS42" s="32"/>
      <c r="AT42" s="32"/>
      <c r="AU42" s="32" t="b">
        <v>0</v>
      </c>
    </row>
    <row r="43" spans="1:47" x14ac:dyDescent="0.3">
      <c r="A43" s="29" t="s">
        <v>410</v>
      </c>
      <c r="B43" s="29"/>
      <c r="C43" s="29"/>
      <c r="D43" s="29"/>
      <c r="E43" s="30" t="b">
        <v>0</v>
      </c>
      <c r="F43" s="29">
        <v>0</v>
      </c>
      <c r="G43" s="29" t="b">
        <v>0</v>
      </c>
      <c r="H43" s="29">
        <v>0</v>
      </c>
      <c r="I43" s="29">
        <v>0</v>
      </c>
      <c r="J43" s="29">
        <v>0</v>
      </c>
      <c r="K43" s="29">
        <v>0</v>
      </c>
      <c r="L43" s="29"/>
      <c r="M43" s="29"/>
      <c r="N43" s="29" t="s">
        <v>102</v>
      </c>
      <c r="O43" s="29" t="s">
        <v>102</v>
      </c>
      <c r="P43" s="29">
        <v>0</v>
      </c>
      <c r="Q43" s="30">
        <v>-1</v>
      </c>
      <c r="R43" s="30">
        <v>-1</v>
      </c>
      <c r="S43" s="30" t="s">
        <v>103</v>
      </c>
      <c r="T43" s="30" t="s">
        <v>104</v>
      </c>
      <c r="U43" s="29"/>
      <c r="V43" s="29"/>
      <c r="W43" s="29"/>
      <c r="X43" s="29"/>
      <c r="Y43" s="29" t="b">
        <v>0</v>
      </c>
      <c r="Z43" s="29">
        <v>0</v>
      </c>
      <c r="AA43" s="29" t="b">
        <v>0</v>
      </c>
      <c r="AB43" s="29"/>
      <c r="AC43" s="29"/>
      <c r="AD43" s="29" t="s">
        <v>411</v>
      </c>
      <c r="AE43" s="29"/>
      <c r="AF43" s="29"/>
      <c r="AG43" s="42" t="s">
        <v>412</v>
      </c>
      <c r="AH43" s="42" t="s">
        <v>413</v>
      </c>
      <c r="AI43" s="29"/>
      <c r="AJ43" s="29"/>
      <c r="AK43" s="29" t="s">
        <v>559</v>
      </c>
      <c r="AL43" s="29"/>
      <c r="AM43" s="30" t="b">
        <v>0</v>
      </c>
      <c r="AN43" s="29" t="s">
        <v>105</v>
      </c>
      <c r="AO43" s="29" t="s">
        <v>106</v>
      </c>
      <c r="AP43" s="29"/>
      <c r="AQ43" s="29"/>
      <c r="AR43" s="30"/>
      <c r="AS43" s="29"/>
      <c r="AT43" s="29"/>
      <c r="AU43" s="29" t="b">
        <v>0</v>
      </c>
    </row>
    <row r="44" spans="1:47" x14ac:dyDescent="0.3">
      <c r="A44" s="32" t="s">
        <v>414</v>
      </c>
      <c r="B44" s="32"/>
      <c r="C44" s="32"/>
      <c r="D44" s="32"/>
      <c r="E44" s="12" t="b">
        <v>0</v>
      </c>
      <c r="F44" s="32">
        <v>0</v>
      </c>
      <c r="G44" s="32" t="b">
        <v>0</v>
      </c>
      <c r="H44" s="32">
        <v>0</v>
      </c>
      <c r="I44" s="32">
        <v>0</v>
      </c>
      <c r="J44" s="32">
        <v>0</v>
      </c>
      <c r="K44" s="32">
        <v>0</v>
      </c>
      <c r="L44" s="32"/>
      <c r="M44" s="32"/>
      <c r="N44" s="32" t="s">
        <v>102</v>
      </c>
      <c r="O44" s="32" t="s">
        <v>102</v>
      </c>
      <c r="P44" s="32">
        <v>0</v>
      </c>
      <c r="Q44" s="12">
        <v>-1</v>
      </c>
      <c r="R44" s="12">
        <v>-1</v>
      </c>
      <c r="S44" s="12" t="s">
        <v>103</v>
      </c>
      <c r="T44" s="12" t="s">
        <v>104</v>
      </c>
      <c r="U44" s="32"/>
      <c r="V44" s="32"/>
      <c r="W44" s="32"/>
      <c r="X44" s="32"/>
      <c r="Y44" s="32" t="b">
        <v>0</v>
      </c>
      <c r="Z44" s="32">
        <v>0</v>
      </c>
      <c r="AA44" s="32" t="b">
        <v>0</v>
      </c>
      <c r="AB44" s="32"/>
      <c r="AC44" s="32"/>
      <c r="AD44" s="32" t="s">
        <v>415</v>
      </c>
      <c r="AE44" s="32"/>
      <c r="AF44" s="32"/>
      <c r="AG44" s="43" t="s">
        <v>416</v>
      </c>
      <c r="AH44" s="43" t="s">
        <v>417</v>
      </c>
      <c r="AI44" s="32"/>
      <c r="AJ44" s="32"/>
      <c r="AK44" s="32" t="s">
        <v>560</v>
      </c>
      <c r="AL44" s="32"/>
      <c r="AM44" s="12" t="b">
        <v>0</v>
      </c>
      <c r="AN44" s="32" t="s">
        <v>105</v>
      </c>
      <c r="AO44" s="32" t="s">
        <v>106</v>
      </c>
      <c r="AP44" s="32"/>
      <c r="AQ44" s="32"/>
      <c r="AR44" s="12"/>
      <c r="AS44" s="32"/>
      <c r="AT44" s="32"/>
      <c r="AU44" s="32" t="b">
        <v>0</v>
      </c>
    </row>
    <row r="45" spans="1:47" x14ac:dyDescent="0.3">
      <c r="A45" s="29" t="s">
        <v>418</v>
      </c>
      <c r="B45" s="29"/>
      <c r="C45" s="29"/>
      <c r="D45" s="29"/>
      <c r="E45" s="30" t="b">
        <v>0</v>
      </c>
      <c r="F45" s="29">
        <v>0</v>
      </c>
      <c r="G45" s="29" t="b">
        <v>0</v>
      </c>
      <c r="H45" s="29">
        <v>0</v>
      </c>
      <c r="I45" s="29">
        <v>0</v>
      </c>
      <c r="J45" s="29">
        <v>0</v>
      </c>
      <c r="K45" s="29">
        <v>0</v>
      </c>
      <c r="L45" s="29"/>
      <c r="M45" s="29"/>
      <c r="N45" s="29" t="s">
        <v>102</v>
      </c>
      <c r="O45" s="29" t="s">
        <v>102</v>
      </c>
      <c r="P45" s="29">
        <v>0</v>
      </c>
      <c r="Q45" s="30">
        <v>-1</v>
      </c>
      <c r="R45" s="30">
        <v>-1</v>
      </c>
      <c r="S45" s="30" t="s">
        <v>103</v>
      </c>
      <c r="T45" s="30" t="s">
        <v>104</v>
      </c>
      <c r="U45" s="29"/>
      <c r="V45" s="29"/>
      <c r="W45" s="29"/>
      <c r="X45" s="29"/>
      <c r="Y45" s="29" t="b">
        <v>0</v>
      </c>
      <c r="Z45" s="29">
        <v>0</v>
      </c>
      <c r="AA45" s="29" t="b">
        <v>0</v>
      </c>
      <c r="AB45" s="29"/>
      <c r="AC45" s="29"/>
      <c r="AD45" s="29" t="s">
        <v>419</v>
      </c>
      <c r="AE45" s="29"/>
      <c r="AF45" s="29"/>
      <c r="AG45" s="42" t="s">
        <v>420</v>
      </c>
      <c r="AH45" s="42" t="s">
        <v>421</v>
      </c>
      <c r="AI45" s="29"/>
      <c r="AJ45" s="29"/>
      <c r="AK45" s="29" t="s">
        <v>586</v>
      </c>
      <c r="AL45" s="29"/>
      <c r="AM45" s="30" t="b">
        <v>0</v>
      </c>
      <c r="AN45" s="29" t="s">
        <v>105</v>
      </c>
      <c r="AO45" s="29" t="s">
        <v>106</v>
      </c>
      <c r="AP45" s="29"/>
      <c r="AQ45" s="29"/>
      <c r="AR45" s="30"/>
      <c r="AS45" s="29"/>
      <c r="AT45" s="29"/>
      <c r="AU45" s="29" t="b">
        <v>0</v>
      </c>
    </row>
    <row r="46" spans="1:47" x14ac:dyDescent="0.3">
      <c r="A46" s="32" t="s">
        <v>423</v>
      </c>
      <c r="B46" s="32"/>
      <c r="C46" s="32"/>
      <c r="D46" s="32"/>
      <c r="E46" s="12" t="b">
        <v>0</v>
      </c>
      <c r="F46" s="32">
        <v>0</v>
      </c>
      <c r="G46" s="32" t="b">
        <v>0</v>
      </c>
      <c r="H46" s="32">
        <v>0</v>
      </c>
      <c r="I46" s="32">
        <v>0</v>
      </c>
      <c r="J46" s="32">
        <v>0</v>
      </c>
      <c r="K46" s="32">
        <v>0</v>
      </c>
      <c r="L46" s="32"/>
      <c r="M46" s="32"/>
      <c r="N46" s="32" t="s">
        <v>102</v>
      </c>
      <c r="O46" s="32" t="s">
        <v>102</v>
      </c>
      <c r="P46" s="32">
        <v>0</v>
      </c>
      <c r="Q46" s="12">
        <v>-1</v>
      </c>
      <c r="R46" s="12">
        <v>-1</v>
      </c>
      <c r="S46" s="12" t="s">
        <v>103</v>
      </c>
      <c r="T46" s="12" t="s">
        <v>104</v>
      </c>
      <c r="U46" s="32"/>
      <c r="V46" s="32"/>
      <c r="W46" s="32"/>
      <c r="X46" s="32"/>
      <c r="Y46" s="32" t="b">
        <v>0</v>
      </c>
      <c r="Z46" s="32">
        <v>0</v>
      </c>
      <c r="AA46" s="32" t="b">
        <v>0</v>
      </c>
      <c r="AB46" s="32"/>
      <c r="AC46" s="32"/>
      <c r="AD46" s="32" t="s">
        <v>424</v>
      </c>
      <c r="AE46" s="32"/>
      <c r="AF46" s="32"/>
      <c r="AG46" s="43" t="s">
        <v>425</v>
      </c>
      <c r="AH46" s="43" t="s">
        <v>426</v>
      </c>
      <c r="AI46" s="32"/>
      <c r="AJ46" s="32"/>
      <c r="AK46" s="29" t="s">
        <v>602</v>
      </c>
      <c r="AL46" s="32"/>
      <c r="AM46" s="12" t="b">
        <v>0</v>
      </c>
      <c r="AN46" s="32" t="s">
        <v>105</v>
      </c>
      <c r="AO46" s="32" t="s">
        <v>106</v>
      </c>
      <c r="AP46" s="32"/>
      <c r="AQ46" s="32"/>
      <c r="AR46" s="12"/>
      <c r="AS46" s="32"/>
      <c r="AT46" s="32"/>
      <c r="AU46" s="32" t="b">
        <v>0</v>
      </c>
    </row>
    <row r="47" spans="1:47" x14ac:dyDescent="0.3">
      <c r="A47" s="29" t="s">
        <v>429</v>
      </c>
      <c r="B47" s="29"/>
      <c r="C47" s="29"/>
      <c r="D47" s="29"/>
      <c r="E47" s="30" t="b">
        <v>0</v>
      </c>
      <c r="F47" s="29">
        <v>0</v>
      </c>
      <c r="G47" s="29" t="b">
        <v>0</v>
      </c>
      <c r="H47" s="29">
        <v>0</v>
      </c>
      <c r="I47" s="29">
        <v>0</v>
      </c>
      <c r="J47" s="29">
        <v>0</v>
      </c>
      <c r="K47" s="29">
        <v>0</v>
      </c>
      <c r="L47" s="29"/>
      <c r="M47" s="29"/>
      <c r="N47" s="29" t="s">
        <v>102</v>
      </c>
      <c r="O47" s="29" t="s">
        <v>102</v>
      </c>
      <c r="P47" s="29">
        <v>0</v>
      </c>
      <c r="Q47" s="30">
        <v>-1</v>
      </c>
      <c r="R47" s="30">
        <v>-1</v>
      </c>
      <c r="S47" s="30" t="s">
        <v>103</v>
      </c>
      <c r="T47" s="30" t="s">
        <v>104</v>
      </c>
      <c r="U47" s="29"/>
      <c r="V47" s="29"/>
      <c r="W47" s="29"/>
      <c r="X47" s="29"/>
      <c r="Y47" s="29" t="b">
        <v>0</v>
      </c>
      <c r="Z47" s="29">
        <v>0</v>
      </c>
      <c r="AA47" s="29" t="b">
        <v>0</v>
      </c>
      <c r="AB47" s="29"/>
      <c r="AC47" s="29"/>
      <c r="AD47" s="29" t="s">
        <v>430</v>
      </c>
      <c r="AE47" s="29"/>
      <c r="AF47" s="29"/>
      <c r="AG47" s="42" t="s">
        <v>431</v>
      </c>
      <c r="AH47" s="42" t="s">
        <v>432</v>
      </c>
      <c r="AI47" s="29"/>
      <c r="AJ47" s="29"/>
      <c r="AK47" s="29" t="s">
        <v>577</v>
      </c>
      <c r="AL47" s="29"/>
      <c r="AM47" s="30" t="b">
        <v>0</v>
      </c>
      <c r="AN47" s="29" t="s">
        <v>105</v>
      </c>
      <c r="AO47" s="29" t="s">
        <v>106</v>
      </c>
      <c r="AP47" s="29"/>
      <c r="AQ47" s="29"/>
      <c r="AR47" s="30"/>
      <c r="AS47" s="29"/>
      <c r="AT47" s="29"/>
      <c r="AU47" s="29" t="b">
        <v>0</v>
      </c>
    </row>
    <row r="48" spans="1:47" x14ac:dyDescent="0.3">
      <c r="A48" s="29" t="s">
        <v>525</v>
      </c>
      <c r="B48" s="29"/>
      <c r="C48" s="29"/>
      <c r="D48" s="29"/>
      <c r="E48" s="30" t="b">
        <v>0</v>
      </c>
      <c r="F48" s="29">
        <v>0</v>
      </c>
      <c r="G48" s="29" t="b">
        <v>0</v>
      </c>
      <c r="H48" s="29">
        <v>0</v>
      </c>
      <c r="I48" s="29">
        <v>0</v>
      </c>
      <c r="J48" s="29">
        <v>0</v>
      </c>
      <c r="K48" s="29">
        <v>0</v>
      </c>
      <c r="L48" s="29"/>
      <c r="M48" s="29"/>
      <c r="N48" s="29" t="s">
        <v>102</v>
      </c>
      <c r="O48" s="29" t="s">
        <v>102</v>
      </c>
      <c r="P48" s="29">
        <v>0</v>
      </c>
      <c r="Q48" s="30">
        <v>-1</v>
      </c>
      <c r="R48" s="30">
        <v>-1</v>
      </c>
      <c r="S48" s="30" t="s">
        <v>103</v>
      </c>
      <c r="T48" s="30" t="s">
        <v>104</v>
      </c>
      <c r="U48" s="29"/>
      <c r="V48" s="29"/>
      <c r="W48" s="29"/>
      <c r="X48" s="29"/>
      <c r="Y48" s="29" t="b">
        <v>0</v>
      </c>
      <c r="Z48" s="29">
        <v>0</v>
      </c>
      <c r="AA48" s="29" t="b">
        <v>0</v>
      </c>
      <c r="AB48" s="29"/>
      <c r="AC48" s="29"/>
      <c r="AD48" s="29" t="s">
        <v>526</v>
      </c>
      <c r="AE48" s="29"/>
      <c r="AF48" s="29"/>
      <c r="AG48" s="42" t="s">
        <v>431</v>
      </c>
      <c r="AH48" s="42" t="s">
        <v>432</v>
      </c>
      <c r="AI48" s="29"/>
      <c r="AJ48" s="29"/>
      <c r="AK48" s="29" t="s">
        <v>578</v>
      </c>
      <c r="AL48" s="29"/>
      <c r="AM48" s="30" t="b">
        <v>0</v>
      </c>
      <c r="AN48" s="29" t="s">
        <v>105</v>
      </c>
      <c r="AO48" s="29" t="s">
        <v>106</v>
      </c>
      <c r="AP48" s="29"/>
      <c r="AQ48" s="29"/>
      <c r="AR48" s="30"/>
      <c r="AS48" s="29"/>
      <c r="AT48" s="29"/>
      <c r="AU48" s="29" t="b">
        <v>0</v>
      </c>
    </row>
    <row r="49" spans="1:47" x14ac:dyDescent="0.3">
      <c r="A49" s="32" t="s">
        <v>434</v>
      </c>
      <c r="B49" s="32"/>
      <c r="C49" s="32"/>
      <c r="D49" s="32"/>
      <c r="E49" s="12" t="b">
        <v>0</v>
      </c>
      <c r="F49" s="32">
        <v>0</v>
      </c>
      <c r="G49" s="32" t="b">
        <v>0</v>
      </c>
      <c r="H49" s="32">
        <v>0</v>
      </c>
      <c r="I49" s="32">
        <v>0</v>
      </c>
      <c r="J49" s="32">
        <v>0</v>
      </c>
      <c r="K49" s="32">
        <v>0</v>
      </c>
      <c r="L49" s="32"/>
      <c r="M49" s="32"/>
      <c r="N49" s="32" t="s">
        <v>102</v>
      </c>
      <c r="O49" s="32" t="s">
        <v>102</v>
      </c>
      <c r="P49" s="32">
        <v>0</v>
      </c>
      <c r="Q49" s="12">
        <v>-1</v>
      </c>
      <c r="R49" s="12">
        <v>-1</v>
      </c>
      <c r="S49" s="12" t="s">
        <v>103</v>
      </c>
      <c r="T49" s="12" t="s">
        <v>104</v>
      </c>
      <c r="U49" s="32"/>
      <c r="V49" s="32"/>
      <c r="W49" s="32"/>
      <c r="X49" s="32"/>
      <c r="Y49" s="32" t="b">
        <v>0</v>
      </c>
      <c r="Z49" s="32">
        <v>0</v>
      </c>
      <c r="AA49" s="32" t="b">
        <v>0</v>
      </c>
      <c r="AB49" s="32"/>
      <c r="AC49" s="32"/>
      <c r="AD49" s="32" t="s">
        <v>435</v>
      </c>
      <c r="AE49" s="32"/>
      <c r="AF49" s="32"/>
      <c r="AG49" s="43" t="s">
        <v>436</v>
      </c>
      <c r="AH49" s="43" t="s">
        <v>437</v>
      </c>
      <c r="AI49" s="32"/>
      <c r="AJ49" s="32"/>
      <c r="AK49" s="32" t="s">
        <v>561</v>
      </c>
      <c r="AL49" s="32"/>
      <c r="AM49" s="12" t="b">
        <v>0</v>
      </c>
      <c r="AN49" s="32" t="s">
        <v>105</v>
      </c>
      <c r="AO49" s="32" t="s">
        <v>106</v>
      </c>
      <c r="AP49" s="32"/>
      <c r="AQ49" s="32"/>
      <c r="AR49" s="12"/>
      <c r="AS49" s="32"/>
      <c r="AT49" s="32"/>
      <c r="AU49" s="32" t="b">
        <v>0</v>
      </c>
    </row>
    <row r="50" spans="1:47" x14ac:dyDescent="0.3">
      <c r="A50" s="29" t="s">
        <v>438</v>
      </c>
      <c r="B50" s="29"/>
      <c r="C50" s="29"/>
      <c r="D50" s="29"/>
      <c r="E50" s="30" t="b">
        <v>0</v>
      </c>
      <c r="F50" s="29">
        <v>0</v>
      </c>
      <c r="G50" s="29" t="b">
        <v>0</v>
      </c>
      <c r="H50" s="29">
        <v>0</v>
      </c>
      <c r="I50" s="29">
        <v>0</v>
      </c>
      <c r="J50" s="29">
        <v>0</v>
      </c>
      <c r="K50" s="29">
        <v>0</v>
      </c>
      <c r="L50" s="29"/>
      <c r="M50" s="29"/>
      <c r="N50" s="29" t="s">
        <v>102</v>
      </c>
      <c r="O50" s="29" t="s">
        <v>102</v>
      </c>
      <c r="P50" s="29">
        <v>0</v>
      </c>
      <c r="Q50" s="30">
        <v>-1</v>
      </c>
      <c r="R50" s="30">
        <v>-1</v>
      </c>
      <c r="S50" s="30" t="s">
        <v>103</v>
      </c>
      <c r="T50" s="30" t="s">
        <v>104</v>
      </c>
      <c r="U50" s="29"/>
      <c r="V50" s="29"/>
      <c r="W50" s="29"/>
      <c r="X50" s="29"/>
      <c r="Y50" s="29" t="b">
        <v>0</v>
      </c>
      <c r="Z50" s="29">
        <v>0</v>
      </c>
      <c r="AA50" s="29" t="b">
        <v>0</v>
      </c>
      <c r="AB50" s="29"/>
      <c r="AC50" s="29"/>
      <c r="AD50" s="29" t="s">
        <v>439</v>
      </c>
      <c r="AE50" s="29"/>
      <c r="AF50" s="29"/>
      <c r="AG50" s="42" t="s">
        <v>440</v>
      </c>
      <c r="AH50" s="42" t="s">
        <v>441</v>
      </c>
      <c r="AI50" s="29"/>
      <c r="AJ50" s="29"/>
      <c r="AK50" s="29" t="s">
        <v>562</v>
      </c>
      <c r="AL50" s="29"/>
      <c r="AM50" s="30" t="b">
        <v>0</v>
      </c>
      <c r="AN50" s="29" t="s">
        <v>105</v>
      </c>
      <c r="AO50" s="29" t="s">
        <v>106</v>
      </c>
      <c r="AP50" s="29"/>
      <c r="AQ50" s="29"/>
      <c r="AR50" s="30"/>
      <c r="AS50" s="29"/>
      <c r="AT50" s="29"/>
      <c r="AU50" s="29" t="b">
        <v>0</v>
      </c>
    </row>
    <row r="51" spans="1:47" x14ac:dyDescent="0.3">
      <c r="A51" s="34" t="s">
        <v>451</v>
      </c>
      <c r="B51" s="34"/>
      <c r="C51" s="34"/>
      <c r="D51" s="34"/>
      <c r="E51" s="38" t="b">
        <v>0</v>
      </c>
      <c r="F51" s="34">
        <v>0</v>
      </c>
      <c r="G51" s="34" t="b">
        <v>0</v>
      </c>
      <c r="H51" s="34">
        <v>0</v>
      </c>
      <c r="I51" s="34">
        <v>0</v>
      </c>
      <c r="J51" s="34">
        <v>0</v>
      </c>
      <c r="K51" s="34">
        <v>0</v>
      </c>
      <c r="L51" s="34"/>
      <c r="M51" s="34"/>
      <c r="N51" s="34" t="s">
        <v>102</v>
      </c>
      <c r="O51" s="34" t="s">
        <v>102</v>
      </c>
      <c r="P51" s="34">
        <v>0</v>
      </c>
      <c r="Q51" s="38">
        <v>-1</v>
      </c>
      <c r="R51" s="38">
        <v>-1</v>
      </c>
      <c r="S51" s="38" t="s">
        <v>103</v>
      </c>
      <c r="T51" s="38" t="s">
        <v>104</v>
      </c>
      <c r="U51" s="34"/>
      <c r="V51" s="34"/>
      <c r="W51" s="34"/>
      <c r="X51" s="34"/>
      <c r="Y51" s="34" t="b">
        <v>0</v>
      </c>
      <c r="Z51" s="34">
        <v>0</v>
      </c>
      <c r="AA51" s="34" t="b">
        <v>0</v>
      </c>
      <c r="AB51" s="34"/>
      <c r="AC51" s="34"/>
      <c r="AD51" s="34" t="s">
        <v>452</v>
      </c>
      <c r="AE51" s="34"/>
      <c r="AF51" s="34"/>
      <c r="AG51" s="44" t="s">
        <v>453</v>
      </c>
      <c r="AH51" s="44" t="s">
        <v>454</v>
      </c>
      <c r="AI51" s="34"/>
      <c r="AJ51" s="34"/>
      <c r="AK51" s="34" t="s">
        <v>563</v>
      </c>
      <c r="AL51" s="34"/>
      <c r="AM51" s="38" t="b">
        <v>0</v>
      </c>
      <c r="AN51" s="34" t="s">
        <v>105</v>
      </c>
      <c r="AO51" s="34" t="s">
        <v>106</v>
      </c>
      <c r="AP51" s="34"/>
      <c r="AQ51" s="34"/>
      <c r="AR51" s="38"/>
      <c r="AS51" s="34"/>
      <c r="AT51" s="34"/>
      <c r="AU51" s="34" t="b">
        <v>0</v>
      </c>
    </row>
    <row r="52" spans="1:47" x14ac:dyDescent="0.3">
      <c r="A52" s="36" t="s">
        <v>455</v>
      </c>
      <c r="B52" s="36"/>
      <c r="C52" s="36"/>
      <c r="D52" s="36"/>
      <c r="E52" s="39" t="b">
        <v>0</v>
      </c>
      <c r="F52" s="36">
        <v>0</v>
      </c>
      <c r="G52" s="36" t="b">
        <v>0</v>
      </c>
      <c r="H52" s="36">
        <v>0</v>
      </c>
      <c r="I52" s="36">
        <v>0</v>
      </c>
      <c r="J52" s="36">
        <v>0</v>
      </c>
      <c r="K52" s="36">
        <v>0</v>
      </c>
      <c r="L52" s="36"/>
      <c r="M52" s="36"/>
      <c r="N52" s="36" t="s">
        <v>102</v>
      </c>
      <c r="O52" s="36" t="s">
        <v>102</v>
      </c>
      <c r="P52" s="36">
        <v>0</v>
      </c>
      <c r="Q52" s="39">
        <v>-1</v>
      </c>
      <c r="R52" s="39">
        <v>-1</v>
      </c>
      <c r="S52" s="39" t="s">
        <v>103</v>
      </c>
      <c r="T52" s="39" t="s">
        <v>104</v>
      </c>
      <c r="U52" s="36"/>
      <c r="V52" s="36"/>
      <c r="W52" s="36"/>
      <c r="X52" s="36"/>
      <c r="Y52" s="36" t="b">
        <v>0</v>
      </c>
      <c r="Z52" s="36">
        <v>0</v>
      </c>
      <c r="AA52" s="36" t="b">
        <v>0</v>
      </c>
      <c r="AB52" s="36"/>
      <c r="AC52" s="36"/>
      <c r="AD52" s="36" t="s">
        <v>456</v>
      </c>
      <c r="AE52" s="36"/>
      <c r="AF52" s="36"/>
      <c r="AG52" s="45" t="s">
        <v>457</v>
      </c>
      <c r="AH52" s="45" t="s">
        <v>458</v>
      </c>
      <c r="AI52" s="36"/>
      <c r="AJ52" s="36"/>
      <c r="AK52" s="36" t="s">
        <v>564</v>
      </c>
      <c r="AL52" s="36"/>
      <c r="AM52" s="39" t="b">
        <v>0</v>
      </c>
      <c r="AN52" s="36" t="s">
        <v>105</v>
      </c>
      <c r="AO52" s="36" t="s">
        <v>106</v>
      </c>
      <c r="AP52" s="36"/>
      <c r="AQ52" s="36"/>
      <c r="AR52" s="39"/>
      <c r="AS52" s="36"/>
      <c r="AT52" s="36"/>
      <c r="AU52" s="36" t="b">
        <v>0</v>
      </c>
    </row>
    <row r="53" spans="1:47" x14ac:dyDescent="0.3">
      <c r="A53" s="34" t="s">
        <v>459</v>
      </c>
      <c r="B53" s="34"/>
      <c r="C53" s="34"/>
      <c r="D53" s="34"/>
      <c r="E53" s="38" t="b">
        <v>0</v>
      </c>
      <c r="F53" s="34">
        <v>0</v>
      </c>
      <c r="G53" s="34" t="b">
        <v>0</v>
      </c>
      <c r="H53" s="34">
        <v>0</v>
      </c>
      <c r="I53" s="34">
        <v>0</v>
      </c>
      <c r="J53" s="34">
        <v>0</v>
      </c>
      <c r="K53" s="34">
        <v>0</v>
      </c>
      <c r="L53" s="34"/>
      <c r="M53" s="34"/>
      <c r="N53" s="34" t="s">
        <v>102</v>
      </c>
      <c r="O53" s="34" t="s">
        <v>102</v>
      </c>
      <c r="P53" s="34">
        <v>0</v>
      </c>
      <c r="Q53" s="38">
        <v>-1</v>
      </c>
      <c r="R53" s="38">
        <v>-1</v>
      </c>
      <c r="S53" s="38" t="s">
        <v>103</v>
      </c>
      <c r="T53" s="38" t="s">
        <v>104</v>
      </c>
      <c r="U53" s="34"/>
      <c r="V53" s="34"/>
      <c r="W53" s="34"/>
      <c r="X53" s="34"/>
      <c r="Y53" s="34" t="b">
        <v>0</v>
      </c>
      <c r="Z53" s="34">
        <v>0</v>
      </c>
      <c r="AA53" s="34" t="b">
        <v>0</v>
      </c>
      <c r="AB53" s="34"/>
      <c r="AC53" s="34"/>
      <c r="AD53" s="34" t="s">
        <v>460</v>
      </c>
      <c r="AE53" s="34"/>
      <c r="AF53" s="34"/>
      <c r="AG53" s="44" t="s">
        <v>461</v>
      </c>
      <c r="AH53" s="44" t="s">
        <v>462</v>
      </c>
      <c r="AI53" s="34"/>
      <c r="AJ53" s="34"/>
      <c r="AK53" s="34" t="s">
        <v>573</v>
      </c>
      <c r="AL53" s="34"/>
      <c r="AM53" s="38" t="b">
        <v>0</v>
      </c>
      <c r="AN53" s="34" t="s">
        <v>105</v>
      </c>
      <c r="AO53" s="34" t="s">
        <v>106</v>
      </c>
      <c r="AP53" s="34"/>
      <c r="AQ53" s="34"/>
      <c r="AR53" s="38"/>
      <c r="AS53" s="34"/>
      <c r="AT53" s="34"/>
      <c r="AU53" s="34" t="b">
        <v>0</v>
      </c>
    </row>
    <row r="54" spans="1:47" x14ac:dyDescent="0.3">
      <c r="A54" s="34" t="s">
        <v>465</v>
      </c>
      <c r="B54" s="34"/>
      <c r="C54" s="34"/>
      <c r="D54" s="34"/>
      <c r="E54" s="38" t="b">
        <v>0</v>
      </c>
      <c r="F54" s="34">
        <v>0</v>
      </c>
      <c r="G54" s="34" t="b">
        <v>0</v>
      </c>
      <c r="H54" s="34">
        <v>0</v>
      </c>
      <c r="I54" s="34">
        <v>0</v>
      </c>
      <c r="J54" s="34">
        <v>0</v>
      </c>
      <c r="K54" s="34">
        <v>0</v>
      </c>
      <c r="L54" s="34"/>
      <c r="M54" s="34"/>
      <c r="N54" s="34" t="s">
        <v>102</v>
      </c>
      <c r="O54" s="34" t="s">
        <v>102</v>
      </c>
      <c r="P54" s="34">
        <v>0</v>
      </c>
      <c r="Q54" s="38">
        <v>-1</v>
      </c>
      <c r="R54" s="38">
        <v>-1</v>
      </c>
      <c r="S54" s="38" t="s">
        <v>103</v>
      </c>
      <c r="T54" s="38" t="s">
        <v>104</v>
      </c>
      <c r="U54" s="34"/>
      <c r="V54" s="34"/>
      <c r="W54" s="34"/>
      <c r="X54" s="34"/>
      <c r="Y54" s="34" t="b">
        <v>0</v>
      </c>
      <c r="Z54" s="34">
        <v>0</v>
      </c>
      <c r="AA54" s="34" t="b">
        <v>0</v>
      </c>
      <c r="AB54" s="34"/>
      <c r="AC54" s="34"/>
      <c r="AD54" s="34" t="s">
        <v>466</v>
      </c>
      <c r="AE54" s="34"/>
      <c r="AF54" s="34"/>
      <c r="AG54" s="44" t="s">
        <v>467</v>
      </c>
      <c r="AH54" s="44" t="s">
        <v>468</v>
      </c>
      <c r="AI54" s="34"/>
      <c r="AJ54" s="34"/>
      <c r="AK54" s="34" t="s">
        <v>614</v>
      </c>
      <c r="AL54" s="34"/>
      <c r="AM54" s="38" t="b">
        <v>0</v>
      </c>
      <c r="AN54" s="34" t="s">
        <v>105</v>
      </c>
      <c r="AO54" s="34" t="s">
        <v>106</v>
      </c>
      <c r="AP54" s="34"/>
      <c r="AQ54" s="34"/>
      <c r="AR54" s="38"/>
      <c r="AS54" s="34"/>
      <c r="AT54" s="34"/>
      <c r="AU54" s="34" t="b">
        <v>0</v>
      </c>
    </row>
    <row r="55" spans="1:47" x14ac:dyDescent="0.3">
      <c r="A55" s="34"/>
      <c r="B55" s="34"/>
      <c r="C55" s="34"/>
      <c r="D55" s="34"/>
      <c r="E55" s="38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8"/>
      <c r="R55" s="38"/>
      <c r="S55" s="38"/>
      <c r="T55" s="38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44"/>
      <c r="AH55" s="44"/>
      <c r="AI55" s="34"/>
      <c r="AJ55" s="34"/>
      <c r="AK55" s="34"/>
      <c r="AL55" s="34"/>
      <c r="AM55" s="38"/>
      <c r="AN55" s="34"/>
      <c r="AO55" s="34"/>
      <c r="AP55" s="34"/>
      <c r="AQ55" s="34"/>
      <c r="AR55" s="38"/>
      <c r="AS55" s="34"/>
      <c r="AT55" s="34"/>
      <c r="AU55" s="34"/>
    </row>
    <row r="56" spans="1:47" x14ac:dyDescent="0.3">
      <c r="A56" s="34" t="s">
        <v>623</v>
      </c>
      <c r="B56" s="34"/>
      <c r="C56" s="34"/>
      <c r="D56" s="34"/>
      <c r="E56" s="38" t="b">
        <v>0</v>
      </c>
      <c r="F56" s="34">
        <v>0</v>
      </c>
      <c r="G56" s="34" t="b">
        <v>0</v>
      </c>
      <c r="H56" s="34">
        <v>0</v>
      </c>
      <c r="I56" s="34">
        <v>0</v>
      </c>
      <c r="J56" s="34">
        <v>0</v>
      </c>
      <c r="K56" s="34">
        <v>0</v>
      </c>
      <c r="L56" s="34"/>
      <c r="M56" s="34"/>
      <c r="N56" s="34" t="s">
        <v>102</v>
      </c>
      <c r="O56" s="34" t="s">
        <v>102</v>
      </c>
      <c r="P56" s="34">
        <v>0</v>
      </c>
      <c r="Q56" s="38">
        <v>-1</v>
      </c>
      <c r="R56" s="38">
        <v>-1</v>
      </c>
      <c r="S56" s="38" t="s">
        <v>103</v>
      </c>
      <c r="T56" s="38" t="s">
        <v>104</v>
      </c>
      <c r="U56" s="34"/>
      <c r="V56" s="34"/>
      <c r="W56" s="34"/>
      <c r="X56" s="34"/>
      <c r="Y56" s="34" t="b">
        <v>0</v>
      </c>
      <c r="Z56" s="34">
        <v>0</v>
      </c>
      <c r="AA56" s="34" t="b">
        <v>0</v>
      </c>
      <c r="AB56" s="34"/>
      <c r="AC56" s="34"/>
      <c r="AD56" s="34" t="s">
        <v>244</v>
      </c>
      <c r="AE56" s="34"/>
      <c r="AF56" s="34"/>
      <c r="AG56" s="44" t="s">
        <v>245</v>
      </c>
      <c r="AH56" s="44" t="s">
        <v>246</v>
      </c>
      <c r="AI56" s="34"/>
      <c r="AJ56" s="34"/>
      <c r="AK56" s="34"/>
      <c r="AL56" s="34"/>
      <c r="AM56" s="38" t="b">
        <v>0</v>
      </c>
      <c r="AN56" s="34" t="s">
        <v>105</v>
      </c>
      <c r="AO56" s="34" t="s">
        <v>106</v>
      </c>
      <c r="AP56" s="34"/>
      <c r="AQ56" s="34"/>
      <c r="AR56" s="38"/>
      <c r="AS56" s="34"/>
      <c r="AT56" s="34"/>
      <c r="AU56" s="34" t="b">
        <v>0</v>
      </c>
    </row>
    <row r="57" spans="1:47" x14ac:dyDescent="0.3">
      <c r="A57" s="34" t="s">
        <v>624</v>
      </c>
      <c r="B57" s="34"/>
      <c r="C57" s="34"/>
      <c r="D57" s="34"/>
      <c r="E57" s="38" t="b">
        <v>0</v>
      </c>
      <c r="F57" s="34">
        <v>0</v>
      </c>
      <c r="G57" s="34" t="b">
        <v>0</v>
      </c>
      <c r="H57" s="34">
        <v>0</v>
      </c>
      <c r="I57" s="34">
        <v>0</v>
      </c>
      <c r="J57" s="34">
        <v>0</v>
      </c>
      <c r="K57" s="34">
        <v>0</v>
      </c>
      <c r="L57" s="34"/>
      <c r="M57" s="34"/>
      <c r="N57" s="34" t="s">
        <v>102</v>
      </c>
      <c r="O57" s="34" t="s">
        <v>102</v>
      </c>
      <c r="P57" s="34">
        <v>0</v>
      </c>
      <c r="Q57" s="38">
        <v>-1</v>
      </c>
      <c r="R57" s="38">
        <v>-1</v>
      </c>
      <c r="S57" s="38" t="s">
        <v>103</v>
      </c>
      <c r="T57" s="38" t="s">
        <v>104</v>
      </c>
      <c r="U57" s="34"/>
      <c r="V57" s="34"/>
      <c r="W57" s="34"/>
      <c r="X57" s="34"/>
      <c r="Y57" s="34" t="b">
        <v>0</v>
      </c>
      <c r="Z57" s="34">
        <v>0</v>
      </c>
      <c r="AA57" s="34" t="b">
        <v>0</v>
      </c>
      <c r="AB57" s="34"/>
      <c r="AC57" s="34"/>
      <c r="AD57" s="34" t="s">
        <v>249</v>
      </c>
      <c r="AE57" s="34"/>
      <c r="AF57" s="34"/>
      <c r="AG57" s="44" t="s">
        <v>250</v>
      </c>
      <c r="AH57" s="44" t="s">
        <v>251</v>
      </c>
      <c r="AI57" s="34"/>
      <c r="AJ57" s="34"/>
      <c r="AK57" s="34"/>
      <c r="AL57" s="34"/>
      <c r="AM57" s="38" t="b">
        <v>0</v>
      </c>
      <c r="AN57" s="34" t="s">
        <v>105</v>
      </c>
      <c r="AO57" s="34" t="s">
        <v>106</v>
      </c>
      <c r="AP57" s="34"/>
      <c r="AQ57" s="34"/>
      <c r="AR57" s="38"/>
      <c r="AS57" s="34"/>
      <c r="AT57" s="34"/>
      <c r="AU57" s="34" t="b">
        <v>0</v>
      </c>
    </row>
    <row r="58" spans="1:47" x14ac:dyDescent="0.3">
      <c r="A58" s="34" t="s">
        <v>625</v>
      </c>
      <c r="B58" s="34"/>
      <c r="C58" s="34"/>
      <c r="D58" s="34"/>
      <c r="E58" s="38" t="b">
        <v>0</v>
      </c>
      <c r="F58" s="34">
        <v>0</v>
      </c>
      <c r="G58" s="34" t="b">
        <v>0</v>
      </c>
      <c r="H58" s="34">
        <v>0</v>
      </c>
      <c r="I58" s="34">
        <v>0</v>
      </c>
      <c r="J58" s="34">
        <v>0</v>
      </c>
      <c r="K58" s="34">
        <v>0</v>
      </c>
      <c r="L58" s="34"/>
      <c r="M58" s="34"/>
      <c r="N58" s="34" t="s">
        <v>102</v>
      </c>
      <c r="O58" s="34" t="s">
        <v>102</v>
      </c>
      <c r="P58" s="34">
        <v>0</v>
      </c>
      <c r="Q58" s="38">
        <v>-1</v>
      </c>
      <c r="R58" s="38">
        <v>-1</v>
      </c>
      <c r="S58" s="38" t="s">
        <v>103</v>
      </c>
      <c r="T58" s="38" t="s">
        <v>104</v>
      </c>
      <c r="U58" s="34"/>
      <c r="V58" s="34"/>
      <c r="W58" s="34"/>
      <c r="X58" s="34"/>
      <c r="Y58" s="34" t="b">
        <v>0</v>
      </c>
      <c r="Z58" s="34">
        <v>0</v>
      </c>
      <c r="AA58" s="34" t="b">
        <v>0</v>
      </c>
      <c r="AB58" s="34"/>
      <c r="AC58" s="34"/>
      <c r="AD58" s="34" t="s">
        <v>615</v>
      </c>
      <c r="AE58" s="34"/>
      <c r="AF58" s="34"/>
      <c r="AG58" s="44" t="s">
        <v>250</v>
      </c>
      <c r="AH58" s="44" t="s">
        <v>251</v>
      </c>
      <c r="AI58" s="34"/>
      <c r="AJ58" s="34"/>
      <c r="AK58" s="34"/>
      <c r="AL58" s="34"/>
      <c r="AM58" s="38" t="b">
        <v>0</v>
      </c>
      <c r="AN58" s="34" t="s">
        <v>105</v>
      </c>
      <c r="AO58" s="34" t="s">
        <v>106</v>
      </c>
      <c r="AP58" s="34"/>
      <c r="AQ58" s="34"/>
      <c r="AR58" s="38"/>
      <c r="AS58" s="34"/>
      <c r="AT58" s="34"/>
      <c r="AU58" s="34" t="b">
        <v>0</v>
      </c>
    </row>
    <row r="59" spans="1:47" x14ac:dyDescent="0.3">
      <c r="A59" s="34" t="s">
        <v>626</v>
      </c>
      <c r="B59" s="34"/>
      <c r="C59" s="34"/>
      <c r="D59" s="34"/>
      <c r="E59" s="38" t="b">
        <v>0</v>
      </c>
      <c r="F59" s="34">
        <v>0</v>
      </c>
      <c r="G59" s="34" t="b">
        <v>0</v>
      </c>
      <c r="H59" s="34">
        <v>0</v>
      </c>
      <c r="I59" s="34">
        <v>0</v>
      </c>
      <c r="J59" s="34">
        <v>0</v>
      </c>
      <c r="K59" s="34">
        <v>0</v>
      </c>
      <c r="L59" s="34"/>
      <c r="M59" s="34"/>
      <c r="N59" s="34" t="s">
        <v>102</v>
      </c>
      <c r="O59" s="34" t="s">
        <v>102</v>
      </c>
      <c r="P59" s="34">
        <v>0</v>
      </c>
      <c r="Q59" s="38">
        <v>-1</v>
      </c>
      <c r="R59" s="38">
        <v>-1</v>
      </c>
      <c r="S59" s="38" t="s">
        <v>103</v>
      </c>
      <c r="T59" s="38" t="s">
        <v>104</v>
      </c>
      <c r="U59" s="34"/>
      <c r="V59" s="34"/>
      <c r="W59" s="34"/>
      <c r="X59" s="34"/>
      <c r="Y59" s="34" t="b">
        <v>0</v>
      </c>
      <c r="Z59" s="34">
        <v>0</v>
      </c>
      <c r="AA59" s="34" t="b">
        <v>0</v>
      </c>
      <c r="AB59" s="34"/>
      <c r="AC59" s="34"/>
      <c r="AD59" s="34" t="s">
        <v>261</v>
      </c>
      <c r="AE59" s="34"/>
      <c r="AF59" s="34"/>
      <c r="AG59" s="44" t="s">
        <v>262</v>
      </c>
      <c r="AH59" s="44" t="s">
        <v>263</v>
      </c>
      <c r="AI59" s="34"/>
      <c r="AJ59" s="34"/>
      <c r="AK59" s="34"/>
      <c r="AL59" s="34"/>
      <c r="AM59" s="38" t="b">
        <v>0</v>
      </c>
      <c r="AN59" s="34" t="s">
        <v>105</v>
      </c>
      <c r="AO59" s="34" t="s">
        <v>106</v>
      </c>
      <c r="AP59" s="34"/>
      <c r="AQ59" s="34"/>
      <c r="AR59" s="38"/>
      <c r="AS59" s="34"/>
      <c r="AT59" s="34"/>
      <c r="AU59" s="34" t="b">
        <v>0</v>
      </c>
    </row>
    <row r="60" spans="1:47" x14ac:dyDescent="0.3">
      <c r="A60" s="34" t="s">
        <v>627</v>
      </c>
      <c r="B60" s="34"/>
      <c r="C60" s="34"/>
      <c r="D60" s="34"/>
      <c r="E60" s="38" t="b">
        <v>0</v>
      </c>
      <c r="F60" s="34">
        <v>0</v>
      </c>
      <c r="G60" s="34" t="b">
        <v>0</v>
      </c>
      <c r="H60" s="34">
        <v>0</v>
      </c>
      <c r="I60" s="34">
        <v>0</v>
      </c>
      <c r="J60" s="34">
        <v>0</v>
      </c>
      <c r="K60" s="34">
        <v>0</v>
      </c>
      <c r="L60" s="34"/>
      <c r="M60" s="34"/>
      <c r="N60" s="34" t="s">
        <v>102</v>
      </c>
      <c r="O60" s="34" t="s">
        <v>102</v>
      </c>
      <c r="P60" s="34">
        <v>0</v>
      </c>
      <c r="Q60" s="38">
        <v>-1</v>
      </c>
      <c r="R60" s="38">
        <v>-1</v>
      </c>
      <c r="S60" s="38" t="s">
        <v>103</v>
      </c>
      <c r="T60" s="38" t="s">
        <v>104</v>
      </c>
      <c r="U60" s="34"/>
      <c r="V60" s="34"/>
      <c r="W60" s="34"/>
      <c r="X60" s="34"/>
      <c r="Y60" s="34" t="b">
        <v>0</v>
      </c>
      <c r="Z60" s="34">
        <v>0</v>
      </c>
      <c r="AA60" s="34" t="b">
        <v>0</v>
      </c>
      <c r="AB60" s="34"/>
      <c r="AC60" s="34"/>
      <c r="AD60" s="34" t="s">
        <v>255</v>
      </c>
      <c r="AE60" s="34"/>
      <c r="AF60" s="34"/>
      <c r="AG60" s="44" t="s">
        <v>256</v>
      </c>
      <c r="AH60" s="44" t="s">
        <v>257</v>
      </c>
      <c r="AI60" s="34"/>
      <c r="AJ60" s="34"/>
      <c r="AK60" s="34"/>
      <c r="AL60" s="34"/>
      <c r="AM60" s="38" t="b">
        <v>0</v>
      </c>
      <c r="AN60" s="34" t="s">
        <v>105</v>
      </c>
      <c r="AO60" s="34" t="s">
        <v>106</v>
      </c>
      <c r="AP60" s="34"/>
      <c r="AQ60" s="34"/>
      <c r="AR60" s="38"/>
      <c r="AS60" s="34"/>
      <c r="AT60" s="34"/>
      <c r="AU60" s="34" t="b">
        <v>0</v>
      </c>
    </row>
    <row r="61" spans="1:47" x14ac:dyDescent="0.3">
      <c r="A61" s="34" t="s">
        <v>628</v>
      </c>
      <c r="B61" s="34"/>
      <c r="C61" s="34"/>
      <c r="D61" s="34"/>
      <c r="E61" s="38" t="b">
        <v>0</v>
      </c>
      <c r="F61" s="34">
        <v>0</v>
      </c>
      <c r="G61" s="34" t="b">
        <v>0</v>
      </c>
      <c r="H61" s="34">
        <v>0</v>
      </c>
      <c r="I61" s="34">
        <v>0</v>
      </c>
      <c r="J61" s="34">
        <v>0</v>
      </c>
      <c r="K61" s="34">
        <v>0</v>
      </c>
      <c r="L61" s="34"/>
      <c r="M61" s="34"/>
      <c r="N61" s="34" t="s">
        <v>102</v>
      </c>
      <c r="O61" s="34" t="s">
        <v>102</v>
      </c>
      <c r="P61" s="34">
        <v>0</v>
      </c>
      <c r="Q61" s="38">
        <v>-1</v>
      </c>
      <c r="R61" s="38">
        <v>-1</v>
      </c>
      <c r="S61" s="38" t="s">
        <v>103</v>
      </c>
      <c r="T61" s="38" t="s">
        <v>104</v>
      </c>
      <c r="U61" s="34"/>
      <c r="V61" s="34"/>
      <c r="W61" s="34"/>
      <c r="X61" s="34"/>
      <c r="Y61" s="34" t="b">
        <v>0</v>
      </c>
      <c r="Z61" s="34">
        <v>0</v>
      </c>
      <c r="AA61" s="34" t="b">
        <v>0</v>
      </c>
      <c r="AB61" s="34"/>
      <c r="AC61" s="34"/>
      <c r="AD61" s="34" t="s">
        <v>265</v>
      </c>
      <c r="AE61" s="34"/>
      <c r="AF61" s="34"/>
      <c r="AG61" s="44" t="s">
        <v>266</v>
      </c>
      <c r="AH61" s="44" t="s">
        <v>267</v>
      </c>
      <c r="AI61" s="34"/>
      <c r="AJ61" s="34"/>
      <c r="AK61" s="34"/>
      <c r="AL61" s="34"/>
      <c r="AM61" s="38" t="b">
        <v>0</v>
      </c>
      <c r="AN61" s="34" t="s">
        <v>105</v>
      </c>
      <c r="AO61" s="34" t="s">
        <v>106</v>
      </c>
      <c r="AP61" s="34"/>
      <c r="AQ61" s="34"/>
      <c r="AR61" s="38"/>
      <c r="AS61" s="34"/>
      <c r="AT61" s="34"/>
      <c r="AU61" s="34" t="b">
        <v>0</v>
      </c>
    </row>
    <row r="62" spans="1:47" x14ac:dyDescent="0.3">
      <c r="A62" s="34" t="s">
        <v>629</v>
      </c>
      <c r="B62" s="34"/>
      <c r="C62" s="34"/>
      <c r="D62" s="34"/>
      <c r="E62" s="38" t="b">
        <v>0</v>
      </c>
      <c r="F62" s="34">
        <v>0</v>
      </c>
      <c r="G62" s="34" t="b">
        <v>0</v>
      </c>
      <c r="H62" s="34">
        <v>0</v>
      </c>
      <c r="I62" s="34">
        <v>0</v>
      </c>
      <c r="J62" s="34">
        <v>0</v>
      </c>
      <c r="K62" s="34">
        <v>0</v>
      </c>
      <c r="L62" s="34"/>
      <c r="M62" s="34"/>
      <c r="N62" s="34" t="s">
        <v>102</v>
      </c>
      <c r="O62" s="34" t="s">
        <v>102</v>
      </c>
      <c r="P62" s="34">
        <v>0</v>
      </c>
      <c r="Q62" s="38">
        <v>-1</v>
      </c>
      <c r="R62" s="38">
        <v>-1</v>
      </c>
      <c r="S62" s="38" t="s">
        <v>103</v>
      </c>
      <c r="T62" s="38" t="s">
        <v>104</v>
      </c>
      <c r="U62" s="34"/>
      <c r="V62" s="34"/>
      <c r="W62" s="34"/>
      <c r="X62" s="34"/>
      <c r="Y62" s="34" t="b">
        <v>0</v>
      </c>
      <c r="Z62" s="34">
        <v>0</v>
      </c>
      <c r="AA62" s="34" t="b">
        <v>0</v>
      </c>
      <c r="AB62" s="34"/>
      <c r="AC62" s="34"/>
      <c r="AD62" s="34" t="s">
        <v>276</v>
      </c>
      <c r="AE62" s="34"/>
      <c r="AF62" s="34"/>
      <c r="AG62" s="44" t="s">
        <v>277</v>
      </c>
      <c r="AH62" s="44" t="s">
        <v>278</v>
      </c>
      <c r="AI62" s="34"/>
      <c r="AJ62" s="34"/>
      <c r="AK62" s="34"/>
      <c r="AL62" s="34"/>
      <c r="AM62" s="38" t="b">
        <v>0</v>
      </c>
      <c r="AN62" s="34" t="s">
        <v>105</v>
      </c>
      <c r="AO62" s="34" t="s">
        <v>106</v>
      </c>
      <c r="AP62" s="34"/>
      <c r="AQ62" s="34"/>
      <c r="AR62" s="38"/>
      <c r="AS62" s="34"/>
      <c r="AT62" s="34"/>
      <c r="AU62" s="34" t="b">
        <v>0</v>
      </c>
    </row>
    <row r="63" spans="1:47" x14ac:dyDescent="0.3">
      <c r="A63" s="34" t="s">
        <v>630</v>
      </c>
      <c r="B63" s="34"/>
      <c r="C63" s="34"/>
      <c r="D63" s="34"/>
      <c r="E63" s="38" t="b">
        <v>0</v>
      </c>
      <c r="F63" s="34">
        <v>0</v>
      </c>
      <c r="G63" s="34" t="b">
        <v>0</v>
      </c>
      <c r="H63" s="34">
        <v>0</v>
      </c>
      <c r="I63" s="34">
        <v>0</v>
      </c>
      <c r="J63" s="34">
        <v>0</v>
      </c>
      <c r="K63" s="34">
        <v>0</v>
      </c>
      <c r="L63" s="34"/>
      <c r="M63" s="34"/>
      <c r="N63" s="34" t="s">
        <v>102</v>
      </c>
      <c r="O63" s="34" t="s">
        <v>102</v>
      </c>
      <c r="P63" s="34">
        <v>0</v>
      </c>
      <c r="Q63" s="38">
        <v>-1</v>
      </c>
      <c r="R63" s="38">
        <v>-1</v>
      </c>
      <c r="S63" s="38" t="s">
        <v>103</v>
      </c>
      <c r="T63" s="38" t="s">
        <v>104</v>
      </c>
      <c r="U63" s="34"/>
      <c r="V63" s="34"/>
      <c r="W63" s="34"/>
      <c r="X63" s="34"/>
      <c r="Y63" s="34" t="b">
        <v>0</v>
      </c>
      <c r="Z63" s="34">
        <v>0</v>
      </c>
      <c r="AA63" s="34" t="b">
        <v>0</v>
      </c>
      <c r="AB63" s="34"/>
      <c r="AC63" s="34"/>
      <c r="AD63" s="34" t="s">
        <v>282</v>
      </c>
      <c r="AE63" s="34"/>
      <c r="AF63" s="34"/>
      <c r="AG63" s="44" t="s">
        <v>283</v>
      </c>
      <c r="AH63" s="44" t="s">
        <v>284</v>
      </c>
      <c r="AI63" s="34"/>
      <c r="AJ63" s="34"/>
      <c r="AK63" s="34"/>
      <c r="AL63" s="34"/>
      <c r="AM63" s="38" t="b">
        <v>0</v>
      </c>
      <c r="AN63" s="34" t="s">
        <v>105</v>
      </c>
      <c r="AO63" s="34" t="s">
        <v>106</v>
      </c>
      <c r="AP63" s="34"/>
      <c r="AQ63" s="34"/>
      <c r="AR63" s="38"/>
      <c r="AS63" s="34"/>
      <c r="AT63" s="34"/>
      <c r="AU63" s="34" t="b">
        <v>0</v>
      </c>
    </row>
    <row r="64" spans="1:47" x14ac:dyDescent="0.3">
      <c r="A64" s="34" t="s">
        <v>631</v>
      </c>
      <c r="B64" s="34"/>
      <c r="C64" s="34"/>
      <c r="D64" s="34"/>
      <c r="E64" s="38" t="b">
        <v>0</v>
      </c>
      <c r="F64" s="34">
        <v>0</v>
      </c>
      <c r="G64" s="34" t="b">
        <v>0</v>
      </c>
      <c r="H64" s="34">
        <v>0</v>
      </c>
      <c r="I64" s="34">
        <v>0</v>
      </c>
      <c r="J64" s="34">
        <v>0</v>
      </c>
      <c r="K64" s="34">
        <v>0</v>
      </c>
      <c r="L64" s="34"/>
      <c r="M64" s="34"/>
      <c r="N64" s="34" t="s">
        <v>102</v>
      </c>
      <c r="O64" s="34" t="s">
        <v>102</v>
      </c>
      <c r="P64" s="34">
        <v>0</v>
      </c>
      <c r="Q64" s="38">
        <v>-1</v>
      </c>
      <c r="R64" s="38">
        <v>-1</v>
      </c>
      <c r="S64" s="38" t="s">
        <v>103</v>
      </c>
      <c r="T64" s="38" t="s">
        <v>104</v>
      </c>
      <c r="U64" s="34"/>
      <c r="V64" s="34"/>
      <c r="W64" s="34"/>
      <c r="X64" s="34"/>
      <c r="Y64" s="34" t="b">
        <v>0</v>
      </c>
      <c r="Z64" s="34">
        <v>0</v>
      </c>
      <c r="AA64" s="34" t="b">
        <v>0</v>
      </c>
      <c r="AB64" s="34"/>
      <c r="AC64" s="34"/>
      <c r="AD64" s="34" t="s">
        <v>271</v>
      </c>
      <c r="AE64" s="34"/>
      <c r="AF64" s="34"/>
      <c r="AG64" s="44" t="s">
        <v>272</v>
      </c>
      <c r="AH64" s="44" t="s">
        <v>273</v>
      </c>
      <c r="AI64" s="34"/>
      <c r="AJ64" s="34"/>
      <c r="AK64" s="34"/>
      <c r="AL64" s="34"/>
      <c r="AM64" s="38" t="b">
        <v>0</v>
      </c>
      <c r="AN64" s="34" t="s">
        <v>105</v>
      </c>
      <c r="AO64" s="34" t="s">
        <v>106</v>
      </c>
      <c r="AP64" s="34"/>
      <c r="AQ64" s="34"/>
      <c r="AR64" s="38"/>
      <c r="AS64" s="34"/>
      <c r="AT64" s="34"/>
      <c r="AU64" s="34" t="b">
        <v>0</v>
      </c>
    </row>
    <row r="65" spans="1:47" x14ac:dyDescent="0.3">
      <c r="A65" s="34" t="s">
        <v>632</v>
      </c>
      <c r="B65" s="34"/>
      <c r="C65" s="34"/>
      <c r="D65" s="34"/>
      <c r="E65" s="38" t="b">
        <v>0</v>
      </c>
      <c r="F65" s="34">
        <v>0</v>
      </c>
      <c r="G65" s="34" t="b">
        <v>0</v>
      </c>
      <c r="H65" s="34">
        <v>0</v>
      </c>
      <c r="I65" s="34">
        <v>0</v>
      </c>
      <c r="J65" s="34">
        <v>0</v>
      </c>
      <c r="K65" s="34">
        <v>0</v>
      </c>
      <c r="L65" s="34"/>
      <c r="M65" s="34"/>
      <c r="N65" s="34" t="s">
        <v>102</v>
      </c>
      <c r="O65" s="34" t="s">
        <v>102</v>
      </c>
      <c r="P65" s="34">
        <v>0</v>
      </c>
      <c r="Q65" s="38">
        <v>-1</v>
      </c>
      <c r="R65" s="38">
        <v>-1</v>
      </c>
      <c r="S65" s="38" t="s">
        <v>103</v>
      </c>
      <c r="T65" s="38" t="s">
        <v>104</v>
      </c>
      <c r="U65" s="34"/>
      <c r="V65" s="34"/>
      <c r="W65" s="34"/>
      <c r="X65" s="34"/>
      <c r="Y65" s="34" t="b">
        <v>0</v>
      </c>
      <c r="Z65" s="34">
        <v>0</v>
      </c>
      <c r="AA65" s="34" t="b">
        <v>0</v>
      </c>
      <c r="AB65" s="34"/>
      <c r="AC65" s="34"/>
      <c r="AD65" s="34" t="s">
        <v>287</v>
      </c>
      <c r="AE65" s="34"/>
      <c r="AF65" s="34"/>
      <c r="AG65" s="44" t="s">
        <v>288</v>
      </c>
      <c r="AH65" s="44" t="s">
        <v>289</v>
      </c>
      <c r="AI65" s="34"/>
      <c r="AJ65" s="34"/>
      <c r="AK65" s="34"/>
      <c r="AL65" s="34"/>
      <c r="AM65" s="38" t="b">
        <v>0</v>
      </c>
      <c r="AN65" s="34" t="s">
        <v>105</v>
      </c>
      <c r="AO65" s="34" t="s">
        <v>106</v>
      </c>
      <c r="AP65" s="34"/>
      <c r="AQ65" s="34"/>
      <c r="AR65" s="38"/>
      <c r="AS65" s="34"/>
      <c r="AT65" s="34"/>
      <c r="AU65" s="34" t="b">
        <v>0</v>
      </c>
    </row>
    <row r="66" spans="1:47" x14ac:dyDescent="0.3">
      <c r="A66" s="34" t="s">
        <v>633</v>
      </c>
      <c r="B66" s="34"/>
      <c r="C66" s="34"/>
      <c r="D66" s="34"/>
      <c r="E66" s="38" t="b">
        <v>0</v>
      </c>
      <c r="F66" s="34">
        <v>0</v>
      </c>
      <c r="G66" s="34" t="b">
        <v>0</v>
      </c>
      <c r="H66" s="34">
        <v>0</v>
      </c>
      <c r="I66" s="34">
        <v>0</v>
      </c>
      <c r="J66" s="34">
        <v>0</v>
      </c>
      <c r="K66" s="34">
        <v>0</v>
      </c>
      <c r="L66" s="34"/>
      <c r="M66" s="34"/>
      <c r="N66" s="34" t="s">
        <v>102</v>
      </c>
      <c r="O66" s="34" t="s">
        <v>102</v>
      </c>
      <c r="P66" s="34">
        <v>0</v>
      </c>
      <c r="Q66" s="38">
        <v>-1</v>
      </c>
      <c r="R66" s="38">
        <v>-1</v>
      </c>
      <c r="S66" s="38" t="s">
        <v>103</v>
      </c>
      <c r="T66" s="38" t="s">
        <v>104</v>
      </c>
      <c r="U66" s="34"/>
      <c r="V66" s="34"/>
      <c r="W66" s="34"/>
      <c r="X66" s="34"/>
      <c r="Y66" s="34" t="b">
        <v>0</v>
      </c>
      <c r="Z66" s="34">
        <v>0</v>
      </c>
      <c r="AA66" s="34" t="b">
        <v>0</v>
      </c>
      <c r="AB66" s="34"/>
      <c r="AC66" s="34"/>
      <c r="AD66" s="34" t="s">
        <v>293</v>
      </c>
      <c r="AE66" s="34"/>
      <c r="AF66" s="34"/>
      <c r="AG66" s="44" t="s">
        <v>294</v>
      </c>
      <c r="AH66" s="44" t="s">
        <v>295</v>
      </c>
      <c r="AI66" s="34"/>
      <c r="AJ66" s="34"/>
      <c r="AK66" s="34"/>
      <c r="AL66" s="34"/>
      <c r="AM66" s="38" t="b">
        <v>0</v>
      </c>
      <c r="AN66" s="34" t="s">
        <v>105</v>
      </c>
      <c r="AO66" s="34" t="s">
        <v>106</v>
      </c>
      <c r="AP66" s="34"/>
      <c r="AQ66" s="34"/>
      <c r="AR66" s="38"/>
      <c r="AS66" s="34"/>
      <c r="AT66" s="34"/>
      <c r="AU66" s="34" t="b">
        <v>0</v>
      </c>
    </row>
    <row r="67" spans="1:47" x14ac:dyDescent="0.3">
      <c r="A67" s="34" t="s">
        <v>634</v>
      </c>
      <c r="B67" s="34"/>
      <c r="C67" s="34"/>
      <c r="D67" s="34"/>
      <c r="E67" s="38" t="b">
        <v>0</v>
      </c>
      <c r="F67" s="34">
        <v>0</v>
      </c>
      <c r="G67" s="34" t="b">
        <v>0</v>
      </c>
      <c r="H67" s="34">
        <v>0</v>
      </c>
      <c r="I67" s="34">
        <v>0</v>
      </c>
      <c r="J67" s="34">
        <v>0</v>
      </c>
      <c r="K67" s="34">
        <v>0</v>
      </c>
      <c r="L67" s="34"/>
      <c r="M67" s="34"/>
      <c r="N67" s="34" t="s">
        <v>102</v>
      </c>
      <c r="O67" s="34" t="s">
        <v>102</v>
      </c>
      <c r="P67" s="34">
        <v>0</v>
      </c>
      <c r="Q67" s="38">
        <v>-1</v>
      </c>
      <c r="R67" s="38">
        <v>-1</v>
      </c>
      <c r="S67" s="38" t="s">
        <v>103</v>
      </c>
      <c r="T67" s="38" t="s">
        <v>104</v>
      </c>
      <c r="U67" s="34"/>
      <c r="V67" s="34"/>
      <c r="W67" s="34"/>
      <c r="X67" s="34"/>
      <c r="Y67" s="34" t="b">
        <v>0</v>
      </c>
      <c r="Z67" s="34">
        <v>0</v>
      </c>
      <c r="AA67" s="34" t="b">
        <v>0</v>
      </c>
      <c r="AB67" s="34"/>
      <c r="AC67" s="34"/>
      <c r="AD67" s="34" t="s">
        <v>302</v>
      </c>
      <c r="AE67" s="34"/>
      <c r="AF67" s="34"/>
      <c r="AG67" s="44" t="s">
        <v>303</v>
      </c>
      <c r="AH67" s="44" t="s">
        <v>304</v>
      </c>
      <c r="AI67" s="34"/>
      <c r="AJ67" s="34"/>
      <c r="AK67" s="34"/>
      <c r="AL67" s="34"/>
      <c r="AM67" s="38" t="b">
        <v>0</v>
      </c>
      <c r="AN67" s="34" t="s">
        <v>105</v>
      </c>
      <c r="AO67" s="34" t="s">
        <v>106</v>
      </c>
      <c r="AP67" s="34"/>
      <c r="AQ67" s="34"/>
      <c r="AR67" s="38"/>
      <c r="AS67" s="34"/>
      <c r="AT67" s="34"/>
      <c r="AU67" s="34" t="b">
        <v>0</v>
      </c>
    </row>
    <row r="68" spans="1:47" x14ac:dyDescent="0.3">
      <c r="A68" s="34" t="s">
        <v>635</v>
      </c>
      <c r="B68" s="34"/>
      <c r="C68" s="34"/>
      <c r="D68" s="34"/>
      <c r="E68" s="38" t="b">
        <v>0</v>
      </c>
      <c r="F68" s="34">
        <v>0</v>
      </c>
      <c r="G68" s="34" t="b">
        <v>0</v>
      </c>
      <c r="H68" s="34">
        <v>0</v>
      </c>
      <c r="I68" s="34">
        <v>0</v>
      </c>
      <c r="J68" s="34">
        <v>0</v>
      </c>
      <c r="K68" s="34">
        <v>0</v>
      </c>
      <c r="L68" s="34"/>
      <c r="M68" s="34"/>
      <c r="N68" s="34" t="s">
        <v>102</v>
      </c>
      <c r="O68" s="34" t="s">
        <v>102</v>
      </c>
      <c r="P68" s="34">
        <v>0</v>
      </c>
      <c r="Q68" s="38">
        <v>-1</v>
      </c>
      <c r="R68" s="38">
        <v>-1</v>
      </c>
      <c r="S68" s="38" t="s">
        <v>103</v>
      </c>
      <c r="T68" s="38" t="s">
        <v>104</v>
      </c>
      <c r="U68" s="34"/>
      <c r="V68" s="34"/>
      <c r="W68" s="34"/>
      <c r="X68" s="34"/>
      <c r="Y68" s="34" t="b">
        <v>0</v>
      </c>
      <c r="Z68" s="34">
        <v>0</v>
      </c>
      <c r="AA68" s="34" t="b">
        <v>0</v>
      </c>
      <c r="AB68" s="34"/>
      <c r="AC68" s="34"/>
      <c r="AD68" s="34" t="s">
        <v>616</v>
      </c>
      <c r="AE68" s="34"/>
      <c r="AF68" s="34"/>
      <c r="AG68" s="44" t="s">
        <v>303</v>
      </c>
      <c r="AH68" s="44" t="s">
        <v>304</v>
      </c>
      <c r="AI68" s="34"/>
      <c r="AJ68" s="34"/>
      <c r="AK68" s="34"/>
      <c r="AL68" s="34"/>
      <c r="AM68" s="38" t="b">
        <v>0</v>
      </c>
      <c r="AN68" s="34" t="s">
        <v>105</v>
      </c>
      <c r="AO68" s="34" t="s">
        <v>106</v>
      </c>
      <c r="AP68" s="34"/>
      <c r="AQ68" s="34"/>
      <c r="AR68" s="38"/>
      <c r="AS68" s="34"/>
      <c r="AT68" s="34"/>
      <c r="AU68" s="34" t="b">
        <v>0</v>
      </c>
    </row>
    <row r="69" spans="1:47" x14ac:dyDescent="0.3">
      <c r="A69" s="34" t="s">
        <v>636</v>
      </c>
      <c r="B69" s="34"/>
      <c r="C69" s="34"/>
      <c r="D69" s="34"/>
      <c r="E69" s="38" t="b">
        <v>0</v>
      </c>
      <c r="F69" s="34">
        <v>0</v>
      </c>
      <c r="G69" s="34" t="b">
        <v>0</v>
      </c>
      <c r="H69" s="34">
        <v>0</v>
      </c>
      <c r="I69" s="34">
        <v>0</v>
      </c>
      <c r="J69" s="34">
        <v>0</v>
      </c>
      <c r="K69" s="34">
        <v>0</v>
      </c>
      <c r="L69" s="34"/>
      <c r="M69" s="34"/>
      <c r="N69" s="34" t="s">
        <v>102</v>
      </c>
      <c r="O69" s="34" t="s">
        <v>102</v>
      </c>
      <c r="P69" s="34">
        <v>0</v>
      </c>
      <c r="Q69" s="38">
        <v>-1</v>
      </c>
      <c r="R69" s="38">
        <v>-1</v>
      </c>
      <c r="S69" s="38" t="s">
        <v>103</v>
      </c>
      <c r="T69" s="38" t="s">
        <v>104</v>
      </c>
      <c r="U69" s="34"/>
      <c r="V69" s="34"/>
      <c r="W69" s="34"/>
      <c r="X69" s="34"/>
      <c r="Y69" s="34" t="b">
        <v>0</v>
      </c>
      <c r="Z69" s="34">
        <v>0</v>
      </c>
      <c r="AA69" s="34" t="b">
        <v>0</v>
      </c>
      <c r="AB69" s="34"/>
      <c r="AC69" s="34"/>
      <c r="AD69" s="34" t="s">
        <v>307</v>
      </c>
      <c r="AE69" s="34"/>
      <c r="AF69" s="34"/>
      <c r="AG69" s="44" t="s">
        <v>308</v>
      </c>
      <c r="AH69" s="44" t="s">
        <v>309</v>
      </c>
      <c r="AI69" s="34"/>
      <c r="AJ69" s="34"/>
      <c r="AK69" s="34"/>
      <c r="AL69" s="34"/>
      <c r="AM69" s="38" t="b">
        <v>0</v>
      </c>
      <c r="AN69" s="34" t="s">
        <v>105</v>
      </c>
      <c r="AO69" s="34" t="s">
        <v>106</v>
      </c>
      <c r="AP69" s="34"/>
      <c r="AQ69" s="34"/>
      <c r="AR69" s="38"/>
      <c r="AS69" s="34"/>
      <c r="AT69" s="34"/>
      <c r="AU69" s="34" t="b">
        <v>0</v>
      </c>
    </row>
    <row r="70" spans="1:47" x14ac:dyDescent="0.3">
      <c r="A70" s="34" t="s">
        <v>637</v>
      </c>
      <c r="B70" s="34"/>
      <c r="C70" s="34"/>
      <c r="D70" s="34"/>
      <c r="E70" s="38" t="b">
        <v>0</v>
      </c>
      <c r="F70" s="34">
        <v>0</v>
      </c>
      <c r="G70" s="34" t="b">
        <v>0</v>
      </c>
      <c r="H70" s="34">
        <v>0</v>
      </c>
      <c r="I70" s="34">
        <v>0</v>
      </c>
      <c r="J70" s="34">
        <v>0</v>
      </c>
      <c r="K70" s="34">
        <v>0</v>
      </c>
      <c r="L70" s="34"/>
      <c r="M70" s="34"/>
      <c r="N70" s="34" t="s">
        <v>102</v>
      </c>
      <c r="O70" s="34" t="s">
        <v>102</v>
      </c>
      <c r="P70" s="34">
        <v>0</v>
      </c>
      <c r="Q70" s="38">
        <v>-1</v>
      </c>
      <c r="R70" s="38">
        <v>-1</v>
      </c>
      <c r="S70" s="38" t="s">
        <v>103</v>
      </c>
      <c r="T70" s="38" t="s">
        <v>104</v>
      </c>
      <c r="U70" s="34"/>
      <c r="V70" s="34"/>
      <c r="W70" s="34"/>
      <c r="X70" s="34"/>
      <c r="Y70" s="34" t="b">
        <v>0</v>
      </c>
      <c r="Z70" s="34">
        <v>0</v>
      </c>
      <c r="AA70" s="34" t="b">
        <v>0</v>
      </c>
      <c r="AB70" s="34"/>
      <c r="AC70" s="34"/>
      <c r="AD70" s="34" t="s">
        <v>313</v>
      </c>
      <c r="AE70" s="34"/>
      <c r="AF70" s="34"/>
      <c r="AG70" s="44" t="s">
        <v>314</v>
      </c>
      <c r="AH70" s="44" t="s">
        <v>315</v>
      </c>
      <c r="AI70" s="34"/>
      <c r="AJ70" s="34"/>
      <c r="AK70" s="34"/>
      <c r="AL70" s="34"/>
      <c r="AM70" s="38" t="b">
        <v>0</v>
      </c>
      <c r="AN70" s="34" t="s">
        <v>105</v>
      </c>
      <c r="AO70" s="34" t="s">
        <v>106</v>
      </c>
      <c r="AP70" s="34"/>
      <c r="AQ70" s="34"/>
      <c r="AR70" s="38"/>
      <c r="AS70" s="34"/>
      <c r="AT70" s="34"/>
      <c r="AU70" s="34" t="b">
        <v>0</v>
      </c>
    </row>
    <row r="71" spans="1:47" x14ac:dyDescent="0.3">
      <c r="A71" s="34" t="s">
        <v>638</v>
      </c>
      <c r="B71" s="34"/>
      <c r="C71" s="34"/>
      <c r="D71" s="34"/>
      <c r="E71" s="38" t="b">
        <v>0</v>
      </c>
      <c r="F71" s="34">
        <v>0</v>
      </c>
      <c r="G71" s="34" t="b">
        <v>0</v>
      </c>
      <c r="H71" s="34">
        <v>0</v>
      </c>
      <c r="I71" s="34">
        <v>0</v>
      </c>
      <c r="J71" s="34">
        <v>0</v>
      </c>
      <c r="K71" s="34">
        <v>0</v>
      </c>
      <c r="L71" s="34"/>
      <c r="M71" s="34"/>
      <c r="N71" s="34" t="s">
        <v>102</v>
      </c>
      <c r="O71" s="34" t="s">
        <v>102</v>
      </c>
      <c r="P71" s="34">
        <v>0</v>
      </c>
      <c r="Q71" s="38">
        <v>-1</v>
      </c>
      <c r="R71" s="38">
        <v>-1</v>
      </c>
      <c r="S71" s="38" t="s">
        <v>103</v>
      </c>
      <c r="T71" s="38" t="s">
        <v>104</v>
      </c>
      <c r="U71" s="34"/>
      <c r="V71" s="34"/>
      <c r="W71" s="34"/>
      <c r="X71" s="34"/>
      <c r="Y71" s="34" t="b">
        <v>0</v>
      </c>
      <c r="Z71" s="34">
        <v>0</v>
      </c>
      <c r="AA71" s="34" t="b">
        <v>0</v>
      </c>
      <c r="AB71" s="34"/>
      <c r="AC71" s="34"/>
      <c r="AD71" s="34" t="s">
        <v>322</v>
      </c>
      <c r="AE71" s="34"/>
      <c r="AF71" s="34"/>
      <c r="AG71" s="44" t="s">
        <v>323</v>
      </c>
      <c r="AH71" s="44" t="s">
        <v>324</v>
      </c>
      <c r="AI71" s="34"/>
      <c r="AJ71" s="34"/>
      <c r="AK71" s="34"/>
      <c r="AL71" s="34"/>
      <c r="AM71" s="38" t="b">
        <v>0</v>
      </c>
      <c r="AN71" s="34" t="s">
        <v>105</v>
      </c>
      <c r="AO71" s="34" t="s">
        <v>106</v>
      </c>
      <c r="AP71" s="34"/>
      <c r="AQ71" s="34"/>
      <c r="AR71" s="38"/>
      <c r="AS71" s="34"/>
      <c r="AT71" s="34"/>
      <c r="AU71" s="34" t="b">
        <v>0</v>
      </c>
    </row>
    <row r="72" spans="1:47" x14ac:dyDescent="0.3">
      <c r="A72" s="34" t="s">
        <v>639</v>
      </c>
      <c r="B72" s="34"/>
      <c r="C72" s="34"/>
      <c r="D72" s="34"/>
      <c r="E72" s="38" t="b">
        <v>0</v>
      </c>
      <c r="F72" s="34">
        <v>0</v>
      </c>
      <c r="G72" s="34" t="b">
        <v>0</v>
      </c>
      <c r="H72" s="34">
        <v>0</v>
      </c>
      <c r="I72" s="34">
        <v>0</v>
      </c>
      <c r="J72" s="34">
        <v>0</v>
      </c>
      <c r="K72" s="34">
        <v>0</v>
      </c>
      <c r="L72" s="34"/>
      <c r="M72" s="34"/>
      <c r="N72" s="34" t="s">
        <v>102</v>
      </c>
      <c r="O72" s="34" t="s">
        <v>102</v>
      </c>
      <c r="P72" s="34">
        <v>0</v>
      </c>
      <c r="Q72" s="38">
        <v>-1</v>
      </c>
      <c r="R72" s="38">
        <v>-1</v>
      </c>
      <c r="S72" s="38" t="s">
        <v>103</v>
      </c>
      <c r="T72" s="38" t="s">
        <v>104</v>
      </c>
      <c r="U72" s="34"/>
      <c r="V72" s="34"/>
      <c r="W72" s="34"/>
      <c r="X72" s="34"/>
      <c r="Y72" s="34" t="b">
        <v>0</v>
      </c>
      <c r="Z72" s="34">
        <v>0</v>
      </c>
      <c r="AA72" s="34" t="b">
        <v>0</v>
      </c>
      <c r="AB72" s="34"/>
      <c r="AC72" s="34"/>
      <c r="AD72" s="34" t="s">
        <v>329</v>
      </c>
      <c r="AE72" s="34"/>
      <c r="AF72" s="34"/>
      <c r="AG72" s="44" t="s">
        <v>330</v>
      </c>
      <c r="AH72" s="44" t="s">
        <v>331</v>
      </c>
      <c r="AI72" s="34"/>
      <c r="AJ72" s="34"/>
      <c r="AK72" s="34"/>
      <c r="AL72" s="34"/>
      <c r="AM72" s="38" t="b">
        <v>0</v>
      </c>
      <c r="AN72" s="34" t="s">
        <v>105</v>
      </c>
      <c r="AO72" s="34" t="s">
        <v>106</v>
      </c>
      <c r="AP72" s="34"/>
      <c r="AQ72" s="34"/>
      <c r="AR72" s="38"/>
      <c r="AS72" s="34"/>
      <c r="AT72" s="34"/>
      <c r="AU72" s="34" t="b">
        <v>0</v>
      </c>
    </row>
    <row r="73" spans="1:47" x14ac:dyDescent="0.3">
      <c r="A73" s="34" t="s">
        <v>640</v>
      </c>
      <c r="B73" s="34"/>
      <c r="C73" s="34"/>
      <c r="D73" s="34"/>
      <c r="E73" s="38" t="b">
        <v>0</v>
      </c>
      <c r="F73" s="34">
        <v>0</v>
      </c>
      <c r="G73" s="34" t="b">
        <v>0</v>
      </c>
      <c r="H73" s="34">
        <v>0</v>
      </c>
      <c r="I73" s="34">
        <v>0</v>
      </c>
      <c r="J73" s="34">
        <v>0</v>
      </c>
      <c r="K73" s="34">
        <v>0</v>
      </c>
      <c r="L73" s="34"/>
      <c r="M73" s="34"/>
      <c r="N73" s="34" t="s">
        <v>102</v>
      </c>
      <c r="O73" s="34" t="s">
        <v>102</v>
      </c>
      <c r="P73" s="34">
        <v>0</v>
      </c>
      <c r="Q73" s="38">
        <v>-1</v>
      </c>
      <c r="R73" s="38">
        <v>-1</v>
      </c>
      <c r="S73" s="38" t="s">
        <v>103</v>
      </c>
      <c r="T73" s="38" t="s">
        <v>104</v>
      </c>
      <c r="U73" s="34"/>
      <c r="V73" s="34"/>
      <c r="W73" s="34"/>
      <c r="X73" s="34"/>
      <c r="Y73" s="34" t="b">
        <v>0</v>
      </c>
      <c r="Z73" s="34">
        <v>0</v>
      </c>
      <c r="AA73" s="34" t="b">
        <v>0</v>
      </c>
      <c r="AB73" s="34"/>
      <c r="AC73" s="34"/>
      <c r="AD73" s="34" t="s">
        <v>334</v>
      </c>
      <c r="AE73" s="34"/>
      <c r="AF73" s="34"/>
      <c r="AG73" s="44" t="s">
        <v>335</v>
      </c>
      <c r="AH73" s="44" t="s">
        <v>336</v>
      </c>
      <c r="AI73" s="34"/>
      <c r="AJ73" s="34"/>
      <c r="AK73" s="34"/>
      <c r="AL73" s="34"/>
      <c r="AM73" s="38" t="b">
        <v>0</v>
      </c>
      <c r="AN73" s="34" t="s">
        <v>105</v>
      </c>
      <c r="AO73" s="34" t="s">
        <v>106</v>
      </c>
      <c r="AP73" s="34"/>
      <c r="AQ73" s="34"/>
      <c r="AR73" s="38"/>
      <c r="AS73" s="34"/>
      <c r="AT73" s="34"/>
      <c r="AU73" s="34" t="b">
        <v>0</v>
      </c>
    </row>
    <row r="74" spans="1:47" x14ac:dyDescent="0.3">
      <c r="A74" s="34" t="s">
        <v>641</v>
      </c>
      <c r="B74" s="34"/>
      <c r="C74" s="34"/>
      <c r="D74" s="34"/>
      <c r="E74" s="38" t="b">
        <v>0</v>
      </c>
      <c r="F74" s="34">
        <v>0</v>
      </c>
      <c r="G74" s="34" t="b">
        <v>0</v>
      </c>
      <c r="H74" s="34">
        <v>0</v>
      </c>
      <c r="I74" s="34">
        <v>0</v>
      </c>
      <c r="J74" s="34">
        <v>0</v>
      </c>
      <c r="K74" s="34">
        <v>0</v>
      </c>
      <c r="L74" s="34"/>
      <c r="M74" s="34"/>
      <c r="N74" s="34" t="s">
        <v>102</v>
      </c>
      <c r="O74" s="34" t="s">
        <v>102</v>
      </c>
      <c r="P74" s="34">
        <v>0</v>
      </c>
      <c r="Q74" s="38">
        <v>-1</v>
      </c>
      <c r="R74" s="38">
        <v>-1</v>
      </c>
      <c r="S74" s="38" t="s">
        <v>103</v>
      </c>
      <c r="T74" s="38" t="s">
        <v>104</v>
      </c>
      <c r="U74" s="34"/>
      <c r="V74" s="34"/>
      <c r="W74" s="34"/>
      <c r="X74" s="34"/>
      <c r="Y74" s="34" t="b">
        <v>0</v>
      </c>
      <c r="Z74" s="34">
        <v>0</v>
      </c>
      <c r="AA74" s="34" t="b">
        <v>0</v>
      </c>
      <c r="AB74" s="34"/>
      <c r="AC74" s="34"/>
      <c r="AD74" s="34" t="s">
        <v>339</v>
      </c>
      <c r="AE74" s="34"/>
      <c r="AF74" s="34"/>
      <c r="AG74" s="44" t="s">
        <v>340</v>
      </c>
      <c r="AH74" s="44" t="s">
        <v>341</v>
      </c>
      <c r="AI74" s="34"/>
      <c r="AJ74" s="34"/>
      <c r="AK74" s="34"/>
      <c r="AL74" s="34"/>
      <c r="AM74" s="38" t="b">
        <v>0</v>
      </c>
      <c r="AN74" s="34" t="s">
        <v>105</v>
      </c>
      <c r="AO74" s="34" t="s">
        <v>106</v>
      </c>
      <c r="AP74" s="34"/>
      <c r="AQ74" s="34"/>
      <c r="AR74" s="38"/>
      <c r="AS74" s="34"/>
      <c r="AT74" s="34"/>
      <c r="AU74" s="34" t="b">
        <v>0</v>
      </c>
    </row>
    <row r="75" spans="1:47" x14ac:dyDescent="0.3">
      <c r="A75" s="34" t="s">
        <v>642</v>
      </c>
      <c r="B75" s="34"/>
      <c r="C75" s="34"/>
      <c r="D75" s="34"/>
      <c r="E75" s="38" t="b">
        <v>0</v>
      </c>
      <c r="F75" s="34">
        <v>0</v>
      </c>
      <c r="G75" s="34" t="b">
        <v>0</v>
      </c>
      <c r="H75" s="34">
        <v>0</v>
      </c>
      <c r="I75" s="34">
        <v>0</v>
      </c>
      <c r="J75" s="34">
        <v>0</v>
      </c>
      <c r="K75" s="34">
        <v>0</v>
      </c>
      <c r="L75" s="34"/>
      <c r="M75" s="34"/>
      <c r="N75" s="34" t="s">
        <v>102</v>
      </c>
      <c r="O75" s="34" t="s">
        <v>102</v>
      </c>
      <c r="P75" s="34">
        <v>0</v>
      </c>
      <c r="Q75" s="38">
        <v>-1</v>
      </c>
      <c r="R75" s="38">
        <v>-1</v>
      </c>
      <c r="S75" s="38" t="s">
        <v>103</v>
      </c>
      <c r="T75" s="38" t="s">
        <v>104</v>
      </c>
      <c r="U75" s="34"/>
      <c r="V75" s="34"/>
      <c r="W75" s="34"/>
      <c r="X75" s="34"/>
      <c r="Y75" s="34" t="b">
        <v>0</v>
      </c>
      <c r="Z75" s="34">
        <v>0</v>
      </c>
      <c r="AA75" s="34" t="b">
        <v>0</v>
      </c>
      <c r="AB75" s="34"/>
      <c r="AC75" s="34"/>
      <c r="AD75" s="34" t="s">
        <v>617</v>
      </c>
      <c r="AE75" s="34"/>
      <c r="AF75" s="34"/>
      <c r="AG75" s="44" t="s">
        <v>340</v>
      </c>
      <c r="AH75" s="44" t="s">
        <v>341</v>
      </c>
      <c r="AI75" s="34"/>
      <c r="AJ75" s="34"/>
      <c r="AK75" s="34"/>
      <c r="AL75" s="34"/>
      <c r="AM75" s="38" t="b">
        <v>0</v>
      </c>
      <c r="AN75" s="34" t="s">
        <v>105</v>
      </c>
      <c r="AO75" s="34" t="s">
        <v>106</v>
      </c>
      <c r="AP75" s="34"/>
      <c r="AQ75" s="34"/>
      <c r="AR75" s="38"/>
      <c r="AS75" s="34"/>
      <c r="AT75" s="34"/>
      <c r="AU75" s="34" t="b">
        <v>0</v>
      </c>
    </row>
    <row r="76" spans="1:47" x14ac:dyDescent="0.3">
      <c r="A76" s="34" t="s">
        <v>643</v>
      </c>
      <c r="B76" s="34"/>
      <c r="C76" s="34"/>
      <c r="D76" s="34"/>
      <c r="E76" s="38" t="b">
        <v>0</v>
      </c>
      <c r="F76" s="34">
        <v>0</v>
      </c>
      <c r="G76" s="34" t="b">
        <v>0</v>
      </c>
      <c r="H76" s="34">
        <v>0</v>
      </c>
      <c r="I76" s="34">
        <v>0</v>
      </c>
      <c r="J76" s="34">
        <v>0</v>
      </c>
      <c r="K76" s="34">
        <v>0</v>
      </c>
      <c r="L76" s="34"/>
      <c r="M76" s="34"/>
      <c r="N76" s="34" t="s">
        <v>102</v>
      </c>
      <c r="O76" s="34" t="s">
        <v>102</v>
      </c>
      <c r="P76" s="34">
        <v>0</v>
      </c>
      <c r="Q76" s="38">
        <v>-1</v>
      </c>
      <c r="R76" s="38">
        <v>-1</v>
      </c>
      <c r="S76" s="38" t="s">
        <v>103</v>
      </c>
      <c r="T76" s="38" t="s">
        <v>104</v>
      </c>
      <c r="U76" s="34"/>
      <c r="V76" s="34"/>
      <c r="W76" s="34"/>
      <c r="X76" s="34"/>
      <c r="Y76" s="34" t="b">
        <v>0</v>
      </c>
      <c r="Z76" s="34">
        <v>0</v>
      </c>
      <c r="AA76" s="34" t="b">
        <v>0</v>
      </c>
      <c r="AB76" s="34"/>
      <c r="AC76" s="34"/>
      <c r="AD76" s="34" t="s">
        <v>345</v>
      </c>
      <c r="AE76" s="34"/>
      <c r="AF76" s="34"/>
      <c r="AG76" s="44" t="s">
        <v>346</v>
      </c>
      <c r="AH76" s="44" t="s">
        <v>347</v>
      </c>
      <c r="AI76" s="34"/>
      <c r="AJ76" s="34"/>
      <c r="AK76" s="34"/>
      <c r="AL76" s="34"/>
      <c r="AM76" s="38" t="b">
        <v>0</v>
      </c>
      <c r="AN76" s="34" t="s">
        <v>105</v>
      </c>
      <c r="AO76" s="34" t="s">
        <v>106</v>
      </c>
      <c r="AP76" s="34"/>
      <c r="AQ76" s="34"/>
      <c r="AR76" s="38"/>
      <c r="AS76" s="34"/>
      <c r="AT76" s="34"/>
      <c r="AU76" s="34" t="b">
        <v>0</v>
      </c>
    </row>
    <row r="77" spans="1:47" x14ac:dyDescent="0.3">
      <c r="A77" s="34" t="s">
        <v>644</v>
      </c>
      <c r="B77" s="34"/>
      <c r="C77" s="34"/>
      <c r="D77" s="34"/>
      <c r="E77" s="38" t="b">
        <v>0</v>
      </c>
      <c r="F77" s="34">
        <v>0</v>
      </c>
      <c r="G77" s="34" t="b">
        <v>0</v>
      </c>
      <c r="H77" s="34">
        <v>0</v>
      </c>
      <c r="I77" s="34">
        <v>0</v>
      </c>
      <c r="J77" s="34">
        <v>0</v>
      </c>
      <c r="K77" s="34">
        <v>0</v>
      </c>
      <c r="L77" s="34"/>
      <c r="M77" s="34"/>
      <c r="N77" s="34" t="s">
        <v>102</v>
      </c>
      <c r="O77" s="34" t="s">
        <v>102</v>
      </c>
      <c r="P77" s="34">
        <v>0</v>
      </c>
      <c r="Q77" s="38">
        <v>-1</v>
      </c>
      <c r="R77" s="38">
        <v>-1</v>
      </c>
      <c r="S77" s="38" t="s">
        <v>103</v>
      </c>
      <c r="T77" s="38" t="s">
        <v>104</v>
      </c>
      <c r="U77" s="34"/>
      <c r="V77" s="34"/>
      <c r="W77" s="34"/>
      <c r="X77" s="34"/>
      <c r="Y77" s="34" t="b">
        <v>0</v>
      </c>
      <c r="Z77" s="34">
        <v>0</v>
      </c>
      <c r="AA77" s="34" t="b">
        <v>0</v>
      </c>
      <c r="AB77" s="34"/>
      <c r="AC77" s="34"/>
      <c r="AD77" s="34" t="s">
        <v>618</v>
      </c>
      <c r="AE77" s="34"/>
      <c r="AF77" s="34"/>
      <c r="AG77" s="44" t="s">
        <v>346</v>
      </c>
      <c r="AH77" s="44" t="s">
        <v>347</v>
      </c>
      <c r="AI77" s="34"/>
      <c r="AJ77" s="34"/>
      <c r="AK77" s="34"/>
      <c r="AL77" s="34"/>
      <c r="AM77" s="38" t="b">
        <v>0</v>
      </c>
      <c r="AN77" s="34" t="s">
        <v>105</v>
      </c>
      <c r="AO77" s="34" t="s">
        <v>106</v>
      </c>
      <c r="AP77" s="34"/>
      <c r="AQ77" s="34"/>
      <c r="AR77" s="38"/>
      <c r="AS77" s="34"/>
      <c r="AT77" s="34"/>
      <c r="AU77" s="34" t="b">
        <v>0</v>
      </c>
    </row>
    <row r="78" spans="1:47" x14ac:dyDescent="0.3">
      <c r="A78" s="34" t="s">
        <v>645</v>
      </c>
      <c r="B78" s="34"/>
      <c r="C78" s="34"/>
      <c r="D78" s="34"/>
      <c r="E78" s="38" t="b">
        <v>0</v>
      </c>
      <c r="F78" s="34">
        <v>0</v>
      </c>
      <c r="G78" s="34" t="b">
        <v>0</v>
      </c>
      <c r="H78" s="34">
        <v>0</v>
      </c>
      <c r="I78" s="34">
        <v>0</v>
      </c>
      <c r="J78" s="34">
        <v>0</v>
      </c>
      <c r="K78" s="34">
        <v>0</v>
      </c>
      <c r="L78" s="34"/>
      <c r="M78" s="34"/>
      <c r="N78" s="34" t="s">
        <v>102</v>
      </c>
      <c r="O78" s="34" t="s">
        <v>102</v>
      </c>
      <c r="P78" s="34">
        <v>0</v>
      </c>
      <c r="Q78" s="38">
        <v>-1</v>
      </c>
      <c r="R78" s="38">
        <v>-1</v>
      </c>
      <c r="S78" s="38" t="s">
        <v>103</v>
      </c>
      <c r="T78" s="38" t="s">
        <v>104</v>
      </c>
      <c r="U78" s="34"/>
      <c r="V78" s="34"/>
      <c r="W78" s="34"/>
      <c r="X78" s="34"/>
      <c r="Y78" s="34" t="b">
        <v>0</v>
      </c>
      <c r="Z78" s="34">
        <v>0</v>
      </c>
      <c r="AA78" s="34" t="b">
        <v>0</v>
      </c>
      <c r="AB78" s="34"/>
      <c r="AC78" s="34"/>
      <c r="AD78" s="34" t="s">
        <v>351</v>
      </c>
      <c r="AE78" s="34"/>
      <c r="AF78" s="34"/>
      <c r="AG78" s="44" t="s">
        <v>352</v>
      </c>
      <c r="AH78" s="44" t="s">
        <v>353</v>
      </c>
      <c r="AI78" s="34"/>
      <c r="AJ78" s="34"/>
      <c r="AK78" s="34"/>
      <c r="AL78" s="34"/>
      <c r="AM78" s="38" t="b">
        <v>0</v>
      </c>
      <c r="AN78" s="34" t="s">
        <v>105</v>
      </c>
      <c r="AO78" s="34" t="s">
        <v>106</v>
      </c>
      <c r="AP78" s="34"/>
      <c r="AQ78" s="34"/>
      <c r="AR78" s="38"/>
      <c r="AS78" s="34"/>
      <c r="AT78" s="34"/>
      <c r="AU78" s="34" t="b">
        <v>0</v>
      </c>
    </row>
    <row r="79" spans="1:47" x14ac:dyDescent="0.3">
      <c r="A79" s="34" t="s">
        <v>646</v>
      </c>
      <c r="B79" s="34"/>
      <c r="C79" s="34"/>
      <c r="D79" s="34"/>
      <c r="E79" s="38" t="b">
        <v>0</v>
      </c>
      <c r="F79" s="34">
        <v>0</v>
      </c>
      <c r="G79" s="34" t="b">
        <v>0</v>
      </c>
      <c r="H79" s="34">
        <v>0</v>
      </c>
      <c r="I79" s="34">
        <v>0</v>
      </c>
      <c r="J79" s="34">
        <v>0</v>
      </c>
      <c r="K79" s="34">
        <v>0</v>
      </c>
      <c r="L79" s="34"/>
      <c r="M79" s="34"/>
      <c r="N79" s="34" t="s">
        <v>102</v>
      </c>
      <c r="O79" s="34" t="s">
        <v>102</v>
      </c>
      <c r="P79" s="34">
        <v>0</v>
      </c>
      <c r="Q79" s="38">
        <v>-1</v>
      </c>
      <c r="R79" s="38">
        <v>-1</v>
      </c>
      <c r="S79" s="38" t="s">
        <v>103</v>
      </c>
      <c r="T79" s="38" t="s">
        <v>104</v>
      </c>
      <c r="U79" s="34"/>
      <c r="V79" s="34"/>
      <c r="W79" s="34"/>
      <c r="X79" s="34"/>
      <c r="Y79" s="34" t="b">
        <v>0</v>
      </c>
      <c r="Z79" s="34">
        <v>0</v>
      </c>
      <c r="AA79" s="34" t="b">
        <v>0</v>
      </c>
      <c r="AB79" s="34"/>
      <c r="AC79" s="34"/>
      <c r="AD79" s="34" t="s">
        <v>356</v>
      </c>
      <c r="AE79" s="34"/>
      <c r="AF79" s="34"/>
      <c r="AG79" s="44" t="s">
        <v>357</v>
      </c>
      <c r="AH79" s="44" t="s">
        <v>358</v>
      </c>
      <c r="AI79" s="34"/>
      <c r="AJ79" s="34"/>
      <c r="AK79" s="34"/>
      <c r="AL79" s="34"/>
      <c r="AM79" s="38" t="b">
        <v>0</v>
      </c>
      <c r="AN79" s="34" t="s">
        <v>105</v>
      </c>
      <c r="AO79" s="34" t="s">
        <v>106</v>
      </c>
      <c r="AP79" s="34"/>
      <c r="AQ79" s="34"/>
      <c r="AR79" s="38"/>
      <c r="AS79" s="34"/>
      <c r="AT79" s="34"/>
      <c r="AU79" s="34" t="b">
        <v>0</v>
      </c>
    </row>
    <row r="80" spans="1:47" x14ac:dyDescent="0.3">
      <c r="A80" s="34" t="s">
        <v>647</v>
      </c>
      <c r="B80" s="34"/>
      <c r="C80" s="34"/>
      <c r="D80" s="34"/>
      <c r="E80" s="38" t="b">
        <v>0</v>
      </c>
      <c r="F80" s="34">
        <v>0</v>
      </c>
      <c r="G80" s="34" t="b">
        <v>0</v>
      </c>
      <c r="H80" s="34">
        <v>0</v>
      </c>
      <c r="I80" s="34">
        <v>0</v>
      </c>
      <c r="J80" s="34">
        <v>0</v>
      </c>
      <c r="K80" s="34">
        <v>0</v>
      </c>
      <c r="L80" s="34"/>
      <c r="M80" s="34"/>
      <c r="N80" s="34" t="s">
        <v>102</v>
      </c>
      <c r="O80" s="34" t="s">
        <v>102</v>
      </c>
      <c r="P80" s="34">
        <v>0</v>
      </c>
      <c r="Q80" s="38">
        <v>-1</v>
      </c>
      <c r="R80" s="38">
        <v>-1</v>
      </c>
      <c r="S80" s="38" t="s">
        <v>103</v>
      </c>
      <c r="T80" s="38" t="s">
        <v>104</v>
      </c>
      <c r="U80" s="34"/>
      <c r="V80" s="34"/>
      <c r="W80" s="34"/>
      <c r="X80" s="34"/>
      <c r="Y80" s="34" t="b">
        <v>0</v>
      </c>
      <c r="Z80" s="34">
        <v>0</v>
      </c>
      <c r="AA80" s="34" t="b">
        <v>0</v>
      </c>
      <c r="AB80" s="34"/>
      <c r="AC80" s="34"/>
      <c r="AD80" s="34" t="s">
        <v>364</v>
      </c>
      <c r="AE80" s="34"/>
      <c r="AF80" s="34"/>
      <c r="AG80" s="44" t="s">
        <v>365</v>
      </c>
      <c r="AH80" s="44" t="s">
        <v>366</v>
      </c>
      <c r="AI80" s="34"/>
      <c r="AJ80" s="34"/>
      <c r="AK80" s="34"/>
      <c r="AL80" s="34"/>
      <c r="AM80" s="38" t="b">
        <v>0</v>
      </c>
      <c r="AN80" s="34" t="s">
        <v>105</v>
      </c>
      <c r="AO80" s="34" t="s">
        <v>106</v>
      </c>
      <c r="AP80" s="34"/>
      <c r="AQ80" s="34"/>
      <c r="AR80" s="38"/>
      <c r="AS80" s="34"/>
      <c r="AT80" s="34"/>
      <c r="AU80" s="34" t="b">
        <v>0</v>
      </c>
    </row>
    <row r="81" spans="1:47" x14ac:dyDescent="0.3">
      <c r="A81" s="34" t="s">
        <v>648</v>
      </c>
      <c r="B81" s="34"/>
      <c r="C81" s="34"/>
      <c r="D81" s="34"/>
      <c r="E81" s="38" t="b">
        <v>0</v>
      </c>
      <c r="F81" s="34">
        <v>0</v>
      </c>
      <c r="G81" s="34" t="b">
        <v>0</v>
      </c>
      <c r="H81" s="34">
        <v>0</v>
      </c>
      <c r="I81" s="34">
        <v>0</v>
      </c>
      <c r="J81" s="34">
        <v>0</v>
      </c>
      <c r="K81" s="34">
        <v>0</v>
      </c>
      <c r="L81" s="34"/>
      <c r="M81" s="34"/>
      <c r="N81" s="34" t="s">
        <v>102</v>
      </c>
      <c r="O81" s="34" t="s">
        <v>102</v>
      </c>
      <c r="P81" s="34">
        <v>0</v>
      </c>
      <c r="Q81" s="38">
        <v>-1</v>
      </c>
      <c r="R81" s="38">
        <v>-1</v>
      </c>
      <c r="S81" s="38" t="s">
        <v>103</v>
      </c>
      <c r="T81" s="38" t="s">
        <v>104</v>
      </c>
      <c r="U81" s="34"/>
      <c r="V81" s="34"/>
      <c r="W81" s="34"/>
      <c r="X81" s="34"/>
      <c r="Y81" s="34" t="b">
        <v>0</v>
      </c>
      <c r="Z81" s="34">
        <v>0</v>
      </c>
      <c r="AA81" s="34" t="b">
        <v>0</v>
      </c>
      <c r="AB81" s="34"/>
      <c r="AC81" s="34"/>
      <c r="AD81" s="34" t="s">
        <v>370</v>
      </c>
      <c r="AE81" s="34"/>
      <c r="AF81" s="34"/>
      <c r="AG81" s="44" t="s">
        <v>371</v>
      </c>
      <c r="AH81" s="44" t="s">
        <v>372</v>
      </c>
      <c r="AI81" s="34"/>
      <c r="AJ81" s="34"/>
      <c r="AK81" s="34"/>
      <c r="AL81" s="34"/>
      <c r="AM81" s="38" t="b">
        <v>0</v>
      </c>
      <c r="AN81" s="34" t="s">
        <v>105</v>
      </c>
      <c r="AO81" s="34" t="s">
        <v>106</v>
      </c>
      <c r="AP81" s="34"/>
      <c r="AQ81" s="34"/>
      <c r="AR81" s="38"/>
      <c r="AS81" s="34"/>
      <c r="AT81" s="34"/>
      <c r="AU81" s="34" t="b">
        <v>0</v>
      </c>
    </row>
    <row r="82" spans="1:47" x14ac:dyDescent="0.3">
      <c r="A82" s="34" t="s">
        <v>649</v>
      </c>
      <c r="B82" s="34"/>
      <c r="C82" s="34"/>
      <c r="D82" s="34"/>
      <c r="E82" s="38" t="b">
        <v>0</v>
      </c>
      <c r="F82" s="34">
        <v>0</v>
      </c>
      <c r="G82" s="34" t="b">
        <v>0</v>
      </c>
      <c r="H82" s="34">
        <v>0</v>
      </c>
      <c r="I82" s="34">
        <v>0</v>
      </c>
      <c r="J82" s="34">
        <v>0</v>
      </c>
      <c r="K82" s="34">
        <v>0</v>
      </c>
      <c r="L82" s="34"/>
      <c r="M82" s="34"/>
      <c r="N82" s="34" t="s">
        <v>102</v>
      </c>
      <c r="O82" s="34" t="s">
        <v>102</v>
      </c>
      <c r="P82" s="34">
        <v>0</v>
      </c>
      <c r="Q82" s="38">
        <v>-1</v>
      </c>
      <c r="R82" s="38">
        <v>-1</v>
      </c>
      <c r="S82" s="38" t="s">
        <v>103</v>
      </c>
      <c r="T82" s="38" t="s">
        <v>104</v>
      </c>
      <c r="U82" s="34"/>
      <c r="V82" s="34"/>
      <c r="W82" s="34"/>
      <c r="X82" s="34"/>
      <c r="Y82" s="34" t="b">
        <v>0</v>
      </c>
      <c r="Z82" s="34">
        <v>0</v>
      </c>
      <c r="AA82" s="34" t="b">
        <v>0</v>
      </c>
      <c r="AB82" s="34"/>
      <c r="AC82" s="34"/>
      <c r="AD82" s="34" t="s">
        <v>378</v>
      </c>
      <c r="AE82" s="34"/>
      <c r="AF82" s="34"/>
      <c r="AG82" s="44" t="s">
        <v>619</v>
      </c>
      <c r="AH82" s="44" t="s">
        <v>379</v>
      </c>
      <c r="AI82" s="34"/>
      <c r="AJ82" s="34"/>
      <c r="AK82" s="34"/>
      <c r="AL82" s="34"/>
      <c r="AM82" s="38" t="b">
        <v>0</v>
      </c>
      <c r="AN82" s="34" t="s">
        <v>105</v>
      </c>
      <c r="AO82" s="34" t="s">
        <v>106</v>
      </c>
      <c r="AP82" s="34"/>
      <c r="AQ82" s="34"/>
      <c r="AR82" s="38"/>
      <c r="AS82" s="34"/>
      <c r="AT82" s="34"/>
      <c r="AU82" s="34" t="b">
        <v>0</v>
      </c>
    </row>
    <row r="83" spans="1:47" x14ac:dyDescent="0.3">
      <c r="A83" s="34" t="s">
        <v>650</v>
      </c>
      <c r="B83" s="34"/>
      <c r="C83" s="34"/>
      <c r="D83" s="34"/>
      <c r="E83" s="38" t="b">
        <v>0</v>
      </c>
      <c r="F83" s="34">
        <v>0</v>
      </c>
      <c r="G83" s="34" t="b">
        <v>0</v>
      </c>
      <c r="H83" s="34">
        <v>0</v>
      </c>
      <c r="I83" s="34">
        <v>0</v>
      </c>
      <c r="J83" s="34">
        <v>0</v>
      </c>
      <c r="K83" s="34">
        <v>0</v>
      </c>
      <c r="L83" s="34"/>
      <c r="M83" s="34"/>
      <c r="N83" s="34" t="s">
        <v>102</v>
      </c>
      <c r="O83" s="34" t="s">
        <v>102</v>
      </c>
      <c r="P83" s="34">
        <v>0</v>
      </c>
      <c r="Q83" s="38">
        <v>-1</v>
      </c>
      <c r="R83" s="38">
        <v>-1</v>
      </c>
      <c r="S83" s="38" t="s">
        <v>103</v>
      </c>
      <c r="T83" s="38" t="s">
        <v>104</v>
      </c>
      <c r="U83" s="34"/>
      <c r="V83" s="34"/>
      <c r="W83" s="34"/>
      <c r="X83" s="34"/>
      <c r="Y83" s="34" t="b">
        <v>0</v>
      </c>
      <c r="Z83" s="34">
        <v>0</v>
      </c>
      <c r="AA83" s="34" t="b">
        <v>0</v>
      </c>
      <c r="AB83" s="34"/>
      <c r="AC83" s="34"/>
      <c r="AD83" s="34" t="s">
        <v>383</v>
      </c>
      <c r="AE83" s="34"/>
      <c r="AF83" s="34"/>
      <c r="AG83" s="44" t="s">
        <v>384</v>
      </c>
      <c r="AH83" s="44" t="s">
        <v>385</v>
      </c>
      <c r="AI83" s="34"/>
      <c r="AJ83" s="34"/>
      <c r="AK83" s="34"/>
      <c r="AL83" s="34"/>
      <c r="AM83" s="38" t="b">
        <v>0</v>
      </c>
      <c r="AN83" s="34" t="s">
        <v>105</v>
      </c>
      <c r="AO83" s="34" t="s">
        <v>106</v>
      </c>
      <c r="AP83" s="34"/>
      <c r="AQ83" s="34"/>
      <c r="AR83" s="38"/>
      <c r="AS83" s="34"/>
      <c r="AT83" s="34"/>
      <c r="AU83" s="34" t="b">
        <v>0</v>
      </c>
    </row>
    <row r="84" spans="1:47" x14ac:dyDescent="0.3">
      <c r="A84" s="34" t="s">
        <v>651</v>
      </c>
      <c r="B84" s="34"/>
      <c r="C84" s="34"/>
      <c r="D84" s="34"/>
      <c r="E84" s="38" t="b">
        <v>0</v>
      </c>
      <c r="F84" s="34">
        <v>0</v>
      </c>
      <c r="G84" s="34" t="b">
        <v>0</v>
      </c>
      <c r="H84" s="34">
        <v>0</v>
      </c>
      <c r="I84" s="34">
        <v>0</v>
      </c>
      <c r="J84" s="34">
        <v>0</v>
      </c>
      <c r="K84" s="34">
        <v>0</v>
      </c>
      <c r="L84" s="34"/>
      <c r="M84" s="34"/>
      <c r="N84" s="34" t="s">
        <v>102</v>
      </c>
      <c r="O84" s="34" t="s">
        <v>102</v>
      </c>
      <c r="P84" s="34">
        <v>0</v>
      </c>
      <c r="Q84" s="38">
        <v>-1</v>
      </c>
      <c r="R84" s="38">
        <v>-1</v>
      </c>
      <c r="S84" s="38" t="s">
        <v>103</v>
      </c>
      <c r="T84" s="38" t="s">
        <v>104</v>
      </c>
      <c r="U84" s="34"/>
      <c r="V84" s="34"/>
      <c r="W84" s="34"/>
      <c r="X84" s="34"/>
      <c r="Y84" s="34" t="b">
        <v>0</v>
      </c>
      <c r="Z84" s="34">
        <v>0</v>
      </c>
      <c r="AA84" s="34" t="b">
        <v>0</v>
      </c>
      <c r="AB84" s="34"/>
      <c r="AC84" s="34"/>
      <c r="AD84" s="34" t="s">
        <v>389</v>
      </c>
      <c r="AE84" s="34"/>
      <c r="AF84" s="34"/>
      <c r="AG84" s="44" t="s">
        <v>390</v>
      </c>
      <c r="AH84" s="44" t="s">
        <v>391</v>
      </c>
      <c r="AI84" s="34"/>
      <c r="AJ84" s="34"/>
      <c r="AK84" s="34"/>
      <c r="AL84" s="34"/>
      <c r="AM84" s="38" t="b">
        <v>0</v>
      </c>
      <c r="AN84" s="34" t="s">
        <v>105</v>
      </c>
      <c r="AO84" s="34" t="s">
        <v>106</v>
      </c>
      <c r="AP84" s="34"/>
      <c r="AQ84" s="34"/>
      <c r="AR84" s="38"/>
      <c r="AS84" s="34"/>
      <c r="AT84" s="34"/>
      <c r="AU84" s="34" t="b">
        <v>0</v>
      </c>
    </row>
    <row r="85" spans="1:47" x14ac:dyDescent="0.3">
      <c r="A85" s="34" t="s">
        <v>652</v>
      </c>
      <c r="B85" s="34"/>
      <c r="C85" s="34"/>
      <c r="D85" s="34"/>
      <c r="E85" s="38" t="b">
        <v>0</v>
      </c>
      <c r="F85" s="34">
        <v>0</v>
      </c>
      <c r="G85" s="34" t="b">
        <v>0</v>
      </c>
      <c r="H85" s="34">
        <v>0</v>
      </c>
      <c r="I85" s="34">
        <v>0</v>
      </c>
      <c r="J85" s="34">
        <v>0</v>
      </c>
      <c r="K85" s="34">
        <v>0</v>
      </c>
      <c r="L85" s="34"/>
      <c r="M85" s="34"/>
      <c r="N85" s="34" t="s">
        <v>102</v>
      </c>
      <c r="O85" s="34" t="s">
        <v>102</v>
      </c>
      <c r="P85" s="34">
        <v>0</v>
      </c>
      <c r="Q85" s="38">
        <v>-1</v>
      </c>
      <c r="R85" s="38">
        <v>-1</v>
      </c>
      <c r="S85" s="38" t="s">
        <v>103</v>
      </c>
      <c r="T85" s="38" t="s">
        <v>104</v>
      </c>
      <c r="U85" s="34"/>
      <c r="V85" s="34"/>
      <c r="W85" s="34"/>
      <c r="X85" s="34"/>
      <c r="Y85" s="34" t="b">
        <v>0</v>
      </c>
      <c r="Z85" s="34">
        <v>0</v>
      </c>
      <c r="AA85" s="34" t="b">
        <v>0</v>
      </c>
      <c r="AB85" s="34"/>
      <c r="AC85" s="34"/>
      <c r="AD85" s="34" t="s">
        <v>395</v>
      </c>
      <c r="AE85" s="34"/>
      <c r="AF85" s="34"/>
      <c r="AG85" s="44" t="s">
        <v>396</v>
      </c>
      <c r="AH85" s="44" t="s">
        <v>397</v>
      </c>
      <c r="AI85" s="34"/>
      <c r="AJ85" s="34"/>
      <c r="AK85" s="34"/>
      <c r="AL85" s="34"/>
      <c r="AM85" s="38" t="b">
        <v>0</v>
      </c>
      <c r="AN85" s="34" t="s">
        <v>105</v>
      </c>
      <c r="AO85" s="34" t="s">
        <v>106</v>
      </c>
      <c r="AP85" s="34"/>
      <c r="AQ85" s="34"/>
      <c r="AR85" s="38"/>
      <c r="AS85" s="34"/>
      <c r="AT85" s="34"/>
      <c r="AU85" s="34" t="b">
        <v>0</v>
      </c>
    </row>
    <row r="86" spans="1:47" x14ac:dyDescent="0.3">
      <c r="A86" s="34" t="s">
        <v>653</v>
      </c>
      <c r="B86" s="34"/>
      <c r="C86" s="34"/>
      <c r="D86" s="34"/>
      <c r="E86" s="38" t="b">
        <v>0</v>
      </c>
      <c r="F86" s="34">
        <v>0</v>
      </c>
      <c r="G86" s="34" t="b">
        <v>0</v>
      </c>
      <c r="H86" s="34">
        <v>0</v>
      </c>
      <c r="I86" s="34">
        <v>0</v>
      </c>
      <c r="J86" s="34">
        <v>0</v>
      </c>
      <c r="K86" s="34">
        <v>0</v>
      </c>
      <c r="L86" s="34"/>
      <c r="M86" s="34"/>
      <c r="N86" s="34" t="s">
        <v>102</v>
      </c>
      <c r="O86" s="34" t="s">
        <v>102</v>
      </c>
      <c r="P86" s="34">
        <v>0</v>
      </c>
      <c r="Q86" s="38">
        <v>-1</v>
      </c>
      <c r="R86" s="38">
        <v>-1</v>
      </c>
      <c r="S86" s="38" t="s">
        <v>103</v>
      </c>
      <c r="T86" s="38" t="s">
        <v>104</v>
      </c>
      <c r="U86" s="34"/>
      <c r="V86" s="34"/>
      <c r="W86" s="34"/>
      <c r="X86" s="34"/>
      <c r="Y86" s="34" t="b">
        <v>0</v>
      </c>
      <c r="Z86" s="34">
        <v>0</v>
      </c>
      <c r="AA86" s="34" t="b">
        <v>0</v>
      </c>
      <c r="AB86" s="34"/>
      <c r="AC86" s="34"/>
      <c r="AD86" s="34" t="s">
        <v>620</v>
      </c>
      <c r="AE86" s="34"/>
      <c r="AF86" s="34"/>
      <c r="AG86" s="44" t="s">
        <v>396</v>
      </c>
      <c r="AH86" s="44" t="s">
        <v>397</v>
      </c>
      <c r="AI86" s="34"/>
      <c r="AJ86" s="34"/>
      <c r="AK86" s="34"/>
      <c r="AL86" s="34"/>
      <c r="AM86" s="38" t="b">
        <v>0</v>
      </c>
      <c r="AN86" s="34" t="s">
        <v>105</v>
      </c>
      <c r="AO86" s="34" t="s">
        <v>106</v>
      </c>
      <c r="AP86" s="34"/>
      <c r="AQ86" s="34"/>
      <c r="AR86" s="38"/>
      <c r="AS86" s="34"/>
      <c r="AT86" s="34"/>
      <c r="AU86" s="34" t="b">
        <v>0</v>
      </c>
    </row>
    <row r="87" spans="1:47" x14ac:dyDescent="0.3">
      <c r="A87" s="34" t="s">
        <v>654</v>
      </c>
      <c r="B87" s="34"/>
      <c r="C87" s="34"/>
      <c r="D87" s="34"/>
      <c r="E87" s="38" t="b">
        <v>0</v>
      </c>
      <c r="F87" s="34">
        <v>0</v>
      </c>
      <c r="G87" s="34" t="b">
        <v>0</v>
      </c>
      <c r="H87" s="34">
        <v>0</v>
      </c>
      <c r="I87" s="34">
        <v>0</v>
      </c>
      <c r="J87" s="34">
        <v>0</v>
      </c>
      <c r="K87" s="34">
        <v>0</v>
      </c>
      <c r="L87" s="34"/>
      <c r="M87" s="34"/>
      <c r="N87" s="34" t="s">
        <v>102</v>
      </c>
      <c r="O87" s="34" t="s">
        <v>102</v>
      </c>
      <c r="P87" s="34">
        <v>0</v>
      </c>
      <c r="Q87" s="38">
        <v>-1</v>
      </c>
      <c r="R87" s="38">
        <v>-1</v>
      </c>
      <c r="S87" s="38" t="s">
        <v>103</v>
      </c>
      <c r="T87" s="38" t="s">
        <v>104</v>
      </c>
      <c r="U87" s="34"/>
      <c r="V87" s="34"/>
      <c r="W87" s="34"/>
      <c r="X87" s="34"/>
      <c r="Y87" s="34" t="b">
        <v>0</v>
      </c>
      <c r="Z87" s="34">
        <v>0</v>
      </c>
      <c r="AA87" s="34" t="b">
        <v>0</v>
      </c>
      <c r="AB87" s="34"/>
      <c r="AC87" s="34"/>
      <c r="AD87" s="34" t="s">
        <v>400</v>
      </c>
      <c r="AE87" s="34"/>
      <c r="AF87" s="34"/>
      <c r="AG87" s="44" t="s">
        <v>401</v>
      </c>
      <c r="AH87" s="44" t="s">
        <v>402</v>
      </c>
      <c r="AI87" s="34"/>
      <c r="AJ87" s="34"/>
      <c r="AK87" s="34"/>
      <c r="AL87" s="34"/>
      <c r="AM87" s="38" t="b">
        <v>0</v>
      </c>
      <c r="AN87" s="34" t="s">
        <v>105</v>
      </c>
      <c r="AO87" s="34" t="s">
        <v>106</v>
      </c>
      <c r="AP87" s="34"/>
      <c r="AQ87" s="34"/>
      <c r="AR87" s="38"/>
      <c r="AS87" s="34"/>
      <c r="AT87" s="34"/>
      <c r="AU87" s="34" t="b">
        <v>0</v>
      </c>
    </row>
    <row r="88" spans="1:47" x14ac:dyDescent="0.3">
      <c r="A88" s="34" t="s">
        <v>655</v>
      </c>
      <c r="B88" s="34"/>
      <c r="C88" s="34"/>
      <c r="D88" s="34"/>
      <c r="E88" s="38" t="b">
        <v>0</v>
      </c>
      <c r="F88" s="34">
        <v>0</v>
      </c>
      <c r="G88" s="34" t="b">
        <v>0</v>
      </c>
      <c r="H88" s="34">
        <v>0</v>
      </c>
      <c r="I88" s="34">
        <v>0</v>
      </c>
      <c r="J88" s="34">
        <v>0</v>
      </c>
      <c r="K88" s="34">
        <v>0</v>
      </c>
      <c r="L88" s="34"/>
      <c r="M88" s="34"/>
      <c r="N88" s="34" t="s">
        <v>102</v>
      </c>
      <c r="O88" s="34" t="s">
        <v>102</v>
      </c>
      <c r="P88" s="34">
        <v>0</v>
      </c>
      <c r="Q88" s="38">
        <v>-1</v>
      </c>
      <c r="R88" s="38">
        <v>-1</v>
      </c>
      <c r="S88" s="38" t="s">
        <v>103</v>
      </c>
      <c r="T88" s="38" t="s">
        <v>104</v>
      </c>
      <c r="U88" s="34"/>
      <c r="V88" s="34"/>
      <c r="W88" s="34"/>
      <c r="X88" s="34"/>
      <c r="Y88" s="34" t="b">
        <v>0</v>
      </c>
      <c r="Z88" s="34">
        <v>0</v>
      </c>
      <c r="AA88" s="34" t="b">
        <v>0</v>
      </c>
      <c r="AB88" s="34"/>
      <c r="AC88" s="34"/>
      <c r="AD88" s="34" t="s">
        <v>406</v>
      </c>
      <c r="AE88" s="34"/>
      <c r="AF88" s="34"/>
      <c r="AG88" s="44" t="s">
        <v>407</v>
      </c>
      <c r="AH88" s="44" t="s">
        <v>408</v>
      </c>
      <c r="AI88" s="34"/>
      <c r="AJ88" s="34"/>
      <c r="AK88" s="34"/>
      <c r="AL88" s="34"/>
      <c r="AM88" s="38" t="b">
        <v>0</v>
      </c>
      <c r="AN88" s="34" t="s">
        <v>105</v>
      </c>
      <c r="AO88" s="34" t="s">
        <v>106</v>
      </c>
      <c r="AP88" s="34"/>
      <c r="AQ88" s="34"/>
      <c r="AR88" s="38"/>
      <c r="AS88" s="34"/>
      <c r="AT88" s="34"/>
      <c r="AU88" s="34" t="b">
        <v>0</v>
      </c>
    </row>
    <row r="89" spans="1:47" x14ac:dyDescent="0.3">
      <c r="A89" s="34" t="s">
        <v>656</v>
      </c>
      <c r="B89" s="34"/>
      <c r="C89" s="34"/>
      <c r="D89" s="34"/>
      <c r="E89" s="38" t="b">
        <v>0</v>
      </c>
      <c r="F89" s="34">
        <v>0</v>
      </c>
      <c r="G89" s="34" t="b">
        <v>0</v>
      </c>
      <c r="H89" s="34">
        <v>0</v>
      </c>
      <c r="I89" s="34">
        <v>0</v>
      </c>
      <c r="J89" s="34">
        <v>0</v>
      </c>
      <c r="K89" s="34">
        <v>0</v>
      </c>
      <c r="L89" s="34"/>
      <c r="M89" s="34"/>
      <c r="N89" s="34" t="s">
        <v>102</v>
      </c>
      <c r="O89" s="34" t="s">
        <v>102</v>
      </c>
      <c r="P89" s="34">
        <v>0</v>
      </c>
      <c r="Q89" s="38">
        <v>-1</v>
      </c>
      <c r="R89" s="38">
        <v>-1</v>
      </c>
      <c r="S89" s="38" t="s">
        <v>103</v>
      </c>
      <c r="T89" s="38" t="s">
        <v>104</v>
      </c>
      <c r="U89" s="34"/>
      <c r="V89" s="34"/>
      <c r="W89" s="34"/>
      <c r="X89" s="34"/>
      <c r="Y89" s="34" t="b">
        <v>0</v>
      </c>
      <c r="Z89" s="34">
        <v>0</v>
      </c>
      <c r="AA89" s="34" t="b">
        <v>0</v>
      </c>
      <c r="AB89" s="34"/>
      <c r="AC89" s="34"/>
      <c r="AD89" s="34" t="s">
        <v>621</v>
      </c>
      <c r="AE89" s="34"/>
      <c r="AF89" s="34"/>
      <c r="AG89" s="44" t="s">
        <v>407</v>
      </c>
      <c r="AH89" s="44" t="s">
        <v>408</v>
      </c>
      <c r="AI89" s="34"/>
      <c r="AJ89" s="34"/>
      <c r="AK89" s="34"/>
      <c r="AL89" s="34"/>
      <c r="AM89" s="38" t="b">
        <v>0</v>
      </c>
      <c r="AN89" s="34" t="s">
        <v>105</v>
      </c>
      <c r="AO89" s="34" t="s">
        <v>106</v>
      </c>
      <c r="AP89" s="34"/>
      <c r="AQ89" s="34"/>
      <c r="AR89" s="38"/>
      <c r="AS89" s="34"/>
      <c r="AT89" s="34"/>
      <c r="AU89" s="34" t="b">
        <v>0</v>
      </c>
    </row>
    <row r="90" spans="1:47" x14ac:dyDescent="0.3">
      <c r="A90" s="34" t="s">
        <v>657</v>
      </c>
      <c r="B90" s="34"/>
      <c r="C90" s="34"/>
      <c r="D90" s="34"/>
      <c r="E90" s="38" t="b">
        <v>0</v>
      </c>
      <c r="F90" s="34">
        <v>0</v>
      </c>
      <c r="G90" s="34" t="b">
        <v>0</v>
      </c>
      <c r="H90" s="34">
        <v>0</v>
      </c>
      <c r="I90" s="34">
        <v>0</v>
      </c>
      <c r="J90" s="34">
        <v>0</v>
      </c>
      <c r="K90" s="34">
        <v>0</v>
      </c>
      <c r="L90" s="34"/>
      <c r="M90" s="34"/>
      <c r="N90" s="34" t="s">
        <v>102</v>
      </c>
      <c r="O90" s="34" t="s">
        <v>102</v>
      </c>
      <c r="P90" s="34">
        <v>0</v>
      </c>
      <c r="Q90" s="38">
        <v>-1</v>
      </c>
      <c r="R90" s="38">
        <v>-1</v>
      </c>
      <c r="S90" s="38" t="s">
        <v>103</v>
      </c>
      <c r="T90" s="38" t="s">
        <v>104</v>
      </c>
      <c r="U90" s="34"/>
      <c r="V90" s="34"/>
      <c r="W90" s="34"/>
      <c r="X90" s="34"/>
      <c r="Y90" s="34" t="b">
        <v>0</v>
      </c>
      <c r="Z90" s="34">
        <v>0</v>
      </c>
      <c r="AA90" s="34" t="b">
        <v>0</v>
      </c>
      <c r="AB90" s="34"/>
      <c r="AC90" s="34"/>
      <c r="AD90" s="34" t="s">
        <v>411</v>
      </c>
      <c r="AE90" s="34"/>
      <c r="AF90" s="34"/>
      <c r="AG90" s="44" t="s">
        <v>412</v>
      </c>
      <c r="AH90" s="44" t="s">
        <v>413</v>
      </c>
      <c r="AI90" s="34"/>
      <c r="AJ90" s="34"/>
      <c r="AK90" s="34"/>
      <c r="AL90" s="34"/>
      <c r="AM90" s="38" t="b">
        <v>0</v>
      </c>
      <c r="AN90" s="34" t="s">
        <v>105</v>
      </c>
      <c r="AO90" s="34" t="s">
        <v>106</v>
      </c>
      <c r="AP90" s="34"/>
      <c r="AQ90" s="34"/>
      <c r="AR90" s="38"/>
      <c r="AS90" s="34"/>
      <c r="AT90" s="34"/>
      <c r="AU90" s="34" t="b">
        <v>0</v>
      </c>
    </row>
    <row r="91" spans="1:47" x14ac:dyDescent="0.3">
      <c r="A91" s="34" t="s">
        <v>658</v>
      </c>
      <c r="B91" s="34"/>
      <c r="C91" s="34"/>
      <c r="D91" s="34"/>
      <c r="E91" s="38" t="b">
        <v>0</v>
      </c>
      <c r="F91" s="34">
        <v>0</v>
      </c>
      <c r="G91" s="34" t="b">
        <v>0</v>
      </c>
      <c r="H91" s="34">
        <v>0</v>
      </c>
      <c r="I91" s="34">
        <v>0</v>
      </c>
      <c r="J91" s="34">
        <v>0</v>
      </c>
      <c r="K91" s="34">
        <v>0</v>
      </c>
      <c r="L91" s="34"/>
      <c r="M91" s="34"/>
      <c r="N91" s="34" t="s">
        <v>102</v>
      </c>
      <c r="O91" s="34" t="s">
        <v>102</v>
      </c>
      <c r="P91" s="34">
        <v>0</v>
      </c>
      <c r="Q91" s="38">
        <v>-1</v>
      </c>
      <c r="R91" s="38">
        <v>-1</v>
      </c>
      <c r="S91" s="38" t="s">
        <v>103</v>
      </c>
      <c r="T91" s="38" t="s">
        <v>104</v>
      </c>
      <c r="U91" s="34"/>
      <c r="V91" s="34"/>
      <c r="W91" s="34"/>
      <c r="X91" s="34"/>
      <c r="Y91" s="34" t="b">
        <v>0</v>
      </c>
      <c r="Z91" s="34">
        <v>0</v>
      </c>
      <c r="AA91" s="34" t="b">
        <v>0</v>
      </c>
      <c r="AB91" s="34"/>
      <c r="AC91" s="34"/>
      <c r="AD91" s="34" t="s">
        <v>415</v>
      </c>
      <c r="AE91" s="34"/>
      <c r="AF91" s="34"/>
      <c r="AG91" s="44" t="s">
        <v>416</v>
      </c>
      <c r="AH91" s="44" t="s">
        <v>417</v>
      </c>
      <c r="AI91" s="34"/>
      <c r="AJ91" s="34"/>
      <c r="AK91" s="34"/>
      <c r="AL91" s="34"/>
      <c r="AM91" s="38" t="b">
        <v>0</v>
      </c>
      <c r="AN91" s="34" t="s">
        <v>105</v>
      </c>
      <c r="AO91" s="34" t="s">
        <v>106</v>
      </c>
      <c r="AP91" s="34"/>
      <c r="AQ91" s="34"/>
      <c r="AR91" s="38"/>
      <c r="AS91" s="34"/>
      <c r="AT91" s="34"/>
      <c r="AU91" s="34" t="b">
        <v>0</v>
      </c>
    </row>
    <row r="92" spans="1:47" x14ac:dyDescent="0.3">
      <c r="A92" s="34" t="s">
        <v>659</v>
      </c>
      <c r="B92" s="34"/>
      <c r="C92" s="34"/>
      <c r="D92" s="34"/>
      <c r="E92" s="38" t="b">
        <v>0</v>
      </c>
      <c r="F92" s="34">
        <v>0</v>
      </c>
      <c r="G92" s="34" t="b">
        <v>0</v>
      </c>
      <c r="H92" s="34">
        <v>0</v>
      </c>
      <c r="I92" s="34">
        <v>0</v>
      </c>
      <c r="J92" s="34">
        <v>0</v>
      </c>
      <c r="K92" s="34">
        <v>0</v>
      </c>
      <c r="L92" s="34"/>
      <c r="M92" s="34"/>
      <c r="N92" s="34" t="s">
        <v>102</v>
      </c>
      <c r="O92" s="34" t="s">
        <v>102</v>
      </c>
      <c r="P92" s="34">
        <v>0</v>
      </c>
      <c r="Q92" s="38">
        <v>-1</v>
      </c>
      <c r="R92" s="38">
        <v>-1</v>
      </c>
      <c r="S92" s="38" t="s">
        <v>103</v>
      </c>
      <c r="T92" s="38" t="s">
        <v>104</v>
      </c>
      <c r="U92" s="34"/>
      <c r="V92" s="34"/>
      <c r="W92" s="34"/>
      <c r="X92" s="34"/>
      <c r="Y92" s="34" t="b">
        <v>0</v>
      </c>
      <c r="Z92" s="34">
        <v>0</v>
      </c>
      <c r="AA92" s="34" t="b">
        <v>0</v>
      </c>
      <c r="AB92" s="34"/>
      <c r="AC92" s="34"/>
      <c r="AD92" s="34" t="s">
        <v>419</v>
      </c>
      <c r="AE92" s="34"/>
      <c r="AF92" s="34"/>
      <c r="AG92" s="44" t="s">
        <v>420</v>
      </c>
      <c r="AH92" s="44" t="s">
        <v>421</v>
      </c>
      <c r="AI92" s="34"/>
      <c r="AJ92" s="34"/>
      <c r="AK92" s="34"/>
      <c r="AL92" s="34"/>
      <c r="AM92" s="38" t="b">
        <v>0</v>
      </c>
      <c r="AN92" s="34" t="s">
        <v>105</v>
      </c>
      <c r="AO92" s="34" t="s">
        <v>106</v>
      </c>
      <c r="AP92" s="34"/>
      <c r="AQ92" s="34"/>
      <c r="AR92" s="38"/>
      <c r="AS92" s="34"/>
      <c r="AT92" s="34"/>
      <c r="AU92" s="34" t="b">
        <v>0</v>
      </c>
    </row>
    <row r="93" spans="1:47" x14ac:dyDescent="0.3">
      <c r="A93" s="34" t="s">
        <v>660</v>
      </c>
      <c r="B93" s="34"/>
      <c r="C93" s="34"/>
      <c r="D93" s="34"/>
      <c r="E93" s="38" t="b">
        <v>0</v>
      </c>
      <c r="F93" s="34">
        <v>0</v>
      </c>
      <c r="G93" s="34" t="b">
        <v>0</v>
      </c>
      <c r="H93" s="34">
        <v>0</v>
      </c>
      <c r="I93" s="34">
        <v>0</v>
      </c>
      <c r="J93" s="34">
        <v>0</v>
      </c>
      <c r="K93" s="34">
        <v>0</v>
      </c>
      <c r="L93" s="34"/>
      <c r="M93" s="34"/>
      <c r="N93" s="34" t="s">
        <v>102</v>
      </c>
      <c r="O93" s="34" t="s">
        <v>102</v>
      </c>
      <c r="P93" s="34">
        <v>0</v>
      </c>
      <c r="Q93" s="38">
        <v>-1</v>
      </c>
      <c r="R93" s="38">
        <v>-1</v>
      </c>
      <c r="S93" s="38" t="s">
        <v>103</v>
      </c>
      <c r="T93" s="38" t="s">
        <v>104</v>
      </c>
      <c r="U93" s="34"/>
      <c r="V93" s="34"/>
      <c r="W93" s="34"/>
      <c r="X93" s="34"/>
      <c r="Y93" s="34" t="b">
        <v>0</v>
      </c>
      <c r="Z93" s="34">
        <v>0</v>
      </c>
      <c r="AA93" s="34" t="b">
        <v>0</v>
      </c>
      <c r="AB93" s="34"/>
      <c r="AC93" s="34"/>
      <c r="AD93" s="34" t="s">
        <v>424</v>
      </c>
      <c r="AE93" s="34"/>
      <c r="AF93" s="34"/>
      <c r="AG93" s="44" t="s">
        <v>425</v>
      </c>
      <c r="AH93" s="44" t="s">
        <v>426</v>
      </c>
      <c r="AI93" s="34"/>
      <c r="AJ93" s="34"/>
      <c r="AK93" s="34"/>
      <c r="AL93" s="34"/>
      <c r="AM93" s="38" t="b">
        <v>0</v>
      </c>
      <c r="AN93" s="34" t="s">
        <v>105</v>
      </c>
      <c r="AO93" s="34" t="s">
        <v>106</v>
      </c>
      <c r="AP93" s="34"/>
      <c r="AQ93" s="34"/>
      <c r="AR93" s="38"/>
      <c r="AS93" s="34"/>
      <c r="AT93" s="34"/>
      <c r="AU93" s="34" t="b">
        <v>0</v>
      </c>
    </row>
    <row r="94" spans="1:47" x14ac:dyDescent="0.3">
      <c r="A94" s="34" t="s">
        <v>661</v>
      </c>
      <c r="B94" s="34"/>
      <c r="C94" s="34"/>
      <c r="D94" s="34"/>
      <c r="E94" s="38" t="b">
        <v>0</v>
      </c>
      <c r="F94" s="34">
        <v>0</v>
      </c>
      <c r="G94" s="34" t="b">
        <v>0</v>
      </c>
      <c r="H94" s="34">
        <v>0</v>
      </c>
      <c r="I94" s="34">
        <v>0</v>
      </c>
      <c r="J94" s="34">
        <v>0</v>
      </c>
      <c r="K94" s="34">
        <v>0</v>
      </c>
      <c r="L94" s="34"/>
      <c r="M94" s="34"/>
      <c r="N94" s="34" t="s">
        <v>102</v>
      </c>
      <c r="O94" s="34" t="s">
        <v>102</v>
      </c>
      <c r="P94" s="34">
        <v>0</v>
      </c>
      <c r="Q94" s="38">
        <v>-1</v>
      </c>
      <c r="R94" s="38">
        <v>-1</v>
      </c>
      <c r="S94" s="38" t="s">
        <v>103</v>
      </c>
      <c r="T94" s="38" t="s">
        <v>104</v>
      </c>
      <c r="U94" s="34"/>
      <c r="V94" s="34"/>
      <c r="W94" s="34"/>
      <c r="X94" s="34"/>
      <c r="Y94" s="34" t="b">
        <v>0</v>
      </c>
      <c r="Z94" s="34">
        <v>0</v>
      </c>
      <c r="AA94" s="34" t="b">
        <v>0</v>
      </c>
      <c r="AB94" s="34"/>
      <c r="AC94" s="34"/>
      <c r="AD94" s="34" t="s">
        <v>430</v>
      </c>
      <c r="AE94" s="34"/>
      <c r="AF94" s="34"/>
      <c r="AG94" s="44" t="s">
        <v>431</v>
      </c>
      <c r="AH94" s="44" t="s">
        <v>432</v>
      </c>
      <c r="AI94" s="34"/>
      <c r="AJ94" s="34"/>
      <c r="AK94" s="34"/>
      <c r="AL94" s="34"/>
      <c r="AM94" s="38" t="b">
        <v>0</v>
      </c>
      <c r="AN94" s="34" t="s">
        <v>105</v>
      </c>
      <c r="AO94" s="34" t="s">
        <v>106</v>
      </c>
      <c r="AP94" s="34"/>
      <c r="AQ94" s="34"/>
      <c r="AR94" s="38"/>
      <c r="AS94" s="34"/>
      <c r="AT94" s="34"/>
      <c r="AU94" s="34" t="b">
        <v>0</v>
      </c>
    </row>
    <row r="95" spans="1:47" x14ac:dyDescent="0.3">
      <c r="A95" s="34" t="s">
        <v>662</v>
      </c>
      <c r="B95" s="34"/>
      <c r="C95" s="34"/>
      <c r="D95" s="34"/>
      <c r="E95" s="38" t="b">
        <v>0</v>
      </c>
      <c r="F95" s="34">
        <v>0</v>
      </c>
      <c r="G95" s="34" t="b">
        <v>0</v>
      </c>
      <c r="H95" s="34">
        <v>0</v>
      </c>
      <c r="I95" s="34">
        <v>0</v>
      </c>
      <c r="J95" s="34">
        <v>0</v>
      </c>
      <c r="K95" s="34">
        <v>0</v>
      </c>
      <c r="L95" s="34"/>
      <c r="M95" s="34"/>
      <c r="N95" s="34" t="s">
        <v>102</v>
      </c>
      <c r="O95" s="34" t="s">
        <v>102</v>
      </c>
      <c r="P95" s="34">
        <v>0</v>
      </c>
      <c r="Q95" s="38">
        <v>-1</v>
      </c>
      <c r="R95" s="38">
        <v>-1</v>
      </c>
      <c r="S95" s="38" t="s">
        <v>103</v>
      </c>
      <c r="T95" s="38" t="s">
        <v>104</v>
      </c>
      <c r="U95" s="34"/>
      <c r="V95" s="34"/>
      <c r="W95" s="34"/>
      <c r="X95" s="34"/>
      <c r="Y95" s="34" t="b">
        <v>0</v>
      </c>
      <c r="Z95" s="34">
        <v>0</v>
      </c>
      <c r="AA95" s="34" t="b">
        <v>0</v>
      </c>
      <c r="AB95" s="34"/>
      <c r="AC95" s="34"/>
      <c r="AD95" s="34" t="s">
        <v>622</v>
      </c>
      <c r="AE95" s="34"/>
      <c r="AF95" s="34"/>
      <c r="AG95" s="44" t="s">
        <v>431</v>
      </c>
      <c r="AH95" s="44" t="s">
        <v>432</v>
      </c>
      <c r="AI95" s="34"/>
      <c r="AJ95" s="34"/>
      <c r="AK95" s="34"/>
      <c r="AL95" s="34"/>
      <c r="AM95" s="38" t="b">
        <v>0</v>
      </c>
      <c r="AN95" s="34" t="s">
        <v>105</v>
      </c>
      <c r="AO95" s="34" t="s">
        <v>106</v>
      </c>
      <c r="AP95" s="34"/>
      <c r="AQ95" s="34"/>
      <c r="AR95" s="38"/>
      <c r="AS95" s="34"/>
      <c r="AT95" s="34"/>
      <c r="AU95" s="34" t="b">
        <v>0</v>
      </c>
    </row>
    <row r="96" spans="1:47" x14ac:dyDescent="0.3">
      <c r="A96" s="34" t="s">
        <v>663</v>
      </c>
      <c r="B96" s="34"/>
      <c r="C96" s="34"/>
      <c r="D96" s="34"/>
      <c r="E96" s="38" t="b">
        <v>0</v>
      </c>
      <c r="F96" s="34">
        <v>0</v>
      </c>
      <c r="G96" s="34" t="b">
        <v>0</v>
      </c>
      <c r="H96" s="34">
        <v>0</v>
      </c>
      <c r="I96" s="34">
        <v>0</v>
      </c>
      <c r="J96" s="34">
        <v>0</v>
      </c>
      <c r="K96" s="34">
        <v>0</v>
      </c>
      <c r="L96" s="34"/>
      <c r="M96" s="34"/>
      <c r="N96" s="34" t="s">
        <v>102</v>
      </c>
      <c r="O96" s="34" t="s">
        <v>102</v>
      </c>
      <c r="P96" s="34">
        <v>0</v>
      </c>
      <c r="Q96" s="38">
        <v>-1</v>
      </c>
      <c r="R96" s="38">
        <v>-1</v>
      </c>
      <c r="S96" s="38" t="s">
        <v>103</v>
      </c>
      <c r="T96" s="38" t="s">
        <v>104</v>
      </c>
      <c r="U96" s="34"/>
      <c r="V96" s="34"/>
      <c r="W96" s="34"/>
      <c r="X96" s="34"/>
      <c r="Y96" s="34" t="b">
        <v>0</v>
      </c>
      <c r="Z96" s="34">
        <v>0</v>
      </c>
      <c r="AA96" s="34" t="b">
        <v>0</v>
      </c>
      <c r="AB96" s="34"/>
      <c r="AC96" s="34"/>
      <c r="AD96" s="34" t="s">
        <v>435</v>
      </c>
      <c r="AE96" s="34"/>
      <c r="AF96" s="34"/>
      <c r="AG96" s="44" t="s">
        <v>436</v>
      </c>
      <c r="AH96" s="44" t="s">
        <v>437</v>
      </c>
      <c r="AI96" s="34"/>
      <c r="AJ96" s="34"/>
      <c r="AK96" s="34"/>
      <c r="AL96" s="34"/>
      <c r="AM96" s="38" t="b">
        <v>0</v>
      </c>
      <c r="AN96" s="34" t="s">
        <v>105</v>
      </c>
      <c r="AO96" s="34" t="s">
        <v>106</v>
      </c>
      <c r="AP96" s="34"/>
      <c r="AQ96" s="34"/>
      <c r="AR96" s="38"/>
      <c r="AS96" s="34"/>
      <c r="AT96" s="34"/>
      <c r="AU96" s="34" t="b">
        <v>0</v>
      </c>
    </row>
    <row r="97" spans="1:47" x14ac:dyDescent="0.3">
      <c r="A97" s="34" t="s">
        <v>664</v>
      </c>
      <c r="B97" s="34"/>
      <c r="C97" s="34"/>
      <c r="D97" s="34"/>
      <c r="E97" s="38" t="b">
        <v>0</v>
      </c>
      <c r="F97" s="34">
        <v>0</v>
      </c>
      <c r="G97" s="34" t="b">
        <v>0</v>
      </c>
      <c r="H97" s="34">
        <v>0</v>
      </c>
      <c r="I97" s="34">
        <v>0</v>
      </c>
      <c r="J97" s="34">
        <v>0</v>
      </c>
      <c r="K97" s="34">
        <v>0</v>
      </c>
      <c r="L97" s="34"/>
      <c r="M97" s="34"/>
      <c r="N97" s="34" t="s">
        <v>102</v>
      </c>
      <c r="O97" s="34" t="s">
        <v>102</v>
      </c>
      <c r="P97" s="34">
        <v>0</v>
      </c>
      <c r="Q97" s="38">
        <v>-1</v>
      </c>
      <c r="R97" s="38">
        <v>-1</v>
      </c>
      <c r="S97" s="38" t="s">
        <v>103</v>
      </c>
      <c r="T97" s="38" t="s">
        <v>104</v>
      </c>
      <c r="U97" s="34"/>
      <c r="V97" s="34"/>
      <c r="W97" s="34"/>
      <c r="X97" s="34"/>
      <c r="Y97" s="34" t="b">
        <v>0</v>
      </c>
      <c r="Z97" s="34">
        <v>0</v>
      </c>
      <c r="AA97" s="34" t="b">
        <v>0</v>
      </c>
      <c r="AB97" s="34"/>
      <c r="AC97" s="34"/>
      <c r="AD97" s="34" t="s">
        <v>439</v>
      </c>
      <c r="AE97" s="34"/>
      <c r="AF97" s="34"/>
      <c r="AG97" s="44" t="s">
        <v>440</v>
      </c>
      <c r="AH97" s="44" t="s">
        <v>441</v>
      </c>
      <c r="AI97" s="34"/>
      <c r="AJ97" s="34"/>
      <c r="AK97" s="34"/>
      <c r="AL97" s="34"/>
      <c r="AM97" s="38" t="b">
        <v>0</v>
      </c>
      <c r="AN97" s="34" t="s">
        <v>105</v>
      </c>
      <c r="AO97" s="34" t="s">
        <v>106</v>
      </c>
      <c r="AP97" s="34"/>
      <c r="AQ97" s="34"/>
      <c r="AR97" s="38"/>
      <c r="AS97" s="34"/>
      <c r="AT97" s="34"/>
      <c r="AU97" s="34" t="b">
        <v>0</v>
      </c>
    </row>
    <row r="98" spans="1:47" x14ac:dyDescent="0.3">
      <c r="A98" s="34" t="s">
        <v>665</v>
      </c>
      <c r="B98" s="34"/>
      <c r="C98" s="34"/>
      <c r="D98" s="34"/>
      <c r="E98" s="38" t="b">
        <v>0</v>
      </c>
      <c r="F98" s="34">
        <v>0</v>
      </c>
      <c r="G98" s="34" t="b">
        <v>0</v>
      </c>
      <c r="H98" s="34">
        <v>0</v>
      </c>
      <c r="I98" s="34">
        <v>0</v>
      </c>
      <c r="J98" s="34">
        <v>0</v>
      </c>
      <c r="K98" s="34">
        <v>0</v>
      </c>
      <c r="L98" s="34"/>
      <c r="M98" s="34"/>
      <c r="N98" s="34" t="s">
        <v>102</v>
      </c>
      <c r="O98" s="34" t="s">
        <v>102</v>
      </c>
      <c r="P98" s="34">
        <v>0</v>
      </c>
      <c r="Q98" s="38">
        <v>-1</v>
      </c>
      <c r="R98" s="38">
        <v>-1</v>
      </c>
      <c r="S98" s="38" t="s">
        <v>103</v>
      </c>
      <c r="T98" s="38" t="s">
        <v>104</v>
      </c>
      <c r="U98" s="34"/>
      <c r="V98" s="34"/>
      <c r="W98" s="34"/>
      <c r="X98" s="34"/>
      <c r="Y98" s="34" t="b">
        <v>0</v>
      </c>
      <c r="Z98" s="34">
        <v>0</v>
      </c>
      <c r="AA98" s="34" t="b">
        <v>0</v>
      </c>
      <c r="AB98" s="34"/>
      <c r="AC98" s="34"/>
      <c r="AD98" s="34" t="s">
        <v>452</v>
      </c>
      <c r="AE98" s="34"/>
      <c r="AF98" s="34"/>
      <c r="AG98" s="44" t="s">
        <v>453</v>
      </c>
      <c r="AH98" s="44" t="s">
        <v>454</v>
      </c>
      <c r="AI98" s="34"/>
      <c r="AJ98" s="34"/>
      <c r="AK98" s="34"/>
      <c r="AL98" s="34"/>
      <c r="AM98" s="38" t="b">
        <v>0</v>
      </c>
      <c r="AN98" s="34" t="s">
        <v>105</v>
      </c>
      <c r="AO98" s="34" t="s">
        <v>106</v>
      </c>
      <c r="AP98" s="34"/>
      <c r="AQ98" s="34"/>
      <c r="AR98" s="38"/>
      <c r="AS98" s="34"/>
      <c r="AT98" s="34"/>
      <c r="AU98" s="34" t="b">
        <v>0</v>
      </c>
    </row>
    <row r="99" spans="1:47" x14ac:dyDescent="0.3">
      <c r="A99" s="34" t="s">
        <v>666</v>
      </c>
      <c r="B99" s="34"/>
      <c r="C99" s="34"/>
      <c r="D99" s="34"/>
      <c r="E99" s="38" t="b">
        <v>0</v>
      </c>
      <c r="F99" s="34">
        <v>0</v>
      </c>
      <c r="G99" s="34" t="b">
        <v>0</v>
      </c>
      <c r="H99" s="34">
        <v>0</v>
      </c>
      <c r="I99" s="34">
        <v>0</v>
      </c>
      <c r="J99" s="34">
        <v>0</v>
      </c>
      <c r="K99" s="34">
        <v>0</v>
      </c>
      <c r="L99" s="34"/>
      <c r="M99" s="34"/>
      <c r="N99" s="34" t="s">
        <v>102</v>
      </c>
      <c r="O99" s="34" t="s">
        <v>102</v>
      </c>
      <c r="P99" s="34">
        <v>0</v>
      </c>
      <c r="Q99" s="38">
        <v>-1</v>
      </c>
      <c r="R99" s="38">
        <v>-1</v>
      </c>
      <c r="S99" s="38" t="s">
        <v>103</v>
      </c>
      <c r="T99" s="38" t="s">
        <v>104</v>
      </c>
      <c r="U99" s="34"/>
      <c r="V99" s="34"/>
      <c r="W99" s="34"/>
      <c r="X99" s="34"/>
      <c r="Y99" s="34" t="b">
        <v>0</v>
      </c>
      <c r="Z99" s="34">
        <v>0</v>
      </c>
      <c r="AA99" s="34" t="b">
        <v>0</v>
      </c>
      <c r="AB99" s="34"/>
      <c r="AC99" s="34"/>
      <c r="AD99" s="34" t="s">
        <v>456</v>
      </c>
      <c r="AE99" s="34"/>
      <c r="AF99" s="34"/>
      <c r="AG99" s="44" t="s">
        <v>457</v>
      </c>
      <c r="AH99" s="44" t="s">
        <v>458</v>
      </c>
      <c r="AI99" s="34"/>
      <c r="AJ99" s="34"/>
      <c r="AK99" s="34"/>
      <c r="AL99" s="34"/>
      <c r="AM99" s="38" t="b">
        <v>0</v>
      </c>
      <c r="AN99" s="34" t="s">
        <v>105</v>
      </c>
      <c r="AO99" s="34" t="s">
        <v>106</v>
      </c>
      <c r="AP99" s="34"/>
      <c r="AQ99" s="34"/>
      <c r="AR99" s="38"/>
      <c r="AS99" s="34"/>
      <c r="AT99" s="34"/>
      <c r="AU99" s="34" t="b">
        <v>0</v>
      </c>
    </row>
    <row r="100" spans="1:47" x14ac:dyDescent="0.3">
      <c r="A100" s="34" t="s">
        <v>667</v>
      </c>
      <c r="B100" s="34"/>
      <c r="C100" s="34"/>
      <c r="D100" s="34"/>
      <c r="E100" s="38" t="b">
        <v>0</v>
      </c>
      <c r="F100" s="34">
        <v>0</v>
      </c>
      <c r="G100" s="34" t="b">
        <v>0</v>
      </c>
      <c r="H100" s="34">
        <v>0</v>
      </c>
      <c r="I100" s="34">
        <v>0</v>
      </c>
      <c r="J100" s="34">
        <v>0</v>
      </c>
      <c r="K100" s="34">
        <v>0</v>
      </c>
      <c r="L100" s="34"/>
      <c r="M100" s="34"/>
      <c r="N100" s="34" t="s">
        <v>102</v>
      </c>
      <c r="O100" s="34" t="s">
        <v>102</v>
      </c>
      <c r="P100" s="34">
        <v>0</v>
      </c>
      <c r="Q100" s="38">
        <v>-1</v>
      </c>
      <c r="R100" s="38">
        <v>-1</v>
      </c>
      <c r="S100" s="38" t="s">
        <v>103</v>
      </c>
      <c r="T100" s="38" t="s">
        <v>104</v>
      </c>
      <c r="U100" s="34"/>
      <c r="V100" s="34"/>
      <c r="W100" s="34"/>
      <c r="X100" s="34"/>
      <c r="Y100" s="34" t="b">
        <v>0</v>
      </c>
      <c r="Z100" s="34">
        <v>0</v>
      </c>
      <c r="AA100" s="34" t="b">
        <v>0</v>
      </c>
      <c r="AB100" s="34"/>
      <c r="AC100" s="34"/>
      <c r="AD100" s="34" t="s">
        <v>460</v>
      </c>
      <c r="AE100" s="34"/>
      <c r="AF100" s="34"/>
      <c r="AG100" s="44" t="s">
        <v>461</v>
      </c>
      <c r="AH100" s="44" t="s">
        <v>462</v>
      </c>
      <c r="AI100" s="34"/>
      <c r="AJ100" s="34"/>
      <c r="AK100" s="34"/>
      <c r="AL100" s="34"/>
      <c r="AM100" s="38" t="b">
        <v>0</v>
      </c>
      <c r="AN100" s="34" t="s">
        <v>105</v>
      </c>
      <c r="AO100" s="34" t="s">
        <v>106</v>
      </c>
      <c r="AP100" s="34"/>
      <c r="AQ100" s="34"/>
      <c r="AR100" s="38"/>
      <c r="AS100" s="34"/>
      <c r="AT100" s="34"/>
      <c r="AU100" s="34" t="b">
        <v>0</v>
      </c>
    </row>
    <row r="101" spans="1:47" x14ac:dyDescent="0.3">
      <c r="A101" s="34" t="s">
        <v>668</v>
      </c>
      <c r="B101" s="34"/>
      <c r="C101" s="34"/>
      <c r="D101" s="34"/>
      <c r="E101" s="38" t="b">
        <v>0</v>
      </c>
      <c r="F101" s="34">
        <v>0</v>
      </c>
      <c r="G101" s="34" t="b">
        <v>0</v>
      </c>
      <c r="H101" s="34">
        <v>0</v>
      </c>
      <c r="I101" s="34">
        <v>0</v>
      </c>
      <c r="J101" s="34">
        <v>0</v>
      </c>
      <c r="K101" s="34">
        <v>0</v>
      </c>
      <c r="L101" s="34"/>
      <c r="M101" s="34"/>
      <c r="N101" s="34" t="s">
        <v>102</v>
      </c>
      <c r="O101" s="34" t="s">
        <v>102</v>
      </c>
      <c r="P101" s="34">
        <v>0</v>
      </c>
      <c r="Q101" s="38">
        <v>-1</v>
      </c>
      <c r="R101" s="38">
        <v>-1</v>
      </c>
      <c r="S101" s="38" t="s">
        <v>103</v>
      </c>
      <c r="T101" s="38" t="s">
        <v>104</v>
      </c>
      <c r="U101" s="34"/>
      <c r="V101" s="34"/>
      <c r="W101" s="34"/>
      <c r="X101" s="34"/>
      <c r="Y101" s="34" t="b">
        <v>0</v>
      </c>
      <c r="Z101" s="34">
        <v>0</v>
      </c>
      <c r="AA101" s="34" t="b">
        <v>0</v>
      </c>
      <c r="AB101" s="34"/>
      <c r="AC101" s="34"/>
      <c r="AD101" s="34" t="s">
        <v>466</v>
      </c>
      <c r="AE101" s="34"/>
      <c r="AF101" s="34"/>
      <c r="AG101" s="44" t="s">
        <v>467</v>
      </c>
      <c r="AH101" s="44" t="s">
        <v>468</v>
      </c>
      <c r="AI101" s="34"/>
      <c r="AJ101" s="34"/>
      <c r="AK101" s="34"/>
      <c r="AL101" s="34"/>
      <c r="AM101" s="38" t="b">
        <v>0</v>
      </c>
      <c r="AN101" s="34" t="s">
        <v>105</v>
      </c>
      <c r="AO101" s="34" t="s">
        <v>106</v>
      </c>
      <c r="AP101" s="34"/>
      <c r="AQ101" s="34"/>
      <c r="AR101" s="38"/>
      <c r="AS101" s="34"/>
      <c r="AT101" s="34"/>
      <c r="AU101" s="34" t="b">
        <v>0</v>
      </c>
    </row>
    <row r="102" spans="1:47" x14ac:dyDescent="0.3">
      <c r="A102" s="34"/>
      <c r="B102" s="34"/>
      <c r="C102" s="34"/>
      <c r="D102" s="34"/>
      <c r="E102" s="38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8"/>
      <c r="R102" s="38"/>
      <c r="S102" s="38"/>
      <c r="T102" s="38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44"/>
      <c r="AH102" s="44"/>
      <c r="AI102" s="34"/>
      <c r="AJ102" s="34"/>
      <c r="AK102" s="34"/>
      <c r="AL102" s="34"/>
      <c r="AM102" s="38"/>
      <c r="AN102" s="34"/>
      <c r="AO102" s="34"/>
      <c r="AP102" s="34"/>
      <c r="AQ102" s="34"/>
      <c r="AR102" s="38"/>
      <c r="AS102" s="34"/>
      <c r="AT102" s="34"/>
      <c r="AU102" s="34"/>
    </row>
    <row r="103" spans="1:47" x14ac:dyDescent="0.3">
      <c r="A103" s="34"/>
      <c r="B103" s="34"/>
      <c r="C103" s="34"/>
      <c r="D103" s="34"/>
      <c r="E103" s="38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8"/>
      <c r="R103" s="38"/>
      <c r="S103" s="38"/>
      <c r="T103" s="38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44"/>
      <c r="AH103" s="44"/>
      <c r="AI103" s="34"/>
      <c r="AJ103" s="34"/>
      <c r="AK103" s="34"/>
      <c r="AL103" s="34"/>
      <c r="AM103" s="38"/>
      <c r="AN103" s="34"/>
      <c r="AO103" s="34"/>
      <c r="AP103" s="34"/>
      <c r="AQ103" s="34"/>
      <c r="AR103" s="38"/>
      <c r="AS103" s="34"/>
      <c r="AT103" s="34"/>
      <c r="AU103" s="34"/>
    </row>
    <row r="104" spans="1:47" x14ac:dyDescent="0.3">
      <c r="A104" s="34"/>
      <c r="B104" s="34"/>
      <c r="C104" s="34"/>
      <c r="D104" s="34"/>
      <c r="E104" s="38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8"/>
      <c r="R104" s="38"/>
      <c r="S104" s="38"/>
      <c r="T104" s="38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44"/>
      <c r="AH104" s="44"/>
      <c r="AI104" s="34"/>
      <c r="AJ104" s="34"/>
      <c r="AK104" s="34"/>
      <c r="AL104" s="34"/>
      <c r="AM104" s="38"/>
      <c r="AN104" s="34"/>
      <c r="AO104" s="34"/>
      <c r="AP104" s="34"/>
      <c r="AQ104" s="34"/>
      <c r="AR104" s="38"/>
      <c r="AS104" s="34"/>
      <c r="AT104" s="34"/>
      <c r="AU104" s="34"/>
    </row>
    <row r="105" spans="1:47" x14ac:dyDescent="0.3">
      <c r="A105" s="34"/>
      <c r="B105" s="34"/>
      <c r="C105" s="34"/>
      <c r="D105" s="34"/>
      <c r="E105" s="38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8"/>
      <c r="R105" s="38"/>
      <c r="S105" s="38"/>
      <c r="T105" s="38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44"/>
      <c r="AH105" s="44"/>
      <c r="AI105" s="34"/>
      <c r="AJ105" s="34"/>
      <c r="AK105" s="34"/>
      <c r="AL105" s="34"/>
      <c r="AM105" s="38"/>
      <c r="AN105" s="34"/>
      <c r="AO105" s="34"/>
      <c r="AP105" s="34"/>
      <c r="AQ105" s="34"/>
      <c r="AR105" s="38"/>
      <c r="AS105" s="34"/>
      <c r="AT105" s="34"/>
      <c r="AU105" s="34"/>
    </row>
    <row r="106" spans="1:47" x14ac:dyDescent="0.3">
      <c r="A106" s="34"/>
      <c r="B106" s="34"/>
      <c r="C106" s="34"/>
      <c r="D106" s="34"/>
      <c r="E106" s="38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8"/>
      <c r="R106" s="38"/>
      <c r="S106" s="38"/>
      <c r="T106" s="38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44"/>
      <c r="AH106" s="44"/>
      <c r="AI106" s="34"/>
      <c r="AJ106" s="34"/>
      <c r="AK106" s="34"/>
      <c r="AL106" s="34"/>
      <c r="AM106" s="38"/>
      <c r="AN106" s="34"/>
      <c r="AO106" s="34"/>
      <c r="AP106" s="34"/>
      <c r="AQ106" s="34"/>
      <c r="AR106" s="38"/>
      <c r="AS106" s="34"/>
      <c r="AT106" s="34"/>
      <c r="AU106" s="34"/>
    </row>
    <row r="107" spans="1:47" x14ac:dyDescent="0.3">
      <c r="A107" s="34"/>
      <c r="B107" s="34"/>
      <c r="C107" s="34"/>
      <c r="D107" s="34"/>
      <c r="E107" s="38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8"/>
      <c r="R107" s="38"/>
      <c r="S107" s="38"/>
      <c r="T107" s="38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44"/>
      <c r="AH107" s="44"/>
      <c r="AI107" s="34"/>
      <c r="AJ107" s="34"/>
      <c r="AK107" s="34"/>
      <c r="AL107" s="34"/>
      <c r="AM107" s="38"/>
      <c r="AN107" s="34"/>
      <c r="AO107" s="34"/>
      <c r="AP107" s="34"/>
      <c r="AQ107" s="34"/>
      <c r="AR107" s="38"/>
      <c r="AS107" s="34"/>
      <c r="AT107" s="34"/>
      <c r="AU107" s="34"/>
    </row>
    <row r="108" spans="1:47" x14ac:dyDescent="0.3">
      <c r="A108" s="34"/>
      <c r="B108" s="34"/>
      <c r="C108" s="34"/>
      <c r="D108" s="34"/>
      <c r="E108" s="38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8"/>
      <c r="R108" s="38"/>
      <c r="S108" s="38"/>
      <c r="T108" s="38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44"/>
      <c r="AH108" s="44"/>
      <c r="AI108" s="34"/>
      <c r="AJ108" s="34"/>
      <c r="AK108" s="34"/>
      <c r="AL108" s="34"/>
      <c r="AM108" s="38"/>
      <c r="AN108" s="34"/>
      <c r="AO108" s="34"/>
      <c r="AP108" s="34"/>
      <c r="AQ108" s="34"/>
      <c r="AR108" s="38"/>
      <c r="AS108" s="34"/>
      <c r="AT108" s="34"/>
      <c r="AU108" s="34"/>
    </row>
    <row r="109" spans="1:47" x14ac:dyDescent="0.3">
      <c r="A109" s="34"/>
      <c r="B109" s="34"/>
      <c r="C109" s="34"/>
      <c r="D109" s="34"/>
      <c r="E109" s="38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8"/>
      <c r="R109" s="38"/>
      <c r="S109" s="38"/>
      <c r="T109" s="38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44"/>
      <c r="AH109" s="44"/>
      <c r="AI109" s="34"/>
      <c r="AJ109" s="34"/>
      <c r="AK109" s="34"/>
      <c r="AL109" s="34"/>
      <c r="AM109" s="38"/>
      <c r="AN109" s="34"/>
      <c r="AO109" s="34"/>
      <c r="AP109" s="34"/>
      <c r="AQ109" s="34"/>
      <c r="AR109" s="38"/>
      <c r="AS109" s="34"/>
      <c r="AT109" s="34"/>
      <c r="AU109" s="34"/>
    </row>
    <row r="110" spans="1:47" x14ac:dyDescent="0.3">
      <c r="A110" s="34"/>
      <c r="B110" s="34"/>
      <c r="C110" s="34"/>
      <c r="D110" s="34"/>
      <c r="E110" s="38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8"/>
      <c r="R110" s="38"/>
      <c r="S110" s="38"/>
      <c r="T110" s="38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44"/>
      <c r="AH110" s="44"/>
      <c r="AI110" s="34"/>
      <c r="AJ110" s="34"/>
      <c r="AK110" s="34"/>
      <c r="AL110" s="34"/>
      <c r="AM110" s="38"/>
      <c r="AN110" s="34"/>
      <c r="AO110" s="34"/>
      <c r="AP110" s="34"/>
      <c r="AQ110" s="34"/>
      <c r="AR110" s="38"/>
      <c r="AS110" s="34"/>
      <c r="AT110" s="34"/>
      <c r="AU110" s="34"/>
    </row>
    <row r="111" spans="1:47" x14ac:dyDescent="0.3">
      <c r="A111" s="34"/>
      <c r="B111" s="34"/>
      <c r="C111" s="34"/>
      <c r="D111" s="34"/>
      <c r="E111" s="38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8"/>
      <c r="R111" s="38"/>
      <c r="S111" s="38"/>
      <c r="T111" s="38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44"/>
      <c r="AH111" s="44"/>
      <c r="AI111" s="34"/>
      <c r="AJ111" s="34"/>
      <c r="AK111" s="34"/>
      <c r="AL111" s="34"/>
      <c r="AM111" s="38"/>
      <c r="AN111" s="34"/>
      <c r="AO111" s="34"/>
      <c r="AP111" s="34"/>
      <c r="AQ111" s="34"/>
      <c r="AR111" s="38"/>
      <c r="AS111" s="34"/>
      <c r="AT111" s="34"/>
      <c r="AU111" s="34"/>
    </row>
    <row r="112" spans="1:47" x14ac:dyDescent="0.3">
      <c r="A112" s="34"/>
      <c r="B112" s="34"/>
      <c r="C112" s="34"/>
      <c r="D112" s="34"/>
      <c r="E112" s="38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8"/>
      <c r="R112" s="38"/>
      <c r="S112" s="38"/>
      <c r="T112" s="38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44"/>
      <c r="AH112" s="44"/>
      <c r="AI112" s="34"/>
      <c r="AJ112" s="34"/>
      <c r="AK112" s="34"/>
      <c r="AL112" s="34"/>
      <c r="AM112" s="38"/>
      <c r="AN112" s="34"/>
      <c r="AO112" s="34"/>
      <c r="AP112" s="34"/>
      <c r="AQ112" s="34"/>
      <c r="AR112" s="38"/>
      <c r="AS112" s="34"/>
      <c r="AT112" s="34"/>
      <c r="AU112" s="34"/>
    </row>
    <row r="113" spans="1:47" x14ac:dyDescent="0.3">
      <c r="A113" s="34"/>
      <c r="B113" s="34"/>
      <c r="C113" s="34"/>
      <c r="D113" s="34"/>
      <c r="E113" s="38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8"/>
      <c r="R113" s="38"/>
      <c r="S113" s="38"/>
      <c r="T113" s="38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44"/>
      <c r="AH113" s="44"/>
      <c r="AI113" s="34"/>
      <c r="AJ113" s="34"/>
      <c r="AK113" s="34"/>
      <c r="AL113" s="34"/>
      <c r="AM113" s="38"/>
      <c r="AN113" s="34"/>
      <c r="AO113" s="34"/>
      <c r="AP113" s="34"/>
      <c r="AQ113" s="34"/>
      <c r="AR113" s="38"/>
      <c r="AS113" s="34"/>
      <c r="AT113" s="34"/>
      <c r="AU113" s="34"/>
    </row>
    <row r="114" spans="1:47" x14ac:dyDescent="0.3">
      <c r="A114" s="34"/>
      <c r="B114" s="34"/>
      <c r="C114" s="34"/>
      <c r="D114" s="34"/>
      <c r="E114" s="38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8"/>
      <c r="R114" s="38"/>
      <c r="S114" s="38"/>
      <c r="T114" s="38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44"/>
      <c r="AH114" s="44"/>
      <c r="AI114" s="34"/>
      <c r="AJ114" s="34"/>
      <c r="AK114" s="34"/>
      <c r="AL114" s="34"/>
      <c r="AM114" s="38"/>
      <c r="AN114" s="34"/>
      <c r="AO114" s="34"/>
      <c r="AP114" s="34"/>
      <c r="AQ114" s="34"/>
      <c r="AR114" s="38"/>
      <c r="AS114" s="34"/>
      <c r="AT114" s="34"/>
      <c r="AU114" s="34"/>
    </row>
    <row r="115" spans="1:47" x14ac:dyDescent="0.3">
      <c r="A115" s="34"/>
      <c r="B115" s="34"/>
      <c r="C115" s="34"/>
      <c r="D115" s="34"/>
      <c r="E115" s="38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8"/>
      <c r="R115" s="38"/>
      <c r="S115" s="38"/>
      <c r="T115" s="38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44"/>
      <c r="AH115" s="44"/>
      <c r="AI115" s="34"/>
      <c r="AJ115" s="34"/>
      <c r="AK115" s="34"/>
      <c r="AL115" s="34"/>
      <c r="AM115" s="38"/>
      <c r="AN115" s="34"/>
      <c r="AO115" s="34"/>
      <c r="AP115" s="34"/>
      <c r="AQ115" s="34"/>
      <c r="AR115" s="38"/>
      <c r="AS115" s="34"/>
      <c r="AT115" s="34"/>
      <c r="AU115" s="34"/>
    </row>
    <row r="116" spans="1:47" x14ac:dyDescent="0.3">
      <c r="A116" s="34"/>
      <c r="B116" s="34"/>
      <c r="C116" s="34"/>
      <c r="D116" s="34"/>
      <c r="E116" s="38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8"/>
      <c r="R116" s="38"/>
      <c r="S116" s="38"/>
      <c r="T116" s="38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44"/>
      <c r="AH116" s="44"/>
      <c r="AI116" s="34"/>
      <c r="AJ116" s="34"/>
      <c r="AK116" s="34"/>
      <c r="AL116" s="34"/>
      <c r="AM116" s="38"/>
      <c r="AN116" s="34"/>
      <c r="AO116" s="34"/>
      <c r="AP116" s="34"/>
      <c r="AQ116" s="34"/>
      <c r="AR116" s="38"/>
      <c r="AS116" s="34"/>
      <c r="AT116" s="34"/>
      <c r="AU116" s="34"/>
    </row>
    <row r="117" spans="1:47" x14ac:dyDescent="0.3">
      <c r="A117" s="34"/>
      <c r="B117" s="34"/>
      <c r="C117" s="34"/>
      <c r="D117" s="34"/>
      <c r="E117" s="38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8"/>
      <c r="R117" s="38"/>
      <c r="S117" s="38"/>
      <c r="T117" s="38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44"/>
      <c r="AH117" s="44"/>
      <c r="AI117" s="34"/>
      <c r="AJ117" s="34"/>
      <c r="AK117" s="34"/>
      <c r="AL117" s="34"/>
      <c r="AM117" s="38"/>
      <c r="AN117" s="34"/>
      <c r="AO117" s="34"/>
      <c r="AP117" s="34"/>
      <c r="AQ117" s="34"/>
      <c r="AR117" s="38"/>
      <c r="AS117" s="34"/>
      <c r="AT117" s="34"/>
      <c r="AU117" s="34"/>
    </row>
    <row r="118" spans="1:47" x14ac:dyDescent="0.3">
      <c r="A118" s="34"/>
      <c r="B118" s="34"/>
      <c r="C118" s="34"/>
      <c r="D118" s="34"/>
      <c r="E118" s="38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8"/>
      <c r="R118" s="38"/>
      <c r="S118" s="38"/>
      <c r="T118" s="38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44"/>
      <c r="AH118" s="44"/>
      <c r="AI118" s="34"/>
      <c r="AJ118" s="34"/>
      <c r="AK118" s="34"/>
      <c r="AL118" s="34"/>
      <c r="AM118" s="38"/>
      <c r="AN118" s="34"/>
      <c r="AO118" s="34"/>
      <c r="AP118" s="34"/>
      <c r="AQ118" s="34"/>
      <c r="AR118" s="38"/>
      <c r="AS118" s="34"/>
      <c r="AT118" s="34"/>
      <c r="AU118" s="34"/>
    </row>
    <row r="119" spans="1:47" x14ac:dyDescent="0.3">
      <c r="A119" s="34"/>
      <c r="B119" s="34"/>
      <c r="C119" s="34"/>
      <c r="D119" s="34"/>
      <c r="E119" s="38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8"/>
      <c r="R119" s="38"/>
      <c r="S119" s="38"/>
      <c r="T119" s="38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44"/>
      <c r="AH119" s="44"/>
      <c r="AI119" s="34"/>
      <c r="AJ119" s="34"/>
      <c r="AK119" s="34"/>
      <c r="AL119" s="34"/>
      <c r="AM119" s="38"/>
      <c r="AN119" s="34"/>
      <c r="AO119" s="34"/>
      <c r="AP119" s="34"/>
      <c r="AQ119" s="34"/>
      <c r="AR119" s="38"/>
      <c r="AS119" s="34"/>
      <c r="AT119" s="34"/>
      <c r="AU119" s="34"/>
    </row>
  </sheetData>
  <phoneticPr fontId="1" type="noConversion"/>
  <conditionalFormatting sqref="A1:A1048576">
    <cfRule type="duplicateValues" dxfId="67" priority="52"/>
  </conditionalFormatting>
  <conditionalFormatting sqref="A1:AU119">
    <cfRule type="cellIs" dxfId="66" priority="39" operator="equal">
      <formula>"Nearest"</formula>
    </cfRule>
    <cfRule type="cellIs" dxfId="65" priority="40" operator="equal">
      <formula>1</formula>
    </cfRule>
    <cfRule type="cellIs" dxfId="64" priority="41" operator="equal">
      <formula>"Single"</formula>
    </cfRule>
    <cfRule type="cellIs" dxfId="63" priority="42" operator="equal">
      <formula>"Op"</formula>
    </cfRule>
    <cfRule type="cellIs" dxfId="62" priority="43" operator="equal">
      <formula>"Enemy"</formula>
    </cfRule>
    <cfRule type="cellIs" dxfId="61" priority="44" operator="equal">
      <formula>"Normal"</formula>
    </cfRule>
    <cfRule type="cellIs" dxfId="60" priority="50" operator="lessThanOrEqual">
      <formula>0</formula>
    </cfRule>
    <cfRule type="cellIs" dxfId="59" priority="51" operator="equal">
      <formula>FALSE</formula>
    </cfRule>
  </conditionalFormatting>
  <dataValidations count="1">
    <dataValidation showInputMessage="1" showErrorMessage="1" prompt="Self 자신_x000a_Ally 아군_x000a_Enemy 적_x000a_DeadAlly 죽은아군_x000a_DeadEnemy 죽은적" sqref="S1"/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E97"/>
  <sheetViews>
    <sheetView zoomScale="85" zoomScaleNormal="85" workbookViewId="0">
      <pane xSplit="1" ySplit="4" topLeftCell="F11" activePane="bottomRight" state="frozen"/>
      <selection pane="topRight" activeCell="B1" sqref="B1"/>
      <selection pane="bottomLeft" activeCell="A5" sqref="A5"/>
      <selection pane="bottomRight" activeCell="N1" sqref="N1:N1048576"/>
    </sheetView>
  </sheetViews>
  <sheetFormatPr defaultRowHeight="16.5" x14ac:dyDescent="0.3"/>
  <cols>
    <col min="1" max="1" width="54.5" bestFit="1" customWidth="1"/>
    <col min="2" max="2" width="17.875" bestFit="1" customWidth="1"/>
    <col min="3" max="3" width="16.25" bestFit="1" customWidth="1"/>
    <col min="4" max="4" width="16.25" customWidth="1"/>
    <col min="5" max="5" width="56.125" bestFit="1" customWidth="1"/>
    <col min="6" max="7" width="8.5" bestFit="1" customWidth="1"/>
    <col min="8" max="8" width="45.625" customWidth="1"/>
    <col min="9" max="9" width="9.75" bestFit="1" customWidth="1"/>
    <col min="10" max="10" width="15.5" bestFit="1" customWidth="1"/>
    <col min="11" max="11" width="12.875" bestFit="1" customWidth="1"/>
    <col min="12" max="12" width="21.625" bestFit="1" customWidth="1"/>
    <col min="13" max="13" width="21.375" bestFit="1" customWidth="1"/>
    <col min="14" max="14" width="9" bestFit="1" customWidth="1"/>
    <col min="15" max="15" width="11.125" bestFit="1" customWidth="1"/>
    <col min="16" max="16" width="15.5" bestFit="1" customWidth="1"/>
    <col min="17" max="17" width="12.875" bestFit="1" customWidth="1"/>
    <col min="18" max="18" width="17.75" bestFit="1" customWidth="1"/>
    <col min="19" max="19" width="10.125" bestFit="1" customWidth="1"/>
    <col min="20" max="20" width="16.75" bestFit="1" customWidth="1"/>
    <col min="21" max="21" width="16.25" bestFit="1" customWidth="1"/>
    <col min="22" max="22" width="10.875" bestFit="1" customWidth="1"/>
    <col min="23" max="23" width="10.25" bestFit="1" customWidth="1"/>
    <col min="24" max="25" width="12.375" bestFit="1" customWidth="1"/>
    <col min="26" max="26" width="13.75" bestFit="1" customWidth="1"/>
    <col min="27" max="27" width="41.25" bestFit="1" customWidth="1"/>
    <col min="28" max="28" width="14.375" bestFit="1" customWidth="1"/>
    <col min="29" max="29" width="24.625" bestFit="1" customWidth="1"/>
    <col min="30" max="30" width="15.875" bestFit="1" customWidth="1"/>
    <col min="31" max="31" width="13" bestFit="1" customWidth="1"/>
    <col min="32" max="32" width="27.125" bestFit="1" customWidth="1"/>
    <col min="33" max="33" width="14.25" bestFit="1" customWidth="1"/>
    <col min="34" max="34" width="13.125" customWidth="1"/>
  </cols>
  <sheetData>
    <row r="1" spans="1:31" ht="33" customHeight="1" x14ac:dyDescent="0.3">
      <c r="A1" s="1" t="s">
        <v>0</v>
      </c>
      <c r="B1" s="3" t="s">
        <v>2</v>
      </c>
      <c r="C1" s="3" t="s">
        <v>3</v>
      </c>
      <c r="D1" s="57" t="s">
        <v>107</v>
      </c>
      <c r="E1" s="57" t="s">
        <v>108</v>
      </c>
      <c r="F1" s="57" t="s">
        <v>108</v>
      </c>
      <c r="G1" s="57" t="s">
        <v>108</v>
      </c>
      <c r="H1" s="2" t="s">
        <v>109</v>
      </c>
      <c r="I1" s="28" t="s">
        <v>110</v>
      </c>
      <c r="J1" s="3" t="s">
        <v>111</v>
      </c>
      <c r="K1" s="3" t="s">
        <v>19</v>
      </c>
      <c r="L1" s="3" t="s">
        <v>2</v>
      </c>
      <c r="M1" s="3" t="s">
        <v>3</v>
      </c>
      <c r="N1" s="1" t="s">
        <v>112</v>
      </c>
      <c r="O1" s="7" t="s">
        <v>113</v>
      </c>
      <c r="P1" s="7" t="s">
        <v>114</v>
      </c>
      <c r="Q1" s="7" t="s">
        <v>115</v>
      </c>
      <c r="R1" s="7" t="s">
        <v>116</v>
      </c>
      <c r="S1" s="1" t="s">
        <v>117</v>
      </c>
      <c r="T1" s="1" t="s">
        <v>118</v>
      </c>
      <c r="U1" s="1" t="s">
        <v>119</v>
      </c>
      <c r="V1" s="5" t="s">
        <v>120</v>
      </c>
      <c r="W1" s="5" t="s">
        <v>121</v>
      </c>
      <c r="X1" s="5" t="s">
        <v>122</v>
      </c>
      <c r="Y1" s="1" t="s">
        <v>123</v>
      </c>
      <c r="Z1" s="7" t="s">
        <v>124</v>
      </c>
      <c r="AA1" s="7" t="s">
        <v>125</v>
      </c>
      <c r="AB1" s="1" t="s">
        <v>126</v>
      </c>
      <c r="AC1" s="1" t="s">
        <v>127</v>
      </c>
      <c r="AD1" s="16" t="s">
        <v>128</v>
      </c>
      <c r="AE1" s="4" t="s">
        <v>129</v>
      </c>
    </row>
    <row r="2" spans="1:31" x14ac:dyDescent="0.3">
      <c r="A2" s="1" t="s">
        <v>44</v>
      </c>
      <c r="B2" s="3" t="s">
        <v>46</v>
      </c>
      <c r="C2" s="3" t="s">
        <v>47</v>
      </c>
      <c r="D2" s="57" t="s">
        <v>130</v>
      </c>
      <c r="E2" s="57" t="s">
        <v>131</v>
      </c>
      <c r="F2" s="57" t="s">
        <v>132</v>
      </c>
      <c r="G2" s="57" t="s">
        <v>133</v>
      </c>
      <c r="H2" s="2" t="s">
        <v>134</v>
      </c>
      <c r="I2" s="28" t="s">
        <v>135</v>
      </c>
      <c r="J2" s="3" t="s">
        <v>61</v>
      </c>
      <c r="K2" s="3" t="s">
        <v>62</v>
      </c>
      <c r="L2" s="3" t="s">
        <v>65</v>
      </c>
      <c r="M2" s="3" t="s">
        <v>66</v>
      </c>
      <c r="N2" s="1" t="s">
        <v>136</v>
      </c>
      <c r="O2" s="7" t="s">
        <v>137</v>
      </c>
      <c r="P2" s="7" t="s">
        <v>138</v>
      </c>
      <c r="Q2" s="7" t="s">
        <v>139</v>
      </c>
      <c r="R2" s="7" t="s">
        <v>140</v>
      </c>
      <c r="S2" s="1" t="s">
        <v>141</v>
      </c>
      <c r="T2" s="1" t="s">
        <v>142</v>
      </c>
      <c r="U2" s="1" t="s">
        <v>143</v>
      </c>
      <c r="V2" s="5" t="s">
        <v>98</v>
      </c>
      <c r="W2" s="5" t="s">
        <v>144</v>
      </c>
      <c r="X2" s="5" t="s">
        <v>145</v>
      </c>
      <c r="Y2" s="1" t="s">
        <v>146</v>
      </c>
      <c r="Z2" s="7" t="s">
        <v>147</v>
      </c>
      <c r="AA2" s="7" t="s">
        <v>148</v>
      </c>
      <c r="AB2" s="1" t="s">
        <v>149</v>
      </c>
      <c r="AC2" s="1" t="s">
        <v>150</v>
      </c>
      <c r="AD2" s="16" t="s">
        <v>151</v>
      </c>
      <c r="AE2" s="4" t="s">
        <v>86</v>
      </c>
    </row>
    <row r="3" spans="1:31" x14ac:dyDescent="0.3">
      <c r="A3" s="1" t="s">
        <v>87</v>
      </c>
      <c r="B3" s="3" t="s">
        <v>89</v>
      </c>
      <c r="C3" s="3" t="s">
        <v>88</v>
      </c>
      <c r="D3" s="57" t="s">
        <v>152</v>
      </c>
      <c r="E3" s="57" t="s">
        <v>153</v>
      </c>
      <c r="F3" s="57" t="s">
        <v>153</v>
      </c>
      <c r="G3" s="57" t="s">
        <v>153</v>
      </c>
      <c r="H3" s="2" t="s">
        <v>154</v>
      </c>
      <c r="I3" s="28" t="s">
        <v>91</v>
      </c>
      <c r="J3" s="3" t="s">
        <v>61</v>
      </c>
      <c r="K3" s="3" t="s">
        <v>155</v>
      </c>
      <c r="L3" s="3" t="s">
        <v>89</v>
      </c>
      <c r="M3" s="3" t="s">
        <v>88</v>
      </c>
      <c r="N3" s="1" t="s">
        <v>91</v>
      </c>
      <c r="O3" s="7" t="s">
        <v>97</v>
      </c>
      <c r="P3" s="7" t="s">
        <v>98</v>
      </c>
      <c r="Q3" s="7" t="s">
        <v>99</v>
      </c>
      <c r="R3" s="7" t="s">
        <v>90</v>
      </c>
      <c r="S3" s="1" t="s">
        <v>91</v>
      </c>
      <c r="T3" s="1" t="s">
        <v>91</v>
      </c>
      <c r="U3" s="1" t="s">
        <v>91</v>
      </c>
      <c r="V3" s="5" t="s">
        <v>98</v>
      </c>
      <c r="W3" s="5" t="s">
        <v>99</v>
      </c>
      <c r="X3" s="5" t="s">
        <v>91</v>
      </c>
      <c r="Y3" s="1" t="s">
        <v>90</v>
      </c>
      <c r="Z3" s="7" t="s">
        <v>156</v>
      </c>
      <c r="AA3" s="7" t="s">
        <v>95</v>
      </c>
      <c r="AB3" s="1" t="s">
        <v>96</v>
      </c>
      <c r="AC3" s="1" t="s">
        <v>88</v>
      </c>
      <c r="AD3" s="16" t="s">
        <v>90</v>
      </c>
      <c r="AE3" s="4" t="s">
        <v>90</v>
      </c>
    </row>
    <row r="4" spans="1:31" x14ac:dyDescent="0.3">
      <c r="A4" s="1" t="s">
        <v>100</v>
      </c>
      <c r="B4" s="3" t="s">
        <v>100</v>
      </c>
      <c r="C4" s="3" t="s">
        <v>100</v>
      </c>
      <c r="D4" s="57" t="s">
        <v>157</v>
      </c>
      <c r="E4" s="57" t="s">
        <v>157</v>
      </c>
      <c r="F4" s="57" t="s">
        <v>157</v>
      </c>
      <c r="G4" s="57" t="s">
        <v>157</v>
      </c>
      <c r="H4" s="2" t="s">
        <v>100</v>
      </c>
      <c r="I4" s="28" t="s">
        <v>100</v>
      </c>
      <c r="J4" s="3" t="s">
        <v>100</v>
      </c>
      <c r="K4" s="3" t="s">
        <v>100</v>
      </c>
      <c r="L4" s="3" t="s">
        <v>100</v>
      </c>
      <c r="M4" s="3" t="s">
        <v>100</v>
      </c>
      <c r="N4" s="1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1" t="s">
        <v>100</v>
      </c>
      <c r="T4" s="1" t="s">
        <v>100</v>
      </c>
      <c r="U4" s="1" t="s">
        <v>100</v>
      </c>
      <c r="V4" s="5" t="s">
        <v>100</v>
      </c>
      <c r="W4" s="5" t="s">
        <v>100</v>
      </c>
      <c r="X4" s="5" t="s">
        <v>100</v>
      </c>
      <c r="Y4" s="1" t="s">
        <v>100</v>
      </c>
      <c r="Z4" s="7" t="s">
        <v>100</v>
      </c>
      <c r="AA4" s="7" t="s">
        <v>100</v>
      </c>
      <c r="AB4" s="1" t="s">
        <v>101</v>
      </c>
      <c r="AC4" s="1" t="s">
        <v>101</v>
      </c>
      <c r="AD4" s="16" t="s">
        <v>100</v>
      </c>
      <c r="AE4" s="4" t="s">
        <v>101</v>
      </c>
    </row>
    <row r="5" spans="1:31" x14ac:dyDescent="0.3">
      <c r="A5" s="21" t="s">
        <v>239</v>
      </c>
      <c r="B5" s="21"/>
      <c r="C5" s="21"/>
      <c r="D5" s="21" t="s">
        <v>158</v>
      </c>
      <c r="E5" s="21" t="s">
        <v>159</v>
      </c>
      <c r="F5" s="21"/>
      <c r="G5" s="21">
        <v>50</v>
      </c>
      <c r="H5" s="21" t="str">
        <f t="shared" ref="H5:H23" si="0">D5&amp;"("&amp;IF(E5="","",E5)&amp;IF(F5="","",", "&amp;F5)&amp;IF(G5="","",", "&amp;G5)&amp;")"</f>
        <v>Recharge(Attack, 50)</v>
      </c>
      <c r="I5" s="21">
        <v>0</v>
      </c>
      <c r="J5" s="21" t="s">
        <v>103</v>
      </c>
      <c r="K5" s="21"/>
      <c r="L5" s="21"/>
      <c r="M5" s="21"/>
      <c r="N5" s="21">
        <v>100</v>
      </c>
      <c r="O5" s="21" t="s">
        <v>160</v>
      </c>
      <c r="P5" s="21" t="s">
        <v>106</v>
      </c>
      <c r="Q5" s="21"/>
      <c r="R5" s="21" t="b">
        <v>1</v>
      </c>
      <c r="S5" s="21">
        <v>0</v>
      </c>
      <c r="T5" s="21">
        <v>0</v>
      </c>
      <c r="U5" s="21">
        <v>0</v>
      </c>
      <c r="V5" s="21" t="s">
        <v>106</v>
      </c>
      <c r="W5" s="21"/>
      <c r="X5" s="21">
        <v>1</v>
      </c>
      <c r="Y5" s="21" t="b">
        <v>1</v>
      </c>
      <c r="Z5" s="21"/>
      <c r="AA5" s="21"/>
      <c r="AB5" s="21"/>
      <c r="AC5" s="21"/>
      <c r="AD5" s="21" t="b">
        <v>1</v>
      </c>
      <c r="AE5" s="27" t="b">
        <v>1</v>
      </c>
    </row>
    <row r="6" spans="1:31" x14ac:dyDescent="0.3">
      <c r="A6" s="21" t="s">
        <v>240</v>
      </c>
      <c r="B6" s="21"/>
      <c r="C6" s="21"/>
      <c r="D6" s="21" t="s">
        <v>158</v>
      </c>
      <c r="E6" s="21" t="s">
        <v>159</v>
      </c>
      <c r="F6" s="21"/>
      <c r="G6" s="21">
        <v>75</v>
      </c>
      <c r="H6" s="21" t="str">
        <f t="shared" si="0"/>
        <v>Recharge(Attack, 75)</v>
      </c>
      <c r="I6" s="21">
        <v>0</v>
      </c>
      <c r="J6" s="21" t="s">
        <v>103</v>
      </c>
      <c r="K6" s="21"/>
      <c r="L6" s="21"/>
      <c r="M6" s="21"/>
      <c r="N6" s="21">
        <v>100</v>
      </c>
      <c r="O6" s="21" t="s">
        <v>160</v>
      </c>
      <c r="P6" s="21" t="s">
        <v>106</v>
      </c>
      <c r="Q6" s="21"/>
      <c r="R6" s="21" t="b">
        <v>1</v>
      </c>
      <c r="S6" s="21">
        <v>0</v>
      </c>
      <c r="T6" s="21">
        <v>0</v>
      </c>
      <c r="U6" s="21">
        <v>0</v>
      </c>
      <c r="V6" s="21" t="s">
        <v>106</v>
      </c>
      <c r="W6" s="21"/>
      <c r="X6" s="21">
        <v>1</v>
      </c>
      <c r="Y6" s="21" t="b">
        <v>1</v>
      </c>
      <c r="Z6" s="21"/>
      <c r="AA6" s="21"/>
      <c r="AB6" s="21"/>
      <c r="AC6" s="21"/>
      <c r="AD6" s="21" t="b">
        <v>1</v>
      </c>
      <c r="AE6" s="27" t="b">
        <v>1</v>
      </c>
    </row>
    <row r="7" spans="1:31" x14ac:dyDescent="0.3">
      <c r="A7" s="21" t="s">
        <v>241</v>
      </c>
      <c r="B7" s="21"/>
      <c r="C7" s="21"/>
      <c r="D7" s="21" t="s">
        <v>158</v>
      </c>
      <c r="E7" s="21" t="s">
        <v>159</v>
      </c>
      <c r="F7" s="21"/>
      <c r="G7" s="21">
        <v>100</v>
      </c>
      <c r="H7" s="21" t="str">
        <f t="shared" si="0"/>
        <v>Recharge(Attack, 100)</v>
      </c>
      <c r="I7" s="21">
        <v>0</v>
      </c>
      <c r="J7" s="21" t="s">
        <v>103</v>
      </c>
      <c r="K7" s="21"/>
      <c r="L7" s="21"/>
      <c r="M7" s="21"/>
      <c r="N7" s="21">
        <v>100</v>
      </c>
      <c r="O7" s="21" t="s">
        <v>160</v>
      </c>
      <c r="P7" s="21" t="s">
        <v>106</v>
      </c>
      <c r="Q7" s="21"/>
      <c r="R7" s="21" t="b">
        <v>1</v>
      </c>
      <c r="S7" s="21">
        <v>0</v>
      </c>
      <c r="T7" s="21">
        <v>0</v>
      </c>
      <c r="U7" s="21">
        <v>0</v>
      </c>
      <c r="V7" s="21" t="s">
        <v>106</v>
      </c>
      <c r="W7" s="21"/>
      <c r="X7" s="21">
        <v>1</v>
      </c>
      <c r="Y7" s="21" t="b">
        <v>1</v>
      </c>
      <c r="Z7" s="21"/>
      <c r="AA7" s="21"/>
      <c r="AB7" s="21"/>
      <c r="AC7" s="21"/>
      <c r="AD7" s="21" t="b">
        <v>1</v>
      </c>
      <c r="AE7" s="27" t="b">
        <v>1</v>
      </c>
    </row>
    <row r="8" spans="1:31" x14ac:dyDescent="0.3">
      <c r="A8" s="21" t="s">
        <v>242</v>
      </c>
      <c r="B8" s="21"/>
      <c r="C8" s="21"/>
      <c r="D8" s="21" t="s">
        <v>158</v>
      </c>
      <c r="E8" s="21" t="s">
        <v>159</v>
      </c>
      <c r="F8" s="21"/>
      <c r="G8" s="21">
        <v>150</v>
      </c>
      <c r="H8" s="21" t="str">
        <f t="shared" si="0"/>
        <v>Recharge(Attack, 150)</v>
      </c>
      <c r="I8" s="21">
        <v>0</v>
      </c>
      <c r="J8" s="21" t="s">
        <v>103</v>
      </c>
      <c r="K8" s="21"/>
      <c r="L8" s="21"/>
      <c r="M8" s="21"/>
      <c r="N8" s="21">
        <v>100</v>
      </c>
      <c r="O8" s="21" t="s">
        <v>160</v>
      </c>
      <c r="P8" s="21" t="s">
        <v>106</v>
      </c>
      <c r="Q8" s="21"/>
      <c r="R8" s="21" t="b">
        <v>1</v>
      </c>
      <c r="S8" s="21">
        <v>0</v>
      </c>
      <c r="T8" s="21">
        <v>0</v>
      </c>
      <c r="U8" s="21">
        <v>0</v>
      </c>
      <c r="V8" s="21" t="s">
        <v>106</v>
      </c>
      <c r="W8" s="21"/>
      <c r="X8" s="21">
        <v>1</v>
      </c>
      <c r="Y8" s="21" t="b">
        <v>1</v>
      </c>
      <c r="Z8" s="21"/>
      <c r="AA8" s="21"/>
      <c r="AB8" s="21"/>
      <c r="AC8" s="21"/>
      <c r="AD8" s="21" t="b">
        <v>1</v>
      </c>
      <c r="AE8" s="27" t="b">
        <v>1</v>
      </c>
    </row>
    <row r="9" spans="1:31" s="62" customFormat="1" x14ac:dyDescent="0.3">
      <c r="A9" s="29" t="s">
        <v>247</v>
      </c>
      <c r="B9" s="29"/>
      <c r="C9" s="29"/>
      <c r="D9" s="29" t="s">
        <v>158</v>
      </c>
      <c r="E9" s="29" t="s">
        <v>163</v>
      </c>
      <c r="F9" s="29">
        <v>0</v>
      </c>
      <c r="G9" s="29">
        <v>300</v>
      </c>
      <c r="H9" s="29" t="str">
        <f t="shared" si="0"/>
        <v>Recharge(None, 0, 300)</v>
      </c>
      <c r="I9" s="29">
        <v>0</v>
      </c>
      <c r="J9" s="29" t="s">
        <v>103</v>
      </c>
      <c r="K9" s="29"/>
      <c r="L9" s="29"/>
      <c r="M9" s="29"/>
      <c r="N9" s="29">
        <v>100</v>
      </c>
      <c r="O9" s="29" t="s">
        <v>160</v>
      </c>
      <c r="P9" s="29" t="s">
        <v>106</v>
      </c>
      <c r="Q9" s="29"/>
      <c r="R9" s="29" t="b">
        <v>1</v>
      </c>
      <c r="S9" s="29">
        <v>0</v>
      </c>
      <c r="T9" s="29">
        <v>0</v>
      </c>
      <c r="U9" s="29">
        <v>0</v>
      </c>
      <c r="V9" s="29" t="s">
        <v>106</v>
      </c>
      <c r="W9" s="29"/>
      <c r="X9" s="29">
        <v>1</v>
      </c>
      <c r="Y9" s="29" t="b">
        <v>0</v>
      </c>
      <c r="Z9" s="29"/>
      <c r="AA9" s="29"/>
      <c r="AB9" s="29"/>
      <c r="AC9" s="29"/>
      <c r="AD9" s="29" t="b">
        <v>1</v>
      </c>
      <c r="AE9" s="31" t="b">
        <v>1</v>
      </c>
    </row>
    <row r="10" spans="1:31" x14ac:dyDescent="0.3">
      <c r="A10" s="32" t="s">
        <v>252</v>
      </c>
      <c r="B10" s="32"/>
      <c r="C10" s="32"/>
      <c r="D10" s="32" t="s">
        <v>161</v>
      </c>
      <c r="E10" s="32" t="s">
        <v>253</v>
      </c>
      <c r="F10" s="32"/>
      <c r="G10" s="32"/>
      <c r="H10" s="32" t="str">
        <f t="shared" si="0"/>
        <v>Debuff(103.Academy.01.freeze.buff)</v>
      </c>
      <c r="I10" s="32">
        <v>0</v>
      </c>
      <c r="J10" s="32" t="s">
        <v>162</v>
      </c>
      <c r="K10" s="32"/>
      <c r="L10" s="32"/>
      <c r="M10" s="32"/>
      <c r="N10" s="32">
        <v>2</v>
      </c>
      <c r="O10" s="32" t="s">
        <v>160</v>
      </c>
      <c r="P10" s="32" t="s">
        <v>106</v>
      </c>
      <c r="Q10" s="32"/>
      <c r="R10" s="32" t="b">
        <v>1</v>
      </c>
      <c r="S10" s="32">
        <v>0</v>
      </c>
      <c r="T10" s="32">
        <v>0</v>
      </c>
      <c r="U10" s="32">
        <v>0</v>
      </c>
      <c r="V10" s="32" t="s">
        <v>167</v>
      </c>
      <c r="W10" s="32">
        <v>20</v>
      </c>
      <c r="X10" s="32">
        <v>0</v>
      </c>
      <c r="Y10" s="32" t="b">
        <v>1</v>
      </c>
      <c r="Z10" s="32" t="s">
        <v>163</v>
      </c>
      <c r="AA10" s="32" t="s">
        <v>598</v>
      </c>
      <c r="AB10" s="32"/>
      <c r="AC10" s="32"/>
      <c r="AD10" s="32" t="b">
        <v>1</v>
      </c>
      <c r="AE10" s="33" t="b">
        <v>1</v>
      </c>
    </row>
    <row r="11" spans="1:31" x14ac:dyDescent="0.3">
      <c r="A11" s="32" t="s">
        <v>511</v>
      </c>
      <c r="B11" s="32"/>
      <c r="C11" s="32"/>
      <c r="D11" s="32" t="s">
        <v>161</v>
      </c>
      <c r="E11" s="32" t="s">
        <v>512</v>
      </c>
      <c r="F11" s="32"/>
      <c r="G11" s="32"/>
      <c r="H11" s="61" t="str">
        <f t="shared" si="0"/>
        <v>Debuff(103.Academy.01.snopril.freeze.buff)</v>
      </c>
      <c r="I11" s="32">
        <v>0</v>
      </c>
      <c r="J11" s="32" t="s">
        <v>162</v>
      </c>
      <c r="K11" s="32"/>
      <c r="L11" s="32"/>
      <c r="M11" s="32"/>
      <c r="N11" s="32">
        <v>3</v>
      </c>
      <c r="O11" s="32" t="s">
        <v>160</v>
      </c>
      <c r="P11" s="32" t="s">
        <v>106</v>
      </c>
      <c r="Q11" s="32"/>
      <c r="R11" s="32" t="b">
        <v>1</v>
      </c>
      <c r="S11" s="32">
        <v>0</v>
      </c>
      <c r="T11" s="32">
        <v>0</v>
      </c>
      <c r="U11" s="32">
        <v>0</v>
      </c>
      <c r="V11" s="32" t="s">
        <v>167</v>
      </c>
      <c r="W11" s="32">
        <v>20</v>
      </c>
      <c r="X11" s="32">
        <v>0</v>
      </c>
      <c r="Y11" s="32" t="b">
        <v>1</v>
      </c>
      <c r="Z11" s="32" t="s">
        <v>163</v>
      </c>
      <c r="AA11" s="32" t="s">
        <v>599</v>
      </c>
      <c r="AB11" s="32"/>
      <c r="AC11" s="32"/>
      <c r="AD11" s="32" t="b">
        <v>1</v>
      </c>
      <c r="AE11" s="33" t="b">
        <v>1</v>
      </c>
    </row>
    <row r="12" spans="1:31" x14ac:dyDescent="0.3">
      <c r="A12" s="32" t="s">
        <v>597</v>
      </c>
      <c r="B12" s="32"/>
      <c r="C12" s="32"/>
      <c r="D12" s="32" t="s">
        <v>164</v>
      </c>
      <c r="E12" s="32" t="s">
        <v>600</v>
      </c>
      <c r="F12" s="32"/>
      <c r="G12" s="32"/>
      <c r="H12" s="32" t="str">
        <f>D12&amp;"("&amp;IF(E12="","",E12)&amp;IF(F12="","",", "&amp;F12)&amp;IF(G12="","",", "&amp;G12)&amp;")"</f>
        <v>Buff(103.Academy.01.effect.buff)</v>
      </c>
      <c r="I12" s="32">
        <v>0</v>
      </c>
      <c r="J12" s="32" t="s">
        <v>103</v>
      </c>
      <c r="K12" s="32"/>
      <c r="L12" s="32"/>
      <c r="M12" s="32"/>
      <c r="N12" s="32">
        <v>100</v>
      </c>
      <c r="O12" s="32" t="s">
        <v>160</v>
      </c>
      <c r="P12" s="32" t="s">
        <v>106</v>
      </c>
      <c r="Q12" s="32"/>
      <c r="R12" s="32" t="b">
        <v>1</v>
      </c>
      <c r="S12" s="32">
        <v>0</v>
      </c>
      <c r="T12" s="32">
        <v>0</v>
      </c>
      <c r="U12" s="32">
        <v>0</v>
      </c>
      <c r="V12" s="32" t="s">
        <v>594</v>
      </c>
      <c r="W12" s="32"/>
      <c r="X12" s="32">
        <v>1</v>
      </c>
      <c r="Y12" s="32" t="b">
        <v>0</v>
      </c>
      <c r="Z12" s="32"/>
      <c r="AA12" s="32"/>
      <c r="AB12" s="32"/>
      <c r="AC12" s="32"/>
      <c r="AD12" s="32" t="b">
        <v>1</v>
      </c>
      <c r="AE12" s="33" t="b">
        <v>1</v>
      </c>
    </row>
    <row r="13" spans="1:31" x14ac:dyDescent="0.3">
      <c r="A13" s="36" t="s">
        <v>258</v>
      </c>
      <c r="B13" s="36"/>
      <c r="C13" s="36"/>
      <c r="D13" s="36" t="s">
        <v>164</v>
      </c>
      <c r="E13" s="36" t="s">
        <v>259</v>
      </c>
      <c r="F13" s="36"/>
      <c r="G13" s="36"/>
      <c r="H13" s="36" t="str">
        <f t="shared" si="0"/>
        <v>Buff(104.Academy.01.dmgimmun.buff)</v>
      </c>
      <c r="I13" s="36">
        <v>0</v>
      </c>
      <c r="J13" s="36" t="s">
        <v>103</v>
      </c>
      <c r="K13" s="36"/>
      <c r="L13" s="36"/>
      <c r="M13" s="36"/>
      <c r="N13" s="36">
        <v>100</v>
      </c>
      <c r="O13" s="36" t="s">
        <v>160</v>
      </c>
      <c r="P13" s="36" t="s">
        <v>106</v>
      </c>
      <c r="Q13" s="36"/>
      <c r="R13" s="36" t="b">
        <v>1</v>
      </c>
      <c r="S13" s="36">
        <v>0</v>
      </c>
      <c r="T13" s="36">
        <v>0</v>
      </c>
      <c r="U13" s="36">
        <v>0</v>
      </c>
      <c r="V13" s="36" t="s">
        <v>106</v>
      </c>
      <c r="W13" s="36"/>
      <c r="X13" s="36">
        <v>1</v>
      </c>
      <c r="Y13" s="36" t="b">
        <v>0</v>
      </c>
      <c r="Z13" s="36"/>
      <c r="AA13" s="36"/>
      <c r="AB13" s="36"/>
      <c r="AC13" s="36"/>
      <c r="AD13" s="36" t="b">
        <v>1</v>
      </c>
      <c r="AE13" s="37" t="b">
        <v>1</v>
      </c>
    </row>
    <row r="14" spans="1:31" x14ac:dyDescent="0.3">
      <c r="A14" s="29" t="s">
        <v>268</v>
      </c>
      <c r="B14" s="29"/>
      <c r="C14" s="29"/>
      <c r="D14" s="29" t="s">
        <v>164</v>
      </c>
      <c r="E14" s="29" t="s">
        <v>269</v>
      </c>
      <c r="F14" s="29"/>
      <c r="G14" s="29"/>
      <c r="H14" s="29" t="str">
        <f t="shared" si="0"/>
        <v>Buff(106.Academy.01.shield.buff)</v>
      </c>
      <c r="I14" s="29">
        <v>0</v>
      </c>
      <c r="J14" s="29" t="s">
        <v>168</v>
      </c>
      <c r="K14" s="29" t="s">
        <v>169</v>
      </c>
      <c r="L14" s="29"/>
      <c r="M14" s="29"/>
      <c r="N14" s="29">
        <v>100</v>
      </c>
      <c r="O14" s="29" t="s">
        <v>160</v>
      </c>
      <c r="P14" s="29" t="s">
        <v>106</v>
      </c>
      <c r="Q14" s="29"/>
      <c r="R14" s="29" t="b">
        <v>1</v>
      </c>
      <c r="S14" s="29">
        <v>0</v>
      </c>
      <c r="T14" s="29">
        <v>0</v>
      </c>
      <c r="U14" s="29">
        <v>0</v>
      </c>
      <c r="V14" s="29" t="s">
        <v>170</v>
      </c>
      <c r="W14" s="29"/>
      <c r="X14" s="29">
        <v>1</v>
      </c>
      <c r="Y14" s="29" t="b">
        <v>0</v>
      </c>
      <c r="Z14" s="29"/>
      <c r="AA14" s="29"/>
      <c r="AB14" s="29"/>
      <c r="AC14" s="29"/>
      <c r="AD14" s="29" t="b">
        <v>1</v>
      </c>
      <c r="AE14" s="31" t="b">
        <v>1</v>
      </c>
    </row>
    <row r="15" spans="1:31" x14ac:dyDescent="0.3">
      <c r="A15" s="36" t="s">
        <v>274</v>
      </c>
      <c r="B15" s="36"/>
      <c r="C15" s="36"/>
      <c r="D15" s="36" t="s">
        <v>171</v>
      </c>
      <c r="E15" s="36" t="s">
        <v>159</v>
      </c>
      <c r="F15" s="36">
        <v>650</v>
      </c>
      <c r="G15" s="36"/>
      <c r="H15" s="36" t="str">
        <f t="shared" si="0"/>
        <v>DamageSelfCalc(Attack, 650)</v>
      </c>
      <c r="I15" s="36">
        <v>0</v>
      </c>
      <c r="J15" s="36" t="s">
        <v>162</v>
      </c>
      <c r="K15" s="36"/>
      <c r="L15" s="36" t="s">
        <v>536</v>
      </c>
      <c r="M15" s="36" t="s">
        <v>173</v>
      </c>
      <c r="N15" s="36">
        <v>100</v>
      </c>
      <c r="O15" s="36" t="s">
        <v>105</v>
      </c>
      <c r="P15" s="36" t="s">
        <v>106</v>
      </c>
      <c r="Q15" s="36"/>
      <c r="R15" s="36" t="b">
        <v>1</v>
      </c>
      <c r="S15" s="36">
        <v>0</v>
      </c>
      <c r="T15" s="36">
        <v>0</v>
      </c>
      <c r="U15" s="36">
        <v>0</v>
      </c>
      <c r="V15" s="36" t="s">
        <v>106</v>
      </c>
      <c r="W15" s="36"/>
      <c r="X15" s="36">
        <v>1</v>
      </c>
      <c r="Y15" s="36" t="b">
        <v>0</v>
      </c>
      <c r="Z15" s="36"/>
      <c r="AA15" s="36"/>
      <c r="AB15" s="36"/>
      <c r="AC15" s="36"/>
      <c r="AD15" s="36" t="b">
        <v>1</v>
      </c>
      <c r="AE15" s="37" t="b">
        <v>1</v>
      </c>
    </row>
    <row r="16" spans="1:31" x14ac:dyDescent="0.3">
      <c r="A16" s="34" t="s">
        <v>279</v>
      </c>
      <c r="B16" s="34"/>
      <c r="C16" s="34"/>
      <c r="D16" s="34" t="s">
        <v>164</v>
      </c>
      <c r="E16" s="34" t="s">
        <v>280</v>
      </c>
      <c r="F16" s="34"/>
      <c r="G16" s="34"/>
      <c r="H16" s="34" t="str">
        <f t="shared" si="0"/>
        <v>Buff(108.Academy.01.atkup.buff)</v>
      </c>
      <c r="I16" s="34">
        <v>0</v>
      </c>
      <c r="J16" s="34" t="s">
        <v>103</v>
      </c>
      <c r="K16" s="34"/>
      <c r="L16" s="34"/>
      <c r="M16" s="34"/>
      <c r="N16" s="34">
        <v>100</v>
      </c>
      <c r="O16" s="34" t="s">
        <v>160</v>
      </c>
      <c r="P16" s="34" t="s">
        <v>106</v>
      </c>
      <c r="Q16" s="34"/>
      <c r="R16" s="34" t="b">
        <v>1</v>
      </c>
      <c r="S16" s="34">
        <v>0</v>
      </c>
      <c r="T16" s="34">
        <v>0</v>
      </c>
      <c r="U16" s="34">
        <v>0</v>
      </c>
      <c r="V16" s="34" t="s">
        <v>106</v>
      </c>
      <c r="W16" s="34"/>
      <c r="X16" s="34">
        <v>1</v>
      </c>
      <c r="Y16" s="34" t="b">
        <v>0</v>
      </c>
      <c r="Z16" s="34"/>
      <c r="AA16" s="34"/>
      <c r="AB16" s="34"/>
      <c r="AC16" s="34"/>
      <c r="AD16" s="34" t="b">
        <v>1</v>
      </c>
      <c r="AE16" s="35" t="b">
        <v>1</v>
      </c>
    </row>
    <row r="17" spans="1:31" x14ac:dyDescent="0.3">
      <c r="A17" s="32" t="s">
        <v>285</v>
      </c>
      <c r="B17" s="32"/>
      <c r="C17" s="32"/>
      <c r="D17" s="32" t="s">
        <v>183</v>
      </c>
      <c r="E17" s="32" t="s">
        <v>159</v>
      </c>
      <c r="F17" s="32">
        <v>600</v>
      </c>
      <c r="G17" s="32"/>
      <c r="H17" s="61" t="str">
        <f t="shared" si="0"/>
        <v>Damage(Attack, 600)</v>
      </c>
      <c r="I17" s="32">
        <v>0</v>
      </c>
      <c r="J17" s="32" t="s">
        <v>162</v>
      </c>
      <c r="K17" s="32"/>
      <c r="L17" s="32" t="s">
        <v>172</v>
      </c>
      <c r="M17" s="32" t="s">
        <v>537</v>
      </c>
      <c r="N17" s="32">
        <v>100</v>
      </c>
      <c r="O17" s="32" t="s">
        <v>105</v>
      </c>
      <c r="P17" s="32" t="s">
        <v>106</v>
      </c>
      <c r="Q17" s="32"/>
      <c r="R17" s="32" t="b">
        <v>1</v>
      </c>
      <c r="S17" s="32">
        <v>0</v>
      </c>
      <c r="T17" s="32">
        <v>0</v>
      </c>
      <c r="U17" s="32">
        <v>0</v>
      </c>
      <c r="V17" s="32" t="s">
        <v>106</v>
      </c>
      <c r="W17" s="32"/>
      <c r="X17" s="32">
        <v>1</v>
      </c>
      <c r="Y17" s="32" t="b">
        <v>0</v>
      </c>
      <c r="Z17" s="32"/>
      <c r="AA17" s="32"/>
      <c r="AB17" s="32"/>
      <c r="AC17" s="32"/>
      <c r="AD17" s="32" t="b">
        <v>1</v>
      </c>
      <c r="AE17" s="33" t="b">
        <v>1</v>
      </c>
    </row>
    <row r="18" spans="1:31" x14ac:dyDescent="0.3">
      <c r="A18" s="36" t="s">
        <v>290</v>
      </c>
      <c r="B18" s="36"/>
      <c r="C18" s="36"/>
      <c r="D18" s="36" t="s">
        <v>174</v>
      </c>
      <c r="E18" s="36" t="s">
        <v>175</v>
      </c>
      <c r="F18" s="36">
        <v>-120</v>
      </c>
      <c r="G18" s="36"/>
      <c r="H18" s="36" t="str">
        <f t="shared" si="0"/>
        <v>Cooldown(Skill1, -120)</v>
      </c>
      <c r="I18" s="36">
        <v>0</v>
      </c>
      <c r="J18" s="36" t="s">
        <v>103</v>
      </c>
      <c r="K18" s="36"/>
      <c r="L18" s="36"/>
      <c r="M18" s="36"/>
      <c r="N18" s="36">
        <v>100</v>
      </c>
      <c r="O18" s="36" t="s">
        <v>160</v>
      </c>
      <c r="P18" s="36" t="s">
        <v>106</v>
      </c>
      <c r="Q18" s="36"/>
      <c r="R18" s="36" t="b">
        <v>1</v>
      </c>
      <c r="S18" s="36">
        <v>0</v>
      </c>
      <c r="T18" s="36">
        <v>0</v>
      </c>
      <c r="U18" s="36">
        <v>0</v>
      </c>
      <c r="V18" s="36" t="s">
        <v>106</v>
      </c>
      <c r="W18" s="36"/>
      <c r="X18" s="36">
        <v>1</v>
      </c>
      <c r="Y18" s="36" t="b">
        <v>1</v>
      </c>
      <c r="Z18" s="36" t="s">
        <v>163</v>
      </c>
      <c r="AA18" s="36" t="s">
        <v>291</v>
      </c>
      <c r="AB18" s="36"/>
      <c r="AC18" s="36"/>
      <c r="AD18" s="36" t="b">
        <v>1</v>
      </c>
      <c r="AE18" s="37" t="b">
        <v>1</v>
      </c>
    </row>
    <row r="19" spans="1:31" x14ac:dyDescent="0.3">
      <c r="A19" s="36" t="s">
        <v>291</v>
      </c>
      <c r="B19" s="36"/>
      <c r="C19" s="36"/>
      <c r="D19" s="36" t="s">
        <v>174</v>
      </c>
      <c r="E19" s="36" t="s">
        <v>176</v>
      </c>
      <c r="F19" s="36">
        <v>-120</v>
      </c>
      <c r="G19" s="36"/>
      <c r="H19" s="36" t="str">
        <f t="shared" si="0"/>
        <v>Cooldown(Skill2, -120)</v>
      </c>
      <c r="I19" s="36">
        <v>0</v>
      </c>
      <c r="J19" s="36" t="s">
        <v>103</v>
      </c>
      <c r="K19" s="36"/>
      <c r="L19" s="36"/>
      <c r="M19" s="36"/>
      <c r="N19" s="36">
        <v>100</v>
      </c>
      <c r="O19" s="36" t="s">
        <v>160</v>
      </c>
      <c r="P19" s="36" t="s">
        <v>106</v>
      </c>
      <c r="Q19" s="36"/>
      <c r="R19" s="36" t="b">
        <v>1</v>
      </c>
      <c r="S19" s="36">
        <v>0</v>
      </c>
      <c r="T19" s="36">
        <v>0</v>
      </c>
      <c r="U19" s="36">
        <v>0</v>
      </c>
      <c r="V19" s="36" t="s">
        <v>106</v>
      </c>
      <c r="W19" s="36"/>
      <c r="X19" s="36">
        <v>1</v>
      </c>
      <c r="Y19" s="36" t="b">
        <v>0</v>
      </c>
      <c r="Z19" s="36"/>
      <c r="AA19" s="36"/>
      <c r="AB19" s="36"/>
      <c r="AC19" s="36"/>
      <c r="AD19" s="36" t="b">
        <v>1</v>
      </c>
      <c r="AE19" s="37" t="b">
        <v>1</v>
      </c>
    </row>
    <row r="20" spans="1:31" x14ac:dyDescent="0.3">
      <c r="A20" s="34" t="s">
        <v>296</v>
      </c>
      <c r="B20" s="34"/>
      <c r="C20" s="34"/>
      <c r="D20" s="34" t="s">
        <v>177</v>
      </c>
      <c r="E20" s="34" t="s">
        <v>163</v>
      </c>
      <c r="F20" s="34">
        <v>0</v>
      </c>
      <c r="G20" s="34">
        <v>140</v>
      </c>
      <c r="H20" s="34" t="str">
        <f t="shared" si="0"/>
        <v>Consume(None, 0, 140)</v>
      </c>
      <c r="I20" s="34">
        <v>0</v>
      </c>
      <c r="J20" s="34" t="s">
        <v>162</v>
      </c>
      <c r="K20" s="34"/>
      <c r="L20" s="34"/>
      <c r="M20" s="34"/>
      <c r="N20" s="34">
        <v>100</v>
      </c>
      <c r="O20" s="34" t="s">
        <v>105</v>
      </c>
      <c r="P20" s="34" t="s">
        <v>106</v>
      </c>
      <c r="Q20" s="34"/>
      <c r="R20" s="34" t="b">
        <v>1</v>
      </c>
      <c r="S20" s="34">
        <v>0</v>
      </c>
      <c r="T20" s="34">
        <v>0</v>
      </c>
      <c r="U20" s="34">
        <v>0</v>
      </c>
      <c r="V20" s="34" t="s">
        <v>106</v>
      </c>
      <c r="W20" s="34"/>
      <c r="X20" s="34">
        <v>1</v>
      </c>
      <c r="Y20" s="34" t="b">
        <v>0</v>
      </c>
      <c r="Z20" s="34"/>
      <c r="AA20" s="34"/>
      <c r="AB20" s="34"/>
      <c r="AC20" s="34"/>
      <c r="AD20" s="34" t="b">
        <v>1</v>
      </c>
      <c r="AE20" s="35" t="b">
        <v>1</v>
      </c>
    </row>
    <row r="21" spans="1:31" x14ac:dyDescent="0.3">
      <c r="A21" s="36" t="s">
        <v>305</v>
      </c>
      <c r="B21" s="36"/>
      <c r="C21" s="36"/>
      <c r="D21" s="36" t="s">
        <v>174</v>
      </c>
      <c r="E21" s="36" t="s">
        <v>175</v>
      </c>
      <c r="F21" s="36">
        <v>-240</v>
      </c>
      <c r="G21" s="36"/>
      <c r="H21" s="36" t="str">
        <f t="shared" si="0"/>
        <v>Cooldown(Skill1, -240)</v>
      </c>
      <c r="I21" s="36">
        <v>0</v>
      </c>
      <c r="J21" s="36" t="s">
        <v>103</v>
      </c>
      <c r="K21" s="36"/>
      <c r="L21" s="36"/>
      <c r="M21" s="36"/>
      <c r="N21" s="36">
        <v>100</v>
      </c>
      <c r="O21" s="36" t="s">
        <v>160</v>
      </c>
      <c r="P21" s="36" t="s">
        <v>106</v>
      </c>
      <c r="Q21" s="36"/>
      <c r="R21" s="36" t="b">
        <v>1</v>
      </c>
      <c r="S21" s="36">
        <v>0</v>
      </c>
      <c r="T21" s="36">
        <v>0</v>
      </c>
      <c r="U21" s="36">
        <v>0</v>
      </c>
      <c r="V21" s="36" t="s">
        <v>106</v>
      </c>
      <c r="W21" s="36"/>
      <c r="X21" s="36">
        <v>1</v>
      </c>
      <c r="Y21" s="36" t="b">
        <v>0</v>
      </c>
      <c r="Z21" s="36"/>
      <c r="AA21" s="36"/>
      <c r="AB21" s="36"/>
      <c r="AC21" s="36"/>
      <c r="AD21" s="36" t="b">
        <v>1</v>
      </c>
      <c r="AE21" s="37" t="b">
        <v>1</v>
      </c>
    </row>
    <row r="22" spans="1:31" x14ac:dyDescent="0.3">
      <c r="A22" s="36" t="s">
        <v>516</v>
      </c>
      <c r="B22" s="36"/>
      <c r="C22" s="36"/>
      <c r="D22" s="36" t="s">
        <v>174</v>
      </c>
      <c r="E22" s="36" t="s">
        <v>175</v>
      </c>
      <c r="F22" s="36">
        <v>-360</v>
      </c>
      <c r="G22" s="36"/>
      <c r="H22" s="36" t="str">
        <f t="shared" si="0"/>
        <v>Cooldown(Skill1, -360)</v>
      </c>
      <c r="I22" s="36">
        <v>0</v>
      </c>
      <c r="J22" s="36" t="s">
        <v>103</v>
      </c>
      <c r="K22" s="36"/>
      <c r="L22" s="36"/>
      <c r="M22" s="36"/>
      <c r="N22" s="36">
        <v>100</v>
      </c>
      <c r="O22" s="36" t="s">
        <v>160</v>
      </c>
      <c r="P22" s="36" t="s">
        <v>106</v>
      </c>
      <c r="Q22" s="36"/>
      <c r="R22" s="36" t="b">
        <v>1</v>
      </c>
      <c r="S22" s="36">
        <v>0</v>
      </c>
      <c r="T22" s="36">
        <v>0</v>
      </c>
      <c r="U22" s="36">
        <v>0</v>
      </c>
      <c r="V22" s="36" t="s">
        <v>106</v>
      </c>
      <c r="W22" s="36"/>
      <c r="X22" s="36">
        <v>1</v>
      </c>
      <c r="Y22" s="36" t="b">
        <v>0</v>
      </c>
      <c r="Z22" s="36"/>
      <c r="AA22" s="36"/>
      <c r="AB22" s="36"/>
      <c r="AC22" s="36"/>
      <c r="AD22" s="36" t="b">
        <v>1</v>
      </c>
      <c r="AE22" s="37" t="b">
        <v>1</v>
      </c>
    </row>
    <row r="23" spans="1:31" x14ac:dyDescent="0.3">
      <c r="A23" s="34" t="s">
        <v>310</v>
      </c>
      <c r="B23" s="34"/>
      <c r="C23" s="34"/>
      <c r="D23" s="34" t="s">
        <v>164</v>
      </c>
      <c r="E23" s="34" t="s">
        <v>311</v>
      </c>
      <c r="F23" s="34"/>
      <c r="G23" s="34"/>
      <c r="H23" s="34" t="str">
        <f t="shared" si="0"/>
        <v>Buff(113.Academy.01.shield.buff)</v>
      </c>
      <c r="I23" s="34">
        <v>0</v>
      </c>
      <c r="J23" s="34" t="s">
        <v>103</v>
      </c>
      <c r="K23" s="34"/>
      <c r="L23" s="34"/>
      <c r="M23" s="34"/>
      <c r="N23" s="34">
        <v>100</v>
      </c>
      <c r="O23" s="34" t="s">
        <v>160</v>
      </c>
      <c r="P23" s="34" t="s">
        <v>106</v>
      </c>
      <c r="Q23" s="34"/>
      <c r="R23" s="34" t="b">
        <v>1</v>
      </c>
      <c r="S23" s="34">
        <v>0</v>
      </c>
      <c r="T23" s="34">
        <v>0</v>
      </c>
      <c r="U23" s="34">
        <v>0</v>
      </c>
      <c r="V23" s="34" t="s">
        <v>106</v>
      </c>
      <c r="W23" s="34"/>
      <c r="X23" s="34">
        <v>1</v>
      </c>
      <c r="Y23" s="34" t="b">
        <v>0</v>
      </c>
      <c r="Z23" s="34"/>
      <c r="AA23" s="34"/>
      <c r="AB23" s="34"/>
      <c r="AC23" s="34"/>
      <c r="AD23" s="34" t="b">
        <v>1</v>
      </c>
      <c r="AE23" s="35" t="b">
        <v>1</v>
      </c>
    </row>
    <row r="24" spans="1:31" x14ac:dyDescent="0.3">
      <c r="A24" s="36" t="s">
        <v>316</v>
      </c>
      <c r="B24" s="36"/>
      <c r="C24" s="36"/>
      <c r="D24" s="36" t="s">
        <v>161</v>
      </c>
      <c r="E24" s="36" t="s">
        <v>317</v>
      </c>
      <c r="F24" s="36"/>
      <c r="G24" s="36"/>
      <c r="H24" s="36" t="str">
        <f t="shared" ref="H24:H57" si="1">D24&amp;"("&amp;IF(E24="","",E24)&amp;IF(F24="","",", "&amp;F24)&amp;IF(G24="","",", "&amp;G24)&amp;")"</f>
        <v>Debuff(114.Academy.01.stun.buff)</v>
      </c>
      <c r="I24" s="36">
        <v>0</v>
      </c>
      <c r="J24" s="36" t="s">
        <v>162</v>
      </c>
      <c r="K24" s="36"/>
      <c r="L24" s="36"/>
      <c r="M24" s="36"/>
      <c r="N24" s="36">
        <v>100</v>
      </c>
      <c r="O24" s="36" t="s">
        <v>105</v>
      </c>
      <c r="P24" s="36" t="s">
        <v>106</v>
      </c>
      <c r="Q24" s="36"/>
      <c r="R24" s="36" t="b">
        <v>1</v>
      </c>
      <c r="S24" s="36">
        <v>0</v>
      </c>
      <c r="T24" s="36">
        <v>0</v>
      </c>
      <c r="U24" s="36">
        <v>0</v>
      </c>
      <c r="V24" s="36" t="s">
        <v>106</v>
      </c>
      <c r="W24" s="36"/>
      <c r="X24" s="36">
        <v>1</v>
      </c>
      <c r="Y24" s="36" t="b">
        <v>1</v>
      </c>
      <c r="Z24" s="36" t="s">
        <v>163</v>
      </c>
      <c r="AA24" s="36" t="s">
        <v>318</v>
      </c>
      <c r="AB24" s="36"/>
      <c r="AC24" s="36"/>
      <c r="AD24" s="36" t="b">
        <v>1</v>
      </c>
      <c r="AE24" s="37" t="b">
        <v>1</v>
      </c>
    </row>
    <row r="25" spans="1:31" x14ac:dyDescent="0.3">
      <c r="A25" s="36" t="s">
        <v>318</v>
      </c>
      <c r="B25" s="36"/>
      <c r="C25" s="36"/>
      <c r="D25" s="36" t="s">
        <v>178</v>
      </c>
      <c r="E25" s="36" t="s">
        <v>319</v>
      </c>
      <c r="F25" s="36"/>
      <c r="G25" s="36"/>
      <c r="H25" s="36" t="str">
        <f t="shared" si="1"/>
        <v>RemoveBuff(114.Academy.01.stack.buff)</v>
      </c>
      <c r="I25" s="36">
        <v>0</v>
      </c>
      <c r="J25" s="36" t="s">
        <v>103</v>
      </c>
      <c r="K25" s="36"/>
      <c r="L25" s="36"/>
      <c r="M25" s="36"/>
      <c r="N25" s="36">
        <v>100</v>
      </c>
      <c r="O25" s="36" t="s">
        <v>160</v>
      </c>
      <c r="P25" s="36" t="s">
        <v>106</v>
      </c>
      <c r="Q25" s="36"/>
      <c r="R25" s="36" t="b">
        <v>1</v>
      </c>
      <c r="S25" s="36">
        <v>0</v>
      </c>
      <c r="T25" s="36">
        <v>0</v>
      </c>
      <c r="U25" s="36">
        <v>0</v>
      </c>
      <c r="V25" s="36" t="s">
        <v>106</v>
      </c>
      <c r="W25" s="36"/>
      <c r="X25" s="36">
        <v>1</v>
      </c>
      <c r="Y25" s="36" t="b">
        <v>0</v>
      </c>
      <c r="Z25" s="36"/>
      <c r="AA25" s="36"/>
      <c r="AB25" s="36"/>
      <c r="AC25" s="36"/>
      <c r="AD25" s="36" t="b">
        <v>1</v>
      </c>
      <c r="AE25" s="37" t="b">
        <v>1</v>
      </c>
    </row>
    <row r="26" spans="1:31" x14ac:dyDescent="0.3">
      <c r="A26" s="36" t="s">
        <v>320</v>
      </c>
      <c r="B26" s="36"/>
      <c r="C26" s="36"/>
      <c r="D26" s="36" t="s">
        <v>164</v>
      </c>
      <c r="E26" s="36" t="s">
        <v>319</v>
      </c>
      <c r="F26" s="36"/>
      <c r="G26" s="36"/>
      <c r="H26" s="36" t="str">
        <f t="shared" si="1"/>
        <v>Buff(114.Academy.01.stack.buff)</v>
      </c>
      <c r="I26" s="36">
        <v>0</v>
      </c>
      <c r="J26" s="36" t="s">
        <v>103</v>
      </c>
      <c r="K26" s="36"/>
      <c r="L26" s="36"/>
      <c r="M26" s="36"/>
      <c r="N26" s="36">
        <v>100</v>
      </c>
      <c r="O26" s="36" t="s">
        <v>160</v>
      </c>
      <c r="P26" s="36" t="s">
        <v>106</v>
      </c>
      <c r="Q26" s="36"/>
      <c r="R26" s="36" t="b">
        <v>1</v>
      </c>
      <c r="S26" s="36">
        <v>0</v>
      </c>
      <c r="T26" s="36">
        <v>0</v>
      </c>
      <c r="U26" s="36">
        <v>0</v>
      </c>
      <c r="V26" s="36" t="s">
        <v>106</v>
      </c>
      <c r="W26" s="36"/>
      <c r="X26" s="36">
        <v>1</v>
      </c>
      <c r="Y26" s="36" t="b">
        <v>0</v>
      </c>
      <c r="Z26" s="36"/>
      <c r="AA26" s="36"/>
      <c r="AB26" s="36"/>
      <c r="AC26" s="36"/>
      <c r="AD26" s="36" t="b">
        <v>1</v>
      </c>
      <c r="AE26" s="37" t="b">
        <v>1</v>
      </c>
    </row>
    <row r="27" spans="1:31" x14ac:dyDescent="0.3">
      <c r="A27" s="34" t="s">
        <v>325</v>
      </c>
      <c r="B27" s="34"/>
      <c r="C27" s="34"/>
      <c r="D27" s="34" t="s">
        <v>164</v>
      </c>
      <c r="E27" s="34" t="s">
        <v>326</v>
      </c>
      <c r="F27" s="34"/>
      <c r="G27" s="34"/>
      <c r="H27" s="34" t="str">
        <f t="shared" si="1"/>
        <v>Buff(115.Academy.01.atkup.buff)</v>
      </c>
      <c r="I27" s="34">
        <v>0</v>
      </c>
      <c r="J27" s="34" t="s">
        <v>103</v>
      </c>
      <c r="K27" s="34"/>
      <c r="L27" s="34"/>
      <c r="M27" s="34"/>
      <c r="N27" s="34">
        <v>100</v>
      </c>
      <c r="O27" s="34" t="s">
        <v>160</v>
      </c>
      <c r="P27" s="34" t="s">
        <v>106</v>
      </c>
      <c r="Q27" s="34"/>
      <c r="R27" s="34" t="b">
        <v>1</v>
      </c>
      <c r="S27" s="34">
        <v>0</v>
      </c>
      <c r="T27" s="34">
        <v>0</v>
      </c>
      <c r="U27" s="34">
        <v>0</v>
      </c>
      <c r="V27" s="34" t="s">
        <v>106</v>
      </c>
      <c r="W27" s="34"/>
      <c r="X27" s="34">
        <v>1</v>
      </c>
      <c r="Y27" s="34" t="b">
        <v>0</v>
      </c>
      <c r="Z27" s="34"/>
      <c r="AA27" s="34"/>
      <c r="AB27" s="34"/>
      <c r="AC27" s="34"/>
      <c r="AD27" s="34" t="b">
        <v>1</v>
      </c>
      <c r="AE27" s="35" t="b">
        <v>1</v>
      </c>
    </row>
    <row r="28" spans="1:31" x14ac:dyDescent="0.3">
      <c r="A28" s="34" t="s">
        <v>327</v>
      </c>
      <c r="B28" s="34"/>
      <c r="C28" s="34"/>
      <c r="D28" s="34" t="s">
        <v>178</v>
      </c>
      <c r="E28" s="34" t="s">
        <v>326</v>
      </c>
      <c r="F28" s="34"/>
      <c r="G28" s="34"/>
      <c r="H28" s="34" t="str">
        <f t="shared" si="1"/>
        <v>RemoveBuff(115.Academy.01.atkup.buff)</v>
      </c>
      <c r="I28" s="34">
        <v>0</v>
      </c>
      <c r="J28" s="34" t="s">
        <v>103</v>
      </c>
      <c r="K28" s="34"/>
      <c r="L28" s="34"/>
      <c r="M28" s="34"/>
      <c r="N28" s="34">
        <v>100</v>
      </c>
      <c r="O28" s="34" t="s">
        <v>160</v>
      </c>
      <c r="P28" s="34" t="s">
        <v>106</v>
      </c>
      <c r="Q28" s="34"/>
      <c r="R28" s="34" t="b">
        <v>1</v>
      </c>
      <c r="S28" s="34">
        <v>0</v>
      </c>
      <c r="T28" s="34">
        <v>0</v>
      </c>
      <c r="U28" s="34">
        <v>0</v>
      </c>
      <c r="V28" s="34" t="s">
        <v>106</v>
      </c>
      <c r="W28" s="34"/>
      <c r="X28" s="34">
        <v>1</v>
      </c>
      <c r="Y28" s="34" t="b">
        <v>0</v>
      </c>
      <c r="Z28" s="34"/>
      <c r="AA28" s="34"/>
      <c r="AB28" s="34"/>
      <c r="AC28" s="34"/>
      <c r="AD28" s="34" t="b">
        <v>1</v>
      </c>
      <c r="AE28" s="35" t="b">
        <v>1</v>
      </c>
    </row>
    <row r="29" spans="1:31" x14ac:dyDescent="0.3">
      <c r="A29" s="36" t="s">
        <v>332</v>
      </c>
      <c r="B29" s="36"/>
      <c r="C29" s="36"/>
      <c r="D29" s="36" t="s">
        <v>158</v>
      </c>
      <c r="E29" s="36" t="s">
        <v>163</v>
      </c>
      <c r="F29" s="36">
        <v>0</v>
      </c>
      <c r="G29" s="36">
        <v>90</v>
      </c>
      <c r="H29" s="36" t="str">
        <f t="shared" si="1"/>
        <v>Recharge(None, 0, 90)</v>
      </c>
      <c r="I29" s="36">
        <v>0</v>
      </c>
      <c r="J29" s="36" t="s">
        <v>168</v>
      </c>
      <c r="K29" s="36" t="s">
        <v>179</v>
      </c>
      <c r="L29" s="36"/>
      <c r="M29" s="36"/>
      <c r="N29" s="36">
        <v>100</v>
      </c>
      <c r="O29" s="36" t="s">
        <v>160</v>
      </c>
      <c r="P29" s="36" t="s">
        <v>106</v>
      </c>
      <c r="Q29" s="36"/>
      <c r="R29" s="36" t="b">
        <v>1</v>
      </c>
      <c r="S29" s="36">
        <v>0</v>
      </c>
      <c r="T29" s="36">
        <v>0</v>
      </c>
      <c r="U29" s="36">
        <v>0</v>
      </c>
      <c r="V29" s="36" t="s">
        <v>170</v>
      </c>
      <c r="W29" s="36"/>
      <c r="X29" s="36">
        <v>1</v>
      </c>
      <c r="Y29" s="36" t="b">
        <v>0</v>
      </c>
      <c r="Z29" s="36"/>
      <c r="AA29" s="36"/>
      <c r="AB29" s="36"/>
      <c r="AC29" s="36"/>
      <c r="AD29" s="36" t="b">
        <v>1</v>
      </c>
      <c r="AE29" s="37" t="b">
        <v>1</v>
      </c>
    </row>
    <row r="30" spans="1:31" x14ac:dyDescent="0.3">
      <c r="A30" s="34" t="s">
        <v>595</v>
      </c>
      <c r="B30" s="34"/>
      <c r="C30" s="34"/>
      <c r="D30" s="34" t="s">
        <v>161</v>
      </c>
      <c r="E30" s="34" t="s">
        <v>337</v>
      </c>
      <c r="F30" s="34"/>
      <c r="G30" s="34"/>
      <c r="H30" s="34" t="str">
        <f t="shared" si="1"/>
        <v>Debuff(117.Academy.01.burn.buff)</v>
      </c>
      <c r="I30" s="34">
        <v>0</v>
      </c>
      <c r="J30" s="34" t="s">
        <v>162</v>
      </c>
      <c r="K30" s="34"/>
      <c r="L30" s="34"/>
      <c r="M30" s="34"/>
      <c r="N30" s="34">
        <v>15</v>
      </c>
      <c r="O30" s="34" t="s">
        <v>160</v>
      </c>
      <c r="P30" s="34" t="s">
        <v>106</v>
      </c>
      <c r="Q30" s="34"/>
      <c r="R30" s="34" t="b">
        <v>1</v>
      </c>
      <c r="S30" s="34">
        <v>0</v>
      </c>
      <c r="T30" s="34">
        <v>0</v>
      </c>
      <c r="U30" s="34">
        <v>0</v>
      </c>
      <c r="V30" s="34" t="s">
        <v>167</v>
      </c>
      <c r="W30" s="34">
        <v>20</v>
      </c>
      <c r="X30" s="34">
        <v>0</v>
      </c>
      <c r="Y30" s="36" t="b">
        <v>1</v>
      </c>
      <c r="Z30" s="36" t="s">
        <v>163</v>
      </c>
      <c r="AA30" s="36" t="s">
        <v>596</v>
      </c>
      <c r="AB30" s="34"/>
      <c r="AC30" s="34"/>
      <c r="AD30" s="34" t="b">
        <v>1</v>
      </c>
      <c r="AE30" s="35" t="b">
        <v>1</v>
      </c>
    </row>
    <row r="31" spans="1:31" x14ac:dyDescent="0.3">
      <c r="A31" s="34" t="s">
        <v>596</v>
      </c>
      <c r="B31" s="34"/>
      <c r="C31" s="34"/>
      <c r="D31" s="34" t="s">
        <v>164</v>
      </c>
      <c r="E31" s="34" t="s">
        <v>593</v>
      </c>
      <c r="F31" s="34"/>
      <c r="G31" s="34"/>
      <c r="H31" s="34" t="str">
        <f t="shared" si="1"/>
        <v>Buff(117.Academy.01.effect.buff)</v>
      </c>
      <c r="I31" s="34">
        <v>0</v>
      </c>
      <c r="J31" s="34" t="s">
        <v>103</v>
      </c>
      <c r="K31" s="34"/>
      <c r="L31" s="34"/>
      <c r="M31" s="34"/>
      <c r="N31" s="34">
        <v>100</v>
      </c>
      <c r="O31" s="34" t="s">
        <v>160</v>
      </c>
      <c r="P31" s="34" t="s">
        <v>106</v>
      </c>
      <c r="Q31" s="34"/>
      <c r="R31" s="34" t="b">
        <v>1</v>
      </c>
      <c r="S31" s="34">
        <v>0</v>
      </c>
      <c r="T31" s="34">
        <v>0</v>
      </c>
      <c r="U31" s="34">
        <v>0</v>
      </c>
      <c r="V31" s="34" t="s">
        <v>594</v>
      </c>
      <c r="W31" s="34"/>
      <c r="X31" s="34">
        <v>1</v>
      </c>
      <c r="Y31" s="36" t="b">
        <v>0</v>
      </c>
      <c r="Z31" s="36"/>
      <c r="AA31" s="36"/>
      <c r="AB31" s="34"/>
      <c r="AC31" s="34"/>
      <c r="AD31" s="34" t="b">
        <v>1</v>
      </c>
      <c r="AE31" s="35" t="b">
        <v>1</v>
      </c>
    </row>
    <row r="32" spans="1:31" x14ac:dyDescent="0.3">
      <c r="A32" s="36" t="s">
        <v>342</v>
      </c>
      <c r="B32" s="36"/>
      <c r="C32" s="36"/>
      <c r="D32" s="36" t="s">
        <v>164</v>
      </c>
      <c r="E32" s="36" t="s">
        <v>343</v>
      </c>
      <c r="F32" s="36"/>
      <c r="G32" s="36"/>
      <c r="H32" s="36" t="str">
        <f t="shared" si="1"/>
        <v>Buff(118.Academy.01.atkup.buff)</v>
      </c>
      <c r="I32" s="36">
        <v>0</v>
      </c>
      <c r="J32" s="36" t="s">
        <v>103</v>
      </c>
      <c r="K32" s="36"/>
      <c r="L32" s="36"/>
      <c r="M32" s="36"/>
      <c r="N32" s="36">
        <v>100</v>
      </c>
      <c r="O32" s="36" t="s">
        <v>160</v>
      </c>
      <c r="P32" s="36" t="s">
        <v>106</v>
      </c>
      <c r="Q32" s="36"/>
      <c r="R32" s="36" t="b">
        <v>1</v>
      </c>
      <c r="S32" s="36">
        <v>0</v>
      </c>
      <c r="T32" s="36">
        <v>0</v>
      </c>
      <c r="U32" s="36">
        <v>0</v>
      </c>
      <c r="V32" s="36" t="s">
        <v>106</v>
      </c>
      <c r="W32" s="36"/>
      <c r="X32" s="36">
        <v>1</v>
      </c>
      <c r="Y32" s="36" t="b">
        <v>0</v>
      </c>
      <c r="Z32" s="36"/>
      <c r="AA32" s="36"/>
      <c r="AB32" s="36"/>
      <c r="AC32" s="36"/>
      <c r="AD32" s="36" t="b">
        <v>1</v>
      </c>
      <c r="AE32" s="37" t="b">
        <v>1</v>
      </c>
    </row>
    <row r="33" spans="1:31" x14ac:dyDescent="0.3">
      <c r="A33" s="36" t="s">
        <v>517</v>
      </c>
      <c r="B33" s="36"/>
      <c r="C33" s="36"/>
      <c r="D33" s="36" t="s">
        <v>164</v>
      </c>
      <c r="E33" s="36" t="s">
        <v>518</v>
      </c>
      <c r="F33" s="36"/>
      <c r="G33" s="36"/>
      <c r="H33" s="36" t="str">
        <f t="shared" si="1"/>
        <v>Buff(118.Academy.01.angelica.atkup.buff)</v>
      </c>
      <c r="I33" s="36">
        <v>0</v>
      </c>
      <c r="J33" s="36" t="s">
        <v>103</v>
      </c>
      <c r="K33" s="36"/>
      <c r="L33" s="36"/>
      <c r="M33" s="36"/>
      <c r="N33" s="36">
        <v>100</v>
      </c>
      <c r="O33" s="36" t="s">
        <v>160</v>
      </c>
      <c r="P33" s="36" t="s">
        <v>106</v>
      </c>
      <c r="Q33" s="36"/>
      <c r="R33" s="36" t="b">
        <v>1</v>
      </c>
      <c r="S33" s="36">
        <v>0</v>
      </c>
      <c r="T33" s="36">
        <v>0</v>
      </c>
      <c r="U33" s="36">
        <v>0</v>
      </c>
      <c r="V33" s="36" t="s">
        <v>106</v>
      </c>
      <c r="W33" s="36"/>
      <c r="X33" s="36">
        <v>1</v>
      </c>
      <c r="Y33" s="36" t="b">
        <v>0</v>
      </c>
      <c r="Z33" s="36"/>
      <c r="AA33" s="36"/>
      <c r="AB33" s="36"/>
      <c r="AC33" s="36"/>
      <c r="AD33" s="36" t="b">
        <v>1</v>
      </c>
      <c r="AE33" s="37" t="b">
        <v>1</v>
      </c>
    </row>
    <row r="34" spans="1:31" x14ac:dyDescent="0.3">
      <c r="A34" s="34" t="s">
        <v>348</v>
      </c>
      <c r="B34" s="34"/>
      <c r="C34" s="34"/>
      <c r="D34" s="34" t="s">
        <v>164</v>
      </c>
      <c r="E34" s="34" t="s">
        <v>349</v>
      </c>
      <c r="F34" s="34"/>
      <c r="G34" s="34"/>
      <c r="H34" s="34" t="str">
        <f t="shared" si="1"/>
        <v>Buff(119.Academy.01.barrier.buff)</v>
      </c>
      <c r="I34" s="34">
        <v>0</v>
      </c>
      <c r="J34" s="34" t="s">
        <v>103</v>
      </c>
      <c r="K34" s="34"/>
      <c r="L34" s="34"/>
      <c r="M34" s="34"/>
      <c r="N34" s="34">
        <v>100</v>
      </c>
      <c r="O34" s="34" t="s">
        <v>160</v>
      </c>
      <c r="P34" s="34" t="s">
        <v>106</v>
      </c>
      <c r="Q34" s="34"/>
      <c r="R34" s="34" t="b">
        <v>1</v>
      </c>
      <c r="S34" s="34">
        <v>0</v>
      </c>
      <c r="T34" s="34">
        <v>0</v>
      </c>
      <c r="U34" s="34">
        <v>0</v>
      </c>
      <c r="V34" s="34" t="s">
        <v>106</v>
      </c>
      <c r="W34" s="34"/>
      <c r="X34" s="34">
        <v>1</v>
      </c>
      <c r="Y34" s="34" t="b">
        <v>0</v>
      </c>
      <c r="Z34" s="34"/>
      <c r="AA34" s="34"/>
      <c r="AB34" s="34"/>
      <c r="AC34" s="34"/>
      <c r="AD34" s="34" t="b">
        <v>1</v>
      </c>
      <c r="AE34" s="35" t="b">
        <v>1</v>
      </c>
    </row>
    <row r="35" spans="1:31" x14ac:dyDescent="0.3">
      <c r="A35" s="34" t="s">
        <v>519</v>
      </c>
      <c r="B35" s="34"/>
      <c r="C35" s="34"/>
      <c r="D35" s="34" t="s">
        <v>164</v>
      </c>
      <c r="E35" s="34" t="s">
        <v>520</v>
      </c>
      <c r="F35" s="34"/>
      <c r="G35" s="34"/>
      <c r="H35" s="34" t="str">
        <f t="shared" si="1"/>
        <v>Buff(119.Academy.01.yuna.barrier.buff)</v>
      </c>
      <c r="I35" s="34">
        <v>0</v>
      </c>
      <c r="J35" s="34" t="s">
        <v>103</v>
      </c>
      <c r="K35" s="34"/>
      <c r="L35" s="34"/>
      <c r="M35" s="34"/>
      <c r="N35" s="34">
        <v>100</v>
      </c>
      <c r="O35" s="34" t="s">
        <v>160</v>
      </c>
      <c r="P35" s="34" t="s">
        <v>106</v>
      </c>
      <c r="Q35" s="34"/>
      <c r="R35" s="34" t="b">
        <v>1</v>
      </c>
      <c r="S35" s="34">
        <v>0</v>
      </c>
      <c r="T35" s="34">
        <v>0</v>
      </c>
      <c r="U35" s="34">
        <v>0</v>
      </c>
      <c r="V35" s="34" t="s">
        <v>106</v>
      </c>
      <c r="W35" s="34"/>
      <c r="X35" s="34">
        <v>1</v>
      </c>
      <c r="Y35" s="34" t="b">
        <v>0</v>
      </c>
      <c r="Z35" s="34"/>
      <c r="AA35" s="34"/>
      <c r="AB35" s="34"/>
      <c r="AC35" s="34"/>
      <c r="AD35" s="34" t="b">
        <v>1</v>
      </c>
      <c r="AE35" s="35" t="b">
        <v>1</v>
      </c>
    </row>
    <row r="36" spans="1:31" x14ac:dyDescent="0.3">
      <c r="A36" s="36" t="s">
        <v>354</v>
      </c>
      <c r="B36" s="36"/>
      <c r="C36" s="36"/>
      <c r="D36" s="36" t="s">
        <v>177</v>
      </c>
      <c r="E36" s="36" t="s">
        <v>163</v>
      </c>
      <c r="F36" s="36">
        <v>0</v>
      </c>
      <c r="G36" s="36">
        <v>10</v>
      </c>
      <c r="H36" s="36" t="str">
        <f t="shared" si="1"/>
        <v>Consume(None, 0, 10)</v>
      </c>
      <c r="I36" s="36">
        <v>0</v>
      </c>
      <c r="J36" s="36" t="s">
        <v>162</v>
      </c>
      <c r="K36" s="36"/>
      <c r="L36" s="36"/>
      <c r="M36" s="36"/>
      <c r="N36" s="36">
        <v>100</v>
      </c>
      <c r="O36" s="36" t="s">
        <v>105</v>
      </c>
      <c r="P36" s="36" t="s">
        <v>106</v>
      </c>
      <c r="Q36" s="36"/>
      <c r="R36" s="36" t="b">
        <v>1</v>
      </c>
      <c r="S36" s="36">
        <v>0</v>
      </c>
      <c r="T36" s="36">
        <v>0</v>
      </c>
      <c r="U36" s="36">
        <v>0</v>
      </c>
      <c r="V36" s="36" t="s">
        <v>106</v>
      </c>
      <c r="W36" s="36"/>
      <c r="X36" s="36">
        <v>1</v>
      </c>
      <c r="Y36" s="36" t="b">
        <v>0</v>
      </c>
      <c r="Z36" s="36"/>
      <c r="AA36" s="36"/>
      <c r="AB36" s="36"/>
      <c r="AC36" s="36"/>
      <c r="AD36" s="36" t="b">
        <v>1</v>
      </c>
      <c r="AE36" s="37" t="b">
        <v>1</v>
      </c>
    </row>
    <row r="37" spans="1:31" x14ac:dyDescent="0.3">
      <c r="A37" s="34" t="s">
        <v>359</v>
      </c>
      <c r="B37" s="34"/>
      <c r="C37" s="34"/>
      <c r="D37" s="34" t="s">
        <v>164</v>
      </c>
      <c r="E37" s="34" t="s">
        <v>360</v>
      </c>
      <c r="F37" s="34"/>
      <c r="G37" s="34"/>
      <c r="H37" s="34" t="str">
        <f t="shared" si="1"/>
        <v>Buff(121.Academy.01.linkfrom.buff)</v>
      </c>
      <c r="I37" s="34">
        <v>0</v>
      </c>
      <c r="J37" s="34" t="s">
        <v>543</v>
      </c>
      <c r="K37" s="34" t="s">
        <v>180</v>
      </c>
      <c r="L37" s="34"/>
      <c r="M37" s="34"/>
      <c r="N37" s="34">
        <v>100</v>
      </c>
      <c r="O37" s="34" t="s">
        <v>160</v>
      </c>
      <c r="P37" s="34" t="s">
        <v>106</v>
      </c>
      <c r="Q37" s="34"/>
      <c r="R37" s="34" t="b">
        <v>1</v>
      </c>
      <c r="S37" s="34">
        <v>0</v>
      </c>
      <c r="T37" s="34">
        <v>0</v>
      </c>
      <c r="U37" s="34">
        <v>0</v>
      </c>
      <c r="V37" s="34" t="s">
        <v>539</v>
      </c>
      <c r="W37" s="34"/>
      <c r="X37" s="34">
        <v>1</v>
      </c>
      <c r="Y37" s="34" t="b">
        <v>1</v>
      </c>
      <c r="Z37" s="34" t="s">
        <v>163</v>
      </c>
      <c r="AA37" s="34" t="s">
        <v>361</v>
      </c>
      <c r="AB37" s="34"/>
      <c r="AC37" s="34"/>
      <c r="AD37" s="34" t="b">
        <v>1</v>
      </c>
      <c r="AE37" s="35" t="b">
        <v>1</v>
      </c>
    </row>
    <row r="38" spans="1:31" x14ac:dyDescent="0.3">
      <c r="A38" s="34" t="s">
        <v>361</v>
      </c>
      <c r="B38" s="34"/>
      <c r="C38" s="34"/>
      <c r="D38" s="34" t="s">
        <v>164</v>
      </c>
      <c r="E38" s="34" t="s">
        <v>362</v>
      </c>
      <c r="F38" s="34"/>
      <c r="G38" s="34"/>
      <c r="H38" s="34" t="str">
        <f t="shared" si="1"/>
        <v>Buff(121.Academy.01.linkto.buff)</v>
      </c>
      <c r="I38" s="34">
        <v>0</v>
      </c>
      <c r="J38" s="34" t="s">
        <v>103</v>
      </c>
      <c r="K38" s="34"/>
      <c r="L38" s="34"/>
      <c r="M38" s="34"/>
      <c r="N38" s="34">
        <v>100</v>
      </c>
      <c r="O38" s="34" t="s">
        <v>160</v>
      </c>
      <c r="P38" s="34" t="s">
        <v>106</v>
      </c>
      <c r="Q38" s="34"/>
      <c r="R38" s="34" t="b">
        <v>1</v>
      </c>
      <c r="S38" s="34">
        <v>0</v>
      </c>
      <c r="T38" s="34">
        <v>0</v>
      </c>
      <c r="U38" s="34">
        <v>0</v>
      </c>
      <c r="V38" s="34" t="s">
        <v>106</v>
      </c>
      <c r="W38" s="34"/>
      <c r="X38" s="34">
        <v>1</v>
      </c>
      <c r="Y38" s="34" t="b">
        <v>0</v>
      </c>
      <c r="Z38" s="34"/>
      <c r="AA38" s="34"/>
      <c r="AB38" s="34"/>
      <c r="AC38" s="34"/>
      <c r="AD38" s="34" t="b">
        <v>1</v>
      </c>
      <c r="AE38" s="35" t="b">
        <v>1</v>
      </c>
    </row>
    <row r="39" spans="1:31" x14ac:dyDescent="0.3">
      <c r="A39" s="29" t="s">
        <v>367</v>
      </c>
      <c r="B39" s="29"/>
      <c r="C39" s="29"/>
      <c r="D39" s="29" t="s">
        <v>158</v>
      </c>
      <c r="E39" s="29" t="s">
        <v>163</v>
      </c>
      <c r="F39" s="29">
        <v>0</v>
      </c>
      <c r="G39" s="29">
        <v>25</v>
      </c>
      <c r="H39" s="29" t="str">
        <f t="shared" si="1"/>
        <v>Recharge(None, 0, 25)</v>
      </c>
      <c r="I39" s="29">
        <v>0</v>
      </c>
      <c r="J39" s="29" t="s">
        <v>103</v>
      </c>
      <c r="K39" s="29"/>
      <c r="L39" s="29"/>
      <c r="M39" s="29"/>
      <c r="N39" s="29">
        <v>100</v>
      </c>
      <c r="O39" s="29" t="s">
        <v>160</v>
      </c>
      <c r="P39" s="29" t="s">
        <v>106</v>
      </c>
      <c r="Q39" s="29"/>
      <c r="R39" s="29" t="b">
        <v>1</v>
      </c>
      <c r="S39" s="29">
        <v>0</v>
      </c>
      <c r="T39" s="29">
        <v>0</v>
      </c>
      <c r="U39" s="29">
        <v>0</v>
      </c>
      <c r="V39" s="29" t="s">
        <v>106</v>
      </c>
      <c r="W39" s="29"/>
      <c r="X39" s="29">
        <v>1</v>
      </c>
      <c r="Y39" s="29" t="b">
        <v>0</v>
      </c>
      <c r="Z39" s="29"/>
      <c r="AA39" s="29"/>
      <c r="AB39" s="29"/>
      <c r="AC39" s="29"/>
      <c r="AD39" s="29" t="b">
        <v>1</v>
      </c>
      <c r="AE39" s="31" t="b">
        <v>1</v>
      </c>
    </row>
    <row r="40" spans="1:31" x14ac:dyDescent="0.3">
      <c r="A40" s="32" t="s">
        <v>373</v>
      </c>
      <c r="B40" s="32"/>
      <c r="C40" s="32"/>
      <c r="D40" s="32" t="s">
        <v>161</v>
      </c>
      <c r="E40" s="32" t="s">
        <v>374</v>
      </c>
      <c r="F40" s="32"/>
      <c r="G40" s="32"/>
      <c r="H40" s="32" t="str">
        <f t="shared" si="1"/>
        <v>Debuff(123.Academy.01.ultderate.buff)</v>
      </c>
      <c r="I40" s="32">
        <v>0</v>
      </c>
      <c r="J40" s="32" t="s">
        <v>162</v>
      </c>
      <c r="K40" s="32"/>
      <c r="L40" s="32"/>
      <c r="M40" s="32"/>
      <c r="N40" s="32">
        <v>100</v>
      </c>
      <c r="O40" s="32" t="s">
        <v>105</v>
      </c>
      <c r="P40" s="32" t="s">
        <v>106</v>
      </c>
      <c r="Q40" s="32"/>
      <c r="R40" s="32" t="b">
        <v>1</v>
      </c>
      <c r="S40" s="32">
        <v>0</v>
      </c>
      <c r="T40" s="32">
        <v>0</v>
      </c>
      <c r="U40" s="32">
        <v>0</v>
      </c>
      <c r="V40" s="32" t="s">
        <v>106</v>
      </c>
      <c r="W40" s="32"/>
      <c r="X40" s="32">
        <v>1</v>
      </c>
      <c r="Y40" s="32" t="b">
        <v>0</v>
      </c>
      <c r="Z40" s="32"/>
      <c r="AA40" s="32"/>
      <c r="AB40" s="32"/>
      <c r="AC40" s="32"/>
      <c r="AD40" s="32" t="b">
        <v>1</v>
      </c>
      <c r="AE40" s="33" t="b">
        <v>1</v>
      </c>
    </row>
    <row r="41" spans="1:31" x14ac:dyDescent="0.3">
      <c r="A41" s="32" t="s">
        <v>380</v>
      </c>
      <c r="B41" s="32"/>
      <c r="C41" s="32"/>
      <c r="D41" s="32" t="s">
        <v>161</v>
      </c>
      <c r="E41" s="32" t="s">
        <v>381</v>
      </c>
      <c r="F41" s="32"/>
      <c r="G41" s="32"/>
      <c r="H41" s="32" t="str">
        <f t="shared" si="1"/>
        <v>Debuff(125.Academy.01.poison.buff)</v>
      </c>
      <c r="I41" s="32">
        <v>0</v>
      </c>
      <c r="J41" s="32" t="s">
        <v>162</v>
      </c>
      <c r="K41" s="32"/>
      <c r="L41" s="32"/>
      <c r="M41" s="32"/>
      <c r="N41" s="32">
        <v>8</v>
      </c>
      <c r="O41" s="32" t="s">
        <v>105</v>
      </c>
      <c r="P41" s="32" t="s">
        <v>106</v>
      </c>
      <c r="Q41" s="32"/>
      <c r="R41" s="32" t="b">
        <v>1</v>
      </c>
      <c r="S41" s="32">
        <v>0</v>
      </c>
      <c r="T41" s="32">
        <v>0</v>
      </c>
      <c r="U41" s="32">
        <v>0</v>
      </c>
      <c r="V41" s="32" t="s">
        <v>106</v>
      </c>
      <c r="W41" s="32"/>
      <c r="X41" s="32">
        <v>1</v>
      </c>
      <c r="Y41" s="32" t="b">
        <v>0</v>
      </c>
      <c r="Z41" s="32"/>
      <c r="AA41" s="32"/>
      <c r="AB41" s="32"/>
      <c r="AC41" s="32"/>
      <c r="AD41" s="32" t="b">
        <v>1</v>
      </c>
      <c r="AE41" s="33" t="b">
        <v>1</v>
      </c>
    </row>
    <row r="42" spans="1:31" x14ac:dyDescent="0.3">
      <c r="A42" s="34" t="s">
        <v>386</v>
      </c>
      <c r="B42" s="34"/>
      <c r="C42" s="34"/>
      <c r="D42" s="34" t="s">
        <v>164</v>
      </c>
      <c r="E42" s="34" t="s">
        <v>387</v>
      </c>
      <c r="F42" s="34"/>
      <c r="G42" s="34"/>
      <c r="H42" s="34" t="str">
        <f t="shared" si="1"/>
        <v>Buff(126.Academy.01.barrier.buff)</v>
      </c>
      <c r="I42" s="34">
        <v>0</v>
      </c>
      <c r="J42" s="34" t="s">
        <v>103</v>
      </c>
      <c r="K42" s="34"/>
      <c r="L42" s="34"/>
      <c r="M42" s="34"/>
      <c r="N42" s="34">
        <v>100</v>
      </c>
      <c r="O42" s="34" t="s">
        <v>160</v>
      </c>
      <c r="P42" s="34" t="s">
        <v>106</v>
      </c>
      <c r="Q42" s="34"/>
      <c r="R42" s="34" t="b">
        <v>1</v>
      </c>
      <c r="S42" s="34">
        <v>0</v>
      </c>
      <c r="T42" s="34">
        <v>0</v>
      </c>
      <c r="U42" s="34">
        <v>0</v>
      </c>
      <c r="V42" s="34" t="s">
        <v>106</v>
      </c>
      <c r="W42" s="34"/>
      <c r="X42" s="34">
        <v>1</v>
      </c>
      <c r="Y42" s="34" t="b">
        <v>0</v>
      </c>
      <c r="Z42" s="34"/>
      <c r="AA42" s="34"/>
      <c r="AB42" s="34"/>
      <c r="AC42" s="34"/>
      <c r="AD42" s="34" t="b">
        <v>1</v>
      </c>
      <c r="AE42" s="35" t="b">
        <v>1</v>
      </c>
    </row>
    <row r="43" spans="1:31" x14ac:dyDescent="0.3">
      <c r="A43" s="32" t="s">
        <v>392</v>
      </c>
      <c r="B43" s="32"/>
      <c r="C43" s="32"/>
      <c r="D43" s="32" t="s">
        <v>161</v>
      </c>
      <c r="E43" s="32" t="s">
        <v>393</v>
      </c>
      <c r="F43" s="32"/>
      <c r="G43" s="32"/>
      <c r="H43" s="32" t="str">
        <f t="shared" si="1"/>
        <v>Debuff(127.Academy.01.stun.buff)</v>
      </c>
      <c r="I43" s="32">
        <v>0</v>
      </c>
      <c r="J43" s="32" t="s">
        <v>162</v>
      </c>
      <c r="K43" s="32"/>
      <c r="L43" s="32"/>
      <c r="M43" s="32"/>
      <c r="N43" s="32">
        <v>2</v>
      </c>
      <c r="O43" s="32" t="s">
        <v>105</v>
      </c>
      <c r="P43" s="32" t="s">
        <v>106</v>
      </c>
      <c r="Q43" s="32"/>
      <c r="R43" s="32" t="b">
        <v>1</v>
      </c>
      <c r="S43" s="32">
        <v>0</v>
      </c>
      <c r="T43" s="32">
        <v>0</v>
      </c>
      <c r="U43" s="32">
        <v>0</v>
      </c>
      <c r="V43" s="32" t="s">
        <v>106</v>
      </c>
      <c r="W43" s="32"/>
      <c r="X43" s="32">
        <v>1</v>
      </c>
      <c r="Y43" s="32" t="b">
        <v>0</v>
      </c>
      <c r="Z43" s="32"/>
      <c r="AA43" s="32"/>
      <c r="AB43" s="32"/>
      <c r="AC43" s="32"/>
      <c r="AD43" s="32" t="b">
        <v>1</v>
      </c>
      <c r="AE43" s="33" t="b">
        <v>1</v>
      </c>
    </row>
    <row r="44" spans="1:31" x14ac:dyDescent="0.3">
      <c r="A44" s="29" t="s">
        <v>398</v>
      </c>
      <c r="B44" s="29"/>
      <c r="C44" s="29"/>
      <c r="D44" s="29" t="s">
        <v>161</v>
      </c>
      <c r="E44" s="29" t="s">
        <v>474</v>
      </c>
      <c r="F44" s="29"/>
      <c r="G44" s="29"/>
      <c r="H44" s="29" t="str">
        <f t="shared" si="1"/>
        <v>Debuff(128.Academy.01.frostbite.buff)</v>
      </c>
      <c r="I44" s="29">
        <v>0</v>
      </c>
      <c r="J44" s="29" t="s">
        <v>162</v>
      </c>
      <c r="K44" s="29"/>
      <c r="L44" s="29"/>
      <c r="M44" s="29"/>
      <c r="N44" s="29">
        <v>10</v>
      </c>
      <c r="O44" s="29" t="s">
        <v>105</v>
      </c>
      <c r="P44" s="29" t="s">
        <v>106</v>
      </c>
      <c r="Q44" s="29"/>
      <c r="R44" s="29" t="b">
        <v>1</v>
      </c>
      <c r="S44" s="29">
        <v>0</v>
      </c>
      <c r="T44" s="29">
        <v>0</v>
      </c>
      <c r="U44" s="29">
        <v>0</v>
      </c>
      <c r="V44" s="29" t="s">
        <v>106</v>
      </c>
      <c r="W44" s="29"/>
      <c r="X44" s="29">
        <v>1</v>
      </c>
      <c r="Y44" s="29" t="b">
        <v>0</v>
      </c>
      <c r="Z44" s="29"/>
      <c r="AA44" s="29"/>
      <c r="AB44" s="29"/>
      <c r="AC44" s="29"/>
      <c r="AD44" s="29" t="b">
        <v>1</v>
      </c>
      <c r="AE44" s="31" t="b">
        <v>1</v>
      </c>
    </row>
    <row r="45" spans="1:31" x14ac:dyDescent="0.3">
      <c r="A45" s="29" t="s">
        <v>531</v>
      </c>
      <c r="B45" s="29"/>
      <c r="C45" s="29"/>
      <c r="D45" s="29" t="s">
        <v>161</v>
      </c>
      <c r="E45" s="29" t="s">
        <v>534</v>
      </c>
      <c r="F45" s="29"/>
      <c r="G45" s="29"/>
      <c r="H45" s="29" t="str">
        <f t="shared" si="1"/>
        <v>Debuff(128.Academy.01.patricia.frostbite.buff)</v>
      </c>
      <c r="I45" s="29">
        <v>0</v>
      </c>
      <c r="J45" s="29" t="s">
        <v>162</v>
      </c>
      <c r="K45" s="29"/>
      <c r="L45" s="29"/>
      <c r="M45" s="29"/>
      <c r="N45" s="29">
        <v>15</v>
      </c>
      <c r="O45" s="29" t="s">
        <v>105</v>
      </c>
      <c r="P45" s="29" t="s">
        <v>106</v>
      </c>
      <c r="Q45" s="29"/>
      <c r="R45" s="29" t="b">
        <v>1</v>
      </c>
      <c r="S45" s="29">
        <v>0</v>
      </c>
      <c r="T45" s="29">
        <v>0</v>
      </c>
      <c r="U45" s="29">
        <v>0</v>
      </c>
      <c r="V45" s="29" t="s">
        <v>106</v>
      </c>
      <c r="W45" s="29"/>
      <c r="X45" s="29">
        <v>1</v>
      </c>
      <c r="Y45" s="29" t="b">
        <v>0</v>
      </c>
      <c r="Z45" s="29"/>
      <c r="AA45" s="29"/>
      <c r="AB45" s="29"/>
      <c r="AC45" s="29"/>
      <c r="AD45" s="29" t="b">
        <v>1</v>
      </c>
      <c r="AE45" s="31" t="b">
        <v>1</v>
      </c>
    </row>
    <row r="46" spans="1:31" x14ac:dyDescent="0.3">
      <c r="A46" s="32" t="s">
        <v>403</v>
      </c>
      <c r="B46" s="32"/>
      <c r="C46" s="32"/>
      <c r="D46" s="32" t="s">
        <v>161</v>
      </c>
      <c r="E46" s="32" t="s">
        <v>404</v>
      </c>
      <c r="F46" s="32"/>
      <c r="G46" s="32"/>
      <c r="H46" s="32" t="str">
        <f t="shared" si="1"/>
        <v>Debuff(129.Academy.01.stun.buff)</v>
      </c>
      <c r="I46" s="32">
        <v>0</v>
      </c>
      <c r="J46" s="32" t="s">
        <v>162</v>
      </c>
      <c r="K46" s="32"/>
      <c r="L46" s="32"/>
      <c r="M46" s="32"/>
      <c r="N46" s="32">
        <v>3</v>
      </c>
      <c r="O46" s="32" t="s">
        <v>105</v>
      </c>
      <c r="P46" s="32" t="s">
        <v>106</v>
      </c>
      <c r="Q46" s="32"/>
      <c r="R46" s="32" t="b">
        <v>1</v>
      </c>
      <c r="S46" s="32">
        <v>0</v>
      </c>
      <c r="T46" s="32">
        <v>0</v>
      </c>
      <c r="U46" s="32">
        <v>0</v>
      </c>
      <c r="V46" s="32" t="s">
        <v>106</v>
      </c>
      <c r="W46" s="32"/>
      <c r="X46" s="32">
        <v>1</v>
      </c>
      <c r="Y46" s="32" t="b">
        <v>0</v>
      </c>
      <c r="Z46" s="32"/>
      <c r="AA46" s="32"/>
      <c r="AB46" s="32"/>
      <c r="AC46" s="32"/>
      <c r="AD46" s="32" t="b">
        <v>1</v>
      </c>
      <c r="AE46" s="33" t="b">
        <v>1</v>
      </c>
    </row>
    <row r="47" spans="1:31" x14ac:dyDescent="0.3">
      <c r="A47" s="29" t="s">
        <v>409</v>
      </c>
      <c r="B47" s="29"/>
      <c r="C47" s="29"/>
      <c r="D47" s="29" t="s">
        <v>158</v>
      </c>
      <c r="E47" s="29" t="s">
        <v>163</v>
      </c>
      <c r="F47" s="29">
        <v>0</v>
      </c>
      <c r="G47" s="29">
        <v>40</v>
      </c>
      <c r="H47" s="29" t="str">
        <f t="shared" si="1"/>
        <v>Recharge(None, 0, 40)</v>
      </c>
      <c r="I47" s="29">
        <v>0</v>
      </c>
      <c r="J47" s="29" t="s">
        <v>165</v>
      </c>
      <c r="K47" s="29" t="s">
        <v>181</v>
      </c>
      <c r="L47" s="29"/>
      <c r="M47" s="29"/>
      <c r="N47" s="29">
        <v>100</v>
      </c>
      <c r="O47" s="29" t="s">
        <v>160</v>
      </c>
      <c r="P47" s="29" t="s">
        <v>106</v>
      </c>
      <c r="Q47" s="29"/>
      <c r="R47" s="29" t="b">
        <v>1</v>
      </c>
      <c r="S47" s="29">
        <v>0</v>
      </c>
      <c r="T47" s="29">
        <v>0</v>
      </c>
      <c r="U47" s="29">
        <v>0</v>
      </c>
      <c r="V47" s="29" t="s">
        <v>170</v>
      </c>
      <c r="W47" s="29"/>
      <c r="X47" s="29">
        <v>1</v>
      </c>
      <c r="Y47" s="29" t="b">
        <v>0</v>
      </c>
      <c r="Z47" s="29"/>
      <c r="AA47" s="29"/>
      <c r="AB47" s="29"/>
      <c r="AC47" s="29"/>
      <c r="AD47" s="29" t="b">
        <v>1</v>
      </c>
      <c r="AE47" s="31" t="b">
        <v>1</v>
      </c>
    </row>
    <row r="48" spans="1:31" x14ac:dyDescent="0.3">
      <c r="A48" s="29" t="s">
        <v>530</v>
      </c>
      <c r="B48" s="29"/>
      <c r="C48" s="29"/>
      <c r="D48" s="29" t="s">
        <v>158</v>
      </c>
      <c r="E48" s="29" t="s">
        <v>163</v>
      </c>
      <c r="F48" s="29">
        <v>0</v>
      </c>
      <c r="G48" s="29">
        <v>60</v>
      </c>
      <c r="H48" s="29" t="str">
        <f t="shared" si="1"/>
        <v>Recharge(None, 0, 60)</v>
      </c>
      <c r="I48" s="29">
        <v>0</v>
      </c>
      <c r="J48" s="29" t="s">
        <v>165</v>
      </c>
      <c r="K48" s="29" t="s">
        <v>181</v>
      </c>
      <c r="L48" s="29"/>
      <c r="M48" s="29"/>
      <c r="N48" s="29">
        <v>100</v>
      </c>
      <c r="O48" s="29" t="s">
        <v>160</v>
      </c>
      <c r="P48" s="29" t="s">
        <v>106</v>
      </c>
      <c r="Q48" s="29"/>
      <c r="R48" s="29" t="b">
        <v>1</v>
      </c>
      <c r="S48" s="29">
        <v>0</v>
      </c>
      <c r="T48" s="29">
        <v>0</v>
      </c>
      <c r="U48" s="29">
        <v>0</v>
      </c>
      <c r="V48" s="29" t="s">
        <v>170</v>
      </c>
      <c r="W48" s="29"/>
      <c r="X48" s="29">
        <v>1</v>
      </c>
      <c r="Y48" s="29" t="b">
        <v>0</v>
      </c>
      <c r="Z48" s="29"/>
      <c r="AA48" s="29"/>
      <c r="AB48" s="29"/>
      <c r="AC48" s="29"/>
      <c r="AD48" s="29" t="b">
        <v>1</v>
      </c>
      <c r="AE48" s="31" t="b">
        <v>1</v>
      </c>
    </row>
    <row r="49" spans="1:31" x14ac:dyDescent="0.3">
      <c r="A49" s="32" t="s">
        <v>422</v>
      </c>
      <c r="B49" s="32"/>
      <c r="C49" s="32"/>
      <c r="D49" s="32" t="s">
        <v>182</v>
      </c>
      <c r="E49" s="32" t="s">
        <v>163</v>
      </c>
      <c r="F49" s="32">
        <v>1</v>
      </c>
      <c r="G49" s="32"/>
      <c r="H49" s="32" t="str">
        <f t="shared" si="1"/>
        <v>RemoveBuffEffectType(None, 1)</v>
      </c>
      <c r="I49" s="32">
        <v>0</v>
      </c>
      <c r="J49" s="32" t="s">
        <v>162</v>
      </c>
      <c r="K49" s="32"/>
      <c r="L49" s="32"/>
      <c r="M49" s="32"/>
      <c r="N49" s="32">
        <v>15</v>
      </c>
      <c r="O49" s="32" t="s">
        <v>105</v>
      </c>
      <c r="P49" s="32" t="s">
        <v>106</v>
      </c>
      <c r="Q49" s="32"/>
      <c r="R49" s="32" t="b">
        <v>1</v>
      </c>
      <c r="S49" s="32">
        <v>0</v>
      </c>
      <c r="T49" s="32">
        <v>0</v>
      </c>
      <c r="U49" s="32">
        <v>0</v>
      </c>
      <c r="V49" s="32" t="s">
        <v>106</v>
      </c>
      <c r="W49" s="32"/>
      <c r="X49" s="32">
        <v>1</v>
      </c>
      <c r="Y49" s="32" t="b">
        <v>0</v>
      </c>
      <c r="Z49" s="32"/>
      <c r="AA49" s="32"/>
      <c r="AB49" s="32"/>
      <c r="AC49" s="32"/>
      <c r="AD49" s="32" t="b">
        <v>1</v>
      </c>
      <c r="AE49" s="33" t="b">
        <v>1</v>
      </c>
    </row>
    <row r="50" spans="1:31" x14ac:dyDescent="0.3">
      <c r="A50" s="29" t="s">
        <v>427</v>
      </c>
      <c r="B50" s="29"/>
      <c r="C50" s="29"/>
      <c r="D50" s="29" t="s">
        <v>161</v>
      </c>
      <c r="E50" s="29" t="s">
        <v>428</v>
      </c>
      <c r="F50" s="29"/>
      <c r="G50" s="29"/>
      <c r="H50" s="29" t="str">
        <f t="shared" si="1"/>
        <v>Debuff(134.Academy.01.shock.buff)</v>
      </c>
      <c r="I50" s="29">
        <v>0</v>
      </c>
      <c r="J50" s="29" t="s">
        <v>162</v>
      </c>
      <c r="K50" s="29"/>
      <c r="L50" s="29"/>
      <c r="M50" s="29"/>
      <c r="N50" s="29">
        <v>3</v>
      </c>
      <c r="O50" s="29" t="s">
        <v>105</v>
      </c>
      <c r="P50" s="29" t="s">
        <v>106</v>
      </c>
      <c r="Q50" s="29"/>
      <c r="R50" s="29" t="b">
        <v>1</v>
      </c>
      <c r="S50" s="29">
        <v>0</v>
      </c>
      <c r="T50" s="29">
        <v>0</v>
      </c>
      <c r="U50" s="29">
        <v>0</v>
      </c>
      <c r="V50" s="29" t="s">
        <v>106</v>
      </c>
      <c r="W50" s="29"/>
      <c r="X50" s="29">
        <v>1</v>
      </c>
      <c r="Y50" s="29" t="b">
        <v>0</v>
      </c>
      <c r="Z50" s="29"/>
      <c r="AA50" s="29"/>
      <c r="AB50" s="29"/>
      <c r="AC50" s="29"/>
      <c r="AD50" s="29" t="b">
        <v>1</v>
      </c>
      <c r="AE50" s="31" t="b">
        <v>1</v>
      </c>
    </row>
    <row r="51" spans="1:31" x14ac:dyDescent="0.3">
      <c r="A51" s="32" t="s">
        <v>433</v>
      </c>
      <c r="B51" s="32"/>
      <c r="C51" s="32"/>
      <c r="D51" s="32" t="s">
        <v>183</v>
      </c>
      <c r="E51" s="32" t="s">
        <v>159</v>
      </c>
      <c r="F51" s="32">
        <v>350</v>
      </c>
      <c r="G51" s="32"/>
      <c r="H51" s="32" t="str">
        <f t="shared" si="1"/>
        <v>Damage(Attack, 350)</v>
      </c>
      <c r="I51" s="32">
        <v>0</v>
      </c>
      <c r="J51" s="32" t="s">
        <v>162</v>
      </c>
      <c r="K51" s="32"/>
      <c r="L51" s="32" t="s">
        <v>166</v>
      </c>
      <c r="M51" s="32">
        <v>-20</v>
      </c>
      <c r="N51" s="32">
        <v>100</v>
      </c>
      <c r="O51" s="32" t="s">
        <v>105</v>
      </c>
      <c r="P51" s="32" t="s">
        <v>106</v>
      </c>
      <c r="Q51" s="32"/>
      <c r="R51" s="32" t="b">
        <v>1</v>
      </c>
      <c r="S51" s="32">
        <v>0</v>
      </c>
      <c r="T51" s="32">
        <v>0</v>
      </c>
      <c r="U51" s="32">
        <v>0</v>
      </c>
      <c r="V51" s="32" t="s">
        <v>106</v>
      </c>
      <c r="W51" s="32"/>
      <c r="X51" s="32">
        <v>1</v>
      </c>
      <c r="Y51" s="32" t="b">
        <v>0</v>
      </c>
      <c r="Z51" s="32"/>
      <c r="AA51" s="32"/>
      <c r="AB51" s="32"/>
      <c r="AC51" s="32"/>
      <c r="AD51" s="32" t="b">
        <v>1</v>
      </c>
      <c r="AE51" s="33" t="b">
        <v>1</v>
      </c>
    </row>
    <row r="52" spans="1:31" x14ac:dyDescent="0.3">
      <c r="A52" s="32" t="s">
        <v>527</v>
      </c>
      <c r="B52" s="32"/>
      <c r="C52" s="32"/>
      <c r="D52" s="32" t="s">
        <v>183</v>
      </c>
      <c r="E52" s="32" t="s">
        <v>159</v>
      </c>
      <c r="F52" s="32">
        <v>500</v>
      </c>
      <c r="G52" s="32"/>
      <c r="H52" s="32" t="str">
        <f t="shared" si="1"/>
        <v>Damage(Attack, 500)</v>
      </c>
      <c r="I52" s="32">
        <v>0</v>
      </c>
      <c r="J52" s="32" t="s">
        <v>162</v>
      </c>
      <c r="K52" s="32"/>
      <c r="L52" s="32" t="s">
        <v>166</v>
      </c>
      <c r="M52" s="32">
        <v>-20</v>
      </c>
      <c r="N52" s="32">
        <v>100</v>
      </c>
      <c r="O52" s="32" t="s">
        <v>105</v>
      </c>
      <c r="P52" s="32" t="s">
        <v>106</v>
      </c>
      <c r="Q52" s="32"/>
      <c r="R52" s="32" t="b">
        <v>1</v>
      </c>
      <c r="S52" s="32">
        <v>0</v>
      </c>
      <c r="T52" s="32">
        <v>0</v>
      </c>
      <c r="U52" s="32">
        <v>0</v>
      </c>
      <c r="V52" s="32" t="s">
        <v>106</v>
      </c>
      <c r="W52" s="32"/>
      <c r="X52" s="32">
        <v>1</v>
      </c>
      <c r="Y52" s="32" t="b">
        <v>0</v>
      </c>
      <c r="Z52" s="32"/>
      <c r="AA52" s="32"/>
      <c r="AB52" s="32"/>
      <c r="AC52" s="32"/>
      <c r="AD52" s="32" t="b">
        <v>1</v>
      </c>
      <c r="AE52" s="33" t="b">
        <v>1</v>
      </c>
    </row>
    <row r="53" spans="1:31" ht="66" customHeight="1" x14ac:dyDescent="0.3">
      <c r="A53" s="29" t="s">
        <v>442</v>
      </c>
      <c r="B53" s="29"/>
      <c r="C53" s="29"/>
      <c r="D53" s="29" t="s">
        <v>163</v>
      </c>
      <c r="E53" s="29"/>
      <c r="F53" s="29"/>
      <c r="G53" s="29"/>
      <c r="H53" s="29" t="str">
        <f t="shared" si="1"/>
        <v>None()</v>
      </c>
      <c r="I53" s="29">
        <v>0</v>
      </c>
      <c r="J53" s="29" t="s">
        <v>103</v>
      </c>
      <c r="K53" s="29"/>
      <c r="L53" s="29"/>
      <c r="M53" s="29"/>
      <c r="N53" s="29">
        <v>100</v>
      </c>
      <c r="O53" s="29" t="s">
        <v>105</v>
      </c>
      <c r="P53" s="29" t="s">
        <v>106</v>
      </c>
      <c r="Q53" s="29"/>
      <c r="R53" s="29" t="b">
        <v>1</v>
      </c>
      <c r="S53" s="29">
        <v>0</v>
      </c>
      <c r="T53" s="29">
        <v>0</v>
      </c>
      <c r="U53" s="29">
        <v>0</v>
      </c>
      <c r="V53" s="29" t="s">
        <v>106</v>
      </c>
      <c r="W53" s="29"/>
      <c r="X53" s="29">
        <v>1</v>
      </c>
      <c r="Y53" s="29" t="b">
        <v>1</v>
      </c>
      <c r="Z53" s="29" t="s">
        <v>163</v>
      </c>
      <c r="AA53" s="40" t="s">
        <v>473</v>
      </c>
      <c r="AB53" s="29"/>
      <c r="AC53" s="29"/>
      <c r="AD53" s="29" t="b">
        <v>1</v>
      </c>
      <c r="AE53" s="31" t="b">
        <v>1</v>
      </c>
    </row>
    <row r="54" spans="1:31" x14ac:dyDescent="0.3">
      <c r="A54" s="29" t="s">
        <v>443</v>
      </c>
      <c r="B54" s="29" t="s">
        <v>164</v>
      </c>
      <c r="C54" s="29" t="s">
        <v>439</v>
      </c>
      <c r="D54" s="29" t="s">
        <v>158</v>
      </c>
      <c r="E54" s="29" t="s">
        <v>163</v>
      </c>
      <c r="F54" s="29">
        <v>0</v>
      </c>
      <c r="G54" s="29">
        <v>80</v>
      </c>
      <c r="H54" s="29" t="str">
        <f t="shared" si="1"/>
        <v>Recharge(None, 0, 80)</v>
      </c>
      <c r="I54" s="29">
        <v>0</v>
      </c>
      <c r="J54" s="29" t="s">
        <v>103</v>
      </c>
      <c r="K54" s="29"/>
      <c r="L54" s="29"/>
      <c r="M54" s="29"/>
      <c r="N54" s="29">
        <v>100</v>
      </c>
      <c r="O54" s="29" t="s">
        <v>160</v>
      </c>
      <c r="P54" s="29" t="s">
        <v>106</v>
      </c>
      <c r="Q54" s="29"/>
      <c r="R54" s="29" t="b">
        <v>1</v>
      </c>
      <c r="S54" s="29">
        <v>0</v>
      </c>
      <c r="T54" s="29">
        <v>0</v>
      </c>
      <c r="U54" s="29">
        <v>0</v>
      </c>
      <c r="V54" s="29" t="s">
        <v>106</v>
      </c>
      <c r="W54" s="29"/>
      <c r="X54" s="29">
        <v>1</v>
      </c>
      <c r="Y54" s="29" t="b">
        <v>0</v>
      </c>
      <c r="Z54" s="29"/>
      <c r="AA54" s="29"/>
      <c r="AB54" s="29"/>
      <c r="AC54" s="29"/>
      <c r="AD54" s="29" t="b">
        <v>1</v>
      </c>
      <c r="AE54" s="31" t="b">
        <v>1</v>
      </c>
    </row>
    <row r="55" spans="1:31" x14ac:dyDescent="0.3">
      <c r="A55" s="34" t="s">
        <v>542</v>
      </c>
      <c r="B55" s="34"/>
      <c r="C55" s="34"/>
      <c r="D55" s="34" t="s">
        <v>158</v>
      </c>
      <c r="E55" s="34" t="s">
        <v>163</v>
      </c>
      <c r="F55" s="34">
        <v>0</v>
      </c>
      <c r="G55" s="34">
        <v>100</v>
      </c>
      <c r="H55" s="34" t="str">
        <f t="shared" si="1"/>
        <v>Recharge(None, 0, 100)</v>
      </c>
      <c r="I55" s="34">
        <v>0</v>
      </c>
      <c r="J55" s="34" t="s">
        <v>165</v>
      </c>
      <c r="K55" s="34" t="s">
        <v>181</v>
      </c>
      <c r="L55" s="34"/>
      <c r="M55" s="34"/>
      <c r="N55" s="34">
        <v>100</v>
      </c>
      <c r="O55" s="34" t="s">
        <v>160</v>
      </c>
      <c r="P55" s="34" t="s">
        <v>106</v>
      </c>
      <c r="Q55" s="34"/>
      <c r="R55" s="34" t="b">
        <v>1</v>
      </c>
      <c r="S55" s="34">
        <v>0</v>
      </c>
      <c r="T55" s="34">
        <v>0</v>
      </c>
      <c r="U55" s="34">
        <v>0</v>
      </c>
      <c r="V55" s="34" t="s">
        <v>170</v>
      </c>
      <c r="W55" s="34"/>
      <c r="X55" s="34">
        <v>1</v>
      </c>
      <c r="Y55" s="34" t="b">
        <v>0</v>
      </c>
      <c r="Z55" s="34"/>
      <c r="AA55" s="34"/>
      <c r="AB55" s="34"/>
      <c r="AC55" s="34"/>
      <c r="AD55" s="34" t="b">
        <v>1</v>
      </c>
      <c r="AE55" s="35" t="b">
        <v>1</v>
      </c>
    </row>
    <row r="56" spans="1:31" x14ac:dyDescent="0.3">
      <c r="A56" s="36" t="s">
        <v>463</v>
      </c>
      <c r="B56" s="36"/>
      <c r="C56" s="36"/>
      <c r="D56" s="36" t="s">
        <v>164</v>
      </c>
      <c r="E56" s="36" t="s">
        <v>464</v>
      </c>
      <c r="F56" s="36"/>
      <c r="G56" s="36"/>
      <c r="H56" s="36" t="str">
        <f t="shared" si="1"/>
        <v>Buff(140.Academy.01.defup.buff&amp;140.Academy.01.invincible.buff)</v>
      </c>
      <c r="I56" s="36">
        <v>0</v>
      </c>
      <c r="J56" s="36" t="s">
        <v>165</v>
      </c>
      <c r="K56" s="36" t="s">
        <v>180</v>
      </c>
      <c r="L56" s="36"/>
      <c r="M56" s="36"/>
      <c r="N56" s="36">
        <v>100</v>
      </c>
      <c r="O56" s="36" t="s">
        <v>160</v>
      </c>
      <c r="P56" s="36" t="s">
        <v>106</v>
      </c>
      <c r="Q56" s="36"/>
      <c r="R56" s="36" t="b">
        <v>1</v>
      </c>
      <c r="S56" s="36">
        <v>0</v>
      </c>
      <c r="T56" s="36">
        <v>0</v>
      </c>
      <c r="U56" s="36">
        <v>0</v>
      </c>
      <c r="V56" s="36" t="s">
        <v>170</v>
      </c>
      <c r="W56" s="36"/>
      <c r="X56" s="36">
        <v>1</v>
      </c>
      <c r="Y56" s="36" t="b">
        <v>0</v>
      </c>
      <c r="Z56" s="36"/>
      <c r="AA56" s="36"/>
      <c r="AB56" s="36"/>
      <c r="AC56" s="36"/>
      <c r="AD56" s="36" t="b">
        <v>1</v>
      </c>
      <c r="AE56" s="37" t="b">
        <v>1</v>
      </c>
    </row>
    <row r="57" spans="1:31" x14ac:dyDescent="0.3">
      <c r="A57" s="36" t="s">
        <v>469</v>
      </c>
      <c r="B57" s="36"/>
      <c r="C57" s="36"/>
      <c r="D57" s="36" t="s">
        <v>164</v>
      </c>
      <c r="E57" s="36" t="s">
        <v>535</v>
      </c>
      <c r="F57" s="36"/>
      <c r="G57" s="36"/>
      <c r="H57" s="36" t="str">
        <f t="shared" si="1"/>
        <v>Buff(142.Academy.01.atkspd.buff&amp;142.Academy.01.dmgup.buff)</v>
      </c>
      <c r="I57" s="36">
        <v>0</v>
      </c>
      <c r="J57" s="36" t="s">
        <v>165</v>
      </c>
      <c r="K57" s="36" t="s">
        <v>179</v>
      </c>
      <c r="L57" s="36"/>
      <c r="M57" s="36"/>
      <c r="N57" s="36">
        <v>100</v>
      </c>
      <c r="O57" s="36" t="s">
        <v>160</v>
      </c>
      <c r="P57" s="36" t="s">
        <v>106</v>
      </c>
      <c r="Q57" s="36"/>
      <c r="R57" s="36" t="b">
        <v>1</v>
      </c>
      <c r="S57" s="36">
        <v>0</v>
      </c>
      <c r="T57" s="36">
        <v>0</v>
      </c>
      <c r="U57" s="36">
        <v>0</v>
      </c>
      <c r="V57" s="36" t="s">
        <v>170</v>
      </c>
      <c r="W57" s="36"/>
      <c r="X57" s="36">
        <v>1</v>
      </c>
      <c r="Y57" s="36" t="b">
        <v>0</v>
      </c>
      <c r="Z57" s="36"/>
      <c r="AA57" s="36"/>
      <c r="AB57" s="36"/>
      <c r="AC57" s="36"/>
      <c r="AD57" s="36" t="b">
        <v>1</v>
      </c>
      <c r="AE57" s="37" t="b">
        <v>1</v>
      </c>
    </row>
    <row r="58" spans="1:31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1"/>
    </row>
    <row r="59" spans="1:31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1"/>
    </row>
    <row r="60" spans="1:31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1"/>
    </row>
    <row r="61" spans="1:31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31"/>
    </row>
    <row r="62" spans="1:31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31"/>
    </row>
    <row r="63" spans="1:31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31"/>
    </row>
    <row r="64" spans="1:31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31"/>
    </row>
    <row r="65" spans="1:31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31"/>
    </row>
    <row r="66" spans="1:31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31"/>
    </row>
    <row r="67" spans="1:31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31"/>
    </row>
    <row r="68" spans="1:31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31"/>
    </row>
    <row r="69" spans="1:31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31"/>
    </row>
    <row r="70" spans="1:31" x14ac:dyDescent="0.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1"/>
    </row>
    <row r="71" spans="1:31" x14ac:dyDescent="0.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31"/>
    </row>
    <row r="72" spans="1:31" x14ac:dyDescent="0.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1"/>
    </row>
    <row r="73" spans="1:31" x14ac:dyDescent="0.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31"/>
    </row>
    <row r="74" spans="1:31" x14ac:dyDescent="0.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1"/>
    </row>
    <row r="75" spans="1:31" x14ac:dyDescent="0.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31"/>
    </row>
    <row r="76" spans="1:31" x14ac:dyDescent="0.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1"/>
    </row>
    <row r="77" spans="1:31" x14ac:dyDescent="0.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31"/>
    </row>
    <row r="78" spans="1:31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1"/>
    </row>
    <row r="79" spans="1:31" x14ac:dyDescent="0.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31"/>
    </row>
    <row r="80" spans="1:31" x14ac:dyDescent="0.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1"/>
    </row>
    <row r="81" spans="1:31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31"/>
    </row>
    <row r="82" spans="1:31" x14ac:dyDescent="0.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1"/>
    </row>
    <row r="83" spans="1:31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31"/>
    </row>
    <row r="84" spans="1:31" x14ac:dyDescent="0.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1"/>
    </row>
    <row r="85" spans="1:31" x14ac:dyDescent="0.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31"/>
    </row>
    <row r="86" spans="1:31" x14ac:dyDescent="0.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1"/>
    </row>
    <row r="87" spans="1:31" x14ac:dyDescent="0.3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31"/>
    </row>
    <row r="88" spans="1:31" x14ac:dyDescent="0.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1"/>
    </row>
    <row r="89" spans="1:31" x14ac:dyDescent="0.3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31"/>
    </row>
    <row r="90" spans="1:31" x14ac:dyDescent="0.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1"/>
    </row>
    <row r="91" spans="1:31" x14ac:dyDescent="0.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31"/>
    </row>
    <row r="92" spans="1:31" x14ac:dyDescent="0.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1"/>
    </row>
    <row r="93" spans="1:31" x14ac:dyDescent="0.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31"/>
    </row>
    <row r="94" spans="1:31" x14ac:dyDescent="0.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1"/>
    </row>
    <row r="95" spans="1:31" x14ac:dyDescent="0.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31"/>
    </row>
    <row r="96" spans="1:31" x14ac:dyDescent="0.3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1"/>
    </row>
    <row r="97" spans="1:31" x14ac:dyDescent="0.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31"/>
    </row>
  </sheetData>
  <phoneticPr fontId="1" type="noConversion"/>
  <conditionalFormatting sqref="A11">
    <cfRule type="duplicateValues" dxfId="58" priority="182"/>
  </conditionalFormatting>
  <conditionalFormatting sqref="A12">
    <cfRule type="duplicateValues" dxfId="57" priority="34"/>
  </conditionalFormatting>
  <conditionalFormatting sqref="A16">
    <cfRule type="duplicateValues" dxfId="56" priority="1439"/>
  </conditionalFormatting>
  <conditionalFormatting sqref="A22">
    <cfRule type="duplicateValues" dxfId="55" priority="174"/>
  </conditionalFormatting>
  <conditionalFormatting sqref="A31">
    <cfRule type="duplicateValues" dxfId="54" priority="92"/>
  </conditionalFormatting>
  <conditionalFormatting sqref="A33">
    <cfRule type="duplicateValues" dxfId="53" priority="163"/>
  </conditionalFormatting>
  <conditionalFormatting sqref="A35">
    <cfRule type="duplicateValues" dxfId="52" priority="159"/>
  </conditionalFormatting>
  <conditionalFormatting sqref="A45">
    <cfRule type="duplicateValues" dxfId="51" priority="135"/>
  </conditionalFormatting>
  <conditionalFormatting sqref="A48">
    <cfRule type="duplicateValues" dxfId="50" priority="142"/>
  </conditionalFormatting>
  <conditionalFormatting sqref="A52">
    <cfRule type="duplicateValues" dxfId="49" priority="152"/>
  </conditionalFormatting>
  <conditionalFormatting sqref="A53:A1048576 A17:A21 A1:A10 A13:A15 A23:A30 A34 A36:A44 A49:A51 A46:A47 A32">
    <cfRule type="duplicateValues" dxfId="48" priority="1438"/>
  </conditionalFormatting>
  <conditionalFormatting sqref="A11:G11 I11:X11 A5:AH9 A10:X10 I17:AH17 A12:AH16 A18:AH97">
    <cfRule type="cellIs" dxfId="47" priority="179" operator="equal">
      <formula>FALSE</formula>
    </cfRule>
    <cfRule type="cellIs" dxfId="46" priority="180" operator="equal">
      <formula>"Single"</formula>
    </cfRule>
    <cfRule type="cellIs" dxfId="45" priority="181" operator="equal">
      <formula>0</formula>
    </cfRule>
  </conditionalFormatting>
  <conditionalFormatting sqref="A17:G17">
    <cfRule type="cellIs" dxfId="44" priority="116" operator="equal">
      <formula>FALSE</formula>
    </cfRule>
    <cfRule type="cellIs" dxfId="43" priority="117" operator="equal">
      <formula>"Single"</formula>
    </cfRule>
    <cfRule type="cellIs" dxfId="42" priority="118" operator="equal">
      <formula>0</formula>
    </cfRule>
  </conditionalFormatting>
  <conditionalFormatting sqref="A1:AH4">
    <cfRule type="cellIs" dxfId="41" priority="183" operator="equal">
      <formula>FALSE</formula>
    </cfRule>
    <cfRule type="cellIs" dxfId="40" priority="184" operator="equal">
      <formula>"Single"</formula>
    </cfRule>
    <cfRule type="cellIs" dxfId="39" priority="185" operator="equal">
      <formula>0</formula>
    </cfRule>
  </conditionalFormatting>
  <conditionalFormatting sqref="H11">
    <cfRule type="cellIs" dxfId="38" priority="175" operator="equal">
      <formula>TRUE</formula>
    </cfRule>
    <cfRule type="cellIs" dxfId="37" priority="176" operator="equal">
      <formula>"Single"</formula>
    </cfRule>
    <cfRule type="cellIs" dxfId="36" priority="177" operator="equal">
      <formula>"Self"</formula>
    </cfRule>
    <cfRule type="cellIs" dxfId="35" priority="178" operator="equal">
      <formula>0</formula>
    </cfRule>
  </conditionalFormatting>
  <conditionalFormatting sqref="H17">
    <cfRule type="cellIs" dxfId="34" priority="119" operator="equal">
      <formula>TRUE</formula>
    </cfRule>
    <cfRule type="cellIs" dxfId="33" priority="120" operator="equal">
      <formula>"Single"</formula>
    </cfRule>
    <cfRule type="cellIs" dxfId="32" priority="121" operator="equal">
      <formula>"Self"</formula>
    </cfRule>
    <cfRule type="cellIs" dxfId="31" priority="122" operator="equal">
      <formula>0</formula>
    </cfRule>
  </conditionalFormatting>
  <conditionalFormatting sqref="Y10:AH11">
    <cfRule type="cellIs" dxfId="30" priority="9" operator="equal">
      <formula>FALSE</formula>
    </cfRule>
    <cfRule type="cellIs" dxfId="29" priority="10" operator="equal">
      <formula>"Single"</formula>
    </cfRule>
    <cfRule type="cellIs" dxfId="28" priority="11" operator="equal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"/>
  <sheetViews>
    <sheetView workbookViewId="0">
      <selection activeCell="D11" sqref="D11"/>
    </sheetView>
  </sheetViews>
  <sheetFormatPr defaultRowHeight="16.5" x14ac:dyDescent="0.3"/>
  <cols>
    <col min="1" max="1" width="36.25" bestFit="1" customWidth="1"/>
    <col min="2" max="2" width="7.375" customWidth="1"/>
    <col min="3" max="3" width="9" bestFit="1" customWidth="1"/>
    <col min="4" max="4" width="9.25" bestFit="1" customWidth="1"/>
    <col min="5" max="5" width="31.25" bestFit="1" customWidth="1"/>
  </cols>
  <sheetData>
    <row r="1" spans="1:5" x14ac:dyDescent="0.3">
      <c r="A1" s="16" t="s">
        <v>0</v>
      </c>
      <c r="B1" s="16" t="s">
        <v>157</v>
      </c>
      <c r="C1" s="16" t="s">
        <v>185</v>
      </c>
      <c r="D1" s="47" t="s">
        <v>8</v>
      </c>
      <c r="E1" s="48" t="s">
        <v>11</v>
      </c>
    </row>
    <row r="2" spans="1:5" x14ac:dyDescent="0.3">
      <c r="A2" s="16" t="s">
        <v>44</v>
      </c>
      <c r="B2" s="16" t="s">
        <v>157</v>
      </c>
      <c r="C2" s="16" t="s">
        <v>186</v>
      </c>
      <c r="D2" s="47" t="s">
        <v>51</v>
      </c>
      <c r="E2" s="48" t="s">
        <v>54</v>
      </c>
    </row>
    <row r="3" spans="1:5" x14ac:dyDescent="0.3">
      <c r="A3" s="16" t="s">
        <v>87</v>
      </c>
      <c r="B3" s="16" t="s">
        <v>157</v>
      </c>
      <c r="C3" s="16" t="s">
        <v>187</v>
      </c>
      <c r="D3" s="47" t="s">
        <v>91</v>
      </c>
      <c r="E3" s="48" t="s">
        <v>92</v>
      </c>
    </row>
    <row r="4" spans="1:5" x14ac:dyDescent="0.3">
      <c r="A4" s="16" t="s">
        <v>100</v>
      </c>
      <c r="B4" s="16" t="s">
        <v>157</v>
      </c>
      <c r="C4" s="16" t="s">
        <v>100</v>
      </c>
      <c r="D4" s="47" t="s">
        <v>100</v>
      </c>
      <c r="E4" s="48" t="s">
        <v>100</v>
      </c>
    </row>
    <row r="5" spans="1:5" ht="41.25" x14ac:dyDescent="0.3">
      <c r="A5" s="55" t="s">
        <v>297</v>
      </c>
      <c r="B5" s="56"/>
      <c r="C5" s="63" t="s">
        <v>538</v>
      </c>
      <c r="D5" s="56">
        <v>0</v>
      </c>
      <c r="E5" s="56" t="s">
        <v>540</v>
      </c>
    </row>
    <row r="6" spans="1:5" x14ac:dyDescent="0.3">
      <c r="A6" s="53" t="s">
        <v>375</v>
      </c>
      <c r="B6" s="54"/>
      <c r="C6" s="54" t="s">
        <v>188</v>
      </c>
      <c r="D6" s="54">
        <v>0</v>
      </c>
      <c r="E6" s="54" t="s">
        <v>376</v>
      </c>
    </row>
    <row r="7" spans="1:5" ht="41.25" x14ac:dyDescent="0.3">
      <c r="A7" s="64" t="s">
        <v>541</v>
      </c>
      <c r="B7" s="65"/>
      <c r="C7" s="66" t="s">
        <v>538</v>
      </c>
      <c r="D7" s="65">
        <v>0</v>
      </c>
      <c r="E7" s="65" t="s">
        <v>544</v>
      </c>
    </row>
    <row r="8" spans="1:5" x14ac:dyDescent="0.3">
      <c r="A8" s="49"/>
      <c r="B8" s="50"/>
      <c r="C8" s="50"/>
      <c r="D8" s="50"/>
      <c r="E8" s="50"/>
    </row>
    <row r="9" spans="1:5" x14ac:dyDescent="0.3">
      <c r="A9" s="49"/>
      <c r="B9" s="50"/>
      <c r="C9" s="51"/>
      <c r="D9" s="50"/>
      <c r="E9" s="50"/>
    </row>
    <row r="10" spans="1:5" x14ac:dyDescent="0.3">
      <c r="A10" s="49"/>
      <c r="B10" s="50"/>
      <c r="C10" s="50"/>
      <c r="D10" s="50"/>
      <c r="E10" s="50"/>
    </row>
    <row r="11" spans="1:5" x14ac:dyDescent="0.3">
      <c r="A11" s="49"/>
      <c r="B11" s="50"/>
      <c r="C11" s="50"/>
      <c r="D11" s="50"/>
      <c r="E11" s="50"/>
    </row>
    <row r="12" spans="1:5" x14ac:dyDescent="0.3">
      <c r="A12" s="49"/>
      <c r="B12" s="50"/>
      <c r="C12" s="50"/>
      <c r="D12" s="50"/>
      <c r="E12" s="50"/>
    </row>
    <row r="13" spans="1:5" x14ac:dyDescent="0.3">
      <c r="A13" s="49"/>
      <c r="B13" s="50"/>
      <c r="C13" s="50"/>
      <c r="D13" s="50"/>
      <c r="E13" s="50"/>
    </row>
    <row r="14" spans="1:5" x14ac:dyDescent="0.3">
      <c r="A14" s="49"/>
      <c r="B14" s="50"/>
      <c r="C14" s="51"/>
      <c r="D14" s="50"/>
      <c r="E14" s="50"/>
    </row>
    <row r="15" spans="1:5" x14ac:dyDescent="0.3">
      <c r="A15" s="49"/>
      <c r="B15" s="50"/>
      <c r="C15" s="50"/>
      <c r="D15" s="50"/>
      <c r="E15" s="50"/>
    </row>
    <row r="16" spans="1:5" x14ac:dyDescent="0.3">
      <c r="A16" s="49"/>
      <c r="B16" s="50"/>
      <c r="C16" s="50"/>
      <c r="D16" s="50"/>
      <c r="E16" s="50"/>
    </row>
    <row r="17" spans="1:5" x14ac:dyDescent="0.3">
      <c r="A17" s="49"/>
      <c r="B17" s="50"/>
      <c r="C17" s="50"/>
      <c r="D17" s="50"/>
      <c r="E17" s="50"/>
    </row>
    <row r="18" spans="1:5" x14ac:dyDescent="0.3">
      <c r="A18" s="49"/>
      <c r="B18" s="50"/>
      <c r="C18" s="50"/>
      <c r="D18" s="50"/>
      <c r="E18" s="50"/>
    </row>
    <row r="19" spans="1:5" x14ac:dyDescent="0.3">
      <c r="A19" s="49"/>
      <c r="B19" s="50"/>
      <c r="C19" s="50"/>
      <c r="D19" s="50"/>
      <c r="E19" s="50"/>
    </row>
    <row r="20" spans="1:5" x14ac:dyDescent="0.3">
      <c r="A20" s="49"/>
      <c r="B20" s="50"/>
      <c r="C20" s="51"/>
      <c r="D20" s="50"/>
      <c r="E20" s="50"/>
    </row>
    <row r="21" spans="1:5" x14ac:dyDescent="0.3">
      <c r="A21" s="49"/>
      <c r="B21" s="50"/>
      <c r="C21" s="50"/>
      <c r="D21" s="50"/>
      <c r="E21" s="50"/>
    </row>
    <row r="22" spans="1:5" x14ac:dyDescent="0.3">
      <c r="A22" s="49"/>
      <c r="B22" s="50"/>
      <c r="C22" s="50"/>
      <c r="D22" s="50"/>
      <c r="E22" s="50"/>
    </row>
    <row r="23" spans="1:5" x14ac:dyDescent="0.3">
      <c r="A23" s="49"/>
      <c r="B23" s="50"/>
      <c r="C23" s="50"/>
      <c r="D23" s="50"/>
      <c r="E23" s="50"/>
    </row>
    <row r="24" spans="1:5" x14ac:dyDescent="0.3">
      <c r="A24" s="49"/>
      <c r="B24" s="50"/>
      <c r="C24" s="50"/>
      <c r="D24" s="50"/>
      <c r="E24" s="50"/>
    </row>
    <row r="25" spans="1:5" x14ac:dyDescent="0.3">
      <c r="A25" s="49"/>
      <c r="B25" s="50"/>
      <c r="C25" s="50"/>
      <c r="D25" s="50"/>
      <c r="E25" s="50"/>
    </row>
    <row r="26" spans="1:5" x14ac:dyDescent="0.3">
      <c r="A26" s="49"/>
      <c r="B26" s="50"/>
      <c r="C26" s="50"/>
      <c r="D26" s="50"/>
      <c r="E26" s="50"/>
    </row>
    <row r="27" spans="1:5" x14ac:dyDescent="0.3">
      <c r="A27" s="49"/>
      <c r="B27" s="50"/>
      <c r="C27" s="51"/>
      <c r="D27" s="50"/>
      <c r="E27" s="50"/>
    </row>
    <row r="28" spans="1:5" x14ac:dyDescent="0.3">
      <c r="A28" s="49"/>
      <c r="B28" s="50"/>
      <c r="C28" s="51"/>
      <c r="D28" s="50"/>
      <c r="E28" s="50"/>
    </row>
    <row r="29" spans="1:5" x14ac:dyDescent="0.3">
      <c r="A29" s="49"/>
      <c r="B29" s="50"/>
      <c r="C29" s="50"/>
      <c r="D29" s="50"/>
      <c r="E29" s="50"/>
    </row>
    <row r="30" spans="1:5" x14ac:dyDescent="0.3">
      <c r="A30" s="49"/>
      <c r="B30" s="50"/>
      <c r="C30" s="50"/>
      <c r="D30" s="50"/>
      <c r="E30" s="50"/>
    </row>
    <row r="31" spans="1:5" x14ac:dyDescent="0.3">
      <c r="A31" s="49"/>
      <c r="B31" s="50"/>
      <c r="C31" s="50"/>
      <c r="D31" s="50"/>
      <c r="E31" s="50"/>
    </row>
    <row r="32" spans="1:5" x14ac:dyDescent="0.3">
      <c r="A32" s="20"/>
      <c r="B32" s="50"/>
      <c r="C32" s="50"/>
      <c r="D32" s="50"/>
      <c r="E32" s="50"/>
    </row>
    <row r="33" spans="1:5" x14ac:dyDescent="0.3">
      <c r="A33" s="49"/>
      <c r="B33" s="50"/>
      <c r="C33" s="50"/>
      <c r="D33" s="50"/>
      <c r="E33" s="50"/>
    </row>
    <row r="34" spans="1:5" x14ac:dyDescent="0.3">
      <c r="A34" s="49"/>
      <c r="B34" s="50"/>
      <c r="C34" s="50"/>
      <c r="D34" s="50"/>
      <c r="E34" s="50"/>
    </row>
    <row r="35" spans="1:5" x14ac:dyDescent="0.3">
      <c r="A35" s="49"/>
      <c r="B35" s="50"/>
      <c r="C35" s="50"/>
      <c r="D35" s="50"/>
      <c r="E35" s="50"/>
    </row>
    <row r="36" spans="1:5" x14ac:dyDescent="0.3">
      <c r="A36" s="49"/>
      <c r="B36" s="50"/>
      <c r="C36" s="50"/>
      <c r="D36" s="50"/>
      <c r="E36" s="50"/>
    </row>
  </sheetData>
  <phoneticPr fontId="1" type="noConversion"/>
  <conditionalFormatting sqref="A33:A1048576 A1:A31">
    <cfRule type="duplicateValues" dxfId="27" priority="3"/>
  </conditionalFormatting>
  <conditionalFormatting sqref="A1:E1048576">
    <cfRule type="cellIs" dxfId="26" priority="1" operator="equal">
      <formula>0</formula>
    </cfRule>
    <cfRule type="cellIs" dxfId="25" priority="2" operator="equal">
      <formula>FALSE</formula>
    </cfRule>
  </conditionalFormatting>
  <pageMargins left="0.7" right="0.7" top="0.75" bottom="0.75" header="0.3" footer="0.3"/>
  <pageSetup paperSize="9" orientation="portrait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43"/>
  <sheetViews>
    <sheetView zoomScale="85" zoomScaleNormal="85" workbookViewId="0">
      <pane xSplit="1" ySplit="4" topLeftCell="Q5" activePane="bottomRight" state="frozen"/>
      <selection pane="topRight" activeCell="B1" sqref="B1"/>
      <selection pane="bottomLeft" activeCell="A5" sqref="A5"/>
      <selection pane="bottomRight" activeCell="U3" sqref="R3:U13"/>
    </sheetView>
  </sheetViews>
  <sheetFormatPr defaultRowHeight="16.5" x14ac:dyDescent="0.3"/>
  <cols>
    <col min="1" max="1" width="48.125" bestFit="1" customWidth="1"/>
    <col min="2" max="2" width="17.375" bestFit="1" customWidth="1"/>
    <col min="3" max="3" width="17.875" bestFit="1" customWidth="1"/>
    <col min="4" max="4" width="15.375" bestFit="1" customWidth="1"/>
    <col min="5" max="5" width="11.5" bestFit="1" customWidth="1"/>
    <col min="6" max="8" width="9.625" bestFit="1" customWidth="1"/>
    <col min="9" max="9" width="9.875" bestFit="1" customWidth="1"/>
    <col min="10" max="10" width="11.5" bestFit="1" customWidth="1"/>
    <col min="11" max="11" width="9.625" bestFit="1" customWidth="1"/>
    <col min="12" max="13" width="14.625" bestFit="1" customWidth="1"/>
    <col min="14" max="14" width="10.25" bestFit="1" customWidth="1"/>
    <col min="15" max="15" width="11.5" bestFit="1" customWidth="1"/>
    <col min="16" max="16" width="14.25" bestFit="1" customWidth="1"/>
    <col min="17" max="17" width="14.25" customWidth="1"/>
    <col min="18" max="18" width="10.75" customWidth="1"/>
    <col min="19" max="19" width="14.25" bestFit="1" customWidth="1"/>
    <col min="20" max="20" width="12.625" bestFit="1" customWidth="1"/>
    <col min="21" max="21" width="12.875" bestFit="1" customWidth="1"/>
    <col min="22" max="22" width="13.75" bestFit="1" customWidth="1"/>
    <col min="23" max="23" width="13.125" bestFit="1" customWidth="1"/>
    <col min="24" max="24" width="12.875" bestFit="1" customWidth="1"/>
    <col min="25" max="25" width="9.625" bestFit="1" customWidth="1"/>
    <col min="26" max="26" width="9.75" bestFit="1" customWidth="1"/>
    <col min="27" max="27" width="14.25" bestFit="1" customWidth="1"/>
    <col min="28" max="28" width="14.25" customWidth="1"/>
    <col min="29" max="29" width="37.75" style="15" customWidth="1"/>
    <col min="30" max="30" width="33.875" bestFit="1" customWidth="1"/>
    <col min="31" max="31" width="16.75" bestFit="1" customWidth="1"/>
    <col min="32" max="32" width="16.75" customWidth="1"/>
    <col min="33" max="33" width="11.5" bestFit="1" customWidth="1"/>
    <col min="34" max="34" width="30.875" bestFit="1" customWidth="1"/>
    <col min="35" max="36" width="11.5" customWidth="1"/>
    <col min="37" max="37" width="13.75" bestFit="1" customWidth="1"/>
    <col min="38" max="46" width="13.75" customWidth="1"/>
    <col min="47" max="47" width="22.125" bestFit="1" customWidth="1"/>
  </cols>
  <sheetData>
    <row r="1" spans="1:47" ht="33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590</v>
      </c>
      <c r="AK1" s="4" t="s">
        <v>35</v>
      </c>
      <c r="AL1" s="4" t="s">
        <v>546</v>
      </c>
      <c r="AM1" s="4" t="s">
        <v>36</v>
      </c>
      <c r="AN1" s="4" t="s">
        <v>37</v>
      </c>
      <c r="AO1" s="4" t="s">
        <v>38</v>
      </c>
      <c r="AP1" s="4" t="s">
        <v>39</v>
      </c>
      <c r="AQ1" s="25" t="s">
        <v>40</v>
      </c>
      <c r="AR1" s="25" t="s">
        <v>41</v>
      </c>
      <c r="AS1" s="25" t="s">
        <v>42</v>
      </c>
      <c r="AT1" s="25" t="s">
        <v>40</v>
      </c>
      <c r="AU1" s="4" t="s">
        <v>43</v>
      </c>
    </row>
    <row r="2" spans="1:47" ht="33" customHeight="1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470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3" t="s">
        <v>54</v>
      </c>
      <c r="M2" s="3" t="s">
        <v>55</v>
      </c>
      <c r="N2" s="6" t="s">
        <v>56</v>
      </c>
      <c r="O2" s="6" t="s">
        <v>57</v>
      </c>
      <c r="P2" s="6" t="s">
        <v>58</v>
      </c>
      <c r="Q2" s="7" t="s">
        <v>59</v>
      </c>
      <c r="R2" s="7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3" t="s">
        <v>65</v>
      </c>
      <c r="X2" s="3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5" t="s">
        <v>71</v>
      </c>
      <c r="AD2" s="5" t="s">
        <v>72</v>
      </c>
      <c r="AE2" s="6" t="s">
        <v>73</v>
      </c>
      <c r="AF2" s="4" t="s">
        <v>74</v>
      </c>
      <c r="AG2" s="4" t="s">
        <v>75</v>
      </c>
      <c r="AH2" s="4" t="s">
        <v>76</v>
      </c>
      <c r="AI2" s="4" t="s">
        <v>77</v>
      </c>
      <c r="AJ2" s="4" t="s">
        <v>591</v>
      </c>
      <c r="AK2" s="4" t="s">
        <v>78</v>
      </c>
      <c r="AL2" s="4" t="s">
        <v>547</v>
      </c>
      <c r="AM2" s="4" t="s">
        <v>79</v>
      </c>
      <c r="AN2" s="4" t="s">
        <v>80</v>
      </c>
      <c r="AO2" s="4" t="s">
        <v>81</v>
      </c>
      <c r="AP2" s="4" t="s">
        <v>82</v>
      </c>
      <c r="AQ2" s="25" t="s">
        <v>83</v>
      </c>
      <c r="AR2" s="25" t="s">
        <v>84</v>
      </c>
      <c r="AS2" s="25" t="s">
        <v>85</v>
      </c>
      <c r="AT2" s="25" t="s">
        <v>601</v>
      </c>
      <c r="AU2" s="4" t="s">
        <v>86</v>
      </c>
    </row>
    <row r="3" spans="1:47" ht="33" customHeight="1" x14ac:dyDescent="0.3">
      <c r="A3" s="1" t="s">
        <v>87</v>
      </c>
      <c r="B3" s="1" t="s">
        <v>88</v>
      </c>
      <c r="C3" s="3" t="s">
        <v>89</v>
      </c>
      <c r="D3" s="3" t="s">
        <v>88</v>
      </c>
      <c r="E3" s="5" t="s">
        <v>90</v>
      </c>
      <c r="F3" s="5" t="s">
        <v>91</v>
      </c>
      <c r="G3" s="5" t="s">
        <v>90</v>
      </c>
      <c r="H3" s="5" t="s">
        <v>91</v>
      </c>
      <c r="I3" s="5" t="s">
        <v>91</v>
      </c>
      <c r="J3" s="5" t="s">
        <v>91</v>
      </c>
      <c r="K3" s="5" t="s">
        <v>91</v>
      </c>
      <c r="L3" s="3" t="s">
        <v>92</v>
      </c>
      <c r="M3" s="3" t="s">
        <v>92</v>
      </c>
      <c r="N3" s="6" t="s">
        <v>56</v>
      </c>
      <c r="O3" s="6" t="s">
        <v>57</v>
      </c>
      <c r="P3" s="6" t="s">
        <v>91</v>
      </c>
      <c r="Q3" s="7" t="s">
        <v>91</v>
      </c>
      <c r="R3" s="7" t="s">
        <v>91</v>
      </c>
      <c r="S3" s="2" t="s">
        <v>61</v>
      </c>
      <c r="T3" s="2" t="s">
        <v>62</v>
      </c>
      <c r="U3" s="2" t="s">
        <v>93</v>
      </c>
      <c r="V3" s="2" t="s">
        <v>93</v>
      </c>
      <c r="W3" s="3" t="s">
        <v>89</v>
      </c>
      <c r="X3" s="3" t="s">
        <v>88</v>
      </c>
      <c r="Y3" s="2" t="s">
        <v>90</v>
      </c>
      <c r="Z3" s="2" t="s">
        <v>91</v>
      </c>
      <c r="AA3" s="2" t="s">
        <v>90</v>
      </c>
      <c r="AB3" s="2" t="s">
        <v>94</v>
      </c>
      <c r="AC3" s="5" t="s">
        <v>95</v>
      </c>
      <c r="AD3" s="5" t="s">
        <v>92</v>
      </c>
      <c r="AE3" s="6" t="s">
        <v>88</v>
      </c>
      <c r="AF3" s="4" t="s">
        <v>96</v>
      </c>
      <c r="AG3" s="4" t="s">
        <v>88</v>
      </c>
      <c r="AH3" s="4" t="s">
        <v>88</v>
      </c>
      <c r="AI3" s="4" t="s">
        <v>88</v>
      </c>
      <c r="AJ3" s="4" t="s">
        <v>88</v>
      </c>
      <c r="AK3" s="4" t="s">
        <v>88</v>
      </c>
      <c r="AL3" s="4" t="s">
        <v>88</v>
      </c>
      <c r="AM3" s="4" t="s">
        <v>90</v>
      </c>
      <c r="AN3" s="4" t="s">
        <v>97</v>
      </c>
      <c r="AO3" s="4" t="s">
        <v>98</v>
      </c>
      <c r="AP3" s="4" t="s">
        <v>99</v>
      </c>
      <c r="AQ3" s="25" t="s">
        <v>88</v>
      </c>
      <c r="AR3" s="25" t="s">
        <v>88</v>
      </c>
      <c r="AS3" s="25" t="s">
        <v>88</v>
      </c>
      <c r="AT3" s="25" t="s">
        <v>88</v>
      </c>
      <c r="AU3" s="4" t="s">
        <v>90</v>
      </c>
    </row>
    <row r="4" spans="1:47" x14ac:dyDescent="0.3">
      <c r="A4" s="1" t="s">
        <v>100</v>
      </c>
      <c r="B4" s="1" t="s">
        <v>100</v>
      </c>
      <c r="C4" s="3" t="s">
        <v>100</v>
      </c>
      <c r="D4" s="3" t="s">
        <v>100</v>
      </c>
      <c r="E4" s="5" t="s">
        <v>100</v>
      </c>
      <c r="F4" s="5" t="s">
        <v>100</v>
      </c>
      <c r="G4" s="5" t="s">
        <v>100</v>
      </c>
      <c r="H4" s="5" t="s">
        <v>100</v>
      </c>
      <c r="I4" s="5" t="s">
        <v>100</v>
      </c>
      <c r="J4" s="5" t="s">
        <v>100</v>
      </c>
      <c r="K4" s="5" t="s">
        <v>100</v>
      </c>
      <c r="L4" s="3" t="s">
        <v>100</v>
      </c>
      <c r="M4" s="3" t="s">
        <v>100</v>
      </c>
      <c r="N4" s="6" t="s">
        <v>100</v>
      </c>
      <c r="O4" s="6" t="s">
        <v>100</v>
      </c>
      <c r="P4" s="6" t="s">
        <v>100</v>
      </c>
      <c r="Q4" s="24" t="s">
        <v>100</v>
      </c>
      <c r="R4" s="7" t="s">
        <v>100</v>
      </c>
      <c r="S4" s="2" t="s">
        <v>100</v>
      </c>
      <c r="T4" s="2" t="s">
        <v>100</v>
      </c>
      <c r="U4" s="2" t="s">
        <v>100</v>
      </c>
      <c r="V4" s="2" t="s">
        <v>100</v>
      </c>
      <c r="W4" s="3" t="s">
        <v>100</v>
      </c>
      <c r="X4" s="3" t="s">
        <v>100</v>
      </c>
      <c r="Y4" s="2" t="s">
        <v>100</v>
      </c>
      <c r="Z4" s="2" t="s">
        <v>100</v>
      </c>
      <c r="AA4" s="2" t="s">
        <v>100</v>
      </c>
      <c r="AB4" s="2" t="s">
        <v>100</v>
      </c>
      <c r="AC4" s="5" t="s">
        <v>100</v>
      </c>
      <c r="AD4" s="5" t="s">
        <v>100</v>
      </c>
      <c r="AE4" s="6" t="s">
        <v>100</v>
      </c>
      <c r="AF4" s="4" t="s">
        <v>100</v>
      </c>
      <c r="AG4" s="4" t="s">
        <v>100</v>
      </c>
      <c r="AH4" s="4" t="s">
        <v>100</v>
      </c>
      <c r="AI4" s="4" t="s">
        <v>100</v>
      </c>
      <c r="AJ4" s="4" t="s">
        <v>100</v>
      </c>
      <c r="AK4" s="4" t="s">
        <v>101</v>
      </c>
      <c r="AL4" s="4" t="s">
        <v>101</v>
      </c>
      <c r="AM4" s="4" t="s">
        <v>101</v>
      </c>
      <c r="AN4" s="4" t="s">
        <v>100</v>
      </c>
      <c r="AO4" s="4" t="s">
        <v>100</v>
      </c>
      <c r="AP4" s="4" t="s">
        <v>100</v>
      </c>
      <c r="AQ4" s="25" t="s">
        <v>101</v>
      </c>
      <c r="AR4" s="25" t="s">
        <v>101</v>
      </c>
      <c r="AS4" s="25" t="s">
        <v>101</v>
      </c>
      <c r="AT4" s="25" t="s">
        <v>101</v>
      </c>
      <c r="AU4" s="4" t="s">
        <v>101</v>
      </c>
    </row>
    <row r="5" spans="1:47" x14ac:dyDescent="0.3">
      <c r="A5" s="20" t="s">
        <v>481</v>
      </c>
      <c r="B5" s="20"/>
      <c r="C5" s="20"/>
      <c r="D5" s="20"/>
      <c r="E5" s="20" t="b">
        <v>1</v>
      </c>
      <c r="F5" s="20">
        <v>0</v>
      </c>
      <c r="G5" s="20" t="b">
        <v>0</v>
      </c>
      <c r="H5" s="20">
        <v>0</v>
      </c>
      <c r="I5" s="20">
        <v>0</v>
      </c>
      <c r="J5" s="20">
        <v>0</v>
      </c>
      <c r="K5" s="20">
        <v>0</v>
      </c>
      <c r="L5" s="20"/>
      <c r="M5" s="20"/>
      <c r="N5" s="20" t="s">
        <v>102</v>
      </c>
      <c r="O5" s="20" t="s">
        <v>102</v>
      </c>
      <c r="P5" s="20">
        <v>0</v>
      </c>
      <c r="Q5" s="20">
        <v>-1</v>
      </c>
      <c r="R5" s="20">
        <v>-1</v>
      </c>
      <c r="S5" s="20" t="s">
        <v>165</v>
      </c>
      <c r="T5" s="20" t="s">
        <v>169</v>
      </c>
      <c r="U5" s="20"/>
      <c r="V5" s="20"/>
      <c r="W5" s="20"/>
      <c r="X5" s="20"/>
      <c r="Y5" s="20" t="b">
        <v>0</v>
      </c>
      <c r="Z5" s="20">
        <v>0</v>
      </c>
      <c r="AA5" s="20" t="b">
        <v>0</v>
      </c>
      <c r="AB5" s="20"/>
      <c r="AC5" s="20" t="str">
        <f>A5&amp;".effect"</f>
        <v>Formation.dualarmor.active.01.effect</v>
      </c>
      <c r="AD5" s="20"/>
      <c r="AE5" s="20"/>
      <c r="AF5" s="20"/>
      <c r="AG5" s="20"/>
      <c r="AH5" s="59" t="s">
        <v>475</v>
      </c>
      <c r="AI5" s="20"/>
      <c r="AJ5" s="20"/>
      <c r="AK5" s="20"/>
      <c r="AL5" s="20"/>
      <c r="AM5" s="8" t="b">
        <v>0</v>
      </c>
      <c r="AN5" s="20" t="s">
        <v>105</v>
      </c>
      <c r="AO5" s="20" t="s">
        <v>167</v>
      </c>
      <c r="AP5" s="20">
        <v>15</v>
      </c>
      <c r="AQ5" s="20"/>
      <c r="AR5" s="8"/>
      <c r="AS5" s="20"/>
      <c r="AT5" s="20"/>
      <c r="AU5" s="20" t="b">
        <v>0</v>
      </c>
    </row>
    <row r="6" spans="1:47" x14ac:dyDescent="0.3">
      <c r="A6" s="19" t="s">
        <v>482</v>
      </c>
      <c r="B6" s="19"/>
      <c r="C6" s="19"/>
      <c r="D6" s="19"/>
      <c r="E6" s="19" t="b">
        <v>1</v>
      </c>
      <c r="F6" s="19">
        <v>0</v>
      </c>
      <c r="G6" s="19" t="b">
        <v>0</v>
      </c>
      <c r="H6" s="19">
        <v>0</v>
      </c>
      <c r="I6" s="19">
        <v>0</v>
      </c>
      <c r="J6" s="19">
        <v>0</v>
      </c>
      <c r="K6" s="19">
        <v>0</v>
      </c>
      <c r="L6" s="19"/>
      <c r="M6" s="19"/>
      <c r="N6" s="19" t="s">
        <v>102</v>
      </c>
      <c r="O6" s="19" t="s">
        <v>102</v>
      </c>
      <c r="P6" s="19">
        <v>0</v>
      </c>
      <c r="Q6" s="19">
        <v>-1</v>
      </c>
      <c r="R6" s="19">
        <v>-1</v>
      </c>
      <c r="S6" s="19" t="s">
        <v>165</v>
      </c>
      <c r="T6" s="19" t="s">
        <v>179</v>
      </c>
      <c r="U6" s="19"/>
      <c r="V6" s="19"/>
      <c r="W6" s="19"/>
      <c r="X6" s="19"/>
      <c r="Y6" s="19" t="b">
        <v>0</v>
      </c>
      <c r="Z6" s="19">
        <v>0</v>
      </c>
      <c r="AA6" s="19" t="b">
        <v>0</v>
      </c>
      <c r="AB6" s="19"/>
      <c r="AC6" s="19" t="str">
        <f t="shared" ref="AC6:AC12" si="0">A6&amp;".effect"</f>
        <v>Formation.dualedge.active.01.effect</v>
      </c>
      <c r="AD6" s="19"/>
      <c r="AE6" s="19"/>
      <c r="AF6" s="19"/>
      <c r="AG6" s="19"/>
      <c r="AH6" s="58" t="s">
        <v>476</v>
      </c>
      <c r="AI6" s="19"/>
      <c r="AJ6" s="19"/>
      <c r="AK6" s="19"/>
      <c r="AL6" s="19"/>
      <c r="AM6" s="9" t="b">
        <v>0</v>
      </c>
      <c r="AN6" s="19" t="s">
        <v>105</v>
      </c>
      <c r="AO6" s="19" t="s">
        <v>106</v>
      </c>
      <c r="AP6" s="19"/>
      <c r="AQ6" s="19"/>
      <c r="AR6" s="9"/>
      <c r="AS6" s="19"/>
      <c r="AT6" s="19"/>
      <c r="AU6" s="19" t="b">
        <v>0</v>
      </c>
    </row>
    <row r="7" spans="1:47" x14ac:dyDescent="0.3">
      <c r="A7" s="20" t="s">
        <v>502</v>
      </c>
      <c r="B7" s="20"/>
      <c r="C7" s="20"/>
      <c r="D7" s="20"/>
      <c r="E7" s="20" t="b">
        <v>1</v>
      </c>
      <c r="F7" s="20">
        <v>0</v>
      </c>
      <c r="G7" s="20" t="b">
        <v>0</v>
      </c>
      <c r="H7" s="20">
        <v>0</v>
      </c>
      <c r="I7" s="20">
        <v>0</v>
      </c>
      <c r="J7" s="20">
        <v>0</v>
      </c>
      <c r="K7" s="20">
        <v>0</v>
      </c>
      <c r="L7" s="20"/>
      <c r="M7" s="20"/>
      <c r="N7" s="20" t="s">
        <v>102</v>
      </c>
      <c r="O7" s="20" t="s">
        <v>102</v>
      </c>
      <c r="P7" s="20">
        <v>0</v>
      </c>
      <c r="Q7" s="20">
        <v>-1</v>
      </c>
      <c r="R7" s="20">
        <v>-1</v>
      </c>
      <c r="S7" s="20" t="s">
        <v>165</v>
      </c>
      <c r="T7" s="20" t="s">
        <v>179</v>
      </c>
      <c r="U7" s="20"/>
      <c r="V7" s="20"/>
      <c r="W7" s="20"/>
      <c r="X7" s="20"/>
      <c r="Y7" s="20" t="b">
        <v>0</v>
      </c>
      <c r="Z7" s="20">
        <v>0</v>
      </c>
      <c r="AA7" s="20" t="b">
        <v>0</v>
      </c>
      <c r="AB7" s="20"/>
      <c r="AC7" s="20" t="str">
        <f t="shared" si="0"/>
        <v>Formation.timescale.active.01.effect</v>
      </c>
      <c r="AD7" s="20"/>
      <c r="AE7" s="20"/>
      <c r="AF7" s="20"/>
      <c r="AG7" s="20"/>
      <c r="AH7" s="59" t="s">
        <v>504</v>
      </c>
      <c r="AI7" s="20"/>
      <c r="AJ7" s="20"/>
      <c r="AK7" s="20"/>
      <c r="AL7" s="20"/>
      <c r="AM7" s="8" t="b">
        <v>0</v>
      </c>
      <c r="AN7" s="20" t="s">
        <v>105</v>
      </c>
      <c r="AO7" s="20" t="s">
        <v>167</v>
      </c>
      <c r="AP7" s="20">
        <v>20</v>
      </c>
      <c r="AQ7" s="20"/>
      <c r="AR7" s="8"/>
      <c r="AS7" s="20"/>
      <c r="AT7" s="20"/>
      <c r="AU7" s="20" t="b">
        <v>0</v>
      </c>
    </row>
    <row r="8" spans="1:47" x14ac:dyDescent="0.3">
      <c r="A8" s="19" t="s">
        <v>483</v>
      </c>
      <c r="B8" s="19"/>
      <c r="C8" s="19"/>
      <c r="D8" s="19"/>
      <c r="E8" s="19" t="b">
        <v>1</v>
      </c>
      <c r="F8" s="19">
        <v>0</v>
      </c>
      <c r="G8" s="19" t="b">
        <v>0</v>
      </c>
      <c r="H8" s="19">
        <v>0</v>
      </c>
      <c r="I8" s="19">
        <v>0</v>
      </c>
      <c r="J8" s="19">
        <v>0</v>
      </c>
      <c r="K8" s="19">
        <v>0</v>
      </c>
      <c r="L8" s="19"/>
      <c r="M8" s="19"/>
      <c r="N8" s="19" t="s">
        <v>102</v>
      </c>
      <c r="O8" s="19" t="s">
        <v>102</v>
      </c>
      <c r="P8" s="19">
        <v>0</v>
      </c>
      <c r="Q8" s="19">
        <v>-1</v>
      </c>
      <c r="R8" s="19">
        <v>-1</v>
      </c>
      <c r="S8" s="19" t="s">
        <v>162</v>
      </c>
      <c r="T8" s="19" t="s">
        <v>179</v>
      </c>
      <c r="U8" s="19"/>
      <c r="V8" s="19"/>
      <c r="W8" s="19"/>
      <c r="X8" s="19"/>
      <c r="Y8" s="19" t="b">
        <v>0</v>
      </c>
      <c r="Z8" s="19">
        <v>0</v>
      </c>
      <c r="AA8" s="19" t="b">
        <v>0</v>
      </c>
      <c r="AB8" s="19"/>
      <c r="AC8" s="19" t="str">
        <f t="shared" si="0"/>
        <v>Formation.predator.active.01.effect</v>
      </c>
      <c r="AD8" s="19"/>
      <c r="AE8" s="19"/>
      <c r="AF8" s="19"/>
      <c r="AG8" s="19"/>
      <c r="AH8" s="58" t="s">
        <v>477</v>
      </c>
      <c r="AI8" s="19"/>
      <c r="AJ8" s="19"/>
      <c r="AK8" s="19"/>
      <c r="AL8" s="19"/>
      <c r="AM8" s="9" t="b">
        <v>0</v>
      </c>
      <c r="AN8" s="19" t="s">
        <v>105</v>
      </c>
      <c r="AO8" s="19" t="s">
        <v>167</v>
      </c>
      <c r="AP8" s="19">
        <v>20</v>
      </c>
      <c r="AQ8" s="19"/>
      <c r="AR8" s="9"/>
      <c r="AS8" s="19"/>
      <c r="AT8" s="19"/>
      <c r="AU8" s="19" t="b">
        <v>0</v>
      </c>
    </row>
    <row r="9" spans="1:47" x14ac:dyDescent="0.3">
      <c r="A9" s="20" t="s">
        <v>484</v>
      </c>
      <c r="B9" s="20"/>
      <c r="C9" s="20"/>
      <c r="D9" s="20"/>
      <c r="E9" s="20" t="b">
        <v>1</v>
      </c>
      <c r="F9" s="20">
        <v>0</v>
      </c>
      <c r="G9" s="20" t="b">
        <v>0</v>
      </c>
      <c r="H9" s="20">
        <v>0</v>
      </c>
      <c r="I9" s="20">
        <v>0</v>
      </c>
      <c r="J9" s="20">
        <v>0</v>
      </c>
      <c r="K9" s="20">
        <v>0</v>
      </c>
      <c r="L9" s="20"/>
      <c r="M9" s="20"/>
      <c r="N9" s="20" t="s">
        <v>102</v>
      </c>
      <c r="O9" s="20" t="s">
        <v>102</v>
      </c>
      <c r="P9" s="20">
        <v>0</v>
      </c>
      <c r="Q9" s="20">
        <v>-1</v>
      </c>
      <c r="R9" s="20">
        <v>-1</v>
      </c>
      <c r="S9" s="20" t="s">
        <v>162</v>
      </c>
      <c r="T9" s="20" t="s">
        <v>179</v>
      </c>
      <c r="U9" s="20"/>
      <c r="V9" s="20"/>
      <c r="W9" s="20"/>
      <c r="X9" s="20"/>
      <c r="Y9" s="20" t="b">
        <v>0</v>
      </c>
      <c r="Z9" s="20">
        <v>0</v>
      </c>
      <c r="AA9" s="20" t="b">
        <v>0</v>
      </c>
      <c r="AB9" s="20">
        <v>12</v>
      </c>
      <c r="AC9" s="20" t="str">
        <f t="shared" si="0"/>
        <v>Formation.slayer.active.01.effect</v>
      </c>
      <c r="AD9" s="20"/>
      <c r="AE9" s="20"/>
      <c r="AF9" s="20"/>
      <c r="AG9" s="20"/>
      <c r="AH9" s="59" t="s">
        <v>478</v>
      </c>
      <c r="AI9" s="20"/>
      <c r="AJ9" s="20"/>
      <c r="AK9" s="20"/>
      <c r="AL9" s="20"/>
      <c r="AM9" s="8" t="b">
        <v>0</v>
      </c>
      <c r="AN9" s="20" t="s">
        <v>105</v>
      </c>
      <c r="AO9" s="20" t="s">
        <v>106</v>
      </c>
      <c r="AP9" s="20"/>
      <c r="AQ9" s="20"/>
      <c r="AR9" s="8"/>
      <c r="AS9" s="20"/>
      <c r="AT9" s="20"/>
      <c r="AU9" s="20" t="b">
        <v>0</v>
      </c>
    </row>
    <row r="10" spans="1:47" x14ac:dyDescent="0.3">
      <c r="A10" s="19" t="s">
        <v>485</v>
      </c>
      <c r="B10" s="19"/>
      <c r="C10" s="19"/>
      <c r="D10" s="19"/>
      <c r="E10" s="19" t="b">
        <v>1</v>
      </c>
      <c r="F10" s="19">
        <v>0</v>
      </c>
      <c r="G10" s="19" t="b">
        <v>0</v>
      </c>
      <c r="H10" s="19">
        <v>0</v>
      </c>
      <c r="I10" s="19">
        <v>0</v>
      </c>
      <c r="J10" s="19">
        <v>0</v>
      </c>
      <c r="K10" s="19">
        <v>0</v>
      </c>
      <c r="L10" s="19"/>
      <c r="M10" s="19"/>
      <c r="N10" s="19" t="s">
        <v>102</v>
      </c>
      <c r="O10" s="19" t="s">
        <v>102</v>
      </c>
      <c r="P10" s="19">
        <v>0</v>
      </c>
      <c r="Q10" s="19">
        <v>-1</v>
      </c>
      <c r="R10" s="19">
        <v>-1</v>
      </c>
      <c r="S10" s="19" t="s">
        <v>165</v>
      </c>
      <c r="T10" s="19" t="s">
        <v>682</v>
      </c>
      <c r="U10" s="19"/>
      <c r="V10" s="19"/>
      <c r="W10" s="19"/>
      <c r="X10" s="19"/>
      <c r="Y10" s="19" t="b">
        <v>0</v>
      </c>
      <c r="Z10" s="19">
        <v>0</v>
      </c>
      <c r="AA10" s="19" t="b">
        <v>0</v>
      </c>
      <c r="AB10" s="19"/>
      <c r="AC10" s="19" t="str">
        <f t="shared" si="0"/>
        <v>Formation.formula.active.01.effect</v>
      </c>
      <c r="AD10" s="19"/>
      <c r="AE10" s="19"/>
      <c r="AF10" s="19"/>
      <c r="AG10" s="19"/>
      <c r="AH10" s="58" t="s">
        <v>479</v>
      </c>
      <c r="AI10" s="19"/>
      <c r="AJ10" s="19"/>
      <c r="AK10" s="19"/>
      <c r="AL10" s="19"/>
      <c r="AM10" s="9" t="b">
        <v>0</v>
      </c>
      <c r="AN10" s="19" t="s">
        <v>105</v>
      </c>
      <c r="AO10" s="19" t="s">
        <v>167</v>
      </c>
      <c r="AP10" s="19">
        <v>20</v>
      </c>
      <c r="AQ10" s="19"/>
      <c r="AR10" s="9"/>
      <c r="AS10" s="19"/>
      <c r="AT10" s="19"/>
      <c r="AU10" s="19" t="b">
        <v>0</v>
      </c>
    </row>
    <row r="11" spans="1:47" x14ac:dyDescent="0.3">
      <c r="A11" s="20" t="s">
        <v>503</v>
      </c>
      <c r="B11" s="20"/>
      <c r="C11" s="20"/>
      <c r="D11" s="20"/>
      <c r="E11" s="20" t="b">
        <v>1</v>
      </c>
      <c r="F11" s="20">
        <v>0</v>
      </c>
      <c r="G11" s="20" t="b">
        <v>0</v>
      </c>
      <c r="H11" s="20">
        <v>0</v>
      </c>
      <c r="I11" s="20">
        <v>0</v>
      </c>
      <c r="J11" s="20">
        <v>0</v>
      </c>
      <c r="K11" s="20">
        <v>0</v>
      </c>
      <c r="L11" s="20"/>
      <c r="M11" s="20"/>
      <c r="N11" s="20" t="s">
        <v>102</v>
      </c>
      <c r="O11" s="20" t="s">
        <v>102</v>
      </c>
      <c r="P11" s="20">
        <v>0</v>
      </c>
      <c r="Q11" s="20">
        <v>-1</v>
      </c>
      <c r="R11" s="20">
        <v>-1</v>
      </c>
      <c r="S11" s="20" t="s">
        <v>165</v>
      </c>
      <c r="T11" s="20" t="s">
        <v>688</v>
      </c>
      <c r="U11" s="20"/>
      <c r="V11" s="20"/>
      <c r="W11" s="20"/>
      <c r="X11" s="20"/>
      <c r="Y11" s="20" t="b">
        <v>0</v>
      </c>
      <c r="Z11" s="20">
        <v>0</v>
      </c>
      <c r="AA11" s="20" t="b">
        <v>0</v>
      </c>
      <c r="AB11" s="20"/>
      <c r="AC11" s="20" t="str">
        <f t="shared" si="0"/>
        <v>Formation.booster.active.01.effect</v>
      </c>
      <c r="AD11" s="20"/>
      <c r="AE11" s="20"/>
      <c r="AF11" s="20"/>
      <c r="AG11" s="20"/>
      <c r="AH11" s="59" t="s">
        <v>505</v>
      </c>
      <c r="AI11" s="20"/>
      <c r="AJ11" s="20"/>
      <c r="AK11" s="20"/>
      <c r="AL11" s="20"/>
      <c r="AM11" s="8" t="b">
        <v>0</v>
      </c>
      <c r="AN11" s="20" t="s">
        <v>105</v>
      </c>
      <c r="AO11" s="20" t="s">
        <v>106</v>
      </c>
      <c r="AP11" s="20"/>
      <c r="AQ11" s="20"/>
      <c r="AR11" s="8"/>
      <c r="AS11" s="20"/>
      <c r="AT11" s="20"/>
      <c r="AU11" s="20" t="b">
        <v>0</v>
      </c>
    </row>
    <row r="12" spans="1:47" x14ac:dyDescent="0.3">
      <c r="A12" s="19" t="s">
        <v>486</v>
      </c>
      <c r="B12" s="19"/>
      <c r="C12" s="19"/>
      <c r="D12" s="19"/>
      <c r="E12" s="19" t="b">
        <v>1</v>
      </c>
      <c r="F12" s="19">
        <v>0</v>
      </c>
      <c r="G12" s="19" t="b">
        <v>0</v>
      </c>
      <c r="H12" s="19">
        <v>0</v>
      </c>
      <c r="I12" s="19">
        <v>0</v>
      </c>
      <c r="J12" s="19">
        <v>0</v>
      </c>
      <c r="K12" s="19">
        <v>0</v>
      </c>
      <c r="L12" s="19"/>
      <c r="M12" s="19"/>
      <c r="N12" s="19" t="s">
        <v>102</v>
      </c>
      <c r="O12" s="19" t="s">
        <v>102</v>
      </c>
      <c r="P12" s="19">
        <v>0</v>
      </c>
      <c r="Q12" s="19">
        <v>-1</v>
      </c>
      <c r="R12" s="19">
        <v>-1</v>
      </c>
      <c r="S12" s="19" t="s">
        <v>162</v>
      </c>
      <c r="T12" s="19" t="s">
        <v>181</v>
      </c>
      <c r="U12" s="19"/>
      <c r="V12" s="19"/>
      <c r="W12" s="19"/>
      <c r="X12" s="19"/>
      <c r="Y12" s="19" t="b">
        <v>0</v>
      </c>
      <c r="Z12" s="19">
        <v>0</v>
      </c>
      <c r="AA12" s="19" t="b">
        <v>0</v>
      </c>
      <c r="AB12" s="19"/>
      <c r="AC12" s="19" t="str">
        <f t="shared" si="0"/>
        <v>Formation.break.active.01.effect</v>
      </c>
      <c r="AD12" s="19"/>
      <c r="AE12" s="19"/>
      <c r="AF12" s="19"/>
      <c r="AG12" s="19"/>
      <c r="AH12" s="58" t="s">
        <v>480</v>
      </c>
      <c r="AI12" s="19"/>
      <c r="AJ12" s="19"/>
      <c r="AK12" s="19"/>
      <c r="AL12" s="19"/>
      <c r="AM12" s="9" t="b">
        <v>0</v>
      </c>
      <c r="AN12" s="19" t="s">
        <v>105</v>
      </c>
      <c r="AO12" s="19" t="s">
        <v>106</v>
      </c>
      <c r="AP12" s="19"/>
      <c r="AQ12" s="19"/>
      <c r="AR12" s="9"/>
      <c r="AS12" s="19"/>
      <c r="AT12" s="19"/>
      <c r="AU12" s="19" t="b">
        <v>0</v>
      </c>
    </row>
    <row r="13" spans="1:47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2"/>
      <c r="AD13" s="19"/>
      <c r="AE13" s="19"/>
      <c r="AF13" s="19"/>
      <c r="AG13" s="19"/>
      <c r="AH13" s="19"/>
      <c r="AI13" s="19"/>
      <c r="AJ13" s="19"/>
      <c r="AK13" s="19"/>
      <c r="AL13" s="19"/>
      <c r="AM13" s="8"/>
      <c r="AN13" s="17"/>
      <c r="AO13" s="19"/>
      <c r="AP13" s="19"/>
      <c r="AQ13" s="19"/>
      <c r="AR13" s="13"/>
      <c r="AS13" s="19"/>
      <c r="AT13" s="19"/>
      <c r="AU13" s="19"/>
    </row>
    <row r="14" spans="1:47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22"/>
      <c r="AD14" s="19"/>
      <c r="AE14" s="19"/>
      <c r="AF14" s="19"/>
      <c r="AG14" s="19"/>
      <c r="AH14" s="19"/>
      <c r="AI14" s="19"/>
      <c r="AJ14" s="19"/>
      <c r="AK14" s="19"/>
      <c r="AL14" s="19"/>
      <c r="AM14" s="8"/>
      <c r="AN14" s="17"/>
      <c r="AO14" s="19"/>
      <c r="AP14" s="19"/>
      <c r="AQ14" s="19"/>
      <c r="AR14" s="13"/>
      <c r="AS14" s="19"/>
      <c r="AT14" s="19"/>
      <c r="AU14" s="19"/>
    </row>
    <row r="15" spans="1:47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2"/>
      <c r="AD15" s="19"/>
      <c r="AE15" s="19"/>
      <c r="AF15" s="19"/>
      <c r="AG15" s="19"/>
      <c r="AH15" s="19"/>
      <c r="AI15" s="19"/>
      <c r="AJ15" s="19"/>
      <c r="AK15" s="19"/>
      <c r="AL15" s="19"/>
      <c r="AM15" s="8"/>
      <c r="AN15" s="17"/>
      <c r="AO15" s="19"/>
      <c r="AP15" s="19"/>
      <c r="AQ15" s="19"/>
      <c r="AR15" s="13"/>
      <c r="AS15" s="19"/>
      <c r="AT15" s="19"/>
      <c r="AU15" s="19"/>
    </row>
    <row r="16" spans="1:47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22"/>
      <c r="AD16" s="19"/>
      <c r="AE16" s="19"/>
      <c r="AF16" s="19"/>
      <c r="AG16" s="19"/>
      <c r="AH16" s="19"/>
      <c r="AI16" s="19"/>
      <c r="AJ16" s="19"/>
      <c r="AK16" s="19"/>
      <c r="AL16" s="19"/>
      <c r="AM16" s="8"/>
      <c r="AN16" s="17"/>
      <c r="AO16" s="19"/>
      <c r="AP16" s="19"/>
      <c r="AQ16" s="19"/>
      <c r="AR16" s="13"/>
      <c r="AS16" s="19"/>
      <c r="AT16" s="19"/>
      <c r="AU16" s="19"/>
    </row>
    <row r="17" spans="1:47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22"/>
      <c r="AD17" s="19"/>
      <c r="AE17" s="19"/>
      <c r="AF17" s="19"/>
      <c r="AG17" s="19"/>
      <c r="AH17" s="19"/>
      <c r="AI17" s="19"/>
      <c r="AJ17" s="19"/>
      <c r="AK17" s="19"/>
      <c r="AL17" s="19"/>
      <c r="AM17" s="8"/>
      <c r="AN17" s="17"/>
      <c r="AO17" s="19"/>
      <c r="AP17" s="19"/>
      <c r="AQ17" s="19"/>
      <c r="AR17" s="13"/>
      <c r="AS17" s="19"/>
      <c r="AT17" s="19"/>
      <c r="AU17" s="19"/>
    </row>
    <row r="18" spans="1:47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22"/>
      <c r="AD18" s="19"/>
      <c r="AE18" s="19"/>
      <c r="AF18" s="19"/>
      <c r="AG18" s="19"/>
      <c r="AH18" s="19"/>
      <c r="AI18" s="19"/>
      <c r="AJ18" s="19"/>
      <c r="AK18" s="19"/>
      <c r="AL18" s="19"/>
      <c r="AM18" s="8"/>
      <c r="AN18" s="17"/>
      <c r="AO18" s="19"/>
      <c r="AP18" s="19"/>
      <c r="AQ18" s="19"/>
      <c r="AR18" s="13"/>
      <c r="AS18" s="19"/>
      <c r="AT18" s="19"/>
      <c r="AU18" s="19"/>
    </row>
    <row r="19" spans="1:47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2"/>
      <c r="AD19" s="19"/>
      <c r="AE19" s="19"/>
      <c r="AF19" s="19"/>
      <c r="AG19" s="19"/>
      <c r="AH19" s="19"/>
      <c r="AI19" s="19"/>
      <c r="AJ19" s="19"/>
      <c r="AK19" s="19"/>
      <c r="AL19" s="19"/>
      <c r="AM19" s="8"/>
      <c r="AN19" s="17"/>
      <c r="AO19" s="19"/>
      <c r="AP19" s="19"/>
      <c r="AQ19" s="19"/>
      <c r="AR19" s="13"/>
      <c r="AS19" s="19"/>
      <c r="AT19" s="19"/>
      <c r="AU19" s="19"/>
    </row>
    <row r="20" spans="1:47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22"/>
      <c r="AD20" s="19"/>
      <c r="AE20" s="19"/>
      <c r="AF20" s="19"/>
      <c r="AG20" s="19"/>
      <c r="AH20" s="19"/>
      <c r="AI20" s="19"/>
      <c r="AJ20" s="19"/>
      <c r="AK20" s="19"/>
      <c r="AL20" s="19"/>
      <c r="AM20" s="8"/>
      <c r="AN20" s="17"/>
      <c r="AO20" s="19"/>
      <c r="AP20" s="19"/>
      <c r="AQ20" s="19"/>
      <c r="AR20" s="13"/>
      <c r="AS20" s="19"/>
      <c r="AT20" s="19"/>
      <c r="AU20" s="19"/>
    </row>
    <row r="21" spans="1:47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2"/>
      <c r="AD21" s="19"/>
      <c r="AE21" s="19"/>
      <c r="AF21" s="19"/>
      <c r="AG21" s="19"/>
      <c r="AH21" s="19"/>
      <c r="AI21" s="19"/>
      <c r="AJ21" s="19"/>
      <c r="AK21" s="19"/>
      <c r="AL21" s="19"/>
      <c r="AM21" s="8"/>
      <c r="AN21" s="17"/>
      <c r="AO21" s="19"/>
      <c r="AP21" s="19"/>
      <c r="AQ21" s="19"/>
      <c r="AR21" s="13"/>
      <c r="AS21" s="19"/>
      <c r="AT21" s="19"/>
      <c r="AU21" s="19"/>
    </row>
    <row r="22" spans="1:47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22"/>
      <c r="AD22" s="19"/>
      <c r="AE22" s="19"/>
      <c r="AF22" s="19"/>
      <c r="AG22" s="19"/>
      <c r="AH22" s="19"/>
      <c r="AI22" s="19"/>
      <c r="AJ22" s="19"/>
      <c r="AK22" s="19"/>
      <c r="AL22" s="19"/>
      <c r="AM22" s="8"/>
      <c r="AN22" s="17"/>
      <c r="AO22" s="19"/>
      <c r="AP22" s="19"/>
      <c r="AQ22" s="19"/>
      <c r="AR22" s="13"/>
      <c r="AS22" s="19"/>
      <c r="AT22" s="19"/>
      <c r="AU22" s="19"/>
    </row>
    <row r="23" spans="1:47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2"/>
      <c r="AD23" s="19"/>
      <c r="AE23" s="19"/>
      <c r="AF23" s="19"/>
      <c r="AG23" s="19"/>
      <c r="AH23" s="19"/>
      <c r="AI23" s="19"/>
      <c r="AJ23" s="19"/>
      <c r="AK23" s="19"/>
      <c r="AL23" s="19"/>
      <c r="AM23" s="8"/>
      <c r="AN23" s="17"/>
      <c r="AO23" s="19"/>
      <c r="AP23" s="19"/>
      <c r="AQ23" s="19"/>
      <c r="AR23" s="13"/>
      <c r="AS23" s="19"/>
      <c r="AT23" s="19"/>
      <c r="AU23" s="19"/>
    </row>
    <row r="24" spans="1:47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22"/>
      <c r="AD24" s="19"/>
      <c r="AE24" s="19"/>
      <c r="AF24" s="19"/>
      <c r="AG24" s="19"/>
      <c r="AH24" s="19"/>
      <c r="AI24" s="19"/>
      <c r="AJ24" s="19"/>
      <c r="AK24" s="19"/>
      <c r="AL24" s="19"/>
      <c r="AM24" s="8"/>
      <c r="AN24" s="17"/>
      <c r="AO24" s="19"/>
      <c r="AP24" s="19"/>
      <c r="AQ24" s="19"/>
      <c r="AR24" s="13"/>
      <c r="AS24" s="19"/>
      <c r="AT24" s="19"/>
      <c r="AU24" s="19"/>
    </row>
    <row r="25" spans="1:47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2"/>
      <c r="AD25" s="19"/>
      <c r="AE25" s="19"/>
      <c r="AF25" s="19"/>
      <c r="AG25" s="19"/>
      <c r="AH25" s="19"/>
      <c r="AI25" s="19"/>
      <c r="AJ25" s="19"/>
      <c r="AK25" s="19"/>
      <c r="AL25" s="19"/>
      <c r="AM25" s="8"/>
      <c r="AN25" s="17"/>
      <c r="AO25" s="19"/>
      <c r="AP25" s="19"/>
      <c r="AQ25" s="19"/>
      <c r="AR25" s="13"/>
      <c r="AS25" s="19"/>
      <c r="AT25" s="19"/>
      <c r="AU25" s="19"/>
    </row>
    <row r="26" spans="1:47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22"/>
      <c r="AD26" s="19"/>
      <c r="AE26" s="19"/>
      <c r="AF26" s="19"/>
      <c r="AG26" s="19"/>
      <c r="AH26" s="19"/>
      <c r="AI26" s="19"/>
      <c r="AJ26" s="19"/>
      <c r="AK26" s="19"/>
      <c r="AL26" s="19"/>
      <c r="AM26" s="8"/>
      <c r="AN26" s="17"/>
      <c r="AO26" s="19"/>
      <c r="AP26" s="19"/>
      <c r="AQ26" s="19"/>
      <c r="AR26" s="13"/>
      <c r="AS26" s="19"/>
      <c r="AT26" s="19"/>
      <c r="AU26" s="19"/>
    </row>
    <row r="27" spans="1:47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2"/>
      <c r="AD27" s="19"/>
      <c r="AE27" s="19"/>
      <c r="AF27" s="19"/>
      <c r="AG27" s="19"/>
      <c r="AH27" s="19"/>
      <c r="AI27" s="19"/>
      <c r="AJ27" s="19"/>
      <c r="AK27" s="19"/>
      <c r="AL27" s="19"/>
      <c r="AM27" s="8"/>
      <c r="AN27" s="17"/>
      <c r="AO27" s="19"/>
      <c r="AP27" s="19"/>
      <c r="AQ27" s="19"/>
      <c r="AR27" s="13"/>
      <c r="AS27" s="19"/>
      <c r="AT27" s="19"/>
      <c r="AU27" s="19"/>
    </row>
    <row r="28" spans="1:47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22"/>
      <c r="AD28" s="19"/>
      <c r="AE28" s="19"/>
      <c r="AF28" s="19"/>
      <c r="AG28" s="19"/>
      <c r="AH28" s="19"/>
      <c r="AI28" s="19"/>
      <c r="AJ28" s="19"/>
      <c r="AK28" s="19"/>
      <c r="AL28" s="19"/>
      <c r="AM28" s="8"/>
      <c r="AN28" s="17"/>
      <c r="AO28" s="19"/>
      <c r="AP28" s="19"/>
      <c r="AQ28" s="19"/>
      <c r="AR28" s="13"/>
      <c r="AS28" s="19"/>
      <c r="AT28" s="19"/>
      <c r="AU28" s="19"/>
    </row>
    <row r="29" spans="1:47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22"/>
      <c r="AD29" s="19"/>
      <c r="AE29" s="19"/>
      <c r="AF29" s="19"/>
      <c r="AG29" s="19"/>
      <c r="AH29" s="19"/>
      <c r="AI29" s="19"/>
      <c r="AJ29" s="19"/>
      <c r="AK29" s="19"/>
      <c r="AL29" s="19"/>
      <c r="AM29" s="8"/>
      <c r="AN29" s="17"/>
      <c r="AO29" s="19"/>
      <c r="AP29" s="19"/>
      <c r="AQ29" s="19"/>
      <c r="AR29" s="13"/>
      <c r="AS29" s="19"/>
      <c r="AT29" s="19"/>
      <c r="AU29" s="19"/>
    </row>
    <row r="30" spans="1:47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22"/>
      <c r="AD30" s="19"/>
      <c r="AE30" s="19"/>
      <c r="AF30" s="19"/>
      <c r="AG30" s="19"/>
      <c r="AH30" s="19"/>
      <c r="AI30" s="19"/>
      <c r="AJ30" s="19"/>
      <c r="AK30" s="19"/>
      <c r="AL30" s="19"/>
      <c r="AM30" s="8"/>
      <c r="AN30" s="17"/>
      <c r="AO30" s="19"/>
      <c r="AP30" s="19"/>
      <c r="AQ30" s="19"/>
      <c r="AR30" s="13"/>
      <c r="AS30" s="19"/>
      <c r="AT30" s="19"/>
      <c r="AU30" s="19"/>
    </row>
    <row r="31" spans="1:47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2"/>
      <c r="AD31" s="19"/>
      <c r="AE31" s="19"/>
      <c r="AF31" s="19"/>
      <c r="AG31" s="19"/>
      <c r="AH31" s="19"/>
      <c r="AI31" s="19"/>
      <c r="AJ31" s="19"/>
      <c r="AK31" s="19"/>
      <c r="AL31" s="19"/>
      <c r="AM31" s="8"/>
      <c r="AN31" s="17"/>
      <c r="AO31" s="19"/>
      <c r="AP31" s="19"/>
      <c r="AQ31" s="19"/>
      <c r="AR31" s="13"/>
      <c r="AS31" s="19"/>
      <c r="AT31" s="19"/>
      <c r="AU31" s="19"/>
    </row>
    <row r="32" spans="1:47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7"/>
      <c r="R32" s="17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22"/>
      <c r="AD32" s="19"/>
      <c r="AE32" s="19"/>
      <c r="AF32" s="19"/>
      <c r="AG32" s="19"/>
      <c r="AH32" s="19"/>
      <c r="AI32" s="19"/>
      <c r="AJ32" s="19"/>
      <c r="AK32" s="19"/>
      <c r="AL32" s="19"/>
      <c r="AM32" s="8"/>
      <c r="AN32" s="17"/>
      <c r="AO32" s="19"/>
      <c r="AP32" s="19"/>
      <c r="AQ32" s="19"/>
      <c r="AR32" s="13"/>
      <c r="AS32" s="19"/>
      <c r="AT32" s="19"/>
      <c r="AU32" s="19"/>
    </row>
    <row r="33" spans="1:47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7"/>
      <c r="R33" s="17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2"/>
      <c r="AD33" s="19"/>
      <c r="AE33" s="19"/>
      <c r="AF33" s="19"/>
      <c r="AG33" s="19"/>
      <c r="AH33" s="19"/>
      <c r="AI33" s="19"/>
      <c r="AJ33" s="19"/>
      <c r="AK33" s="19"/>
      <c r="AL33" s="19"/>
      <c r="AM33" s="8"/>
      <c r="AN33" s="17"/>
      <c r="AO33" s="19"/>
      <c r="AP33" s="19"/>
      <c r="AQ33" s="19"/>
      <c r="AR33" s="13"/>
      <c r="AS33" s="19"/>
      <c r="AT33" s="19"/>
      <c r="AU33" s="19"/>
    </row>
    <row r="34" spans="1:47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7"/>
      <c r="R34" s="17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22"/>
      <c r="AD34" s="19"/>
      <c r="AE34" s="19"/>
      <c r="AF34" s="19"/>
      <c r="AG34" s="19"/>
      <c r="AH34" s="19"/>
      <c r="AI34" s="19"/>
      <c r="AJ34" s="19"/>
      <c r="AK34" s="19"/>
      <c r="AL34" s="19"/>
      <c r="AM34" s="8"/>
      <c r="AN34" s="17"/>
      <c r="AO34" s="19"/>
      <c r="AP34" s="19"/>
      <c r="AQ34" s="19"/>
      <c r="AR34" s="13"/>
      <c r="AS34" s="19"/>
      <c r="AT34" s="19"/>
      <c r="AU34" s="19"/>
    </row>
    <row r="35" spans="1:47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7"/>
      <c r="R35" s="17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2"/>
      <c r="AD35" s="19"/>
      <c r="AE35" s="19"/>
      <c r="AF35" s="19"/>
      <c r="AG35" s="19"/>
      <c r="AH35" s="19"/>
      <c r="AI35" s="19"/>
      <c r="AJ35" s="19"/>
      <c r="AK35" s="19"/>
      <c r="AL35" s="19"/>
      <c r="AM35" s="8"/>
      <c r="AN35" s="17"/>
      <c r="AO35" s="19"/>
      <c r="AP35" s="19"/>
      <c r="AQ35" s="19"/>
      <c r="AR35" s="13"/>
      <c r="AS35" s="19"/>
      <c r="AT35" s="19"/>
      <c r="AU35" s="19"/>
    </row>
    <row r="36" spans="1:47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7"/>
      <c r="R36" s="17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2"/>
      <c r="AD36" s="19"/>
      <c r="AE36" s="19"/>
      <c r="AF36" s="19"/>
      <c r="AG36" s="19"/>
      <c r="AH36" s="19"/>
      <c r="AI36" s="19"/>
      <c r="AJ36" s="19"/>
      <c r="AK36" s="19"/>
      <c r="AL36" s="19"/>
      <c r="AM36" s="8"/>
      <c r="AN36" s="17"/>
      <c r="AO36" s="19"/>
      <c r="AP36" s="19"/>
      <c r="AQ36" s="19"/>
      <c r="AR36" s="13"/>
      <c r="AS36" s="19"/>
      <c r="AT36" s="19"/>
      <c r="AU36" s="19"/>
    </row>
    <row r="37" spans="1:47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7"/>
      <c r="R37" s="17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2"/>
      <c r="AD37" s="19"/>
      <c r="AE37" s="19"/>
      <c r="AF37" s="19"/>
      <c r="AG37" s="19"/>
      <c r="AH37" s="19"/>
      <c r="AI37" s="19"/>
      <c r="AJ37" s="19"/>
      <c r="AK37" s="19"/>
      <c r="AL37" s="19"/>
      <c r="AM37" s="8"/>
      <c r="AN37" s="17"/>
      <c r="AO37" s="19"/>
      <c r="AP37" s="19"/>
      <c r="AQ37" s="19"/>
      <c r="AR37" s="13"/>
      <c r="AS37" s="19"/>
      <c r="AT37" s="19"/>
      <c r="AU37" s="19"/>
    </row>
    <row r="38" spans="1:47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7"/>
      <c r="R38" s="17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22"/>
      <c r="AD38" s="19"/>
      <c r="AE38" s="19"/>
      <c r="AF38" s="19"/>
      <c r="AG38" s="19"/>
      <c r="AH38" s="19"/>
      <c r="AI38" s="19"/>
      <c r="AJ38" s="19"/>
      <c r="AK38" s="19"/>
      <c r="AL38" s="19"/>
      <c r="AM38" s="8"/>
      <c r="AN38" s="17"/>
      <c r="AO38" s="19"/>
      <c r="AP38" s="19"/>
      <c r="AQ38" s="19"/>
      <c r="AR38" s="13"/>
      <c r="AS38" s="19"/>
      <c r="AT38" s="19"/>
      <c r="AU38" s="19"/>
    </row>
    <row r="39" spans="1:47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7"/>
      <c r="R39" s="17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22"/>
      <c r="AD39" s="19"/>
      <c r="AE39" s="19"/>
      <c r="AF39" s="19"/>
      <c r="AG39" s="19"/>
      <c r="AH39" s="19"/>
      <c r="AI39" s="19"/>
      <c r="AJ39" s="19"/>
      <c r="AK39" s="19"/>
      <c r="AL39" s="19"/>
      <c r="AM39" s="8"/>
      <c r="AN39" s="17"/>
      <c r="AO39" s="19"/>
      <c r="AP39" s="19"/>
      <c r="AQ39" s="19"/>
      <c r="AR39" s="13"/>
      <c r="AS39" s="19"/>
      <c r="AT39" s="19"/>
      <c r="AU39" s="19"/>
    </row>
    <row r="40" spans="1:47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7"/>
      <c r="R40" s="17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22"/>
      <c r="AD40" s="19"/>
      <c r="AE40" s="19"/>
      <c r="AF40" s="19"/>
      <c r="AG40" s="19"/>
      <c r="AH40" s="19"/>
      <c r="AI40" s="19"/>
      <c r="AJ40" s="19"/>
      <c r="AK40" s="19"/>
      <c r="AL40" s="19"/>
      <c r="AM40" s="8"/>
      <c r="AN40" s="17"/>
      <c r="AO40" s="19"/>
      <c r="AP40" s="19"/>
      <c r="AQ40" s="19"/>
      <c r="AR40" s="13"/>
      <c r="AS40" s="19"/>
      <c r="AT40" s="19"/>
      <c r="AU40" s="19"/>
    </row>
    <row r="41" spans="1:47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7"/>
      <c r="R41" s="17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2"/>
      <c r="AD41" s="19"/>
      <c r="AE41" s="19"/>
      <c r="AF41" s="19"/>
      <c r="AG41" s="19"/>
      <c r="AH41" s="19"/>
      <c r="AI41" s="19"/>
      <c r="AJ41" s="19"/>
      <c r="AK41" s="19"/>
      <c r="AL41" s="19"/>
      <c r="AM41" s="8"/>
      <c r="AN41" s="17"/>
      <c r="AO41" s="19"/>
      <c r="AP41" s="19"/>
      <c r="AQ41" s="19"/>
      <c r="AR41" s="13"/>
      <c r="AS41" s="19"/>
      <c r="AT41" s="19"/>
      <c r="AU41" s="19"/>
    </row>
    <row r="42" spans="1:47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7"/>
      <c r="R42" s="17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22"/>
      <c r="AD42" s="19"/>
      <c r="AE42" s="19"/>
      <c r="AF42" s="19"/>
      <c r="AG42" s="19"/>
      <c r="AH42" s="19"/>
      <c r="AI42" s="19"/>
      <c r="AJ42" s="19"/>
      <c r="AK42" s="19"/>
      <c r="AL42" s="19"/>
      <c r="AM42" s="8"/>
      <c r="AN42" s="17"/>
      <c r="AO42" s="19"/>
      <c r="AP42" s="19"/>
      <c r="AQ42" s="19"/>
      <c r="AR42" s="13"/>
      <c r="AS42" s="19"/>
      <c r="AT42" s="19"/>
      <c r="AU42" s="19"/>
    </row>
    <row r="43" spans="1:47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7"/>
      <c r="R43" s="17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2"/>
      <c r="AD43" s="19"/>
      <c r="AE43" s="19"/>
      <c r="AF43" s="19"/>
      <c r="AG43" s="19"/>
      <c r="AH43" s="19"/>
      <c r="AI43" s="19"/>
      <c r="AJ43" s="19"/>
      <c r="AK43" s="19"/>
      <c r="AL43" s="19"/>
      <c r="AM43" s="8"/>
      <c r="AN43" s="17"/>
      <c r="AO43" s="19"/>
      <c r="AP43" s="19"/>
      <c r="AQ43" s="19"/>
      <c r="AR43" s="13"/>
      <c r="AS43" s="19"/>
      <c r="AT43" s="19"/>
      <c r="AU43" s="19"/>
    </row>
  </sheetData>
  <phoneticPr fontId="1" type="noConversion"/>
  <conditionalFormatting sqref="A1:A1048576">
    <cfRule type="duplicateValues" dxfId="24" priority="13"/>
  </conditionalFormatting>
  <conditionalFormatting sqref="A1:XFD1048576">
    <cfRule type="cellIs" dxfId="23" priority="290" operator="equal">
      <formula>"Single"</formula>
    </cfRule>
    <cfRule type="cellIs" dxfId="22" priority="293" operator="equal">
      <formula>"Normal"</formula>
    </cfRule>
    <cfRule type="cellIs" dxfId="21" priority="294" operator="lessThanOrEqual">
      <formula>0</formula>
    </cfRule>
    <cfRule type="cellIs" dxfId="20" priority="295" operator="equal">
      <formula>FALSE</formula>
    </cfRule>
  </conditionalFormatting>
  <conditionalFormatting sqref="A1:XFD1048576">
    <cfRule type="containsBlanks" dxfId="19" priority="12">
      <formula>LEN(TRIM(A1))=0</formula>
    </cfRule>
  </conditionalFormatting>
  <dataValidations disablePrompts="1" count="1">
    <dataValidation showInputMessage="1" showErrorMessage="1" prompt="Self 자신_x000a_Ally 아군_x000a_Enemy 적_x000a_DeadAlly 죽은아군_x000a_DeadEnemy 죽은적" sqref="S1"/>
  </dataValidations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F18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9" sqref="F9"/>
    </sheetView>
  </sheetViews>
  <sheetFormatPr defaultRowHeight="16.5" x14ac:dyDescent="0.3"/>
  <cols>
    <col min="1" max="1" width="54.5" bestFit="1" customWidth="1"/>
    <col min="2" max="2" width="38.25" customWidth="1"/>
    <col min="3" max="3" width="17.875" bestFit="1" customWidth="1"/>
    <col min="4" max="4" width="16.25" bestFit="1" customWidth="1"/>
    <col min="5" max="5" width="15.375" bestFit="1" customWidth="1"/>
    <col min="6" max="6" width="43.75" customWidth="1"/>
    <col min="7" max="8" width="16.25" customWidth="1"/>
    <col min="9" max="9" width="68.5" customWidth="1"/>
    <col min="10" max="10" width="9.75" bestFit="1" customWidth="1"/>
    <col min="11" max="11" width="15.5" bestFit="1" customWidth="1"/>
    <col min="12" max="12" width="12.875" bestFit="1" customWidth="1"/>
    <col min="13" max="13" width="21.625" bestFit="1" customWidth="1"/>
    <col min="14" max="14" width="21.375" bestFit="1" customWidth="1"/>
    <col min="15" max="15" width="16.5" customWidth="1"/>
    <col min="16" max="16" width="23.125" bestFit="1" customWidth="1"/>
    <col min="17" max="17" width="22.625" bestFit="1" customWidth="1"/>
    <col min="18" max="18" width="16.625" customWidth="1"/>
    <col min="19" max="19" width="15.625" customWidth="1"/>
    <col min="20" max="20" width="16.25" bestFit="1" customWidth="1"/>
    <col min="21" max="21" width="18.875" customWidth="1"/>
    <col min="22" max="22" width="15.625" bestFit="1" customWidth="1"/>
    <col min="23" max="23" width="10.75" bestFit="1" customWidth="1"/>
    <col min="24" max="24" width="17.875" bestFit="1" customWidth="1"/>
    <col min="25" max="25" width="17.125" bestFit="1" customWidth="1"/>
    <col min="26" max="26" width="10.875" bestFit="1" customWidth="1"/>
    <col min="27" max="27" width="16.75" customWidth="1"/>
    <col min="28" max="28" width="13.25" bestFit="1" customWidth="1"/>
    <col min="29" max="29" width="52.875" bestFit="1" customWidth="1"/>
    <col min="30" max="30" width="14.875" bestFit="1" customWidth="1"/>
    <col min="31" max="31" width="15.875" bestFit="1" customWidth="1"/>
    <col min="32" max="32" width="13" bestFit="1" customWidth="1"/>
    <col min="33" max="33" width="27.125" bestFit="1" customWidth="1"/>
    <col min="34" max="34" width="14.25" bestFit="1" customWidth="1"/>
    <col min="35" max="35" width="14.375" customWidth="1"/>
  </cols>
  <sheetData>
    <row r="1" spans="1:32" ht="33" customHeight="1" x14ac:dyDescent="0.3">
      <c r="A1" s="1" t="s">
        <v>0</v>
      </c>
      <c r="B1" s="1" t="s">
        <v>157</v>
      </c>
      <c r="C1" s="3" t="s">
        <v>2</v>
      </c>
      <c r="D1" s="3" t="s">
        <v>3</v>
      </c>
      <c r="E1" s="57" t="s">
        <v>107</v>
      </c>
      <c r="F1" s="57" t="s">
        <v>108</v>
      </c>
      <c r="G1" s="57" t="s">
        <v>108</v>
      </c>
      <c r="H1" s="57" t="s">
        <v>108</v>
      </c>
      <c r="I1" s="2" t="s">
        <v>109</v>
      </c>
      <c r="J1" s="28" t="s">
        <v>110</v>
      </c>
      <c r="K1" s="3" t="s">
        <v>111</v>
      </c>
      <c r="L1" s="3" t="s">
        <v>19</v>
      </c>
      <c r="M1" s="3" t="s">
        <v>2</v>
      </c>
      <c r="N1" s="3" t="s">
        <v>3</v>
      </c>
      <c r="O1" s="1" t="s">
        <v>112</v>
      </c>
      <c r="P1" s="7" t="s">
        <v>113</v>
      </c>
      <c r="Q1" s="7" t="s">
        <v>114</v>
      </c>
      <c r="R1" s="7" t="s">
        <v>115</v>
      </c>
      <c r="S1" s="7" t="s">
        <v>116</v>
      </c>
      <c r="T1" s="1" t="s">
        <v>117</v>
      </c>
      <c r="U1" s="1" t="s">
        <v>118</v>
      </c>
      <c r="V1" s="1" t="s">
        <v>119</v>
      </c>
      <c r="W1" s="5" t="s">
        <v>120</v>
      </c>
      <c r="X1" s="5" t="s">
        <v>121</v>
      </c>
      <c r="Y1" s="5" t="s">
        <v>122</v>
      </c>
      <c r="Z1" s="1" t="s">
        <v>123</v>
      </c>
      <c r="AA1" s="7" t="s">
        <v>124</v>
      </c>
      <c r="AB1" s="7" t="s">
        <v>125</v>
      </c>
      <c r="AC1" s="1" t="s">
        <v>126</v>
      </c>
      <c r="AD1" s="1" t="s">
        <v>127</v>
      </c>
      <c r="AE1" s="16" t="s">
        <v>128</v>
      </c>
      <c r="AF1" s="4" t="s">
        <v>129</v>
      </c>
    </row>
    <row r="2" spans="1:32" x14ac:dyDescent="0.3">
      <c r="A2" s="1" t="s">
        <v>44</v>
      </c>
      <c r="B2" s="1" t="s">
        <v>157</v>
      </c>
      <c r="C2" s="3" t="s">
        <v>46</v>
      </c>
      <c r="D2" s="3" t="s">
        <v>47</v>
      </c>
      <c r="E2" s="57" t="s">
        <v>130</v>
      </c>
      <c r="F2" s="57" t="s">
        <v>131</v>
      </c>
      <c r="G2" s="57" t="s">
        <v>132</v>
      </c>
      <c r="H2" s="57" t="s">
        <v>133</v>
      </c>
      <c r="I2" s="2" t="s">
        <v>134</v>
      </c>
      <c r="J2" s="28" t="s">
        <v>135</v>
      </c>
      <c r="K2" s="3" t="s">
        <v>61</v>
      </c>
      <c r="L2" s="3" t="s">
        <v>62</v>
      </c>
      <c r="M2" s="3" t="s">
        <v>65</v>
      </c>
      <c r="N2" s="3" t="s">
        <v>66</v>
      </c>
      <c r="O2" s="1" t="s">
        <v>136</v>
      </c>
      <c r="P2" s="7" t="s">
        <v>137</v>
      </c>
      <c r="Q2" s="7" t="s">
        <v>138</v>
      </c>
      <c r="R2" s="7" t="s">
        <v>139</v>
      </c>
      <c r="S2" s="7" t="s">
        <v>140</v>
      </c>
      <c r="T2" s="1" t="s">
        <v>141</v>
      </c>
      <c r="U2" s="1" t="s">
        <v>142</v>
      </c>
      <c r="V2" s="1" t="s">
        <v>143</v>
      </c>
      <c r="W2" s="5" t="s">
        <v>98</v>
      </c>
      <c r="X2" s="5" t="s">
        <v>144</v>
      </c>
      <c r="Y2" s="5" t="s">
        <v>145</v>
      </c>
      <c r="Z2" s="1" t="s">
        <v>146</v>
      </c>
      <c r="AA2" s="7" t="s">
        <v>147</v>
      </c>
      <c r="AB2" s="7" t="s">
        <v>148</v>
      </c>
      <c r="AC2" s="1" t="s">
        <v>149</v>
      </c>
      <c r="AD2" s="1" t="s">
        <v>150</v>
      </c>
      <c r="AE2" s="16" t="s">
        <v>151</v>
      </c>
      <c r="AF2" s="4" t="s">
        <v>86</v>
      </c>
    </row>
    <row r="3" spans="1:32" x14ac:dyDescent="0.3">
      <c r="A3" s="1" t="s">
        <v>87</v>
      </c>
      <c r="B3" s="1" t="s">
        <v>157</v>
      </c>
      <c r="C3" s="3" t="s">
        <v>89</v>
      </c>
      <c r="D3" s="3" t="s">
        <v>88</v>
      </c>
      <c r="E3" s="57" t="s">
        <v>152</v>
      </c>
      <c r="F3" s="57" t="s">
        <v>153</v>
      </c>
      <c r="G3" s="57" t="s">
        <v>153</v>
      </c>
      <c r="H3" s="57" t="s">
        <v>153</v>
      </c>
      <c r="I3" s="2" t="s">
        <v>154</v>
      </c>
      <c r="J3" s="28" t="s">
        <v>91</v>
      </c>
      <c r="K3" s="3" t="s">
        <v>61</v>
      </c>
      <c r="L3" s="3" t="s">
        <v>155</v>
      </c>
      <c r="M3" s="3" t="s">
        <v>89</v>
      </c>
      <c r="N3" s="3" t="s">
        <v>88</v>
      </c>
      <c r="O3" s="1" t="s">
        <v>91</v>
      </c>
      <c r="P3" s="7" t="s">
        <v>97</v>
      </c>
      <c r="Q3" s="7" t="s">
        <v>98</v>
      </c>
      <c r="R3" s="7" t="s">
        <v>99</v>
      </c>
      <c r="S3" s="7" t="s">
        <v>90</v>
      </c>
      <c r="T3" s="1" t="s">
        <v>91</v>
      </c>
      <c r="U3" s="1" t="s">
        <v>91</v>
      </c>
      <c r="V3" s="1" t="s">
        <v>91</v>
      </c>
      <c r="W3" s="5" t="s">
        <v>98</v>
      </c>
      <c r="X3" s="5" t="s">
        <v>99</v>
      </c>
      <c r="Y3" s="5" t="s">
        <v>91</v>
      </c>
      <c r="Z3" s="1" t="s">
        <v>90</v>
      </c>
      <c r="AA3" s="7" t="s">
        <v>156</v>
      </c>
      <c r="AB3" s="7" t="s">
        <v>95</v>
      </c>
      <c r="AC3" s="1" t="s">
        <v>96</v>
      </c>
      <c r="AD3" s="1" t="s">
        <v>88</v>
      </c>
      <c r="AE3" s="16" t="s">
        <v>90</v>
      </c>
      <c r="AF3" s="4" t="s">
        <v>90</v>
      </c>
    </row>
    <row r="4" spans="1:32" x14ac:dyDescent="0.3">
      <c r="A4" s="1" t="s">
        <v>100</v>
      </c>
      <c r="B4" s="1" t="s">
        <v>157</v>
      </c>
      <c r="C4" s="3" t="s">
        <v>100</v>
      </c>
      <c r="D4" s="3" t="s">
        <v>100</v>
      </c>
      <c r="E4" s="57" t="s">
        <v>157</v>
      </c>
      <c r="F4" s="57" t="s">
        <v>157</v>
      </c>
      <c r="G4" s="57" t="s">
        <v>157</v>
      </c>
      <c r="H4" s="57" t="s">
        <v>157</v>
      </c>
      <c r="I4" s="2" t="s">
        <v>100</v>
      </c>
      <c r="J4" s="28" t="s">
        <v>100</v>
      </c>
      <c r="K4" s="3" t="s">
        <v>100</v>
      </c>
      <c r="L4" s="3" t="s">
        <v>100</v>
      </c>
      <c r="M4" s="3" t="s">
        <v>100</v>
      </c>
      <c r="N4" s="3" t="s">
        <v>100</v>
      </c>
      <c r="O4" s="1" t="s">
        <v>100</v>
      </c>
      <c r="P4" s="7" t="s">
        <v>100</v>
      </c>
      <c r="Q4" s="7" t="s">
        <v>100</v>
      </c>
      <c r="R4" s="7" t="s">
        <v>100</v>
      </c>
      <c r="S4" s="7" t="s">
        <v>100</v>
      </c>
      <c r="T4" s="1" t="s">
        <v>100</v>
      </c>
      <c r="U4" s="1" t="s">
        <v>100</v>
      </c>
      <c r="V4" s="1" t="s">
        <v>100</v>
      </c>
      <c r="W4" s="5" t="s">
        <v>100</v>
      </c>
      <c r="X4" s="5" t="s">
        <v>100</v>
      </c>
      <c r="Y4" s="5" t="s">
        <v>100</v>
      </c>
      <c r="Z4" s="1" t="s">
        <v>100</v>
      </c>
      <c r="AA4" s="7" t="s">
        <v>100</v>
      </c>
      <c r="AB4" s="7" t="s">
        <v>100</v>
      </c>
      <c r="AC4" s="1" t="s">
        <v>101</v>
      </c>
      <c r="AD4" s="1" t="s">
        <v>101</v>
      </c>
      <c r="AE4" s="16" t="s">
        <v>100</v>
      </c>
      <c r="AF4" s="4" t="s">
        <v>101</v>
      </c>
    </row>
    <row r="5" spans="1:32" x14ac:dyDescent="0.3">
      <c r="A5" s="20" t="s">
        <v>487</v>
      </c>
      <c r="B5" s="20" t="s">
        <v>189</v>
      </c>
      <c r="C5" s="20"/>
      <c r="D5" s="20"/>
      <c r="E5" s="20" t="s">
        <v>164</v>
      </c>
      <c r="F5" s="20" t="s">
        <v>493</v>
      </c>
      <c r="G5" s="20"/>
      <c r="H5" s="20"/>
      <c r="I5" s="20" t="str">
        <f>E5&amp;"("&amp;IF(F5="","",F5)&amp;IF(G5="","",", "&amp;G5)&amp;IF(H5="","",", "&amp;H5)&amp;")"</f>
        <v>Buff(Formation.dualarmor.active.01.shield.buff)</v>
      </c>
      <c r="J5" s="20">
        <v>0</v>
      </c>
      <c r="K5" s="20" t="s">
        <v>543</v>
      </c>
      <c r="L5" s="20" t="s">
        <v>169</v>
      </c>
      <c r="M5" s="20"/>
      <c r="N5" s="20"/>
      <c r="O5" s="20">
        <v>100</v>
      </c>
      <c r="P5" s="20" t="s">
        <v>105</v>
      </c>
      <c r="Q5" s="20" t="s">
        <v>106</v>
      </c>
      <c r="R5" s="20"/>
      <c r="S5" s="20" t="b">
        <v>1</v>
      </c>
      <c r="T5" s="20">
        <v>0</v>
      </c>
      <c r="U5" s="20">
        <v>0</v>
      </c>
      <c r="V5" s="20">
        <v>0</v>
      </c>
      <c r="W5" s="20" t="s">
        <v>167</v>
      </c>
      <c r="X5" s="20">
        <v>15</v>
      </c>
      <c r="Y5" s="20">
        <v>0</v>
      </c>
      <c r="Z5" s="20" t="b">
        <v>0</v>
      </c>
      <c r="AA5" s="20"/>
      <c r="AB5" s="20"/>
      <c r="AC5" s="20"/>
      <c r="AD5" s="20"/>
      <c r="AE5" s="20" t="b">
        <v>1</v>
      </c>
      <c r="AF5" s="46" t="b">
        <v>1</v>
      </c>
    </row>
    <row r="6" spans="1:32" x14ac:dyDescent="0.3">
      <c r="A6" s="19" t="s">
        <v>488</v>
      </c>
      <c r="B6" s="19" t="s">
        <v>190</v>
      </c>
      <c r="C6" s="19"/>
      <c r="D6" s="19"/>
      <c r="E6" s="19" t="s">
        <v>164</v>
      </c>
      <c r="F6" s="19" t="s">
        <v>494</v>
      </c>
      <c r="G6" s="19"/>
      <c r="H6" s="19"/>
      <c r="I6" s="19" t="str">
        <f t="shared" ref="I6:I16" si="0">E6&amp;"("&amp;IF(F6="","",F6)&amp;IF(G6="","",", "&amp;G6)&amp;IF(H6="","",", "&amp;H6)&amp;")"</f>
        <v>Buff(Formation.dualedge.active.01.dmgup.buff)</v>
      </c>
      <c r="J6" s="19">
        <v>0</v>
      </c>
      <c r="K6" s="19" t="s">
        <v>543</v>
      </c>
      <c r="L6" s="19" t="s">
        <v>608</v>
      </c>
      <c r="M6" s="19"/>
      <c r="N6" s="19"/>
      <c r="O6" s="19">
        <v>100</v>
      </c>
      <c r="P6" s="19" t="s">
        <v>105</v>
      </c>
      <c r="Q6" s="19" t="s">
        <v>106</v>
      </c>
      <c r="R6" s="19"/>
      <c r="S6" s="19" t="b">
        <v>1</v>
      </c>
      <c r="T6" s="19">
        <v>0</v>
      </c>
      <c r="U6" s="19">
        <v>0</v>
      </c>
      <c r="V6" s="19">
        <v>0</v>
      </c>
      <c r="W6" s="19" t="s">
        <v>611</v>
      </c>
      <c r="X6" s="19">
        <v>5</v>
      </c>
      <c r="Y6" s="19">
        <v>1</v>
      </c>
      <c r="Z6" s="19" t="b">
        <v>0</v>
      </c>
      <c r="AA6" s="19"/>
      <c r="AB6" s="19"/>
      <c r="AC6" s="19" t="s">
        <v>191</v>
      </c>
      <c r="AD6" s="19"/>
      <c r="AE6" s="19" t="b">
        <v>1</v>
      </c>
      <c r="AF6" s="52" t="b">
        <v>1</v>
      </c>
    </row>
    <row r="7" spans="1:32" x14ac:dyDescent="0.3">
      <c r="A7" s="20" t="s">
        <v>506</v>
      </c>
      <c r="B7" s="20" t="s">
        <v>507</v>
      </c>
      <c r="C7" s="20"/>
      <c r="D7" s="20"/>
      <c r="E7" s="20" t="s">
        <v>589</v>
      </c>
      <c r="F7" s="20">
        <v>2000</v>
      </c>
      <c r="G7" s="20" t="b">
        <v>1</v>
      </c>
      <c r="H7" s="20"/>
      <c r="I7" s="20" t="str">
        <f t="shared" si="0"/>
        <v>AddTimeAppliedBuff(2000, TRUE)</v>
      </c>
      <c r="J7" s="20">
        <v>0</v>
      </c>
      <c r="K7" s="20" t="s">
        <v>543</v>
      </c>
      <c r="L7" s="20" t="s">
        <v>608</v>
      </c>
      <c r="M7" s="20"/>
      <c r="N7" s="20"/>
      <c r="O7" s="20">
        <v>100</v>
      </c>
      <c r="P7" s="20" t="s">
        <v>105</v>
      </c>
      <c r="Q7" s="20" t="s">
        <v>106</v>
      </c>
      <c r="R7" s="20"/>
      <c r="S7" s="20" t="b">
        <v>1</v>
      </c>
      <c r="T7" s="20">
        <v>0</v>
      </c>
      <c r="U7" s="20">
        <v>0</v>
      </c>
      <c r="V7" s="20">
        <v>0</v>
      </c>
      <c r="W7" s="20" t="s">
        <v>612</v>
      </c>
      <c r="X7" s="20">
        <v>20</v>
      </c>
      <c r="Y7" s="20">
        <v>0</v>
      </c>
      <c r="Z7" s="20" t="b">
        <v>0</v>
      </c>
      <c r="AA7" s="20"/>
      <c r="AB7" s="20"/>
      <c r="AC7" s="60" t="s">
        <v>587</v>
      </c>
      <c r="AD7" s="20"/>
      <c r="AE7" s="20" t="b">
        <v>1</v>
      </c>
      <c r="AF7" s="46" t="b">
        <v>1</v>
      </c>
    </row>
    <row r="8" spans="1:32" x14ac:dyDescent="0.3">
      <c r="A8" s="19" t="s">
        <v>489</v>
      </c>
      <c r="B8" s="19" t="s">
        <v>192</v>
      </c>
      <c r="C8" s="19"/>
      <c r="D8" s="19"/>
      <c r="E8" s="19" t="s">
        <v>171</v>
      </c>
      <c r="F8" s="19" t="s">
        <v>159</v>
      </c>
      <c r="G8" s="19">
        <v>4500</v>
      </c>
      <c r="H8" s="19"/>
      <c r="I8" s="19" t="str">
        <f t="shared" si="0"/>
        <v>DamageSelfCalc(Attack, 4500)</v>
      </c>
      <c r="J8" s="19">
        <v>0</v>
      </c>
      <c r="K8" s="19" t="s">
        <v>609</v>
      </c>
      <c r="L8" s="19" t="s">
        <v>179</v>
      </c>
      <c r="M8" s="19"/>
      <c r="N8" s="19"/>
      <c r="O8" s="19">
        <v>100</v>
      </c>
      <c r="P8" s="19" t="s">
        <v>105</v>
      </c>
      <c r="Q8" s="19" t="s">
        <v>106</v>
      </c>
      <c r="R8" s="19"/>
      <c r="S8" s="19" t="b">
        <v>1</v>
      </c>
      <c r="T8" s="19">
        <v>0</v>
      </c>
      <c r="U8" s="19">
        <v>0</v>
      </c>
      <c r="V8" s="19">
        <v>0</v>
      </c>
      <c r="W8" s="19" t="s">
        <v>612</v>
      </c>
      <c r="X8" s="19">
        <v>20</v>
      </c>
      <c r="Y8" s="19">
        <v>0</v>
      </c>
      <c r="Z8" s="19" t="b">
        <v>1</v>
      </c>
      <c r="AA8" s="19" t="s">
        <v>193</v>
      </c>
      <c r="AB8" s="19" t="s">
        <v>501</v>
      </c>
      <c r="AC8" s="19"/>
      <c r="AD8" s="19"/>
      <c r="AE8" s="19" t="b">
        <v>1</v>
      </c>
      <c r="AF8" s="52" t="b">
        <v>1</v>
      </c>
    </row>
    <row r="9" spans="1:32" x14ac:dyDescent="0.3">
      <c r="A9" s="19" t="s">
        <v>495</v>
      </c>
      <c r="B9" s="19" t="s">
        <v>192</v>
      </c>
      <c r="C9" s="19"/>
      <c r="D9" s="19"/>
      <c r="E9" s="19" t="s">
        <v>161</v>
      </c>
      <c r="F9" s="19" t="s">
        <v>500</v>
      </c>
      <c r="G9" s="19"/>
      <c r="H9" s="19"/>
      <c r="I9" s="19" t="str">
        <f t="shared" si="0"/>
        <v>Debuff(Formation.predator.active.01.stun.buff)</v>
      </c>
      <c r="J9" s="19">
        <v>0</v>
      </c>
      <c r="K9" s="19" t="s">
        <v>680</v>
      </c>
      <c r="L9" s="19"/>
      <c r="M9" s="19"/>
      <c r="N9" s="19"/>
      <c r="O9" s="19">
        <v>100</v>
      </c>
      <c r="P9" s="19" t="s">
        <v>105</v>
      </c>
      <c r="Q9" s="19" t="s">
        <v>106</v>
      </c>
      <c r="R9" s="19"/>
      <c r="S9" s="19" t="b">
        <v>1</v>
      </c>
      <c r="T9" s="19">
        <v>0</v>
      </c>
      <c r="U9" s="19">
        <v>0</v>
      </c>
      <c r="V9" s="19">
        <v>0</v>
      </c>
      <c r="W9" s="19" t="s">
        <v>681</v>
      </c>
      <c r="X9" s="19"/>
      <c r="Y9" s="19">
        <v>1</v>
      </c>
      <c r="Z9" s="19" t="b">
        <v>0</v>
      </c>
      <c r="AA9" s="19"/>
      <c r="AB9" s="19"/>
      <c r="AC9" s="19"/>
      <c r="AD9" s="19"/>
      <c r="AE9" s="19" t="b">
        <v>1</v>
      </c>
      <c r="AF9" s="52" t="b">
        <v>1</v>
      </c>
    </row>
    <row r="10" spans="1:32" x14ac:dyDescent="0.3">
      <c r="A10" s="20" t="s">
        <v>490</v>
      </c>
      <c r="B10" s="20" t="s">
        <v>194</v>
      </c>
      <c r="C10" s="20"/>
      <c r="D10" s="20"/>
      <c r="E10" s="20" t="s">
        <v>171</v>
      </c>
      <c r="F10" s="20" t="s">
        <v>159</v>
      </c>
      <c r="G10" s="20">
        <v>850</v>
      </c>
      <c r="H10" s="20"/>
      <c r="I10" s="20" t="str">
        <f t="shared" si="0"/>
        <v>DamageSelfCalc(Attack, 850)</v>
      </c>
      <c r="J10" s="20">
        <v>0</v>
      </c>
      <c r="K10" s="20" t="s">
        <v>609</v>
      </c>
      <c r="L10" s="20" t="s">
        <v>179</v>
      </c>
      <c r="M10" s="20"/>
      <c r="N10" s="20"/>
      <c r="O10" s="20">
        <v>100</v>
      </c>
      <c r="P10" s="20" t="s">
        <v>105</v>
      </c>
      <c r="Q10" s="20" t="s">
        <v>106</v>
      </c>
      <c r="R10" s="20"/>
      <c r="S10" s="20" t="b">
        <v>1</v>
      </c>
      <c r="T10" s="20">
        <v>0</v>
      </c>
      <c r="U10" s="20">
        <v>0</v>
      </c>
      <c r="V10" s="20">
        <v>0</v>
      </c>
      <c r="W10" s="20" t="s">
        <v>611</v>
      </c>
      <c r="X10" s="20">
        <v>5</v>
      </c>
      <c r="Y10" s="20">
        <v>1</v>
      </c>
      <c r="Z10" s="20" t="b">
        <v>1</v>
      </c>
      <c r="AA10" s="20" t="s">
        <v>163</v>
      </c>
      <c r="AB10" s="20" t="s">
        <v>606</v>
      </c>
      <c r="AC10" s="20" t="s">
        <v>195</v>
      </c>
      <c r="AD10" s="20"/>
      <c r="AE10" s="20" t="b">
        <v>1</v>
      </c>
      <c r="AF10" s="46" t="b">
        <v>1</v>
      </c>
    </row>
    <row r="11" spans="1:32" x14ac:dyDescent="0.3">
      <c r="A11" s="20" t="s">
        <v>496</v>
      </c>
      <c r="B11" s="20" t="s">
        <v>194</v>
      </c>
      <c r="C11" s="20"/>
      <c r="D11" s="20"/>
      <c r="E11" s="20" t="s">
        <v>171</v>
      </c>
      <c r="F11" s="20" t="s">
        <v>159</v>
      </c>
      <c r="G11" s="20">
        <v>850</v>
      </c>
      <c r="H11" s="20"/>
      <c r="I11" s="20" t="str">
        <f t="shared" si="0"/>
        <v>DamageSelfCalc(Attack, 850)</v>
      </c>
      <c r="J11" s="20">
        <v>0</v>
      </c>
      <c r="K11" s="20" t="s">
        <v>609</v>
      </c>
      <c r="L11" s="20" t="s">
        <v>179</v>
      </c>
      <c r="M11" s="20"/>
      <c r="N11" s="20"/>
      <c r="O11" s="20">
        <v>100</v>
      </c>
      <c r="P11" s="20" t="s">
        <v>105</v>
      </c>
      <c r="Q11" s="20" t="s">
        <v>106</v>
      </c>
      <c r="R11" s="20"/>
      <c r="S11" s="20" t="b">
        <v>1</v>
      </c>
      <c r="T11" s="20">
        <v>0</v>
      </c>
      <c r="U11" s="20">
        <v>0</v>
      </c>
      <c r="V11" s="20">
        <v>0</v>
      </c>
      <c r="W11" s="20" t="s">
        <v>611</v>
      </c>
      <c r="X11" s="20">
        <v>5</v>
      </c>
      <c r="Y11" s="20">
        <v>1</v>
      </c>
      <c r="Z11" s="20" t="b">
        <v>1</v>
      </c>
      <c r="AA11" s="20" t="s">
        <v>163</v>
      </c>
      <c r="AB11" s="20" t="s">
        <v>607</v>
      </c>
      <c r="AC11" s="20"/>
      <c r="AD11" s="20"/>
      <c r="AE11" s="20" t="b">
        <v>1</v>
      </c>
      <c r="AF11" s="46" t="b">
        <v>1</v>
      </c>
    </row>
    <row r="12" spans="1:32" x14ac:dyDescent="0.3">
      <c r="A12" s="20" t="s">
        <v>497</v>
      </c>
      <c r="B12" s="20" t="s">
        <v>194</v>
      </c>
      <c r="C12" s="20"/>
      <c r="D12" s="20"/>
      <c r="E12" s="20" t="s">
        <v>171</v>
      </c>
      <c r="F12" s="20" t="s">
        <v>159</v>
      </c>
      <c r="G12" s="20">
        <v>850</v>
      </c>
      <c r="H12" s="20"/>
      <c r="I12" s="20" t="str">
        <f t="shared" si="0"/>
        <v>DamageSelfCalc(Attack, 850)</v>
      </c>
      <c r="J12" s="20">
        <v>0</v>
      </c>
      <c r="K12" s="20" t="s">
        <v>609</v>
      </c>
      <c r="L12" s="20" t="s">
        <v>179</v>
      </c>
      <c r="M12" s="20"/>
      <c r="N12" s="20"/>
      <c r="O12" s="20">
        <v>100</v>
      </c>
      <c r="P12" s="20" t="s">
        <v>105</v>
      </c>
      <c r="Q12" s="20" t="s">
        <v>106</v>
      </c>
      <c r="R12" s="20"/>
      <c r="S12" s="20" t="b">
        <v>1</v>
      </c>
      <c r="T12" s="20">
        <v>0</v>
      </c>
      <c r="U12" s="20">
        <v>0</v>
      </c>
      <c r="V12" s="20">
        <v>0</v>
      </c>
      <c r="W12" s="20" t="s">
        <v>611</v>
      </c>
      <c r="X12" s="20">
        <v>5</v>
      </c>
      <c r="Y12" s="20">
        <v>1</v>
      </c>
      <c r="Z12" s="20" t="b">
        <v>0</v>
      </c>
      <c r="AA12" s="20"/>
      <c r="AB12" s="20"/>
      <c r="AC12" s="20"/>
      <c r="AD12" s="20"/>
      <c r="AE12" s="20" t="b">
        <v>1</v>
      </c>
      <c r="AF12" s="46" t="b">
        <v>1</v>
      </c>
    </row>
    <row r="13" spans="1:32" x14ac:dyDescent="0.3">
      <c r="A13" s="19" t="s">
        <v>491</v>
      </c>
      <c r="B13" s="19" t="s">
        <v>196</v>
      </c>
      <c r="C13" s="19"/>
      <c r="D13" s="19"/>
      <c r="E13" s="19" t="s">
        <v>613</v>
      </c>
      <c r="F13" s="19" t="s">
        <v>197</v>
      </c>
      <c r="G13" s="19">
        <v>4500</v>
      </c>
      <c r="H13" s="19"/>
      <c r="I13" s="19" t="str">
        <f t="shared" si="0"/>
        <v>HealSelfCalc(Defense, 4500)</v>
      </c>
      <c r="J13" s="19">
        <v>0</v>
      </c>
      <c r="K13" s="19" t="s">
        <v>543</v>
      </c>
      <c r="L13" s="19" t="s">
        <v>169</v>
      </c>
      <c r="M13" s="19"/>
      <c r="N13" s="19"/>
      <c r="O13" s="19">
        <v>100</v>
      </c>
      <c r="P13" s="19" t="s">
        <v>105</v>
      </c>
      <c r="Q13" s="19" t="s">
        <v>106</v>
      </c>
      <c r="R13" s="19"/>
      <c r="S13" s="19" t="b">
        <v>1</v>
      </c>
      <c r="T13" s="19">
        <v>0</v>
      </c>
      <c r="U13" s="19">
        <v>0</v>
      </c>
      <c r="V13" s="19">
        <v>0</v>
      </c>
      <c r="W13" s="19" t="s">
        <v>612</v>
      </c>
      <c r="X13" s="19">
        <v>20</v>
      </c>
      <c r="Y13" s="19">
        <v>0</v>
      </c>
      <c r="Z13" s="19" t="b">
        <v>1</v>
      </c>
      <c r="AA13" s="19" t="s">
        <v>198</v>
      </c>
      <c r="AB13" s="19" t="s">
        <v>498</v>
      </c>
      <c r="AC13" s="19"/>
      <c r="AD13" s="19"/>
      <c r="AE13" s="19" t="b">
        <v>1</v>
      </c>
      <c r="AF13" s="52" t="b">
        <v>1</v>
      </c>
    </row>
    <row r="14" spans="1:32" x14ac:dyDescent="0.3">
      <c r="A14" s="19" t="s">
        <v>498</v>
      </c>
      <c r="B14" s="19" t="s">
        <v>196</v>
      </c>
      <c r="C14" s="19"/>
      <c r="D14" s="19"/>
      <c r="E14" s="19" t="s">
        <v>164</v>
      </c>
      <c r="F14" s="19" t="s">
        <v>499</v>
      </c>
      <c r="G14" s="19"/>
      <c r="H14" s="19"/>
      <c r="I14" s="19" t="str">
        <f t="shared" si="0"/>
        <v>Buff(Formation.formula.active.01.immun.buff)</v>
      </c>
      <c r="J14" s="19">
        <v>0</v>
      </c>
      <c r="K14" s="19" t="s">
        <v>543</v>
      </c>
      <c r="L14" s="19" t="s">
        <v>169</v>
      </c>
      <c r="M14" s="19"/>
      <c r="N14" s="19"/>
      <c r="O14" s="19">
        <v>100</v>
      </c>
      <c r="P14" s="19" t="s">
        <v>105</v>
      </c>
      <c r="Q14" s="19" t="s">
        <v>106</v>
      </c>
      <c r="R14" s="19"/>
      <c r="S14" s="19" t="b">
        <v>1</v>
      </c>
      <c r="T14" s="19">
        <v>0</v>
      </c>
      <c r="U14" s="19">
        <v>0</v>
      </c>
      <c r="V14" s="19">
        <v>0</v>
      </c>
      <c r="W14" s="19" t="s">
        <v>612</v>
      </c>
      <c r="X14" s="19">
        <v>20</v>
      </c>
      <c r="Y14" s="19">
        <v>0</v>
      </c>
      <c r="Z14" s="19" t="b">
        <v>0</v>
      </c>
      <c r="AA14" s="19"/>
      <c r="AB14" s="19"/>
      <c r="AC14" s="19"/>
      <c r="AD14" s="19"/>
      <c r="AE14" s="19" t="b">
        <v>1</v>
      </c>
      <c r="AF14" s="52" t="b">
        <v>1</v>
      </c>
    </row>
    <row r="15" spans="1:32" x14ac:dyDescent="0.3">
      <c r="A15" s="20" t="s">
        <v>508</v>
      </c>
      <c r="B15" s="20" t="s">
        <v>509</v>
      </c>
      <c r="C15" s="20"/>
      <c r="D15" s="20"/>
      <c r="E15" s="20" t="s">
        <v>158</v>
      </c>
      <c r="F15" s="20" t="s">
        <v>163</v>
      </c>
      <c r="G15" s="20">
        <v>0</v>
      </c>
      <c r="H15" s="20">
        <v>150</v>
      </c>
      <c r="I15" s="20" t="str">
        <f t="shared" si="0"/>
        <v>Recharge(None, 0, 150)</v>
      </c>
      <c r="J15" s="20">
        <v>0</v>
      </c>
      <c r="K15" s="20" t="s">
        <v>543</v>
      </c>
      <c r="L15" s="20" t="s">
        <v>688</v>
      </c>
      <c r="M15" s="20"/>
      <c r="N15" s="20"/>
      <c r="O15" s="20">
        <v>100</v>
      </c>
      <c r="P15" s="20" t="s">
        <v>105</v>
      </c>
      <c r="Q15" s="20" t="s">
        <v>106</v>
      </c>
      <c r="R15" s="20"/>
      <c r="S15" s="20" t="b">
        <v>1</v>
      </c>
      <c r="T15" s="20">
        <v>0</v>
      </c>
      <c r="U15" s="20">
        <v>0</v>
      </c>
      <c r="V15" s="20">
        <v>0</v>
      </c>
      <c r="W15" s="20" t="s">
        <v>611</v>
      </c>
      <c r="X15" s="20">
        <v>5</v>
      </c>
      <c r="Y15" s="20">
        <v>1</v>
      </c>
      <c r="Z15" s="20" t="b">
        <v>0</v>
      </c>
      <c r="AA15" s="20"/>
      <c r="AB15" s="20"/>
      <c r="AC15" s="60" t="s">
        <v>588</v>
      </c>
      <c r="AD15" s="20"/>
      <c r="AE15" s="20" t="b">
        <v>1</v>
      </c>
      <c r="AF15" s="46" t="b">
        <v>1</v>
      </c>
    </row>
    <row r="16" spans="1:32" x14ac:dyDescent="0.3">
      <c r="A16" s="19" t="s">
        <v>492</v>
      </c>
      <c r="B16" s="19" t="s">
        <v>199</v>
      </c>
      <c r="C16" s="19"/>
      <c r="D16" s="19"/>
      <c r="E16" s="19" t="s">
        <v>177</v>
      </c>
      <c r="F16" s="19" t="s">
        <v>163</v>
      </c>
      <c r="G16" s="19">
        <v>0</v>
      </c>
      <c r="H16" s="19">
        <v>250</v>
      </c>
      <c r="I16" s="19" t="str">
        <f t="shared" si="0"/>
        <v>Consume(None, 0, 250)</v>
      </c>
      <c r="J16" s="19">
        <v>0</v>
      </c>
      <c r="K16" s="19" t="s">
        <v>609</v>
      </c>
      <c r="L16" s="19" t="s">
        <v>610</v>
      </c>
      <c r="M16" s="19"/>
      <c r="N16" s="19"/>
      <c r="O16" s="19">
        <v>100</v>
      </c>
      <c r="P16" s="19" t="s">
        <v>105</v>
      </c>
      <c r="Q16" s="19" t="s">
        <v>106</v>
      </c>
      <c r="R16" s="19"/>
      <c r="S16" s="19" t="b">
        <v>1</v>
      </c>
      <c r="T16" s="19">
        <v>0</v>
      </c>
      <c r="U16" s="19">
        <v>0</v>
      </c>
      <c r="V16" s="19">
        <v>0</v>
      </c>
      <c r="W16" s="19" t="s">
        <v>611</v>
      </c>
      <c r="X16" s="19">
        <v>5</v>
      </c>
      <c r="Y16" s="19">
        <v>1</v>
      </c>
      <c r="Z16" s="19" t="b">
        <v>0</v>
      </c>
      <c r="AA16" s="19"/>
      <c r="AB16" s="19"/>
      <c r="AC16" s="19" t="s">
        <v>200</v>
      </c>
      <c r="AD16" s="19"/>
      <c r="AE16" s="19" t="b">
        <v>1</v>
      </c>
      <c r="AF16" s="52" t="b">
        <v>1</v>
      </c>
    </row>
    <row r="17" spans="1:32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8"/>
      <c r="X17" s="8"/>
      <c r="Y17" s="19"/>
      <c r="Z17" s="19"/>
      <c r="AA17" s="19"/>
      <c r="AB17" s="20"/>
      <c r="AC17" s="20"/>
      <c r="AD17" s="19"/>
      <c r="AE17" s="19"/>
      <c r="AF17" s="27"/>
    </row>
    <row r="18" spans="1:32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8"/>
      <c r="X18" s="8"/>
      <c r="Y18" s="19"/>
      <c r="Z18" s="19"/>
      <c r="AA18" s="19"/>
      <c r="AB18" s="20"/>
      <c r="AC18" s="20"/>
      <c r="AD18" s="19"/>
      <c r="AE18" s="19"/>
      <c r="AF18" s="27"/>
    </row>
  </sheetData>
  <phoneticPr fontId="1" type="noConversion"/>
  <conditionalFormatting sqref="A1:A1048576">
    <cfRule type="duplicateValues" dxfId="18" priority="15"/>
  </conditionalFormatting>
  <conditionalFormatting sqref="A1:XFD1048576">
    <cfRule type="cellIs" dxfId="17" priority="1001" operator="equal">
      <formula>FALSE</formula>
    </cfRule>
    <cfRule type="cellIs" dxfId="16" priority="1002" operator="equal">
      <formula>"Single"</formula>
    </cfRule>
    <cfRule type="cellIs" dxfId="15" priority="1003" operator="equal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3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RowHeight="16.5" x14ac:dyDescent="0.3"/>
  <cols>
    <col min="1" max="1" width="57" bestFit="1" customWidth="1"/>
    <col min="2" max="2" width="23.375" customWidth="1"/>
    <col min="3" max="3" width="19.375" customWidth="1"/>
    <col min="4" max="4" width="15.625" customWidth="1"/>
    <col min="5" max="5" width="12.125" customWidth="1"/>
    <col min="6" max="6" width="10" bestFit="1" customWidth="1"/>
    <col min="7" max="7" width="10" customWidth="1"/>
    <col min="8" max="8" width="8.75" bestFit="1" customWidth="1"/>
    <col min="9" max="9" width="10.125" bestFit="1" customWidth="1"/>
    <col min="10" max="10" width="12" bestFit="1" customWidth="1"/>
    <col min="11" max="11" width="9.625" bestFit="1" customWidth="1"/>
    <col min="12" max="13" width="13.625" bestFit="1" customWidth="1"/>
    <col min="14" max="14" width="10.25" bestFit="1" customWidth="1"/>
    <col min="15" max="15" width="11.625" customWidth="1"/>
    <col min="16" max="17" width="14.5" customWidth="1"/>
    <col min="18" max="18" width="10.75" customWidth="1"/>
    <col min="19" max="19" width="14.25" bestFit="1" customWidth="1"/>
    <col min="20" max="20" width="16.375" bestFit="1" customWidth="1"/>
    <col min="21" max="21" width="13" bestFit="1" customWidth="1"/>
    <col min="22" max="24" width="13.375" customWidth="1"/>
    <col min="25" max="25" width="9.125" bestFit="1" customWidth="1"/>
    <col min="26" max="26" width="10" bestFit="1" customWidth="1"/>
    <col min="27" max="28" width="17.25" customWidth="1"/>
    <col min="29" max="29" width="30.875" style="15" bestFit="1" customWidth="1"/>
    <col min="30" max="30" width="28.5" customWidth="1"/>
    <col min="31" max="31" width="18.875" bestFit="1" customWidth="1"/>
    <col min="32" max="32" width="18.875" customWidth="1"/>
    <col min="33" max="33" width="34.5" customWidth="1"/>
    <col min="34" max="34" width="28.25" bestFit="1" customWidth="1"/>
    <col min="35" max="36" width="28.25" customWidth="1"/>
    <col min="37" max="37" width="30.625" customWidth="1"/>
    <col min="38" max="38" width="15.625" bestFit="1" customWidth="1"/>
    <col min="39" max="46" width="30.625" customWidth="1"/>
    <col min="47" max="47" width="22.125" bestFit="1" customWidth="1"/>
  </cols>
  <sheetData>
    <row r="1" spans="1:47" ht="33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590</v>
      </c>
      <c r="AK1" s="4" t="s">
        <v>35</v>
      </c>
      <c r="AL1" s="4" t="s">
        <v>546</v>
      </c>
      <c r="AM1" s="4" t="s">
        <v>36</v>
      </c>
      <c r="AN1" s="4" t="s">
        <v>37</v>
      </c>
      <c r="AO1" s="4" t="s">
        <v>38</v>
      </c>
      <c r="AP1" s="4" t="s">
        <v>39</v>
      </c>
      <c r="AQ1" s="25" t="s">
        <v>40</v>
      </c>
      <c r="AR1" s="25" t="s">
        <v>41</v>
      </c>
      <c r="AS1" s="25" t="s">
        <v>42</v>
      </c>
      <c r="AT1" s="25" t="s">
        <v>40</v>
      </c>
      <c r="AU1" s="4" t="s">
        <v>43</v>
      </c>
    </row>
    <row r="2" spans="1:47" ht="33" customHeight="1" x14ac:dyDescent="0.3">
      <c r="A2" s="1" t="s">
        <v>44</v>
      </c>
      <c r="B2" s="1" t="s">
        <v>45</v>
      </c>
      <c r="C2" s="3" t="s">
        <v>46</v>
      </c>
      <c r="D2" s="3" t="s">
        <v>47</v>
      </c>
      <c r="E2" s="5" t="s">
        <v>48</v>
      </c>
      <c r="F2" s="5" t="s">
        <v>470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3" t="s">
        <v>54</v>
      </c>
      <c r="M2" s="3" t="s">
        <v>55</v>
      </c>
      <c r="N2" s="6" t="s">
        <v>56</v>
      </c>
      <c r="O2" s="6" t="s">
        <v>57</v>
      </c>
      <c r="P2" s="6" t="s">
        <v>58</v>
      </c>
      <c r="Q2" s="7" t="s">
        <v>59</v>
      </c>
      <c r="R2" s="7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3" t="s">
        <v>65</v>
      </c>
      <c r="X2" s="3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5" t="s">
        <v>71</v>
      </c>
      <c r="AD2" s="5" t="s">
        <v>72</v>
      </c>
      <c r="AE2" s="6" t="s">
        <v>73</v>
      </c>
      <c r="AF2" s="4" t="s">
        <v>74</v>
      </c>
      <c r="AG2" s="4" t="s">
        <v>75</v>
      </c>
      <c r="AH2" s="4" t="s">
        <v>76</v>
      </c>
      <c r="AI2" s="4" t="s">
        <v>77</v>
      </c>
      <c r="AJ2" s="4" t="s">
        <v>591</v>
      </c>
      <c r="AK2" s="4" t="s">
        <v>78</v>
      </c>
      <c r="AL2" s="4" t="s">
        <v>547</v>
      </c>
      <c r="AM2" s="4" t="s">
        <v>79</v>
      </c>
      <c r="AN2" s="4" t="s">
        <v>80</v>
      </c>
      <c r="AO2" s="4" t="s">
        <v>81</v>
      </c>
      <c r="AP2" s="4" t="s">
        <v>82</v>
      </c>
      <c r="AQ2" s="25" t="s">
        <v>83</v>
      </c>
      <c r="AR2" s="25" t="s">
        <v>84</v>
      </c>
      <c r="AS2" s="25" t="s">
        <v>85</v>
      </c>
      <c r="AT2" s="25" t="s">
        <v>601</v>
      </c>
      <c r="AU2" s="4" t="s">
        <v>86</v>
      </c>
    </row>
    <row r="3" spans="1:47" ht="33" customHeight="1" x14ac:dyDescent="0.3">
      <c r="A3" s="1" t="s">
        <v>87</v>
      </c>
      <c r="B3" s="1" t="s">
        <v>88</v>
      </c>
      <c r="C3" s="3" t="s">
        <v>89</v>
      </c>
      <c r="D3" s="3" t="s">
        <v>88</v>
      </c>
      <c r="E3" s="5" t="s">
        <v>90</v>
      </c>
      <c r="F3" s="5" t="s">
        <v>91</v>
      </c>
      <c r="G3" s="5" t="s">
        <v>90</v>
      </c>
      <c r="H3" s="5" t="s">
        <v>91</v>
      </c>
      <c r="I3" s="5" t="s">
        <v>91</v>
      </c>
      <c r="J3" s="5" t="s">
        <v>91</v>
      </c>
      <c r="K3" s="5" t="s">
        <v>91</v>
      </c>
      <c r="L3" s="3" t="s">
        <v>92</v>
      </c>
      <c r="M3" s="3" t="s">
        <v>92</v>
      </c>
      <c r="N3" s="6" t="s">
        <v>56</v>
      </c>
      <c r="O3" s="6" t="s">
        <v>57</v>
      </c>
      <c r="P3" s="6" t="s">
        <v>91</v>
      </c>
      <c r="Q3" s="7" t="s">
        <v>91</v>
      </c>
      <c r="R3" s="7" t="s">
        <v>91</v>
      </c>
      <c r="S3" s="2" t="s">
        <v>61</v>
      </c>
      <c r="T3" s="2" t="s">
        <v>62</v>
      </c>
      <c r="U3" s="2" t="s">
        <v>93</v>
      </c>
      <c r="V3" s="2" t="s">
        <v>93</v>
      </c>
      <c r="W3" s="3" t="s">
        <v>89</v>
      </c>
      <c r="X3" s="3" t="s">
        <v>88</v>
      </c>
      <c r="Y3" s="2" t="s">
        <v>90</v>
      </c>
      <c r="Z3" s="2" t="s">
        <v>91</v>
      </c>
      <c r="AA3" s="2" t="s">
        <v>90</v>
      </c>
      <c r="AB3" s="2" t="s">
        <v>94</v>
      </c>
      <c r="AC3" s="5" t="s">
        <v>95</v>
      </c>
      <c r="AD3" s="5" t="s">
        <v>92</v>
      </c>
      <c r="AE3" s="6" t="s">
        <v>88</v>
      </c>
      <c r="AF3" s="4" t="s">
        <v>96</v>
      </c>
      <c r="AG3" s="4" t="s">
        <v>88</v>
      </c>
      <c r="AH3" s="4" t="s">
        <v>88</v>
      </c>
      <c r="AI3" s="4" t="s">
        <v>88</v>
      </c>
      <c r="AJ3" s="4" t="s">
        <v>88</v>
      </c>
      <c r="AK3" s="4" t="s">
        <v>88</v>
      </c>
      <c r="AL3" s="4" t="s">
        <v>88</v>
      </c>
      <c r="AM3" s="4" t="s">
        <v>90</v>
      </c>
      <c r="AN3" s="4" t="s">
        <v>97</v>
      </c>
      <c r="AO3" s="4" t="s">
        <v>98</v>
      </c>
      <c r="AP3" s="4" t="s">
        <v>99</v>
      </c>
      <c r="AQ3" s="25" t="s">
        <v>88</v>
      </c>
      <c r="AR3" s="25" t="s">
        <v>88</v>
      </c>
      <c r="AS3" s="25" t="s">
        <v>88</v>
      </c>
      <c r="AT3" s="25" t="s">
        <v>88</v>
      </c>
      <c r="AU3" s="4" t="s">
        <v>90</v>
      </c>
    </row>
    <row r="4" spans="1:47" x14ac:dyDescent="0.3">
      <c r="A4" s="1" t="s">
        <v>100</v>
      </c>
      <c r="B4" s="1" t="s">
        <v>100</v>
      </c>
      <c r="C4" s="3" t="s">
        <v>100</v>
      </c>
      <c r="D4" s="3" t="s">
        <v>100</v>
      </c>
      <c r="E4" s="5" t="s">
        <v>100</v>
      </c>
      <c r="F4" s="5" t="s">
        <v>100</v>
      </c>
      <c r="G4" s="5" t="s">
        <v>100</v>
      </c>
      <c r="H4" s="5" t="s">
        <v>100</v>
      </c>
      <c r="I4" s="5" t="s">
        <v>100</v>
      </c>
      <c r="J4" s="5" t="s">
        <v>100</v>
      </c>
      <c r="K4" s="5" t="s">
        <v>100</v>
      </c>
      <c r="L4" s="3" t="s">
        <v>100</v>
      </c>
      <c r="M4" s="3" t="s">
        <v>100</v>
      </c>
      <c r="N4" s="6" t="s">
        <v>100</v>
      </c>
      <c r="O4" s="6" t="s">
        <v>100</v>
      </c>
      <c r="P4" s="6" t="s">
        <v>100</v>
      </c>
      <c r="Q4" s="24" t="s">
        <v>100</v>
      </c>
      <c r="R4" s="7" t="s">
        <v>100</v>
      </c>
      <c r="S4" s="2" t="s">
        <v>100</v>
      </c>
      <c r="T4" s="2" t="s">
        <v>100</v>
      </c>
      <c r="U4" s="2" t="s">
        <v>100</v>
      </c>
      <c r="V4" s="2" t="s">
        <v>100</v>
      </c>
      <c r="W4" s="3" t="s">
        <v>100</v>
      </c>
      <c r="X4" s="3" t="s">
        <v>100</v>
      </c>
      <c r="Y4" s="2" t="s">
        <v>100</v>
      </c>
      <c r="Z4" s="2" t="s">
        <v>100</v>
      </c>
      <c r="AA4" s="2" t="s">
        <v>100</v>
      </c>
      <c r="AB4" s="2" t="s">
        <v>100</v>
      </c>
      <c r="AC4" s="5" t="s">
        <v>100</v>
      </c>
      <c r="AD4" s="5" t="s">
        <v>100</v>
      </c>
      <c r="AE4" s="6" t="s">
        <v>100</v>
      </c>
      <c r="AF4" s="4" t="s">
        <v>100</v>
      </c>
      <c r="AG4" s="4" t="s">
        <v>100</v>
      </c>
      <c r="AH4" s="4" t="s">
        <v>100</v>
      </c>
      <c r="AI4" s="4" t="s">
        <v>100</v>
      </c>
      <c r="AJ4" s="4" t="s">
        <v>100</v>
      </c>
      <c r="AK4" s="4" t="s">
        <v>101</v>
      </c>
      <c r="AL4" s="4" t="s">
        <v>101</v>
      </c>
      <c r="AM4" s="4" t="s">
        <v>101</v>
      </c>
      <c r="AN4" s="4" t="s">
        <v>100</v>
      </c>
      <c r="AO4" s="4" t="s">
        <v>100</v>
      </c>
      <c r="AP4" s="4" t="s">
        <v>100</v>
      </c>
      <c r="AQ4" s="25" t="s">
        <v>101</v>
      </c>
      <c r="AR4" s="25" t="s">
        <v>101</v>
      </c>
      <c r="AS4" s="25" t="s">
        <v>101</v>
      </c>
      <c r="AT4" s="25" t="s">
        <v>101</v>
      </c>
      <c r="AU4" s="4" t="s">
        <v>101</v>
      </c>
    </row>
    <row r="5" spans="1:47" x14ac:dyDescent="0.3">
      <c r="A5" s="8" t="s">
        <v>298</v>
      </c>
      <c r="B5" s="9"/>
      <c r="C5" s="10"/>
      <c r="D5" s="10"/>
      <c r="E5" s="8" t="b">
        <v>1</v>
      </c>
      <c r="F5" s="9">
        <v>0</v>
      </c>
      <c r="G5" s="8" t="b">
        <v>1</v>
      </c>
      <c r="H5" s="9">
        <v>0</v>
      </c>
      <c r="I5" s="9">
        <v>0</v>
      </c>
      <c r="J5" s="9">
        <v>0</v>
      </c>
      <c r="K5" s="9">
        <v>0</v>
      </c>
      <c r="L5" s="9"/>
      <c r="M5" s="9"/>
      <c r="N5" s="9" t="s">
        <v>102</v>
      </c>
      <c r="O5" s="9" t="s">
        <v>102</v>
      </c>
      <c r="P5" s="9">
        <v>0</v>
      </c>
      <c r="Q5" s="13">
        <v>-1</v>
      </c>
      <c r="R5" s="13">
        <v>-1</v>
      </c>
      <c r="S5" s="8" t="s">
        <v>165</v>
      </c>
      <c r="T5" s="8" t="s">
        <v>206</v>
      </c>
      <c r="U5" s="9"/>
      <c r="V5" s="9"/>
      <c r="W5" s="9"/>
      <c r="X5" s="9"/>
      <c r="Y5" s="18" t="b">
        <v>1</v>
      </c>
      <c r="Z5" s="8">
        <v>0</v>
      </c>
      <c r="AA5" s="8" t="b">
        <v>0</v>
      </c>
      <c r="AB5" s="13"/>
      <c r="AC5" s="8" t="s">
        <v>299</v>
      </c>
      <c r="AD5" s="9"/>
      <c r="AE5" s="9"/>
      <c r="AF5" s="9"/>
      <c r="AG5" s="9"/>
      <c r="AH5" s="9"/>
      <c r="AI5" s="9"/>
      <c r="AJ5" s="9"/>
      <c r="AK5" s="12"/>
      <c r="AL5" s="8"/>
      <c r="AM5" s="8" t="b">
        <v>0</v>
      </c>
      <c r="AN5" s="17" t="s">
        <v>105</v>
      </c>
      <c r="AO5" s="12" t="s">
        <v>106</v>
      </c>
      <c r="AP5" s="12"/>
      <c r="AQ5" s="12"/>
      <c r="AR5" s="13"/>
      <c r="AS5" s="26"/>
      <c r="AT5" s="12"/>
      <c r="AU5" s="8" t="b">
        <v>0</v>
      </c>
    </row>
    <row r="6" spans="1:47" ht="33" x14ac:dyDescent="0.3">
      <c r="A6" s="8" t="s">
        <v>207</v>
      </c>
      <c r="B6" s="9"/>
      <c r="C6" s="10"/>
      <c r="D6" s="10"/>
      <c r="E6" s="8" t="b">
        <v>1</v>
      </c>
      <c r="F6" s="9">
        <v>0</v>
      </c>
      <c r="G6" s="8" t="b">
        <v>1</v>
      </c>
      <c r="H6" s="9">
        <v>0</v>
      </c>
      <c r="I6" s="9">
        <v>0</v>
      </c>
      <c r="J6" s="9">
        <v>0</v>
      </c>
      <c r="K6" s="9">
        <v>0</v>
      </c>
      <c r="L6" s="9"/>
      <c r="M6" s="9"/>
      <c r="N6" s="9" t="s">
        <v>102</v>
      </c>
      <c r="O6" s="9" t="s">
        <v>102</v>
      </c>
      <c r="P6" s="9">
        <v>0</v>
      </c>
      <c r="Q6" s="13">
        <v>-1</v>
      </c>
      <c r="R6" s="13">
        <v>-1</v>
      </c>
      <c r="S6" s="8" t="s">
        <v>165</v>
      </c>
      <c r="T6" s="8" t="s">
        <v>206</v>
      </c>
      <c r="U6" s="9"/>
      <c r="V6" s="9"/>
      <c r="W6" s="9"/>
      <c r="X6" s="9"/>
      <c r="Y6" s="18" t="b">
        <v>0</v>
      </c>
      <c r="Z6" s="8">
        <v>0</v>
      </c>
      <c r="AA6" s="8" t="b">
        <v>0</v>
      </c>
      <c r="AB6" s="13"/>
      <c r="AC6" s="14" t="s">
        <v>685</v>
      </c>
      <c r="AD6" s="9"/>
      <c r="AE6" s="9"/>
      <c r="AF6" s="9"/>
      <c r="AG6" s="9"/>
      <c r="AH6" s="9"/>
      <c r="AI6" s="9"/>
      <c r="AJ6" s="9"/>
      <c r="AK6" s="12"/>
      <c r="AL6" s="8"/>
      <c r="AM6" s="8" t="b">
        <v>0</v>
      </c>
      <c r="AN6" s="17" t="s">
        <v>105</v>
      </c>
      <c r="AO6" s="12" t="s">
        <v>106</v>
      </c>
      <c r="AP6" s="12"/>
      <c r="AQ6" s="12"/>
      <c r="AR6" s="13"/>
      <c r="AS6" s="26"/>
      <c r="AT6" s="12"/>
      <c r="AU6" s="8" t="b">
        <v>0</v>
      </c>
    </row>
    <row r="7" spans="1:47" ht="33" x14ac:dyDescent="0.3">
      <c r="A7" s="8" t="s">
        <v>209</v>
      </c>
      <c r="B7" s="9"/>
      <c r="C7" s="10"/>
      <c r="D7" s="10"/>
      <c r="E7" s="8" t="b">
        <v>1</v>
      </c>
      <c r="F7" s="9">
        <v>0</v>
      </c>
      <c r="G7" s="8" t="b">
        <v>1</v>
      </c>
      <c r="H7" s="9">
        <v>0</v>
      </c>
      <c r="I7" s="9">
        <v>0</v>
      </c>
      <c r="J7" s="9">
        <v>0</v>
      </c>
      <c r="K7" s="9">
        <v>0</v>
      </c>
      <c r="L7" s="9"/>
      <c r="M7" s="9"/>
      <c r="N7" s="9" t="s">
        <v>102</v>
      </c>
      <c r="O7" s="9" t="s">
        <v>102</v>
      </c>
      <c r="P7" s="9">
        <v>0</v>
      </c>
      <c r="Q7" s="13">
        <v>-1</v>
      </c>
      <c r="R7" s="13">
        <v>-1</v>
      </c>
      <c r="S7" s="8" t="s">
        <v>165</v>
      </c>
      <c r="T7" s="8" t="s">
        <v>206</v>
      </c>
      <c r="U7" s="9"/>
      <c r="V7" s="9"/>
      <c r="W7" s="9"/>
      <c r="X7" s="9"/>
      <c r="Y7" s="18" t="b">
        <v>0</v>
      </c>
      <c r="Z7" s="8">
        <v>0</v>
      </c>
      <c r="AA7" s="8" t="b">
        <v>0</v>
      </c>
      <c r="AB7" s="13"/>
      <c r="AC7" s="14" t="s">
        <v>686</v>
      </c>
      <c r="AD7" s="9"/>
      <c r="AE7" s="9"/>
      <c r="AF7" s="9"/>
      <c r="AG7" s="9"/>
      <c r="AH7" s="9"/>
      <c r="AI7" s="9"/>
      <c r="AJ7" s="9"/>
      <c r="AK7" s="12"/>
      <c r="AL7" s="8"/>
      <c r="AM7" s="8" t="b">
        <v>0</v>
      </c>
      <c r="AN7" s="17" t="s">
        <v>105</v>
      </c>
      <c r="AO7" s="12" t="s">
        <v>106</v>
      </c>
      <c r="AP7" s="12"/>
      <c r="AQ7" s="12"/>
      <c r="AR7" s="13"/>
      <c r="AS7" s="26"/>
      <c r="AT7" s="12"/>
      <c r="AU7" s="8" t="b">
        <v>0</v>
      </c>
    </row>
    <row r="8" spans="1:47" ht="33" x14ac:dyDescent="0.3">
      <c r="A8" s="8" t="s">
        <v>211</v>
      </c>
      <c r="B8" s="9"/>
      <c r="C8" s="10"/>
      <c r="D8" s="10"/>
      <c r="E8" s="8" t="b">
        <v>1</v>
      </c>
      <c r="F8" s="9">
        <v>0</v>
      </c>
      <c r="G8" s="8" t="b">
        <v>1</v>
      </c>
      <c r="H8" s="9">
        <v>0</v>
      </c>
      <c r="I8" s="9">
        <v>0</v>
      </c>
      <c r="J8" s="9">
        <v>0</v>
      </c>
      <c r="K8" s="9">
        <v>0</v>
      </c>
      <c r="L8" s="9"/>
      <c r="M8" s="9"/>
      <c r="N8" s="9" t="s">
        <v>102</v>
      </c>
      <c r="O8" s="9" t="s">
        <v>102</v>
      </c>
      <c r="P8" s="9">
        <v>0</v>
      </c>
      <c r="Q8" s="13">
        <v>-1</v>
      </c>
      <c r="R8" s="13">
        <v>-1</v>
      </c>
      <c r="S8" s="8" t="s">
        <v>165</v>
      </c>
      <c r="T8" s="8" t="s">
        <v>206</v>
      </c>
      <c r="U8" s="9"/>
      <c r="V8" s="9"/>
      <c r="W8" s="9"/>
      <c r="X8" s="9"/>
      <c r="Y8" s="18" t="b">
        <v>0</v>
      </c>
      <c r="Z8" s="8">
        <v>0</v>
      </c>
      <c r="AA8" s="8" t="b">
        <v>0</v>
      </c>
      <c r="AB8" s="13"/>
      <c r="AC8" s="14" t="s">
        <v>687</v>
      </c>
      <c r="AD8" s="9"/>
      <c r="AE8" s="9"/>
      <c r="AF8" s="9"/>
      <c r="AG8" s="9"/>
      <c r="AH8" s="9"/>
      <c r="AI8" s="9"/>
      <c r="AJ8" s="9"/>
      <c r="AK8" s="12"/>
      <c r="AL8" s="8"/>
      <c r="AM8" s="8" t="b">
        <v>0</v>
      </c>
      <c r="AN8" s="17" t="s">
        <v>105</v>
      </c>
      <c r="AO8" s="12" t="s">
        <v>106</v>
      </c>
      <c r="AP8" s="12"/>
      <c r="AQ8" s="12"/>
      <c r="AR8" s="13"/>
      <c r="AS8" s="26"/>
      <c r="AT8" s="12"/>
      <c r="AU8" s="8" t="b">
        <v>0</v>
      </c>
    </row>
    <row r="9" spans="1:47" ht="66" x14ac:dyDescent="0.3">
      <c r="A9" s="8" t="s">
        <v>213</v>
      </c>
      <c r="B9" s="9"/>
      <c r="C9" s="10"/>
      <c r="D9" s="10"/>
      <c r="E9" s="8" t="b">
        <v>1</v>
      </c>
      <c r="F9" s="9">
        <v>0</v>
      </c>
      <c r="G9" s="8" t="b">
        <v>1</v>
      </c>
      <c r="H9" s="9">
        <v>0</v>
      </c>
      <c r="I9" s="9">
        <v>0</v>
      </c>
      <c r="J9" s="9">
        <v>0</v>
      </c>
      <c r="K9" s="9">
        <v>0</v>
      </c>
      <c r="L9" s="9"/>
      <c r="M9" s="9"/>
      <c r="N9" s="9" t="s">
        <v>102</v>
      </c>
      <c r="O9" s="9" t="s">
        <v>102</v>
      </c>
      <c r="P9" s="9">
        <v>0</v>
      </c>
      <c r="Q9" s="13">
        <v>-1</v>
      </c>
      <c r="R9" s="13">
        <v>-1</v>
      </c>
      <c r="S9" s="8" t="s">
        <v>165</v>
      </c>
      <c r="T9" s="8" t="s">
        <v>206</v>
      </c>
      <c r="U9" s="9"/>
      <c r="V9" s="9"/>
      <c r="W9" s="9"/>
      <c r="X9" s="9"/>
      <c r="Y9" s="18" t="b">
        <v>0</v>
      </c>
      <c r="Z9" s="8">
        <v>0</v>
      </c>
      <c r="AA9" s="8" t="b">
        <v>0</v>
      </c>
      <c r="AB9" s="13"/>
      <c r="AC9" s="14" t="s">
        <v>670</v>
      </c>
      <c r="AD9" s="9"/>
      <c r="AE9" s="9"/>
      <c r="AF9" s="9"/>
      <c r="AG9" s="9"/>
      <c r="AH9" s="9"/>
      <c r="AI9" s="9"/>
      <c r="AJ9" s="9"/>
      <c r="AK9" s="12"/>
      <c r="AL9" s="8"/>
      <c r="AM9" s="8" t="b">
        <v>0</v>
      </c>
      <c r="AN9" s="17" t="s">
        <v>105</v>
      </c>
      <c r="AO9" s="12" t="s">
        <v>106</v>
      </c>
      <c r="AP9" s="12"/>
      <c r="AQ9" s="12"/>
      <c r="AR9" s="13"/>
      <c r="AS9" s="26"/>
      <c r="AT9" s="12"/>
      <c r="AU9" s="8" t="b">
        <v>0</v>
      </c>
    </row>
    <row r="10" spans="1:47" x14ac:dyDescent="0.3">
      <c r="A10" s="8" t="s">
        <v>214</v>
      </c>
      <c r="B10" s="9"/>
      <c r="C10" s="10"/>
      <c r="D10" s="10"/>
      <c r="E10" s="8" t="b">
        <v>1</v>
      </c>
      <c r="F10" s="9">
        <v>0</v>
      </c>
      <c r="G10" s="8" t="b">
        <v>1</v>
      </c>
      <c r="H10" s="9">
        <v>0</v>
      </c>
      <c r="I10" s="9">
        <v>0</v>
      </c>
      <c r="J10" s="9">
        <v>0</v>
      </c>
      <c r="K10" s="9">
        <v>0</v>
      </c>
      <c r="L10" s="9"/>
      <c r="M10" s="9"/>
      <c r="N10" s="9" t="s">
        <v>102</v>
      </c>
      <c r="O10" s="9" t="s">
        <v>102</v>
      </c>
      <c r="P10" s="9">
        <v>0</v>
      </c>
      <c r="Q10" s="13">
        <v>-1</v>
      </c>
      <c r="R10" s="13">
        <v>-1</v>
      </c>
      <c r="S10" s="8" t="s">
        <v>165</v>
      </c>
      <c r="T10" s="8" t="s">
        <v>206</v>
      </c>
      <c r="U10" s="9"/>
      <c r="V10" s="9"/>
      <c r="W10" s="9"/>
      <c r="X10" s="9"/>
      <c r="Y10" s="18" t="b">
        <v>0</v>
      </c>
      <c r="Z10" s="8">
        <v>0</v>
      </c>
      <c r="AA10" s="8" t="b">
        <v>0</v>
      </c>
      <c r="AB10" s="13"/>
      <c r="AC10" s="8" t="s">
        <v>215</v>
      </c>
      <c r="AD10" s="9"/>
      <c r="AE10" s="9"/>
      <c r="AF10" s="9"/>
      <c r="AG10" s="9"/>
      <c r="AH10" s="9"/>
      <c r="AI10" s="9"/>
      <c r="AJ10" s="9"/>
      <c r="AK10" s="12"/>
      <c r="AL10" s="8"/>
      <c r="AM10" s="8" t="b">
        <v>0</v>
      </c>
      <c r="AN10" s="17" t="s">
        <v>105</v>
      </c>
      <c r="AO10" s="12" t="s">
        <v>106</v>
      </c>
      <c r="AP10" s="12"/>
      <c r="AQ10" s="12"/>
      <c r="AR10" s="13"/>
      <c r="AS10" s="26"/>
      <c r="AT10" s="12"/>
      <c r="AU10" s="8" t="b">
        <v>0</v>
      </c>
    </row>
    <row r="11" spans="1:47" ht="33" x14ac:dyDescent="0.3">
      <c r="A11" s="8" t="s">
        <v>675</v>
      </c>
      <c r="B11" s="9"/>
      <c r="C11" s="10"/>
      <c r="D11" s="10"/>
      <c r="E11" s="8" t="b">
        <v>1</v>
      </c>
      <c r="F11" s="9">
        <v>0</v>
      </c>
      <c r="G11" s="8" t="b">
        <v>1</v>
      </c>
      <c r="H11" s="9">
        <v>0</v>
      </c>
      <c r="I11" s="9">
        <v>0</v>
      </c>
      <c r="J11" s="9">
        <v>0</v>
      </c>
      <c r="K11" s="9">
        <v>0</v>
      </c>
      <c r="L11" s="9"/>
      <c r="M11" s="9"/>
      <c r="N11" s="9" t="s">
        <v>102</v>
      </c>
      <c r="O11" s="9" t="s">
        <v>102</v>
      </c>
      <c r="P11" s="9">
        <v>0</v>
      </c>
      <c r="Q11" s="13">
        <v>-1</v>
      </c>
      <c r="R11" s="13">
        <v>-1</v>
      </c>
      <c r="S11" s="8" t="s">
        <v>165</v>
      </c>
      <c r="T11" s="8" t="s">
        <v>206</v>
      </c>
      <c r="U11" s="9"/>
      <c r="V11" s="9"/>
      <c r="W11" s="9"/>
      <c r="X11" s="9"/>
      <c r="Y11" s="18" t="b">
        <v>0</v>
      </c>
      <c r="Z11" s="8">
        <v>0</v>
      </c>
      <c r="AA11" s="8" t="b">
        <v>0</v>
      </c>
      <c r="AB11" s="13"/>
      <c r="AC11" s="14" t="s">
        <v>677</v>
      </c>
      <c r="AD11" s="9"/>
      <c r="AE11" s="9"/>
      <c r="AF11" s="9"/>
      <c r="AG11" s="9"/>
      <c r="AH11" s="9"/>
      <c r="AI11" s="9"/>
      <c r="AJ11" s="9"/>
      <c r="AK11" s="12"/>
      <c r="AL11" s="8"/>
      <c r="AM11" s="8" t="b">
        <v>0</v>
      </c>
      <c r="AN11" s="17" t="s">
        <v>105</v>
      </c>
      <c r="AO11" s="12" t="s">
        <v>106</v>
      </c>
      <c r="AP11" s="12"/>
      <c r="AQ11" s="12"/>
      <c r="AR11" s="13"/>
      <c r="AS11" s="26"/>
      <c r="AT11" s="12"/>
      <c r="AU11" s="8" t="b">
        <v>0</v>
      </c>
    </row>
    <row r="12" spans="1:47" x14ac:dyDescent="0.3">
      <c r="A12" s="8"/>
      <c r="B12" s="9"/>
      <c r="C12" s="10"/>
      <c r="D12" s="10"/>
      <c r="E12" s="8"/>
      <c r="F12" s="9"/>
      <c r="G12" s="8"/>
      <c r="H12" s="9"/>
      <c r="I12" s="9"/>
      <c r="J12" s="9"/>
      <c r="K12" s="9"/>
      <c r="L12" s="9"/>
      <c r="M12" s="9"/>
      <c r="N12" s="9"/>
      <c r="O12" s="9"/>
      <c r="P12" s="9"/>
      <c r="Q12" s="13"/>
      <c r="R12" s="13"/>
      <c r="S12" s="8"/>
      <c r="T12" s="8"/>
      <c r="U12" s="9"/>
      <c r="V12" s="9"/>
      <c r="W12" s="9"/>
      <c r="X12" s="9"/>
      <c r="Y12" s="18"/>
      <c r="Z12" s="8"/>
      <c r="AA12" s="8"/>
      <c r="AB12" s="13"/>
      <c r="AC12" s="8"/>
      <c r="AD12" s="9"/>
      <c r="AE12" s="9"/>
      <c r="AF12" s="9"/>
      <c r="AG12" s="9"/>
      <c r="AH12" s="9"/>
      <c r="AI12" s="9"/>
      <c r="AJ12" s="9"/>
      <c r="AK12" s="12"/>
      <c r="AL12" s="8"/>
      <c r="AM12" s="8"/>
      <c r="AN12" s="17"/>
      <c r="AO12" s="12"/>
      <c r="AP12" s="12"/>
      <c r="AQ12" s="12"/>
      <c r="AR12" s="13"/>
      <c r="AS12" s="26"/>
      <c r="AT12" s="12"/>
      <c r="AU12" s="8"/>
    </row>
    <row r="13" spans="1:47" x14ac:dyDescent="0.3">
      <c r="A13" s="8"/>
      <c r="B13" s="9"/>
      <c r="C13" s="10"/>
      <c r="D13" s="10"/>
      <c r="E13" s="8"/>
      <c r="F13" s="9"/>
      <c r="G13" s="8"/>
      <c r="H13" s="9"/>
      <c r="I13" s="9"/>
      <c r="J13" s="9"/>
      <c r="K13" s="9"/>
      <c r="L13" s="9"/>
      <c r="M13" s="9"/>
      <c r="N13" s="9"/>
      <c r="O13" s="9"/>
      <c r="P13" s="9"/>
      <c r="Q13" s="13"/>
      <c r="R13" s="13"/>
      <c r="S13" s="8"/>
      <c r="T13" s="8"/>
      <c r="U13" s="9"/>
      <c r="V13" s="9"/>
      <c r="W13" s="9"/>
      <c r="X13" s="9"/>
      <c r="Y13" s="18"/>
      <c r="Z13" s="8"/>
      <c r="AA13" s="8"/>
      <c r="AB13" s="13"/>
      <c r="AC13" s="8"/>
      <c r="AD13" s="9"/>
      <c r="AE13" s="9"/>
      <c r="AF13" s="9"/>
      <c r="AG13" s="9"/>
      <c r="AH13" s="9"/>
      <c r="AI13" s="9"/>
      <c r="AJ13" s="9"/>
      <c r="AK13" s="12"/>
      <c r="AL13" s="8"/>
      <c r="AM13" s="8"/>
      <c r="AN13" s="17"/>
      <c r="AO13" s="12"/>
      <c r="AP13" s="12"/>
      <c r="AQ13" s="12"/>
      <c r="AR13" s="13"/>
      <c r="AS13" s="26"/>
      <c r="AT13" s="12"/>
      <c r="AU13" s="8"/>
    </row>
  </sheetData>
  <phoneticPr fontId="1" type="noConversion"/>
  <conditionalFormatting sqref="A6:A1048576 A1:A4">
    <cfRule type="duplicateValues" dxfId="14" priority="16"/>
  </conditionalFormatting>
  <conditionalFormatting sqref="A1:A1048576">
    <cfRule type="duplicateValues" dxfId="13" priority="15"/>
  </conditionalFormatting>
  <conditionalFormatting sqref="A1:AU39">
    <cfRule type="cellIs" dxfId="12" priority="13" operator="lessThanOrEqual">
      <formula>0</formula>
    </cfRule>
    <cfRule type="cellIs" dxfId="11" priority="14" operator="equal">
      <formula>FALSE</formula>
    </cfRule>
  </conditionalFormatting>
  <conditionalFormatting sqref="A5">
    <cfRule type="duplicateValues" dxfId="10" priority="1444"/>
  </conditionalFormatting>
  <dataValidations disablePrompts="1" count="1">
    <dataValidation showInputMessage="1" showErrorMessage="1" prompt="Self 자신_x000a_Ally 아군_x000a_Enemy 적_x000a_DeadAlly 죽은아군_x000a_DeadEnemy 죽은적" sqref="S1"/>
  </dataValidations>
  <pageMargins left="0.75" right="0.75" top="1" bottom="1" header="0.5" footer="0.5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E25"/>
  <sheetViews>
    <sheetView zoomScale="85" zoomScaleNormal="85" workbookViewId="0">
      <selection activeCell="A7" sqref="A7"/>
    </sheetView>
  </sheetViews>
  <sheetFormatPr defaultRowHeight="16.5" x14ac:dyDescent="0.3"/>
  <cols>
    <col min="1" max="1" width="59.125" bestFit="1" customWidth="1"/>
    <col min="2" max="2" width="16.625" customWidth="1"/>
    <col min="3" max="3" width="15.375" bestFit="1" customWidth="1"/>
    <col min="4" max="7" width="15.375" customWidth="1"/>
    <col min="8" max="8" width="45.25" bestFit="1" customWidth="1"/>
    <col min="9" max="9" width="9.75" bestFit="1" customWidth="1"/>
    <col min="10" max="10" width="15.5" bestFit="1" customWidth="1"/>
    <col min="11" max="11" width="12.875" bestFit="1" customWidth="1"/>
    <col min="12" max="12" width="21.625" bestFit="1" customWidth="1"/>
    <col min="13" max="13" width="21.375" bestFit="1" customWidth="1"/>
    <col min="14" max="14" width="15.375" customWidth="1"/>
    <col min="15" max="15" width="11.125" bestFit="1" customWidth="1"/>
    <col min="16" max="16" width="15.5" bestFit="1" customWidth="1"/>
    <col min="17" max="17" width="12.875" bestFit="1" customWidth="1"/>
    <col min="18" max="18" width="17.75" bestFit="1" customWidth="1"/>
    <col min="19" max="19" width="14.625" bestFit="1" customWidth="1"/>
    <col min="20" max="20" width="16.75" bestFit="1" customWidth="1"/>
    <col min="21" max="22" width="16.375" customWidth="1"/>
    <col min="23" max="23" width="16.5" customWidth="1"/>
    <col min="24" max="24" width="17.25" customWidth="1"/>
    <col min="25" max="25" width="11.125" customWidth="1"/>
    <col min="26" max="26" width="13.75" bestFit="1" customWidth="1"/>
    <col min="27" max="27" width="11.875" customWidth="1"/>
    <col min="28" max="28" width="28.625" customWidth="1"/>
    <col min="29" max="29" width="13.75" bestFit="1" customWidth="1"/>
    <col min="30" max="30" width="37.75" bestFit="1" customWidth="1"/>
    <col min="31" max="31" width="67" bestFit="1" customWidth="1"/>
    <col min="32" max="32" width="57.125" customWidth="1"/>
    <col min="33" max="33" width="15.125" customWidth="1"/>
    <col min="34" max="34" width="19.5" customWidth="1"/>
  </cols>
  <sheetData>
    <row r="1" spans="1:31" ht="33" customHeight="1" x14ac:dyDescent="0.3">
      <c r="A1" s="1" t="s">
        <v>0</v>
      </c>
      <c r="B1" s="3" t="s">
        <v>2</v>
      </c>
      <c r="C1" s="3" t="s">
        <v>3</v>
      </c>
      <c r="D1" s="57" t="s">
        <v>107</v>
      </c>
      <c r="E1" s="57" t="s">
        <v>108</v>
      </c>
      <c r="F1" s="57" t="s">
        <v>108</v>
      </c>
      <c r="G1" s="57" t="s">
        <v>108</v>
      </c>
      <c r="H1" s="2" t="s">
        <v>109</v>
      </c>
      <c r="I1" s="28" t="s">
        <v>110</v>
      </c>
      <c r="J1" s="3" t="s">
        <v>111</v>
      </c>
      <c r="K1" s="3" t="s">
        <v>19</v>
      </c>
      <c r="L1" s="3" t="s">
        <v>2</v>
      </c>
      <c r="M1" s="3" t="s">
        <v>3</v>
      </c>
      <c r="N1" s="1" t="s">
        <v>112</v>
      </c>
      <c r="O1" s="7" t="s">
        <v>113</v>
      </c>
      <c r="P1" s="7" t="s">
        <v>114</v>
      </c>
      <c r="Q1" s="7" t="s">
        <v>115</v>
      </c>
      <c r="R1" s="7" t="s">
        <v>116</v>
      </c>
      <c r="S1" s="1" t="s">
        <v>117</v>
      </c>
      <c r="T1" s="1" t="s">
        <v>118</v>
      </c>
      <c r="U1" s="1" t="s">
        <v>119</v>
      </c>
      <c r="V1" s="5" t="s">
        <v>120</v>
      </c>
      <c r="W1" s="5" t="s">
        <v>121</v>
      </c>
      <c r="X1" s="5" t="s">
        <v>122</v>
      </c>
      <c r="Y1" s="1" t="s">
        <v>123</v>
      </c>
      <c r="Z1" s="7" t="s">
        <v>124</v>
      </c>
      <c r="AA1" s="7" t="s">
        <v>125</v>
      </c>
      <c r="AB1" s="1" t="s">
        <v>126</v>
      </c>
      <c r="AC1" s="1" t="s">
        <v>127</v>
      </c>
      <c r="AD1" s="16" t="s">
        <v>128</v>
      </c>
      <c r="AE1" s="4" t="s">
        <v>129</v>
      </c>
    </row>
    <row r="2" spans="1:31" x14ac:dyDescent="0.3">
      <c r="A2" s="1" t="s">
        <v>44</v>
      </c>
      <c r="B2" s="3" t="s">
        <v>46</v>
      </c>
      <c r="C2" s="3" t="s">
        <v>47</v>
      </c>
      <c r="D2" s="57" t="s">
        <v>130</v>
      </c>
      <c r="E2" s="57" t="s">
        <v>131</v>
      </c>
      <c r="F2" s="57" t="s">
        <v>132</v>
      </c>
      <c r="G2" s="57" t="s">
        <v>133</v>
      </c>
      <c r="H2" s="2" t="s">
        <v>134</v>
      </c>
      <c r="I2" s="28" t="s">
        <v>135</v>
      </c>
      <c r="J2" s="3" t="s">
        <v>61</v>
      </c>
      <c r="K2" s="3" t="s">
        <v>62</v>
      </c>
      <c r="L2" s="3" t="s">
        <v>65</v>
      </c>
      <c r="M2" s="3" t="s">
        <v>66</v>
      </c>
      <c r="N2" s="1" t="s">
        <v>136</v>
      </c>
      <c r="O2" s="7" t="s">
        <v>137</v>
      </c>
      <c r="P2" s="7" t="s">
        <v>138</v>
      </c>
      <c r="Q2" s="7" t="s">
        <v>139</v>
      </c>
      <c r="R2" s="7" t="s">
        <v>140</v>
      </c>
      <c r="S2" s="1" t="s">
        <v>141</v>
      </c>
      <c r="T2" s="1" t="s">
        <v>142</v>
      </c>
      <c r="U2" s="1" t="s">
        <v>143</v>
      </c>
      <c r="V2" s="5" t="s">
        <v>98</v>
      </c>
      <c r="W2" s="5" t="s">
        <v>144</v>
      </c>
      <c r="X2" s="5" t="s">
        <v>145</v>
      </c>
      <c r="Y2" s="1" t="s">
        <v>146</v>
      </c>
      <c r="Z2" s="7" t="s">
        <v>147</v>
      </c>
      <c r="AA2" s="7" t="s">
        <v>148</v>
      </c>
      <c r="AB2" s="1" t="s">
        <v>149</v>
      </c>
      <c r="AC2" s="1" t="s">
        <v>150</v>
      </c>
      <c r="AD2" s="16" t="s">
        <v>151</v>
      </c>
      <c r="AE2" s="4" t="s">
        <v>86</v>
      </c>
    </row>
    <row r="3" spans="1:31" x14ac:dyDescent="0.3">
      <c r="A3" s="1" t="s">
        <v>87</v>
      </c>
      <c r="B3" s="3" t="s">
        <v>89</v>
      </c>
      <c r="C3" s="3" t="s">
        <v>88</v>
      </c>
      <c r="D3" s="57" t="s">
        <v>152</v>
      </c>
      <c r="E3" s="57" t="s">
        <v>153</v>
      </c>
      <c r="F3" s="57" t="s">
        <v>153</v>
      </c>
      <c r="G3" s="57" t="s">
        <v>153</v>
      </c>
      <c r="H3" s="2" t="s">
        <v>154</v>
      </c>
      <c r="I3" s="28" t="s">
        <v>91</v>
      </c>
      <c r="J3" s="3" t="s">
        <v>61</v>
      </c>
      <c r="K3" s="3" t="s">
        <v>155</v>
      </c>
      <c r="L3" s="3" t="s">
        <v>89</v>
      </c>
      <c r="M3" s="3" t="s">
        <v>88</v>
      </c>
      <c r="N3" s="1" t="s">
        <v>91</v>
      </c>
      <c r="O3" s="7" t="s">
        <v>97</v>
      </c>
      <c r="P3" s="7" t="s">
        <v>98</v>
      </c>
      <c r="Q3" s="7" t="s">
        <v>99</v>
      </c>
      <c r="R3" s="7" t="s">
        <v>90</v>
      </c>
      <c r="S3" s="1" t="s">
        <v>91</v>
      </c>
      <c r="T3" s="1" t="s">
        <v>91</v>
      </c>
      <c r="U3" s="1" t="s">
        <v>91</v>
      </c>
      <c r="V3" s="5" t="s">
        <v>98</v>
      </c>
      <c r="W3" s="5" t="s">
        <v>99</v>
      </c>
      <c r="X3" s="5" t="s">
        <v>91</v>
      </c>
      <c r="Y3" s="1" t="s">
        <v>90</v>
      </c>
      <c r="Z3" s="7" t="s">
        <v>156</v>
      </c>
      <c r="AA3" s="7" t="s">
        <v>95</v>
      </c>
      <c r="AB3" s="1" t="s">
        <v>96</v>
      </c>
      <c r="AC3" s="1" t="s">
        <v>88</v>
      </c>
      <c r="AD3" s="16" t="s">
        <v>90</v>
      </c>
      <c r="AE3" s="4" t="s">
        <v>90</v>
      </c>
    </row>
    <row r="4" spans="1:31" x14ac:dyDescent="0.3">
      <c r="A4" s="1" t="s">
        <v>100</v>
      </c>
      <c r="B4" s="3" t="s">
        <v>100</v>
      </c>
      <c r="C4" s="3" t="s">
        <v>100</v>
      </c>
      <c r="D4" s="57" t="s">
        <v>157</v>
      </c>
      <c r="E4" s="57" t="s">
        <v>157</v>
      </c>
      <c r="F4" s="57" t="s">
        <v>157</v>
      </c>
      <c r="G4" s="57" t="s">
        <v>157</v>
      </c>
      <c r="H4" s="2" t="s">
        <v>100</v>
      </c>
      <c r="I4" s="28" t="s">
        <v>100</v>
      </c>
      <c r="J4" s="3" t="s">
        <v>100</v>
      </c>
      <c r="K4" s="3" t="s">
        <v>100</v>
      </c>
      <c r="L4" s="3" t="s">
        <v>100</v>
      </c>
      <c r="M4" s="3" t="s">
        <v>100</v>
      </c>
      <c r="N4" s="1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1" t="s">
        <v>100</v>
      </c>
      <c r="T4" s="1" t="s">
        <v>100</v>
      </c>
      <c r="U4" s="1" t="s">
        <v>100</v>
      </c>
      <c r="V4" s="5" t="s">
        <v>100</v>
      </c>
      <c r="W4" s="5" t="s">
        <v>100</v>
      </c>
      <c r="X4" s="5" t="s">
        <v>100</v>
      </c>
      <c r="Y4" s="1" t="s">
        <v>100</v>
      </c>
      <c r="Z4" s="7" t="s">
        <v>100</v>
      </c>
      <c r="AA4" s="7" t="s">
        <v>100</v>
      </c>
      <c r="AB4" s="1" t="s">
        <v>101</v>
      </c>
      <c r="AC4" s="1" t="s">
        <v>101</v>
      </c>
      <c r="AD4" s="16" t="s">
        <v>100</v>
      </c>
      <c r="AE4" s="4" t="s">
        <v>101</v>
      </c>
    </row>
    <row r="5" spans="1:31" x14ac:dyDescent="0.3">
      <c r="A5" s="8" t="s">
        <v>299</v>
      </c>
      <c r="B5" s="8"/>
      <c r="C5" s="8"/>
      <c r="D5" s="8" t="s">
        <v>216</v>
      </c>
      <c r="E5" s="8" t="s">
        <v>300</v>
      </c>
      <c r="F5" s="8">
        <v>3000</v>
      </c>
      <c r="G5" s="8">
        <v>100</v>
      </c>
      <c r="H5" s="8" t="str">
        <f t="shared" ref="H5:H7" si="0">D5&amp;"("&amp;IF(E5="","",E5)&amp;IF(F5="","",", "&amp;F5)&amp;IF(G5="","",", "&amp;G5)&amp;")"</f>
        <v>Area(stage.ti111ttack.effect.damage, 3000, 100)</v>
      </c>
      <c r="I5" s="11">
        <v>0</v>
      </c>
      <c r="J5" s="8" t="s">
        <v>165</v>
      </c>
      <c r="K5" s="8"/>
      <c r="L5" s="8"/>
      <c r="M5" s="8"/>
      <c r="N5" s="13">
        <v>100</v>
      </c>
      <c r="O5" s="13" t="s">
        <v>105</v>
      </c>
      <c r="P5" s="8" t="s">
        <v>106</v>
      </c>
      <c r="Q5" s="8">
        <v>0</v>
      </c>
      <c r="R5" s="8" t="b">
        <v>0</v>
      </c>
      <c r="S5" s="8">
        <v>0</v>
      </c>
      <c r="T5" s="8">
        <v>0</v>
      </c>
      <c r="U5" s="8">
        <v>0</v>
      </c>
      <c r="V5" s="8" t="s">
        <v>106</v>
      </c>
      <c r="W5" s="8">
        <v>0</v>
      </c>
      <c r="X5" s="13">
        <v>0</v>
      </c>
      <c r="Y5" s="8" t="b">
        <v>1</v>
      </c>
      <c r="Z5" s="8"/>
      <c r="AA5" s="8"/>
      <c r="AB5" s="8"/>
      <c r="AC5" s="8"/>
      <c r="AD5" s="27" t="b">
        <v>1</v>
      </c>
      <c r="AE5" s="27" t="b">
        <v>1</v>
      </c>
    </row>
    <row r="6" spans="1:31" ht="66" x14ac:dyDescent="0.3">
      <c r="A6" s="8" t="s">
        <v>300</v>
      </c>
      <c r="B6" s="8"/>
      <c r="C6" s="8"/>
      <c r="D6" s="8" t="s">
        <v>183</v>
      </c>
      <c r="E6" s="8" t="s">
        <v>159</v>
      </c>
      <c r="F6" s="8"/>
      <c r="G6" s="8">
        <v>9999999</v>
      </c>
      <c r="H6" s="8" t="str">
        <f t="shared" si="0"/>
        <v>Damage(Attack, 9999999)</v>
      </c>
      <c r="I6" s="8">
        <v>0</v>
      </c>
      <c r="J6" s="8" t="s">
        <v>165</v>
      </c>
      <c r="K6" s="8"/>
      <c r="L6" s="8"/>
      <c r="M6" s="8"/>
      <c r="N6" s="13">
        <v>100</v>
      </c>
      <c r="O6" s="13" t="s">
        <v>105</v>
      </c>
      <c r="P6" s="8" t="s">
        <v>170</v>
      </c>
      <c r="Q6" s="8">
        <v>0</v>
      </c>
      <c r="R6" s="8" t="b">
        <v>1</v>
      </c>
      <c r="S6" s="8">
        <v>1000</v>
      </c>
      <c r="T6" s="8">
        <v>0</v>
      </c>
      <c r="U6" s="8">
        <v>0</v>
      </c>
      <c r="V6" s="8" t="s">
        <v>167</v>
      </c>
      <c r="W6" s="8">
        <v>10</v>
      </c>
      <c r="X6" s="8">
        <v>0</v>
      </c>
      <c r="Y6" s="8" t="b">
        <v>1</v>
      </c>
      <c r="Z6" s="8"/>
      <c r="AA6" s="8"/>
      <c r="AB6" s="14" t="s">
        <v>368</v>
      </c>
      <c r="AC6" s="8"/>
      <c r="AD6" s="27" t="b">
        <v>1</v>
      </c>
      <c r="AE6" s="27" t="b">
        <v>1</v>
      </c>
    </row>
    <row r="7" spans="1:31" x14ac:dyDescent="0.3">
      <c r="A7" s="8" t="s">
        <v>683</v>
      </c>
      <c r="B7" s="8"/>
      <c r="C7" s="8"/>
      <c r="D7" s="8" t="s">
        <v>158</v>
      </c>
      <c r="E7" s="8" t="s">
        <v>163</v>
      </c>
      <c r="F7" s="8">
        <v>0</v>
      </c>
      <c r="G7" s="8">
        <v>150</v>
      </c>
      <c r="H7" s="8" t="str">
        <f t="shared" si="0"/>
        <v>Recharge(None, 0, 150)</v>
      </c>
      <c r="I7" s="8">
        <v>0</v>
      </c>
      <c r="J7" s="8" t="s">
        <v>165</v>
      </c>
      <c r="K7" s="8"/>
      <c r="L7" s="8" t="s">
        <v>164</v>
      </c>
      <c r="M7" s="8" t="s">
        <v>684</v>
      </c>
      <c r="N7" s="13">
        <v>100</v>
      </c>
      <c r="O7" s="13" t="s">
        <v>160</v>
      </c>
      <c r="P7" s="8" t="s">
        <v>106</v>
      </c>
      <c r="Q7" s="8">
        <v>0</v>
      </c>
      <c r="R7" s="8" t="b">
        <v>0</v>
      </c>
      <c r="S7" s="8">
        <v>0</v>
      </c>
      <c r="T7" s="8">
        <v>0</v>
      </c>
      <c r="U7" s="8">
        <v>0</v>
      </c>
      <c r="V7" s="8" t="s">
        <v>170</v>
      </c>
      <c r="W7" s="8">
        <v>0</v>
      </c>
      <c r="X7" s="8">
        <v>0</v>
      </c>
      <c r="Y7" s="8" t="b">
        <v>1</v>
      </c>
      <c r="Z7" s="8"/>
      <c r="AA7" s="8"/>
      <c r="AB7" s="14"/>
      <c r="AC7" s="8"/>
      <c r="AD7" s="27" t="b">
        <v>0</v>
      </c>
      <c r="AE7" s="27" t="b">
        <v>0</v>
      </c>
    </row>
    <row r="8" spans="1:31" x14ac:dyDescent="0.3">
      <c r="A8" s="8" t="s">
        <v>208</v>
      </c>
      <c r="B8" s="8"/>
      <c r="C8" s="8"/>
      <c r="D8" s="8" t="s">
        <v>158</v>
      </c>
      <c r="E8" s="8" t="s">
        <v>163</v>
      </c>
      <c r="F8" s="8">
        <v>0</v>
      </c>
      <c r="G8" s="8">
        <v>500</v>
      </c>
      <c r="H8" s="8" t="str">
        <f>D8&amp;"("&amp;IF(E8="","",E8)&amp;IF(F8="","",", "&amp;F8)&amp;IF(G8="","",", "&amp;G8)&amp;")"</f>
        <v>Recharge(None, 0, 500)</v>
      </c>
      <c r="I8" s="11">
        <v>0</v>
      </c>
      <c r="J8" s="8" t="s">
        <v>165</v>
      </c>
      <c r="K8" s="8"/>
      <c r="L8" s="8"/>
      <c r="M8" s="8"/>
      <c r="N8" s="13">
        <v>100</v>
      </c>
      <c r="O8" s="13" t="s">
        <v>160</v>
      </c>
      <c r="P8" s="8" t="s">
        <v>106</v>
      </c>
      <c r="Q8" s="8">
        <v>0</v>
      </c>
      <c r="R8" s="8" t="b">
        <v>0</v>
      </c>
      <c r="S8" s="8">
        <v>0</v>
      </c>
      <c r="T8" s="8">
        <v>0</v>
      </c>
      <c r="U8" s="8">
        <v>0</v>
      </c>
      <c r="V8" s="8" t="s">
        <v>170</v>
      </c>
      <c r="W8" s="8">
        <v>0</v>
      </c>
      <c r="X8" s="13">
        <v>0</v>
      </c>
      <c r="Y8" s="8" t="b">
        <v>1</v>
      </c>
      <c r="Z8" s="8"/>
      <c r="AA8" s="8"/>
      <c r="AB8" s="8"/>
      <c r="AC8" s="8"/>
      <c r="AD8" s="27" t="b">
        <v>0</v>
      </c>
      <c r="AE8" s="27" t="b">
        <v>0</v>
      </c>
    </row>
    <row r="9" spans="1:31" x14ac:dyDescent="0.3">
      <c r="A9" s="8" t="s">
        <v>210</v>
      </c>
      <c r="B9" s="8"/>
      <c r="C9" s="8"/>
      <c r="D9" s="8" t="s">
        <v>158</v>
      </c>
      <c r="E9" s="8" t="s">
        <v>163</v>
      </c>
      <c r="F9" s="8">
        <v>0</v>
      </c>
      <c r="G9" s="8">
        <v>300</v>
      </c>
      <c r="H9" s="8" t="str">
        <f t="shared" ref="H9:H15" si="1">D9&amp;"("&amp;IF(E9="","",E9)&amp;IF(F9="","",", "&amp;F9)&amp;IF(G9="","",", "&amp;G9)&amp;")"</f>
        <v>Recharge(None, 0, 300)</v>
      </c>
      <c r="I9" s="11">
        <v>0</v>
      </c>
      <c r="J9" s="8" t="s">
        <v>165</v>
      </c>
      <c r="K9" s="8"/>
      <c r="L9" s="8"/>
      <c r="M9" s="8"/>
      <c r="N9" s="13">
        <v>100</v>
      </c>
      <c r="O9" s="13" t="s">
        <v>160</v>
      </c>
      <c r="P9" s="8" t="s">
        <v>106</v>
      </c>
      <c r="Q9" s="8">
        <v>0</v>
      </c>
      <c r="R9" s="8" t="b">
        <v>0</v>
      </c>
      <c r="S9" s="8">
        <v>0</v>
      </c>
      <c r="T9" s="8">
        <v>0</v>
      </c>
      <c r="U9" s="8">
        <v>0</v>
      </c>
      <c r="V9" s="8" t="s">
        <v>170</v>
      </c>
      <c r="W9" s="8">
        <v>0</v>
      </c>
      <c r="X9" s="13">
        <v>0</v>
      </c>
      <c r="Y9" s="8" t="b">
        <v>1</v>
      </c>
      <c r="Z9" s="8"/>
      <c r="AA9" s="8"/>
      <c r="AB9" s="8"/>
      <c r="AC9" s="8"/>
      <c r="AD9" s="27" t="b">
        <v>0</v>
      </c>
      <c r="AE9" s="27" t="b">
        <v>0</v>
      </c>
    </row>
    <row r="10" spans="1:31" x14ac:dyDescent="0.3">
      <c r="A10" s="8" t="s">
        <v>212</v>
      </c>
      <c r="B10" s="8"/>
      <c r="C10" s="8"/>
      <c r="D10" s="8" t="s">
        <v>158</v>
      </c>
      <c r="E10" s="8" t="s">
        <v>163</v>
      </c>
      <c r="F10" s="8">
        <v>0</v>
      </c>
      <c r="G10" s="8">
        <v>200</v>
      </c>
      <c r="H10" s="8" t="str">
        <f t="shared" si="1"/>
        <v>Recharge(None, 0, 200)</v>
      </c>
      <c r="I10" s="11">
        <v>0</v>
      </c>
      <c r="J10" s="8" t="s">
        <v>165</v>
      </c>
      <c r="K10" s="8"/>
      <c r="L10" s="8"/>
      <c r="M10" s="8"/>
      <c r="N10" s="13">
        <v>100</v>
      </c>
      <c r="O10" s="13" t="s">
        <v>160</v>
      </c>
      <c r="P10" s="8" t="s">
        <v>106</v>
      </c>
      <c r="Q10" s="8">
        <v>0</v>
      </c>
      <c r="R10" s="8" t="b">
        <v>0</v>
      </c>
      <c r="S10" s="8">
        <v>0</v>
      </c>
      <c r="T10" s="8">
        <v>0</v>
      </c>
      <c r="U10" s="8">
        <v>0</v>
      </c>
      <c r="V10" s="8" t="s">
        <v>170</v>
      </c>
      <c r="W10" s="8">
        <v>0</v>
      </c>
      <c r="X10" s="13">
        <v>0</v>
      </c>
      <c r="Y10" s="8" t="b">
        <v>1</v>
      </c>
      <c r="Z10" s="8"/>
      <c r="AA10" s="8"/>
      <c r="AB10" s="8"/>
      <c r="AC10" s="8"/>
      <c r="AD10" s="27" t="b">
        <v>0</v>
      </c>
      <c r="AE10" s="27" t="b">
        <v>0</v>
      </c>
    </row>
    <row r="11" spans="1:31" x14ac:dyDescent="0.3">
      <c r="A11" s="8" t="s">
        <v>217</v>
      </c>
      <c r="B11" s="8"/>
      <c r="C11" s="8"/>
      <c r="D11" s="8" t="s">
        <v>158</v>
      </c>
      <c r="E11" s="8" t="s">
        <v>163</v>
      </c>
      <c r="F11" s="8">
        <v>0</v>
      </c>
      <c r="G11" s="8">
        <v>600</v>
      </c>
      <c r="H11" s="8" t="str">
        <f t="shared" si="1"/>
        <v>Recharge(None, 0, 600)</v>
      </c>
      <c r="I11" s="11">
        <v>0</v>
      </c>
      <c r="J11" s="8" t="s">
        <v>165</v>
      </c>
      <c r="K11" s="8"/>
      <c r="L11" s="8" t="s">
        <v>201</v>
      </c>
      <c r="M11" s="8" t="s">
        <v>202</v>
      </c>
      <c r="N11" s="13">
        <v>100</v>
      </c>
      <c r="O11" s="13" t="s">
        <v>160</v>
      </c>
      <c r="P11" s="8" t="s">
        <v>106</v>
      </c>
      <c r="Q11" s="8">
        <v>0</v>
      </c>
      <c r="R11" s="8" t="b">
        <v>0</v>
      </c>
      <c r="S11" s="8">
        <v>0</v>
      </c>
      <c r="T11" s="8">
        <v>0</v>
      </c>
      <c r="U11" s="8">
        <v>0</v>
      </c>
      <c r="V11" s="8" t="s">
        <v>170</v>
      </c>
      <c r="W11" s="8">
        <v>0</v>
      </c>
      <c r="X11" s="13">
        <v>0</v>
      </c>
      <c r="Y11" s="8" t="b">
        <v>1</v>
      </c>
      <c r="Z11" s="8"/>
      <c r="AA11" s="8"/>
      <c r="AB11" s="8"/>
      <c r="AC11" s="8"/>
      <c r="AD11" s="27" t="b">
        <v>0</v>
      </c>
      <c r="AE11" s="27" t="b">
        <v>0</v>
      </c>
    </row>
    <row r="12" spans="1:31" x14ac:dyDescent="0.3">
      <c r="A12" s="8" t="s">
        <v>218</v>
      </c>
      <c r="B12" s="8"/>
      <c r="C12" s="8"/>
      <c r="D12" s="8" t="s">
        <v>158</v>
      </c>
      <c r="E12" s="8" t="s">
        <v>163</v>
      </c>
      <c r="F12" s="8">
        <v>0</v>
      </c>
      <c r="G12" s="8">
        <v>500</v>
      </c>
      <c r="H12" s="8" t="str">
        <f t="shared" si="1"/>
        <v>Recharge(None, 0, 500)</v>
      </c>
      <c r="I12" s="11">
        <v>0</v>
      </c>
      <c r="J12" s="8" t="s">
        <v>165</v>
      </c>
      <c r="K12" s="8"/>
      <c r="L12" s="8" t="s">
        <v>201</v>
      </c>
      <c r="M12" s="8" t="s">
        <v>673</v>
      </c>
      <c r="N12" s="13">
        <v>100</v>
      </c>
      <c r="O12" s="13" t="s">
        <v>160</v>
      </c>
      <c r="P12" s="8" t="s">
        <v>106</v>
      </c>
      <c r="Q12" s="8">
        <v>0</v>
      </c>
      <c r="R12" s="8" t="b">
        <v>0</v>
      </c>
      <c r="S12" s="8">
        <v>0</v>
      </c>
      <c r="T12" s="8">
        <v>0</v>
      </c>
      <c r="U12" s="8">
        <v>0</v>
      </c>
      <c r="V12" s="8" t="s">
        <v>170</v>
      </c>
      <c r="W12" s="8">
        <v>0</v>
      </c>
      <c r="X12" s="13">
        <v>0</v>
      </c>
      <c r="Y12" s="8" t="b">
        <v>1</v>
      </c>
      <c r="Z12" s="8"/>
      <c r="AA12" s="8"/>
      <c r="AB12" s="8"/>
      <c r="AC12" s="8"/>
      <c r="AD12" s="27" t="b">
        <v>0</v>
      </c>
      <c r="AE12" s="27" t="b">
        <v>0</v>
      </c>
    </row>
    <row r="13" spans="1:31" x14ac:dyDescent="0.3">
      <c r="A13" s="8" t="s">
        <v>671</v>
      </c>
      <c r="B13" s="8"/>
      <c r="C13" s="8"/>
      <c r="D13" s="8" t="s">
        <v>158</v>
      </c>
      <c r="E13" s="8" t="s">
        <v>163</v>
      </c>
      <c r="F13" s="8">
        <v>0</v>
      </c>
      <c r="G13" s="8">
        <v>100</v>
      </c>
      <c r="H13" s="8" t="str">
        <f t="shared" ref="H13" si="2">D13&amp;"("&amp;IF(E13="","",E13)&amp;IF(F13="","",", "&amp;F13)&amp;IF(G13="","",", "&amp;G13)&amp;")"</f>
        <v>Recharge(None, 0, 100)</v>
      </c>
      <c r="I13" s="11">
        <v>0</v>
      </c>
      <c r="J13" s="8" t="s">
        <v>165</v>
      </c>
      <c r="K13" s="8" t="s">
        <v>674</v>
      </c>
      <c r="L13" s="8"/>
      <c r="M13" s="8"/>
      <c r="N13" s="13">
        <v>100</v>
      </c>
      <c r="O13" s="13" t="s">
        <v>160</v>
      </c>
      <c r="P13" s="8" t="s">
        <v>106</v>
      </c>
      <c r="Q13" s="8">
        <v>0</v>
      </c>
      <c r="R13" s="8" t="b">
        <v>0</v>
      </c>
      <c r="S13" s="8">
        <v>0</v>
      </c>
      <c r="T13" s="8">
        <v>0</v>
      </c>
      <c r="U13" s="8">
        <v>0</v>
      </c>
      <c r="V13" s="8" t="s">
        <v>170</v>
      </c>
      <c r="W13" s="8">
        <v>0</v>
      </c>
      <c r="X13" s="13">
        <v>1</v>
      </c>
      <c r="Y13" s="8" t="b">
        <v>1</v>
      </c>
      <c r="Z13" s="8"/>
      <c r="AA13" s="8"/>
      <c r="AB13" s="8"/>
      <c r="AC13" s="8"/>
      <c r="AD13" s="27" t="b">
        <v>0</v>
      </c>
      <c r="AE13" s="27" t="b">
        <v>0</v>
      </c>
    </row>
    <row r="14" spans="1:31" x14ac:dyDescent="0.3">
      <c r="A14" s="8" t="s">
        <v>672</v>
      </c>
      <c r="B14" s="8"/>
      <c r="C14" s="8"/>
      <c r="D14" s="8" t="s">
        <v>164</v>
      </c>
      <c r="E14" s="8" t="s">
        <v>669</v>
      </c>
      <c r="F14" s="8"/>
      <c r="G14" s="8"/>
      <c r="H14" s="8" t="str">
        <f t="shared" si="1"/>
        <v>Buff(stage.tutorial.accuracy.100.buff)</v>
      </c>
      <c r="I14" s="11">
        <v>0</v>
      </c>
      <c r="J14" s="8" t="s">
        <v>165</v>
      </c>
      <c r="K14" s="8"/>
      <c r="L14" s="8"/>
      <c r="M14" s="8"/>
      <c r="N14" s="13">
        <v>100</v>
      </c>
      <c r="O14" s="13" t="s">
        <v>160</v>
      </c>
      <c r="P14" s="8" t="s">
        <v>106</v>
      </c>
      <c r="Q14" s="8"/>
      <c r="R14" s="8" t="b">
        <v>1</v>
      </c>
      <c r="S14" s="8">
        <v>0</v>
      </c>
      <c r="T14" s="8">
        <v>0</v>
      </c>
      <c r="U14" s="8">
        <v>0</v>
      </c>
      <c r="V14" s="8" t="s">
        <v>170</v>
      </c>
      <c r="W14" s="8"/>
      <c r="X14" s="13">
        <v>0</v>
      </c>
      <c r="Y14" s="8" t="b">
        <v>1</v>
      </c>
      <c r="Z14" s="8"/>
      <c r="AA14" s="8"/>
      <c r="AB14" s="8"/>
      <c r="AC14" s="8"/>
      <c r="AD14" s="27" t="b">
        <v>1</v>
      </c>
      <c r="AE14" s="27" t="b">
        <v>1</v>
      </c>
    </row>
    <row r="15" spans="1:31" x14ac:dyDescent="0.3">
      <c r="A15" s="8" t="s">
        <v>215</v>
      </c>
      <c r="B15" s="8"/>
      <c r="C15" s="8"/>
      <c r="D15" s="8" t="s">
        <v>164</v>
      </c>
      <c r="E15" s="8" t="s">
        <v>219</v>
      </c>
      <c r="F15" s="8"/>
      <c r="G15" s="8"/>
      <c r="H15" s="8" t="str">
        <f t="shared" si="1"/>
        <v>Buff(stage.buff.energy.up.50.buff)</v>
      </c>
      <c r="I15" s="11">
        <v>0</v>
      </c>
      <c r="J15" s="8" t="s">
        <v>165</v>
      </c>
      <c r="K15" s="8"/>
      <c r="L15" s="8"/>
      <c r="M15" s="8"/>
      <c r="N15" s="13">
        <v>100</v>
      </c>
      <c r="O15" s="13" t="s">
        <v>160</v>
      </c>
      <c r="P15" s="8" t="s">
        <v>106</v>
      </c>
      <c r="Q15" s="8"/>
      <c r="R15" s="8" t="b">
        <v>1</v>
      </c>
      <c r="S15" s="8">
        <v>0</v>
      </c>
      <c r="T15" s="8">
        <v>0</v>
      </c>
      <c r="U15" s="8">
        <v>0</v>
      </c>
      <c r="V15" s="8" t="s">
        <v>170</v>
      </c>
      <c r="W15" s="8"/>
      <c r="X15" s="13">
        <v>0</v>
      </c>
      <c r="Y15" s="8" t="b">
        <v>1</v>
      </c>
      <c r="Z15" s="8"/>
      <c r="AA15" s="8"/>
      <c r="AB15" s="8"/>
      <c r="AC15" s="8"/>
      <c r="AD15" s="27" t="b">
        <v>1</v>
      </c>
      <c r="AE15" s="27" t="b">
        <v>1</v>
      </c>
    </row>
    <row r="16" spans="1:31" x14ac:dyDescent="0.3">
      <c r="A16" s="8" t="s">
        <v>676</v>
      </c>
      <c r="B16" s="8"/>
      <c r="C16" s="8"/>
      <c r="D16" s="8" t="s">
        <v>158</v>
      </c>
      <c r="E16" s="8" t="s">
        <v>163</v>
      </c>
      <c r="F16" s="8">
        <v>0</v>
      </c>
      <c r="G16" s="8">
        <v>800</v>
      </c>
      <c r="H16" s="8" t="str">
        <f t="shared" ref="H16" si="3">D16&amp;"("&amp;IF(E16="","",E16)&amp;IF(F16="","",", "&amp;F16)&amp;IF(G16="","",", "&amp;G16)&amp;")"</f>
        <v>Recharge(None, 0, 800)</v>
      </c>
      <c r="I16" s="11">
        <v>0</v>
      </c>
      <c r="J16" s="8" t="s">
        <v>165</v>
      </c>
      <c r="K16" s="8"/>
      <c r="L16" s="8" t="s">
        <v>678</v>
      </c>
      <c r="M16" s="8" t="s">
        <v>679</v>
      </c>
      <c r="N16" s="13">
        <v>100</v>
      </c>
      <c r="O16" s="13" t="s">
        <v>160</v>
      </c>
      <c r="P16" s="8" t="s">
        <v>106</v>
      </c>
      <c r="Q16" s="8">
        <v>0</v>
      </c>
      <c r="R16" s="8" t="b">
        <v>0</v>
      </c>
      <c r="S16" s="8">
        <v>0</v>
      </c>
      <c r="T16" s="8">
        <v>0</v>
      </c>
      <c r="U16" s="8">
        <v>0</v>
      </c>
      <c r="V16" s="8" t="s">
        <v>170</v>
      </c>
      <c r="W16" s="8">
        <v>0</v>
      </c>
      <c r="X16" s="13">
        <v>0</v>
      </c>
      <c r="Y16" s="8" t="b">
        <v>1</v>
      </c>
      <c r="Z16" s="8"/>
      <c r="AA16" s="8"/>
      <c r="AB16" s="8"/>
      <c r="AC16" s="8"/>
      <c r="AD16" s="27" t="b">
        <v>0</v>
      </c>
      <c r="AE16" s="27" t="b">
        <v>0</v>
      </c>
    </row>
    <row r="17" spans="1:31" x14ac:dyDescent="0.3">
      <c r="A17" s="8"/>
      <c r="B17" s="8"/>
      <c r="C17" s="8"/>
      <c r="D17" s="8"/>
      <c r="E17" s="8"/>
      <c r="F17" s="8"/>
      <c r="G17" s="8"/>
      <c r="H17" s="8"/>
      <c r="I17" s="11"/>
      <c r="J17" s="8"/>
      <c r="K17" s="8"/>
      <c r="L17" s="8"/>
      <c r="M17" s="8"/>
      <c r="N17" s="13"/>
      <c r="O17" s="13"/>
      <c r="P17" s="8"/>
      <c r="Q17" s="8"/>
      <c r="R17" s="8"/>
      <c r="S17" s="8"/>
      <c r="T17" s="8"/>
      <c r="U17" s="8"/>
      <c r="V17" s="8"/>
      <c r="W17" s="8"/>
      <c r="X17" s="13"/>
      <c r="Y17" s="8"/>
      <c r="Z17" s="8"/>
      <c r="AA17" s="8"/>
      <c r="AB17" s="8"/>
      <c r="AC17" s="8"/>
      <c r="AD17" s="27"/>
      <c r="AE17" s="27"/>
    </row>
    <row r="18" spans="1:31" x14ac:dyDescent="0.3">
      <c r="A18" s="8"/>
      <c r="B18" s="8"/>
      <c r="C18" s="8"/>
      <c r="D18" s="8"/>
      <c r="E18" s="8"/>
      <c r="F18" s="8"/>
      <c r="G18" s="8"/>
      <c r="H18" s="8"/>
      <c r="I18" s="11"/>
      <c r="J18" s="8"/>
      <c r="K18" s="8"/>
      <c r="L18" s="8"/>
      <c r="M18" s="8"/>
      <c r="N18" s="13"/>
      <c r="O18" s="13"/>
      <c r="P18" s="8"/>
      <c r="Q18" s="8"/>
      <c r="R18" s="8"/>
      <c r="S18" s="8"/>
      <c r="T18" s="8"/>
      <c r="U18" s="8"/>
      <c r="V18" s="8"/>
      <c r="W18" s="8"/>
      <c r="X18" s="13"/>
      <c r="Y18" s="8"/>
      <c r="Z18" s="8"/>
      <c r="AA18" s="8"/>
      <c r="AB18" s="8"/>
      <c r="AC18" s="8"/>
      <c r="AD18" s="27"/>
      <c r="AE18" s="27"/>
    </row>
    <row r="19" spans="1:31" x14ac:dyDescent="0.3">
      <c r="A19" s="8"/>
      <c r="B19" s="8"/>
      <c r="C19" s="8"/>
      <c r="D19" s="8"/>
      <c r="E19" s="8"/>
      <c r="F19" s="8"/>
      <c r="G19" s="8"/>
      <c r="H19" s="8"/>
      <c r="I19" s="11"/>
      <c r="J19" s="8"/>
      <c r="K19" s="8"/>
      <c r="L19" s="8"/>
      <c r="M19" s="8"/>
      <c r="N19" s="13"/>
      <c r="O19" s="13"/>
      <c r="P19" s="8"/>
      <c r="Q19" s="8"/>
      <c r="R19" s="8"/>
      <c r="S19" s="8"/>
      <c r="T19" s="8"/>
      <c r="U19" s="8"/>
      <c r="V19" s="8"/>
      <c r="W19" s="8"/>
      <c r="X19" s="13"/>
      <c r="Y19" s="8"/>
      <c r="Z19" s="8"/>
      <c r="AA19" s="8"/>
      <c r="AB19" s="8"/>
      <c r="AC19" s="8"/>
      <c r="AD19" s="27"/>
      <c r="AE19" s="27"/>
    </row>
    <row r="20" spans="1:31" x14ac:dyDescent="0.3">
      <c r="A20" s="8"/>
      <c r="B20" s="8"/>
      <c r="C20" s="8"/>
      <c r="D20" s="8"/>
      <c r="E20" s="8"/>
      <c r="F20" s="8"/>
      <c r="G20" s="8"/>
      <c r="H20" s="8"/>
      <c r="I20" s="11"/>
      <c r="J20" s="8"/>
      <c r="K20" s="8"/>
      <c r="L20" s="8"/>
      <c r="M20" s="8"/>
      <c r="N20" s="13"/>
      <c r="O20" s="13"/>
      <c r="P20" s="8"/>
      <c r="Q20" s="8"/>
      <c r="R20" s="8"/>
      <c r="S20" s="8"/>
      <c r="T20" s="8"/>
      <c r="U20" s="8"/>
      <c r="V20" s="8"/>
      <c r="W20" s="8"/>
      <c r="X20" s="13"/>
      <c r="Y20" s="8"/>
      <c r="Z20" s="8"/>
      <c r="AA20" s="8"/>
      <c r="AB20" s="8"/>
      <c r="AC20" s="8"/>
      <c r="AD20" s="27"/>
      <c r="AE20" s="27"/>
    </row>
    <row r="21" spans="1:31" x14ac:dyDescent="0.3">
      <c r="A21" s="8"/>
      <c r="B21" s="8"/>
      <c r="C21" s="8"/>
      <c r="D21" s="8"/>
      <c r="E21" s="8"/>
      <c r="F21" s="8"/>
      <c r="G21" s="8"/>
      <c r="H21" s="8"/>
      <c r="I21" s="11"/>
      <c r="J21" s="8"/>
      <c r="K21" s="8"/>
      <c r="L21" s="8"/>
      <c r="M21" s="8"/>
      <c r="N21" s="13"/>
      <c r="O21" s="13"/>
      <c r="P21" s="8"/>
      <c r="Q21" s="8"/>
      <c r="R21" s="8"/>
      <c r="S21" s="8"/>
      <c r="T21" s="8"/>
      <c r="U21" s="8"/>
      <c r="V21" s="8"/>
      <c r="W21" s="8"/>
      <c r="X21" s="13"/>
      <c r="Y21" s="8"/>
      <c r="Z21" s="8"/>
      <c r="AA21" s="8"/>
      <c r="AB21" s="8"/>
      <c r="AC21" s="8"/>
      <c r="AD21" s="27"/>
      <c r="AE21" s="27"/>
    </row>
    <row r="22" spans="1:31" x14ac:dyDescent="0.3">
      <c r="A22" s="8"/>
      <c r="B22" s="8"/>
      <c r="C22" s="8"/>
      <c r="D22" s="8"/>
      <c r="E22" s="8"/>
      <c r="F22" s="8"/>
      <c r="G22" s="8"/>
      <c r="H22" s="8"/>
      <c r="I22" s="11"/>
      <c r="J22" s="8"/>
      <c r="K22" s="8"/>
      <c r="L22" s="8"/>
      <c r="M22" s="8"/>
      <c r="N22" s="13"/>
      <c r="O22" s="13"/>
      <c r="P22" s="8"/>
      <c r="Q22" s="8"/>
      <c r="R22" s="8"/>
      <c r="S22" s="8"/>
      <c r="T22" s="8"/>
      <c r="U22" s="8"/>
      <c r="V22" s="8"/>
      <c r="W22" s="8"/>
      <c r="X22" s="13"/>
      <c r="Y22" s="8"/>
      <c r="Z22" s="8"/>
      <c r="AA22" s="8"/>
      <c r="AB22" s="8"/>
      <c r="AC22" s="8"/>
      <c r="AD22" s="27"/>
      <c r="AE22" s="27"/>
    </row>
    <row r="23" spans="1:31" x14ac:dyDescent="0.3">
      <c r="A23" s="8"/>
      <c r="B23" s="8"/>
      <c r="C23" s="8"/>
      <c r="D23" s="8"/>
      <c r="E23" s="8"/>
      <c r="F23" s="8"/>
      <c r="G23" s="8"/>
      <c r="H23" s="8"/>
      <c r="I23" s="11"/>
      <c r="J23" s="8"/>
      <c r="K23" s="8"/>
      <c r="L23" s="8"/>
      <c r="M23" s="8"/>
      <c r="N23" s="13"/>
      <c r="O23" s="13"/>
      <c r="P23" s="8"/>
      <c r="Q23" s="8"/>
      <c r="R23" s="8"/>
      <c r="S23" s="8"/>
      <c r="T23" s="8"/>
      <c r="U23" s="8"/>
      <c r="V23" s="8"/>
      <c r="W23" s="8"/>
      <c r="X23" s="13"/>
      <c r="Y23" s="8"/>
      <c r="Z23" s="8"/>
      <c r="AA23" s="8"/>
      <c r="AB23" s="8"/>
      <c r="AC23" s="8"/>
      <c r="AD23" s="27"/>
      <c r="AE23" s="27"/>
    </row>
    <row r="24" spans="1:31" x14ac:dyDescent="0.3">
      <c r="A24" s="8"/>
      <c r="B24" s="8"/>
      <c r="C24" s="8"/>
      <c r="D24" s="8"/>
      <c r="E24" s="8"/>
      <c r="F24" s="8"/>
      <c r="G24" s="8"/>
      <c r="H24" s="8"/>
      <c r="I24" s="11"/>
      <c r="J24" s="8"/>
      <c r="K24" s="8"/>
      <c r="L24" s="8"/>
      <c r="M24" s="8"/>
      <c r="N24" s="13"/>
      <c r="O24" s="13"/>
      <c r="P24" s="8"/>
      <c r="Q24" s="8"/>
      <c r="R24" s="8"/>
      <c r="S24" s="8"/>
      <c r="T24" s="8"/>
      <c r="U24" s="8"/>
      <c r="V24" s="8"/>
      <c r="W24" s="8"/>
      <c r="X24" s="13"/>
      <c r="Y24" s="8"/>
      <c r="Z24" s="8"/>
      <c r="AA24" s="8"/>
      <c r="AB24" s="8"/>
      <c r="AC24" s="8"/>
      <c r="AD24" s="27"/>
      <c r="AE24" s="27"/>
    </row>
    <row r="25" spans="1:31" x14ac:dyDescent="0.3">
      <c r="A25" s="8"/>
      <c r="B25" s="8"/>
      <c r="C25" s="8"/>
      <c r="D25" s="8"/>
      <c r="E25" s="8"/>
      <c r="F25" s="8"/>
      <c r="G25" s="8"/>
      <c r="H25" s="8"/>
      <c r="I25" s="11"/>
      <c r="J25" s="8"/>
      <c r="K25" s="8"/>
      <c r="L25" s="8"/>
      <c r="M25" s="8"/>
      <c r="N25" s="13"/>
      <c r="O25" s="13"/>
      <c r="P25" s="8"/>
      <c r="Q25" s="8"/>
      <c r="R25" s="8"/>
      <c r="S25" s="8"/>
      <c r="T25" s="8"/>
      <c r="U25" s="8"/>
      <c r="V25" s="8"/>
      <c r="W25" s="8"/>
      <c r="X25" s="13"/>
      <c r="Y25" s="8"/>
      <c r="Z25" s="8"/>
      <c r="AA25" s="8"/>
      <c r="AB25" s="8"/>
      <c r="AC25" s="8"/>
      <c r="AD25" s="27"/>
      <c r="AE25" s="27"/>
    </row>
  </sheetData>
  <phoneticPr fontId="1" type="noConversion"/>
  <conditionalFormatting sqref="A1:A1048576">
    <cfRule type="duplicateValues" dxfId="9" priority="12"/>
  </conditionalFormatting>
  <conditionalFormatting sqref="A1:AH25">
    <cfRule type="cellIs" dxfId="8" priority="9" operator="equal">
      <formula>FALSE</formula>
    </cfRule>
    <cfRule type="cellIs" dxfId="7" priority="10" operator="equal">
      <formula>"Single"</formula>
    </cfRule>
    <cfRule type="cellIs" dxfId="6" priority="11" operator="equal">
      <formula>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C11"/>
  <sheetViews>
    <sheetView zoomScale="70" zoomScaleNormal="70" workbookViewId="0">
      <selection activeCell="F10" sqref="F10"/>
    </sheetView>
  </sheetViews>
  <sheetFormatPr defaultRowHeight="16.5" x14ac:dyDescent="0.3"/>
  <cols>
    <col min="1" max="1" width="48.125" customWidth="1"/>
    <col min="2" max="2" width="20" bestFit="1" customWidth="1"/>
    <col min="3" max="3" width="14.125" bestFit="1" customWidth="1"/>
    <col min="4" max="4" width="10.75" customWidth="1"/>
    <col min="5" max="5" width="11.375" bestFit="1" customWidth="1"/>
    <col min="6" max="6" width="15.125" bestFit="1" customWidth="1"/>
  </cols>
  <sheetData>
    <row r="1" spans="1:3" x14ac:dyDescent="0.3">
      <c r="A1" s="1" t="s">
        <v>0</v>
      </c>
      <c r="B1" s="3" t="s">
        <v>204</v>
      </c>
      <c r="C1" s="2" t="s">
        <v>109</v>
      </c>
    </row>
    <row r="2" spans="1:3" x14ac:dyDescent="0.3">
      <c r="A2" s="1" t="s">
        <v>44</v>
      </c>
      <c r="B2" s="3" t="s">
        <v>205</v>
      </c>
      <c r="C2" s="2" t="s">
        <v>134</v>
      </c>
    </row>
    <row r="3" spans="1:3" x14ac:dyDescent="0.3">
      <c r="A3" s="1" t="s">
        <v>87</v>
      </c>
      <c r="B3" s="3" t="s">
        <v>95</v>
      </c>
      <c r="C3" s="2" t="s">
        <v>154</v>
      </c>
    </row>
    <row r="4" spans="1:3" x14ac:dyDescent="0.3">
      <c r="A4" s="1" t="s">
        <v>100</v>
      </c>
      <c r="B4" s="3" t="s">
        <v>100</v>
      </c>
      <c r="C4" s="2" t="s">
        <v>100</v>
      </c>
    </row>
    <row r="5" spans="1:3" ht="115.5" customHeight="1" x14ac:dyDescent="0.3">
      <c r="A5" s="1" t="s">
        <v>444</v>
      </c>
      <c r="B5" s="23" t="s">
        <v>472</v>
      </c>
      <c r="C5" s="23" t="s">
        <v>203</v>
      </c>
    </row>
    <row r="6" spans="1:3" ht="115.5" customHeight="1" x14ac:dyDescent="0.3">
      <c r="A6" s="1" t="s">
        <v>445</v>
      </c>
      <c r="B6" s="23" t="s">
        <v>472</v>
      </c>
      <c r="C6" s="23" t="s">
        <v>220</v>
      </c>
    </row>
    <row r="7" spans="1:3" ht="115.5" customHeight="1" x14ac:dyDescent="0.3">
      <c r="A7" s="1" t="s">
        <v>446</v>
      </c>
      <c r="B7" s="23" t="s">
        <v>472</v>
      </c>
      <c r="C7" s="23" t="s">
        <v>221</v>
      </c>
    </row>
    <row r="8" spans="1:3" ht="115.5" customHeight="1" x14ac:dyDescent="0.3">
      <c r="A8" s="1" t="s">
        <v>447</v>
      </c>
      <c r="B8" s="23" t="s">
        <v>472</v>
      </c>
      <c r="C8" s="23" t="s">
        <v>184</v>
      </c>
    </row>
    <row r="9" spans="1:3" ht="115.5" customHeight="1" x14ac:dyDescent="0.3">
      <c r="A9" s="1" t="s">
        <v>448</v>
      </c>
      <c r="B9" s="23" t="s">
        <v>472</v>
      </c>
      <c r="C9" s="23" t="s">
        <v>222</v>
      </c>
    </row>
    <row r="10" spans="1:3" ht="115.5" customHeight="1" x14ac:dyDescent="0.3">
      <c r="A10" s="1" t="s">
        <v>449</v>
      </c>
      <c r="B10" s="23" t="s">
        <v>472</v>
      </c>
      <c r="C10" s="23" t="s">
        <v>223</v>
      </c>
    </row>
    <row r="11" spans="1:3" ht="115.5" customHeight="1" x14ac:dyDescent="0.3">
      <c r="A11" s="1" t="s">
        <v>450</v>
      </c>
      <c r="B11" s="23" t="s">
        <v>472</v>
      </c>
      <c r="C11" s="23" t="s">
        <v>224</v>
      </c>
    </row>
  </sheetData>
  <phoneticPr fontId="1" type="noConversion"/>
  <conditionalFormatting sqref="A1:XFD1048576">
    <cfRule type="containsBlanks" dxfId="5" priority="6">
      <formula>LEN(TRIM(A1))=0</formula>
    </cfRule>
  </conditionalFormatting>
  <conditionalFormatting sqref="B5:E11">
    <cfRule type="cellIs" dxfId="4" priority="1" operator="equal">
      <formula>"Op"</formula>
    </cfRule>
    <cfRule type="cellIs" dxfId="3" priority="2" operator="equal">
      <formula>"Single"</formula>
    </cfRule>
    <cfRule type="cellIs" dxfId="2" priority="3" operator="equal">
      <formula>TRUE</formula>
    </cfRule>
    <cfRule type="cellIs" dxfId="1" priority="4" operator="equal">
      <formula>100</formula>
    </cfRule>
    <cfRule type="cellIs" dxfId="0" priority="5" operator="equal">
      <formula>0</formula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Skill.Academy</vt:lpstr>
      <vt:lpstr>SkillEffect.Academy</vt:lpstr>
      <vt:lpstr>SkillModifier.Academy</vt:lpstr>
      <vt:lpstr>Skill.FormationSkill</vt:lpstr>
      <vt:lpstr>SkillEffect.FormationSkill</vt:lpstr>
      <vt:lpstr>Skill.Stage</vt:lpstr>
      <vt:lpstr>SkillEffect.Stage</vt:lpstr>
      <vt:lpstr>SkillEffectModifier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2024-04-30T12:43:23Z</dcterms:modified>
</cp:coreProperties>
</file>